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8F28B8FA-A9FC-4135-9835-6CD9F76A918D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Analysis'!$D$8:$J$8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Analysis'!$D$51:$J$51</definedName>
    <definedName name="FieldList2" localSheetId="3">#REF!</definedName>
    <definedName name="FieldList2" localSheetId="2">#REF!</definedName>
    <definedName name="FieldList2">'Field Analysis'!$D$52:$J$52</definedName>
    <definedName name="FieldList3" localSheetId="3">#REF!</definedName>
    <definedName name="FieldList3" localSheetId="2">#REF!</definedName>
    <definedName name="FieldList3">'Field Analysis'!$D$53:$J$53</definedName>
    <definedName name="FieldList4" localSheetId="3">#REF!</definedName>
    <definedName name="FieldList4" localSheetId="2">#REF!</definedName>
    <definedName name="FieldList4">'Field Analysis'!$D$54:$J$54</definedName>
    <definedName name="FieldList5" localSheetId="3">#REF!</definedName>
    <definedName name="FieldList5" localSheetId="2">#REF!</definedName>
    <definedName name="FieldList5">'Field Analysis'!$D$55:$J$55</definedName>
    <definedName name="FieldList6" localSheetId="3">#REF!</definedName>
    <definedName name="FieldList6" localSheetId="2">#REF!</definedName>
    <definedName name="FieldList6">'Field Analysis'!$D$56:$J$56</definedName>
    <definedName name="FieldList7">'Field Analysis'!$D$57:$J$57</definedName>
    <definedName name="FieldList8">'Field Analysis'!$D$58:$J$58</definedName>
    <definedName name="FieldRange" localSheetId="3">#REF!</definedName>
    <definedName name="FieldRange" localSheetId="2">#REF!</definedName>
    <definedName name="FieldRange">'Field Analysis'!$D$72:$J$72</definedName>
    <definedName name="FormatRange">'Field Analysis'!$E:$E</definedName>
    <definedName name="Headers">'Field Analysis'!$D$12:$J$12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Analysis'!$D$10:$J$10</definedName>
    <definedName name="Percentiles">'Field Analysis'!$D$39:$D$48</definedName>
    <definedName name="RecordHashes">'Field Analysis'!$K$73:$K$416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<sst xmlns="http://schemas.openxmlformats.org/spreadsheetml/2006/main" count="1154" uniqueCount="66">
  <si>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</si>
  <si>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</si>
  <si>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</si>
  <si>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</si>
  <si>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</si>
  <si>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</si>
  <si>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</si>
  <si>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</si>
  <si>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</si>
  <si>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</si>
  <si>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</si>
  <si>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</si>
  <si>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</si>
  <si>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</si>
  <si>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</si>
  <si>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</si>
  <si>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</si>
  <si>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</si>
  <si>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</si>
  <si>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</si>
  <si>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</si>
  <si>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</si>
  <si>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</si>
  <si>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</si>
  <si>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</si>
  <si>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</si>
  <si>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</si>
  <si>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</si>
  <si>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</si>
  <si>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</si>
  <si>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</si>
  <si>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</si>
  <si>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</si>
  <si>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</si>
  <si>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</si>
  <si>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</si>
  <si>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</si>
  <si>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</si>
  <si>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</si>
  <si>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</si>
  <si>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</si>
  <si>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</si>
  <si>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</si>
  <si>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</si>
  <si>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</si>
  <si>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</si>
  <si>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penguins</t>
  </si>
  <si>
    <t>rows = 344, columns = 7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</si>
  <si>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</si>
  <si>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</si>
  <si>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</si>
  <si>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</si>
  <si>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</si>
  <si>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</si>
  <si>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</si>
  <si>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25,465 bytes</t>
  </si>
  <si>
    <t>str</t>
  </si>
  <si>
    <t>Adelie</t>
  </si>
  <si>
    <t>Biscoe</t>
  </si>
  <si>
    <t>float64</t>
  </si>
  <si>
    <t>Male</t>
  </si>
  <si>
    <t>Torgersen</t>
  </si>
  <si>
    <t>Female</t>
  </si>
  <si>
    <t>Dream</t>
  </si>
  <si>
    <t>Chinstrap</t>
  </si>
  <si>
    <t>Gentoo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</si>
</sst>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8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8E6F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19" fillId="2" borderId="0" xfId="1" applyNumberFormat="1" applyFont="1" applyBorder="1" applyAlignment="1">
      <alignment horizontal="center" vertical="center" wrapText="1"/>
    </xf>
    <xf numFmtId="0" fontId="22" fillId="2" borderId="0" xfId="1" applyFont="1" applyAlignment="1">
      <alignment horizontal="right" vertical="center" indent="1"/>
    </xf>
    <xf numFmtId="0" fontId="21" fillId="2" borderId="9" xfId="1" applyFont="1" applyBorder="1" applyAlignment="1">
      <alignment horizontal="left" vertical="center"/>
    </xf>
    <xf numFmtId="0" fontId="20" fillId="2" borderId="0" xfId="1" applyFont="1" applyAlignment="1">
      <alignment horizontal="left" vertical="center" indent="2"/>
    </xf>
    <xf numFmtId="0" fontId="22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2" fillId="2" borderId="12" xfId="1" applyFont="1" applyBorder="1" applyAlignment="1">
      <alignment horizontal="left" vertical="center" wrapText="1" indent="1"/>
    </xf>
    <xf numFmtId="0" fontId="22" fillId="2" borderId="0" xfId="1" applyFont="1" applyAlignment="1">
      <alignment horizontal="left" vertical="center" wrapText="1" indent="1"/>
    </xf>
    <xf numFmtId="0" fontId="22" fillId="2" borderId="0" xfId="1" applyFont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left" vertical="center" wrapText="1" indent="1"/>
    </xf>
    <xf numFmtId="0" fontId="23" fillId="9" borderId="8" xfId="1" applyFont="1" applyFill="1" applyBorder="1" applyAlignment="1">
      <alignment horizontal="left" vertical="center" wrapText="1" indent="1"/>
    </xf>
    <xf numFmtId="0" fontId="23" fillId="9" borderId="4" xfId="1" applyFont="1" applyFill="1" applyBorder="1" applyAlignment="1">
      <alignment horizontal="center" vertical="center" wrapText="1"/>
    </xf>
    <xf numFmtId="9" fontId="23" fillId="9" borderId="4" xfId="1" applyNumberFormat="1" applyFont="1" applyFill="1" applyBorder="1" applyAlignment="1">
      <alignment horizontal="center" vertical="center" wrapText="1"/>
    </xf>
    <xf numFmtId="0" fontId="24" fillId="9" borderId="13" xfId="1" applyFont="1" applyFill="1" applyBorder="1" applyAlignment="1"/>
    <xf numFmtId="0" fontId="25" fillId="9" borderId="5" xfId="1" applyFont="1" applyFill="1" applyBorder="1" applyAlignment="1">
      <alignment wrapText="1"/>
    </xf>
    <xf numFmtId="0" fontId="26" fillId="9" borderId="4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0" fontId="23" fillId="9" borderId="10" xfId="1" applyFont="1" applyFill="1" applyBorder="1" applyAlignment="1">
      <alignment horizontal="center" vertical="center"/>
    </xf>
    <xf numFmtId="0" fontId="25" fillId="9" borderId="2" xfId="1" applyFont="1" applyFill="1" applyBorder="1" applyAlignment="1">
      <alignment wrapText="1"/>
    </xf>
    <xf numFmtId="0" fontId="27" fillId="9" borderId="2" xfId="1" applyFont="1" applyFill="1" applyBorder="1" applyAlignment="1">
      <alignment vertical="center" wrapText="1"/>
    </xf>
    <xf numFmtId="0" fontId="24" fillId="9" borderId="4" xfId="1" applyFont="1" applyFill="1" applyBorder="1"/>
    <xf numFmtId="0" fontId="25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68E6F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29D528F-CEB2-BDAD-5A00-1B35360BC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91BEB3D-7489-4F2B-CE46-D5BB89C0D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EFF8B0D-7AB2-A0A2-3C5A-D928619D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24D57C4-7FAD-848B-03C0-551F1E9ED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912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A0DCEA-1F86-CDA3-8885-B09443EA2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962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42B1A68-B77E-A867-053B-4A37C5D9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962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B067FB2-175F-3E04-6959-DE600BEEB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0012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9B254F5-66B3-85A1-647C-8C151C778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0012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0D53CD9-6AEE-C058-7F09-D470D9DF8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062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6666DBC9-5282-0C3A-3DC5-354C467CD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062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24</xdr:row>
      <xdr:rowOff>95250</xdr:rowOff>
    </xdr:from>
    <xdr:to>
      <xdr:col>9</xdr:col>
      <xdr:colOff>1809750</xdr:colOff>
      <xdr:row>24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867398C-7876-AB7B-F8FF-9C14E5229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811250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5" headerRowBorderDxfId="56" headerRowCellStyle="Normal 2">
  <autoFilter ref="B10:AA17" xr:uid="{7EC467B7-DE9E-48DF-95B5-2995F1F6DE8F}"/>
  <tableColumns count="26">
    <tableColumn id="1" xr3:uid="{CDAE6949-9186-42E8-AEBE-1928381A0155}" name="Field" dataDxfId="54" dataCellStyle="Normal 2"/>
    <tableColumn id="2" xr3:uid="{24D139B7-BFC8-4DD9-8DE4-2245810E04F3}" name="Definition" dataDxfId="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3"/>
    <tableColumn id="8" xr3:uid="{30CDB1E0-924C-48B4-82F4-9B3E3228BE95}" name="Distinct %" dataDxfId="52"/>
    <tableColumn id="12" xr3:uid="{03824906-BEA5-4B63-A981-21F959B6439E}" name="Missing %" dataDxfId="51" dataCellStyle="Percent 2"/>
    <tableColumn id="6" xr3:uid="{8DFFE5A0-8676-4576-AB4D-97E8B31EC097}" name="Memory Usage %" dataDxfId="50" dataCellStyle="Percent 2"/>
    <tableColumn id="5" xr3:uid="{DD50C3DA-F4A8-40F0-AFBD-DBF916650F7E}" name="Memory Usage" dataDxfId="49"/>
    <tableColumn id="7" xr3:uid="{A0CD56D0-07EF-46CA-BC46-D54CD5E746C7}" name="Distinct" dataDxfId="48"/>
    <tableColumn id="9" xr3:uid="{1C848176-6AC1-44A6-9B3B-F1C9E8BC32EA}" name="Count" dataDxfId="47"/>
    <tableColumn id="10" xr3:uid="{6C6E6A37-4969-459F-AC39-2193366810E2}" name="Count %" dataDxfId="46"/>
    <tableColumn id="11" xr3:uid="{CD47252D-0307-4513-AF7C-13CC4AA1FCD9}" name="Missing" dataDxfId="45"/>
    <tableColumn id="13" xr3:uid="{2B45F7F8-CE35-48A6-BB27-9684B5D7936D}" name="Mean" dataDxfId="44"/>
    <tableColumn id="14" xr3:uid="{293386E4-1FA6-4340-9DC6-54CC26209C0A}" name="Median" dataDxfId="43"/>
    <tableColumn id="15" xr3:uid="{29252F5E-4163-4D62-89FC-FF85F6C4755C}" name="Mode" dataDxfId="42"/>
    <tableColumn id="16" xr3:uid="{69FFA3C1-FD1E-4395-AF2E-177FDFCDE62A}" name="Standard Deviation" dataDxfId="41"/>
    <tableColumn id="17" xr3:uid="{2AAB37E9-8AE2-4771-B92B-C04BFABA0B4E}" name="Variance" dataDxfId="40"/>
    <tableColumn id="18" xr3:uid="{07151E41-6633-4A65-A7E1-091F027DEF95}" name="Min" dataDxfId="39"/>
    <tableColumn id="19" xr3:uid="{41A1FD5D-4E5C-45B3-A0C7-1820F89F417F}" name="5%" dataDxfId="38"/>
    <tableColumn id="20" xr3:uid="{50D70984-5A2E-4A19-9F2B-5DA0502339BC}" name="25%" dataDxfId="37"/>
    <tableColumn id="21" xr3:uid="{75FF5489-8FC0-4894-83BC-802076BF1066}" name="50%" dataDxfId="36"/>
    <tableColumn id="22" xr3:uid="{B7FA20A8-EE17-470E-93AD-54011230C113}" name="75%" dataDxfId="35"/>
    <tableColumn id="23" xr3:uid="{378BE758-7A3F-4C04-A75B-FE899B1B0BAD}" name="95%" dataDxfId="34"/>
    <tableColumn id="24" xr3:uid="{818594E7-DC84-4229-81F6-97C1E2E93633}" name="Max" dataDxfId="33"/>
    <tableColumn id="25" xr3:uid="{D8116583-A886-47C1-85E2-D28AD96194AD}" name="Range" dataDxfId="32"/>
    <tableColumn id="26" xr3:uid="{D061AC6A-EAB2-461F-8AB8-E743DC68E666}" name="IQR" dataDxfId="3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K416" totalsRowShown="0" dataDxfId="19">
  <autoFilter ref="C72:K416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species" dataDxfId="18"/>
    <tableColumn id="8" xr3:uid="{5CEA6B82-08F7-4BBF-BE74-DD211F1E2384}" name="island" dataDxfId="17" dataCellStyle="Normal 2"/>
    <tableColumn id="3" xr3:uid="{684592DF-404B-4527-95E4-D70B1783356C}" name="bill_length_mm" dataDxfId="7"/>
    <tableColumn id="4" xr3:uid="{D8D187B8-9096-4508-9048-03C0700E7B4C}" name="bill_depth_mm" dataDxfId="6"/>
    <tableColumn id="5" xr3:uid="{ABE27748-99AF-4B6A-934A-4D488D991001}" name="flipper_length_mm" dataDxfId="5"/>
    <tableColumn id="6" xr3:uid="{8BB64798-136B-4795-92FC-8E2FAF48F3D4}" name="body_mass_g" dataDxfId="4"/>
    <tableColumn id="7" xr3:uid="{D0F04CCE-9BF8-4CAB-A9E4-C04E53BD3986}" name="sex" dataDxfId="3"/>
    <tableColumn id="9" xr3:uid="{5BF35220-1575-4270-89B5-56C73DBA711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penguins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344</v>
      </c>
    </row>
    <row r="5" spans="2:27" x14ac:dyDescent="0.3">
      <c r="B5" s="13" t="s">
        <v>27</v>
      </c>
      <c r="C5" s="63">
        <v>7</v>
      </c>
    </row>
    <row r="6" spans="2:27" x14ac:dyDescent="0.3">
      <c r="B6" s="30" t="s">
        <v>4</v>
      </c>
      <c r="C6" s="63" t="s">
        <v>55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7.890365448504983E-3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56</v>
      </c>
      <c r="F11" s="68">
        <v>8.7209302325581394E-3</v>
      </c>
      <c r="G11" s="69">
        <v>0</v>
      </c>
      <c r="H11" s="68">
        <v>0.179723829470022</v>
      </c>
      <c r="I11" s="70">
        <v>5063</v>
      </c>
      <c r="J11" s="70">
        <v>3</v>
      </c>
      <c r="K11" s="70">
        <v>344</v>
      </c>
      <c r="L11" s="71">
        <v>1</v>
      </c>
      <c r="M11" s="70">
        <v>0</v>
      </c>
      <c r="N11" s="72"/>
      <c r="O11" s="72"/>
      <c r="P11" s="72" t="s">
        <v>57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56</v>
      </c>
      <c r="F12" s="71">
        <v>8.7209302325581394E-3</v>
      </c>
      <c r="G12" s="73">
        <v>0</v>
      </c>
      <c r="H12" s="74">
        <v>0.17361825991267599</v>
      </c>
      <c r="I12" s="70">
        <v>4891</v>
      </c>
      <c r="J12" s="70">
        <v>3</v>
      </c>
      <c r="K12" s="70">
        <v>344</v>
      </c>
      <c r="L12" s="71">
        <v>1</v>
      </c>
      <c r="M12" s="70">
        <v>0</v>
      </c>
      <c r="N12" s="72"/>
      <c r="O12" s="72"/>
      <c r="P12" s="72" t="s">
        <v>58</v>
      </c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59</v>
      </c>
      <c r="F13" s="71">
        <v>0.47674418604651098</v>
      </c>
      <c r="G13" s="73">
        <v>5.8139534883720903E-3</v>
      </c>
      <c r="H13" s="74">
        <v>9.7689112917539303E-2</v>
      </c>
      <c r="I13" s="70">
        <v>2752</v>
      </c>
      <c r="J13" s="70">
        <v>164</v>
      </c>
      <c r="K13" s="70">
        <v>342</v>
      </c>
      <c r="L13" s="71">
        <v>0.99418604651162701</v>
      </c>
      <c r="M13" s="70">
        <v>2</v>
      </c>
      <c r="N13" s="72">
        <v>43.921929824561403</v>
      </c>
      <c r="O13" s="72">
        <v>44.45</v>
      </c>
      <c r="P13" s="72">
        <v>41.1</v>
      </c>
      <c r="Q13" s="72">
        <v>5.4595837139265297</v>
      </c>
      <c r="R13" s="72">
        <v>29.807054329371802</v>
      </c>
      <c r="S13" s="72">
        <v>32.1</v>
      </c>
      <c r="T13" s="72">
        <v>35.700000000000003</v>
      </c>
      <c r="U13" s="72">
        <v>39.225000000000001</v>
      </c>
      <c r="V13" s="72">
        <v>44.45</v>
      </c>
      <c r="W13" s="72">
        <v>48.5</v>
      </c>
      <c r="X13" s="72">
        <v>51.994999999999997</v>
      </c>
      <c r="Y13" s="72">
        <v>59.6</v>
      </c>
      <c r="Z13" s="72">
        <v>27.5</v>
      </c>
      <c r="AA13" s="72">
        <v>9.2749999999999897</v>
      </c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59</v>
      </c>
      <c r="F14" s="71">
        <v>0.232558139534883</v>
      </c>
      <c r="G14" s="73">
        <v>5.8139534883720903E-3</v>
      </c>
      <c r="H14" s="74">
        <v>9.7689112917539303E-2</v>
      </c>
      <c r="I14" s="70">
        <v>2752</v>
      </c>
      <c r="J14" s="70">
        <v>80</v>
      </c>
      <c r="K14" s="70">
        <v>342</v>
      </c>
      <c r="L14" s="71">
        <v>0.99418604651162701</v>
      </c>
      <c r="M14" s="70">
        <v>2</v>
      </c>
      <c r="N14" s="72">
        <v>17.1511695906432</v>
      </c>
      <c r="O14" s="72">
        <v>17.3</v>
      </c>
      <c r="P14" s="72">
        <v>17</v>
      </c>
      <c r="Q14" s="72">
        <v>1.97479315681678</v>
      </c>
      <c r="R14" s="72">
        <v>3.89980801221038</v>
      </c>
      <c r="S14" s="72">
        <v>13.1</v>
      </c>
      <c r="T14" s="72">
        <v>13.9</v>
      </c>
      <c r="U14" s="72">
        <v>15.6</v>
      </c>
      <c r="V14" s="72">
        <v>17.3</v>
      </c>
      <c r="W14" s="72">
        <v>18.7</v>
      </c>
      <c r="X14" s="72">
        <v>20</v>
      </c>
      <c r="Y14" s="72">
        <v>21.5</v>
      </c>
      <c r="Z14" s="72">
        <v>8.4</v>
      </c>
      <c r="AA14" s="72">
        <v>3.0999999999999899</v>
      </c>
    </row>
    <row r="15" spans="2:27" x14ac:dyDescent="0.3">
      <c r="B15" s="84" t="s">
        <v>52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59</v>
      </c>
      <c r="F15" s="71">
        <v>0.15988372093023201</v>
      </c>
      <c r="G15" s="73">
        <v>5.8139534883720903E-3</v>
      </c>
      <c r="H15" s="74">
        <v>9.7689112917539303E-2</v>
      </c>
      <c r="I15" s="70">
        <v>2752</v>
      </c>
      <c r="J15" s="70">
        <v>55</v>
      </c>
      <c r="K15" s="70">
        <v>342</v>
      </c>
      <c r="L15" s="71">
        <v>0.99418604651162701</v>
      </c>
      <c r="M15" s="70">
        <v>2</v>
      </c>
      <c r="N15" s="72">
        <v>200.91520467836199</v>
      </c>
      <c r="O15" s="72">
        <v>197</v>
      </c>
      <c r="P15" s="72">
        <v>190</v>
      </c>
      <c r="Q15" s="72">
        <v>14.061713679356799</v>
      </c>
      <c r="R15" s="72">
        <v>197.73179160021201</v>
      </c>
      <c r="S15" s="72">
        <v>172</v>
      </c>
      <c r="T15" s="72">
        <v>181</v>
      </c>
      <c r="U15" s="72">
        <v>190</v>
      </c>
      <c r="V15" s="72">
        <v>197</v>
      </c>
      <c r="W15" s="72">
        <v>213</v>
      </c>
      <c r="X15" s="72">
        <v>225</v>
      </c>
      <c r="Y15" s="72">
        <v>231</v>
      </c>
      <c r="Z15" s="72">
        <v>59</v>
      </c>
      <c r="AA15" s="72">
        <v>23</v>
      </c>
    </row>
    <row r="16" spans="2:27" x14ac:dyDescent="0.3">
      <c r="B16" s="84" t="s">
        <v>53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67" t="s">
        <v>59</v>
      </c>
      <c r="F16" s="71">
        <v>0.27325581395348802</v>
      </c>
      <c r="G16" s="73">
        <v>5.8139534883720903E-3</v>
      </c>
      <c r="H16" s="74">
        <v>9.7689112917539303E-2</v>
      </c>
      <c r="I16" s="70">
        <v>2752</v>
      </c>
      <c r="J16" s="70">
        <v>94</v>
      </c>
      <c r="K16" s="70">
        <v>342</v>
      </c>
      <c r="L16" s="71">
        <v>0.99418604651162701</v>
      </c>
      <c r="M16" s="70">
        <v>2</v>
      </c>
      <c r="N16" s="72">
        <v>4201.7543859649104</v>
      </c>
      <c r="O16" s="72">
        <v>4050</v>
      </c>
      <c r="P16" s="72">
        <v>3800</v>
      </c>
      <c r="Q16" s="72">
        <v>801.95453569809501</v>
      </c>
      <c r="R16" s="72">
        <v>643131.07732674805</v>
      </c>
      <c r="S16" s="72">
        <v>2700</v>
      </c>
      <c r="T16" s="72">
        <v>3150</v>
      </c>
      <c r="U16" s="72">
        <v>3550</v>
      </c>
      <c r="V16" s="72">
        <v>4050</v>
      </c>
      <c r="W16" s="72">
        <v>4750</v>
      </c>
      <c r="X16" s="72">
        <v>5650</v>
      </c>
      <c r="Y16" s="72">
        <v>6300</v>
      </c>
      <c r="Z16" s="72">
        <v>3600</v>
      </c>
      <c r="AA16" s="72">
        <v>1200</v>
      </c>
    </row>
    <row r="17" spans="2:27" x14ac:dyDescent="0.3">
      <c r="B17" s="104" t="s">
        <v>54</v>
      </c>
      <c r="C17" s="105" t="str">
        <f>IF(INDEX(Definitions,1,MATCH(tbl_Overview[[#This Row],[Field]],Headers,0))="Definition","",INDEX(Definitions,1,MATCH(tbl_Overview[[#This Row],[Field]],Headers,0)))</f>
        <v/>
      </c>
      <c r="D17" s="106" t="str">
        <f>IF(INDEX(Notes,1,MATCH(tbl_Overview[[#This Row],[Field]],Headers,0))="Notes","",INDEX(Notes,1,MATCH(tbl_Overview[[#This Row],[Field]],Headers,0)))</f>
        <v/>
      </c>
      <c r="E17" s="107" t="s">
        <v>56</v>
      </c>
      <c r="F17" s="108">
        <v>5.8139534883720903E-3</v>
      </c>
      <c r="G17" s="109">
        <v>3.1976744186046499E-2</v>
      </c>
      <c r="H17" s="110">
        <v>0.15821234602960399</v>
      </c>
      <c r="I17" s="111">
        <v>4457</v>
      </c>
      <c r="J17" s="111">
        <v>2</v>
      </c>
      <c r="K17" s="111">
        <v>333</v>
      </c>
      <c r="L17" s="108">
        <v>0.96802325581395299</v>
      </c>
      <c r="M17" s="111">
        <v>11</v>
      </c>
      <c r="N17" s="112"/>
      <c r="O17" s="112"/>
      <c r="P17" s="112" t="s">
        <v>60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7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41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7.5546875" style="8" bestFit="1" customWidth="1"/>
    <col min="4" max="10" width="27.77734375" style="1" customWidth="1"/>
    <col min="11" max="11" width="15.88671875" bestFit="1" customWidth="1"/>
  </cols>
  <sheetData>
    <row r="1" spans="1:11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</row>
    <row r="2" spans="1:11" ht="10.050000000000001" customHeight="1" x14ac:dyDescent="0.3">
      <c r="A2"/>
      <c r="B2"/>
      <c r="C2"/>
      <c r="D2"/>
      <c r="E2"/>
      <c r="F2"/>
      <c r="G2"/>
      <c r="H2"/>
      <c r="I2"/>
      <c r="J2"/>
    </row>
    <row r="3" spans="1:11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  <c r="J3"/>
    </row>
    <row r="4" spans="1:11" ht="10.050000000000001" customHeight="1" x14ac:dyDescent="0.3">
      <c r="C4" s="79" t="s">
        <v>47</v>
      </c>
      <c r="D4" s="88"/>
      <c r="E4" s="88"/>
      <c r="F4"/>
      <c r="G4"/>
      <c r="H4"/>
      <c r="I4"/>
      <c r="J4"/>
    </row>
    <row r="5" spans="1:11" ht="10.050000000000001" customHeight="1" x14ac:dyDescent="0.3">
      <c r="C5" s="79"/>
      <c r="D5" s="88"/>
      <c r="E5" s="88"/>
      <c r="F5"/>
      <c r="G5"/>
      <c r="H5"/>
      <c r="I5"/>
      <c r="J5"/>
    </row>
    <row r="6" spans="1:11" ht="19.95" customHeight="1" x14ac:dyDescent="0.3">
      <c r="B6" s="9" t="s">
        <v>0</v>
      </c>
      <c r="C6" s="79"/>
    </row>
    <row r="7" spans="1:11" ht="10.050000000000001" customHeight="1" x14ac:dyDescent="0.3">
      <c r="B7" s="40"/>
      <c r="C7" s="79"/>
    </row>
    <row r="8" spans="1:11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  <c r="J8" s="80" t="s">
        <v>29</v>
      </c>
    </row>
    <row r="9" spans="1:11" ht="10.050000000000001" hidden="1" customHeight="1" outlineLevel="1" x14ac:dyDescent="0.3">
      <c r="A9"/>
      <c r="B9" s="75"/>
      <c r="C9"/>
      <c r="D9"/>
      <c r="E9"/>
      <c r="F9"/>
      <c r="G9"/>
      <c r="H9"/>
      <c r="I9"/>
      <c r="J9"/>
    </row>
    <row r="10" spans="1:11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  <c r="J10" s="80" t="s">
        <v>1</v>
      </c>
    </row>
    <row r="11" spans="1:11" ht="10.050000000000001" hidden="1" customHeight="1" outlineLevel="1" x14ac:dyDescent="0.3">
      <c r="C11" s="4"/>
      <c r="D11" s="76"/>
      <c r="E11" s="76"/>
      <c r="F11" s="76"/>
      <c r="G11" s="76"/>
      <c r="H11" s="76"/>
      <c r="I11" s="76"/>
      <c r="J11" s="76"/>
    </row>
    <row r="12" spans="1:11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96" t="s">
        <v>53</v>
      </c>
      <c r="J12" s="96" t="s">
        <v>54</v>
      </c>
      <c r="K12" s="85" t="s">
        <v>20</v>
      </c>
    </row>
    <row r="13" spans="1:11" ht="10.050000000000001" customHeight="1" outlineLevel="1" x14ac:dyDescent="0.3">
      <c r="A13"/>
      <c r="B13"/>
      <c r="C13"/>
      <c r="D13"/>
      <c r="E13"/>
      <c r="F13"/>
      <c r="G13"/>
      <c r="H13"/>
      <c r="I13"/>
      <c r="J13"/>
    </row>
    <row r="14" spans="1:11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</row>
    <row r="15" spans="1:11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</row>
    <row r="16" spans="1:11" ht="14.4" hidden="1" customHeight="1" outlineLevel="2" x14ac:dyDescent="0.3">
      <c r="A16" s="47"/>
      <c r="B16" s="48"/>
      <c r="C16" s="13" t="s">
        <v>3</v>
      </c>
      <c r="D16" s="14" t="s">
        <v>56</v>
      </c>
      <c r="E16" s="14" t="s">
        <v>56</v>
      </c>
      <c r="F16" s="14" t="s">
        <v>59</v>
      </c>
      <c r="G16" s="14" t="s">
        <v>59</v>
      </c>
      <c r="H16" s="14" t="s">
        <v>59</v>
      </c>
      <c r="I16" s="14" t="s">
        <v>59</v>
      </c>
      <c r="J16" s="14" t="s">
        <v>56</v>
      </c>
    </row>
    <row r="17" spans="1:10" ht="14.4" hidden="1" customHeight="1" outlineLevel="2" x14ac:dyDescent="0.3">
      <c r="A17" s="47"/>
      <c r="B17" s="49"/>
      <c r="C17" s="16" t="s">
        <v>7</v>
      </c>
      <c r="D17" s="50">
        <v>8.7209302325581394E-3</v>
      </c>
      <c r="E17" s="50">
        <v>8.7209302325581394E-3</v>
      </c>
      <c r="F17" s="50">
        <v>0.47674418604651098</v>
      </c>
      <c r="G17" s="50">
        <v>0.232558139534883</v>
      </c>
      <c r="H17" s="50">
        <v>0.15988372093023201</v>
      </c>
      <c r="I17" s="50">
        <v>0.27325581395348802</v>
      </c>
      <c r="J17" s="50">
        <v>5.8139534883720903E-3</v>
      </c>
    </row>
    <row r="18" spans="1:10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5.8139534883720903E-3</v>
      </c>
      <c r="G18" s="50">
        <v>5.8139534883720903E-3</v>
      </c>
      <c r="H18" s="50">
        <v>5.8139534883720903E-3</v>
      </c>
      <c r="I18" s="50">
        <v>5.8139534883720903E-3</v>
      </c>
      <c r="J18" s="50">
        <v>3.1976744186046499E-2</v>
      </c>
    </row>
    <row r="19" spans="1:10" ht="14.4" hidden="1" customHeight="1" outlineLevel="2" x14ac:dyDescent="0.3">
      <c r="B19" s="15"/>
      <c r="C19" s="30" t="s">
        <v>5</v>
      </c>
      <c r="D19" s="50">
        <v>0.179723829470022</v>
      </c>
      <c r="E19" s="50">
        <v>0.17361825991267599</v>
      </c>
      <c r="F19" s="50">
        <v>9.7689112917539303E-2</v>
      </c>
      <c r="G19" s="50">
        <v>9.7689112917539303E-2</v>
      </c>
      <c r="H19" s="50">
        <v>9.7689112917539303E-2</v>
      </c>
      <c r="I19" s="50">
        <v>9.7689112917539303E-2</v>
      </c>
      <c r="J19" s="50">
        <v>0.15821234602960399</v>
      </c>
    </row>
    <row r="20" spans="1:10" ht="14.4" hidden="1" customHeight="1" outlineLevel="2" x14ac:dyDescent="0.3">
      <c r="B20" s="15"/>
      <c r="C20" s="16" t="s">
        <v>4</v>
      </c>
      <c r="D20" s="14">
        <v>5063</v>
      </c>
      <c r="E20" s="14">
        <v>4891</v>
      </c>
      <c r="F20" s="14">
        <v>2752</v>
      </c>
      <c r="G20" s="14">
        <v>2752</v>
      </c>
      <c r="H20" s="14">
        <v>2752</v>
      </c>
      <c r="I20" s="14">
        <v>2752</v>
      </c>
      <c r="J20" s="14">
        <v>4457</v>
      </c>
    </row>
    <row r="21" spans="1:10" ht="14.4" hidden="1" customHeight="1" outlineLevel="2" x14ac:dyDescent="0.3">
      <c r="B21" s="15"/>
      <c r="C21" s="16" t="s">
        <v>6</v>
      </c>
      <c r="D21" s="14">
        <v>3</v>
      </c>
      <c r="E21" s="14">
        <v>3</v>
      </c>
      <c r="F21" s="14">
        <v>164</v>
      </c>
      <c r="G21" s="14">
        <v>80</v>
      </c>
      <c r="H21" s="14">
        <v>55</v>
      </c>
      <c r="I21" s="14">
        <v>94</v>
      </c>
      <c r="J21" s="14">
        <v>2</v>
      </c>
    </row>
    <row r="22" spans="1:10" ht="14.4" hidden="1" customHeight="1" outlineLevel="2" x14ac:dyDescent="0.3">
      <c r="B22" s="15"/>
      <c r="C22" s="16" t="s">
        <v>8</v>
      </c>
      <c r="D22" s="14">
        <v>344</v>
      </c>
      <c r="E22" s="14">
        <v>344</v>
      </c>
      <c r="F22" s="14">
        <v>342</v>
      </c>
      <c r="G22" s="14">
        <v>342</v>
      </c>
      <c r="H22" s="14">
        <v>342</v>
      </c>
      <c r="I22" s="14">
        <v>342</v>
      </c>
      <c r="J22" s="14">
        <v>333</v>
      </c>
    </row>
    <row r="23" spans="1:10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2</v>
      </c>
      <c r="G23" s="18">
        <v>2</v>
      </c>
      <c r="H23" s="18">
        <v>2</v>
      </c>
      <c r="I23" s="18">
        <v>2</v>
      </c>
      <c r="J23" s="18">
        <v>11</v>
      </c>
    </row>
    <row r="24" spans="1:10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</row>
    <row r="25" spans="1:10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</row>
    <row r="26" spans="1:10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</row>
    <row r="27" spans="1:10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</row>
    <row r="28" spans="1:10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</row>
    <row r="29" spans="1:10" ht="14.4" hidden="1" customHeight="1" outlineLevel="2" x14ac:dyDescent="0.35">
      <c r="B29" s="12"/>
      <c r="C29" s="13" t="s">
        <v>11</v>
      </c>
      <c r="D29" s="27"/>
      <c r="E29" s="27"/>
      <c r="F29" s="27">
        <v>43.921929824561403</v>
      </c>
      <c r="G29" s="27">
        <v>17.1511695906432</v>
      </c>
      <c r="H29" s="27">
        <v>200.91520467836199</v>
      </c>
      <c r="I29" s="27">
        <v>4201.7543859649104</v>
      </c>
      <c r="J29" s="27"/>
    </row>
    <row r="30" spans="1:10" ht="14.4" hidden="1" customHeight="1" outlineLevel="2" x14ac:dyDescent="0.3">
      <c r="B30" s="15"/>
      <c r="C30" s="17" t="s">
        <v>12</v>
      </c>
      <c r="D30" s="28"/>
      <c r="E30" s="28"/>
      <c r="F30" s="28">
        <v>44.45</v>
      </c>
      <c r="G30" s="28">
        <v>17.3</v>
      </c>
      <c r="H30" s="28">
        <v>197</v>
      </c>
      <c r="I30" s="28">
        <v>4050</v>
      </c>
      <c r="J30" s="28"/>
    </row>
    <row r="31" spans="1:10" ht="14.4" hidden="1" customHeight="1" outlineLevel="2" x14ac:dyDescent="0.3">
      <c r="B31" s="15"/>
      <c r="C31" s="16" t="s">
        <v>13</v>
      </c>
      <c r="D31" s="18" t="s">
        <v>57</v>
      </c>
      <c r="E31" s="18" t="s">
        <v>58</v>
      </c>
      <c r="F31" s="18">
        <v>41.1</v>
      </c>
      <c r="G31" s="18">
        <v>17</v>
      </c>
      <c r="H31" s="18">
        <v>190</v>
      </c>
      <c r="I31" s="18">
        <v>3800</v>
      </c>
      <c r="J31" s="18" t="s">
        <v>60</v>
      </c>
    </row>
    <row r="32" spans="1:10" ht="14.4" hidden="1" customHeight="1" outlineLevel="2" x14ac:dyDescent="0.3">
      <c r="B32" s="15"/>
      <c r="C32" s="17" t="s">
        <v>14</v>
      </c>
      <c r="D32" s="29"/>
      <c r="E32" s="29"/>
      <c r="F32" s="29">
        <v>5.4595837139265297</v>
      </c>
      <c r="G32" s="29">
        <v>1.97479315681678</v>
      </c>
      <c r="H32" s="29">
        <v>14.061713679356799</v>
      </c>
      <c r="I32" s="29">
        <v>801.95453569809501</v>
      </c>
      <c r="J32" s="29"/>
    </row>
    <row r="33" spans="1:10" ht="14.4" hidden="1" customHeight="1" outlineLevel="2" x14ac:dyDescent="0.3">
      <c r="B33" s="15"/>
      <c r="C33" s="30" t="s">
        <v>15</v>
      </c>
      <c r="D33" s="27"/>
      <c r="E33" s="27"/>
      <c r="F33" s="27">
        <v>29.807054329371802</v>
      </c>
      <c r="G33" s="27">
        <v>3.89980801221038</v>
      </c>
      <c r="H33" s="27">
        <v>197.73179160021201</v>
      </c>
      <c r="I33" s="27">
        <v>643131.07732674805</v>
      </c>
      <c r="J33" s="27"/>
    </row>
    <row r="34" spans="1:10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</row>
    <row r="35" spans="1:10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</row>
    <row r="36" spans="1:10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</row>
    <row r="37" spans="1:10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</row>
    <row r="38" spans="1:10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</row>
    <row r="39" spans="1:10" ht="14.4" hidden="1" customHeight="1" outlineLevel="2" x14ac:dyDescent="0.35">
      <c r="B39" s="12"/>
      <c r="C39" s="32" t="s">
        <v>16</v>
      </c>
      <c r="D39" s="29"/>
      <c r="E39" s="29"/>
      <c r="F39" s="29">
        <v>32.1</v>
      </c>
      <c r="G39" s="29">
        <v>13.1</v>
      </c>
      <c r="H39" s="29">
        <v>172</v>
      </c>
      <c r="I39" s="29">
        <v>2700</v>
      </c>
      <c r="J39" s="29"/>
    </row>
    <row r="40" spans="1:10" ht="14.4" hidden="1" customHeight="1" outlineLevel="2" x14ac:dyDescent="0.3">
      <c r="B40" s="11"/>
      <c r="C40" s="33">
        <v>0.05</v>
      </c>
      <c r="D40" s="27"/>
      <c r="E40" s="27"/>
      <c r="F40" s="27">
        <v>35.700000000000003</v>
      </c>
      <c r="G40" s="27">
        <v>13.9</v>
      </c>
      <c r="H40" s="27">
        <v>181</v>
      </c>
      <c r="I40" s="27">
        <v>3150</v>
      </c>
      <c r="J40" s="27"/>
    </row>
    <row r="41" spans="1:10" ht="14.4" hidden="1" customHeight="1" outlineLevel="2" x14ac:dyDescent="0.3">
      <c r="B41" s="11"/>
      <c r="C41" s="34">
        <v>0.25</v>
      </c>
      <c r="D41" s="29"/>
      <c r="E41" s="29"/>
      <c r="F41" s="29">
        <v>39.225000000000001</v>
      </c>
      <c r="G41" s="29">
        <v>15.6</v>
      </c>
      <c r="H41" s="29">
        <v>190</v>
      </c>
      <c r="I41" s="29">
        <v>3550</v>
      </c>
      <c r="J41" s="29"/>
    </row>
    <row r="42" spans="1:10" ht="14.4" hidden="1" customHeight="1" outlineLevel="2" x14ac:dyDescent="0.3">
      <c r="B42" s="11"/>
      <c r="C42" s="33">
        <v>0.5</v>
      </c>
      <c r="D42" s="27"/>
      <c r="E42" s="27"/>
      <c r="F42" s="27">
        <v>44.45</v>
      </c>
      <c r="G42" s="27">
        <v>17.3</v>
      </c>
      <c r="H42" s="27">
        <v>197</v>
      </c>
      <c r="I42" s="27">
        <v>4050</v>
      </c>
      <c r="J42" s="27"/>
    </row>
    <row r="43" spans="1:10" ht="14.4" hidden="1" customHeight="1" outlineLevel="2" x14ac:dyDescent="0.3">
      <c r="B43" s="11"/>
      <c r="C43" s="34">
        <v>0.75</v>
      </c>
      <c r="D43" s="29"/>
      <c r="E43" s="29"/>
      <c r="F43" s="29">
        <v>48.5</v>
      </c>
      <c r="G43" s="29">
        <v>18.7</v>
      </c>
      <c r="H43" s="29">
        <v>213</v>
      </c>
      <c r="I43" s="29">
        <v>4750</v>
      </c>
      <c r="J43" s="29"/>
    </row>
    <row r="44" spans="1:10" ht="14.4" hidden="1" customHeight="1" outlineLevel="2" x14ac:dyDescent="0.3">
      <c r="B44" s="11"/>
      <c r="C44" s="33">
        <v>0.95</v>
      </c>
      <c r="D44" s="27"/>
      <c r="E44" s="27"/>
      <c r="F44" s="27">
        <v>51.994999999999997</v>
      </c>
      <c r="G44" s="27">
        <v>20</v>
      </c>
      <c r="H44" s="27">
        <v>225</v>
      </c>
      <c r="I44" s="27">
        <v>5650</v>
      </c>
      <c r="J44" s="27"/>
    </row>
    <row r="45" spans="1:10" ht="14.4" hidden="1" customHeight="1" outlineLevel="2" x14ac:dyDescent="0.3">
      <c r="B45" s="11"/>
      <c r="C45" s="34" t="s">
        <v>17</v>
      </c>
      <c r="D45" s="29"/>
      <c r="E45" s="29"/>
      <c r="F45" s="29">
        <v>59.6</v>
      </c>
      <c r="G45" s="29">
        <v>21.5</v>
      </c>
      <c r="H45" s="29">
        <v>231</v>
      </c>
      <c r="I45" s="29">
        <v>6300</v>
      </c>
      <c r="J45" s="29"/>
    </row>
    <row r="46" spans="1:10" ht="14.4" hidden="1" customHeight="1" outlineLevel="2" x14ac:dyDescent="0.3">
      <c r="B46" s="11"/>
      <c r="C46" s="16" t="s">
        <v>18</v>
      </c>
      <c r="D46" s="27"/>
      <c r="E46" s="27"/>
      <c r="F46" s="27">
        <v>27.5</v>
      </c>
      <c r="G46" s="27">
        <v>8.4</v>
      </c>
      <c r="H46" s="27">
        <v>59</v>
      </c>
      <c r="I46" s="27">
        <v>3600</v>
      </c>
      <c r="J46" s="27"/>
    </row>
    <row r="47" spans="1:10" ht="14.4" hidden="1" customHeight="1" outlineLevel="2" x14ac:dyDescent="0.3">
      <c r="B47" s="23"/>
      <c r="C47" s="19" t="s">
        <v>19</v>
      </c>
      <c r="D47" s="29"/>
      <c r="E47" s="29"/>
      <c r="F47" s="29">
        <v>9.2749999999999897</v>
      </c>
      <c r="G47" s="29">
        <v>3.0999999999999899</v>
      </c>
      <c r="H47" s="29">
        <v>23</v>
      </c>
      <c r="I47" s="29">
        <v>1200</v>
      </c>
      <c r="J47" s="29"/>
    </row>
    <row r="48" spans="1:10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</row>
    <row r="49" spans="1:10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</row>
    <row r="50" spans="1:10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</row>
    <row r="51" spans="1:10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  <c r="J51" s="81" t="b">
        <v>0</v>
      </c>
    </row>
    <row r="52" spans="1:10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  <c r="J52" s="81" t="b">
        <v>0</v>
      </c>
    </row>
    <row r="53" spans="1:10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  <c r="J53" s="81" t="b">
        <v>0</v>
      </c>
    </row>
    <row r="54" spans="1:10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  <c r="J54" s="81" t="b">
        <v>0</v>
      </c>
    </row>
    <row r="55" spans="1:10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  <c r="J55" s="81" t="b">
        <v>0</v>
      </c>
    </row>
    <row r="56" spans="1:10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  <c r="J56" s="81" t="b">
        <v>0</v>
      </c>
    </row>
    <row r="57" spans="1:10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  <c r="J57" s="81" t="b">
        <v>0</v>
      </c>
    </row>
    <row r="58" spans="1:10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  <c r="J58" s="81" t="b">
        <v>0</v>
      </c>
    </row>
    <row r="59" spans="1:10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</row>
    <row r="60" spans="1:10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</row>
    <row r="61" spans="1:10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</row>
    <row r="62" spans="1:10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0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0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1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1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1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1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1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1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1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</row>
    <row r="72" spans="1:11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97" t="s">
        <v>20</v>
      </c>
    </row>
    <row r="73" spans="1:11" x14ac:dyDescent="0.3">
      <c r="C73" s="41" t="b">
        <v>0</v>
      </c>
      <c r="D73" s="42" t="s">
        <v>57</v>
      </c>
      <c r="E73" s="42" t="s">
        <v>61</v>
      </c>
      <c r="F73" s="42">
        <v>39.1</v>
      </c>
      <c r="G73" s="42">
        <v>18.7</v>
      </c>
      <c r="H73" s="42">
        <v>181</v>
      </c>
      <c r="I73" s="42">
        <v>3750</v>
      </c>
      <c r="J73" s="42" t="s">
        <v>60</v>
      </c>
      <c r="K73" s="113">
        <v>1.6186096310193799E+19</v>
      </c>
    </row>
    <row r="74" spans="1:11" x14ac:dyDescent="0.3">
      <c r="C74" s="41" t="b">
        <v>0</v>
      </c>
      <c r="D74" s="42" t="s">
        <v>57</v>
      </c>
      <c r="E74" s="42" t="s">
        <v>61</v>
      </c>
      <c r="F74" s="42">
        <v>39.5</v>
      </c>
      <c r="G74" s="42">
        <v>17.399999999999999</v>
      </c>
      <c r="H74" s="42">
        <v>186</v>
      </c>
      <c r="I74" s="42">
        <v>3800</v>
      </c>
      <c r="J74" s="42" t="s">
        <v>62</v>
      </c>
      <c r="K74" s="113">
        <v>9.2924088592629002E+18</v>
      </c>
    </row>
    <row r="75" spans="1:11" x14ac:dyDescent="0.3">
      <c r="C75" s="41" t="b">
        <v>0</v>
      </c>
      <c r="D75" s="42" t="s">
        <v>57</v>
      </c>
      <c r="E75" s="42" t="s">
        <v>61</v>
      </c>
      <c r="F75" s="42">
        <v>40.299999999999997</v>
      </c>
      <c r="G75" s="42">
        <v>18</v>
      </c>
      <c r="H75" s="42">
        <v>195</v>
      </c>
      <c r="I75" s="42">
        <v>3250</v>
      </c>
      <c r="J75" s="42" t="s">
        <v>62</v>
      </c>
      <c r="K75" s="113">
        <v>6.2675937365842903E+18</v>
      </c>
    </row>
    <row r="76" spans="1:11" x14ac:dyDescent="0.3">
      <c r="C76" s="41" t="b">
        <v>0</v>
      </c>
      <c r="D76" s="42" t="s">
        <v>57</v>
      </c>
      <c r="E76" s="42" t="s">
        <v>61</v>
      </c>
      <c r="F76" s="42"/>
      <c r="G76" s="42"/>
      <c r="H76" s="42"/>
      <c r="I76" s="42"/>
      <c r="J76" s="42"/>
      <c r="K76" s="113">
        <v>1.4841797376848699E+19</v>
      </c>
    </row>
    <row r="77" spans="1:11" x14ac:dyDescent="0.3">
      <c r="C77" s="41" t="b">
        <v>0</v>
      </c>
      <c r="D77" s="42" t="s">
        <v>57</v>
      </c>
      <c r="E77" s="42" t="s">
        <v>61</v>
      </c>
      <c r="F77" s="42">
        <v>36.700000000000003</v>
      </c>
      <c r="G77" s="42">
        <v>19.3</v>
      </c>
      <c r="H77" s="42">
        <v>193</v>
      </c>
      <c r="I77" s="42">
        <v>3450</v>
      </c>
      <c r="J77" s="42" t="s">
        <v>62</v>
      </c>
      <c r="K77" s="113">
        <v>7.4478623497093396E+18</v>
      </c>
    </row>
    <row r="78" spans="1:11" x14ac:dyDescent="0.3">
      <c r="C78" s="41" t="b">
        <v>0</v>
      </c>
      <c r="D78" s="42" t="s">
        <v>57</v>
      </c>
      <c r="E78" s="42" t="s">
        <v>61</v>
      </c>
      <c r="F78" s="42">
        <v>39.299999999999997</v>
      </c>
      <c r="G78" s="42">
        <v>20.6</v>
      </c>
      <c r="H78" s="42">
        <v>190</v>
      </c>
      <c r="I78" s="42">
        <v>3650</v>
      </c>
      <c r="J78" s="42" t="s">
        <v>60</v>
      </c>
      <c r="K78" s="113">
        <v>1.09228206613905E+19</v>
      </c>
    </row>
    <row r="79" spans="1:11" x14ac:dyDescent="0.3">
      <c r="C79" s="41" t="b">
        <v>0</v>
      </c>
      <c r="D79" s="42" t="s">
        <v>57</v>
      </c>
      <c r="E79" s="42" t="s">
        <v>61</v>
      </c>
      <c r="F79" s="42">
        <v>38.9</v>
      </c>
      <c r="G79" s="42">
        <v>17.8</v>
      </c>
      <c r="H79" s="42">
        <v>181</v>
      </c>
      <c r="I79" s="42">
        <v>3625</v>
      </c>
      <c r="J79" s="42" t="s">
        <v>62</v>
      </c>
      <c r="K79" s="113">
        <v>1.6874516646070999E+19</v>
      </c>
    </row>
    <row r="80" spans="1:11" x14ac:dyDescent="0.3">
      <c r="C80" s="41" t="b">
        <v>0</v>
      </c>
      <c r="D80" s="42" t="s">
        <v>57</v>
      </c>
      <c r="E80" s="42" t="s">
        <v>61</v>
      </c>
      <c r="F80" s="42">
        <v>39.200000000000003</v>
      </c>
      <c r="G80" s="42">
        <v>19.600000000000001</v>
      </c>
      <c r="H80" s="42">
        <v>195</v>
      </c>
      <c r="I80" s="42">
        <v>4675</v>
      </c>
      <c r="J80" s="42" t="s">
        <v>60</v>
      </c>
      <c r="K80" s="113">
        <v>7.6509501440662497E+18</v>
      </c>
    </row>
    <row r="81" spans="3:11" x14ac:dyDescent="0.3">
      <c r="C81" s="41" t="b">
        <v>0</v>
      </c>
      <c r="D81" s="42" t="s">
        <v>57</v>
      </c>
      <c r="E81" s="42" t="s">
        <v>61</v>
      </c>
      <c r="F81" s="42">
        <v>34.1</v>
      </c>
      <c r="G81" s="42">
        <v>18.100000000000001</v>
      </c>
      <c r="H81" s="42">
        <v>193</v>
      </c>
      <c r="I81" s="42">
        <v>3475</v>
      </c>
      <c r="J81" s="42"/>
      <c r="K81" s="113">
        <v>9.1938904766213601E+18</v>
      </c>
    </row>
    <row r="82" spans="3:11" x14ac:dyDescent="0.3">
      <c r="C82" s="41" t="b">
        <v>0</v>
      </c>
      <c r="D82" s="42" t="s">
        <v>57</v>
      </c>
      <c r="E82" s="42" t="s">
        <v>61</v>
      </c>
      <c r="F82" s="42">
        <v>42</v>
      </c>
      <c r="G82" s="42">
        <v>20.2</v>
      </c>
      <c r="H82" s="42">
        <v>190</v>
      </c>
      <c r="I82" s="42">
        <v>4250</v>
      </c>
      <c r="J82" s="42"/>
      <c r="K82" s="113">
        <v>2.46549011225848E+17</v>
      </c>
    </row>
    <row r="83" spans="3:11" x14ac:dyDescent="0.3">
      <c r="C83" s="41" t="b">
        <v>0</v>
      </c>
      <c r="D83" s="42" t="s">
        <v>57</v>
      </c>
      <c r="E83" s="42" t="s">
        <v>61</v>
      </c>
      <c r="F83" s="42">
        <v>37.799999999999997</v>
      </c>
      <c r="G83" s="42">
        <v>17.100000000000001</v>
      </c>
      <c r="H83" s="42">
        <v>186</v>
      </c>
      <c r="I83" s="42">
        <v>3300</v>
      </c>
      <c r="J83" s="42"/>
      <c r="K83" s="113">
        <v>3.4948733316447099E+18</v>
      </c>
    </row>
    <row r="84" spans="3:11" x14ac:dyDescent="0.3">
      <c r="C84" s="41" t="b">
        <v>0</v>
      </c>
      <c r="D84" s="42" t="s">
        <v>57</v>
      </c>
      <c r="E84" s="42" t="s">
        <v>61</v>
      </c>
      <c r="F84" s="42">
        <v>37.799999999999997</v>
      </c>
      <c r="G84" s="42">
        <v>17.3</v>
      </c>
      <c r="H84" s="42">
        <v>180</v>
      </c>
      <c r="I84" s="42">
        <v>3700</v>
      </c>
      <c r="J84" s="42"/>
      <c r="K84" s="113">
        <v>4.0658514070200801E+18</v>
      </c>
    </row>
    <row r="85" spans="3:11" x14ac:dyDescent="0.3">
      <c r="C85" s="41" t="b">
        <v>0</v>
      </c>
      <c r="D85" s="42" t="s">
        <v>57</v>
      </c>
      <c r="E85" s="42" t="s">
        <v>61</v>
      </c>
      <c r="F85" s="42">
        <v>41.1</v>
      </c>
      <c r="G85" s="42">
        <v>17.600000000000001</v>
      </c>
      <c r="H85" s="42">
        <v>182</v>
      </c>
      <c r="I85" s="42">
        <v>3200</v>
      </c>
      <c r="J85" s="42" t="s">
        <v>62</v>
      </c>
      <c r="K85" s="113">
        <v>1.5646254221719099E+18</v>
      </c>
    </row>
    <row r="86" spans="3:11" x14ac:dyDescent="0.3">
      <c r="C86" s="41" t="b">
        <v>0</v>
      </c>
      <c r="D86" s="42" t="s">
        <v>57</v>
      </c>
      <c r="E86" s="42" t="s">
        <v>61</v>
      </c>
      <c r="F86" s="42">
        <v>38.6</v>
      </c>
      <c r="G86" s="42">
        <v>21.2</v>
      </c>
      <c r="H86" s="42">
        <v>191</v>
      </c>
      <c r="I86" s="42">
        <v>3800</v>
      </c>
      <c r="J86" s="42" t="s">
        <v>60</v>
      </c>
      <c r="K86" s="113">
        <v>1.6442948505118599E+19</v>
      </c>
    </row>
    <row r="87" spans="3:11" x14ac:dyDescent="0.3">
      <c r="C87" s="41" t="b">
        <v>0</v>
      </c>
      <c r="D87" s="42" t="s">
        <v>57</v>
      </c>
      <c r="E87" s="42" t="s">
        <v>61</v>
      </c>
      <c r="F87" s="42">
        <v>34.6</v>
      </c>
      <c r="G87" s="42">
        <v>21.1</v>
      </c>
      <c r="H87" s="42">
        <v>198</v>
      </c>
      <c r="I87" s="42">
        <v>4400</v>
      </c>
      <c r="J87" s="42" t="s">
        <v>60</v>
      </c>
      <c r="K87" s="113">
        <v>5.6706815995860101E+18</v>
      </c>
    </row>
    <row r="88" spans="3:11" x14ac:dyDescent="0.3">
      <c r="C88" s="41" t="b">
        <v>0</v>
      </c>
      <c r="D88" s="42" t="s">
        <v>57</v>
      </c>
      <c r="E88" s="42" t="s">
        <v>61</v>
      </c>
      <c r="F88" s="42">
        <v>36.6</v>
      </c>
      <c r="G88" s="42">
        <v>17.8</v>
      </c>
      <c r="H88" s="42">
        <v>185</v>
      </c>
      <c r="I88" s="42">
        <v>3700</v>
      </c>
      <c r="J88" s="42" t="s">
        <v>62</v>
      </c>
      <c r="K88" s="113">
        <v>3.8509565466709898E+18</v>
      </c>
    </row>
    <row r="89" spans="3:11" x14ac:dyDescent="0.3">
      <c r="C89" s="41" t="b">
        <v>0</v>
      </c>
      <c r="D89" s="42" t="s">
        <v>57</v>
      </c>
      <c r="E89" s="42" t="s">
        <v>61</v>
      </c>
      <c r="F89" s="42">
        <v>38.700000000000003</v>
      </c>
      <c r="G89" s="42">
        <v>19</v>
      </c>
      <c r="H89" s="42">
        <v>195</v>
      </c>
      <c r="I89" s="42">
        <v>3450</v>
      </c>
      <c r="J89" s="42" t="s">
        <v>62</v>
      </c>
      <c r="K89" s="113">
        <v>1.4587715536372601E+19</v>
      </c>
    </row>
    <row r="90" spans="3:11" x14ac:dyDescent="0.3">
      <c r="C90" s="41" t="b">
        <v>0</v>
      </c>
      <c r="D90" s="42" t="s">
        <v>57</v>
      </c>
      <c r="E90" s="42" t="s">
        <v>61</v>
      </c>
      <c r="F90" s="42">
        <v>42.5</v>
      </c>
      <c r="G90" s="42">
        <v>20.7</v>
      </c>
      <c r="H90" s="42">
        <v>197</v>
      </c>
      <c r="I90" s="42">
        <v>4500</v>
      </c>
      <c r="J90" s="42" t="s">
        <v>60</v>
      </c>
      <c r="K90" s="113">
        <v>9.1314440026420603E+18</v>
      </c>
    </row>
    <row r="91" spans="3:11" x14ac:dyDescent="0.3">
      <c r="C91" s="41" t="b">
        <v>0</v>
      </c>
      <c r="D91" s="42" t="s">
        <v>57</v>
      </c>
      <c r="E91" s="42" t="s">
        <v>61</v>
      </c>
      <c r="F91" s="42">
        <v>34.4</v>
      </c>
      <c r="G91" s="42">
        <v>18.399999999999999</v>
      </c>
      <c r="H91" s="42">
        <v>184</v>
      </c>
      <c r="I91" s="42">
        <v>3325</v>
      </c>
      <c r="J91" s="42" t="s">
        <v>62</v>
      </c>
      <c r="K91" s="113">
        <v>1.6505248049453799E+19</v>
      </c>
    </row>
    <row r="92" spans="3:11" x14ac:dyDescent="0.3">
      <c r="C92" s="41" t="b">
        <v>0</v>
      </c>
      <c r="D92" s="42" t="s">
        <v>57</v>
      </c>
      <c r="E92" s="42" t="s">
        <v>61</v>
      </c>
      <c r="F92" s="42">
        <v>46</v>
      </c>
      <c r="G92" s="42">
        <v>21.5</v>
      </c>
      <c r="H92" s="42">
        <v>194</v>
      </c>
      <c r="I92" s="42">
        <v>4200</v>
      </c>
      <c r="J92" s="42" t="s">
        <v>60</v>
      </c>
      <c r="K92" s="113">
        <v>7.8266960441337201E+18</v>
      </c>
    </row>
    <row r="93" spans="3:11" x14ac:dyDescent="0.3">
      <c r="C93" s="41" t="b">
        <v>0</v>
      </c>
      <c r="D93" s="42" t="s">
        <v>57</v>
      </c>
      <c r="E93" s="42" t="s">
        <v>58</v>
      </c>
      <c r="F93" s="42">
        <v>37.799999999999997</v>
      </c>
      <c r="G93" s="42">
        <v>18.3</v>
      </c>
      <c r="H93" s="42">
        <v>174</v>
      </c>
      <c r="I93" s="42">
        <v>3400</v>
      </c>
      <c r="J93" s="42" t="s">
        <v>62</v>
      </c>
      <c r="K93" s="113">
        <v>4.8747988307126999E+18</v>
      </c>
    </row>
    <row r="94" spans="3:11" x14ac:dyDescent="0.3">
      <c r="C94" s="41" t="b">
        <v>0</v>
      </c>
      <c r="D94" s="42" t="s">
        <v>57</v>
      </c>
      <c r="E94" s="42" t="s">
        <v>58</v>
      </c>
      <c r="F94" s="42">
        <v>37.700000000000003</v>
      </c>
      <c r="G94" s="42">
        <v>18.7</v>
      </c>
      <c r="H94" s="42">
        <v>180</v>
      </c>
      <c r="I94" s="42">
        <v>3600</v>
      </c>
      <c r="J94" s="42" t="s">
        <v>60</v>
      </c>
      <c r="K94" s="113">
        <v>6.8755478295780495E+18</v>
      </c>
    </row>
    <row r="95" spans="3:11" x14ac:dyDescent="0.3">
      <c r="C95" s="41" t="b">
        <v>0</v>
      </c>
      <c r="D95" s="42" t="s">
        <v>57</v>
      </c>
      <c r="E95" s="42" t="s">
        <v>58</v>
      </c>
      <c r="F95" s="42">
        <v>35.9</v>
      </c>
      <c r="G95" s="42">
        <v>19.2</v>
      </c>
      <c r="H95" s="42">
        <v>189</v>
      </c>
      <c r="I95" s="42">
        <v>3800</v>
      </c>
      <c r="J95" s="42" t="s">
        <v>62</v>
      </c>
      <c r="K95" s="113">
        <v>5.3262577586316196E+18</v>
      </c>
    </row>
    <row r="96" spans="3:11" x14ac:dyDescent="0.3">
      <c r="C96" s="41" t="b">
        <v>0</v>
      </c>
      <c r="D96" s="42" t="s">
        <v>57</v>
      </c>
      <c r="E96" s="42" t="s">
        <v>58</v>
      </c>
      <c r="F96" s="42">
        <v>38.200000000000003</v>
      </c>
      <c r="G96" s="42">
        <v>18.100000000000001</v>
      </c>
      <c r="H96" s="42">
        <v>185</v>
      </c>
      <c r="I96" s="42">
        <v>3950</v>
      </c>
      <c r="J96" s="42" t="s">
        <v>60</v>
      </c>
      <c r="K96" s="113">
        <v>1.36433064458938E+19</v>
      </c>
    </row>
    <row r="97" spans="3:11" x14ac:dyDescent="0.3">
      <c r="C97" s="41" t="b">
        <v>0</v>
      </c>
      <c r="D97" s="42" t="s">
        <v>57</v>
      </c>
      <c r="E97" s="42" t="s">
        <v>58</v>
      </c>
      <c r="F97" s="42">
        <v>38.799999999999997</v>
      </c>
      <c r="G97" s="42">
        <v>17.2</v>
      </c>
      <c r="H97" s="42">
        <v>180</v>
      </c>
      <c r="I97" s="42">
        <v>3800</v>
      </c>
      <c r="J97" s="42" t="s">
        <v>60</v>
      </c>
      <c r="K97" s="113">
        <v>1.08673603699561E+19</v>
      </c>
    </row>
    <row r="98" spans="3:11" x14ac:dyDescent="0.3">
      <c r="C98" s="41" t="b">
        <v>0</v>
      </c>
      <c r="D98" s="42" t="s">
        <v>57</v>
      </c>
      <c r="E98" s="42" t="s">
        <v>58</v>
      </c>
      <c r="F98" s="42">
        <v>35.299999999999997</v>
      </c>
      <c r="G98" s="42">
        <v>18.899999999999999</v>
      </c>
      <c r="H98" s="42">
        <v>187</v>
      </c>
      <c r="I98" s="42">
        <v>3800</v>
      </c>
      <c r="J98" s="42" t="s">
        <v>62</v>
      </c>
      <c r="K98" s="113">
        <v>6.0642495394478295E+18</v>
      </c>
    </row>
    <row r="99" spans="3:11" x14ac:dyDescent="0.3">
      <c r="C99" s="41" t="b">
        <v>0</v>
      </c>
      <c r="D99" s="42" t="s">
        <v>57</v>
      </c>
      <c r="E99" s="42" t="s">
        <v>58</v>
      </c>
      <c r="F99" s="42">
        <v>40.6</v>
      </c>
      <c r="G99" s="42">
        <v>18.600000000000001</v>
      </c>
      <c r="H99" s="42">
        <v>183</v>
      </c>
      <c r="I99" s="42">
        <v>3550</v>
      </c>
      <c r="J99" s="42" t="s">
        <v>60</v>
      </c>
      <c r="K99" s="113">
        <v>3.5574474458230902E+18</v>
      </c>
    </row>
    <row r="100" spans="3:11" x14ac:dyDescent="0.3">
      <c r="C100" s="41" t="b">
        <v>0</v>
      </c>
      <c r="D100" s="42" t="s">
        <v>57</v>
      </c>
      <c r="E100" s="42" t="s">
        <v>58</v>
      </c>
      <c r="F100" s="42">
        <v>40.5</v>
      </c>
      <c r="G100" s="42">
        <v>17.899999999999999</v>
      </c>
      <c r="H100" s="42">
        <v>187</v>
      </c>
      <c r="I100" s="42">
        <v>3200</v>
      </c>
      <c r="J100" s="42" t="s">
        <v>62</v>
      </c>
      <c r="K100" s="113">
        <v>1.62029658976559E+19</v>
      </c>
    </row>
    <row r="101" spans="3:11" x14ac:dyDescent="0.3">
      <c r="C101" s="41" t="b">
        <v>0</v>
      </c>
      <c r="D101" s="42" t="s">
        <v>57</v>
      </c>
      <c r="E101" s="42" t="s">
        <v>58</v>
      </c>
      <c r="F101" s="42">
        <v>37.9</v>
      </c>
      <c r="G101" s="42">
        <v>18.600000000000001</v>
      </c>
      <c r="H101" s="42">
        <v>172</v>
      </c>
      <c r="I101" s="42">
        <v>3150</v>
      </c>
      <c r="J101" s="42" t="s">
        <v>62</v>
      </c>
      <c r="K101" s="113">
        <v>8.8994928053025597E+18</v>
      </c>
    </row>
    <row r="102" spans="3:11" x14ac:dyDescent="0.3">
      <c r="C102" s="41" t="b">
        <v>0</v>
      </c>
      <c r="D102" s="42" t="s">
        <v>57</v>
      </c>
      <c r="E102" s="42" t="s">
        <v>58</v>
      </c>
      <c r="F102" s="42">
        <v>40.5</v>
      </c>
      <c r="G102" s="42">
        <v>18.899999999999999</v>
      </c>
      <c r="H102" s="42">
        <v>180</v>
      </c>
      <c r="I102" s="42">
        <v>3950</v>
      </c>
      <c r="J102" s="42" t="s">
        <v>60</v>
      </c>
      <c r="K102" s="113">
        <v>9.1060670782122598E+18</v>
      </c>
    </row>
    <row r="103" spans="3:11" x14ac:dyDescent="0.3">
      <c r="C103" s="41" t="b">
        <v>0</v>
      </c>
      <c r="D103" s="42" t="s">
        <v>57</v>
      </c>
      <c r="E103" s="42" t="s">
        <v>63</v>
      </c>
      <c r="F103" s="42">
        <v>39.5</v>
      </c>
      <c r="G103" s="42">
        <v>16.7</v>
      </c>
      <c r="H103" s="42">
        <v>178</v>
      </c>
      <c r="I103" s="42">
        <v>3250</v>
      </c>
      <c r="J103" s="42" t="s">
        <v>62</v>
      </c>
      <c r="K103" s="113">
        <v>1.2001724294153099E+19</v>
      </c>
    </row>
    <row r="104" spans="3:11" x14ac:dyDescent="0.3">
      <c r="C104" s="41" t="b">
        <v>0</v>
      </c>
      <c r="D104" s="42" t="s">
        <v>57</v>
      </c>
      <c r="E104" s="42" t="s">
        <v>63</v>
      </c>
      <c r="F104" s="42">
        <v>37.200000000000003</v>
      </c>
      <c r="G104" s="42">
        <v>18.100000000000001</v>
      </c>
      <c r="H104" s="42">
        <v>178</v>
      </c>
      <c r="I104" s="42">
        <v>3900</v>
      </c>
      <c r="J104" s="42" t="s">
        <v>60</v>
      </c>
      <c r="K104" s="113">
        <v>1.12403143267897E+19</v>
      </c>
    </row>
    <row r="105" spans="3:11" x14ac:dyDescent="0.3">
      <c r="C105" s="41" t="b">
        <v>0</v>
      </c>
      <c r="D105" s="42" t="s">
        <v>57</v>
      </c>
      <c r="E105" s="42" t="s">
        <v>63</v>
      </c>
      <c r="F105" s="42">
        <v>39.5</v>
      </c>
      <c r="G105" s="42">
        <v>17.8</v>
      </c>
      <c r="H105" s="42">
        <v>188</v>
      </c>
      <c r="I105" s="42">
        <v>3300</v>
      </c>
      <c r="J105" s="42" t="s">
        <v>62</v>
      </c>
      <c r="K105" s="113">
        <v>1.4707472347087301E+19</v>
      </c>
    </row>
    <row r="106" spans="3:11" x14ac:dyDescent="0.3">
      <c r="C106" s="41" t="b">
        <v>0</v>
      </c>
      <c r="D106" s="42" t="s">
        <v>57</v>
      </c>
      <c r="E106" s="42" t="s">
        <v>63</v>
      </c>
      <c r="F106" s="42">
        <v>40.9</v>
      </c>
      <c r="G106" s="42">
        <v>18.899999999999999</v>
      </c>
      <c r="H106" s="42">
        <v>184</v>
      </c>
      <c r="I106" s="42">
        <v>3900</v>
      </c>
      <c r="J106" s="42" t="s">
        <v>60</v>
      </c>
      <c r="K106" s="113">
        <v>7.1217011568000502E+18</v>
      </c>
    </row>
    <row r="107" spans="3:11" x14ac:dyDescent="0.3">
      <c r="C107" s="41" t="b">
        <v>0</v>
      </c>
      <c r="D107" s="42" t="s">
        <v>57</v>
      </c>
      <c r="E107" s="42" t="s">
        <v>63</v>
      </c>
      <c r="F107" s="42">
        <v>36.4</v>
      </c>
      <c r="G107" s="42">
        <v>17</v>
      </c>
      <c r="H107" s="42">
        <v>195</v>
      </c>
      <c r="I107" s="42">
        <v>3325</v>
      </c>
      <c r="J107" s="42" t="s">
        <v>62</v>
      </c>
      <c r="K107" s="113">
        <v>1.28339836777477E+19</v>
      </c>
    </row>
    <row r="108" spans="3:11" x14ac:dyDescent="0.3">
      <c r="C108" s="41" t="b">
        <v>0</v>
      </c>
      <c r="D108" s="42" t="s">
        <v>57</v>
      </c>
      <c r="E108" s="42" t="s">
        <v>63</v>
      </c>
      <c r="F108" s="42">
        <v>39.200000000000003</v>
      </c>
      <c r="G108" s="42">
        <v>21.1</v>
      </c>
      <c r="H108" s="42">
        <v>196</v>
      </c>
      <c r="I108" s="42">
        <v>4150</v>
      </c>
      <c r="J108" s="42" t="s">
        <v>60</v>
      </c>
      <c r="K108" s="113">
        <v>1.5902591767965301E+19</v>
      </c>
    </row>
    <row r="109" spans="3:11" x14ac:dyDescent="0.3">
      <c r="C109" s="41" t="b">
        <v>0</v>
      </c>
      <c r="D109" s="42" t="s">
        <v>57</v>
      </c>
      <c r="E109" s="42" t="s">
        <v>63</v>
      </c>
      <c r="F109" s="42">
        <v>38.799999999999997</v>
      </c>
      <c r="G109" s="42">
        <v>20</v>
      </c>
      <c r="H109" s="42">
        <v>190</v>
      </c>
      <c r="I109" s="42">
        <v>3950</v>
      </c>
      <c r="J109" s="42" t="s">
        <v>60</v>
      </c>
      <c r="K109" s="113">
        <v>1.5055513482651699E+19</v>
      </c>
    </row>
    <row r="110" spans="3:11" x14ac:dyDescent="0.3">
      <c r="C110" s="41" t="b">
        <v>0</v>
      </c>
      <c r="D110" s="42" t="s">
        <v>57</v>
      </c>
      <c r="E110" s="42" t="s">
        <v>63</v>
      </c>
      <c r="F110" s="42">
        <v>42.2</v>
      </c>
      <c r="G110" s="42">
        <v>18.5</v>
      </c>
      <c r="H110" s="42">
        <v>180</v>
      </c>
      <c r="I110" s="42">
        <v>3550</v>
      </c>
      <c r="J110" s="42" t="s">
        <v>62</v>
      </c>
      <c r="K110" s="113">
        <v>1.4561214578120499E+19</v>
      </c>
    </row>
    <row r="111" spans="3:11" x14ac:dyDescent="0.3">
      <c r="C111" s="41" t="b">
        <v>0</v>
      </c>
      <c r="D111" s="42" t="s">
        <v>57</v>
      </c>
      <c r="E111" s="42" t="s">
        <v>63</v>
      </c>
      <c r="F111" s="42">
        <v>37.6</v>
      </c>
      <c r="G111" s="42">
        <v>19.3</v>
      </c>
      <c r="H111" s="42">
        <v>181</v>
      </c>
      <c r="I111" s="42">
        <v>3300</v>
      </c>
      <c r="J111" s="42" t="s">
        <v>62</v>
      </c>
      <c r="K111" s="113">
        <v>8.5127779581062502E+18</v>
      </c>
    </row>
    <row r="112" spans="3:11" x14ac:dyDescent="0.3">
      <c r="C112" s="41" t="b">
        <v>0</v>
      </c>
      <c r="D112" s="42" t="s">
        <v>57</v>
      </c>
      <c r="E112" s="42" t="s">
        <v>63</v>
      </c>
      <c r="F112" s="42">
        <v>39.799999999999997</v>
      </c>
      <c r="G112" s="42">
        <v>19.100000000000001</v>
      </c>
      <c r="H112" s="42">
        <v>184</v>
      </c>
      <c r="I112" s="42">
        <v>4650</v>
      </c>
      <c r="J112" s="42" t="s">
        <v>60</v>
      </c>
      <c r="K112" s="113">
        <v>3.70179911197777E+18</v>
      </c>
    </row>
    <row r="113" spans="3:11" x14ac:dyDescent="0.3">
      <c r="C113" s="41" t="b">
        <v>0</v>
      </c>
      <c r="D113" s="42" t="s">
        <v>57</v>
      </c>
      <c r="E113" s="42" t="s">
        <v>63</v>
      </c>
      <c r="F113" s="42">
        <v>36.5</v>
      </c>
      <c r="G113" s="42">
        <v>18</v>
      </c>
      <c r="H113" s="42">
        <v>182</v>
      </c>
      <c r="I113" s="42">
        <v>3150</v>
      </c>
      <c r="J113" s="42" t="s">
        <v>62</v>
      </c>
      <c r="K113" s="113">
        <v>1.5856665482536901E+19</v>
      </c>
    </row>
    <row r="114" spans="3:11" x14ac:dyDescent="0.3">
      <c r="C114" s="41" t="b">
        <v>0</v>
      </c>
      <c r="D114" s="42" t="s">
        <v>57</v>
      </c>
      <c r="E114" s="42" t="s">
        <v>63</v>
      </c>
      <c r="F114" s="42">
        <v>40.799999999999997</v>
      </c>
      <c r="G114" s="42">
        <v>18.399999999999999</v>
      </c>
      <c r="H114" s="42">
        <v>195</v>
      </c>
      <c r="I114" s="42">
        <v>3900</v>
      </c>
      <c r="J114" s="42" t="s">
        <v>60</v>
      </c>
      <c r="K114" s="113">
        <v>6.1443683099744297E+18</v>
      </c>
    </row>
    <row r="115" spans="3:11" x14ac:dyDescent="0.3">
      <c r="C115" s="41" t="b">
        <v>0</v>
      </c>
      <c r="D115" s="42" t="s">
        <v>57</v>
      </c>
      <c r="E115" s="42" t="s">
        <v>63</v>
      </c>
      <c r="F115" s="42">
        <v>36</v>
      </c>
      <c r="G115" s="42">
        <v>18.5</v>
      </c>
      <c r="H115" s="42">
        <v>186</v>
      </c>
      <c r="I115" s="42">
        <v>3100</v>
      </c>
      <c r="J115" s="42" t="s">
        <v>62</v>
      </c>
      <c r="K115" s="113">
        <v>1.5607680476291199E+19</v>
      </c>
    </row>
    <row r="116" spans="3:11" x14ac:dyDescent="0.3">
      <c r="C116" s="41" t="b">
        <v>0</v>
      </c>
      <c r="D116" s="42" t="s">
        <v>57</v>
      </c>
      <c r="E116" s="42" t="s">
        <v>63</v>
      </c>
      <c r="F116" s="42">
        <v>44.1</v>
      </c>
      <c r="G116" s="42">
        <v>19.7</v>
      </c>
      <c r="H116" s="42">
        <v>196</v>
      </c>
      <c r="I116" s="42">
        <v>4400</v>
      </c>
      <c r="J116" s="42" t="s">
        <v>60</v>
      </c>
      <c r="K116" s="113">
        <v>5.1042442404983296E+18</v>
      </c>
    </row>
    <row r="117" spans="3:11" x14ac:dyDescent="0.3">
      <c r="C117" s="41" t="b">
        <v>0</v>
      </c>
      <c r="D117" s="42" t="s">
        <v>57</v>
      </c>
      <c r="E117" s="42" t="s">
        <v>63</v>
      </c>
      <c r="F117" s="42">
        <v>37</v>
      </c>
      <c r="G117" s="42">
        <v>16.899999999999999</v>
      </c>
      <c r="H117" s="42">
        <v>185</v>
      </c>
      <c r="I117" s="42">
        <v>3000</v>
      </c>
      <c r="J117" s="42" t="s">
        <v>62</v>
      </c>
      <c r="K117" s="113">
        <v>1.1406675055963199E+19</v>
      </c>
    </row>
    <row r="118" spans="3:11" x14ac:dyDescent="0.3">
      <c r="C118" s="41" t="b">
        <v>0</v>
      </c>
      <c r="D118" s="42" t="s">
        <v>57</v>
      </c>
      <c r="E118" s="42" t="s">
        <v>63</v>
      </c>
      <c r="F118" s="42">
        <v>39.6</v>
      </c>
      <c r="G118" s="42">
        <v>18.8</v>
      </c>
      <c r="H118" s="42">
        <v>190</v>
      </c>
      <c r="I118" s="42">
        <v>4600</v>
      </c>
      <c r="J118" s="42" t="s">
        <v>60</v>
      </c>
      <c r="K118" s="113">
        <v>1.3629625339849001E+19</v>
      </c>
    </row>
    <row r="119" spans="3:11" x14ac:dyDescent="0.3">
      <c r="C119" s="41" t="b">
        <v>0</v>
      </c>
      <c r="D119" s="42" t="s">
        <v>57</v>
      </c>
      <c r="E119" s="42" t="s">
        <v>63</v>
      </c>
      <c r="F119" s="42">
        <v>41.1</v>
      </c>
      <c r="G119" s="42">
        <v>19</v>
      </c>
      <c r="H119" s="42">
        <v>182</v>
      </c>
      <c r="I119" s="42">
        <v>3425</v>
      </c>
      <c r="J119" s="42" t="s">
        <v>60</v>
      </c>
      <c r="K119" s="113">
        <v>4.8981879363079404E+18</v>
      </c>
    </row>
    <row r="120" spans="3:11" x14ac:dyDescent="0.3">
      <c r="C120" s="41" t="b">
        <v>0</v>
      </c>
      <c r="D120" s="42" t="s">
        <v>57</v>
      </c>
      <c r="E120" s="42" t="s">
        <v>63</v>
      </c>
      <c r="F120" s="42">
        <v>37.5</v>
      </c>
      <c r="G120" s="42">
        <v>18.899999999999999</v>
      </c>
      <c r="H120" s="42">
        <v>179</v>
      </c>
      <c r="I120" s="42">
        <v>2975</v>
      </c>
      <c r="J120" s="42"/>
      <c r="K120" s="113">
        <v>1.06129492934412E+19</v>
      </c>
    </row>
    <row r="121" spans="3:11" x14ac:dyDescent="0.3">
      <c r="C121" s="41" t="b">
        <v>0</v>
      </c>
      <c r="D121" s="42" t="s">
        <v>57</v>
      </c>
      <c r="E121" s="42" t="s">
        <v>63</v>
      </c>
      <c r="F121" s="42">
        <v>36</v>
      </c>
      <c r="G121" s="42">
        <v>17.899999999999999</v>
      </c>
      <c r="H121" s="42">
        <v>190</v>
      </c>
      <c r="I121" s="42">
        <v>3450</v>
      </c>
      <c r="J121" s="42" t="s">
        <v>62</v>
      </c>
      <c r="K121" s="113">
        <v>9.1366967295397304E+18</v>
      </c>
    </row>
    <row r="122" spans="3:11" x14ac:dyDescent="0.3">
      <c r="C122" s="41" t="b">
        <v>0</v>
      </c>
      <c r="D122" s="42" t="s">
        <v>57</v>
      </c>
      <c r="E122" s="42" t="s">
        <v>63</v>
      </c>
      <c r="F122" s="42">
        <v>42.3</v>
      </c>
      <c r="G122" s="42">
        <v>21.2</v>
      </c>
      <c r="H122" s="42">
        <v>191</v>
      </c>
      <c r="I122" s="42">
        <v>4150</v>
      </c>
      <c r="J122" s="42" t="s">
        <v>60</v>
      </c>
      <c r="K122" s="113">
        <v>3.39194365303522E+18</v>
      </c>
    </row>
    <row r="123" spans="3:11" x14ac:dyDescent="0.3">
      <c r="C123" s="41" t="b">
        <v>0</v>
      </c>
      <c r="D123" s="42" t="s">
        <v>57</v>
      </c>
      <c r="E123" s="42" t="s">
        <v>58</v>
      </c>
      <c r="F123" s="42">
        <v>39.6</v>
      </c>
      <c r="G123" s="42">
        <v>17.7</v>
      </c>
      <c r="H123" s="42">
        <v>186</v>
      </c>
      <c r="I123" s="42">
        <v>3500</v>
      </c>
      <c r="J123" s="42" t="s">
        <v>62</v>
      </c>
      <c r="K123" s="113">
        <v>1.0080135466286201E+19</v>
      </c>
    </row>
    <row r="124" spans="3:11" x14ac:dyDescent="0.3">
      <c r="C124" s="41" t="b">
        <v>0</v>
      </c>
      <c r="D124" s="42" t="s">
        <v>57</v>
      </c>
      <c r="E124" s="42" t="s">
        <v>58</v>
      </c>
      <c r="F124" s="42">
        <v>40.1</v>
      </c>
      <c r="G124" s="42">
        <v>18.899999999999999</v>
      </c>
      <c r="H124" s="42">
        <v>188</v>
      </c>
      <c r="I124" s="42">
        <v>4300</v>
      </c>
      <c r="J124" s="42" t="s">
        <v>60</v>
      </c>
      <c r="K124" s="113">
        <v>4.30722584248354E+18</v>
      </c>
    </row>
    <row r="125" spans="3:11" x14ac:dyDescent="0.3">
      <c r="C125" s="41" t="b">
        <v>0</v>
      </c>
      <c r="D125" s="42" t="s">
        <v>57</v>
      </c>
      <c r="E125" s="42" t="s">
        <v>58</v>
      </c>
      <c r="F125" s="42">
        <v>35</v>
      </c>
      <c r="G125" s="42">
        <v>17.899999999999999</v>
      </c>
      <c r="H125" s="42">
        <v>190</v>
      </c>
      <c r="I125" s="42">
        <v>3450</v>
      </c>
      <c r="J125" s="42" t="s">
        <v>62</v>
      </c>
      <c r="K125" s="113">
        <v>8.8104216989181696E+18</v>
      </c>
    </row>
    <row r="126" spans="3:11" x14ac:dyDescent="0.3">
      <c r="C126" s="41" t="b">
        <v>0</v>
      </c>
      <c r="D126" s="42" t="s">
        <v>57</v>
      </c>
      <c r="E126" s="42" t="s">
        <v>58</v>
      </c>
      <c r="F126" s="42">
        <v>42</v>
      </c>
      <c r="G126" s="42">
        <v>19.5</v>
      </c>
      <c r="H126" s="42">
        <v>200</v>
      </c>
      <c r="I126" s="42">
        <v>4050</v>
      </c>
      <c r="J126" s="42" t="s">
        <v>60</v>
      </c>
      <c r="K126" s="113">
        <v>2.9190821972433802E+18</v>
      </c>
    </row>
    <row r="127" spans="3:11" x14ac:dyDescent="0.3">
      <c r="C127" s="41" t="b">
        <v>0</v>
      </c>
      <c r="D127" s="42" t="s">
        <v>57</v>
      </c>
      <c r="E127" s="42" t="s">
        <v>58</v>
      </c>
      <c r="F127" s="42">
        <v>34.5</v>
      </c>
      <c r="G127" s="42">
        <v>18.100000000000001</v>
      </c>
      <c r="H127" s="42">
        <v>187</v>
      </c>
      <c r="I127" s="42">
        <v>2900</v>
      </c>
      <c r="J127" s="42" t="s">
        <v>62</v>
      </c>
      <c r="K127" s="113">
        <v>1.3734984809103301E+19</v>
      </c>
    </row>
    <row r="128" spans="3:11" x14ac:dyDescent="0.3">
      <c r="C128" s="41" t="b">
        <v>0</v>
      </c>
      <c r="D128" s="42" t="s">
        <v>57</v>
      </c>
      <c r="E128" s="42" t="s">
        <v>58</v>
      </c>
      <c r="F128" s="42">
        <v>41.4</v>
      </c>
      <c r="G128" s="42">
        <v>18.600000000000001</v>
      </c>
      <c r="H128" s="42">
        <v>191</v>
      </c>
      <c r="I128" s="42">
        <v>3700</v>
      </c>
      <c r="J128" s="42" t="s">
        <v>60</v>
      </c>
      <c r="K128" s="113">
        <v>4.09777242805071E+18</v>
      </c>
    </row>
    <row r="129" spans="3:11" x14ac:dyDescent="0.3">
      <c r="C129" s="41" t="b">
        <v>0</v>
      </c>
      <c r="D129" s="42" t="s">
        <v>57</v>
      </c>
      <c r="E129" s="42" t="s">
        <v>58</v>
      </c>
      <c r="F129" s="42">
        <v>39</v>
      </c>
      <c r="G129" s="42">
        <v>17.5</v>
      </c>
      <c r="H129" s="42">
        <v>186</v>
      </c>
      <c r="I129" s="42">
        <v>3550</v>
      </c>
      <c r="J129" s="42" t="s">
        <v>62</v>
      </c>
      <c r="K129" s="113">
        <v>3.9725792657037998E+18</v>
      </c>
    </row>
    <row r="130" spans="3:11" x14ac:dyDescent="0.3">
      <c r="C130" s="41" t="b">
        <v>0</v>
      </c>
      <c r="D130" s="42" t="s">
        <v>57</v>
      </c>
      <c r="E130" s="42" t="s">
        <v>58</v>
      </c>
      <c r="F130" s="42">
        <v>40.6</v>
      </c>
      <c r="G130" s="42">
        <v>18.8</v>
      </c>
      <c r="H130" s="42">
        <v>193</v>
      </c>
      <c r="I130" s="42">
        <v>3800</v>
      </c>
      <c r="J130" s="42" t="s">
        <v>60</v>
      </c>
      <c r="K130" s="113">
        <v>9.1821822805840302E+18</v>
      </c>
    </row>
    <row r="131" spans="3:11" x14ac:dyDescent="0.3">
      <c r="C131" s="41" t="b">
        <v>0</v>
      </c>
      <c r="D131" s="42" t="s">
        <v>57</v>
      </c>
      <c r="E131" s="42" t="s">
        <v>58</v>
      </c>
      <c r="F131" s="42">
        <v>36.5</v>
      </c>
      <c r="G131" s="42">
        <v>16.600000000000001</v>
      </c>
      <c r="H131" s="42">
        <v>181</v>
      </c>
      <c r="I131" s="42">
        <v>2850</v>
      </c>
      <c r="J131" s="42" t="s">
        <v>62</v>
      </c>
      <c r="K131" s="113">
        <v>8.4144641323332905E+18</v>
      </c>
    </row>
    <row r="132" spans="3:11" x14ac:dyDescent="0.3">
      <c r="C132" s="41" t="b">
        <v>0</v>
      </c>
      <c r="D132" s="42" t="s">
        <v>57</v>
      </c>
      <c r="E132" s="42" t="s">
        <v>58</v>
      </c>
      <c r="F132" s="42">
        <v>37.6</v>
      </c>
      <c r="G132" s="42">
        <v>19.100000000000001</v>
      </c>
      <c r="H132" s="42">
        <v>194</v>
      </c>
      <c r="I132" s="42">
        <v>3750</v>
      </c>
      <c r="J132" s="42" t="s">
        <v>60</v>
      </c>
      <c r="K132" s="113">
        <v>1.4828151535594199E+19</v>
      </c>
    </row>
    <row r="133" spans="3:11" x14ac:dyDescent="0.3">
      <c r="C133" s="41" t="b">
        <v>0</v>
      </c>
      <c r="D133" s="42" t="s">
        <v>57</v>
      </c>
      <c r="E133" s="42" t="s">
        <v>58</v>
      </c>
      <c r="F133" s="42">
        <v>35.700000000000003</v>
      </c>
      <c r="G133" s="42">
        <v>16.899999999999999</v>
      </c>
      <c r="H133" s="42">
        <v>185</v>
      </c>
      <c r="I133" s="42">
        <v>3150</v>
      </c>
      <c r="J133" s="42" t="s">
        <v>62</v>
      </c>
      <c r="K133" s="113">
        <v>1.5942411999357901E+19</v>
      </c>
    </row>
    <row r="134" spans="3:11" x14ac:dyDescent="0.3">
      <c r="C134" s="41" t="b">
        <v>0</v>
      </c>
      <c r="D134" s="42" t="s">
        <v>57</v>
      </c>
      <c r="E134" s="42" t="s">
        <v>58</v>
      </c>
      <c r="F134" s="42">
        <v>41.3</v>
      </c>
      <c r="G134" s="42">
        <v>21.1</v>
      </c>
      <c r="H134" s="42">
        <v>195</v>
      </c>
      <c r="I134" s="42">
        <v>4400</v>
      </c>
      <c r="J134" s="42" t="s">
        <v>60</v>
      </c>
      <c r="K134" s="113">
        <v>9.2895955048501309E+18</v>
      </c>
    </row>
    <row r="135" spans="3:11" x14ac:dyDescent="0.3">
      <c r="C135" s="41" t="b">
        <v>0</v>
      </c>
      <c r="D135" s="42" t="s">
        <v>57</v>
      </c>
      <c r="E135" s="42" t="s">
        <v>58</v>
      </c>
      <c r="F135" s="42">
        <v>37.6</v>
      </c>
      <c r="G135" s="42">
        <v>17</v>
      </c>
      <c r="H135" s="42">
        <v>185</v>
      </c>
      <c r="I135" s="42">
        <v>3600</v>
      </c>
      <c r="J135" s="42" t="s">
        <v>62</v>
      </c>
      <c r="K135" s="113">
        <v>1.56329644378909E+19</v>
      </c>
    </row>
    <row r="136" spans="3:11" x14ac:dyDescent="0.3">
      <c r="C136" s="41" t="b">
        <v>0</v>
      </c>
      <c r="D136" s="42" t="s">
        <v>57</v>
      </c>
      <c r="E136" s="42" t="s">
        <v>58</v>
      </c>
      <c r="F136" s="42">
        <v>41.1</v>
      </c>
      <c r="G136" s="42">
        <v>18.2</v>
      </c>
      <c r="H136" s="42">
        <v>192</v>
      </c>
      <c r="I136" s="42">
        <v>4050</v>
      </c>
      <c r="J136" s="42" t="s">
        <v>60</v>
      </c>
      <c r="K136" s="113">
        <v>1.55114536522182E+19</v>
      </c>
    </row>
    <row r="137" spans="3:11" x14ac:dyDescent="0.3">
      <c r="C137" s="41" t="b">
        <v>0</v>
      </c>
      <c r="D137" s="42" t="s">
        <v>57</v>
      </c>
      <c r="E137" s="42" t="s">
        <v>58</v>
      </c>
      <c r="F137" s="42">
        <v>36.4</v>
      </c>
      <c r="G137" s="42">
        <v>17.100000000000001</v>
      </c>
      <c r="H137" s="42">
        <v>184</v>
      </c>
      <c r="I137" s="42">
        <v>2850</v>
      </c>
      <c r="J137" s="42" t="s">
        <v>62</v>
      </c>
      <c r="K137" s="113">
        <v>1.41663854253395E+18</v>
      </c>
    </row>
    <row r="138" spans="3:11" x14ac:dyDescent="0.3">
      <c r="C138" s="41" t="b">
        <v>0</v>
      </c>
      <c r="D138" s="42" t="s">
        <v>57</v>
      </c>
      <c r="E138" s="42" t="s">
        <v>58</v>
      </c>
      <c r="F138" s="42">
        <v>41.6</v>
      </c>
      <c r="G138" s="42">
        <v>18</v>
      </c>
      <c r="H138" s="42">
        <v>192</v>
      </c>
      <c r="I138" s="42">
        <v>3950</v>
      </c>
      <c r="J138" s="42" t="s">
        <v>60</v>
      </c>
      <c r="K138" s="113">
        <v>4.13366638096499E+18</v>
      </c>
    </row>
    <row r="139" spans="3:11" x14ac:dyDescent="0.3">
      <c r="C139" s="41" t="b">
        <v>0</v>
      </c>
      <c r="D139" s="42" t="s">
        <v>57</v>
      </c>
      <c r="E139" s="42" t="s">
        <v>58</v>
      </c>
      <c r="F139" s="42">
        <v>35.5</v>
      </c>
      <c r="G139" s="42">
        <v>16.2</v>
      </c>
      <c r="H139" s="42">
        <v>195</v>
      </c>
      <c r="I139" s="42">
        <v>3350</v>
      </c>
      <c r="J139" s="42" t="s">
        <v>62</v>
      </c>
      <c r="K139" s="113">
        <v>5.5247825776955996E+18</v>
      </c>
    </row>
    <row r="140" spans="3:11" x14ac:dyDescent="0.3">
      <c r="C140" s="41" t="b">
        <v>0</v>
      </c>
      <c r="D140" s="42" t="s">
        <v>57</v>
      </c>
      <c r="E140" s="42" t="s">
        <v>58</v>
      </c>
      <c r="F140" s="42">
        <v>41.1</v>
      </c>
      <c r="G140" s="42">
        <v>19.100000000000001</v>
      </c>
      <c r="H140" s="42">
        <v>188</v>
      </c>
      <c r="I140" s="42">
        <v>4100</v>
      </c>
      <c r="J140" s="42" t="s">
        <v>60</v>
      </c>
      <c r="K140" s="113">
        <v>1.3656946893057499E+19</v>
      </c>
    </row>
    <row r="141" spans="3:11" x14ac:dyDescent="0.3">
      <c r="C141" s="41" t="b">
        <v>0</v>
      </c>
      <c r="D141" s="42" t="s">
        <v>57</v>
      </c>
      <c r="E141" s="42" t="s">
        <v>61</v>
      </c>
      <c r="F141" s="42">
        <v>35.9</v>
      </c>
      <c r="G141" s="42">
        <v>16.600000000000001</v>
      </c>
      <c r="H141" s="42">
        <v>190</v>
      </c>
      <c r="I141" s="42">
        <v>3050</v>
      </c>
      <c r="J141" s="42" t="s">
        <v>62</v>
      </c>
      <c r="K141" s="113">
        <v>7.9541615339922698E+18</v>
      </c>
    </row>
    <row r="142" spans="3:11" x14ac:dyDescent="0.3">
      <c r="C142" s="41" t="b">
        <v>0</v>
      </c>
      <c r="D142" s="42" t="s">
        <v>57</v>
      </c>
      <c r="E142" s="42" t="s">
        <v>61</v>
      </c>
      <c r="F142" s="42">
        <v>41.8</v>
      </c>
      <c r="G142" s="42">
        <v>19.399999999999999</v>
      </c>
      <c r="H142" s="42">
        <v>198</v>
      </c>
      <c r="I142" s="42">
        <v>4450</v>
      </c>
      <c r="J142" s="42" t="s">
        <v>60</v>
      </c>
      <c r="K142" s="113">
        <v>5.1422432992386796E+18</v>
      </c>
    </row>
    <row r="143" spans="3:11" x14ac:dyDescent="0.3">
      <c r="C143" s="41" t="b">
        <v>0</v>
      </c>
      <c r="D143" s="42" t="s">
        <v>57</v>
      </c>
      <c r="E143" s="42" t="s">
        <v>61</v>
      </c>
      <c r="F143" s="42">
        <v>33.5</v>
      </c>
      <c r="G143" s="42">
        <v>19</v>
      </c>
      <c r="H143" s="42">
        <v>190</v>
      </c>
      <c r="I143" s="42">
        <v>3600</v>
      </c>
      <c r="J143" s="42" t="s">
        <v>62</v>
      </c>
      <c r="K143" s="113">
        <v>1.04786971357138E+19</v>
      </c>
    </row>
    <row r="144" spans="3:11" x14ac:dyDescent="0.3">
      <c r="C144" s="41" t="b">
        <v>0</v>
      </c>
      <c r="D144" s="42" t="s">
        <v>57</v>
      </c>
      <c r="E144" s="42" t="s">
        <v>61</v>
      </c>
      <c r="F144" s="42">
        <v>39.700000000000003</v>
      </c>
      <c r="G144" s="42">
        <v>18.399999999999999</v>
      </c>
      <c r="H144" s="42">
        <v>190</v>
      </c>
      <c r="I144" s="42">
        <v>3900</v>
      </c>
      <c r="J144" s="42" t="s">
        <v>60</v>
      </c>
      <c r="K144" s="113">
        <v>8.8322946579417201E+18</v>
      </c>
    </row>
    <row r="145" spans="3:11" x14ac:dyDescent="0.3">
      <c r="C145" s="41" t="b">
        <v>0</v>
      </c>
      <c r="D145" s="42" t="s">
        <v>57</v>
      </c>
      <c r="E145" s="42" t="s">
        <v>61</v>
      </c>
      <c r="F145" s="42">
        <v>39.6</v>
      </c>
      <c r="G145" s="42">
        <v>17.2</v>
      </c>
      <c r="H145" s="42">
        <v>196</v>
      </c>
      <c r="I145" s="42">
        <v>3550</v>
      </c>
      <c r="J145" s="42" t="s">
        <v>62</v>
      </c>
      <c r="K145" s="113">
        <v>1.67925350372636E+19</v>
      </c>
    </row>
    <row r="146" spans="3:11" x14ac:dyDescent="0.3">
      <c r="C146" s="41" t="b">
        <v>0</v>
      </c>
      <c r="D146" s="42" t="s">
        <v>57</v>
      </c>
      <c r="E146" s="42" t="s">
        <v>61</v>
      </c>
      <c r="F146" s="42">
        <v>45.8</v>
      </c>
      <c r="G146" s="42">
        <v>18.899999999999999</v>
      </c>
      <c r="H146" s="42">
        <v>197</v>
      </c>
      <c r="I146" s="42">
        <v>4150</v>
      </c>
      <c r="J146" s="42" t="s">
        <v>60</v>
      </c>
      <c r="K146" s="113">
        <v>6.7927480459868902E+17</v>
      </c>
    </row>
    <row r="147" spans="3:11" x14ac:dyDescent="0.3">
      <c r="C147" s="41" t="b">
        <v>0</v>
      </c>
      <c r="D147" s="42" t="s">
        <v>57</v>
      </c>
      <c r="E147" s="42" t="s">
        <v>61</v>
      </c>
      <c r="F147" s="42">
        <v>35.5</v>
      </c>
      <c r="G147" s="42">
        <v>17.5</v>
      </c>
      <c r="H147" s="42">
        <v>190</v>
      </c>
      <c r="I147" s="42">
        <v>3700</v>
      </c>
      <c r="J147" s="42" t="s">
        <v>62</v>
      </c>
      <c r="K147" s="113">
        <v>6.8000362411306803E+18</v>
      </c>
    </row>
    <row r="148" spans="3:11" x14ac:dyDescent="0.3">
      <c r="C148" s="41" t="b">
        <v>0</v>
      </c>
      <c r="D148" s="42" t="s">
        <v>57</v>
      </c>
      <c r="E148" s="42" t="s">
        <v>61</v>
      </c>
      <c r="F148" s="42">
        <v>42.8</v>
      </c>
      <c r="G148" s="42">
        <v>18.5</v>
      </c>
      <c r="H148" s="42">
        <v>195</v>
      </c>
      <c r="I148" s="42">
        <v>4250</v>
      </c>
      <c r="J148" s="42" t="s">
        <v>60</v>
      </c>
      <c r="K148" s="113">
        <v>1.69001440040593E+18</v>
      </c>
    </row>
    <row r="149" spans="3:11" x14ac:dyDescent="0.3">
      <c r="C149" s="41" t="b">
        <v>0</v>
      </c>
      <c r="D149" s="42" t="s">
        <v>57</v>
      </c>
      <c r="E149" s="42" t="s">
        <v>61</v>
      </c>
      <c r="F149" s="42">
        <v>40.9</v>
      </c>
      <c r="G149" s="42">
        <v>16.8</v>
      </c>
      <c r="H149" s="42">
        <v>191</v>
      </c>
      <c r="I149" s="42">
        <v>3700</v>
      </c>
      <c r="J149" s="42" t="s">
        <v>62</v>
      </c>
      <c r="K149" s="113">
        <v>1.7472896360712499E+18</v>
      </c>
    </row>
    <row r="150" spans="3:11" x14ac:dyDescent="0.3">
      <c r="C150" s="41" t="b">
        <v>0</v>
      </c>
      <c r="D150" s="42" t="s">
        <v>57</v>
      </c>
      <c r="E150" s="42" t="s">
        <v>61</v>
      </c>
      <c r="F150" s="42">
        <v>37.200000000000003</v>
      </c>
      <c r="G150" s="42">
        <v>19.399999999999999</v>
      </c>
      <c r="H150" s="42">
        <v>184</v>
      </c>
      <c r="I150" s="42">
        <v>3900</v>
      </c>
      <c r="J150" s="42" t="s">
        <v>60</v>
      </c>
      <c r="K150" s="113">
        <v>7.2709561302055301E+18</v>
      </c>
    </row>
    <row r="151" spans="3:11" x14ac:dyDescent="0.3">
      <c r="C151" s="41" t="b">
        <v>0</v>
      </c>
      <c r="D151" s="42" t="s">
        <v>57</v>
      </c>
      <c r="E151" s="42" t="s">
        <v>61</v>
      </c>
      <c r="F151" s="42">
        <v>36.200000000000003</v>
      </c>
      <c r="G151" s="42">
        <v>16.100000000000001</v>
      </c>
      <c r="H151" s="42">
        <v>187</v>
      </c>
      <c r="I151" s="42">
        <v>3550</v>
      </c>
      <c r="J151" s="42" t="s">
        <v>62</v>
      </c>
      <c r="K151" s="113">
        <v>6.2156012418468905E+18</v>
      </c>
    </row>
    <row r="152" spans="3:11" x14ac:dyDescent="0.3">
      <c r="C152" s="41" t="b">
        <v>0</v>
      </c>
      <c r="D152" s="42" t="s">
        <v>57</v>
      </c>
      <c r="E152" s="42" t="s">
        <v>61</v>
      </c>
      <c r="F152" s="42">
        <v>42.1</v>
      </c>
      <c r="G152" s="42">
        <v>19.100000000000001</v>
      </c>
      <c r="H152" s="42">
        <v>195</v>
      </c>
      <c r="I152" s="42">
        <v>4000</v>
      </c>
      <c r="J152" s="42" t="s">
        <v>60</v>
      </c>
      <c r="K152" s="113">
        <v>3.8810879313499802E+18</v>
      </c>
    </row>
    <row r="153" spans="3:11" x14ac:dyDescent="0.3">
      <c r="C153" s="41" t="b">
        <v>0</v>
      </c>
      <c r="D153" s="42" t="s">
        <v>57</v>
      </c>
      <c r="E153" s="42" t="s">
        <v>61</v>
      </c>
      <c r="F153" s="42">
        <v>34.6</v>
      </c>
      <c r="G153" s="42">
        <v>17.2</v>
      </c>
      <c r="H153" s="42">
        <v>189</v>
      </c>
      <c r="I153" s="42">
        <v>3200</v>
      </c>
      <c r="J153" s="42" t="s">
        <v>62</v>
      </c>
      <c r="K153" s="113">
        <v>6.4991589521045801E+18</v>
      </c>
    </row>
    <row r="154" spans="3:11" x14ac:dyDescent="0.3">
      <c r="C154" s="41" t="b">
        <v>0</v>
      </c>
      <c r="D154" s="42" t="s">
        <v>57</v>
      </c>
      <c r="E154" s="42" t="s">
        <v>61</v>
      </c>
      <c r="F154" s="42">
        <v>42.9</v>
      </c>
      <c r="G154" s="42">
        <v>17.600000000000001</v>
      </c>
      <c r="H154" s="42">
        <v>196</v>
      </c>
      <c r="I154" s="42">
        <v>4700</v>
      </c>
      <c r="J154" s="42" t="s">
        <v>60</v>
      </c>
      <c r="K154" s="113">
        <v>6.4700115009696696E+18</v>
      </c>
    </row>
    <row r="155" spans="3:11" x14ac:dyDescent="0.3">
      <c r="C155" s="41" t="b">
        <v>0</v>
      </c>
      <c r="D155" s="42" t="s">
        <v>57</v>
      </c>
      <c r="E155" s="42" t="s">
        <v>61</v>
      </c>
      <c r="F155" s="42">
        <v>36.700000000000003</v>
      </c>
      <c r="G155" s="42">
        <v>18.8</v>
      </c>
      <c r="H155" s="42">
        <v>187</v>
      </c>
      <c r="I155" s="42">
        <v>3800</v>
      </c>
      <c r="J155" s="42" t="s">
        <v>62</v>
      </c>
      <c r="K155" s="113">
        <v>1.8116646987377701E+19</v>
      </c>
    </row>
    <row r="156" spans="3:11" x14ac:dyDescent="0.3">
      <c r="C156" s="41" t="b">
        <v>0</v>
      </c>
      <c r="D156" s="42" t="s">
        <v>57</v>
      </c>
      <c r="E156" s="42" t="s">
        <v>61</v>
      </c>
      <c r="F156" s="42">
        <v>35.1</v>
      </c>
      <c r="G156" s="42">
        <v>19.399999999999999</v>
      </c>
      <c r="H156" s="42">
        <v>193</v>
      </c>
      <c r="I156" s="42">
        <v>4200</v>
      </c>
      <c r="J156" s="42" t="s">
        <v>60</v>
      </c>
      <c r="K156" s="113">
        <v>1.2161138335202699E+19</v>
      </c>
    </row>
    <row r="157" spans="3:11" x14ac:dyDescent="0.3">
      <c r="C157" s="41" t="b">
        <v>0</v>
      </c>
      <c r="D157" s="42" t="s">
        <v>57</v>
      </c>
      <c r="E157" s="42" t="s">
        <v>63</v>
      </c>
      <c r="F157" s="42">
        <v>37.299999999999997</v>
      </c>
      <c r="G157" s="42">
        <v>17.8</v>
      </c>
      <c r="H157" s="42">
        <v>191</v>
      </c>
      <c r="I157" s="42">
        <v>3350</v>
      </c>
      <c r="J157" s="42" t="s">
        <v>62</v>
      </c>
      <c r="K157" s="113">
        <v>5.88748000177839E+18</v>
      </c>
    </row>
    <row r="158" spans="3:11" x14ac:dyDescent="0.3">
      <c r="C158" s="41" t="b">
        <v>0</v>
      </c>
      <c r="D158" s="42" t="s">
        <v>57</v>
      </c>
      <c r="E158" s="42" t="s">
        <v>63</v>
      </c>
      <c r="F158" s="42">
        <v>41.3</v>
      </c>
      <c r="G158" s="42">
        <v>20.3</v>
      </c>
      <c r="H158" s="42">
        <v>194</v>
      </c>
      <c r="I158" s="42">
        <v>3550</v>
      </c>
      <c r="J158" s="42" t="s">
        <v>60</v>
      </c>
      <c r="K158" s="113">
        <v>1.1979038517660799E+19</v>
      </c>
    </row>
    <row r="159" spans="3:11" x14ac:dyDescent="0.3">
      <c r="C159" s="41" t="b">
        <v>0</v>
      </c>
      <c r="D159" s="42" t="s">
        <v>57</v>
      </c>
      <c r="E159" s="42" t="s">
        <v>63</v>
      </c>
      <c r="F159" s="42">
        <v>36.299999999999997</v>
      </c>
      <c r="G159" s="42">
        <v>19.5</v>
      </c>
      <c r="H159" s="42">
        <v>190</v>
      </c>
      <c r="I159" s="42">
        <v>3800</v>
      </c>
      <c r="J159" s="42" t="s">
        <v>60</v>
      </c>
      <c r="K159" s="113">
        <v>6.1371144599143803E+18</v>
      </c>
    </row>
    <row r="160" spans="3:11" x14ac:dyDescent="0.3">
      <c r="C160" s="41" t="b">
        <v>0</v>
      </c>
      <c r="D160" s="42" t="s">
        <v>57</v>
      </c>
      <c r="E160" s="42" t="s">
        <v>63</v>
      </c>
      <c r="F160" s="42">
        <v>36.9</v>
      </c>
      <c r="G160" s="42">
        <v>18.600000000000001</v>
      </c>
      <c r="H160" s="42">
        <v>189</v>
      </c>
      <c r="I160" s="42">
        <v>3500</v>
      </c>
      <c r="J160" s="42" t="s">
        <v>62</v>
      </c>
      <c r="K160" s="113">
        <v>6.9914993722733998E+18</v>
      </c>
    </row>
    <row r="161" spans="3:11" x14ac:dyDescent="0.3">
      <c r="C161" s="41" t="b">
        <v>0</v>
      </c>
      <c r="D161" s="42" t="s">
        <v>57</v>
      </c>
      <c r="E161" s="42" t="s">
        <v>63</v>
      </c>
      <c r="F161" s="42">
        <v>38.299999999999997</v>
      </c>
      <c r="G161" s="42">
        <v>19.2</v>
      </c>
      <c r="H161" s="42">
        <v>189</v>
      </c>
      <c r="I161" s="42">
        <v>3950</v>
      </c>
      <c r="J161" s="42" t="s">
        <v>60</v>
      </c>
      <c r="K161" s="113">
        <v>6.9662051546772695E+18</v>
      </c>
    </row>
    <row r="162" spans="3:11" x14ac:dyDescent="0.3">
      <c r="C162" s="41" t="b">
        <v>0</v>
      </c>
      <c r="D162" s="42" t="s">
        <v>57</v>
      </c>
      <c r="E162" s="42" t="s">
        <v>63</v>
      </c>
      <c r="F162" s="42">
        <v>38.9</v>
      </c>
      <c r="G162" s="42">
        <v>18.8</v>
      </c>
      <c r="H162" s="42">
        <v>190</v>
      </c>
      <c r="I162" s="42">
        <v>3600</v>
      </c>
      <c r="J162" s="42" t="s">
        <v>62</v>
      </c>
      <c r="K162" s="113">
        <v>5.4475161302037903E+18</v>
      </c>
    </row>
    <row r="163" spans="3:11" x14ac:dyDescent="0.3">
      <c r="C163" s="41" t="b">
        <v>0</v>
      </c>
      <c r="D163" s="42" t="s">
        <v>57</v>
      </c>
      <c r="E163" s="42" t="s">
        <v>63</v>
      </c>
      <c r="F163" s="42">
        <v>35.700000000000003</v>
      </c>
      <c r="G163" s="42">
        <v>18</v>
      </c>
      <c r="H163" s="42">
        <v>202</v>
      </c>
      <c r="I163" s="42">
        <v>3550</v>
      </c>
      <c r="J163" s="42" t="s">
        <v>62</v>
      </c>
      <c r="K163" s="113">
        <v>8.6882561919292096E+17</v>
      </c>
    </row>
    <row r="164" spans="3:11" x14ac:dyDescent="0.3">
      <c r="C164" s="41" t="b">
        <v>0</v>
      </c>
      <c r="D164" s="42" t="s">
        <v>57</v>
      </c>
      <c r="E164" s="42" t="s">
        <v>63</v>
      </c>
      <c r="F164" s="42">
        <v>41.1</v>
      </c>
      <c r="G164" s="42">
        <v>18.100000000000001</v>
      </c>
      <c r="H164" s="42">
        <v>205</v>
      </c>
      <c r="I164" s="42">
        <v>4300</v>
      </c>
      <c r="J164" s="42" t="s">
        <v>60</v>
      </c>
      <c r="K164" s="113">
        <v>6.7769160424629105E+18</v>
      </c>
    </row>
    <row r="165" spans="3:11" x14ac:dyDescent="0.3">
      <c r="C165" s="41" t="b">
        <v>0</v>
      </c>
      <c r="D165" s="42" t="s">
        <v>57</v>
      </c>
      <c r="E165" s="42" t="s">
        <v>63</v>
      </c>
      <c r="F165" s="42">
        <v>34</v>
      </c>
      <c r="G165" s="42">
        <v>17.100000000000001</v>
      </c>
      <c r="H165" s="42">
        <v>185</v>
      </c>
      <c r="I165" s="42">
        <v>3400</v>
      </c>
      <c r="J165" s="42" t="s">
        <v>62</v>
      </c>
      <c r="K165" s="113">
        <v>5.2793149436100997E+18</v>
      </c>
    </row>
    <row r="166" spans="3:11" x14ac:dyDescent="0.3">
      <c r="C166" s="41" t="b">
        <v>0</v>
      </c>
      <c r="D166" s="42" t="s">
        <v>57</v>
      </c>
      <c r="E166" s="42" t="s">
        <v>63</v>
      </c>
      <c r="F166" s="42">
        <v>39.6</v>
      </c>
      <c r="G166" s="42">
        <v>18.100000000000001</v>
      </c>
      <c r="H166" s="42">
        <v>186</v>
      </c>
      <c r="I166" s="42">
        <v>4450</v>
      </c>
      <c r="J166" s="42" t="s">
        <v>60</v>
      </c>
      <c r="K166" s="113">
        <v>1.11461376214657E+19</v>
      </c>
    </row>
    <row r="167" spans="3:11" x14ac:dyDescent="0.3">
      <c r="C167" s="41" t="b">
        <v>0</v>
      </c>
      <c r="D167" s="42" t="s">
        <v>57</v>
      </c>
      <c r="E167" s="42" t="s">
        <v>63</v>
      </c>
      <c r="F167" s="42">
        <v>36.200000000000003</v>
      </c>
      <c r="G167" s="42">
        <v>17.3</v>
      </c>
      <c r="H167" s="42">
        <v>187</v>
      </c>
      <c r="I167" s="42">
        <v>3300</v>
      </c>
      <c r="J167" s="42" t="s">
        <v>62</v>
      </c>
      <c r="K167" s="113">
        <v>1.0629993632823699E+19</v>
      </c>
    </row>
    <row r="168" spans="3:11" x14ac:dyDescent="0.3">
      <c r="C168" s="41" t="b">
        <v>0</v>
      </c>
      <c r="D168" s="42" t="s">
        <v>57</v>
      </c>
      <c r="E168" s="42" t="s">
        <v>63</v>
      </c>
      <c r="F168" s="42">
        <v>40.799999999999997</v>
      </c>
      <c r="G168" s="42">
        <v>18.899999999999999</v>
      </c>
      <c r="H168" s="42">
        <v>208</v>
      </c>
      <c r="I168" s="42">
        <v>4300</v>
      </c>
      <c r="J168" s="42" t="s">
        <v>60</v>
      </c>
      <c r="K168" s="113">
        <v>1.60641029485166E+19</v>
      </c>
    </row>
    <row r="169" spans="3:11" x14ac:dyDescent="0.3">
      <c r="C169" s="41" t="b">
        <v>0</v>
      </c>
      <c r="D169" s="42" t="s">
        <v>57</v>
      </c>
      <c r="E169" s="42" t="s">
        <v>63</v>
      </c>
      <c r="F169" s="42">
        <v>38.1</v>
      </c>
      <c r="G169" s="42">
        <v>18.600000000000001</v>
      </c>
      <c r="H169" s="42">
        <v>190</v>
      </c>
      <c r="I169" s="42">
        <v>3700</v>
      </c>
      <c r="J169" s="42" t="s">
        <v>62</v>
      </c>
      <c r="K169" s="113">
        <v>6.6563934629388698E+18</v>
      </c>
    </row>
    <row r="170" spans="3:11" x14ac:dyDescent="0.3">
      <c r="C170" s="41" t="b">
        <v>0</v>
      </c>
      <c r="D170" s="42" t="s">
        <v>57</v>
      </c>
      <c r="E170" s="42" t="s">
        <v>63</v>
      </c>
      <c r="F170" s="42">
        <v>40.299999999999997</v>
      </c>
      <c r="G170" s="42">
        <v>18.5</v>
      </c>
      <c r="H170" s="42">
        <v>196</v>
      </c>
      <c r="I170" s="42">
        <v>4350</v>
      </c>
      <c r="J170" s="42" t="s">
        <v>60</v>
      </c>
      <c r="K170" s="113">
        <v>6.2501534129251799E+18</v>
      </c>
    </row>
    <row r="171" spans="3:11" x14ac:dyDescent="0.3">
      <c r="C171" s="41" t="b">
        <v>0</v>
      </c>
      <c r="D171" s="42" t="s">
        <v>57</v>
      </c>
      <c r="E171" s="42" t="s">
        <v>63</v>
      </c>
      <c r="F171" s="42">
        <v>33.1</v>
      </c>
      <c r="G171" s="42">
        <v>16.100000000000001</v>
      </c>
      <c r="H171" s="42">
        <v>178</v>
      </c>
      <c r="I171" s="42">
        <v>2900</v>
      </c>
      <c r="J171" s="42" t="s">
        <v>62</v>
      </c>
      <c r="K171" s="113">
        <v>3.2936112447453302E+18</v>
      </c>
    </row>
    <row r="172" spans="3:11" x14ac:dyDescent="0.3">
      <c r="C172" s="41" t="b">
        <v>0</v>
      </c>
      <c r="D172" s="42" t="s">
        <v>57</v>
      </c>
      <c r="E172" s="42" t="s">
        <v>63</v>
      </c>
      <c r="F172" s="42">
        <v>43.2</v>
      </c>
      <c r="G172" s="42">
        <v>18.5</v>
      </c>
      <c r="H172" s="42">
        <v>192</v>
      </c>
      <c r="I172" s="42">
        <v>4100</v>
      </c>
      <c r="J172" s="42" t="s">
        <v>60</v>
      </c>
      <c r="K172" s="113">
        <v>1.6419821312359399E+19</v>
      </c>
    </row>
    <row r="173" spans="3:11" x14ac:dyDescent="0.3">
      <c r="C173" s="41" t="b">
        <v>0</v>
      </c>
      <c r="D173" s="42" t="s">
        <v>57</v>
      </c>
      <c r="E173" s="42" t="s">
        <v>58</v>
      </c>
      <c r="F173" s="42">
        <v>35</v>
      </c>
      <c r="G173" s="42">
        <v>17.899999999999999</v>
      </c>
      <c r="H173" s="42">
        <v>192</v>
      </c>
      <c r="I173" s="42">
        <v>3725</v>
      </c>
      <c r="J173" s="42" t="s">
        <v>62</v>
      </c>
      <c r="K173" s="113">
        <v>1.2329173146739401E+19</v>
      </c>
    </row>
    <row r="174" spans="3:11" x14ac:dyDescent="0.3">
      <c r="C174" s="41" t="b">
        <v>0</v>
      </c>
      <c r="D174" s="42" t="s">
        <v>57</v>
      </c>
      <c r="E174" s="42" t="s">
        <v>58</v>
      </c>
      <c r="F174" s="42">
        <v>41</v>
      </c>
      <c r="G174" s="42">
        <v>20</v>
      </c>
      <c r="H174" s="42">
        <v>203</v>
      </c>
      <c r="I174" s="42">
        <v>4725</v>
      </c>
      <c r="J174" s="42" t="s">
        <v>60</v>
      </c>
      <c r="K174" s="113">
        <v>5.26685950789295E+18</v>
      </c>
    </row>
    <row r="175" spans="3:11" x14ac:dyDescent="0.3">
      <c r="C175" s="41" t="b">
        <v>0</v>
      </c>
      <c r="D175" s="42" t="s">
        <v>57</v>
      </c>
      <c r="E175" s="42" t="s">
        <v>58</v>
      </c>
      <c r="F175" s="42">
        <v>37.700000000000003</v>
      </c>
      <c r="G175" s="42">
        <v>16</v>
      </c>
      <c r="H175" s="42">
        <v>183</v>
      </c>
      <c r="I175" s="42">
        <v>3075</v>
      </c>
      <c r="J175" s="42" t="s">
        <v>62</v>
      </c>
      <c r="K175" s="113">
        <v>1.3454156062562099E+19</v>
      </c>
    </row>
    <row r="176" spans="3:11" x14ac:dyDescent="0.3">
      <c r="C176" s="41" t="b">
        <v>0</v>
      </c>
      <c r="D176" s="42" t="s">
        <v>57</v>
      </c>
      <c r="E176" s="42" t="s">
        <v>58</v>
      </c>
      <c r="F176" s="42">
        <v>37.799999999999997</v>
      </c>
      <c r="G176" s="42">
        <v>20</v>
      </c>
      <c r="H176" s="42">
        <v>190</v>
      </c>
      <c r="I176" s="42">
        <v>4250</v>
      </c>
      <c r="J176" s="42" t="s">
        <v>60</v>
      </c>
      <c r="K176" s="113">
        <v>9.1830887372858102E+18</v>
      </c>
    </row>
    <row r="177" spans="3:11" x14ac:dyDescent="0.3">
      <c r="C177" s="41" t="b">
        <v>0</v>
      </c>
      <c r="D177" s="42" t="s">
        <v>57</v>
      </c>
      <c r="E177" s="42" t="s">
        <v>58</v>
      </c>
      <c r="F177" s="42">
        <v>37.9</v>
      </c>
      <c r="G177" s="42">
        <v>18.600000000000001</v>
      </c>
      <c r="H177" s="42">
        <v>193</v>
      </c>
      <c r="I177" s="42">
        <v>2925</v>
      </c>
      <c r="J177" s="42" t="s">
        <v>62</v>
      </c>
      <c r="K177" s="113">
        <v>9.3995647823442698E+18</v>
      </c>
    </row>
    <row r="178" spans="3:11" x14ac:dyDescent="0.3">
      <c r="C178" s="41" t="b">
        <v>0</v>
      </c>
      <c r="D178" s="42" t="s">
        <v>57</v>
      </c>
      <c r="E178" s="42" t="s">
        <v>58</v>
      </c>
      <c r="F178" s="42">
        <v>39.700000000000003</v>
      </c>
      <c r="G178" s="42">
        <v>18.899999999999999</v>
      </c>
      <c r="H178" s="42">
        <v>184</v>
      </c>
      <c r="I178" s="42">
        <v>3550</v>
      </c>
      <c r="J178" s="42" t="s">
        <v>60</v>
      </c>
      <c r="K178" s="113">
        <v>1.6508781299686199E+19</v>
      </c>
    </row>
    <row r="179" spans="3:11" x14ac:dyDescent="0.3">
      <c r="C179" s="41" t="b">
        <v>0</v>
      </c>
      <c r="D179" s="42" t="s">
        <v>57</v>
      </c>
      <c r="E179" s="42" t="s">
        <v>58</v>
      </c>
      <c r="F179" s="42">
        <v>38.6</v>
      </c>
      <c r="G179" s="42">
        <v>17.2</v>
      </c>
      <c r="H179" s="42">
        <v>199</v>
      </c>
      <c r="I179" s="42">
        <v>3750</v>
      </c>
      <c r="J179" s="42" t="s">
        <v>62</v>
      </c>
      <c r="K179" s="113">
        <v>1.27448375431074E+19</v>
      </c>
    </row>
    <row r="180" spans="3:11" x14ac:dyDescent="0.3">
      <c r="C180" s="41" t="b">
        <v>0</v>
      </c>
      <c r="D180" s="42" t="s">
        <v>57</v>
      </c>
      <c r="E180" s="42" t="s">
        <v>58</v>
      </c>
      <c r="F180" s="42">
        <v>38.200000000000003</v>
      </c>
      <c r="G180" s="42">
        <v>20</v>
      </c>
      <c r="H180" s="42">
        <v>190</v>
      </c>
      <c r="I180" s="42">
        <v>3900</v>
      </c>
      <c r="J180" s="42" t="s">
        <v>60</v>
      </c>
      <c r="K180" s="113">
        <v>5.3634058641647002E+18</v>
      </c>
    </row>
    <row r="181" spans="3:11" x14ac:dyDescent="0.3">
      <c r="C181" s="41" t="b">
        <v>0</v>
      </c>
      <c r="D181" s="42" t="s">
        <v>57</v>
      </c>
      <c r="E181" s="42" t="s">
        <v>58</v>
      </c>
      <c r="F181" s="42">
        <v>38.1</v>
      </c>
      <c r="G181" s="42">
        <v>17</v>
      </c>
      <c r="H181" s="42">
        <v>181</v>
      </c>
      <c r="I181" s="42">
        <v>3175</v>
      </c>
      <c r="J181" s="42" t="s">
        <v>62</v>
      </c>
      <c r="K181" s="113">
        <v>1.4712542054201301E+19</v>
      </c>
    </row>
    <row r="182" spans="3:11" x14ac:dyDescent="0.3">
      <c r="C182" s="41" t="b">
        <v>0</v>
      </c>
      <c r="D182" s="42" t="s">
        <v>57</v>
      </c>
      <c r="E182" s="42" t="s">
        <v>58</v>
      </c>
      <c r="F182" s="42">
        <v>43.2</v>
      </c>
      <c r="G182" s="42">
        <v>19</v>
      </c>
      <c r="H182" s="42">
        <v>197</v>
      </c>
      <c r="I182" s="42">
        <v>4775</v>
      </c>
      <c r="J182" s="42" t="s">
        <v>60</v>
      </c>
      <c r="K182" s="113">
        <v>1.5342858129421099E+19</v>
      </c>
    </row>
    <row r="183" spans="3:11" x14ac:dyDescent="0.3">
      <c r="C183" s="41" t="b">
        <v>0</v>
      </c>
      <c r="D183" s="42" t="s">
        <v>57</v>
      </c>
      <c r="E183" s="42" t="s">
        <v>58</v>
      </c>
      <c r="F183" s="42">
        <v>38.1</v>
      </c>
      <c r="G183" s="42">
        <v>16.5</v>
      </c>
      <c r="H183" s="42">
        <v>198</v>
      </c>
      <c r="I183" s="42">
        <v>3825</v>
      </c>
      <c r="J183" s="42" t="s">
        <v>62</v>
      </c>
      <c r="K183" s="113">
        <v>1.2531603477558901E+19</v>
      </c>
    </row>
    <row r="184" spans="3:11" x14ac:dyDescent="0.3">
      <c r="C184" s="41" t="b">
        <v>0</v>
      </c>
      <c r="D184" s="42" t="s">
        <v>57</v>
      </c>
      <c r="E184" s="42" t="s">
        <v>58</v>
      </c>
      <c r="F184" s="42">
        <v>45.6</v>
      </c>
      <c r="G184" s="42">
        <v>20.3</v>
      </c>
      <c r="H184" s="42">
        <v>191</v>
      </c>
      <c r="I184" s="42">
        <v>4600</v>
      </c>
      <c r="J184" s="42" t="s">
        <v>60</v>
      </c>
      <c r="K184" s="113">
        <v>9.0487579506786898E+18</v>
      </c>
    </row>
    <row r="185" spans="3:11" x14ac:dyDescent="0.3">
      <c r="C185" s="41" t="b">
        <v>0</v>
      </c>
      <c r="D185" s="42" t="s">
        <v>57</v>
      </c>
      <c r="E185" s="42" t="s">
        <v>58</v>
      </c>
      <c r="F185" s="42">
        <v>39.700000000000003</v>
      </c>
      <c r="G185" s="42">
        <v>17.7</v>
      </c>
      <c r="H185" s="42">
        <v>193</v>
      </c>
      <c r="I185" s="42">
        <v>3200</v>
      </c>
      <c r="J185" s="42" t="s">
        <v>62</v>
      </c>
      <c r="K185" s="113">
        <v>1.35313781442479E+19</v>
      </c>
    </row>
    <row r="186" spans="3:11" x14ac:dyDescent="0.3">
      <c r="C186" s="41" t="b">
        <v>0</v>
      </c>
      <c r="D186" s="42" t="s">
        <v>57</v>
      </c>
      <c r="E186" s="42" t="s">
        <v>58</v>
      </c>
      <c r="F186" s="42">
        <v>42.2</v>
      </c>
      <c r="G186" s="42">
        <v>19.5</v>
      </c>
      <c r="H186" s="42">
        <v>197</v>
      </c>
      <c r="I186" s="42">
        <v>4275</v>
      </c>
      <c r="J186" s="42" t="s">
        <v>60</v>
      </c>
      <c r="K186" s="113">
        <v>1.34593103748503E+19</v>
      </c>
    </row>
    <row r="187" spans="3:11" x14ac:dyDescent="0.3">
      <c r="C187" s="41" t="b">
        <v>0</v>
      </c>
      <c r="D187" s="42" t="s">
        <v>57</v>
      </c>
      <c r="E187" s="42" t="s">
        <v>58</v>
      </c>
      <c r="F187" s="42">
        <v>39.6</v>
      </c>
      <c r="G187" s="42">
        <v>20.7</v>
      </c>
      <c r="H187" s="42">
        <v>191</v>
      </c>
      <c r="I187" s="42">
        <v>3900</v>
      </c>
      <c r="J187" s="42" t="s">
        <v>62</v>
      </c>
      <c r="K187" s="113">
        <v>1.00024416541504E+19</v>
      </c>
    </row>
    <row r="188" spans="3:11" x14ac:dyDescent="0.3">
      <c r="C188" s="41" t="b">
        <v>0</v>
      </c>
      <c r="D188" s="42" t="s">
        <v>57</v>
      </c>
      <c r="E188" s="42" t="s">
        <v>58</v>
      </c>
      <c r="F188" s="42">
        <v>42.7</v>
      </c>
      <c r="G188" s="42">
        <v>18.3</v>
      </c>
      <c r="H188" s="42">
        <v>196</v>
      </c>
      <c r="I188" s="42">
        <v>4075</v>
      </c>
      <c r="J188" s="42" t="s">
        <v>60</v>
      </c>
      <c r="K188" s="113">
        <v>2.5236723591277599E+18</v>
      </c>
    </row>
    <row r="189" spans="3:11" x14ac:dyDescent="0.3">
      <c r="C189" s="41" t="b">
        <v>0</v>
      </c>
      <c r="D189" s="42" t="s">
        <v>57</v>
      </c>
      <c r="E189" s="42" t="s">
        <v>61</v>
      </c>
      <c r="F189" s="42">
        <v>38.6</v>
      </c>
      <c r="G189" s="42">
        <v>17</v>
      </c>
      <c r="H189" s="42">
        <v>188</v>
      </c>
      <c r="I189" s="42">
        <v>2900</v>
      </c>
      <c r="J189" s="42" t="s">
        <v>62</v>
      </c>
      <c r="K189" s="113">
        <v>1.1034492852459399E+19</v>
      </c>
    </row>
    <row r="190" spans="3:11" x14ac:dyDescent="0.3">
      <c r="C190" s="41" t="b">
        <v>0</v>
      </c>
      <c r="D190" s="42" t="s">
        <v>57</v>
      </c>
      <c r="E190" s="42" t="s">
        <v>61</v>
      </c>
      <c r="F190" s="42">
        <v>37.299999999999997</v>
      </c>
      <c r="G190" s="42">
        <v>20.5</v>
      </c>
      <c r="H190" s="42">
        <v>199</v>
      </c>
      <c r="I190" s="42">
        <v>3775</v>
      </c>
      <c r="J190" s="42" t="s">
        <v>60</v>
      </c>
      <c r="K190" s="113">
        <v>1.25693098083055E+19</v>
      </c>
    </row>
    <row r="191" spans="3:11" x14ac:dyDescent="0.3">
      <c r="C191" s="41" t="b">
        <v>0</v>
      </c>
      <c r="D191" s="42" t="s">
        <v>57</v>
      </c>
      <c r="E191" s="42" t="s">
        <v>61</v>
      </c>
      <c r="F191" s="42">
        <v>35.700000000000003</v>
      </c>
      <c r="G191" s="42">
        <v>17</v>
      </c>
      <c r="H191" s="42">
        <v>189</v>
      </c>
      <c r="I191" s="42">
        <v>3350</v>
      </c>
      <c r="J191" s="42" t="s">
        <v>62</v>
      </c>
      <c r="K191" s="113">
        <v>7.8357190680200602E+18</v>
      </c>
    </row>
    <row r="192" spans="3:11" x14ac:dyDescent="0.3">
      <c r="C192" s="41" t="b">
        <v>0</v>
      </c>
      <c r="D192" s="42" t="s">
        <v>57</v>
      </c>
      <c r="E192" s="42" t="s">
        <v>61</v>
      </c>
      <c r="F192" s="42">
        <v>41.1</v>
      </c>
      <c r="G192" s="42">
        <v>18.600000000000001</v>
      </c>
      <c r="H192" s="42">
        <v>189</v>
      </c>
      <c r="I192" s="42">
        <v>3325</v>
      </c>
      <c r="J192" s="42" t="s">
        <v>60</v>
      </c>
      <c r="K192" s="113">
        <v>1.0499788240995701E+19</v>
      </c>
    </row>
    <row r="193" spans="3:11" x14ac:dyDescent="0.3">
      <c r="C193" s="41" t="b">
        <v>0</v>
      </c>
      <c r="D193" s="42" t="s">
        <v>57</v>
      </c>
      <c r="E193" s="42" t="s">
        <v>61</v>
      </c>
      <c r="F193" s="42">
        <v>36.200000000000003</v>
      </c>
      <c r="G193" s="42">
        <v>17.2</v>
      </c>
      <c r="H193" s="42">
        <v>187</v>
      </c>
      <c r="I193" s="42">
        <v>3150</v>
      </c>
      <c r="J193" s="42" t="s">
        <v>62</v>
      </c>
      <c r="K193" s="113">
        <v>2.8352690054021402E+18</v>
      </c>
    </row>
    <row r="194" spans="3:11" x14ac:dyDescent="0.3">
      <c r="C194" s="41" t="b">
        <v>0</v>
      </c>
      <c r="D194" s="42" t="s">
        <v>57</v>
      </c>
      <c r="E194" s="42" t="s">
        <v>61</v>
      </c>
      <c r="F194" s="42">
        <v>37.700000000000003</v>
      </c>
      <c r="G194" s="42">
        <v>19.8</v>
      </c>
      <c r="H194" s="42">
        <v>198</v>
      </c>
      <c r="I194" s="42">
        <v>3500</v>
      </c>
      <c r="J194" s="42" t="s">
        <v>60</v>
      </c>
      <c r="K194" s="113">
        <v>7.6714775850234296E+18</v>
      </c>
    </row>
    <row r="195" spans="3:11" x14ac:dyDescent="0.3">
      <c r="C195" s="41" t="b">
        <v>0</v>
      </c>
      <c r="D195" s="42" t="s">
        <v>57</v>
      </c>
      <c r="E195" s="42" t="s">
        <v>61</v>
      </c>
      <c r="F195" s="42">
        <v>40.200000000000003</v>
      </c>
      <c r="G195" s="42">
        <v>17</v>
      </c>
      <c r="H195" s="42">
        <v>176</v>
      </c>
      <c r="I195" s="42">
        <v>3450</v>
      </c>
      <c r="J195" s="42" t="s">
        <v>62</v>
      </c>
      <c r="K195" s="113">
        <v>4.3544513465983401E+18</v>
      </c>
    </row>
    <row r="196" spans="3:11" x14ac:dyDescent="0.3">
      <c r="C196" s="41" t="b">
        <v>0</v>
      </c>
      <c r="D196" s="42" t="s">
        <v>57</v>
      </c>
      <c r="E196" s="42" t="s">
        <v>61</v>
      </c>
      <c r="F196" s="42">
        <v>41.4</v>
      </c>
      <c r="G196" s="42">
        <v>18.5</v>
      </c>
      <c r="H196" s="42">
        <v>202</v>
      </c>
      <c r="I196" s="42">
        <v>3875</v>
      </c>
      <c r="J196" s="42" t="s">
        <v>60</v>
      </c>
      <c r="K196" s="113">
        <v>1.4682861199292299E+19</v>
      </c>
    </row>
    <row r="197" spans="3:11" x14ac:dyDescent="0.3">
      <c r="C197" s="41" t="b">
        <v>0</v>
      </c>
      <c r="D197" s="42" t="s">
        <v>57</v>
      </c>
      <c r="E197" s="42" t="s">
        <v>61</v>
      </c>
      <c r="F197" s="42">
        <v>35.200000000000003</v>
      </c>
      <c r="G197" s="42">
        <v>15.9</v>
      </c>
      <c r="H197" s="42">
        <v>186</v>
      </c>
      <c r="I197" s="42">
        <v>3050</v>
      </c>
      <c r="J197" s="42" t="s">
        <v>62</v>
      </c>
      <c r="K197" s="113">
        <v>1.45005761792034E+19</v>
      </c>
    </row>
    <row r="198" spans="3:11" x14ac:dyDescent="0.3">
      <c r="C198" s="41" t="b">
        <v>0</v>
      </c>
      <c r="D198" s="42" t="s">
        <v>57</v>
      </c>
      <c r="E198" s="42" t="s">
        <v>61</v>
      </c>
      <c r="F198" s="42">
        <v>40.6</v>
      </c>
      <c r="G198" s="42">
        <v>19</v>
      </c>
      <c r="H198" s="42">
        <v>199</v>
      </c>
      <c r="I198" s="42">
        <v>4000</v>
      </c>
      <c r="J198" s="42" t="s">
        <v>60</v>
      </c>
      <c r="K198" s="113">
        <v>7.2098900066245898E+18</v>
      </c>
    </row>
    <row r="199" spans="3:11" x14ac:dyDescent="0.3">
      <c r="C199" s="41" t="b">
        <v>0</v>
      </c>
      <c r="D199" s="42" t="s">
        <v>57</v>
      </c>
      <c r="E199" s="42" t="s">
        <v>61</v>
      </c>
      <c r="F199" s="42">
        <v>38.799999999999997</v>
      </c>
      <c r="G199" s="42">
        <v>17.600000000000001</v>
      </c>
      <c r="H199" s="42">
        <v>191</v>
      </c>
      <c r="I199" s="42">
        <v>3275</v>
      </c>
      <c r="J199" s="42" t="s">
        <v>62</v>
      </c>
      <c r="K199" s="113">
        <v>1.55071631696682E+19</v>
      </c>
    </row>
    <row r="200" spans="3:11" x14ac:dyDescent="0.3">
      <c r="C200" s="41" t="b">
        <v>0</v>
      </c>
      <c r="D200" s="42" t="s">
        <v>57</v>
      </c>
      <c r="E200" s="42" t="s">
        <v>61</v>
      </c>
      <c r="F200" s="42">
        <v>41.5</v>
      </c>
      <c r="G200" s="42">
        <v>18.3</v>
      </c>
      <c r="H200" s="42">
        <v>195</v>
      </c>
      <c r="I200" s="42">
        <v>4300</v>
      </c>
      <c r="J200" s="42" t="s">
        <v>60</v>
      </c>
      <c r="K200" s="113">
        <v>1.1438867766287999E+19</v>
      </c>
    </row>
    <row r="201" spans="3:11" x14ac:dyDescent="0.3">
      <c r="C201" s="41" t="b">
        <v>0</v>
      </c>
      <c r="D201" s="42" t="s">
        <v>57</v>
      </c>
      <c r="E201" s="42" t="s">
        <v>61</v>
      </c>
      <c r="F201" s="42">
        <v>39</v>
      </c>
      <c r="G201" s="42">
        <v>17.100000000000001</v>
      </c>
      <c r="H201" s="42">
        <v>191</v>
      </c>
      <c r="I201" s="42">
        <v>3050</v>
      </c>
      <c r="J201" s="42" t="s">
        <v>62</v>
      </c>
      <c r="K201" s="113">
        <v>2.9212096572236401E+18</v>
      </c>
    </row>
    <row r="202" spans="3:11" x14ac:dyDescent="0.3">
      <c r="C202" s="41" t="b">
        <v>0</v>
      </c>
      <c r="D202" s="42" t="s">
        <v>57</v>
      </c>
      <c r="E202" s="42" t="s">
        <v>61</v>
      </c>
      <c r="F202" s="42">
        <v>44.1</v>
      </c>
      <c r="G202" s="42">
        <v>18</v>
      </c>
      <c r="H202" s="42">
        <v>210</v>
      </c>
      <c r="I202" s="42">
        <v>4000</v>
      </c>
      <c r="J202" s="42" t="s">
        <v>60</v>
      </c>
      <c r="K202" s="113">
        <v>5.4462773101031404E+18</v>
      </c>
    </row>
    <row r="203" spans="3:11" x14ac:dyDescent="0.3">
      <c r="C203" s="41" t="b">
        <v>0</v>
      </c>
      <c r="D203" s="42" t="s">
        <v>57</v>
      </c>
      <c r="E203" s="42" t="s">
        <v>61</v>
      </c>
      <c r="F203" s="42">
        <v>38.5</v>
      </c>
      <c r="G203" s="42">
        <v>17.899999999999999</v>
      </c>
      <c r="H203" s="42">
        <v>190</v>
      </c>
      <c r="I203" s="42">
        <v>3325</v>
      </c>
      <c r="J203" s="42" t="s">
        <v>62</v>
      </c>
      <c r="K203" s="113">
        <v>1.14586629667251E+19</v>
      </c>
    </row>
    <row r="204" spans="3:11" x14ac:dyDescent="0.3">
      <c r="C204" s="41" t="b">
        <v>0</v>
      </c>
      <c r="D204" s="42" t="s">
        <v>57</v>
      </c>
      <c r="E204" s="42" t="s">
        <v>61</v>
      </c>
      <c r="F204" s="42">
        <v>43.1</v>
      </c>
      <c r="G204" s="42">
        <v>19.2</v>
      </c>
      <c r="H204" s="42">
        <v>197</v>
      </c>
      <c r="I204" s="42">
        <v>3500</v>
      </c>
      <c r="J204" s="42" t="s">
        <v>60</v>
      </c>
      <c r="K204" s="113">
        <v>1.44788845550308E+19</v>
      </c>
    </row>
    <row r="205" spans="3:11" x14ac:dyDescent="0.3">
      <c r="C205" s="41" t="b">
        <v>0</v>
      </c>
      <c r="D205" s="42" t="s">
        <v>57</v>
      </c>
      <c r="E205" s="42" t="s">
        <v>63</v>
      </c>
      <c r="F205" s="42">
        <v>36.799999999999997</v>
      </c>
      <c r="G205" s="42">
        <v>18.5</v>
      </c>
      <c r="H205" s="42">
        <v>193</v>
      </c>
      <c r="I205" s="42">
        <v>3500</v>
      </c>
      <c r="J205" s="42" t="s">
        <v>62</v>
      </c>
      <c r="K205" s="113">
        <v>1.6060012617007301E+19</v>
      </c>
    </row>
    <row r="206" spans="3:11" x14ac:dyDescent="0.3">
      <c r="C206" s="41" t="b">
        <v>0</v>
      </c>
      <c r="D206" s="42" t="s">
        <v>57</v>
      </c>
      <c r="E206" s="42" t="s">
        <v>63</v>
      </c>
      <c r="F206" s="42">
        <v>37.5</v>
      </c>
      <c r="G206" s="42">
        <v>18.5</v>
      </c>
      <c r="H206" s="42">
        <v>199</v>
      </c>
      <c r="I206" s="42">
        <v>4475</v>
      </c>
      <c r="J206" s="42" t="s">
        <v>60</v>
      </c>
      <c r="K206" s="113">
        <v>4.4480242298629202E+18</v>
      </c>
    </row>
    <row r="207" spans="3:11" x14ac:dyDescent="0.3">
      <c r="C207" s="41" t="b">
        <v>0</v>
      </c>
      <c r="D207" s="42" t="s">
        <v>57</v>
      </c>
      <c r="E207" s="42" t="s">
        <v>63</v>
      </c>
      <c r="F207" s="42">
        <v>38.1</v>
      </c>
      <c r="G207" s="42">
        <v>17.600000000000001</v>
      </c>
      <c r="H207" s="42">
        <v>187</v>
      </c>
      <c r="I207" s="42">
        <v>3425</v>
      </c>
      <c r="J207" s="42" t="s">
        <v>62</v>
      </c>
      <c r="K207" s="113">
        <v>1.4313769874684899E+19</v>
      </c>
    </row>
    <row r="208" spans="3:11" x14ac:dyDescent="0.3">
      <c r="C208" s="41" t="b">
        <v>0</v>
      </c>
      <c r="D208" s="42" t="s">
        <v>57</v>
      </c>
      <c r="E208" s="42" t="s">
        <v>63</v>
      </c>
      <c r="F208" s="42">
        <v>41.1</v>
      </c>
      <c r="G208" s="42">
        <v>17.5</v>
      </c>
      <c r="H208" s="42">
        <v>190</v>
      </c>
      <c r="I208" s="42">
        <v>3900</v>
      </c>
      <c r="J208" s="42" t="s">
        <v>60</v>
      </c>
      <c r="K208" s="113">
        <v>1.62162917493259E+19</v>
      </c>
    </row>
    <row r="209" spans="3:11" x14ac:dyDescent="0.3">
      <c r="C209" s="41" t="b">
        <v>0</v>
      </c>
      <c r="D209" s="42" t="s">
        <v>57</v>
      </c>
      <c r="E209" s="42" t="s">
        <v>63</v>
      </c>
      <c r="F209" s="42">
        <v>35.6</v>
      </c>
      <c r="G209" s="42">
        <v>17.5</v>
      </c>
      <c r="H209" s="42">
        <v>191</v>
      </c>
      <c r="I209" s="42">
        <v>3175</v>
      </c>
      <c r="J209" s="42" t="s">
        <v>62</v>
      </c>
      <c r="K209" s="113">
        <v>1.5458155064533101E+19</v>
      </c>
    </row>
    <row r="210" spans="3:11" x14ac:dyDescent="0.3">
      <c r="C210" s="41" t="b">
        <v>0</v>
      </c>
      <c r="D210" s="42" t="s">
        <v>57</v>
      </c>
      <c r="E210" s="42" t="s">
        <v>63</v>
      </c>
      <c r="F210" s="42">
        <v>40.200000000000003</v>
      </c>
      <c r="G210" s="42">
        <v>20.100000000000001</v>
      </c>
      <c r="H210" s="42">
        <v>200</v>
      </c>
      <c r="I210" s="42">
        <v>3975</v>
      </c>
      <c r="J210" s="42" t="s">
        <v>60</v>
      </c>
      <c r="K210" s="113">
        <v>8.6978612696789402E+17</v>
      </c>
    </row>
    <row r="211" spans="3:11" x14ac:dyDescent="0.3">
      <c r="C211" s="41" t="b">
        <v>0</v>
      </c>
      <c r="D211" s="42" t="s">
        <v>57</v>
      </c>
      <c r="E211" s="42" t="s">
        <v>63</v>
      </c>
      <c r="F211" s="42">
        <v>37</v>
      </c>
      <c r="G211" s="42">
        <v>16.5</v>
      </c>
      <c r="H211" s="42">
        <v>185</v>
      </c>
      <c r="I211" s="42">
        <v>3400</v>
      </c>
      <c r="J211" s="42" t="s">
        <v>62</v>
      </c>
      <c r="K211" s="113">
        <v>4.0539622728730199E+18</v>
      </c>
    </row>
    <row r="212" spans="3:11" x14ac:dyDescent="0.3">
      <c r="C212" s="41" t="b">
        <v>0</v>
      </c>
      <c r="D212" s="42" t="s">
        <v>57</v>
      </c>
      <c r="E212" s="42" t="s">
        <v>63</v>
      </c>
      <c r="F212" s="42">
        <v>39.700000000000003</v>
      </c>
      <c r="G212" s="42">
        <v>17.899999999999999</v>
      </c>
      <c r="H212" s="42">
        <v>193</v>
      </c>
      <c r="I212" s="42">
        <v>4250</v>
      </c>
      <c r="J212" s="42" t="s">
        <v>60</v>
      </c>
      <c r="K212" s="113">
        <v>7.2012357537599206E+17</v>
      </c>
    </row>
    <row r="213" spans="3:11" x14ac:dyDescent="0.3">
      <c r="C213" s="41" t="b">
        <v>0</v>
      </c>
      <c r="D213" s="42" t="s">
        <v>57</v>
      </c>
      <c r="E213" s="42" t="s">
        <v>63</v>
      </c>
      <c r="F213" s="42">
        <v>40.200000000000003</v>
      </c>
      <c r="G213" s="42">
        <v>17.100000000000001</v>
      </c>
      <c r="H213" s="42">
        <v>193</v>
      </c>
      <c r="I213" s="42">
        <v>3400</v>
      </c>
      <c r="J213" s="42" t="s">
        <v>62</v>
      </c>
      <c r="K213" s="113">
        <v>1.5685862443902599E+19</v>
      </c>
    </row>
    <row r="214" spans="3:11" x14ac:dyDescent="0.3">
      <c r="C214" s="41" t="b">
        <v>0</v>
      </c>
      <c r="D214" s="42" t="s">
        <v>57</v>
      </c>
      <c r="E214" s="42" t="s">
        <v>63</v>
      </c>
      <c r="F214" s="42">
        <v>40.6</v>
      </c>
      <c r="G214" s="42">
        <v>17.2</v>
      </c>
      <c r="H214" s="42">
        <v>187</v>
      </c>
      <c r="I214" s="42">
        <v>3475</v>
      </c>
      <c r="J214" s="42" t="s">
        <v>60</v>
      </c>
      <c r="K214" s="113">
        <v>1.8413337185816E+18</v>
      </c>
    </row>
    <row r="215" spans="3:11" x14ac:dyDescent="0.3">
      <c r="C215" s="41" t="b">
        <v>0</v>
      </c>
      <c r="D215" s="42" t="s">
        <v>57</v>
      </c>
      <c r="E215" s="42" t="s">
        <v>63</v>
      </c>
      <c r="F215" s="42">
        <v>32.1</v>
      </c>
      <c r="G215" s="42">
        <v>15.5</v>
      </c>
      <c r="H215" s="42">
        <v>188</v>
      </c>
      <c r="I215" s="42">
        <v>3050</v>
      </c>
      <c r="J215" s="42" t="s">
        <v>62</v>
      </c>
      <c r="K215" s="113">
        <v>1.7026688095266501E+19</v>
      </c>
    </row>
    <row r="216" spans="3:11" x14ac:dyDescent="0.3">
      <c r="C216" s="41" t="b">
        <v>0</v>
      </c>
      <c r="D216" s="42" t="s">
        <v>57</v>
      </c>
      <c r="E216" s="42" t="s">
        <v>63</v>
      </c>
      <c r="F216" s="42">
        <v>40.700000000000003</v>
      </c>
      <c r="G216" s="42">
        <v>17</v>
      </c>
      <c r="H216" s="42">
        <v>190</v>
      </c>
      <c r="I216" s="42">
        <v>3725</v>
      </c>
      <c r="J216" s="42" t="s">
        <v>60</v>
      </c>
      <c r="K216" s="113">
        <v>1.3234846265366E+19</v>
      </c>
    </row>
    <row r="217" spans="3:11" x14ac:dyDescent="0.3">
      <c r="C217" s="41" t="b">
        <v>0</v>
      </c>
      <c r="D217" s="42" t="s">
        <v>57</v>
      </c>
      <c r="E217" s="42" t="s">
        <v>63</v>
      </c>
      <c r="F217" s="42">
        <v>37.299999999999997</v>
      </c>
      <c r="G217" s="42">
        <v>16.8</v>
      </c>
      <c r="H217" s="42">
        <v>192</v>
      </c>
      <c r="I217" s="42">
        <v>3000</v>
      </c>
      <c r="J217" s="42" t="s">
        <v>62</v>
      </c>
      <c r="K217" s="113">
        <v>7.97888187625745E+18</v>
      </c>
    </row>
    <row r="218" spans="3:11" x14ac:dyDescent="0.3">
      <c r="C218" s="41" t="b">
        <v>0</v>
      </c>
      <c r="D218" s="42" t="s">
        <v>57</v>
      </c>
      <c r="E218" s="42" t="s">
        <v>63</v>
      </c>
      <c r="F218" s="42">
        <v>39</v>
      </c>
      <c r="G218" s="42">
        <v>18.7</v>
      </c>
      <c r="H218" s="42">
        <v>185</v>
      </c>
      <c r="I218" s="42">
        <v>3650</v>
      </c>
      <c r="J218" s="42" t="s">
        <v>60</v>
      </c>
      <c r="K218" s="113">
        <v>9.6228601022513705E+18</v>
      </c>
    </row>
    <row r="219" spans="3:11" x14ac:dyDescent="0.3">
      <c r="C219" s="41" t="b">
        <v>0</v>
      </c>
      <c r="D219" s="42" t="s">
        <v>57</v>
      </c>
      <c r="E219" s="42" t="s">
        <v>63</v>
      </c>
      <c r="F219" s="42">
        <v>39.200000000000003</v>
      </c>
      <c r="G219" s="42">
        <v>18.600000000000001</v>
      </c>
      <c r="H219" s="42">
        <v>190</v>
      </c>
      <c r="I219" s="42">
        <v>4250</v>
      </c>
      <c r="J219" s="42" t="s">
        <v>60</v>
      </c>
      <c r="K219" s="113">
        <v>1.19184842703033E+19</v>
      </c>
    </row>
    <row r="220" spans="3:11" x14ac:dyDescent="0.3">
      <c r="C220" s="41" t="b">
        <v>0</v>
      </c>
      <c r="D220" s="42" t="s">
        <v>57</v>
      </c>
      <c r="E220" s="42" t="s">
        <v>63</v>
      </c>
      <c r="F220" s="42">
        <v>36.6</v>
      </c>
      <c r="G220" s="42">
        <v>18.399999999999999</v>
      </c>
      <c r="H220" s="42">
        <v>184</v>
      </c>
      <c r="I220" s="42">
        <v>3475</v>
      </c>
      <c r="J220" s="42" t="s">
        <v>62</v>
      </c>
      <c r="K220" s="113">
        <v>1.38897177353805E+19</v>
      </c>
    </row>
    <row r="221" spans="3:11" x14ac:dyDescent="0.3">
      <c r="C221" s="41" t="b">
        <v>0</v>
      </c>
      <c r="D221" s="42" t="s">
        <v>57</v>
      </c>
      <c r="E221" s="42" t="s">
        <v>63</v>
      </c>
      <c r="F221" s="42">
        <v>36</v>
      </c>
      <c r="G221" s="42">
        <v>17.8</v>
      </c>
      <c r="H221" s="42">
        <v>195</v>
      </c>
      <c r="I221" s="42">
        <v>3450</v>
      </c>
      <c r="J221" s="42" t="s">
        <v>62</v>
      </c>
      <c r="K221" s="113">
        <v>4.4068366121120301E+17</v>
      </c>
    </row>
    <row r="222" spans="3:11" x14ac:dyDescent="0.3">
      <c r="C222" s="41" t="b">
        <v>0</v>
      </c>
      <c r="D222" s="42" t="s">
        <v>57</v>
      </c>
      <c r="E222" s="42" t="s">
        <v>63</v>
      </c>
      <c r="F222" s="42">
        <v>37.799999999999997</v>
      </c>
      <c r="G222" s="42">
        <v>18.100000000000001</v>
      </c>
      <c r="H222" s="42">
        <v>193</v>
      </c>
      <c r="I222" s="42">
        <v>3750</v>
      </c>
      <c r="J222" s="42" t="s">
        <v>60</v>
      </c>
      <c r="K222" s="113">
        <v>1.0784182200554799E+19</v>
      </c>
    </row>
    <row r="223" spans="3:11" x14ac:dyDescent="0.3">
      <c r="C223" s="41" t="b">
        <v>0</v>
      </c>
      <c r="D223" s="42" t="s">
        <v>57</v>
      </c>
      <c r="E223" s="42" t="s">
        <v>63</v>
      </c>
      <c r="F223" s="42">
        <v>36</v>
      </c>
      <c r="G223" s="42">
        <v>17.100000000000001</v>
      </c>
      <c r="H223" s="42">
        <v>187</v>
      </c>
      <c r="I223" s="42">
        <v>3700</v>
      </c>
      <c r="J223" s="42" t="s">
        <v>62</v>
      </c>
      <c r="K223" s="113">
        <v>1.7911885037485E+18</v>
      </c>
    </row>
    <row r="224" spans="3:11" x14ac:dyDescent="0.3">
      <c r="C224" s="41" t="b">
        <v>0</v>
      </c>
      <c r="D224" s="42" t="s">
        <v>57</v>
      </c>
      <c r="E224" s="42" t="s">
        <v>63</v>
      </c>
      <c r="F224" s="42">
        <v>41.5</v>
      </c>
      <c r="G224" s="42">
        <v>18.5</v>
      </c>
      <c r="H224" s="42">
        <v>201</v>
      </c>
      <c r="I224" s="42">
        <v>4000</v>
      </c>
      <c r="J224" s="42" t="s">
        <v>60</v>
      </c>
      <c r="K224" s="113">
        <v>1.4986603935718199E+19</v>
      </c>
    </row>
    <row r="225" spans="3:11" x14ac:dyDescent="0.3">
      <c r="C225" s="41" t="b">
        <v>0</v>
      </c>
      <c r="D225" s="42" t="s">
        <v>64</v>
      </c>
      <c r="E225" s="42" t="s">
        <v>63</v>
      </c>
      <c r="F225" s="42">
        <v>46.5</v>
      </c>
      <c r="G225" s="42">
        <v>17.899999999999999</v>
      </c>
      <c r="H225" s="42">
        <v>192</v>
      </c>
      <c r="I225" s="42">
        <v>3500</v>
      </c>
      <c r="J225" s="42" t="s">
        <v>62</v>
      </c>
      <c r="K225" s="113">
        <v>9.7002802802352E+17</v>
      </c>
    </row>
    <row r="226" spans="3:11" x14ac:dyDescent="0.3">
      <c r="C226" s="41" t="b">
        <v>0</v>
      </c>
      <c r="D226" s="42" t="s">
        <v>64</v>
      </c>
      <c r="E226" s="42" t="s">
        <v>63</v>
      </c>
      <c r="F226" s="42">
        <v>50</v>
      </c>
      <c r="G226" s="42">
        <v>19.5</v>
      </c>
      <c r="H226" s="42">
        <v>196</v>
      </c>
      <c r="I226" s="42">
        <v>3900</v>
      </c>
      <c r="J226" s="42" t="s">
        <v>60</v>
      </c>
      <c r="K226" s="113">
        <v>1.79504558858066E+19</v>
      </c>
    </row>
    <row r="227" spans="3:11" x14ac:dyDescent="0.3">
      <c r="C227" s="41" t="b">
        <v>0</v>
      </c>
      <c r="D227" s="42" t="s">
        <v>64</v>
      </c>
      <c r="E227" s="42" t="s">
        <v>63</v>
      </c>
      <c r="F227" s="42">
        <v>51.3</v>
      </c>
      <c r="G227" s="42">
        <v>19.2</v>
      </c>
      <c r="H227" s="42">
        <v>193</v>
      </c>
      <c r="I227" s="42">
        <v>3650</v>
      </c>
      <c r="J227" s="42" t="s">
        <v>60</v>
      </c>
      <c r="K227" s="113">
        <v>1.8090078492610601E+19</v>
      </c>
    </row>
    <row r="228" spans="3:11" x14ac:dyDescent="0.3">
      <c r="C228" s="41" t="b">
        <v>0</v>
      </c>
      <c r="D228" s="42" t="s">
        <v>64</v>
      </c>
      <c r="E228" s="42" t="s">
        <v>63</v>
      </c>
      <c r="F228" s="42">
        <v>45.4</v>
      </c>
      <c r="G228" s="42">
        <v>18.7</v>
      </c>
      <c r="H228" s="42">
        <v>188</v>
      </c>
      <c r="I228" s="42">
        <v>3525</v>
      </c>
      <c r="J228" s="42" t="s">
        <v>62</v>
      </c>
      <c r="K228" s="113">
        <v>6.33041227391616E+18</v>
      </c>
    </row>
    <row r="229" spans="3:11" x14ac:dyDescent="0.3">
      <c r="C229" s="41" t="b">
        <v>0</v>
      </c>
      <c r="D229" s="42" t="s">
        <v>64</v>
      </c>
      <c r="E229" s="42" t="s">
        <v>63</v>
      </c>
      <c r="F229" s="42">
        <v>52.7</v>
      </c>
      <c r="G229" s="42">
        <v>19.8</v>
      </c>
      <c r="H229" s="42">
        <v>197</v>
      </c>
      <c r="I229" s="42">
        <v>3725</v>
      </c>
      <c r="J229" s="42" t="s">
        <v>60</v>
      </c>
      <c r="K229" s="113">
        <v>1.7246145212394199E+19</v>
      </c>
    </row>
    <row r="230" spans="3:11" x14ac:dyDescent="0.3">
      <c r="C230" s="41" t="b">
        <v>0</v>
      </c>
      <c r="D230" s="42" t="s">
        <v>64</v>
      </c>
      <c r="E230" s="42" t="s">
        <v>63</v>
      </c>
      <c r="F230" s="42">
        <v>45.2</v>
      </c>
      <c r="G230" s="42">
        <v>17.8</v>
      </c>
      <c r="H230" s="42">
        <v>198</v>
      </c>
      <c r="I230" s="42">
        <v>3950</v>
      </c>
      <c r="J230" s="42" t="s">
        <v>62</v>
      </c>
      <c r="K230" s="113">
        <v>1.2730112951428301E+19</v>
      </c>
    </row>
    <row r="231" spans="3:11" x14ac:dyDescent="0.3">
      <c r="C231" s="41" t="b">
        <v>0</v>
      </c>
      <c r="D231" s="42" t="s">
        <v>64</v>
      </c>
      <c r="E231" s="42" t="s">
        <v>63</v>
      </c>
      <c r="F231" s="42">
        <v>46.1</v>
      </c>
      <c r="G231" s="42">
        <v>18.2</v>
      </c>
      <c r="H231" s="42">
        <v>178</v>
      </c>
      <c r="I231" s="42">
        <v>3250</v>
      </c>
      <c r="J231" s="42" t="s">
        <v>62</v>
      </c>
      <c r="K231" s="113">
        <v>5.1052842599778796E+18</v>
      </c>
    </row>
    <row r="232" spans="3:11" x14ac:dyDescent="0.3">
      <c r="C232" s="41" t="b">
        <v>0</v>
      </c>
      <c r="D232" s="42" t="s">
        <v>64</v>
      </c>
      <c r="E232" s="42" t="s">
        <v>63</v>
      </c>
      <c r="F232" s="42">
        <v>51.3</v>
      </c>
      <c r="G232" s="42">
        <v>18.2</v>
      </c>
      <c r="H232" s="42">
        <v>197</v>
      </c>
      <c r="I232" s="42">
        <v>3750</v>
      </c>
      <c r="J232" s="42" t="s">
        <v>60</v>
      </c>
      <c r="K232" s="113">
        <v>9.01189525675345E+18</v>
      </c>
    </row>
    <row r="233" spans="3:11" x14ac:dyDescent="0.3">
      <c r="C233" s="41" t="b">
        <v>0</v>
      </c>
      <c r="D233" s="42" t="s">
        <v>64</v>
      </c>
      <c r="E233" s="42" t="s">
        <v>63</v>
      </c>
      <c r="F233" s="42">
        <v>46</v>
      </c>
      <c r="G233" s="42">
        <v>18.899999999999999</v>
      </c>
      <c r="H233" s="42">
        <v>195</v>
      </c>
      <c r="I233" s="42">
        <v>4150</v>
      </c>
      <c r="J233" s="42" t="s">
        <v>62</v>
      </c>
      <c r="K233" s="113">
        <v>1.1347142518563599E+18</v>
      </c>
    </row>
    <row r="234" spans="3:11" x14ac:dyDescent="0.3">
      <c r="C234" s="41" t="b">
        <v>0</v>
      </c>
      <c r="D234" s="42" t="s">
        <v>64</v>
      </c>
      <c r="E234" s="42" t="s">
        <v>63</v>
      </c>
      <c r="F234" s="42">
        <v>51.3</v>
      </c>
      <c r="G234" s="42">
        <v>19.899999999999999</v>
      </c>
      <c r="H234" s="42">
        <v>198</v>
      </c>
      <c r="I234" s="42">
        <v>3700</v>
      </c>
      <c r="J234" s="42" t="s">
        <v>60</v>
      </c>
      <c r="K234" s="113">
        <v>1.69855040706753E+19</v>
      </c>
    </row>
    <row r="235" spans="3:11" x14ac:dyDescent="0.3">
      <c r="C235" s="41" t="b">
        <v>0</v>
      </c>
      <c r="D235" s="42" t="s">
        <v>64</v>
      </c>
      <c r="E235" s="42" t="s">
        <v>63</v>
      </c>
      <c r="F235" s="42">
        <v>46.6</v>
      </c>
      <c r="G235" s="42">
        <v>17.8</v>
      </c>
      <c r="H235" s="42">
        <v>193</v>
      </c>
      <c r="I235" s="42">
        <v>3800</v>
      </c>
      <c r="J235" s="42" t="s">
        <v>62</v>
      </c>
      <c r="K235" s="113">
        <v>1.8003927201600999E+19</v>
      </c>
    </row>
    <row r="236" spans="3:11" x14ac:dyDescent="0.3">
      <c r="C236" s="41" t="b">
        <v>0</v>
      </c>
      <c r="D236" s="42" t="s">
        <v>64</v>
      </c>
      <c r="E236" s="42" t="s">
        <v>63</v>
      </c>
      <c r="F236" s="42">
        <v>51.7</v>
      </c>
      <c r="G236" s="42">
        <v>20.3</v>
      </c>
      <c r="H236" s="42">
        <v>194</v>
      </c>
      <c r="I236" s="42">
        <v>3775</v>
      </c>
      <c r="J236" s="42" t="s">
        <v>60</v>
      </c>
      <c r="K236" s="113">
        <v>4.3983380049560301E+17</v>
      </c>
    </row>
    <row r="237" spans="3:11" x14ac:dyDescent="0.3">
      <c r="C237" s="41" t="b">
        <v>0</v>
      </c>
      <c r="D237" s="42" t="s">
        <v>64</v>
      </c>
      <c r="E237" s="42" t="s">
        <v>63</v>
      </c>
      <c r="F237" s="42">
        <v>47</v>
      </c>
      <c r="G237" s="42">
        <v>17.3</v>
      </c>
      <c r="H237" s="42">
        <v>185</v>
      </c>
      <c r="I237" s="42">
        <v>3700</v>
      </c>
      <c r="J237" s="42" t="s">
        <v>62</v>
      </c>
      <c r="K237" s="113">
        <v>2.8135423621485199E+18</v>
      </c>
    </row>
    <row r="238" spans="3:11" x14ac:dyDescent="0.3">
      <c r="C238" s="41" t="b">
        <v>0</v>
      </c>
      <c r="D238" s="42" t="s">
        <v>64</v>
      </c>
      <c r="E238" s="42" t="s">
        <v>63</v>
      </c>
      <c r="F238" s="42">
        <v>52</v>
      </c>
      <c r="G238" s="42">
        <v>18.100000000000001</v>
      </c>
      <c r="H238" s="42">
        <v>201</v>
      </c>
      <c r="I238" s="42">
        <v>4050</v>
      </c>
      <c r="J238" s="42" t="s">
        <v>60</v>
      </c>
      <c r="K238" s="113">
        <v>1.3085091876916201E+18</v>
      </c>
    </row>
    <row r="239" spans="3:11" x14ac:dyDescent="0.3">
      <c r="C239" s="41" t="b">
        <v>0</v>
      </c>
      <c r="D239" s="42" t="s">
        <v>64</v>
      </c>
      <c r="E239" s="42" t="s">
        <v>63</v>
      </c>
      <c r="F239" s="42">
        <v>45.9</v>
      </c>
      <c r="G239" s="42">
        <v>17.100000000000001</v>
      </c>
      <c r="H239" s="42">
        <v>190</v>
      </c>
      <c r="I239" s="42">
        <v>3575</v>
      </c>
      <c r="J239" s="42" t="s">
        <v>62</v>
      </c>
      <c r="K239" s="113">
        <v>2.7893823058998098E+18</v>
      </c>
    </row>
    <row r="240" spans="3:11" x14ac:dyDescent="0.3">
      <c r="C240" s="41" t="b">
        <v>0</v>
      </c>
      <c r="D240" s="42" t="s">
        <v>64</v>
      </c>
      <c r="E240" s="42" t="s">
        <v>63</v>
      </c>
      <c r="F240" s="42">
        <v>50.5</v>
      </c>
      <c r="G240" s="42">
        <v>19.600000000000001</v>
      </c>
      <c r="H240" s="42">
        <v>201</v>
      </c>
      <c r="I240" s="42">
        <v>4050</v>
      </c>
      <c r="J240" s="42" t="s">
        <v>60</v>
      </c>
      <c r="K240" s="113">
        <v>1.0858364236193901E+19</v>
      </c>
    </row>
    <row r="241" spans="3:11" x14ac:dyDescent="0.3">
      <c r="C241" s="41" t="b">
        <v>0</v>
      </c>
      <c r="D241" s="42" t="s">
        <v>64</v>
      </c>
      <c r="E241" s="42" t="s">
        <v>63</v>
      </c>
      <c r="F241" s="42">
        <v>50.3</v>
      </c>
      <c r="G241" s="42">
        <v>20</v>
      </c>
      <c r="H241" s="42">
        <v>197</v>
      </c>
      <c r="I241" s="42">
        <v>3300</v>
      </c>
      <c r="J241" s="42" t="s">
        <v>60</v>
      </c>
      <c r="K241" s="113">
        <v>1.1936085027793299E+19</v>
      </c>
    </row>
    <row r="242" spans="3:11" x14ac:dyDescent="0.3">
      <c r="C242" s="41" t="b">
        <v>0</v>
      </c>
      <c r="D242" s="42" t="s">
        <v>64</v>
      </c>
      <c r="E242" s="42" t="s">
        <v>63</v>
      </c>
      <c r="F242" s="42">
        <v>58</v>
      </c>
      <c r="G242" s="42">
        <v>17.8</v>
      </c>
      <c r="H242" s="42">
        <v>181</v>
      </c>
      <c r="I242" s="42">
        <v>3700</v>
      </c>
      <c r="J242" s="42" t="s">
        <v>62</v>
      </c>
      <c r="K242" s="113">
        <v>3.8075217954594601E+18</v>
      </c>
    </row>
    <row r="243" spans="3:11" x14ac:dyDescent="0.3">
      <c r="C243" s="41" t="b">
        <v>0</v>
      </c>
      <c r="D243" s="42" t="s">
        <v>64</v>
      </c>
      <c r="E243" s="42" t="s">
        <v>63</v>
      </c>
      <c r="F243" s="42">
        <v>46.4</v>
      </c>
      <c r="G243" s="42">
        <v>18.600000000000001</v>
      </c>
      <c r="H243" s="42">
        <v>190</v>
      </c>
      <c r="I243" s="42">
        <v>3450</v>
      </c>
      <c r="J243" s="42" t="s">
        <v>62</v>
      </c>
      <c r="K243" s="113">
        <v>1.6654802439337901E+17</v>
      </c>
    </row>
    <row r="244" spans="3:11" x14ac:dyDescent="0.3">
      <c r="C244" s="41" t="b">
        <v>0</v>
      </c>
      <c r="D244" s="42" t="s">
        <v>64</v>
      </c>
      <c r="E244" s="42" t="s">
        <v>63</v>
      </c>
      <c r="F244" s="42">
        <v>49.2</v>
      </c>
      <c r="G244" s="42">
        <v>18.2</v>
      </c>
      <c r="H244" s="42">
        <v>195</v>
      </c>
      <c r="I244" s="42">
        <v>4400</v>
      </c>
      <c r="J244" s="42" t="s">
        <v>60</v>
      </c>
      <c r="K244" s="113">
        <v>1.57958055696774E+19</v>
      </c>
    </row>
    <row r="245" spans="3:11" x14ac:dyDescent="0.3">
      <c r="C245" s="41" t="b">
        <v>0</v>
      </c>
      <c r="D245" s="42" t="s">
        <v>64</v>
      </c>
      <c r="E245" s="42" t="s">
        <v>63</v>
      </c>
      <c r="F245" s="42">
        <v>42.4</v>
      </c>
      <c r="G245" s="42">
        <v>17.3</v>
      </c>
      <c r="H245" s="42">
        <v>181</v>
      </c>
      <c r="I245" s="42">
        <v>3600</v>
      </c>
      <c r="J245" s="42" t="s">
        <v>62</v>
      </c>
      <c r="K245" s="113">
        <v>2.3172977270628101E+18</v>
      </c>
    </row>
    <row r="246" spans="3:11" x14ac:dyDescent="0.3">
      <c r="C246" s="41" t="b">
        <v>0</v>
      </c>
      <c r="D246" s="42" t="s">
        <v>64</v>
      </c>
      <c r="E246" s="42" t="s">
        <v>63</v>
      </c>
      <c r="F246" s="42">
        <v>48.5</v>
      </c>
      <c r="G246" s="42">
        <v>17.5</v>
      </c>
      <c r="H246" s="42">
        <v>191</v>
      </c>
      <c r="I246" s="42">
        <v>3400</v>
      </c>
      <c r="J246" s="42" t="s">
        <v>60</v>
      </c>
      <c r="K246" s="113">
        <v>4.6253726503710597E+18</v>
      </c>
    </row>
    <row r="247" spans="3:11" x14ac:dyDescent="0.3">
      <c r="C247" s="41" t="b">
        <v>0</v>
      </c>
      <c r="D247" s="42" t="s">
        <v>64</v>
      </c>
      <c r="E247" s="42" t="s">
        <v>63</v>
      </c>
      <c r="F247" s="42">
        <v>43.2</v>
      </c>
      <c r="G247" s="42">
        <v>16.600000000000001</v>
      </c>
      <c r="H247" s="42">
        <v>187</v>
      </c>
      <c r="I247" s="42">
        <v>2900</v>
      </c>
      <c r="J247" s="42" t="s">
        <v>62</v>
      </c>
      <c r="K247" s="113">
        <v>1.0496119972270299E+19</v>
      </c>
    </row>
    <row r="248" spans="3:11" x14ac:dyDescent="0.3">
      <c r="C248" s="41" t="b">
        <v>0</v>
      </c>
      <c r="D248" s="42" t="s">
        <v>64</v>
      </c>
      <c r="E248" s="42" t="s">
        <v>63</v>
      </c>
      <c r="F248" s="42">
        <v>50.6</v>
      </c>
      <c r="G248" s="42">
        <v>19.399999999999999</v>
      </c>
      <c r="H248" s="42">
        <v>193</v>
      </c>
      <c r="I248" s="42">
        <v>3800</v>
      </c>
      <c r="J248" s="42" t="s">
        <v>60</v>
      </c>
      <c r="K248" s="113">
        <v>8.8481663154088102E+17</v>
      </c>
    </row>
    <row r="249" spans="3:11" x14ac:dyDescent="0.3">
      <c r="C249" s="41" t="b">
        <v>0</v>
      </c>
      <c r="D249" s="42" t="s">
        <v>64</v>
      </c>
      <c r="E249" s="42" t="s">
        <v>63</v>
      </c>
      <c r="F249" s="42">
        <v>46.7</v>
      </c>
      <c r="G249" s="42">
        <v>17.899999999999999</v>
      </c>
      <c r="H249" s="42">
        <v>195</v>
      </c>
      <c r="I249" s="42">
        <v>3300</v>
      </c>
      <c r="J249" s="42" t="s">
        <v>62</v>
      </c>
      <c r="K249" s="113">
        <v>8.1877149676825395E+17</v>
      </c>
    </row>
    <row r="250" spans="3:11" x14ac:dyDescent="0.3">
      <c r="C250" s="41" t="b">
        <v>0</v>
      </c>
      <c r="D250" s="42" t="s">
        <v>64</v>
      </c>
      <c r="E250" s="42" t="s">
        <v>63</v>
      </c>
      <c r="F250" s="42">
        <v>52</v>
      </c>
      <c r="G250" s="42">
        <v>19</v>
      </c>
      <c r="H250" s="42">
        <v>197</v>
      </c>
      <c r="I250" s="42">
        <v>4150</v>
      </c>
      <c r="J250" s="42" t="s">
        <v>60</v>
      </c>
      <c r="K250" s="113">
        <v>1.31593490096854E+19</v>
      </c>
    </row>
    <row r="251" spans="3:11" x14ac:dyDescent="0.3">
      <c r="C251" s="41" t="b">
        <v>0</v>
      </c>
      <c r="D251" s="42" t="s">
        <v>64</v>
      </c>
      <c r="E251" s="42" t="s">
        <v>63</v>
      </c>
      <c r="F251" s="42">
        <v>50.5</v>
      </c>
      <c r="G251" s="42">
        <v>18.399999999999999</v>
      </c>
      <c r="H251" s="42">
        <v>200</v>
      </c>
      <c r="I251" s="42">
        <v>3400</v>
      </c>
      <c r="J251" s="42" t="s">
        <v>62</v>
      </c>
      <c r="K251" s="113">
        <v>1.6477134864116699E+19</v>
      </c>
    </row>
    <row r="252" spans="3:11" x14ac:dyDescent="0.3">
      <c r="C252" s="41" t="b">
        <v>0</v>
      </c>
      <c r="D252" s="42" t="s">
        <v>64</v>
      </c>
      <c r="E252" s="42" t="s">
        <v>63</v>
      </c>
      <c r="F252" s="42">
        <v>49.5</v>
      </c>
      <c r="G252" s="42">
        <v>19</v>
      </c>
      <c r="H252" s="42">
        <v>200</v>
      </c>
      <c r="I252" s="42">
        <v>3800</v>
      </c>
      <c r="J252" s="42" t="s">
        <v>60</v>
      </c>
      <c r="K252" s="113">
        <v>1.5083797748431301E+19</v>
      </c>
    </row>
    <row r="253" spans="3:11" x14ac:dyDescent="0.3">
      <c r="C253" s="41" t="b">
        <v>0</v>
      </c>
      <c r="D253" s="42" t="s">
        <v>64</v>
      </c>
      <c r="E253" s="42" t="s">
        <v>63</v>
      </c>
      <c r="F253" s="42">
        <v>46.4</v>
      </c>
      <c r="G253" s="42">
        <v>17.8</v>
      </c>
      <c r="H253" s="42">
        <v>191</v>
      </c>
      <c r="I253" s="42">
        <v>3700</v>
      </c>
      <c r="J253" s="42" t="s">
        <v>62</v>
      </c>
      <c r="K253" s="113">
        <v>1.1925964868391299E+19</v>
      </c>
    </row>
    <row r="254" spans="3:11" x14ac:dyDescent="0.3">
      <c r="C254" s="41" t="b">
        <v>0</v>
      </c>
      <c r="D254" s="42" t="s">
        <v>64</v>
      </c>
      <c r="E254" s="42" t="s">
        <v>63</v>
      </c>
      <c r="F254" s="42">
        <v>52.8</v>
      </c>
      <c r="G254" s="42">
        <v>20</v>
      </c>
      <c r="H254" s="42">
        <v>205</v>
      </c>
      <c r="I254" s="42">
        <v>4550</v>
      </c>
      <c r="J254" s="42" t="s">
        <v>60</v>
      </c>
      <c r="K254" s="113">
        <v>1.7656448586037201E+19</v>
      </c>
    </row>
    <row r="255" spans="3:11" x14ac:dyDescent="0.3">
      <c r="C255" s="41" t="b">
        <v>0</v>
      </c>
      <c r="D255" s="42" t="s">
        <v>64</v>
      </c>
      <c r="E255" s="42" t="s">
        <v>63</v>
      </c>
      <c r="F255" s="42">
        <v>40.9</v>
      </c>
      <c r="G255" s="42">
        <v>16.600000000000001</v>
      </c>
      <c r="H255" s="42">
        <v>187</v>
      </c>
      <c r="I255" s="42">
        <v>3200</v>
      </c>
      <c r="J255" s="42" t="s">
        <v>62</v>
      </c>
      <c r="K255" s="113">
        <v>1.1765892529133099E+19</v>
      </c>
    </row>
    <row r="256" spans="3:11" x14ac:dyDescent="0.3">
      <c r="C256" s="41" t="b">
        <v>0</v>
      </c>
      <c r="D256" s="42" t="s">
        <v>64</v>
      </c>
      <c r="E256" s="42" t="s">
        <v>63</v>
      </c>
      <c r="F256" s="42">
        <v>54.2</v>
      </c>
      <c r="G256" s="42">
        <v>20.8</v>
      </c>
      <c r="H256" s="42">
        <v>201</v>
      </c>
      <c r="I256" s="42">
        <v>4300</v>
      </c>
      <c r="J256" s="42" t="s">
        <v>60</v>
      </c>
      <c r="K256" s="113">
        <v>1.52098301820009E+19</v>
      </c>
    </row>
    <row r="257" spans="3:11" x14ac:dyDescent="0.3">
      <c r="C257" s="41" t="b">
        <v>0</v>
      </c>
      <c r="D257" s="42" t="s">
        <v>64</v>
      </c>
      <c r="E257" s="42" t="s">
        <v>63</v>
      </c>
      <c r="F257" s="42">
        <v>42.5</v>
      </c>
      <c r="G257" s="42">
        <v>16.7</v>
      </c>
      <c r="H257" s="42">
        <v>187</v>
      </c>
      <c r="I257" s="42">
        <v>3350</v>
      </c>
      <c r="J257" s="42" t="s">
        <v>62</v>
      </c>
      <c r="K257" s="113">
        <v>9.3288569214805504E+18</v>
      </c>
    </row>
    <row r="258" spans="3:11" x14ac:dyDescent="0.3">
      <c r="C258" s="41" t="b">
        <v>0</v>
      </c>
      <c r="D258" s="42" t="s">
        <v>64</v>
      </c>
      <c r="E258" s="42" t="s">
        <v>63</v>
      </c>
      <c r="F258" s="42">
        <v>51</v>
      </c>
      <c r="G258" s="42">
        <v>18.8</v>
      </c>
      <c r="H258" s="42">
        <v>203</v>
      </c>
      <c r="I258" s="42">
        <v>4100</v>
      </c>
      <c r="J258" s="42" t="s">
        <v>60</v>
      </c>
      <c r="K258" s="113">
        <v>1.72381787252444E+19</v>
      </c>
    </row>
    <row r="259" spans="3:11" x14ac:dyDescent="0.3">
      <c r="C259" s="41" t="b">
        <v>0</v>
      </c>
      <c r="D259" s="42" t="s">
        <v>64</v>
      </c>
      <c r="E259" s="42" t="s">
        <v>63</v>
      </c>
      <c r="F259" s="42">
        <v>49.7</v>
      </c>
      <c r="G259" s="42">
        <v>18.600000000000001</v>
      </c>
      <c r="H259" s="42">
        <v>195</v>
      </c>
      <c r="I259" s="42">
        <v>3600</v>
      </c>
      <c r="J259" s="42" t="s">
        <v>60</v>
      </c>
      <c r="K259" s="113">
        <v>1.0759618615850899E+19</v>
      </c>
    </row>
    <row r="260" spans="3:11" x14ac:dyDescent="0.3">
      <c r="C260" s="41" t="b">
        <v>0</v>
      </c>
      <c r="D260" s="42" t="s">
        <v>64</v>
      </c>
      <c r="E260" s="42" t="s">
        <v>63</v>
      </c>
      <c r="F260" s="42">
        <v>47.5</v>
      </c>
      <c r="G260" s="42">
        <v>16.8</v>
      </c>
      <c r="H260" s="42">
        <v>199</v>
      </c>
      <c r="I260" s="42">
        <v>3900</v>
      </c>
      <c r="J260" s="42" t="s">
        <v>62</v>
      </c>
      <c r="K260" s="113">
        <v>1.16578132369537E+19</v>
      </c>
    </row>
    <row r="261" spans="3:11" x14ac:dyDescent="0.3">
      <c r="C261" s="41" t="b">
        <v>0</v>
      </c>
      <c r="D261" s="42" t="s">
        <v>64</v>
      </c>
      <c r="E261" s="42" t="s">
        <v>63</v>
      </c>
      <c r="F261" s="42">
        <v>47.6</v>
      </c>
      <c r="G261" s="42">
        <v>18.3</v>
      </c>
      <c r="H261" s="42">
        <v>195</v>
      </c>
      <c r="I261" s="42">
        <v>3850</v>
      </c>
      <c r="J261" s="42" t="s">
        <v>62</v>
      </c>
      <c r="K261" s="113">
        <v>1.20352275573416E+19</v>
      </c>
    </row>
    <row r="262" spans="3:11" x14ac:dyDescent="0.3">
      <c r="C262" s="41" t="b">
        <v>0</v>
      </c>
      <c r="D262" s="42" t="s">
        <v>64</v>
      </c>
      <c r="E262" s="42" t="s">
        <v>63</v>
      </c>
      <c r="F262" s="42">
        <v>52</v>
      </c>
      <c r="G262" s="42">
        <v>20.7</v>
      </c>
      <c r="H262" s="42">
        <v>210</v>
      </c>
      <c r="I262" s="42">
        <v>4800</v>
      </c>
      <c r="J262" s="42" t="s">
        <v>60</v>
      </c>
      <c r="K262" s="113">
        <v>3.1880421927616799E+18</v>
      </c>
    </row>
    <row r="263" spans="3:11" x14ac:dyDescent="0.3">
      <c r="C263" s="41" t="b">
        <v>0</v>
      </c>
      <c r="D263" s="42" t="s">
        <v>64</v>
      </c>
      <c r="E263" s="42" t="s">
        <v>63</v>
      </c>
      <c r="F263" s="42">
        <v>46.9</v>
      </c>
      <c r="G263" s="42">
        <v>16.600000000000001</v>
      </c>
      <c r="H263" s="42">
        <v>192</v>
      </c>
      <c r="I263" s="42">
        <v>2700</v>
      </c>
      <c r="J263" s="42" t="s">
        <v>62</v>
      </c>
      <c r="K263" s="113">
        <v>1.4742197858274099E+19</v>
      </c>
    </row>
    <row r="264" spans="3:11" x14ac:dyDescent="0.3">
      <c r="C264" s="41" t="b">
        <v>0</v>
      </c>
      <c r="D264" s="42" t="s">
        <v>64</v>
      </c>
      <c r="E264" s="42" t="s">
        <v>63</v>
      </c>
      <c r="F264" s="42">
        <v>53.5</v>
      </c>
      <c r="G264" s="42">
        <v>19.899999999999999</v>
      </c>
      <c r="H264" s="42">
        <v>205</v>
      </c>
      <c r="I264" s="42">
        <v>4500</v>
      </c>
      <c r="J264" s="42" t="s">
        <v>60</v>
      </c>
      <c r="K264" s="113">
        <v>9.1800682548200796E+18</v>
      </c>
    </row>
    <row r="265" spans="3:11" x14ac:dyDescent="0.3">
      <c r="C265" s="41" t="b">
        <v>0</v>
      </c>
      <c r="D265" s="42" t="s">
        <v>64</v>
      </c>
      <c r="E265" s="42" t="s">
        <v>63</v>
      </c>
      <c r="F265" s="42">
        <v>49</v>
      </c>
      <c r="G265" s="42">
        <v>19.5</v>
      </c>
      <c r="H265" s="42">
        <v>210</v>
      </c>
      <c r="I265" s="42">
        <v>3950</v>
      </c>
      <c r="J265" s="42" t="s">
        <v>60</v>
      </c>
      <c r="K265" s="113">
        <v>6.7772440141696502E+18</v>
      </c>
    </row>
    <row r="266" spans="3:11" x14ac:dyDescent="0.3">
      <c r="C266" s="41" t="b">
        <v>0</v>
      </c>
      <c r="D266" s="42" t="s">
        <v>64</v>
      </c>
      <c r="E266" s="42" t="s">
        <v>63</v>
      </c>
      <c r="F266" s="42">
        <v>46.2</v>
      </c>
      <c r="G266" s="42">
        <v>17.5</v>
      </c>
      <c r="H266" s="42">
        <v>187</v>
      </c>
      <c r="I266" s="42">
        <v>3650</v>
      </c>
      <c r="J266" s="42" t="s">
        <v>62</v>
      </c>
      <c r="K266" s="113">
        <v>8.3166311922873098E+18</v>
      </c>
    </row>
    <row r="267" spans="3:11" x14ac:dyDescent="0.3">
      <c r="C267" s="41" t="b">
        <v>0</v>
      </c>
      <c r="D267" s="42" t="s">
        <v>64</v>
      </c>
      <c r="E267" s="42" t="s">
        <v>63</v>
      </c>
      <c r="F267" s="42">
        <v>50.9</v>
      </c>
      <c r="G267" s="42">
        <v>19.100000000000001</v>
      </c>
      <c r="H267" s="42">
        <v>196</v>
      </c>
      <c r="I267" s="42">
        <v>3550</v>
      </c>
      <c r="J267" s="42" t="s">
        <v>60</v>
      </c>
      <c r="K267" s="113">
        <v>6.55980046943219E+18</v>
      </c>
    </row>
    <row r="268" spans="3:11" x14ac:dyDescent="0.3">
      <c r="C268" s="41" t="b">
        <v>0</v>
      </c>
      <c r="D268" s="42" t="s">
        <v>64</v>
      </c>
      <c r="E268" s="42" t="s">
        <v>63</v>
      </c>
      <c r="F268" s="42">
        <v>45.5</v>
      </c>
      <c r="G268" s="42">
        <v>17</v>
      </c>
      <c r="H268" s="42">
        <v>196</v>
      </c>
      <c r="I268" s="42">
        <v>3500</v>
      </c>
      <c r="J268" s="42" t="s">
        <v>62</v>
      </c>
      <c r="K268" s="113">
        <v>1.0560823087343901E+19</v>
      </c>
    </row>
    <row r="269" spans="3:11" x14ac:dyDescent="0.3">
      <c r="C269" s="41" t="b">
        <v>0</v>
      </c>
      <c r="D269" s="42" t="s">
        <v>64</v>
      </c>
      <c r="E269" s="42" t="s">
        <v>63</v>
      </c>
      <c r="F269" s="42">
        <v>50.9</v>
      </c>
      <c r="G269" s="42">
        <v>17.899999999999999</v>
      </c>
      <c r="H269" s="42">
        <v>196</v>
      </c>
      <c r="I269" s="42">
        <v>3675</v>
      </c>
      <c r="J269" s="42" t="s">
        <v>62</v>
      </c>
      <c r="K269" s="113">
        <v>1.40368187680833E+19</v>
      </c>
    </row>
    <row r="270" spans="3:11" x14ac:dyDescent="0.3">
      <c r="C270" s="41" t="b">
        <v>0</v>
      </c>
      <c r="D270" s="42" t="s">
        <v>64</v>
      </c>
      <c r="E270" s="42" t="s">
        <v>63</v>
      </c>
      <c r="F270" s="42">
        <v>50.8</v>
      </c>
      <c r="G270" s="42">
        <v>18.5</v>
      </c>
      <c r="H270" s="42">
        <v>201</v>
      </c>
      <c r="I270" s="42">
        <v>4450</v>
      </c>
      <c r="J270" s="42" t="s">
        <v>60</v>
      </c>
      <c r="K270" s="113">
        <v>1.36910680302416E+18</v>
      </c>
    </row>
    <row r="271" spans="3:11" x14ac:dyDescent="0.3">
      <c r="C271" s="41" t="b">
        <v>0</v>
      </c>
      <c r="D271" s="42" t="s">
        <v>64</v>
      </c>
      <c r="E271" s="42" t="s">
        <v>63</v>
      </c>
      <c r="F271" s="42">
        <v>50.1</v>
      </c>
      <c r="G271" s="42">
        <v>17.899999999999999</v>
      </c>
      <c r="H271" s="42">
        <v>190</v>
      </c>
      <c r="I271" s="42">
        <v>3400</v>
      </c>
      <c r="J271" s="42" t="s">
        <v>62</v>
      </c>
      <c r="K271" s="113">
        <v>4.30271836860286E+18</v>
      </c>
    </row>
    <row r="272" spans="3:11" x14ac:dyDescent="0.3">
      <c r="C272" s="41" t="b">
        <v>0</v>
      </c>
      <c r="D272" s="42" t="s">
        <v>64</v>
      </c>
      <c r="E272" s="42" t="s">
        <v>63</v>
      </c>
      <c r="F272" s="42">
        <v>49</v>
      </c>
      <c r="G272" s="42">
        <v>19.600000000000001</v>
      </c>
      <c r="H272" s="42">
        <v>212</v>
      </c>
      <c r="I272" s="42">
        <v>4300</v>
      </c>
      <c r="J272" s="42" t="s">
        <v>60</v>
      </c>
      <c r="K272" s="113">
        <v>1.1488219144594801E+19</v>
      </c>
    </row>
    <row r="273" spans="3:11" x14ac:dyDescent="0.3">
      <c r="C273" s="41" t="b">
        <v>0</v>
      </c>
      <c r="D273" s="42" t="s">
        <v>64</v>
      </c>
      <c r="E273" s="42" t="s">
        <v>63</v>
      </c>
      <c r="F273" s="42">
        <v>51.5</v>
      </c>
      <c r="G273" s="42">
        <v>18.7</v>
      </c>
      <c r="H273" s="42">
        <v>187</v>
      </c>
      <c r="I273" s="42">
        <v>3250</v>
      </c>
      <c r="J273" s="42" t="s">
        <v>60</v>
      </c>
      <c r="K273" s="113">
        <v>4.7608851354200003E+18</v>
      </c>
    </row>
    <row r="274" spans="3:11" x14ac:dyDescent="0.3">
      <c r="C274" s="41" t="b">
        <v>0</v>
      </c>
      <c r="D274" s="42" t="s">
        <v>64</v>
      </c>
      <c r="E274" s="42" t="s">
        <v>63</v>
      </c>
      <c r="F274" s="42">
        <v>49.8</v>
      </c>
      <c r="G274" s="42">
        <v>17.3</v>
      </c>
      <c r="H274" s="42">
        <v>198</v>
      </c>
      <c r="I274" s="42">
        <v>3675</v>
      </c>
      <c r="J274" s="42" t="s">
        <v>62</v>
      </c>
      <c r="K274" s="113">
        <v>1.0303867977654901E+19</v>
      </c>
    </row>
    <row r="275" spans="3:11" x14ac:dyDescent="0.3">
      <c r="C275" s="41" t="b">
        <v>0</v>
      </c>
      <c r="D275" s="42" t="s">
        <v>64</v>
      </c>
      <c r="E275" s="42" t="s">
        <v>63</v>
      </c>
      <c r="F275" s="42">
        <v>48.1</v>
      </c>
      <c r="G275" s="42">
        <v>16.399999999999999</v>
      </c>
      <c r="H275" s="42">
        <v>199</v>
      </c>
      <c r="I275" s="42">
        <v>3325</v>
      </c>
      <c r="J275" s="42" t="s">
        <v>62</v>
      </c>
      <c r="K275" s="113">
        <v>2.6470884175338199E+18</v>
      </c>
    </row>
    <row r="276" spans="3:11" x14ac:dyDescent="0.3">
      <c r="C276" s="41" t="b">
        <v>0</v>
      </c>
      <c r="D276" s="42" t="s">
        <v>64</v>
      </c>
      <c r="E276" s="42" t="s">
        <v>63</v>
      </c>
      <c r="F276" s="42">
        <v>51.4</v>
      </c>
      <c r="G276" s="42">
        <v>19</v>
      </c>
      <c r="H276" s="42">
        <v>201</v>
      </c>
      <c r="I276" s="42">
        <v>3950</v>
      </c>
      <c r="J276" s="42" t="s">
        <v>60</v>
      </c>
      <c r="K276" s="113">
        <v>1.6484510042108299E+19</v>
      </c>
    </row>
    <row r="277" spans="3:11" x14ac:dyDescent="0.3">
      <c r="C277" s="41" t="b">
        <v>0</v>
      </c>
      <c r="D277" s="42" t="s">
        <v>64</v>
      </c>
      <c r="E277" s="42" t="s">
        <v>63</v>
      </c>
      <c r="F277" s="42">
        <v>45.7</v>
      </c>
      <c r="G277" s="42">
        <v>17.3</v>
      </c>
      <c r="H277" s="42">
        <v>193</v>
      </c>
      <c r="I277" s="42">
        <v>3600</v>
      </c>
      <c r="J277" s="42" t="s">
        <v>62</v>
      </c>
      <c r="K277" s="113">
        <v>1.41572112874652E+19</v>
      </c>
    </row>
    <row r="278" spans="3:11" x14ac:dyDescent="0.3">
      <c r="C278" s="41" t="b">
        <v>0</v>
      </c>
      <c r="D278" s="42" t="s">
        <v>64</v>
      </c>
      <c r="E278" s="42" t="s">
        <v>63</v>
      </c>
      <c r="F278" s="42">
        <v>50.7</v>
      </c>
      <c r="G278" s="42">
        <v>19.7</v>
      </c>
      <c r="H278" s="42">
        <v>203</v>
      </c>
      <c r="I278" s="42">
        <v>4050</v>
      </c>
      <c r="J278" s="42" t="s">
        <v>60</v>
      </c>
      <c r="K278" s="113">
        <v>1.84431472905421E+19</v>
      </c>
    </row>
    <row r="279" spans="3:11" x14ac:dyDescent="0.3">
      <c r="C279" s="41" t="b">
        <v>0</v>
      </c>
      <c r="D279" s="42" t="s">
        <v>64</v>
      </c>
      <c r="E279" s="42" t="s">
        <v>63</v>
      </c>
      <c r="F279" s="42">
        <v>42.5</v>
      </c>
      <c r="G279" s="42">
        <v>17.3</v>
      </c>
      <c r="H279" s="42">
        <v>187</v>
      </c>
      <c r="I279" s="42">
        <v>3350</v>
      </c>
      <c r="J279" s="42" t="s">
        <v>62</v>
      </c>
      <c r="K279" s="113">
        <v>9.2555410663873495E+18</v>
      </c>
    </row>
    <row r="280" spans="3:11" x14ac:dyDescent="0.3">
      <c r="C280" s="41" t="b">
        <v>0</v>
      </c>
      <c r="D280" s="42" t="s">
        <v>64</v>
      </c>
      <c r="E280" s="42" t="s">
        <v>63</v>
      </c>
      <c r="F280" s="42">
        <v>52.2</v>
      </c>
      <c r="G280" s="42">
        <v>18.8</v>
      </c>
      <c r="H280" s="42">
        <v>197</v>
      </c>
      <c r="I280" s="42">
        <v>3450</v>
      </c>
      <c r="J280" s="42" t="s">
        <v>60</v>
      </c>
      <c r="K280" s="113">
        <v>1.7223679116435401E+19</v>
      </c>
    </row>
    <row r="281" spans="3:11" x14ac:dyDescent="0.3">
      <c r="C281" s="41" t="b">
        <v>0</v>
      </c>
      <c r="D281" s="42" t="s">
        <v>64</v>
      </c>
      <c r="E281" s="42" t="s">
        <v>63</v>
      </c>
      <c r="F281" s="42">
        <v>45.2</v>
      </c>
      <c r="G281" s="42">
        <v>16.600000000000001</v>
      </c>
      <c r="H281" s="42">
        <v>191</v>
      </c>
      <c r="I281" s="42">
        <v>3250</v>
      </c>
      <c r="J281" s="42" t="s">
        <v>62</v>
      </c>
      <c r="K281" s="113">
        <v>1.30145858338868E+19</v>
      </c>
    </row>
    <row r="282" spans="3:11" x14ac:dyDescent="0.3">
      <c r="C282" s="41" t="b">
        <v>0</v>
      </c>
      <c r="D282" s="42" t="s">
        <v>64</v>
      </c>
      <c r="E282" s="42" t="s">
        <v>63</v>
      </c>
      <c r="F282" s="42">
        <v>49.3</v>
      </c>
      <c r="G282" s="42">
        <v>19.899999999999999</v>
      </c>
      <c r="H282" s="42">
        <v>203</v>
      </c>
      <c r="I282" s="42">
        <v>4050</v>
      </c>
      <c r="J282" s="42" t="s">
        <v>60</v>
      </c>
      <c r="K282" s="113">
        <v>1.23703485459625E+19</v>
      </c>
    </row>
    <row r="283" spans="3:11" x14ac:dyDescent="0.3">
      <c r="C283" s="41" t="b">
        <v>0</v>
      </c>
      <c r="D283" s="42" t="s">
        <v>64</v>
      </c>
      <c r="E283" s="42" t="s">
        <v>63</v>
      </c>
      <c r="F283" s="42">
        <v>50.2</v>
      </c>
      <c r="G283" s="42">
        <v>18.8</v>
      </c>
      <c r="H283" s="42">
        <v>202</v>
      </c>
      <c r="I283" s="42">
        <v>3800</v>
      </c>
      <c r="J283" s="42" t="s">
        <v>60</v>
      </c>
      <c r="K283" s="113">
        <v>1.0266919435496499E+19</v>
      </c>
    </row>
    <row r="284" spans="3:11" x14ac:dyDescent="0.3">
      <c r="C284" s="41" t="b">
        <v>0</v>
      </c>
      <c r="D284" s="42" t="s">
        <v>64</v>
      </c>
      <c r="E284" s="42" t="s">
        <v>63</v>
      </c>
      <c r="F284" s="42">
        <v>45.6</v>
      </c>
      <c r="G284" s="42">
        <v>19.399999999999999</v>
      </c>
      <c r="H284" s="42">
        <v>194</v>
      </c>
      <c r="I284" s="42">
        <v>3525</v>
      </c>
      <c r="J284" s="42" t="s">
        <v>62</v>
      </c>
      <c r="K284" s="113">
        <v>7.9466794347876096E+18</v>
      </c>
    </row>
    <row r="285" spans="3:11" x14ac:dyDescent="0.3">
      <c r="C285" s="41" t="b">
        <v>0</v>
      </c>
      <c r="D285" s="42" t="s">
        <v>64</v>
      </c>
      <c r="E285" s="42" t="s">
        <v>63</v>
      </c>
      <c r="F285" s="42">
        <v>51.9</v>
      </c>
      <c r="G285" s="42">
        <v>19.5</v>
      </c>
      <c r="H285" s="42">
        <v>206</v>
      </c>
      <c r="I285" s="42">
        <v>3950</v>
      </c>
      <c r="J285" s="42" t="s">
        <v>60</v>
      </c>
      <c r="K285" s="113">
        <v>9.1713615052701901E+17</v>
      </c>
    </row>
    <row r="286" spans="3:11" x14ac:dyDescent="0.3">
      <c r="C286" s="41" t="b">
        <v>0</v>
      </c>
      <c r="D286" s="42" t="s">
        <v>64</v>
      </c>
      <c r="E286" s="42" t="s">
        <v>63</v>
      </c>
      <c r="F286" s="42">
        <v>46.8</v>
      </c>
      <c r="G286" s="42">
        <v>16.5</v>
      </c>
      <c r="H286" s="42">
        <v>189</v>
      </c>
      <c r="I286" s="42">
        <v>3650</v>
      </c>
      <c r="J286" s="42" t="s">
        <v>62</v>
      </c>
      <c r="K286" s="113">
        <v>7.8096324853892096E+18</v>
      </c>
    </row>
    <row r="287" spans="3:11" x14ac:dyDescent="0.3">
      <c r="C287" s="41" t="b">
        <v>0</v>
      </c>
      <c r="D287" s="42" t="s">
        <v>64</v>
      </c>
      <c r="E287" s="42" t="s">
        <v>63</v>
      </c>
      <c r="F287" s="42">
        <v>45.7</v>
      </c>
      <c r="G287" s="42">
        <v>17</v>
      </c>
      <c r="H287" s="42">
        <v>195</v>
      </c>
      <c r="I287" s="42">
        <v>3650</v>
      </c>
      <c r="J287" s="42" t="s">
        <v>62</v>
      </c>
      <c r="K287" s="113">
        <v>1.0959837622582999E+19</v>
      </c>
    </row>
    <row r="288" spans="3:11" x14ac:dyDescent="0.3">
      <c r="C288" s="41" t="b">
        <v>0</v>
      </c>
      <c r="D288" s="42" t="s">
        <v>64</v>
      </c>
      <c r="E288" s="42" t="s">
        <v>63</v>
      </c>
      <c r="F288" s="42">
        <v>55.8</v>
      </c>
      <c r="G288" s="42">
        <v>19.8</v>
      </c>
      <c r="H288" s="42">
        <v>207</v>
      </c>
      <c r="I288" s="42">
        <v>4000</v>
      </c>
      <c r="J288" s="42" t="s">
        <v>60</v>
      </c>
      <c r="K288" s="113">
        <v>1.27433230295958E+19</v>
      </c>
    </row>
    <row r="289" spans="3:11" x14ac:dyDescent="0.3">
      <c r="C289" s="41" t="b">
        <v>0</v>
      </c>
      <c r="D289" s="42" t="s">
        <v>64</v>
      </c>
      <c r="E289" s="42" t="s">
        <v>63</v>
      </c>
      <c r="F289" s="42">
        <v>43.5</v>
      </c>
      <c r="G289" s="42">
        <v>18.100000000000001</v>
      </c>
      <c r="H289" s="42">
        <v>202</v>
      </c>
      <c r="I289" s="42">
        <v>3400</v>
      </c>
      <c r="J289" s="42" t="s">
        <v>62</v>
      </c>
      <c r="K289" s="113">
        <v>1.2771879642467799E+19</v>
      </c>
    </row>
    <row r="290" spans="3:11" x14ac:dyDescent="0.3">
      <c r="C290" s="41" t="b">
        <v>0</v>
      </c>
      <c r="D290" s="42" t="s">
        <v>64</v>
      </c>
      <c r="E290" s="42" t="s">
        <v>63</v>
      </c>
      <c r="F290" s="42">
        <v>49.6</v>
      </c>
      <c r="G290" s="42">
        <v>18.2</v>
      </c>
      <c r="H290" s="42">
        <v>193</v>
      </c>
      <c r="I290" s="42">
        <v>3775</v>
      </c>
      <c r="J290" s="42" t="s">
        <v>60</v>
      </c>
      <c r="K290" s="113">
        <v>1.4361576070868601E+19</v>
      </c>
    </row>
    <row r="291" spans="3:11" x14ac:dyDescent="0.3">
      <c r="C291" s="41" t="b">
        <v>0</v>
      </c>
      <c r="D291" s="42" t="s">
        <v>64</v>
      </c>
      <c r="E291" s="42" t="s">
        <v>63</v>
      </c>
      <c r="F291" s="42">
        <v>50.8</v>
      </c>
      <c r="G291" s="42">
        <v>19</v>
      </c>
      <c r="H291" s="42">
        <v>210</v>
      </c>
      <c r="I291" s="42">
        <v>4100</v>
      </c>
      <c r="J291" s="42" t="s">
        <v>60</v>
      </c>
      <c r="K291" s="113">
        <v>3.8790941156545198E+18</v>
      </c>
    </row>
    <row r="292" spans="3:11" x14ac:dyDescent="0.3">
      <c r="C292" s="41" t="b">
        <v>0</v>
      </c>
      <c r="D292" s="42" t="s">
        <v>64</v>
      </c>
      <c r="E292" s="42" t="s">
        <v>63</v>
      </c>
      <c r="F292" s="42">
        <v>50.2</v>
      </c>
      <c r="G292" s="42">
        <v>18.7</v>
      </c>
      <c r="H292" s="42">
        <v>198</v>
      </c>
      <c r="I292" s="42">
        <v>3775</v>
      </c>
      <c r="J292" s="42" t="s">
        <v>62</v>
      </c>
      <c r="K292" s="113">
        <v>1.3631265830640501E+19</v>
      </c>
    </row>
    <row r="293" spans="3:11" x14ac:dyDescent="0.3">
      <c r="C293" s="41" t="b">
        <v>0</v>
      </c>
      <c r="D293" s="42" t="s">
        <v>65</v>
      </c>
      <c r="E293" s="42" t="s">
        <v>58</v>
      </c>
      <c r="F293" s="42">
        <v>46.1</v>
      </c>
      <c r="G293" s="42">
        <v>13.2</v>
      </c>
      <c r="H293" s="42">
        <v>211</v>
      </c>
      <c r="I293" s="42">
        <v>4500</v>
      </c>
      <c r="J293" s="42" t="s">
        <v>62</v>
      </c>
      <c r="K293" s="113">
        <v>1.09379795601112E+19</v>
      </c>
    </row>
    <row r="294" spans="3:11" x14ac:dyDescent="0.3">
      <c r="C294" s="41" t="b">
        <v>0</v>
      </c>
      <c r="D294" s="42" t="s">
        <v>65</v>
      </c>
      <c r="E294" s="42" t="s">
        <v>58</v>
      </c>
      <c r="F294" s="42">
        <v>50</v>
      </c>
      <c r="G294" s="42">
        <v>16.3</v>
      </c>
      <c r="H294" s="42">
        <v>230</v>
      </c>
      <c r="I294" s="42">
        <v>5700</v>
      </c>
      <c r="J294" s="42" t="s">
        <v>60</v>
      </c>
      <c r="K294" s="113">
        <v>9.9606283720559002E+18</v>
      </c>
    </row>
    <row r="295" spans="3:11" x14ac:dyDescent="0.3">
      <c r="C295" s="41" t="b">
        <v>0</v>
      </c>
      <c r="D295" s="42" t="s">
        <v>65</v>
      </c>
      <c r="E295" s="42" t="s">
        <v>58</v>
      </c>
      <c r="F295" s="42">
        <v>48.7</v>
      </c>
      <c r="G295" s="42">
        <v>14.1</v>
      </c>
      <c r="H295" s="42">
        <v>210</v>
      </c>
      <c r="I295" s="42">
        <v>4450</v>
      </c>
      <c r="J295" s="42" t="s">
        <v>62</v>
      </c>
      <c r="K295" s="113">
        <v>7.4603337089660805E+18</v>
      </c>
    </row>
    <row r="296" spans="3:11" x14ac:dyDescent="0.3">
      <c r="C296" s="41" t="b">
        <v>0</v>
      </c>
      <c r="D296" s="42" t="s">
        <v>65</v>
      </c>
      <c r="E296" s="42" t="s">
        <v>58</v>
      </c>
      <c r="F296" s="42">
        <v>50</v>
      </c>
      <c r="G296" s="42">
        <v>15.2</v>
      </c>
      <c r="H296" s="42">
        <v>218</v>
      </c>
      <c r="I296" s="42">
        <v>5700</v>
      </c>
      <c r="J296" s="42" t="s">
        <v>60</v>
      </c>
      <c r="K296" s="113">
        <v>1.1117730613138301E+19</v>
      </c>
    </row>
    <row r="297" spans="3:11" x14ac:dyDescent="0.3">
      <c r="C297" s="41" t="b">
        <v>0</v>
      </c>
      <c r="D297" s="42" t="s">
        <v>65</v>
      </c>
      <c r="E297" s="42" t="s">
        <v>58</v>
      </c>
      <c r="F297" s="42">
        <v>47.6</v>
      </c>
      <c r="G297" s="42">
        <v>14.5</v>
      </c>
      <c r="H297" s="42">
        <v>215</v>
      </c>
      <c r="I297" s="42">
        <v>5400</v>
      </c>
      <c r="J297" s="42" t="s">
        <v>60</v>
      </c>
      <c r="K297" s="113">
        <v>1.3469809491663999E+19</v>
      </c>
    </row>
    <row r="298" spans="3:11" x14ac:dyDescent="0.3">
      <c r="C298" s="41" t="b">
        <v>0</v>
      </c>
      <c r="D298" s="42" t="s">
        <v>65</v>
      </c>
      <c r="E298" s="42" t="s">
        <v>58</v>
      </c>
      <c r="F298" s="42">
        <v>46.5</v>
      </c>
      <c r="G298" s="42">
        <v>13.5</v>
      </c>
      <c r="H298" s="42">
        <v>210</v>
      </c>
      <c r="I298" s="42">
        <v>4550</v>
      </c>
      <c r="J298" s="42" t="s">
        <v>62</v>
      </c>
      <c r="K298" s="113">
        <v>8.68000670055872E+18</v>
      </c>
    </row>
    <row r="299" spans="3:11" x14ac:dyDescent="0.3">
      <c r="C299" s="41" t="b">
        <v>0</v>
      </c>
      <c r="D299" s="42" t="s">
        <v>65</v>
      </c>
      <c r="E299" s="42" t="s">
        <v>58</v>
      </c>
      <c r="F299" s="42">
        <v>45.4</v>
      </c>
      <c r="G299" s="42">
        <v>14.6</v>
      </c>
      <c r="H299" s="42">
        <v>211</v>
      </c>
      <c r="I299" s="42">
        <v>4800</v>
      </c>
      <c r="J299" s="42" t="s">
        <v>62</v>
      </c>
      <c r="K299" s="113">
        <v>1.1305254853969E+19</v>
      </c>
    </row>
    <row r="300" spans="3:11" x14ac:dyDescent="0.3">
      <c r="C300" s="41" t="b">
        <v>0</v>
      </c>
      <c r="D300" s="42" t="s">
        <v>65</v>
      </c>
      <c r="E300" s="42" t="s">
        <v>58</v>
      </c>
      <c r="F300" s="42">
        <v>46.7</v>
      </c>
      <c r="G300" s="42">
        <v>15.3</v>
      </c>
      <c r="H300" s="42">
        <v>219</v>
      </c>
      <c r="I300" s="42">
        <v>5200</v>
      </c>
      <c r="J300" s="42" t="s">
        <v>60</v>
      </c>
      <c r="K300" s="113">
        <v>3.1740072809150899E+18</v>
      </c>
    </row>
    <row r="301" spans="3:11" x14ac:dyDescent="0.3">
      <c r="C301" s="41" t="b">
        <v>0</v>
      </c>
      <c r="D301" s="42" t="s">
        <v>65</v>
      </c>
      <c r="E301" s="42" t="s">
        <v>58</v>
      </c>
      <c r="F301" s="42">
        <v>43.3</v>
      </c>
      <c r="G301" s="42">
        <v>13.4</v>
      </c>
      <c r="H301" s="42">
        <v>209</v>
      </c>
      <c r="I301" s="42">
        <v>4400</v>
      </c>
      <c r="J301" s="42" t="s">
        <v>62</v>
      </c>
      <c r="K301" s="113">
        <v>1.2864258124375699E+19</v>
      </c>
    </row>
    <row r="302" spans="3:11" x14ac:dyDescent="0.3">
      <c r="C302" s="41" t="b">
        <v>0</v>
      </c>
      <c r="D302" s="42" t="s">
        <v>65</v>
      </c>
      <c r="E302" s="42" t="s">
        <v>58</v>
      </c>
      <c r="F302" s="42">
        <v>46.8</v>
      </c>
      <c r="G302" s="42">
        <v>15.4</v>
      </c>
      <c r="H302" s="42">
        <v>215</v>
      </c>
      <c r="I302" s="42">
        <v>5150</v>
      </c>
      <c r="J302" s="42" t="s">
        <v>60</v>
      </c>
      <c r="K302" s="113">
        <v>8.3719531682240799E+18</v>
      </c>
    </row>
    <row r="303" spans="3:11" x14ac:dyDescent="0.3">
      <c r="C303" s="41" t="b">
        <v>0</v>
      </c>
      <c r="D303" s="42" t="s">
        <v>65</v>
      </c>
      <c r="E303" s="42" t="s">
        <v>58</v>
      </c>
      <c r="F303" s="42">
        <v>40.9</v>
      </c>
      <c r="G303" s="42">
        <v>13.7</v>
      </c>
      <c r="H303" s="42">
        <v>214</v>
      </c>
      <c r="I303" s="42">
        <v>4650</v>
      </c>
      <c r="J303" s="42" t="s">
        <v>62</v>
      </c>
      <c r="K303" s="113">
        <v>1.1383271845853301E+19</v>
      </c>
    </row>
    <row r="304" spans="3:11" x14ac:dyDescent="0.3">
      <c r="C304" s="41" t="b">
        <v>0</v>
      </c>
      <c r="D304" s="42" t="s">
        <v>65</v>
      </c>
      <c r="E304" s="42" t="s">
        <v>58</v>
      </c>
      <c r="F304" s="42">
        <v>49</v>
      </c>
      <c r="G304" s="42">
        <v>16.100000000000001</v>
      </c>
      <c r="H304" s="42">
        <v>216</v>
      </c>
      <c r="I304" s="42">
        <v>5550</v>
      </c>
      <c r="J304" s="42" t="s">
        <v>60</v>
      </c>
      <c r="K304" s="113">
        <v>5.7377947751887903E+18</v>
      </c>
    </row>
    <row r="305" spans="3:11" x14ac:dyDescent="0.3">
      <c r="C305" s="41" t="b">
        <v>0</v>
      </c>
      <c r="D305" s="42" t="s">
        <v>65</v>
      </c>
      <c r="E305" s="42" t="s">
        <v>58</v>
      </c>
      <c r="F305" s="42">
        <v>45.5</v>
      </c>
      <c r="G305" s="42">
        <v>13.7</v>
      </c>
      <c r="H305" s="42">
        <v>214</v>
      </c>
      <c r="I305" s="42">
        <v>4650</v>
      </c>
      <c r="J305" s="42" t="s">
        <v>62</v>
      </c>
      <c r="K305" s="113">
        <v>5.6600220111683195E+18</v>
      </c>
    </row>
    <row r="306" spans="3:11" x14ac:dyDescent="0.3">
      <c r="C306" s="41" t="b">
        <v>0</v>
      </c>
      <c r="D306" s="42" t="s">
        <v>65</v>
      </c>
      <c r="E306" s="42" t="s">
        <v>58</v>
      </c>
      <c r="F306" s="42">
        <v>48.4</v>
      </c>
      <c r="G306" s="42">
        <v>14.6</v>
      </c>
      <c r="H306" s="42">
        <v>213</v>
      </c>
      <c r="I306" s="42">
        <v>5850</v>
      </c>
      <c r="J306" s="42" t="s">
        <v>60</v>
      </c>
      <c r="K306" s="113">
        <v>7.7355061475399199E+18</v>
      </c>
    </row>
    <row r="307" spans="3:11" x14ac:dyDescent="0.3">
      <c r="C307" s="41" t="b">
        <v>0</v>
      </c>
      <c r="D307" s="42" t="s">
        <v>65</v>
      </c>
      <c r="E307" s="42" t="s">
        <v>58</v>
      </c>
      <c r="F307" s="42">
        <v>45.8</v>
      </c>
      <c r="G307" s="42">
        <v>14.6</v>
      </c>
      <c r="H307" s="42">
        <v>210</v>
      </c>
      <c r="I307" s="42">
        <v>4200</v>
      </c>
      <c r="J307" s="42" t="s">
        <v>62</v>
      </c>
      <c r="K307" s="113">
        <v>1.1888692740453601E+18</v>
      </c>
    </row>
    <row r="308" spans="3:11" x14ac:dyDescent="0.3">
      <c r="C308" s="41" t="b">
        <v>0</v>
      </c>
      <c r="D308" s="42" t="s">
        <v>65</v>
      </c>
      <c r="E308" s="42" t="s">
        <v>58</v>
      </c>
      <c r="F308" s="42">
        <v>49.3</v>
      </c>
      <c r="G308" s="42">
        <v>15.7</v>
      </c>
      <c r="H308" s="42">
        <v>217</v>
      </c>
      <c r="I308" s="42">
        <v>5850</v>
      </c>
      <c r="J308" s="42" t="s">
        <v>60</v>
      </c>
      <c r="K308" s="113">
        <v>8.5720486767387699E+18</v>
      </c>
    </row>
    <row r="309" spans="3:11" x14ac:dyDescent="0.3">
      <c r="C309" s="41" t="b">
        <v>0</v>
      </c>
      <c r="D309" s="42" t="s">
        <v>65</v>
      </c>
      <c r="E309" s="42" t="s">
        <v>58</v>
      </c>
      <c r="F309" s="42">
        <v>42</v>
      </c>
      <c r="G309" s="42">
        <v>13.5</v>
      </c>
      <c r="H309" s="42">
        <v>210</v>
      </c>
      <c r="I309" s="42">
        <v>4150</v>
      </c>
      <c r="J309" s="42" t="s">
        <v>62</v>
      </c>
      <c r="K309" s="113">
        <v>8.6407828081882099E+17</v>
      </c>
    </row>
    <row r="310" spans="3:11" x14ac:dyDescent="0.3">
      <c r="C310" s="41" t="b">
        <v>0</v>
      </c>
      <c r="D310" s="42" t="s">
        <v>65</v>
      </c>
      <c r="E310" s="42" t="s">
        <v>58</v>
      </c>
      <c r="F310" s="42">
        <v>49.2</v>
      </c>
      <c r="G310" s="42">
        <v>15.2</v>
      </c>
      <c r="H310" s="42">
        <v>221</v>
      </c>
      <c r="I310" s="42">
        <v>6300</v>
      </c>
      <c r="J310" s="42" t="s">
        <v>60</v>
      </c>
      <c r="K310" s="113">
        <v>1.1893490221979001E+19</v>
      </c>
    </row>
    <row r="311" spans="3:11" x14ac:dyDescent="0.3">
      <c r="C311" s="41" t="b">
        <v>0</v>
      </c>
      <c r="D311" s="42" t="s">
        <v>65</v>
      </c>
      <c r="E311" s="42" t="s">
        <v>58</v>
      </c>
      <c r="F311" s="42">
        <v>46.2</v>
      </c>
      <c r="G311" s="42">
        <v>14.5</v>
      </c>
      <c r="H311" s="42">
        <v>209</v>
      </c>
      <c r="I311" s="42">
        <v>4800</v>
      </c>
      <c r="J311" s="42" t="s">
        <v>62</v>
      </c>
      <c r="K311" s="113">
        <v>4.8185593280601395E+18</v>
      </c>
    </row>
    <row r="312" spans="3:11" x14ac:dyDescent="0.3">
      <c r="C312" s="41" t="b">
        <v>0</v>
      </c>
      <c r="D312" s="42" t="s">
        <v>65</v>
      </c>
      <c r="E312" s="42" t="s">
        <v>58</v>
      </c>
      <c r="F312" s="42">
        <v>48.7</v>
      </c>
      <c r="G312" s="42">
        <v>15.1</v>
      </c>
      <c r="H312" s="42">
        <v>222</v>
      </c>
      <c r="I312" s="42">
        <v>5350</v>
      </c>
      <c r="J312" s="42" t="s">
        <v>60</v>
      </c>
      <c r="K312" s="113">
        <v>1.15187948992284E+19</v>
      </c>
    </row>
    <row r="313" spans="3:11" x14ac:dyDescent="0.3">
      <c r="C313" s="41" t="b">
        <v>0</v>
      </c>
      <c r="D313" s="42" t="s">
        <v>65</v>
      </c>
      <c r="E313" s="42" t="s">
        <v>58</v>
      </c>
      <c r="F313" s="42">
        <v>50.2</v>
      </c>
      <c r="G313" s="42">
        <v>14.3</v>
      </c>
      <c r="H313" s="42">
        <v>218</v>
      </c>
      <c r="I313" s="42">
        <v>5700</v>
      </c>
      <c r="J313" s="42" t="s">
        <v>60</v>
      </c>
      <c r="K313" s="113">
        <v>3.5246421728741901E+17</v>
      </c>
    </row>
    <row r="314" spans="3:11" x14ac:dyDescent="0.3">
      <c r="C314" s="41" t="b">
        <v>0</v>
      </c>
      <c r="D314" s="42" t="s">
        <v>65</v>
      </c>
      <c r="E314" s="42" t="s">
        <v>58</v>
      </c>
      <c r="F314" s="42">
        <v>45.1</v>
      </c>
      <c r="G314" s="42">
        <v>14.5</v>
      </c>
      <c r="H314" s="42">
        <v>215</v>
      </c>
      <c r="I314" s="42">
        <v>5000</v>
      </c>
      <c r="J314" s="42" t="s">
        <v>62</v>
      </c>
      <c r="K314" s="113">
        <v>1.7935315436020001E+19</v>
      </c>
    </row>
    <row r="315" spans="3:11" x14ac:dyDescent="0.3">
      <c r="C315" s="41" t="b">
        <v>0</v>
      </c>
      <c r="D315" s="42" t="s">
        <v>65</v>
      </c>
      <c r="E315" s="42" t="s">
        <v>58</v>
      </c>
      <c r="F315" s="42">
        <v>46.5</v>
      </c>
      <c r="G315" s="42">
        <v>14.5</v>
      </c>
      <c r="H315" s="42">
        <v>213</v>
      </c>
      <c r="I315" s="42">
        <v>4400</v>
      </c>
      <c r="J315" s="42" t="s">
        <v>62</v>
      </c>
      <c r="K315" s="113">
        <v>7.4698264286704404E+18</v>
      </c>
    </row>
    <row r="316" spans="3:11" x14ac:dyDescent="0.3">
      <c r="C316" s="41" t="b">
        <v>0</v>
      </c>
      <c r="D316" s="42" t="s">
        <v>65</v>
      </c>
      <c r="E316" s="42" t="s">
        <v>58</v>
      </c>
      <c r="F316" s="42">
        <v>46.3</v>
      </c>
      <c r="G316" s="42">
        <v>15.8</v>
      </c>
      <c r="H316" s="42">
        <v>215</v>
      </c>
      <c r="I316" s="42">
        <v>5050</v>
      </c>
      <c r="J316" s="42" t="s">
        <v>60</v>
      </c>
      <c r="K316" s="113">
        <v>1.4037100618360001E+19</v>
      </c>
    </row>
    <row r="317" spans="3:11" x14ac:dyDescent="0.3">
      <c r="C317" s="41" t="b">
        <v>0</v>
      </c>
      <c r="D317" s="42" t="s">
        <v>65</v>
      </c>
      <c r="E317" s="42" t="s">
        <v>58</v>
      </c>
      <c r="F317" s="42">
        <v>42.9</v>
      </c>
      <c r="G317" s="42">
        <v>13.1</v>
      </c>
      <c r="H317" s="42">
        <v>215</v>
      </c>
      <c r="I317" s="42">
        <v>5000</v>
      </c>
      <c r="J317" s="42" t="s">
        <v>62</v>
      </c>
      <c r="K317" s="113">
        <v>1.31515238161751E+19</v>
      </c>
    </row>
    <row r="318" spans="3:11" x14ac:dyDescent="0.3">
      <c r="C318" s="41" t="b">
        <v>0</v>
      </c>
      <c r="D318" s="42" t="s">
        <v>65</v>
      </c>
      <c r="E318" s="42" t="s">
        <v>58</v>
      </c>
      <c r="F318" s="42">
        <v>46.1</v>
      </c>
      <c r="G318" s="42">
        <v>15.1</v>
      </c>
      <c r="H318" s="42">
        <v>215</v>
      </c>
      <c r="I318" s="42">
        <v>5100</v>
      </c>
      <c r="J318" s="42" t="s">
        <v>60</v>
      </c>
      <c r="K318" s="113">
        <v>1.40836847812032E+19</v>
      </c>
    </row>
    <row r="319" spans="3:11" x14ac:dyDescent="0.3">
      <c r="C319" s="41" t="b">
        <v>0</v>
      </c>
      <c r="D319" s="42" t="s">
        <v>65</v>
      </c>
      <c r="E319" s="42" t="s">
        <v>58</v>
      </c>
      <c r="F319" s="42">
        <v>44.5</v>
      </c>
      <c r="G319" s="42">
        <v>14.3</v>
      </c>
      <c r="H319" s="42">
        <v>216</v>
      </c>
      <c r="I319" s="42">
        <v>4100</v>
      </c>
      <c r="J319" s="42"/>
      <c r="K319" s="113">
        <v>5.2417328751052595E+18</v>
      </c>
    </row>
    <row r="320" spans="3:11" x14ac:dyDescent="0.3">
      <c r="C320" s="41" t="b">
        <v>0</v>
      </c>
      <c r="D320" s="42" t="s">
        <v>65</v>
      </c>
      <c r="E320" s="42" t="s">
        <v>58</v>
      </c>
      <c r="F320" s="42">
        <v>47.8</v>
      </c>
      <c r="G320" s="42">
        <v>15</v>
      </c>
      <c r="H320" s="42">
        <v>215</v>
      </c>
      <c r="I320" s="42">
        <v>5650</v>
      </c>
      <c r="J320" s="42" t="s">
        <v>60</v>
      </c>
      <c r="K320" s="113">
        <v>5.2038353685059E+18</v>
      </c>
    </row>
    <row r="321" spans="3:11" x14ac:dyDescent="0.3">
      <c r="C321" s="41" t="b">
        <v>0</v>
      </c>
      <c r="D321" s="42" t="s">
        <v>65</v>
      </c>
      <c r="E321" s="42" t="s">
        <v>58</v>
      </c>
      <c r="F321" s="42">
        <v>48.2</v>
      </c>
      <c r="G321" s="42">
        <v>14.3</v>
      </c>
      <c r="H321" s="42">
        <v>210</v>
      </c>
      <c r="I321" s="42">
        <v>4600</v>
      </c>
      <c r="J321" s="42" t="s">
        <v>62</v>
      </c>
      <c r="K321" s="113">
        <v>1.63758634440901E+19</v>
      </c>
    </row>
    <row r="322" spans="3:11" x14ac:dyDescent="0.3">
      <c r="C322" s="41" t="b">
        <v>0</v>
      </c>
      <c r="D322" s="42" t="s">
        <v>65</v>
      </c>
      <c r="E322" s="42" t="s">
        <v>58</v>
      </c>
      <c r="F322" s="42">
        <v>50</v>
      </c>
      <c r="G322" s="42">
        <v>15.3</v>
      </c>
      <c r="H322" s="42">
        <v>220</v>
      </c>
      <c r="I322" s="42">
        <v>5550</v>
      </c>
      <c r="J322" s="42" t="s">
        <v>60</v>
      </c>
      <c r="K322" s="113">
        <v>6.9435495903138601E+18</v>
      </c>
    </row>
    <row r="323" spans="3:11" x14ac:dyDescent="0.3">
      <c r="C323" s="41" t="b">
        <v>0</v>
      </c>
      <c r="D323" s="42" t="s">
        <v>65</v>
      </c>
      <c r="E323" s="42" t="s">
        <v>58</v>
      </c>
      <c r="F323" s="42">
        <v>47.3</v>
      </c>
      <c r="G323" s="42">
        <v>15.3</v>
      </c>
      <c r="H323" s="42">
        <v>222</v>
      </c>
      <c r="I323" s="42">
        <v>5250</v>
      </c>
      <c r="J323" s="42" t="s">
        <v>60</v>
      </c>
      <c r="K323" s="113">
        <v>9.8045070584200806E+17</v>
      </c>
    </row>
    <row r="324" spans="3:11" x14ac:dyDescent="0.3">
      <c r="C324" s="41" t="b">
        <v>0</v>
      </c>
      <c r="D324" s="42" t="s">
        <v>65</v>
      </c>
      <c r="E324" s="42" t="s">
        <v>58</v>
      </c>
      <c r="F324" s="42">
        <v>42.8</v>
      </c>
      <c r="G324" s="42">
        <v>14.2</v>
      </c>
      <c r="H324" s="42">
        <v>209</v>
      </c>
      <c r="I324" s="42">
        <v>4700</v>
      </c>
      <c r="J324" s="42" t="s">
        <v>62</v>
      </c>
      <c r="K324" s="113">
        <v>3.3342854411826601E+18</v>
      </c>
    </row>
    <row r="325" spans="3:11" x14ac:dyDescent="0.3">
      <c r="C325" s="41" t="b">
        <v>0</v>
      </c>
      <c r="D325" s="42" t="s">
        <v>65</v>
      </c>
      <c r="E325" s="42" t="s">
        <v>58</v>
      </c>
      <c r="F325" s="42">
        <v>45.1</v>
      </c>
      <c r="G325" s="42">
        <v>14.5</v>
      </c>
      <c r="H325" s="42">
        <v>207</v>
      </c>
      <c r="I325" s="42">
        <v>5050</v>
      </c>
      <c r="J325" s="42" t="s">
        <v>62</v>
      </c>
      <c r="K325" s="113">
        <v>7.4961177323049196E+18</v>
      </c>
    </row>
    <row r="326" spans="3:11" x14ac:dyDescent="0.3">
      <c r="C326" s="41" t="b">
        <v>0</v>
      </c>
      <c r="D326" s="42" t="s">
        <v>65</v>
      </c>
      <c r="E326" s="42" t="s">
        <v>58</v>
      </c>
      <c r="F326" s="42">
        <v>59.6</v>
      </c>
      <c r="G326" s="42">
        <v>17</v>
      </c>
      <c r="H326" s="42">
        <v>230</v>
      </c>
      <c r="I326" s="42">
        <v>6050</v>
      </c>
      <c r="J326" s="42" t="s">
        <v>60</v>
      </c>
      <c r="K326" s="113">
        <v>7.96728020884416E+18</v>
      </c>
    </row>
    <row r="327" spans="3:11" x14ac:dyDescent="0.3">
      <c r="C327" s="41" t="b">
        <v>0</v>
      </c>
      <c r="D327" s="42" t="s">
        <v>65</v>
      </c>
      <c r="E327" s="42" t="s">
        <v>58</v>
      </c>
      <c r="F327" s="42">
        <v>49.1</v>
      </c>
      <c r="G327" s="42">
        <v>14.8</v>
      </c>
      <c r="H327" s="42">
        <v>220</v>
      </c>
      <c r="I327" s="42">
        <v>5150</v>
      </c>
      <c r="J327" s="42" t="s">
        <v>62</v>
      </c>
      <c r="K327" s="113">
        <v>1.4529851247341801E+18</v>
      </c>
    </row>
    <row r="328" spans="3:11" x14ac:dyDescent="0.3">
      <c r="C328" s="41" t="b">
        <v>0</v>
      </c>
      <c r="D328" s="42" t="s">
        <v>65</v>
      </c>
      <c r="E328" s="42" t="s">
        <v>58</v>
      </c>
      <c r="F328" s="42">
        <v>48.4</v>
      </c>
      <c r="G328" s="42">
        <v>16.3</v>
      </c>
      <c r="H328" s="42">
        <v>220</v>
      </c>
      <c r="I328" s="42">
        <v>5400</v>
      </c>
      <c r="J328" s="42" t="s">
        <v>60</v>
      </c>
      <c r="K328" s="113">
        <v>1.6395896343673999E+19</v>
      </c>
    </row>
    <row r="329" spans="3:11" x14ac:dyDescent="0.3">
      <c r="C329" s="41" t="b">
        <v>0</v>
      </c>
      <c r="D329" s="42" t="s">
        <v>65</v>
      </c>
      <c r="E329" s="42" t="s">
        <v>58</v>
      </c>
      <c r="F329" s="42">
        <v>42.6</v>
      </c>
      <c r="G329" s="42">
        <v>13.7</v>
      </c>
      <c r="H329" s="42">
        <v>213</v>
      </c>
      <c r="I329" s="42">
        <v>4950</v>
      </c>
      <c r="J329" s="42" t="s">
        <v>62</v>
      </c>
      <c r="K329" s="113">
        <v>1.09379012279103E+19</v>
      </c>
    </row>
    <row r="330" spans="3:11" x14ac:dyDescent="0.3">
      <c r="C330" s="41" t="b">
        <v>0</v>
      </c>
      <c r="D330" s="42" t="s">
        <v>65</v>
      </c>
      <c r="E330" s="42" t="s">
        <v>58</v>
      </c>
      <c r="F330" s="42">
        <v>44.4</v>
      </c>
      <c r="G330" s="42">
        <v>17.3</v>
      </c>
      <c r="H330" s="42">
        <v>219</v>
      </c>
      <c r="I330" s="42">
        <v>5250</v>
      </c>
      <c r="J330" s="42" t="s">
        <v>60</v>
      </c>
      <c r="K330" s="113">
        <v>3.1674137347499699E+18</v>
      </c>
    </row>
    <row r="331" spans="3:11" x14ac:dyDescent="0.3">
      <c r="C331" s="41" t="b">
        <v>0</v>
      </c>
      <c r="D331" s="42" t="s">
        <v>65</v>
      </c>
      <c r="E331" s="42" t="s">
        <v>58</v>
      </c>
      <c r="F331" s="42">
        <v>44</v>
      </c>
      <c r="G331" s="42">
        <v>13.6</v>
      </c>
      <c r="H331" s="42">
        <v>208</v>
      </c>
      <c r="I331" s="42">
        <v>4350</v>
      </c>
      <c r="J331" s="42" t="s">
        <v>62</v>
      </c>
      <c r="K331" s="113">
        <v>9.0329386783889797E+18</v>
      </c>
    </row>
    <row r="332" spans="3:11" x14ac:dyDescent="0.3">
      <c r="C332" s="41" t="b">
        <v>0</v>
      </c>
      <c r="D332" s="42" t="s">
        <v>65</v>
      </c>
      <c r="E332" s="42" t="s">
        <v>58</v>
      </c>
      <c r="F332" s="42">
        <v>48.7</v>
      </c>
      <c r="G332" s="42">
        <v>15.7</v>
      </c>
      <c r="H332" s="42">
        <v>208</v>
      </c>
      <c r="I332" s="42">
        <v>5350</v>
      </c>
      <c r="J332" s="42" t="s">
        <v>60</v>
      </c>
      <c r="K332" s="113">
        <v>1.5388883952249999E+19</v>
      </c>
    </row>
    <row r="333" spans="3:11" x14ac:dyDescent="0.3">
      <c r="C333" s="41" t="b">
        <v>0</v>
      </c>
      <c r="D333" s="42" t="s">
        <v>65</v>
      </c>
      <c r="E333" s="42" t="s">
        <v>58</v>
      </c>
      <c r="F333" s="42">
        <v>42.7</v>
      </c>
      <c r="G333" s="42">
        <v>13.7</v>
      </c>
      <c r="H333" s="42">
        <v>208</v>
      </c>
      <c r="I333" s="42">
        <v>3950</v>
      </c>
      <c r="J333" s="42" t="s">
        <v>62</v>
      </c>
      <c r="K333" s="113">
        <v>1.15205076092906E+19</v>
      </c>
    </row>
    <row r="334" spans="3:11" x14ac:dyDescent="0.3">
      <c r="C334" s="41" t="b">
        <v>0</v>
      </c>
      <c r="D334" s="42" t="s">
        <v>65</v>
      </c>
      <c r="E334" s="42" t="s">
        <v>58</v>
      </c>
      <c r="F334" s="42">
        <v>49.6</v>
      </c>
      <c r="G334" s="42">
        <v>16</v>
      </c>
      <c r="H334" s="42">
        <v>225</v>
      </c>
      <c r="I334" s="42">
        <v>5700</v>
      </c>
      <c r="J334" s="42" t="s">
        <v>60</v>
      </c>
      <c r="K334" s="113">
        <v>1.1594886814652101E+19</v>
      </c>
    </row>
    <row r="335" spans="3:11" x14ac:dyDescent="0.3">
      <c r="C335" s="41" t="b">
        <v>0</v>
      </c>
      <c r="D335" s="42" t="s">
        <v>65</v>
      </c>
      <c r="E335" s="42" t="s">
        <v>58</v>
      </c>
      <c r="F335" s="42">
        <v>45.3</v>
      </c>
      <c r="G335" s="42">
        <v>13.7</v>
      </c>
      <c r="H335" s="42">
        <v>210</v>
      </c>
      <c r="I335" s="42">
        <v>4300</v>
      </c>
      <c r="J335" s="42" t="s">
        <v>62</v>
      </c>
      <c r="K335" s="113">
        <v>1.0649413794681399E+19</v>
      </c>
    </row>
    <row r="336" spans="3:11" x14ac:dyDescent="0.3">
      <c r="C336" s="41" t="b">
        <v>0</v>
      </c>
      <c r="D336" s="42" t="s">
        <v>65</v>
      </c>
      <c r="E336" s="42" t="s">
        <v>58</v>
      </c>
      <c r="F336" s="42">
        <v>49.6</v>
      </c>
      <c r="G336" s="42">
        <v>15</v>
      </c>
      <c r="H336" s="42">
        <v>216</v>
      </c>
      <c r="I336" s="42">
        <v>4750</v>
      </c>
      <c r="J336" s="42" t="s">
        <v>60</v>
      </c>
      <c r="K336" s="113">
        <v>4.28951194055055E+18</v>
      </c>
    </row>
    <row r="337" spans="3:11" x14ac:dyDescent="0.3">
      <c r="C337" s="41" t="b">
        <v>0</v>
      </c>
      <c r="D337" s="42" t="s">
        <v>65</v>
      </c>
      <c r="E337" s="42" t="s">
        <v>58</v>
      </c>
      <c r="F337" s="42">
        <v>50.5</v>
      </c>
      <c r="G337" s="42">
        <v>15.9</v>
      </c>
      <c r="H337" s="42">
        <v>222</v>
      </c>
      <c r="I337" s="42">
        <v>5550</v>
      </c>
      <c r="J337" s="42" t="s">
        <v>60</v>
      </c>
      <c r="K337" s="113">
        <v>1.2566314306765001E+19</v>
      </c>
    </row>
    <row r="338" spans="3:11" x14ac:dyDescent="0.3">
      <c r="C338" s="41" t="b">
        <v>0</v>
      </c>
      <c r="D338" s="42" t="s">
        <v>65</v>
      </c>
      <c r="E338" s="42" t="s">
        <v>58</v>
      </c>
      <c r="F338" s="42">
        <v>43.6</v>
      </c>
      <c r="G338" s="42">
        <v>13.9</v>
      </c>
      <c r="H338" s="42">
        <v>217</v>
      </c>
      <c r="I338" s="42">
        <v>4900</v>
      </c>
      <c r="J338" s="42" t="s">
        <v>62</v>
      </c>
      <c r="K338" s="113">
        <v>1.44218351932858E+19</v>
      </c>
    </row>
    <row r="339" spans="3:11" x14ac:dyDescent="0.3">
      <c r="C339" s="41" t="b">
        <v>0</v>
      </c>
      <c r="D339" s="42" t="s">
        <v>65</v>
      </c>
      <c r="E339" s="42" t="s">
        <v>58</v>
      </c>
      <c r="F339" s="42">
        <v>45.5</v>
      </c>
      <c r="G339" s="42">
        <v>13.9</v>
      </c>
      <c r="H339" s="42">
        <v>210</v>
      </c>
      <c r="I339" s="42">
        <v>4200</v>
      </c>
      <c r="J339" s="42" t="s">
        <v>62</v>
      </c>
      <c r="K339" s="113">
        <v>6.69545540568142E+16</v>
      </c>
    </row>
    <row r="340" spans="3:11" x14ac:dyDescent="0.3">
      <c r="C340" s="41" t="b">
        <v>0</v>
      </c>
      <c r="D340" s="42" t="s">
        <v>65</v>
      </c>
      <c r="E340" s="42" t="s">
        <v>58</v>
      </c>
      <c r="F340" s="42">
        <v>50.5</v>
      </c>
      <c r="G340" s="42">
        <v>15.9</v>
      </c>
      <c r="H340" s="42">
        <v>225</v>
      </c>
      <c r="I340" s="42">
        <v>5400</v>
      </c>
      <c r="J340" s="42" t="s">
        <v>60</v>
      </c>
      <c r="K340" s="113">
        <v>1.00931771308685E+19</v>
      </c>
    </row>
    <row r="341" spans="3:11" x14ac:dyDescent="0.3">
      <c r="C341" s="41" t="b">
        <v>0</v>
      </c>
      <c r="D341" s="42" t="s">
        <v>65</v>
      </c>
      <c r="E341" s="42" t="s">
        <v>58</v>
      </c>
      <c r="F341" s="42">
        <v>44.9</v>
      </c>
      <c r="G341" s="42">
        <v>13.3</v>
      </c>
      <c r="H341" s="42">
        <v>213</v>
      </c>
      <c r="I341" s="42">
        <v>5100</v>
      </c>
      <c r="J341" s="42" t="s">
        <v>62</v>
      </c>
      <c r="K341" s="113">
        <v>6.7966524908051904E+17</v>
      </c>
    </row>
    <row r="342" spans="3:11" x14ac:dyDescent="0.3">
      <c r="C342" s="41" t="b">
        <v>0</v>
      </c>
      <c r="D342" s="42" t="s">
        <v>65</v>
      </c>
      <c r="E342" s="42" t="s">
        <v>58</v>
      </c>
      <c r="F342" s="42">
        <v>45.2</v>
      </c>
      <c r="G342" s="42">
        <v>15.8</v>
      </c>
      <c r="H342" s="42">
        <v>215</v>
      </c>
      <c r="I342" s="42">
        <v>5300</v>
      </c>
      <c r="J342" s="42" t="s">
        <v>60</v>
      </c>
      <c r="K342" s="113">
        <v>1.6511226982323799E+18</v>
      </c>
    </row>
    <row r="343" spans="3:11" x14ac:dyDescent="0.3">
      <c r="C343" s="41" t="b">
        <v>0</v>
      </c>
      <c r="D343" s="42" t="s">
        <v>65</v>
      </c>
      <c r="E343" s="42" t="s">
        <v>58</v>
      </c>
      <c r="F343" s="42">
        <v>46.6</v>
      </c>
      <c r="G343" s="42">
        <v>14.2</v>
      </c>
      <c r="H343" s="42">
        <v>210</v>
      </c>
      <c r="I343" s="42">
        <v>4850</v>
      </c>
      <c r="J343" s="42" t="s">
        <v>62</v>
      </c>
      <c r="K343" s="113">
        <v>1.68061074877219E+19</v>
      </c>
    </row>
    <row r="344" spans="3:11" x14ac:dyDescent="0.3">
      <c r="C344" s="41" t="b">
        <v>0</v>
      </c>
      <c r="D344" s="42" t="s">
        <v>65</v>
      </c>
      <c r="E344" s="42" t="s">
        <v>58</v>
      </c>
      <c r="F344" s="42">
        <v>48.5</v>
      </c>
      <c r="G344" s="42">
        <v>14.1</v>
      </c>
      <c r="H344" s="42">
        <v>220</v>
      </c>
      <c r="I344" s="42">
        <v>5300</v>
      </c>
      <c r="J344" s="42" t="s">
        <v>60</v>
      </c>
      <c r="K344" s="113">
        <v>1.1254750927138601E+19</v>
      </c>
    </row>
    <row r="345" spans="3:11" x14ac:dyDescent="0.3">
      <c r="C345" s="41" t="b">
        <v>0</v>
      </c>
      <c r="D345" s="42" t="s">
        <v>65</v>
      </c>
      <c r="E345" s="42" t="s">
        <v>58</v>
      </c>
      <c r="F345" s="42">
        <v>45.1</v>
      </c>
      <c r="G345" s="42">
        <v>14.4</v>
      </c>
      <c r="H345" s="42">
        <v>210</v>
      </c>
      <c r="I345" s="42">
        <v>4400</v>
      </c>
      <c r="J345" s="42" t="s">
        <v>62</v>
      </c>
      <c r="K345" s="113">
        <v>2.4535730639343201E+18</v>
      </c>
    </row>
    <row r="346" spans="3:11" x14ac:dyDescent="0.3">
      <c r="C346" s="41" t="b">
        <v>0</v>
      </c>
      <c r="D346" s="42" t="s">
        <v>65</v>
      </c>
      <c r="E346" s="42" t="s">
        <v>58</v>
      </c>
      <c r="F346" s="42">
        <v>50.1</v>
      </c>
      <c r="G346" s="42">
        <v>15</v>
      </c>
      <c r="H346" s="42">
        <v>225</v>
      </c>
      <c r="I346" s="42">
        <v>5000</v>
      </c>
      <c r="J346" s="42" t="s">
        <v>60</v>
      </c>
      <c r="K346" s="113">
        <v>1.08809174301162E+19</v>
      </c>
    </row>
    <row r="347" spans="3:11" x14ac:dyDescent="0.3">
      <c r="C347" s="41" t="b">
        <v>0</v>
      </c>
      <c r="D347" s="42" t="s">
        <v>65</v>
      </c>
      <c r="E347" s="42" t="s">
        <v>58</v>
      </c>
      <c r="F347" s="42">
        <v>46.5</v>
      </c>
      <c r="G347" s="42">
        <v>14.4</v>
      </c>
      <c r="H347" s="42">
        <v>217</v>
      </c>
      <c r="I347" s="42">
        <v>4900</v>
      </c>
      <c r="J347" s="42" t="s">
        <v>62</v>
      </c>
      <c r="K347" s="113">
        <v>4.1569708321332797E+18</v>
      </c>
    </row>
    <row r="348" spans="3:11" x14ac:dyDescent="0.3">
      <c r="C348" s="41" t="b">
        <v>0</v>
      </c>
      <c r="D348" s="42" t="s">
        <v>65</v>
      </c>
      <c r="E348" s="42" t="s">
        <v>58</v>
      </c>
      <c r="F348" s="42">
        <v>45</v>
      </c>
      <c r="G348" s="42">
        <v>15.4</v>
      </c>
      <c r="H348" s="42">
        <v>220</v>
      </c>
      <c r="I348" s="42">
        <v>5050</v>
      </c>
      <c r="J348" s="42" t="s">
        <v>60</v>
      </c>
      <c r="K348" s="113">
        <v>1.5986064746802901E+19</v>
      </c>
    </row>
    <row r="349" spans="3:11" x14ac:dyDescent="0.3">
      <c r="C349" s="41" t="b">
        <v>0</v>
      </c>
      <c r="D349" s="42" t="s">
        <v>65</v>
      </c>
      <c r="E349" s="42" t="s">
        <v>58</v>
      </c>
      <c r="F349" s="42">
        <v>43.8</v>
      </c>
      <c r="G349" s="42">
        <v>13.9</v>
      </c>
      <c r="H349" s="42">
        <v>208</v>
      </c>
      <c r="I349" s="42">
        <v>4300</v>
      </c>
      <c r="J349" s="42" t="s">
        <v>62</v>
      </c>
      <c r="K349" s="113">
        <v>7.2023822497368003E+18</v>
      </c>
    </row>
    <row r="350" spans="3:11" x14ac:dyDescent="0.3">
      <c r="C350" s="41" t="b">
        <v>0</v>
      </c>
      <c r="D350" s="42" t="s">
        <v>65</v>
      </c>
      <c r="E350" s="42" t="s">
        <v>58</v>
      </c>
      <c r="F350" s="42">
        <v>45.5</v>
      </c>
      <c r="G350" s="42">
        <v>15</v>
      </c>
      <c r="H350" s="42">
        <v>220</v>
      </c>
      <c r="I350" s="42">
        <v>5000</v>
      </c>
      <c r="J350" s="42" t="s">
        <v>60</v>
      </c>
      <c r="K350" s="113">
        <v>1.5751039514008599E+18</v>
      </c>
    </row>
    <row r="351" spans="3:11" x14ac:dyDescent="0.3">
      <c r="C351" s="41" t="b">
        <v>0</v>
      </c>
      <c r="D351" s="42" t="s">
        <v>65</v>
      </c>
      <c r="E351" s="42" t="s">
        <v>58</v>
      </c>
      <c r="F351" s="42">
        <v>43.2</v>
      </c>
      <c r="G351" s="42">
        <v>14.5</v>
      </c>
      <c r="H351" s="42">
        <v>208</v>
      </c>
      <c r="I351" s="42">
        <v>4450</v>
      </c>
      <c r="J351" s="42" t="s">
        <v>62</v>
      </c>
      <c r="K351" s="113">
        <v>1.5818487367031501E+19</v>
      </c>
    </row>
    <row r="352" spans="3:11" x14ac:dyDescent="0.3">
      <c r="C352" s="41" t="b">
        <v>0</v>
      </c>
      <c r="D352" s="42" t="s">
        <v>65</v>
      </c>
      <c r="E352" s="42" t="s">
        <v>58</v>
      </c>
      <c r="F352" s="42">
        <v>50.4</v>
      </c>
      <c r="G352" s="42">
        <v>15.3</v>
      </c>
      <c r="H352" s="42">
        <v>224</v>
      </c>
      <c r="I352" s="42">
        <v>5550</v>
      </c>
      <c r="J352" s="42" t="s">
        <v>60</v>
      </c>
      <c r="K352" s="113">
        <v>1.46792866739852E+19</v>
      </c>
    </row>
    <row r="353" spans="3:11" x14ac:dyDescent="0.3">
      <c r="C353" s="41" t="b">
        <v>0</v>
      </c>
      <c r="D353" s="42" t="s">
        <v>65</v>
      </c>
      <c r="E353" s="42" t="s">
        <v>58</v>
      </c>
      <c r="F353" s="42">
        <v>45.3</v>
      </c>
      <c r="G353" s="42">
        <v>13.8</v>
      </c>
      <c r="H353" s="42">
        <v>208</v>
      </c>
      <c r="I353" s="42">
        <v>4200</v>
      </c>
      <c r="J353" s="42" t="s">
        <v>62</v>
      </c>
      <c r="K353" s="113">
        <v>3.20876145157581E+18</v>
      </c>
    </row>
    <row r="354" spans="3:11" x14ac:dyDescent="0.3">
      <c r="C354" s="41" t="b">
        <v>0</v>
      </c>
      <c r="D354" s="42" t="s">
        <v>65</v>
      </c>
      <c r="E354" s="42" t="s">
        <v>58</v>
      </c>
      <c r="F354" s="42">
        <v>46.2</v>
      </c>
      <c r="G354" s="42">
        <v>14.9</v>
      </c>
      <c r="H354" s="42">
        <v>221</v>
      </c>
      <c r="I354" s="42">
        <v>5300</v>
      </c>
      <c r="J354" s="42" t="s">
        <v>60</v>
      </c>
      <c r="K354" s="113">
        <v>6.96558923890321E+18</v>
      </c>
    </row>
    <row r="355" spans="3:11" x14ac:dyDescent="0.3">
      <c r="C355" s="41" t="b">
        <v>0</v>
      </c>
      <c r="D355" s="42" t="s">
        <v>65</v>
      </c>
      <c r="E355" s="42" t="s">
        <v>58</v>
      </c>
      <c r="F355" s="42">
        <v>45.7</v>
      </c>
      <c r="G355" s="42">
        <v>13.9</v>
      </c>
      <c r="H355" s="42">
        <v>214</v>
      </c>
      <c r="I355" s="42">
        <v>4400</v>
      </c>
      <c r="J355" s="42" t="s">
        <v>62</v>
      </c>
      <c r="K355" s="113">
        <v>2.83211304685022E+18</v>
      </c>
    </row>
    <row r="356" spans="3:11" x14ac:dyDescent="0.3">
      <c r="C356" s="41" t="b">
        <v>0</v>
      </c>
      <c r="D356" s="42" t="s">
        <v>65</v>
      </c>
      <c r="E356" s="42" t="s">
        <v>58</v>
      </c>
      <c r="F356" s="42">
        <v>54.3</v>
      </c>
      <c r="G356" s="42">
        <v>15.7</v>
      </c>
      <c r="H356" s="42">
        <v>231</v>
      </c>
      <c r="I356" s="42">
        <v>5650</v>
      </c>
      <c r="J356" s="42" t="s">
        <v>60</v>
      </c>
      <c r="K356" s="113">
        <v>1.38949954674368E+19</v>
      </c>
    </row>
    <row r="357" spans="3:11" x14ac:dyDescent="0.3">
      <c r="C357" s="41" t="b">
        <v>0</v>
      </c>
      <c r="D357" s="42" t="s">
        <v>65</v>
      </c>
      <c r="E357" s="42" t="s">
        <v>58</v>
      </c>
      <c r="F357" s="42">
        <v>45.8</v>
      </c>
      <c r="G357" s="42">
        <v>14.2</v>
      </c>
      <c r="H357" s="42">
        <v>219</v>
      </c>
      <c r="I357" s="42">
        <v>4700</v>
      </c>
      <c r="J357" s="42" t="s">
        <v>62</v>
      </c>
      <c r="K357" s="113">
        <v>7.0252525880152801E+18</v>
      </c>
    </row>
    <row r="358" spans="3:11" x14ac:dyDescent="0.3">
      <c r="C358" s="41" t="b">
        <v>0</v>
      </c>
      <c r="D358" s="42" t="s">
        <v>65</v>
      </c>
      <c r="E358" s="42" t="s">
        <v>58</v>
      </c>
      <c r="F358" s="42">
        <v>49.8</v>
      </c>
      <c r="G358" s="42">
        <v>16.8</v>
      </c>
      <c r="H358" s="42">
        <v>230</v>
      </c>
      <c r="I358" s="42">
        <v>5700</v>
      </c>
      <c r="J358" s="42" t="s">
        <v>60</v>
      </c>
      <c r="K358" s="113">
        <v>5.49592140997218E+18</v>
      </c>
    </row>
    <row r="359" spans="3:11" x14ac:dyDescent="0.3">
      <c r="C359" s="41" t="b">
        <v>0</v>
      </c>
      <c r="D359" s="42" t="s">
        <v>65</v>
      </c>
      <c r="E359" s="42" t="s">
        <v>58</v>
      </c>
      <c r="F359" s="42">
        <v>46.2</v>
      </c>
      <c r="G359" s="42">
        <v>14.4</v>
      </c>
      <c r="H359" s="42">
        <v>214</v>
      </c>
      <c r="I359" s="42">
        <v>4650</v>
      </c>
      <c r="J359" s="42"/>
      <c r="K359" s="113">
        <v>1.0104281707990499E+19</v>
      </c>
    </row>
    <row r="360" spans="3:11" x14ac:dyDescent="0.3">
      <c r="C360" s="41" t="b">
        <v>0</v>
      </c>
      <c r="D360" s="42" t="s">
        <v>65</v>
      </c>
      <c r="E360" s="42" t="s">
        <v>58</v>
      </c>
      <c r="F360" s="42">
        <v>49.5</v>
      </c>
      <c r="G360" s="42">
        <v>16.2</v>
      </c>
      <c r="H360" s="42">
        <v>229</v>
      </c>
      <c r="I360" s="42">
        <v>5800</v>
      </c>
      <c r="J360" s="42" t="s">
        <v>60</v>
      </c>
      <c r="K360" s="113">
        <v>4.9676510524833299E+17</v>
      </c>
    </row>
    <row r="361" spans="3:11" x14ac:dyDescent="0.3">
      <c r="C361" s="41" t="b">
        <v>0</v>
      </c>
      <c r="D361" s="42" t="s">
        <v>65</v>
      </c>
      <c r="E361" s="42" t="s">
        <v>58</v>
      </c>
      <c r="F361" s="42">
        <v>43.5</v>
      </c>
      <c r="G361" s="42">
        <v>14.2</v>
      </c>
      <c r="H361" s="42">
        <v>220</v>
      </c>
      <c r="I361" s="42">
        <v>4700</v>
      </c>
      <c r="J361" s="42" t="s">
        <v>62</v>
      </c>
      <c r="K361" s="113">
        <v>7.9609414382515702E+18</v>
      </c>
    </row>
    <row r="362" spans="3:11" x14ac:dyDescent="0.3">
      <c r="C362" s="41" t="b">
        <v>0</v>
      </c>
      <c r="D362" s="42" t="s">
        <v>65</v>
      </c>
      <c r="E362" s="42" t="s">
        <v>58</v>
      </c>
      <c r="F362" s="42">
        <v>50.7</v>
      </c>
      <c r="G362" s="42">
        <v>15</v>
      </c>
      <c r="H362" s="42">
        <v>223</v>
      </c>
      <c r="I362" s="42">
        <v>5550</v>
      </c>
      <c r="J362" s="42" t="s">
        <v>60</v>
      </c>
      <c r="K362" s="113">
        <v>1.4922597352337101E+19</v>
      </c>
    </row>
    <row r="363" spans="3:11" x14ac:dyDescent="0.3">
      <c r="C363" s="41" t="b">
        <v>0</v>
      </c>
      <c r="D363" s="42" t="s">
        <v>65</v>
      </c>
      <c r="E363" s="42" t="s">
        <v>58</v>
      </c>
      <c r="F363" s="42">
        <v>47.7</v>
      </c>
      <c r="G363" s="42">
        <v>15</v>
      </c>
      <c r="H363" s="42">
        <v>216</v>
      </c>
      <c r="I363" s="42">
        <v>4750</v>
      </c>
      <c r="J363" s="42" t="s">
        <v>62</v>
      </c>
      <c r="K363" s="113">
        <v>2.0625377453194099E+18</v>
      </c>
    </row>
    <row r="364" spans="3:11" x14ac:dyDescent="0.3">
      <c r="C364" s="41" t="b">
        <v>0</v>
      </c>
      <c r="D364" s="42" t="s">
        <v>65</v>
      </c>
      <c r="E364" s="42" t="s">
        <v>58</v>
      </c>
      <c r="F364" s="42">
        <v>46.4</v>
      </c>
      <c r="G364" s="42">
        <v>15.6</v>
      </c>
      <c r="H364" s="42">
        <v>221</v>
      </c>
      <c r="I364" s="42">
        <v>5000</v>
      </c>
      <c r="J364" s="42" t="s">
        <v>60</v>
      </c>
      <c r="K364" s="113">
        <v>1.37469712841221E+19</v>
      </c>
    </row>
    <row r="365" spans="3:11" x14ac:dyDescent="0.3">
      <c r="C365" s="41" t="b">
        <v>0</v>
      </c>
      <c r="D365" s="42" t="s">
        <v>65</v>
      </c>
      <c r="E365" s="42" t="s">
        <v>58</v>
      </c>
      <c r="F365" s="42">
        <v>48.2</v>
      </c>
      <c r="G365" s="42">
        <v>15.6</v>
      </c>
      <c r="H365" s="42">
        <v>221</v>
      </c>
      <c r="I365" s="42">
        <v>5100</v>
      </c>
      <c r="J365" s="42" t="s">
        <v>60</v>
      </c>
      <c r="K365" s="113">
        <v>1.5906072425521101E+17</v>
      </c>
    </row>
    <row r="366" spans="3:11" x14ac:dyDescent="0.3">
      <c r="C366" s="41" t="b">
        <v>0</v>
      </c>
      <c r="D366" s="42" t="s">
        <v>65</v>
      </c>
      <c r="E366" s="42" t="s">
        <v>58</v>
      </c>
      <c r="F366" s="42">
        <v>46.5</v>
      </c>
      <c r="G366" s="42">
        <v>14.8</v>
      </c>
      <c r="H366" s="42">
        <v>217</v>
      </c>
      <c r="I366" s="42">
        <v>5200</v>
      </c>
      <c r="J366" s="42" t="s">
        <v>62</v>
      </c>
      <c r="K366" s="113">
        <v>6.0773970073376397E+17</v>
      </c>
    </row>
    <row r="367" spans="3:11" x14ac:dyDescent="0.3">
      <c r="C367" s="41" t="b">
        <v>0</v>
      </c>
      <c r="D367" s="42" t="s">
        <v>65</v>
      </c>
      <c r="E367" s="42" t="s">
        <v>58</v>
      </c>
      <c r="F367" s="42">
        <v>46.4</v>
      </c>
      <c r="G367" s="42">
        <v>15</v>
      </c>
      <c r="H367" s="42">
        <v>216</v>
      </c>
      <c r="I367" s="42">
        <v>4700</v>
      </c>
      <c r="J367" s="42" t="s">
        <v>62</v>
      </c>
      <c r="K367" s="113">
        <v>1.80309970587735E+19</v>
      </c>
    </row>
    <row r="368" spans="3:11" x14ac:dyDescent="0.3">
      <c r="C368" s="41" t="b">
        <v>0</v>
      </c>
      <c r="D368" s="42" t="s">
        <v>65</v>
      </c>
      <c r="E368" s="42" t="s">
        <v>58</v>
      </c>
      <c r="F368" s="42">
        <v>48.6</v>
      </c>
      <c r="G368" s="42">
        <v>16</v>
      </c>
      <c r="H368" s="42">
        <v>230</v>
      </c>
      <c r="I368" s="42">
        <v>5800</v>
      </c>
      <c r="J368" s="42" t="s">
        <v>60</v>
      </c>
      <c r="K368" s="113">
        <v>6.9891719176216596E+18</v>
      </c>
    </row>
    <row r="369" spans="3:11" x14ac:dyDescent="0.3">
      <c r="C369" s="41" t="b">
        <v>0</v>
      </c>
      <c r="D369" s="42" t="s">
        <v>65</v>
      </c>
      <c r="E369" s="42" t="s">
        <v>58</v>
      </c>
      <c r="F369" s="42">
        <v>47.5</v>
      </c>
      <c r="G369" s="42">
        <v>14.2</v>
      </c>
      <c r="H369" s="42">
        <v>209</v>
      </c>
      <c r="I369" s="42">
        <v>4600</v>
      </c>
      <c r="J369" s="42" t="s">
        <v>62</v>
      </c>
      <c r="K369" s="113">
        <v>9.6324524012092293E+18</v>
      </c>
    </row>
    <row r="370" spans="3:11" x14ac:dyDescent="0.3">
      <c r="C370" s="41" t="b">
        <v>0</v>
      </c>
      <c r="D370" s="42" t="s">
        <v>65</v>
      </c>
      <c r="E370" s="42" t="s">
        <v>58</v>
      </c>
      <c r="F370" s="42">
        <v>51.1</v>
      </c>
      <c r="G370" s="42">
        <v>16.3</v>
      </c>
      <c r="H370" s="42">
        <v>220</v>
      </c>
      <c r="I370" s="42">
        <v>6000</v>
      </c>
      <c r="J370" s="42" t="s">
        <v>60</v>
      </c>
      <c r="K370" s="113">
        <v>1.75905425947741E+19</v>
      </c>
    </row>
    <row r="371" spans="3:11" x14ac:dyDescent="0.3">
      <c r="C371" s="41" t="b">
        <v>0</v>
      </c>
      <c r="D371" s="42" t="s">
        <v>65</v>
      </c>
      <c r="E371" s="42" t="s">
        <v>58</v>
      </c>
      <c r="F371" s="42">
        <v>45.2</v>
      </c>
      <c r="G371" s="42">
        <v>13.8</v>
      </c>
      <c r="H371" s="42">
        <v>215</v>
      </c>
      <c r="I371" s="42">
        <v>4750</v>
      </c>
      <c r="J371" s="42" t="s">
        <v>62</v>
      </c>
      <c r="K371" s="113">
        <v>1.25179876211805E+19</v>
      </c>
    </row>
    <row r="372" spans="3:11" x14ac:dyDescent="0.3">
      <c r="C372" s="41" t="b">
        <v>0</v>
      </c>
      <c r="D372" s="42" t="s">
        <v>65</v>
      </c>
      <c r="E372" s="42" t="s">
        <v>58</v>
      </c>
      <c r="F372" s="42">
        <v>45.2</v>
      </c>
      <c r="G372" s="42">
        <v>16.399999999999999</v>
      </c>
      <c r="H372" s="42">
        <v>223</v>
      </c>
      <c r="I372" s="42">
        <v>5950</v>
      </c>
      <c r="J372" s="42" t="s">
        <v>60</v>
      </c>
      <c r="K372" s="113">
        <v>8.0640473014212096E+18</v>
      </c>
    </row>
    <row r="373" spans="3:11" x14ac:dyDescent="0.3">
      <c r="C373" s="41" t="b">
        <v>0</v>
      </c>
      <c r="D373" s="42" t="s">
        <v>65</v>
      </c>
      <c r="E373" s="42" t="s">
        <v>58</v>
      </c>
      <c r="F373" s="42">
        <v>49.1</v>
      </c>
      <c r="G373" s="42">
        <v>14.5</v>
      </c>
      <c r="H373" s="42">
        <v>212</v>
      </c>
      <c r="I373" s="42">
        <v>4625</v>
      </c>
      <c r="J373" s="42" t="s">
        <v>62</v>
      </c>
      <c r="K373" s="113">
        <v>1.0198690238627701E+19</v>
      </c>
    </row>
    <row r="374" spans="3:11" x14ac:dyDescent="0.3">
      <c r="C374" s="41" t="b">
        <v>0</v>
      </c>
      <c r="D374" s="42" t="s">
        <v>65</v>
      </c>
      <c r="E374" s="42" t="s">
        <v>58</v>
      </c>
      <c r="F374" s="42">
        <v>52.5</v>
      </c>
      <c r="G374" s="42">
        <v>15.6</v>
      </c>
      <c r="H374" s="42">
        <v>221</v>
      </c>
      <c r="I374" s="42">
        <v>5450</v>
      </c>
      <c r="J374" s="42" t="s">
        <v>60</v>
      </c>
      <c r="K374" s="113">
        <v>1.45401580332468E+19</v>
      </c>
    </row>
    <row r="375" spans="3:11" x14ac:dyDescent="0.3">
      <c r="C375" s="41" t="b">
        <v>0</v>
      </c>
      <c r="D375" s="42" t="s">
        <v>65</v>
      </c>
      <c r="E375" s="42" t="s">
        <v>58</v>
      </c>
      <c r="F375" s="42">
        <v>47.4</v>
      </c>
      <c r="G375" s="42">
        <v>14.6</v>
      </c>
      <c r="H375" s="42">
        <v>212</v>
      </c>
      <c r="I375" s="42">
        <v>4725</v>
      </c>
      <c r="J375" s="42" t="s">
        <v>62</v>
      </c>
      <c r="K375" s="113">
        <v>4.8679044579581604E+18</v>
      </c>
    </row>
    <row r="376" spans="3:11" x14ac:dyDescent="0.3">
      <c r="C376" s="41" t="b">
        <v>0</v>
      </c>
      <c r="D376" s="42" t="s">
        <v>65</v>
      </c>
      <c r="E376" s="42" t="s">
        <v>58</v>
      </c>
      <c r="F376" s="42">
        <v>50</v>
      </c>
      <c r="G376" s="42">
        <v>15.9</v>
      </c>
      <c r="H376" s="42">
        <v>224</v>
      </c>
      <c r="I376" s="42">
        <v>5350</v>
      </c>
      <c r="J376" s="42" t="s">
        <v>60</v>
      </c>
      <c r="K376" s="113">
        <v>1.7407273370527601E+19</v>
      </c>
    </row>
    <row r="377" spans="3:11" x14ac:dyDescent="0.3">
      <c r="C377" s="41" t="b">
        <v>0</v>
      </c>
      <c r="D377" s="42" t="s">
        <v>65</v>
      </c>
      <c r="E377" s="42" t="s">
        <v>58</v>
      </c>
      <c r="F377" s="42">
        <v>44.9</v>
      </c>
      <c r="G377" s="42">
        <v>13.8</v>
      </c>
      <c r="H377" s="42">
        <v>212</v>
      </c>
      <c r="I377" s="42">
        <v>4750</v>
      </c>
      <c r="J377" s="42" t="s">
        <v>62</v>
      </c>
      <c r="K377" s="113">
        <v>4.3043983301970499E+18</v>
      </c>
    </row>
    <row r="378" spans="3:11" x14ac:dyDescent="0.3">
      <c r="C378" s="41" t="b">
        <v>0</v>
      </c>
      <c r="D378" s="42" t="s">
        <v>65</v>
      </c>
      <c r="E378" s="42" t="s">
        <v>58</v>
      </c>
      <c r="F378" s="42">
        <v>50.8</v>
      </c>
      <c r="G378" s="42">
        <v>17.3</v>
      </c>
      <c r="H378" s="42">
        <v>228</v>
      </c>
      <c r="I378" s="42">
        <v>5600</v>
      </c>
      <c r="J378" s="42" t="s">
        <v>60</v>
      </c>
      <c r="K378" s="113">
        <v>8.7281467764636303E+18</v>
      </c>
    </row>
    <row r="379" spans="3:11" x14ac:dyDescent="0.3">
      <c r="C379" s="41" t="b">
        <v>0</v>
      </c>
      <c r="D379" s="42" t="s">
        <v>65</v>
      </c>
      <c r="E379" s="42" t="s">
        <v>58</v>
      </c>
      <c r="F379" s="42">
        <v>43.4</v>
      </c>
      <c r="G379" s="42">
        <v>14.4</v>
      </c>
      <c r="H379" s="42">
        <v>218</v>
      </c>
      <c r="I379" s="42">
        <v>4600</v>
      </c>
      <c r="J379" s="42" t="s">
        <v>62</v>
      </c>
      <c r="K379" s="113">
        <v>1.4211682813317501E+19</v>
      </c>
    </row>
    <row r="380" spans="3:11" x14ac:dyDescent="0.3">
      <c r="C380" s="41" t="b">
        <v>0</v>
      </c>
      <c r="D380" s="42" t="s">
        <v>65</v>
      </c>
      <c r="E380" s="42" t="s">
        <v>58</v>
      </c>
      <c r="F380" s="42">
        <v>51.3</v>
      </c>
      <c r="G380" s="42">
        <v>14.2</v>
      </c>
      <c r="H380" s="42">
        <v>218</v>
      </c>
      <c r="I380" s="42">
        <v>5300</v>
      </c>
      <c r="J380" s="42" t="s">
        <v>60</v>
      </c>
      <c r="K380" s="113">
        <v>1.71839283657762E+19</v>
      </c>
    </row>
    <row r="381" spans="3:11" x14ac:dyDescent="0.3">
      <c r="C381" s="41" t="b">
        <v>0</v>
      </c>
      <c r="D381" s="42" t="s">
        <v>65</v>
      </c>
      <c r="E381" s="42" t="s">
        <v>58</v>
      </c>
      <c r="F381" s="42">
        <v>47.5</v>
      </c>
      <c r="G381" s="42">
        <v>14</v>
      </c>
      <c r="H381" s="42">
        <v>212</v>
      </c>
      <c r="I381" s="42">
        <v>4875</v>
      </c>
      <c r="J381" s="42" t="s">
        <v>62</v>
      </c>
      <c r="K381" s="113">
        <v>9.3192938310907904E+18</v>
      </c>
    </row>
    <row r="382" spans="3:11" x14ac:dyDescent="0.3">
      <c r="C382" s="41" t="b">
        <v>0</v>
      </c>
      <c r="D382" s="42" t="s">
        <v>65</v>
      </c>
      <c r="E382" s="42" t="s">
        <v>58</v>
      </c>
      <c r="F382" s="42">
        <v>52.1</v>
      </c>
      <c r="G382" s="42">
        <v>17</v>
      </c>
      <c r="H382" s="42">
        <v>230</v>
      </c>
      <c r="I382" s="42">
        <v>5550</v>
      </c>
      <c r="J382" s="42" t="s">
        <v>60</v>
      </c>
      <c r="K382" s="113">
        <v>1.5683632085186501E+19</v>
      </c>
    </row>
    <row r="383" spans="3:11" x14ac:dyDescent="0.3">
      <c r="C383" s="41" t="b">
        <v>0</v>
      </c>
      <c r="D383" s="42" t="s">
        <v>65</v>
      </c>
      <c r="E383" s="42" t="s">
        <v>58</v>
      </c>
      <c r="F383" s="42">
        <v>47.5</v>
      </c>
      <c r="G383" s="42">
        <v>15</v>
      </c>
      <c r="H383" s="42">
        <v>218</v>
      </c>
      <c r="I383" s="42">
        <v>4950</v>
      </c>
      <c r="J383" s="42" t="s">
        <v>62</v>
      </c>
      <c r="K383" s="113">
        <v>4.5505840057489198E+18</v>
      </c>
    </row>
    <row r="384" spans="3:11" x14ac:dyDescent="0.3">
      <c r="C384" s="41" t="b">
        <v>0</v>
      </c>
      <c r="D384" s="42" t="s">
        <v>65</v>
      </c>
      <c r="E384" s="42" t="s">
        <v>58</v>
      </c>
      <c r="F384" s="42">
        <v>52.2</v>
      </c>
      <c r="G384" s="42">
        <v>17.100000000000001</v>
      </c>
      <c r="H384" s="42">
        <v>228</v>
      </c>
      <c r="I384" s="42">
        <v>5400</v>
      </c>
      <c r="J384" s="42" t="s">
        <v>60</v>
      </c>
      <c r="K384" s="113">
        <v>1.0884386612831199E+19</v>
      </c>
    </row>
    <row r="385" spans="3:11" x14ac:dyDescent="0.3">
      <c r="C385" s="41" t="b">
        <v>0</v>
      </c>
      <c r="D385" s="42" t="s">
        <v>65</v>
      </c>
      <c r="E385" s="42" t="s">
        <v>58</v>
      </c>
      <c r="F385" s="42">
        <v>45.5</v>
      </c>
      <c r="G385" s="42">
        <v>14.5</v>
      </c>
      <c r="H385" s="42">
        <v>212</v>
      </c>
      <c r="I385" s="42">
        <v>4750</v>
      </c>
      <c r="J385" s="42" t="s">
        <v>62</v>
      </c>
      <c r="K385" s="113">
        <v>7.8226117368198195E+17</v>
      </c>
    </row>
    <row r="386" spans="3:11" x14ac:dyDescent="0.3">
      <c r="C386" s="41" t="b">
        <v>0</v>
      </c>
      <c r="D386" s="42" t="s">
        <v>65</v>
      </c>
      <c r="E386" s="42" t="s">
        <v>58</v>
      </c>
      <c r="F386" s="42">
        <v>49.5</v>
      </c>
      <c r="G386" s="42">
        <v>16.100000000000001</v>
      </c>
      <c r="H386" s="42">
        <v>224</v>
      </c>
      <c r="I386" s="42">
        <v>5650</v>
      </c>
      <c r="J386" s="42" t="s">
        <v>60</v>
      </c>
      <c r="K386" s="113">
        <v>7.0452973558741606E+17</v>
      </c>
    </row>
    <row r="387" spans="3:11" x14ac:dyDescent="0.3">
      <c r="C387" s="41" t="b">
        <v>0</v>
      </c>
      <c r="D387" s="42" t="s">
        <v>65</v>
      </c>
      <c r="E387" s="42" t="s">
        <v>58</v>
      </c>
      <c r="F387" s="42">
        <v>44.5</v>
      </c>
      <c r="G387" s="42">
        <v>14.7</v>
      </c>
      <c r="H387" s="42">
        <v>214</v>
      </c>
      <c r="I387" s="42">
        <v>4850</v>
      </c>
      <c r="J387" s="42" t="s">
        <v>62</v>
      </c>
      <c r="K387" s="113">
        <v>1.20692817643246E+19</v>
      </c>
    </row>
    <row r="388" spans="3:11" x14ac:dyDescent="0.3">
      <c r="C388" s="41" t="b">
        <v>0</v>
      </c>
      <c r="D388" s="42" t="s">
        <v>65</v>
      </c>
      <c r="E388" s="42" t="s">
        <v>58</v>
      </c>
      <c r="F388" s="42">
        <v>50.8</v>
      </c>
      <c r="G388" s="42">
        <v>15.7</v>
      </c>
      <c r="H388" s="42">
        <v>226</v>
      </c>
      <c r="I388" s="42">
        <v>5200</v>
      </c>
      <c r="J388" s="42" t="s">
        <v>60</v>
      </c>
      <c r="K388" s="113">
        <v>6.1250284641169306E+17</v>
      </c>
    </row>
    <row r="389" spans="3:11" x14ac:dyDescent="0.3">
      <c r="C389" s="41" t="b">
        <v>0</v>
      </c>
      <c r="D389" s="42" t="s">
        <v>65</v>
      </c>
      <c r="E389" s="42" t="s">
        <v>58</v>
      </c>
      <c r="F389" s="42">
        <v>49.4</v>
      </c>
      <c r="G389" s="42">
        <v>15.8</v>
      </c>
      <c r="H389" s="42">
        <v>216</v>
      </c>
      <c r="I389" s="42">
        <v>4925</v>
      </c>
      <c r="J389" s="42" t="s">
        <v>60</v>
      </c>
      <c r="K389" s="113">
        <v>1.04583421575027E+19</v>
      </c>
    </row>
    <row r="390" spans="3:11" x14ac:dyDescent="0.3">
      <c r="C390" s="41" t="b">
        <v>0</v>
      </c>
      <c r="D390" s="42" t="s">
        <v>65</v>
      </c>
      <c r="E390" s="42" t="s">
        <v>58</v>
      </c>
      <c r="F390" s="42">
        <v>46.9</v>
      </c>
      <c r="G390" s="42">
        <v>14.6</v>
      </c>
      <c r="H390" s="42">
        <v>222</v>
      </c>
      <c r="I390" s="42">
        <v>4875</v>
      </c>
      <c r="J390" s="42" t="s">
        <v>62</v>
      </c>
      <c r="K390" s="113">
        <v>1.72339665672331E+19</v>
      </c>
    </row>
    <row r="391" spans="3:11" x14ac:dyDescent="0.3">
      <c r="C391" s="41" t="b">
        <v>0</v>
      </c>
      <c r="D391" s="42" t="s">
        <v>65</v>
      </c>
      <c r="E391" s="42" t="s">
        <v>58</v>
      </c>
      <c r="F391" s="42">
        <v>48.4</v>
      </c>
      <c r="G391" s="42">
        <v>14.4</v>
      </c>
      <c r="H391" s="42">
        <v>203</v>
      </c>
      <c r="I391" s="42">
        <v>4625</v>
      </c>
      <c r="J391" s="42" t="s">
        <v>62</v>
      </c>
      <c r="K391" s="113">
        <v>1.78170032920371E+19</v>
      </c>
    </row>
    <row r="392" spans="3:11" x14ac:dyDescent="0.3">
      <c r="C392" s="41" t="b">
        <v>0</v>
      </c>
      <c r="D392" s="42" t="s">
        <v>65</v>
      </c>
      <c r="E392" s="42" t="s">
        <v>58</v>
      </c>
      <c r="F392" s="42">
        <v>51.1</v>
      </c>
      <c r="G392" s="42">
        <v>16.5</v>
      </c>
      <c r="H392" s="42">
        <v>225</v>
      </c>
      <c r="I392" s="42">
        <v>5250</v>
      </c>
      <c r="J392" s="42" t="s">
        <v>60</v>
      </c>
      <c r="K392" s="113">
        <v>1.6732770129380301E+19</v>
      </c>
    </row>
    <row r="393" spans="3:11" x14ac:dyDescent="0.3">
      <c r="C393" s="41" t="b">
        <v>0</v>
      </c>
      <c r="D393" s="42" t="s">
        <v>65</v>
      </c>
      <c r="E393" s="42" t="s">
        <v>58</v>
      </c>
      <c r="F393" s="42">
        <v>48.5</v>
      </c>
      <c r="G393" s="42">
        <v>15</v>
      </c>
      <c r="H393" s="42">
        <v>219</v>
      </c>
      <c r="I393" s="42">
        <v>4850</v>
      </c>
      <c r="J393" s="42" t="s">
        <v>62</v>
      </c>
      <c r="K393" s="113">
        <v>1.20678140974371E+19</v>
      </c>
    </row>
    <row r="394" spans="3:11" x14ac:dyDescent="0.3">
      <c r="C394" s="41" t="b">
        <v>0</v>
      </c>
      <c r="D394" s="42" t="s">
        <v>65</v>
      </c>
      <c r="E394" s="42" t="s">
        <v>58</v>
      </c>
      <c r="F394" s="42">
        <v>55.9</v>
      </c>
      <c r="G394" s="42">
        <v>17</v>
      </c>
      <c r="H394" s="42">
        <v>228</v>
      </c>
      <c r="I394" s="42">
        <v>5600</v>
      </c>
      <c r="J394" s="42" t="s">
        <v>60</v>
      </c>
      <c r="K394" s="113">
        <v>8.5269153898297303E+18</v>
      </c>
    </row>
    <row r="395" spans="3:11" x14ac:dyDescent="0.3">
      <c r="C395" s="41" t="b">
        <v>0</v>
      </c>
      <c r="D395" s="42" t="s">
        <v>65</v>
      </c>
      <c r="E395" s="42" t="s">
        <v>58</v>
      </c>
      <c r="F395" s="42">
        <v>47.2</v>
      </c>
      <c r="G395" s="42">
        <v>15.5</v>
      </c>
      <c r="H395" s="42">
        <v>215</v>
      </c>
      <c r="I395" s="42">
        <v>4975</v>
      </c>
      <c r="J395" s="42" t="s">
        <v>62</v>
      </c>
      <c r="K395" s="113">
        <v>1.3614910600180699E+19</v>
      </c>
    </row>
    <row r="396" spans="3:11" x14ac:dyDescent="0.3">
      <c r="C396" s="41" t="b">
        <v>0</v>
      </c>
      <c r="D396" s="42" t="s">
        <v>65</v>
      </c>
      <c r="E396" s="42" t="s">
        <v>58</v>
      </c>
      <c r="F396" s="42">
        <v>49.1</v>
      </c>
      <c r="G396" s="42">
        <v>15</v>
      </c>
      <c r="H396" s="42">
        <v>228</v>
      </c>
      <c r="I396" s="42">
        <v>5500</v>
      </c>
      <c r="J396" s="42" t="s">
        <v>60</v>
      </c>
      <c r="K396" s="113">
        <v>3.03731497083603E+18</v>
      </c>
    </row>
    <row r="397" spans="3:11" x14ac:dyDescent="0.3">
      <c r="C397" s="41" t="b">
        <v>0</v>
      </c>
      <c r="D397" s="42" t="s">
        <v>65</v>
      </c>
      <c r="E397" s="42" t="s">
        <v>58</v>
      </c>
      <c r="F397" s="42">
        <v>47.3</v>
      </c>
      <c r="G397" s="42">
        <v>13.8</v>
      </c>
      <c r="H397" s="42">
        <v>216</v>
      </c>
      <c r="I397" s="42">
        <v>4725</v>
      </c>
      <c r="J397" s="42"/>
      <c r="K397" s="113">
        <v>1.3877850572377899E+19</v>
      </c>
    </row>
    <row r="398" spans="3:11" x14ac:dyDescent="0.3">
      <c r="C398" s="41" t="b">
        <v>0</v>
      </c>
      <c r="D398" s="42" t="s">
        <v>65</v>
      </c>
      <c r="E398" s="42" t="s">
        <v>58</v>
      </c>
      <c r="F398" s="42">
        <v>46.8</v>
      </c>
      <c r="G398" s="42">
        <v>16.100000000000001</v>
      </c>
      <c r="H398" s="42">
        <v>215</v>
      </c>
      <c r="I398" s="42">
        <v>5500</v>
      </c>
      <c r="J398" s="42" t="s">
        <v>60</v>
      </c>
      <c r="K398" s="113">
        <v>1.5698495267736199E+19</v>
      </c>
    </row>
    <row r="399" spans="3:11" x14ac:dyDescent="0.3">
      <c r="C399" s="41" t="b">
        <v>0</v>
      </c>
      <c r="D399" s="42" t="s">
        <v>65</v>
      </c>
      <c r="E399" s="42" t="s">
        <v>58</v>
      </c>
      <c r="F399" s="42">
        <v>41.7</v>
      </c>
      <c r="G399" s="42">
        <v>14.7</v>
      </c>
      <c r="H399" s="42">
        <v>210</v>
      </c>
      <c r="I399" s="42">
        <v>4700</v>
      </c>
      <c r="J399" s="42" t="s">
        <v>62</v>
      </c>
      <c r="K399" s="113">
        <v>1.00340481363124E+19</v>
      </c>
    </row>
    <row r="400" spans="3:11" x14ac:dyDescent="0.3">
      <c r="C400" s="41" t="b">
        <v>0</v>
      </c>
      <c r="D400" s="42" t="s">
        <v>65</v>
      </c>
      <c r="E400" s="42" t="s">
        <v>58</v>
      </c>
      <c r="F400" s="42">
        <v>53.4</v>
      </c>
      <c r="G400" s="42">
        <v>15.8</v>
      </c>
      <c r="H400" s="42">
        <v>219</v>
      </c>
      <c r="I400" s="42">
        <v>5500</v>
      </c>
      <c r="J400" s="42" t="s">
        <v>60</v>
      </c>
      <c r="K400" s="113">
        <v>1.6237280705693301E+19</v>
      </c>
    </row>
    <row r="401" spans="3:11" x14ac:dyDescent="0.3">
      <c r="C401" s="41" t="b">
        <v>0</v>
      </c>
      <c r="D401" s="42" t="s">
        <v>65</v>
      </c>
      <c r="E401" s="42" t="s">
        <v>58</v>
      </c>
      <c r="F401" s="42">
        <v>43.3</v>
      </c>
      <c r="G401" s="42">
        <v>14</v>
      </c>
      <c r="H401" s="42">
        <v>208</v>
      </c>
      <c r="I401" s="42">
        <v>4575</v>
      </c>
      <c r="J401" s="42" t="s">
        <v>62</v>
      </c>
      <c r="K401" s="113">
        <v>2.15010447378976E+18</v>
      </c>
    </row>
    <row r="402" spans="3:11" x14ac:dyDescent="0.3">
      <c r="C402" s="41" t="b">
        <v>0</v>
      </c>
      <c r="D402" s="42" t="s">
        <v>65</v>
      </c>
      <c r="E402" s="42" t="s">
        <v>58</v>
      </c>
      <c r="F402" s="42">
        <v>48.1</v>
      </c>
      <c r="G402" s="42">
        <v>15.1</v>
      </c>
      <c r="H402" s="42">
        <v>209</v>
      </c>
      <c r="I402" s="42">
        <v>5500</v>
      </c>
      <c r="J402" s="42" t="s">
        <v>60</v>
      </c>
      <c r="K402" s="113">
        <v>7.2437809719951002E+18</v>
      </c>
    </row>
    <row r="403" spans="3:11" x14ac:dyDescent="0.3">
      <c r="C403" s="41" t="b">
        <v>0</v>
      </c>
      <c r="D403" s="42" t="s">
        <v>65</v>
      </c>
      <c r="E403" s="42" t="s">
        <v>58</v>
      </c>
      <c r="F403" s="42">
        <v>50.5</v>
      </c>
      <c r="G403" s="42">
        <v>15.2</v>
      </c>
      <c r="H403" s="42">
        <v>216</v>
      </c>
      <c r="I403" s="42">
        <v>5000</v>
      </c>
      <c r="J403" s="42" t="s">
        <v>62</v>
      </c>
      <c r="K403" s="113">
        <v>8.5088161122727096E+18</v>
      </c>
    </row>
    <row r="404" spans="3:11" x14ac:dyDescent="0.3">
      <c r="C404" s="41" t="b">
        <v>0</v>
      </c>
      <c r="D404" s="42" t="s">
        <v>65</v>
      </c>
      <c r="E404" s="42" t="s">
        <v>58</v>
      </c>
      <c r="F404" s="42">
        <v>49.8</v>
      </c>
      <c r="G404" s="42">
        <v>15.9</v>
      </c>
      <c r="H404" s="42">
        <v>229</v>
      </c>
      <c r="I404" s="42">
        <v>5950</v>
      </c>
      <c r="J404" s="42" t="s">
        <v>60</v>
      </c>
      <c r="K404" s="113">
        <v>9.1828875301624402E+18</v>
      </c>
    </row>
    <row r="405" spans="3:11" x14ac:dyDescent="0.3">
      <c r="C405" s="41" t="b">
        <v>0</v>
      </c>
      <c r="D405" s="42" t="s">
        <v>65</v>
      </c>
      <c r="E405" s="42" t="s">
        <v>58</v>
      </c>
      <c r="F405" s="42">
        <v>43.5</v>
      </c>
      <c r="G405" s="42">
        <v>15.2</v>
      </c>
      <c r="H405" s="42">
        <v>213</v>
      </c>
      <c r="I405" s="42">
        <v>4650</v>
      </c>
      <c r="J405" s="42" t="s">
        <v>62</v>
      </c>
      <c r="K405" s="113">
        <v>1.37216289934959E+19</v>
      </c>
    </row>
    <row r="406" spans="3:11" x14ac:dyDescent="0.3">
      <c r="C406" s="41" t="b">
        <v>0</v>
      </c>
      <c r="D406" s="42" t="s">
        <v>65</v>
      </c>
      <c r="E406" s="42" t="s">
        <v>58</v>
      </c>
      <c r="F406" s="42">
        <v>51.5</v>
      </c>
      <c r="G406" s="42">
        <v>16.3</v>
      </c>
      <c r="H406" s="42">
        <v>230</v>
      </c>
      <c r="I406" s="42">
        <v>5500</v>
      </c>
      <c r="J406" s="42" t="s">
        <v>60</v>
      </c>
      <c r="K406" s="113">
        <v>1.0881490397783501E+19</v>
      </c>
    </row>
    <row r="407" spans="3:11" x14ac:dyDescent="0.3">
      <c r="C407" s="41" t="b">
        <v>0</v>
      </c>
      <c r="D407" s="42" t="s">
        <v>65</v>
      </c>
      <c r="E407" s="42" t="s">
        <v>58</v>
      </c>
      <c r="F407" s="42">
        <v>46.2</v>
      </c>
      <c r="G407" s="42">
        <v>14.1</v>
      </c>
      <c r="H407" s="42">
        <v>217</v>
      </c>
      <c r="I407" s="42">
        <v>4375</v>
      </c>
      <c r="J407" s="42" t="s">
        <v>62</v>
      </c>
      <c r="K407" s="113">
        <v>1.4374496176566999E+19</v>
      </c>
    </row>
    <row r="408" spans="3:11" x14ac:dyDescent="0.3">
      <c r="C408" s="41" t="b">
        <v>0</v>
      </c>
      <c r="D408" s="42" t="s">
        <v>65</v>
      </c>
      <c r="E408" s="42" t="s">
        <v>58</v>
      </c>
      <c r="F408" s="42">
        <v>55.1</v>
      </c>
      <c r="G408" s="42">
        <v>16</v>
      </c>
      <c r="H408" s="42">
        <v>230</v>
      </c>
      <c r="I408" s="42">
        <v>5850</v>
      </c>
      <c r="J408" s="42" t="s">
        <v>60</v>
      </c>
      <c r="K408" s="113">
        <v>1.4156859973810801E+19</v>
      </c>
    </row>
    <row r="409" spans="3:11" x14ac:dyDescent="0.3">
      <c r="C409" s="41" t="b">
        <v>0</v>
      </c>
      <c r="D409" s="42" t="s">
        <v>65</v>
      </c>
      <c r="E409" s="42" t="s">
        <v>58</v>
      </c>
      <c r="F409" s="42">
        <v>44.5</v>
      </c>
      <c r="G409" s="42">
        <v>15.7</v>
      </c>
      <c r="H409" s="42">
        <v>217</v>
      </c>
      <c r="I409" s="42">
        <v>4875</v>
      </c>
      <c r="J409" s="42"/>
      <c r="K409" s="113">
        <v>1.6522444677661999E+19</v>
      </c>
    </row>
    <row r="410" spans="3:11" x14ac:dyDescent="0.3">
      <c r="C410" s="41" t="b">
        <v>0</v>
      </c>
      <c r="D410" s="42" t="s">
        <v>65</v>
      </c>
      <c r="E410" s="42" t="s">
        <v>58</v>
      </c>
      <c r="F410" s="42">
        <v>48.8</v>
      </c>
      <c r="G410" s="42">
        <v>16.2</v>
      </c>
      <c r="H410" s="42">
        <v>222</v>
      </c>
      <c r="I410" s="42">
        <v>6000</v>
      </c>
      <c r="J410" s="42" t="s">
        <v>60</v>
      </c>
      <c r="K410" s="113">
        <v>5.0177526337188905E+18</v>
      </c>
    </row>
    <row r="411" spans="3:11" x14ac:dyDescent="0.3">
      <c r="C411" s="41" t="b">
        <v>0</v>
      </c>
      <c r="D411" s="42" t="s">
        <v>65</v>
      </c>
      <c r="E411" s="42" t="s">
        <v>58</v>
      </c>
      <c r="F411" s="42">
        <v>47.2</v>
      </c>
      <c r="G411" s="42">
        <v>13.7</v>
      </c>
      <c r="H411" s="42">
        <v>214</v>
      </c>
      <c r="I411" s="42">
        <v>4925</v>
      </c>
      <c r="J411" s="42" t="s">
        <v>62</v>
      </c>
      <c r="K411" s="113">
        <v>1.7948406179626299E+19</v>
      </c>
    </row>
    <row r="412" spans="3:11" x14ac:dyDescent="0.3">
      <c r="C412" s="41" t="b">
        <v>0</v>
      </c>
      <c r="D412" s="42" t="s">
        <v>65</v>
      </c>
      <c r="E412" s="42" t="s">
        <v>58</v>
      </c>
      <c r="F412" s="42"/>
      <c r="G412" s="42"/>
      <c r="H412" s="42"/>
      <c r="I412" s="42"/>
      <c r="J412" s="42"/>
      <c r="K412" s="113">
        <v>1.4997426519929801E+19</v>
      </c>
    </row>
    <row r="413" spans="3:11" x14ac:dyDescent="0.3">
      <c r="C413" s="41" t="b">
        <v>0</v>
      </c>
      <c r="D413" s="42" t="s">
        <v>65</v>
      </c>
      <c r="E413" s="42" t="s">
        <v>58</v>
      </c>
      <c r="F413" s="42">
        <v>46.8</v>
      </c>
      <c r="G413" s="42">
        <v>14.3</v>
      </c>
      <c r="H413" s="42">
        <v>215</v>
      </c>
      <c r="I413" s="42">
        <v>4850</v>
      </c>
      <c r="J413" s="42" t="s">
        <v>62</v>
      </c>
      <c r="K413" s="113">
        <v>5.79608407912738E+18</v>
      </c>
    </row>
    <row r="414" spans="3:11" x14ac:dyDescent="0.3">
      <c r="C414" s="41" t="b">
        <v>0</v>
      </c>
      <c r="D414" s="42" t="s">
        <v>65</v>
      </c>
      <c r="E414" s="42" t="s">
        <v>58</v>
      </c>
      <c r="F414" s="42">
        <v>50.4</v>
      </c>
      <c r="G414" s="42">
        <v>15.7</v>
      </c>
      <c r="H414" s="42">
        <v>222</v>
      </c>
      <c r="I414" s="42">
        <v>5750</v>
      </c>
      <c r="J414" s="42" t="s">
        <v>60</v>
      </c>
      <c r="K414" s="113">
        <v>1.16633878683717E+19</v>
      </c>
    </row>
    <row r="415" spans="3:11" x14ac:dyDescent="0.3">
      <c r="C415" s="41" t="b">
        <v>0</v>
      </c>
      <c r="D415" s="42" t="s">
        <v>65</v>
      </c>
      <c r="E415" s="42" t="s">
        <v>58</v>
      </c>
      <c r="F415" s="42">
        <v>45.2</v>
      </c>
      <c r="G415" s="42">
        <v>14.8</v>
      </c>
      <c r="H415" s="42">
        <v>212</v>
      </c>
      <c r="I415" s="42">
        <v>5200</v>
      </c>
      <c r="J415" s="42" t="s">
        <v>62</v>
      </c>
      <c r="K415" s="113">
        <v>1.53285327117829E+19</v>
      </c>
    </row>
    <row r="416" spans="3:11" x14ac:dyDescent="0.3">
      <c r="C416" s="41" t="b">
        <v>0</v>
      </c>
      <c r="D416" s="42" t="s">
        <v>65</v>
      </c>
      <c r="E416" s="42" t="s">
        <v>58</v>
      </c>
      <c r="F416" s="42">
        <v>49.9</v>
      </c>
      <c r="G416" s="42">
        <v>16.100000000000001</v>
      </c>
      <c r="H416" s="42">
        <v>213</v>
      </c>
      <c r="I416" s="42">
        <v>5400</v>
      </c>
      <c r="J416" s="42" t="s">
        <v>60</v>
      </c>
      <c r="K416" s="113">
        <v>1.6515004546857501E+19</v>
      </c>
    </row>
  </sheetData>
  <mergeCells count="1">
    <mergeCell ref="D3:E5"/>
  </mergeCells>
  <phoneticPr fontId="15" type="noConversion"/>
  <conditionalFormatting sqref="D25:J25 D71:J71">
    <cfRule type="cellIs" dxfId="30" priority="40" operator="equal">
      <formula>"Notes"</formula>
    </cfRule>
  </conditionalFormatting>
  <conditionalFormatting sqref="D29:J33 D39:J47 D16:J16 D20:J25">
    <cfRule type="cellIs" dxfId="29" priority="41" operator="equal">
      <formula>0</formula>
    </cfRule>
  </conditionalFormatting>
  <conditionalFormatting sqref="D35:J35">
    <cfRule type="cellIs" dxfId="28" priority="39" operator="equal">
      <formula>"Notes"</formula>
    </cfRule>
  </conditionalFormatting>
  <conditionalFormatting sqref="C73:C416">
    <cfRule type="cellIs" dxfId="27" priority="37" operator="equal">
      <formula>FALSE</formula>
    </cfRule>
    <cfRule type="cellIs" dxfId="26" priority="38" operator="notEqual">
      <formula>FALSE</formula>
    </cfRule>
  </conditionalFormatting>
  <conditionalFormatting sqref="D51:E58">
    <cfRule type="cellIs" dxfId="25" priority="35" operator="equal">
      <formula>FALSE</formula>
    </cfRule>
    <cfRule type="cellIs" dxfId="24" priority="36" operator="notEqual">
      <formula>FALSE</formula>
    </cfRule>
  </conditionalFormatting>
  <conditionalFormatting sqref="D10:J10">
    <cfRule type="cellIs" dxfId="23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2" priority="11"/>
  </conditionalFormatting>
  <conditionalFormatting sqref="D3">
    <cfRule type="cellIs" dxfId="21" priority="6" operator="notEqual">
      <formula>"Description"</formula>
    </cfRule>
  </conditionalFormatting>
  <conditionalFormatting sqref="D8:J8">
    <cfRule type="cellIs" dxfId="20" priority="5" operator="notEqual">
      <formula>"Definition"</formula>
    </cfRule>
  </conditionalFormatting>
  <conditionalFormatting sqref="F51:J58">
    <cfRule type="cellIs" dxfId="11" priority="3" operator="equal">
      <formula>FALSE</formula>
    </cfRule>
    <cfRule type="cellIs" dxfId="10" priority="4" operator="notEqual">
      <formula>FALSE</formula>
    </cfRule>
  </conditionalFormatting>
  <conditionalFormatting sqref="F17:J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6" priority="3" operator="equal">
      <formula>"Notes"</formula>
    </cfRule>
  </conditionalFormatting>
  <conditionalFormatting sqref="E6:E7">
    <cfRule type="cellIs" dxfId="15" priority="4" operator="equal">
      <formula>0</formula>
    </cfRule>
  </conditionalFormatting>
  <conditionalFormatting sqref="E2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2026-05-18T19:44:59Z</dcterms:modified>
</cp:coreProperties>
</file>