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50C1EF2E-F8F3-471E-978E-F92B0A7B0D69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Analysis'!$D$8:$I$8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Analysis'!$D$51:$I$51</definedName>
    <definedName name="FieldList2" localSheetId="3">#REF!</definedName>
    <definedName name="FieldList2" localSheetId="2">#REF!</definedName>
    <definedName name="FieldList2">'Field Analysis'!$D$52:$I$52</definedName>
    <definedName name="FieldList3" localSheetId="3">#REF!</definedName>
    <definedName name="FieldList3" localSheetId="2">#REF!</definedName>
    <definedName name="FieldList3">'Field Analysis'!$D$53:$I$53</definedName>
    <definedName name="FieldList4" localSheetId="3">#REF!</definedName>
    <definedName name="FieldList4" localSheetId="2">#REF!</definedName>
    <definedName name="FieldList4">'Field Analysis'!$D$54:$I$54</definedName>
    <definedName name="FieldList5" localSheetId="3">#REF!</definedName>
    <definedName name="FieldList5" localSheetId="2">#REF!</definedName>
    <definedName name="FieldList5">'Field Analysis'!$D$55:$I$55</definedName>
    <definedName name="FieldList6" localSheetId="3">#REF!</definedName>
    <definedName name="FieldList6" localSheetId="2">#REF!</definedName>
    <definedName name="FieldList6">'Field Analysis'!$D$56:$I$56</definedName>
    <definedName name="FieldList7">'Field Analysis'!$D$57:$I$57</definedName>
    <definedName name="FieldList8">'Field Analysis'!$D$58:$I$58</definedName>
    <definedName name="FieldRange" localSheetId="3">#REF!</definedName>
    <definedName name="FieldRange" localSheetId="2">#REF!</definedName>
    <definedName name="FieldRange">'Field Analysis'!$D$72:$I$72</definedName>
    <definedName name="FormatRange">'Field Analysis'!$E:$E</definedName>
    <definedName name="Headers">'Field Analysis'!$D$12:$I$12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Analysis'!$D$10:$I$10</definedName>
    <definedName name="Percentiles">'Field Analysis'!$D$39:$D$48</definedName>
    <definedName name="RecordHashes">'Field Analysis'!$J$73:$J$162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<sst xmlns="http://schemas.openxmlformats.org/spreadsheetml/2006/main" count="396" uniqueCount="65">
  <si>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</si>
  <si>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</si>
  <si>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</si>
  <si>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</si>
  <si>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</si>
  <si>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</si>
  <si>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</si>
  <si>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</si>
  <si>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</si>
  <si>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</si>
  <si>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</si>
  <si>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</si>
  <si>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</si>
  <si>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</si>
  <si>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</si>
  <si>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</si>
  <si>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</si>
  <si>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</si>
  <si>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</si>
  <si>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</si>
  <si>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</si>
  <si>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</si>
  <si>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</si>
  <si>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</si>
  <si>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</si>
  <si>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</si>
  <si>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</si>
  <si>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</si>
  <si>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</si>
  <si>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</si>
  <si>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</si>
  <si>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</si>
  <si>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</si>
  <si>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</si>
  <si>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</si>
  <si>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</si>
  <si>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</si>
  <si>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</si>
  <si>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</si>
  <si>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</si>
  <si>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</si>
  <si>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</si>
  <si>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</si>
  <si>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</si>
  <si>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</si>
  <si>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</si>
  <si>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exercise</t>
  </si>
  <si>
    <t>rows = 90, columns = 6</t>
  </si>
  <si>
    <t>Unnamed: 0</t>
  </si>
  <si>
    <t>id</t>
  </si>
  <si>
    <t>diet</t>
  </si>
  <si>
    <t>pulse</t>
  </si>
  <si>
    <t>time</t>
  </si>
  <si>
    <t>kind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</si>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</sst>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8885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58885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F1A3986-1F8D-D087-DA83-DDAF1839C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2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1513ECA-3903-44B7-1C3C-FDB3B63A3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12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8034269-2427-C7C5-54B1-DE391037B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62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B54CE4E-727E-5DDB-8A2D-90029F758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262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2457242-D574-6172-CA22-E4E9A619A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12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3F41615-C5FC-9A64-C01E-3EFC327DC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362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D896F37-8DF4-BF45-05DA-26C19A084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362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1A1CFF4-BDF9-FB7C-130D-1987043F8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412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2A986E-F18D-8212-D086-42078174E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46230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4" headerRowBorderDxfId="55" headerRowCellStyle="Normal 2">
  <autoFilter ref="B10:AA16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J162" totalsRowShown="0" dataDxfId="18">
  <autoFilter ref="C72:J162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Unnamed: 0" dataDxfId="17"/>
    <tableColumn id="8" xr3:uid="{5CEA6B82-08F7-4BBF-BE74-DD211F1E2384}" name="id" dataDxfId="16" dataCellStyle="Normal 2"/>
    <tableColumn id="3" xr3:uid="{34B8C04C-82B7-4286-A815-AC63EB23242F}" name="diet" dataDxfId="6"/>
    <tableColumn id="4" xr3:uid="{F239F6D8-E1D3-4466-887C-14A954DAEB43}" name="pulse" dataDxfId="5"/>
    <tableColumn id="5" xr3:uid="{BDD808D8-A283-4C2F-8627-9F3713BEBFD1}" name="time" dataDxfId="4"/>
    <tableColumn id="6" xr3:uid="{FC994A95-E50E-4CEB-9AFD-B6D50BEE650B}" name="kind" dataDxfId="3"/>
    <tableColumn id="7" xr3:uid="{D5F14C6E-52CC-4FF3-B339-B77BF55EA9A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exercise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90</v>
      </c>
    </row>
    <row r="5" spans="2:27" x14ac:dyDescent="0.3">
      <c r="B5" s="13" t="s">
        <v>27</v>
      </c>
      <c r="C5" s="63">
        <v>6</v>
      </c>
    </row>
    <row r="6" spans="2:27" x14ac:dyDescent="0.3">
      <c r="B6" s="30" t="s">
        <v>4</v>
      </c>
      <c r="C6" s="63" t="s">
        <v>54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55</v>
      </c>
      <c r="F11" s="68">
        <v>1</v>
      </c>
      <c r="G11" s="69">
        <v>0</v>
      </c>
      <c r="H11" s="68">
        <v>0.20078081427774599</v>
      </c>
      <c r="I11" s="70">
        <v>720</v>
      </c>
      <c r="J11" s="70">
        <v>90</v>
      </c>
      <c r="K11" s="70">
        <v>90</v>
      </c>
      <c r="L11" s="71">
        <v>1</v>
      </c>
      <c r="M11" s="70">
        <v>0</v>
      </c>
      <c r="N11" s="72">
        <v>44.5</v>
      </c>
      <c r="O11" s="72">
        <v>44.5</v>
      </c>
      <c r="P11" s="72">
        <v>0</v>
      </c>
      <c r="Q11" s="72">
        <v>26.124700955226199</v>
      </c>
      <c r="R11" s="72">
        <v>682.5</v>
      </c>
      <c r="S11" s="72">
        <v>0</v>
      </c>
      <c r="T11" s="72">
        <v>4.45</v>
      </c>
      <c r="U11" s="72">
        <v>22.25</v>
      </c>
      <c r="V11" s="72">
        <v>44.5</v>
      </c>
      <c r="W11" s="72">
        <v>66.75</v>
      </c>
      <c r="X11" s="72">
        <v>84.55</v>
      </c>
      <c r="Y11" s="72">
        <v>89</v>
      </c>
      <c r="Z11" s="72">
        <v>89</v>
      </c>
      <c r="AA11" s="72">
        <v>44.5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55</v>
      </c>
      <c r="F12" s="71">
        <v>0.33333333333333298</v>
      </c>
      <c r="G12" s="73">
        <v>0</v>
      </c>
      <c r="H12" s="74">
        <v>0.20078081427774599</v>
      </c>
      <c r="I12" s="70">
        <v>720</v>
      </c>
      <c r="J12" s="70">
        <v>30</v>
      </c>
      <c r="K12" s="70">
        <v>90</v>
      </c>
      <c r="L12" s="71">
        <v>1</v>
      </c>
      <c r="M12" s="70">
        <v>0</v>
      </c>
      <c r="N12" s="72">
        <v>15.5</v>
      </c>
      <c r="O12" s="72">
        <v>15.5</v>
      </c>
      <c r="P12" s="72">
        <v>1</v>
      </c>
      <c r="Q12" s="72">
        <v>8.7039316958654993</v>
      </c>
      <c r="R12" s="72">
        <v>75.758426966292106</v>
      </c>
      <c r="S12" s="72">
        <v>1</v>
      </c>
      <c r="T12" s="72">
        <v>2</v>
      </c>
      <c r="U12" s="72">
        <v>8</v>
      </c>
      <c r="V12" s="72">
        <v>15.5</v>
      </c>
      <c r="W12" s="72">
        <v>23</v>
      </c>
      <c r="X12" s="72">
        <v>29</v>
      </c>
      <c r="Y12" s="72">
        <v>30</v>
      </c>
      <c r="Z12" s="72">
        <v>29</v>
      </c>
      <c r="AA12" s="72">
        <v>15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56</v>
      </c>
      <c r="F13" s="71">
        <v>2.2222222222222199E-2</v>
      </c>
      <c r="G13" s="73">
        <v>0</v>
      </c>
      <c r="H13" s="74">
        <v>6.3301728945900707E-2</v>
      </c>
      <c r="I13" s="70">
        <v>227</v>
      </c>
      <c r="J13" s="70">
        <v>2</v>
      </c>
      <c r="K13" s="70">
        <v>90</v>
      </c>
      <c r="L13" s="71">
        <v>1</v>
      </c>
      <c r="M13" s="70">
        <v>0</v>
      </c>
      <c r="N13" s="72"/>
      <c r="O13" s="72"/>
      <c r="P13" s="72" t="s">
        <v>57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55</v>
      </c>
      <c r="F14" s="71">
        <v>0.43333333333333302</v>
      </c>
      <c r="G14" s="73">
        <v>0</v>
      </c>
      <c r="H14" s="74">
        <v>0.20078081427774599</v>
      </c>
      <c r="I14" s="70">
        <v>720</v>
      </c>
      <c r="J14" s="70">
        <v>39</v>
      </c>
      <c r="K14" s="70">
        <v>90</v>
      </c>
      <c r="L14" s="71">
        <v>1</v>
      </c>
      <c r="M14" s="70">
        <v>0</v>
      </c>
      <c r="N14" s="72">
        <v>99.7</v>
      </c>
      <c r="O14" s="72">
        <v>96</v>
      </c>
      <c r="P14" s="72">
        <v>92</v>
      </c>
      <c r="Q14" s="72">
        <v>14.8584708938494</v>
      </c>
      <c r="R14" s="72">
        <v>220.77415730337</v>
      </c>
      <c r="S14" s="72">
        <v>80</v>
      </c>
      <c r="T14" s="72">
        <v>83.45</v>
      </c>
      <c r="U14" s="72">
        <v>90.25</v>
      </c>
      <c r="V14" s="72">
        <v>96</v>
      </c>
      <c r="W14" s="72">
        <v>103</v>
      </c>
      <c r="X14" s="72">
        <v>133.64999999999901</v>
      </c>
      <c r="Y14" s="72">
        <v>150</v>
      </c>
      <c r="Z14" s="72">
        <v>70</v>
      </c>
      <c r="AA14" s="72">
        <v>12.75</v>
      </c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56</v>
      </c>
      <c r="F15" s="71">
        <v>3.3333333333333298E-2</v>
      </c>
      <c r="G15" s="73">
        <v>0</v>
      </c>
      <c r="H15" s="74">
        <v>6.66480758505298E-2</v>
      </c>
      <c r="I15" s="70">
        <v>239</v>
      </c>
      <c r="J15" s="70">
        <v>3</v>
      </c>
      <c r="K15" s="70">
        <v>90</v>
      </c>
      <c r="L15" s="71">
        <v>1</v>
      </c>
      <c r="M15" s="70">
        <v>0</v>
      </c>
      <c r="N15" s="72"/>
      <c r="O15" s="72"/>
      <c r="P15" s="72" t="s">
        <v>58</v>
      </c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</row>
    <row r="16" spans="2:27" x14ac:dyDescent="0.3">
      <c r="B16" s="104" t="s">
        <v>53</v>
      </c>
      <c r="C16" s="105" t="str">
        <f>IF(INDEX(Definitions,1,MATCH(tbl_Overview[[#This Row],[Field]],Headers,0))="Definition","",INDEX(Definitions,1,MATCH(tbl_Overview[[#This Row],[Field]],Headers,0)))</f>
        <v/>
      </c>
      <c r="D16" s="106" t="str">
        <f>IF(INDEX(Notes,1,MATCH(tbl_Overview[[#This Row],[Field]],Headers,0))="Notes","",INDEX(Notes,1,MATCH(tbl_Overview[[#This Row],[Field]],Headers,0)))</f>
        <v/>
      </c>
      <c r="E16" s="107" t="s">
        <v>56</v>
      </c>
      <c r="F16" s="108">
        <v>3.3333333333333298E-2</v>
      </c>
      <c r="G16" s="109">
        <v>0</v>
      </c>
      <c r="H16" s="110">
        <v>6.6926938092582197E-2</v>
      </c>
      <c r="I16" s="111">
        <v>240</v>
      </c>
      <c r="J16" s="111">
        <v>3</v>
      </c>
      <c r="K16" s="111">
        <v>90</v>
      </c>
      <c r="L16" s="108">
        <v>1</v>
      </c>
      <c r="M16" s="111">
        <v>0</v>
      </c>
      <c r="N16" s="112"/>
      <c r="O16" s="112"/>
      <c r="P16" s="112" t="s">
        <v>59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6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162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5.21875" style="8" bestFit="1" customWidth="1"/>
    <col min="4" max="9" width="27.77734375" style="1" customWidth="1"/>
    <col min="10" max="10" width="15.88671875" bestFit="1" customWidth="1"/>
  </cols>
  <sheetData>
    <row r="1" spans="1:10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</row>
    <row r="2" spans="1:10" ht="10.050000000000001" customHeight="1" x14ac:dyDescent="0.3">
      <c r="A2"/>
      <c r="B2"/>
      <c r="C2"/>
      <c r="D2"/>
      <c r="E2"/>
      <c r="F2"/>
      <c r="G2"/>
      <c r="H2"/>
      <c r="I2"/>
    </row>
    <row r="3" spans="1:10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</row>
    <row r="4" spans="1:10" ht="10.050000000000001" customHeight="1" x14ac:dyDescent="0.3">
      <c r="C4" s="79" t="s">
        <v>47</v>
      </c>
      <c r="D4" s="88"/>
      <c r="E4" s="88"/>
      <c r="F4"/>
      <c r="G4"/>
      <c r="H4"/>
      <c r="I4"/>
    </row>
    <row r="5" spans="1:10" ht="10.050000000000001" customHeight="1" x14ac:dyDescent="0.3">
      <c r="C5" s="79"/>
      <c r="D5" s="88"/>
      <c r="E5" s="88"/>
      <c r="F5"/>
      <c r="G5"/>
      <c r="H5"/>
      <c r="I5"/>
    </row>
    <row r="6" spans="1:10" ht="19.95" customHeight="1" x14ac:dyDescent="0.3">
      <c r="B6" s="9" t="s">
        <v>0</v>
      </c>
      <c r="C6" s="79"/>
    </row>
    <row r="7" spans="1:10" ht="10.050000000000001" customHeight="1" x14ac:dyDescent="0.3">
      <c r="B7" s="40"/>
      <c r="C7" s="79"/>
    </row>
    <row r="8" spans="1:10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</row>
    <row r="9" spans="1:10" ht="10.050000000000001" hidden="1" customHeight="1" outlineLevel="1" x14ac:dyDescent="0.3">
      <c r="A9"/>
      <c r="B9" s="75"/>
      <c r="C9"/>
      <c r="D9"/>
      <c r="E9"/>
      <c r="F9"/>
      <c r="G9"/>
      <c r="H9"/>
      <c r="I9"/>
    </row>
    <row r="10" spans="1:10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</row>
    <row r="11" spans="1:10" ht="10.050000000000001" hidden="1" customHeight="1" outlineLevel="1" x14ac:dyDescent="0.3">
      <c r="C11" s="4"/>
      <c r="D11" s="76"/>
      <c r="E11" s="76"/>
      <c r="F11" s="76"/>
      <c r="G11" s="76"/>
      <c r="H11" s="76"/>
      <c r="I11" s="76"/>
    </row>
    <row r="12" spans="1:10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85" t="s">
        <v>20</v>
      </c>
    </row>
    <row r="13" spans="1:10" ht="10.050000000000001" customHeight="1" outlineLevel="1" x14ac:dyDescent="0.3">
      <c r="A13"/>
      <c r="B13"/>
      <c r="C13"/>
      <c r="D13"/>
      <c r="E13"/>
      <c r="F13"/>
      <c r="G13"/>
      <c r="H13"/>
      <c r="I13"/>
    </row>
    <row r="14" spans="1:10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</row>
    <row r="15" spans="1:10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</row>
    <row r="16" spans="1:10" ht="14.4" hidden="1" customHeight="1" outlineLevel="2" x14ac:dyDescent="0.3">
      <c r="A16" s="47"/>
      <c r="B16" s="48"/>
      <c r="C16" s="13" t="s">
        <v>3</v>
      </c>
      <c r="D16" s="14" t="s">
        <v>55</v>
      </c>
      <c r="E16" s="14" t="s">
        <v>55</v>
      </c>
      <c r="F16" s="14" t="s">
        <v>56</v>
      </c>
      <c r="G16" s="14" t="s">
        <v>55</v>
      </c>
      <c r="H16" s="14" t="s">
        <v>56</v>
      </c>
      <c r="I16" s="14" t="s">
        <v>56</v>
      </c>
    </row>
    <row r="17" spans="1:9" ht="14.4" hidden="1" customHeight="1" outlineLevel="2" x14ac:dyDescent="0.3">
      <c r="A17" s="47"/>
      <c r="B17" s="49"/>
      <c r="C17" s="16" t="s">
        <v>7</v>
      </c>
      <c r="D17" s="50">
        <v>1</v>
      </c>
      <c r="E17" s="50">
        <v>0.33333333333333298</v>
      </c>
      <c r="F17" s="50">
        <v>2.2222222222222199E-2</v>
      </c>
      <c r="G17" s="50">
        <v>0.43333333333333302</v>
      </c>
      <c r="H17" s="50">
        <v>3.3333333333333298E-2</v>
      </c>
      <c r="I17" s="50">
        <v>3.3333333333333298E-2</v>
      </c>
    </row>
    <row r="18" spans="1:9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</row>
    <row r="19" spans="1:9" ht="14.4" hidden="1" customHeight="1" outlineLevel="2" x14ac:dyDescent="0.3">
      <c r="B19" s="15"/>
      <c r="C19" s="30" t="s">
        <v>5</v>
      </c>
      <c r="D19" s="50">
        <v>0.20078081427774599</v>
      </c>
      <c r="E19" s="50">
        <v>0.20078081427774599</v>
      </c>
      <c r="F19" s="50">
        <v>6.3301728945900707E-2</v>
      </c>
      <c r="G19" s="50">
        <v>0.20078081427774599</v>
      </c>
      <c r="H19" s="50">
        <v>6.66480758505298E-2</v>
      </c>
      <c r="I19" s="50">
        <v>6.6926938092582197E-2</v>
      </c>
    </row>
    <row r="20" spans="1:9" ht="14.4" hidden="1" customHeight="1" outlineLevel="2" x14ac:dyDescent="0.3">
      <c r="B20" s="15"/>
      <c r="C20" s="16" t="s">
        <v>4</v>
      </c>
      <c r="D20" s="14">
        <v>720</v>
      </c>
      <c r="E20" s="14">
        <v>720</v>
      </c>
      <c r="F20" s="14">
        <v>227</v>
      </c>
      <c r="G20" s="14">
        <v>720</v>
      </c>
      <c r="H20" s="14">
        <v>239</v>
      </c>
      <c r="I20" s="14">
        <v>240</v>
      </c>
    </row>
    <row r="21" spans="1:9" ht="14.4" hidden="1" customHeight="1" outlineLevel="2" x14ac:dyDescent="0.3">
      <c r="B21" s="15"/>
      <c r="C21" s="16" t="s">
        <v>6</v>
      </c>
      <c r="D21" s="14">
        <v>90</v>
      </c>
      <c r="E21" s="14">
        <v>30</v>
      </c>
      <c r="F21" s="14">
        <v>2</v>
      </c>
      <c r="G21" s="14">
        <v>39</v>
      </c>
      <c r="H21" s="14">
        <v>3</v>
      </c>
      <c r="I21" s="14">
        <v>3</v>
      </c>
    </row>
    <row r="22" spans="1:9" ht="14.4" hidden="1" customHeight="1" outlineLevel="2" x14ac:dyDescent="0.3">
      <c r="B22" s="15"/>
      <c r="C22" s="16" t="s">
        <v>8</v>
      </c>
      <c r="D22" s="14">
        <v>90</v>
      </c>
      <c r="E22" s="14">
        <v>90</v>
      </c>
      <c r="F22" s="14">
        <v>90</v>
      </c>
      <c r="G22" s="14">
        <v>90</v>
      </c>
      <c r="H22" s="14">
        <v>90</v>
      </c>
      <c r="I22" s="14">
        <v>90</v>
      </c>
    </row>
    <row r="23" spans="1:9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</row>
    <row r="24" spans="1:9" ht="10.050000000000001" hidden="1" customHeight="1" outlineLevel="2" x14ac:dyDescent="0.3">
      <c r="B24" s="11"/>
      <c r="D24" s="8"/>
      <c r="E24" s="8"/>
      <c r="F24" s="8"/>
      <c r="G24" s="8"/>
      <c r="H24" s="8"/>
      <c r="I24" s="8"/>
    </row>
    <row r="25" spans="1:9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</row>
    <row r="26" spans="1:9" ht="10.050000000000001" hidden="1" customHeight="1" outlineLevel="2" x14ac:dyDescent="0.3">
      <c r="B26" s="23"/>
      <c r="D26" s="8"/>
      <c r="E26" s="8"/>
      <c r="F26" s="8"/>
      <c r="G26" s="8"/>
      <c r="H26" s="8"/>
      <c r="I26" s="8"/>
    </row>
    <row r="27" spans="1:9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</row>
    <row r="28" spans="1:9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</row>
    <row r="29" spans="1:9" ht="14.4" hidden="1" customHeight="1" outlineLevel="2" x14ac:dyDescent="0.35">
      <c r="B29" s="12"/>
      <c r="C29" s="13" t="s">
        <v>11</v>
      </c>
      <c r="D29" s="27">
        <v>44.5</v>
      </c>
      <c r="E29" s="27">
        <v>15.5</v>
      </c>
      <c r="F29" s="27"/>
      <c r="G29" s="27">
        <v>99.7</v>
      </c>
      <c r="H29" s="27"/>
      <c r="I29" s="27"/>
    </row>
    <row r="30" spans="1:9" ht="14.4" hidden="1" customHeight="1" outlineLevel="2" x14ac:dyDescent="0.3">
      <c r="B30" s="15"/>
      <c r="C30" s="17" t="s">
        <v>12</v>
      </c>
      <c r="D30" s="28">
        <v>44.5</v>
      </c>
      <c r="E30" s="28">
        <v>15.5</v>
      </c>
      <c r="F30" s="28"/>
      <c r="G30" s="28">
        <v>96</v>
      </c>
      <c r="H30" s="28"/>
      <c r="I30" s="28"/>
    </row>
    <row r="31" spans="1:9" ht="14.4" hidden="1" customHeight="1" outlineLevel="2" x14ac:dyDescent="0.3">
      <c r="B31" s="15"/>
      <c r="C31" s="16" t="s">
        <v>13</v>
      </c>
      <c r="D31" s="18">
        <v>0</v>
      </c>
      <c r="E31" s="18">
        <v>1</v>
      </c>
      <c r="F31" s="18" t="s">
        <v>57</v>
      </c>
      <c r="G31" s="18">
        <v>92</v>
      </c>
      <c r="H31" s="18" t="s">
        <v>58</v>
      </c>
      <c r="I31" s="18" t="s">
        <v>59</v>
      </c>
    </row>
    <row r="32" spans="1:9" ht="14.4" hidden="1" customHeight="1" outlineLevel="2" x14ac:dyDescent="0.3">
      <c r="B32" s="15"/>
      <c r="C32" s="17" t="s">
        <v>14</v>
      </c>
      <c r="D32" s="29">
        <v>26.124700955226199</v>
      </c>
      <c r="E32" s="29">
        <v>8.7039316958654993</v>
      </c>
      <c r="F32" s="29"/>
      <c r="G32" s="29">
        <v>14.8584708938494</v>
      </c>
      <c r="H32" s="29"/>
      <c r="I32" s="29"/>
    </row>
    <row r="33" spans="1:9" ht="14.4" hidden="1" customHeight="1" outlineLevel="2" x14ac:dyDescent="0.3">
      <c r="B33" s="15"/>
      <c r="C33" s="30" t="s">
        <v>15</v>
      </c>
      <c r="D33" s="27">
        <v>682.5</v>
      </c>
      <c r="E33" s="27">
        <v>75.758426966292106</v>
      </c>
      <c r="F33" s="27"/>
      <c r="G33" s="27">
        <v>220.77415730337</v>
      </c>
      <c r="H33" s="27"/>
      <c r="I33" s="27"/>
    </row>
    <row r="34" spans="1:9" ht="10.050000000000001" hidden="1" customHeight="1" outlineLevel="2" x14ac:dyDescent="0.3">
      <c r="B34" s="11"/>
      <c r="D34" s="8"/>
      <c r="E34" s="8"/>
      <c r="F34" s="8"/>
      <c r="G34" s="8"/>
      <c r="H34" s="8"/>
      <c r="I34" s="8"/>
    </row>
    <row r="35" spans="1:9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</row>
    <row r="36" spans="1:9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</row>
    <row r="37" spans="1:9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</row>
    <row r="38" spans="1:9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</row>
    <row r="39" spans="1:9" ht="14.4" hidden="1" customHeight="1" outlineLevel="2" x14ac:dyDescent="0.35">
      <c r="B39" s="12"/>
      <c r="C39" s="32" t="s">
        <v>16</v>
      </c>
      <c r="D39" s="29">
        <v>0</v>
      </c>
      <c r="E39" s="29">
        <v>1</v>
      </c>
      <c r="F39" s="29"/>
      <c r="G39" s="29">
        <v>80</v>
      </c>
      <c r="H39" s="29"/>
      <c r="I39" s="29"/>
    </row>
    <row r="40" spans="1:9" ht="14.4" hidden="1" customHeight="1" outlineLevel="2" x14ac:dyDescent="0.3">
      <c r="B40" s="11"/>
      <c r="C40" s="33">
        <v>0.05</v>
      </c>
      <c r="D40" s="27">
        <v>4.45</v>
      </c>
      <c r="E40" s="27">
        <v>2</v>
      </c>
      <c r="F40" s="27"/>
      <c r="G40" s="27">
        <v>83.45</v>
      </c>
      <c r="H40" s="27"/>
      <c r="I40" s="27"/>
    </row>
    <row r="41" spans="1:9" ht="14.4" hidden="1" customHeight="1" outlineLevel="2" x14ac:dyDescent="0.3">
      <c r="B41" s="11"/>
      <c r="C41" s="34">
        <v>0.25</v>
      </c>
      <c r="D41" s="29">
        <v>22.25</v>
      </c>
      <c r="E41" s="29">
        <v>8</v>
      </c>
      <c r="F41" s="29"/>
      <c r="G41" s="29">
        <v>90.25</v>
      </c>
      <c r="H41" s="29"/>
      <c r="I41" s="29"/>
    </row>
    <row r="42" spans="1:9" ht="14.4" hidden="1" customHeight="1" outlineLevel="2" x14ac:dyDescent="0.3">
      <c r="B42" s="11"/>
      <c r="C42" s="33">
        <v>0.5</v>
      </c>
      <c r="D42" s="27">
        <v>44.5</v>
      </c>
      <c r="E42" s="27">
        <v>15.5</v>
      </c>
      <c r="F42" s="27"/>
      <c r="G42" s="27">
        <v>96</v>
      </c>
      <c r="H42" s="27"/>
      <c r="I42" s="27"/>
    </row>
    <row r="43" spans="1:9" ht="14.4" hidden="1" customHeight="1" outlineLevel="2" x14ac:dyDescent="0.3">
      <c r="B43" s="11"/>
      <c r="C43" s="34">
        <v>0.75</v>
      </c>
      <c r="D43" s="29">
        <v>66.75</v>
      </c>
      <c r="E43" s="29">
        <v>23</v>
      </c>
      <c r="F43" s="29"/>
      <c r="G43" s="29">
        <v>103</v>
      </c>
      <c r="H43" s="29"/>
      <c r="I43" s="29"/>
    </row>
    <row r="44" spans="1:9" ht="14.4" hidden="1" customHeight="1" outlineLevel="2" x14ac:dyDescent="0.3">
      <c r="B44" s="11"/>
      <c r="C44" s="33">
        <v>0.95</v>
      </c>
      <c r="D44" s="27">
        <v>84.55</v>
      </c>
      <c r="E44" s="27">
        <v>29</v>
      </c>
      <c r="F44" s="27"/>
      <c r="G44" s="27">
        <v>133.64999999999901</v>
      </c>
      <c r="H44" s="27"/>
      <c r="I44" s="27"/>
    </row>
    <row r="45" spans="1:9" ht="14.4" hidden="1" customHeight="1" outlineLevel="2" x14ac:dyDescent="0.3">
      <c r="B45" s="11"/>
      <c r="C45" s="34" t="s">
        <v>17</v>
      </c>
      <c r="D45" s="29">
        <v>89</v>
      </c>
      <c r="E45" s="29">
        <v>30</v>
      </c>
      <c r="F45" s="29"/>
      <c r="G45" s="29">
        <v>150</v>
      </c>
      <c r="H45" s="29"/>
      <c r="I45" s="29"/>
    </row>
    <row r="46" spans="1:9" ht="14.4" hidden="1" customHeight="1" outlineLevel="2" x14ac:dyDescent="0.3">
      <c r="B46" s="11"/>
      <c r="C46" s="16" t="s">
        <v>18</v>
      </c>
      <c r="D46" s="27">
        <v>89</v>
      </c>
      <c r="E46" s="27">
        <v>29</v>
      </c>
      <c r="F46" s="27"/>
      <c r="G46" s="27">
        <v>70</v>
      </c>
      <c r="H46" s="27"/>
      <c r="I46" s="27"/>
    </row>
    <row r="47" spans="1:9" ht="14.4" hidden="1" customHeight="1" outlineLevel="2" x14ac:dyDescent="0.3">
      <c r="B47" s="23"/>
      <c r="C47" s="19" t="s">
        <v>19</v>
      </c>
      <c r="D47" s="29">
        <v>44.5</v>
      </c>
      <c r="E47" s="29">
        <v>15</v>
      </c>
      <c r="F47" s="29"/>
      <c r="G47" s="29">
        <v>12.75</v>
      </c>
      <c r="H47" s="29"/>
      <c r="I47" s="29"/>
    </row>
    <row r="48" spans="1:9" ht="10.050000000000001" hidden="1" customHeight="1" outlineLevel="2" x14ac:dyDescent="0.3">
      <c r="B48" s="23"/>
      <c r="D48" s="8"/>
      <c r="E48" s="8"/>
      <c r="F48" s="8"/>
      <c r="G48" s="8"/>
      <c r="H48" s="8"/>
      <c r="I48" s="8"/>
    </row>
    <row r="49" spans="1:9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</row>
    <row r="50" spans="1:9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</row>
    <row r="51" spans="1:9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</row>
    <row r="52" spans="1:9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</row>
    <row r="53" spans="1:9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</row>
    <row r="54" spans="1:9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</row>
    <row r="55" spans="1:9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</row>
    <row r="56" spans="1:9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</row>
    <row r="57" spans="1:9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</row>
    <row r="58" spans="1:9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</row>
    <row r="59" spans="1:9" ht="10.050000000000001" hidden="1" customHeight="1" outlineLevel="2" x14ac:dyDescent="0.3">
      <c r="B59" s="20"/>
      <c r="D59" s="8"/>
      <c r="E59" s="8"/>
      <c r="F59" s="8"/>
      <c r="G59" s="8"/>
      <c r="H59" s="8"/>
      <c r="I59" s="8"/>
    </row>
    <row r="60" spans="1:9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</row>
    <row r="61" spans="1:9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</row>
    <row r="62" spans="1:9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9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9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0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0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0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0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0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0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0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</row>
    <row r="72" spans="1:10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97" t="s">
        <v>20</v>
      </c>
    </row>
    <row r="73" spans="1:10" x14ac:dyDescent="0.3">
      <c r="C73" s="41" t="b">
        <v>0</v>
      </c>
      <c r="D73" s="42">
        <v>0</v>
      </c>
      <c r="E73" s="42">
        <v>1</v>
      </c>
      <c r="F73" s="42" t="s">
        <v>60</v>
      </c>
      <c r="G73" s="42">
        <v>85</v>
      </c>
      <c r="H73" s="42" t="s">
        <v>58</v>
      </c>
      <c r="I73" s="42" t="s">
        <v>59</v>
      </c>
      <c r="J73" s="113">
        <v>1.62292014812317E+19</v>
      </c>
    </row>
    <row r="74" spans="1:10" x14ac:dyDescent="0.3">
      <c r="C74" s="41" t="b">
        <v>0</v>
      </c>
      <c r="D74" s="42">
        <v>1</v>
      </c>
      <c r="E74" s="42">
        <v>1</v>
      </c>
      <c r="F74" s="42" t="s">
        <v>60</v>
      </c>
      <c r="G74" s="42">
        <v>85</v>
      </c>
      <c r="H74" s="42" t="s">
        <v>61</v>
      </c>
      <c r="I74" s="42" t="s">
        <v>59</v>
      </c>
      <c r="J74" s="113">
        <v>6.9446638505744499E+17</v>
      </c>
    </row>
    <row r="75" spans="1:10" x14ac:dyDescent="0.3">
      <c r="C75" s="41" t="b">
        <v>0</v>
      </c>
      <c r="D75" s="42">
        <v>2</v>
      </c>
      <c r="E75" s="42">
        <v>1</v>
      </c>
      <c r="F75" s="42" t="s">
        <v>60</v>
      </c>
      <c r="G75" s="42">
        <v>88</v>
      </c>
      <c r="H75" s="42" t="s">
        <v>62</v>
      </c>
      <c r="I75" s="42" t="s">
        <v>59</v>
      </c>
      <c r="J75" s="113">
        <v>1.5958707606699901E+19</v>
      </c>
    </row>
    <row r="76" spans="1:10" x14ac:dyDescent="0.3">
      <c r="C76" s="41" t="b">
        <v>0</v>
      </c>
      <c r="D76" s="42">
        <v>3</v>
      </c>
      <c r="E76" s="42">
        <v>2</v>
      </c>
      <c r="F76" s="42" t="s">
        <v>60</v>
      </c>
      <c r="G76" s="42">
        <v>90</v>
      </c>
      <c r="H76" s="42" t="s">
        <v>58</v>
      </c>
      <c r="I76" s="42" t="s">
        <v>59</v>
      </c>
      <c r="J76" s="113">
        <v>8.3538573652207503E+18</v>
      </c>
    </row>
    <row r="77" spans="1:10" x14ac:dyDescent="0.3">
      <c r="C77" s="41" t="b">
        <v>0</v>
      </c>
      <c r="D77" s="42">
        <v>4</v>
      </c>
      <c r="E77" s="42">
        <v>2</v>
      </c>
      <c r="F77" s="42" t="s">
        <v>60</v>
      </c>
      <c r="G77" s="42">
        <v>92</v>
      </c>
      <c r="H77" s="42" t="s">
        <v>61</v>
      </c>
      <c r="I77" s="42" t="s">
        <v>59</v>
      </c>
      <c r="J77" s="113">
        <v>1.27039707926579E+19</v>
      </c>
    </row>
    <row r="78" spans="1:10" x14ac:dyDescent="0.3">
      <c r="C78" s="41" t="b">
        <v>0</v>
      </c>
      <c r="D78" s="42">
        <v>5</v>
      </c>
      <c r="E78" s="42">
        <v>2</v>
      </c>
      <c r="F78" s="42" t="s">
        <v>60</v>
      </c>
      <c r="G78" s="42">
        <v>93</v>
      </c>
      <c r="H78" s="42" t="s">
        <v>62</v>
      </c>
      <c r="I78" s="42" t="s">
        <v>59</v>
      </c>
      <c r="J78" s="113">
        <v>7.0894234985173299E+18</v>
      </c>
    </row>
    <row r="79" spans="1:10" x14ac:dyDescent="0.3">
      <c r="C79" s="41" t="b">
        <v>0</v>
      </c>
      <c r="D79" s="42">
        <v>6</v>
      </c>
      <c r="E79" s="42">
        <v>3</v>
      </c>
      <c r="F79" s="42" t="s">
        <v>60</v>
      </c>
      <c r="G79" s="42">
        <v>97</v>
      </c>
      <c r="H79" s="42" t="s">
        <v>58</v>
      </c>
      <c r="I79" s="42" t="s">
        <v>59</v>
      </c>
      <c r="J79" s="113">
        <v>2.72225267008354E+18</v>
      </c>
    </row>
    <row r="80" spans="1:10" x14ac:dyDescent="0.3">
      <c r="C80" s="41" t="b">
        <v>0</v>
      </c>
      <c r="D80" s="42">
        <v>7</v>
      </c>
      <c r="E80" s="42">
        <v>3</v>
      </c>
      <c r="F80" s="42" t="s">
        <v>60</v>
      </c>
      <c r="G80" s="42">
        <v>97</v>
      </c>
      <c r="H80" s="42" t="s">
        <v>61</v>
      </c>
      <c r="I80" s="42" t="s">
        <v>59</v>
      </c>
      <c r="J80" s="113">
        <v>1.810771732842E+19</v>
      </c>
    </row>
    <row r="81" spans="3:10" x14ac:dyDescent="0.3">
      <c r="C81" s="41" t="b">
        <v>0</v>
      </c>
      <c r="D81" s="42">
        <v>8</v>
      </c>
      <c r="E81" s="42">
        <v>3</v>
      </c>
      <c r="F81" s="42" t="s">
        <v>60</v>
      </c>
      <c r="G81" s="42">
        <v>94</v>
      </c>
      <c r="H81" s="42" t="s">
        <v>62</v>
      </c>
      <c r="I81" s="42" t="s">
        <v>59</v>
      </c>
      <c r="J81" s="113">
        <v>1.5982225516533801E+19</v>
      </c>
    </row>
    <row r="82" spans="3:10" x14ac:dyDescent="0.3">
      <c r="C82" s="41" t="b">
        <v>0</v>
      </c>
      <c r="D82" s="42">
        <v>9</v>
      </c>
      <c r="E82" s="42">
        <v>4</v>
      </c>
      <c r="F82" s="42" t="s">
        <v>60</v>
      </c>
      <c r="G82" s="42">
        <v>80</v>
      </c>
      <c r="H82" s="42" t="s">
        <v>58</v>
      </c>
      <c r="I82" s="42" t="s">
        <v>59</v>
      </c>
      <c r="J82" s="113">
        <v>1.8050621100604299E+19</v>
      </c>
    </row>
    <row r="83" spans="3:10" x14ac:dyDescent="0.3">
      <c r="C83" s="41" t="b">
        <v>0</v>
      </c>
      <c r="D83" s="42">
        <v>10</v>
      </c>
      <c r="E83" s="42">
        <v>4</v>
      </c>
      <c r="F83" s="42" t="s">
        <v>60</v>
      </c>
      <c r="G83" s="42">
        <v>82</v>
      </c>
      <c r="H83" s="42" t="s">
        <v>61</v>
      </c>
      <c r="I83" s="42" t="s">
        <v>59</v>
      </c>
      <c r="J83" s="113">
        <v>5.6675260985047695E+18</v>
      </c>
    </row>
    <row r="84" spans="3:10" x14ac:dyDescent="0.3">
      <c r="C84" s="41" t="b">
        <v>0</v>
      </c>
      <c r="D84" s="42">
        <v>11</v>
      </c>
      <c r="E84" s="42">
        <v>4</v>
      </c>
      <c r="F84" s="42" t="s">
        <v>60</v>
      </c>
      <c r="G84" s="42">
        <v>83</v>
      </c>
      <c r="H84" s="42" t="s">
        <v>62</v>
      </c>
      <c r="I84" s="42" t="s">
        <v>59</v>
      </c>
      <c r="J84" s="113">
        <v>1.00550811257023E+19</v>
      </c>
    </row>
    <row r="85" spans="3:10" x14ac:dyDescent="0.3">
      <c r="C85" s="41" t="b">
        <v>0</v>
      </c>
      <c r="D85" s="42">
        <v>12</v>
      </c>
      <c r="E85" s="42">
        <v>5</v>
      </c>
      <c r="F85" s="42" t="s">
        <v>60</v>
      </c>
      <c r="G85" s="42">
        <v>91</v>
      </c>
      <c r="H85" s="42" t="s">
        <v>58</v>
      </c>
      <c r="I85" s="42" t="s">
        <v>59</v>
      </c>
      <c r="J85" s="113">
        <v>9.10401048981619E+18</v>
      </c>
    </row>
    <row r="86" spans="3:10" x14ac:dyDescent="0.3">
      <c r="C86" s="41" t="b">
        <v>0</v>
      </c>
      <c r="D86" s="42">
        <v>13</v>
      </c>
      <c r="E86" s="42">
        <v>5</v>
      </c>
      <c r="F86" s="42" t="s">
        <v>60</v>
      </c>
      <c r="G86" s="42">
        <v>92</v>
      </c>
      <c r="H86" s="42" t="s">
        <v>61</v>
      </c>
      <c r="I86" s="42" t="s">
        <v>59</v>
      </c>
      <c r="J86" s="113">
        <v>1.74252440074095E+19</v>
      </c>
    </row>
    <row r="87" spans="3:10" x14ac:dyDescent="0.3">
      <c r="C87" s="41" t="b">
        <v>0</v>
      </c>
      <c r="D87" s="42">
        <v>14</v>
      </c>
      <c r="E87" s="42">
        <v>5</v>
      </c>
      <c r="F87" s="42" t="s">
        <v>60</v>
      </c>
      <c r="G87" s="42">
        <v>91</v>
      </c>
      <c r="H87" s="42" t="s">
        <v>62</v>
      </c>
      <c r="I87" s="42" t="s">
        <v>59</v>
      </c>
      <c r="J87" s="113">
        <v>6.52481734424623E+18</v>
      </c>
    </row>
    <row r="88" spans="3:10" x14ac:dyDescent="0.3">
      <c r="C88" s="41" t="b">
        <v>0</v>
      </c>
      <c r="D88" s="42">
        <v>15</v>
      </c>
      <c r="E88" s="42">
        <v>6</v>
      </c>
      <c r="F88" s="42" t="s">
        <v>57</v>
      </c>
      <c r="G88" s="42">
        <v>83</v>
      </c>
      <c r="H88" s="42" t="s">
        <v>58</v>
      </c>
      <c r="I88" s="42" t="s">
        <v>59</v>
      </c>
      <c r="J88" s="113">
        <v>1.0517608725703E+19</v>
      </c>
    </row>
    <row r="89" spans="3:10" x14ac:dyDescent="0.3">
      <c r="C89" s="41" t="b">
        <v>0</v>
      </c>
      <c r="D89" s="42">
        <v>16</v>
      </c>
      <c r="E89" s="42">
        <v>6</v>
      </c>
      <c r="F89" s="42" t="s">
        <v>57</v>
      </c>
      <c r="G89" s="42">
        <v>83</v>
      </c>
      <c r="H89" s="42" t="s">
        <v>61</v>
      </c>
      <c r="I89" s="42" t="s">
        <v>59</v>
      </c>
      <c r="J89" s="113">
        <v>1.04101395565626E+19</v>
      </c>
    </row>
    <row r="90" spans="3:10" x14ac:dyDescent="0.3">
      <c r="C90" s="41" t="b">
        <v>0</v>
      </c>
      <c r="D90" s="42">
        <v>17</v>
      </c>
      <c r="E90" s="42">
        <v>6</v>
      </c>
      <c r="F90" s="42" t="s">
        <v>57</v>
      </c>
      <c r="G90" s="42">
        <v>84</v>
      </c>
      <c r="H90" s="42" t="s">
        <v>62</v>
      </c>
      <c r="I90" s="42" t="s">
        <v>59</v>
      </c>
      <c r="J90" s="113">
        <v>1.6414087577004401E+19</v>
      </c>
    </row>
    <row r="91" spans="3:10" x14ac:dyDescent="0.3">
      <c r="C91" s="41" t="b">
        <v>0</v>
      </c>
      <c r="D91" s="42">
        <v>18</v>
      </c>
      <c r="E91" s="42">
        <v>7</v>
      </c>
      <c r="F91" s="42" t="s">
        <v>57</v>
      </c>
      <c r="G91" s="42">
        <v>87</v>
      </c>
      <c r="H91" s="42" t="s">
        <v>58</v>
      </c>
      <c r="I91" s="42" t="s">
        <v>59</v>
      </c>
      <c r="J91" s="113">
        <v>8.1439533612318095E+18</v>
      </c>
    </row>
    <row r="92" spans="3:10" x14ac:dyDescent="0.3">
      <c r="C92" s="41" t="b">
        <v>0</v>
      </c>
      <c r="D92" s="42">
        <v>19</v>
      </c>
      <c r="E92" s="42">
        <v>7</v>
      </c>
      <c r="F92" s="42" t="s">
        <v>57</v>
      </c>
      <c r="G92" s="42">
        <v>88</v>
      </c>
      <c r="H92" s="42" t="s">
        <v>61</v>
      </c>
      <c r="I92" s="42" t="s">
        <v>59</v>
      </c>
      <c r="J92" s="113">
        <v>1.4474663048024799E+19</v>
      </c>
    </row>
    <row r="93" spans="3:10" x14ac:dyDescent="0.3">
      <c r="C93" s="41" t="b">
        <v>0</v>
      </c>
      <c r="D93" s="42">
        <v>20</v>
      </c>
      <c r="E93" s="42">
        <v>7</v>
      </c>
      <c r="F93" s="42" t="s">
        <v>57</v>
      </c>
      <c r="G93" s="42">
        <v>90</v>
      </c>
      <c r="H93" s="42" t="s">
        <v>62</v>
      </c>
      <c r="I93" s="42" t="s">
        <v>59</v>
      </c>
      <c r="J93" s="113">
        <v>7.6044694733974405E+18</v>
      </c>
    </row>
    <row r="94" spans="3:10" x14ac:dyDescent="0.3">
      <c r="C94" s="41" t="b">
        <v>0</v>
      </c>
      <c r="D94" s="42">
        <v>21</v>
      </c>
      <c r="E94" s="42">
        <v>8</v>
      </c>
      <c r="F94" s="42" t="s">
        <v>57</v>
      </c>
      <c r="G94" s="42">
        <v>92</v>
      </c>
      <c r="H94" s="42" t="s">
        <v>58</v>
      </c>
      <c r="I94" s="42" t="s">
        <v>59</v>
      </c>
      <c r="J94" s="113">
        <v>6.4419975520489595E+18</v>
      </c>
    </row>
    <row r="95" spans="3:10" x14ac:dyDescent="0.3">
      <c r="C95" s="41" t="b">
        <v>0</v>
      </c>
      <c r="D95" s="42">
        <v>22</v>
      </c>
      <c r="E95" s="42">
        <v>8</v>
      </c>
      <c r="F95" s="42" t="s">
        <v>57</v>
      </c>
      <c r="G95" s="42">
        <v>94</v>
      </c>
      <c r="H95" s="42" t="s">
        <v>61</v>
      </c>
      <c r="I95" s="42" t="s">
        <v>59</v>
      </c>
      <c r="J95" s="113">
        <v>4.4384268874037002E+18</v>
      </c>
    </row>
    <row r="96" spans="3:10" x14ac:dyDescent="0.3">
      <c r="C96" s="41" t="b">
        <v>0</v>
      </c>
      <c r="D96" s="42">
        <v>23</v>
      </c>
      <c r="E96" s="42">
        <v>8</v>
      </c>
      <c r="F96" s="42" t="s">
        <v>57</v>
      </c>
      <c r="G96" s="42">
        <v>95</v>
      </c>
      <c r="H96" s="42" t="s">
        <v>62</v>
      </c>
      <c r="I96" s="42" t="s">
        <v>59</v>
      </c>
      <c r="J96" s="113">
        <v>1.30831145249997E+19</v>
      </c>
    </row>
    <row r="97" spans="3:10" x14ac:dyDescent="0.3">
      <c r="C97" s="41" t="b">
        <v>0</v>
      </c>
      <c r="D97" s="42">
        <v>24</v>
      </c>
      <c r="E97" s="42">
        <v>9</v>
      </c>
      <c r="F97" s="42" t="s">
        <v>57</v>
      </c>
      <c r="G97" s="42">
        <v>97</v>
      </c>
      <c r="H97" s="42" t="s">
        <v>58</v>
      </c>
      <c r="I97" s="42" t="s">
        <v>59</v>
      </c>
      <c r="J97" s="113">
        <v>5.05068530823768E+17</v>
      </c>
    </row>
    <row r="98" spans="3:10" x14ac:dyDescent="0.3">
      <c r="C98" s="41" t="b">
        <v>0</v>
      </c>
      <c r="D98" s="42">
        <v>25</v>
      </c>
      <c r="E98" s="42">
        <v>9</v>
      </c>
      <c r="F98" s="42" t="s">
        <v>57</v>
      </c>
      <c r="G98" s="42">
        <v>99</v>
      </c>
      <c r="H98" s="42" t="s">
        <v>61</v>
      </c>
      <c r="I98" s="42" t="s">
        <v>59</v>
      </c>
      <c r="J98" s="113">
        <v>1.8080134267438999E+18</v>
      </c>
    </row>
    <row r="99" spans="3:10" x14ac:dyDescent="0.3">
      <c r="C99" s="41" t="b">
        <v>0</v>
      </c>
      <c r="D99" s="42">
        <v>26</v>
      </c>
      <c r="E99" s="42">
        <v>9</v>
      </c>
      <c r="F99" s="42" t="s">
        <v>57</v>
      </c>
      <c r="G99" s="42">
        <v>96</v>
      </c>
      <c r="H99" s="42" t="s">
        <v>62</v>
      </c>
      <c r="I99" s="42" t="s">
        <v>59</v>
      </c>
      <c r="J99" s="113">
        <v>1.0111043548281801E+19</v>
      </c>
    </row>
    <row r="100" spans="3:10" x14ac:dyDescent="0.3">
      <c r="C100" s="41" t="b">
        <v>0</v>
      </c>
      <c r="D100" s="42">
        <v>27</v>
      </c>
      <c r="E100" s="42">
        <v>10</v>
      </c>
      <c r="F100" s="42" t="s">
        <v>57</v>
      </c>
      <c r="G100" s="42">
        <v>100</v>
      </c>
      <c r="H100" s="42" t="s">
        <v>58</v>
      </c>
      <c r="I100" s="42" t="s">
        <v>59</v>
      </c>
      <c r="J100" s="113">
        <v>6.9928519025057096E+18</v>
      </c>
    </row>
    <row r="101" spans="3:10" x14ac:dyDescent="0.3">
      <c r="C101" s="41" t="b">
        <v>0</v>
      </c>
      <c r="D101" s="42">
        <v>28</v>
      </c>
      <c r="E101" s="42">
        <v>10</v>
      </c>
      <c r="F101" s="42" t="s">
        <v>57</v>
      </c>
      <c r="G101" s="42">
        <v>97</v>
      </c>
      <c r="H101" s="42" t="s">
        <v>61</v>
      </c>
      <c r="I101" s="42" t="s">
        <v>59</v>
      </c>
      <c r="J101" s="113">
        <v>7.00843686094861E+18</v>
      </c>
    </row>
    <row r="102" spans="3:10" x14ac:dyDescent="0.3">
      <c r="C102" s="41" t="b">
        <v>0</v>
      </c>
      <c r="D102" s="42">
        <v>29</v>
      </c>
      <c r="E102" s="42">
        <v>10</v>
      </c>
      <c r="F102" s="42" t="s">
        <v>57</v>
      </c>
      <c r="G102" s="42">
        <v>100</v>
      </c>
      <c r="H102" s="42" t="s">
        <v>62</v>
      </c>
      <c r="I102" s="42" t="s">
        <v>59</v>
      </c>
      <c r="J102" s="113">
        <v>1.76719212895238E+19</v>
      </c>
    </row>
    <row r="103" spans="3:10" x14ac:dyDescent="0.3">
      <c r="C103" s="41" t="b">
        <v>0</v>
      </c>
      <c r="D103" s="42">
        <v>30</v>
      </c>
      <c r="E103" s="42">
        <v>11</v>
      </c>
      <c r="F103" s="42" t="s">
        <v>60</v>
      </c>
      <c r="G103" s="42">
        <v>86</v>
      </c>
      <c r="H103" s="42" t="s">
        <v>58</v>
      </c>
      <c r="I103" s="42" t="s">
        <v>63</v>
      </c>
      <c r="J103" s="113">
        <v>1.6291022395097201E+18</v>
      </c>
    </row>
    <row r="104" spans="3:10" x14ac:dyDescent="0.3">
      <c r="C104" s="41" t="b">
        <v>0</v>
      </c>
      <c r="D104" s="42">
        <v>31</v>
      </c>
      <c r="E104" s="42">
        <v>11</v>
      </c>
      <c r="F104" s="42" t="s">
        <v>60</v>
      </c>
      <c r="G104" s="42">
        <v>86</v>
      </c>
      <c r="H104" s="42" t="s">
        <v>61</v>
      </c>
      <c r="I104" s="42" t="s">
        <v>63</v>
      </c>
      <c r="J104" s="113">
        <v>5.3945955197629696E+18</v>
      </c>
    </row>
    <row r="105" spans="3:10" x14ac:dyDescent="0.3">
      <c r="C105" s="41" t="b">
        <v>0</v>
      </c>
      <c r="D105" s="42">
        <v>32</v>
      </c>
      <c r="E105" s="42">
        <v>11</v>
      </c>
      <c r="F105" s="42" t="s">
        <v>60</v>
      </c>
      <c r="G105" s="42">
        <v>84</v>
      </c>
      <c r="H105" s="42" t="s">
        <v>62</v>
      </c>
      <c r="I105" s="42" t="s">
        <v>63</v>
      </c>
      <c r="J105" s="113">
        <v>8.91609429113843E+18</v>
      </c>
    </row>
    <row r="106" spans="3:10" x14ac:dyDescent="0.3">
      <c r="C106" s="41" t="b">
        <v>0</v>
      </c>
      <c r="D106" s="42">
        <v>33</v>
      </c>
      <c r="E106" s="42">
        <v>12</v>
      </c>
      <c r="F106" s="42" t="s">
        <v>60</v>
      </c>
      <c r="G106" s="42">
        <v>93</v>
      </c>
      <c r="H106" s="42" t="s">
        <v>58</v>
      </c>
      <c r="I106" s="42" t="s">
        <v>63</v>
      </c>
      <c r="J106" s="113">
        <v>1.5066792664476799E+19</v>
      </c>
    </row>
    <row r="107" spans="3:10" x14ac:dyDescent="0.3">
      <c r="C107" s="41" t="b">
        <v>0</v>
      </c>
      <c r="D107" s="42">
        <v>34</v>
      </c>
      <c r="E107" s="42">
        <v>12</v>
      </c>
      <c r="F107" s="42" t="s">
        <v>60</v>
      </c>
      <c r="G107" s="42">
        <v>103</v>
      </c>
      <c r="H107" s="42" t="s">
        <v>61</v>
      </c>
      <c r="I107" s="42" t="s">
        <v>63</v>
      </c>
      <c r="J107" s="113">
        <v>7.3773753046456904E+18</v>
      </c>
    </row>
    <row r="108" spans="3:10" x14ac:dyDescent="0.3">
      <c r="C108" s="41" t="b">
        <v>0</v>
      </c>
      <c r="D108" s="42">
        <v>35</v>
      </c>
      <c r="E108" s="42">
        <v>12</v>
      </c>
      <c r="F108" s="42" t="s">
        <v>60</v>
      </c>
      <c r="G108" s="42">
        <v>104</v>
      </c>
      <c r="H108" s="42" t="s">
        <v>62</v>
      </c>
      <c r="I108" s="42" t="s">
        <v>63</v>
      </c>
      <c r="J108" s="113">
        <v>1.79671021156108E+19</v>
      </c>
    </row>
    <row r="109" spans="3:10" x14ac:dyDescent="0.3">
      <c r="C109" s="41" t="b">
        <v>0</v>
      </c>
      <c r="D109" s="42">
        <v>36</v>
      </c>
      <c r="E109" s="42">
        <v>13</v>
      </c>
      <c r="F109" s="42" t="s">
        <v>60</v>
      </c>
      <c r="G109" s="42">
        <v>90</v>
      </c>
      <c r="H109" s="42" t="s">
        <v>58</v>
      </c>
      <c r="I109" s="42" t="s">
        <v>63</v>
      </c>
      <c r="J109" s="113">
        <v>8.1887459650300703E+18</v>
      </c>
    </row>
    <row r="110" spans="3:10" x14ac:dyDescent="0.3">
      <c r="C110" s="41" t="b">
        <v>0</v>
      </c>
      <c r="D110" s="42">
        <v>37</v>
      </c>
      <c r="E110" s="42">
        <v>13</v>
      </c>
      <c r="F110" s="42" t="s">
        <v>60</v>
      </c>
      <c r="G110" s="42">
        <v>92</v>
      </c>
      <c r="H110" s="42" t="s">
        <v>61</v>
      </c>
      <c r="I110" s="42" t="s">
        <v>63</v>
      </c>
      <c r="J110" s="113">
        <v>1.23916969077934E+19</v>
      </c>
    </row>
    <row r="111" spans="3:10" x14ac:dyDescent="0.3">
      <c r="C111" s="41" t="b">
        <v>0</v>
      </c>
      <c r="D111" s="42">
        <v>38</v>
      </c>
      <c r="E111" s="42">
        <v>13</v>
      </c>
      <c r="F111" s="42" t="s">
        <v>60</v>
      </c>
      <c r="G111" s="42">
        <v>93</v>
      </c>
      <c r="H111" s="42" t="s">
        <v>62</v>
      </c>
      <c r="I111" s="42" t="s">
        <v>63</v>
      </c>
      <c r="J111" s="113">
        <v>1.3548048048061399E+19</v>
      </c>
    </row>
    <row r="112" spans="3:10" x14ac:dyDescent="0.3">
      <c r="C112" s="41" t="b">
        <v>0</v>
      </c>
      <c r="D112" s="42">
        <v>39</v>
      </c>
      <c r="E112" s="42">
        <v>14</v>
      </c>
      <c r="F112" s="42" t="s">
        <v>60</v>
      </c>
      <c r="G112" s="42">
        <v>95</v>
      </c>
      <c r="H112" s="42" t="s">
        <v>58</v>
      </c>
      <c r="I112" s="42" t="s">
        <v>63</v>
      </c>
      <c r="J112" s="113">
        <v>1.79324881245497E+19</v>
      </c>
    </row>
    <row r="113" spans="3:10" x14ac:dyDescent="0.3">
      <c r="C113" s="41" t="b">
        <v>0</v>
      </c>
      <c r="D113" s="42">
        <v>40</v>
      </c>
      <c r="E113" s="42">
        <v>14</v>
      </c>
      <c r="F113" s="42" t="s">
        <v>60</v>
      </c>
      <c r="G113" s="42">
        <v>96</v>
      </c>
      <c r="H113" s="42" t="s">
        <v>61</v>
      </c>
      <c r="I113" s="42" t="s">
        <v>63</v>
      </c>
      <c r="J113" s="113">
        <v>1.5767267051337699E+19</v>
      </c>
    </row>
    <row r="114" spans="3:10" x14ac:dyDescent="0.3">
      <c r="C114" s="41" t="b">
        <v>0</v>
      </c>
      <c r="D114" s="42">
        <v>41</v>
      </c>
      <c r="E114" s="42">
        <v>14</v>
      </c>
      <c r="F114" s="42" t="s">
        <v>60</v>
      </c>
      <c r="G114" s="42">
        <v>100</v>
      </c>
      <c r="H114" s="42" t="s">
        <v>62</v>
      </c>
      <c r="I114" s="42" t="s">
        <v>63</v>
      </c>
      <c r="J114" s="113">
        <v>1.28060828863663E+19</v>
      </c>
    </row>
    <row r="115" spans="3:10" x14ac:dyDescent="0.3">
      <c r="C115" s="41" t="b">
        <v>0</v>
      </c>
      <c r="D115" s="42">
        <v>42</v>
      </c>
      <c r="E115" s="42">
        <v>15</v>
      </c>
      <c r="F115" s="42" t="s">
        <v>60</v>
      </c>
      <c r="G115" s="42">
        <v>89</v>
      </c>
      <c r="H115" s="42" t="s">
        <v>58</v>
      </c>
      <c r="I115" s="42" t="s">
        <v>63</v>
      </c>
      <c r="J115" s="113">
        <v>1.0951473571314801E+19</v>
      </c>
    </row>
    <row r="116" spans="3:10" x14ac:dyDescent="0.3">
      <c r="C116" s="41" t="b">
        <v>0</v>
      </c>
      <c r="D116" s="42">
        <v>43</v>
      </c>
      <c r="E116" s="42">
        <v>15</v>
      </c>
      <c r="F116" s="42" t="s">
        <v>60</v>
      </c>
      <c r="G116" s="42">
        <v>96</v>
      </c>
      <c r="H116" s="42" t="s">
        <v>61</v>
      </c>
      <c r="I116" s="42" t="s">
        <v>63</v>
      </c>
      <c r="J116" s="113">
        <v>9.1675309937202504E+18</v>
      </c>
    </row>
    <row r="117" spans="3:10" x14ac:dyDescent="0.3">
      <c r="C117" s="41" t="b">
        <v>0</v>
      </c>
      <c r="D117" s="42">
        <v>44</v>
      </c>
      <c r="E117" s="42">
        <v>15</v>
      </c>
      <c r="F117" s="42" t="s">
        <v>60</v>
      </c>
      <c r="G117" s="42">
        <v>95</v>
      </c>
      <c r="H117" s="42" t="s">
        <v>62</v>
      </c>
      <c r="I117" s="42" t="s">
        <v>63</v>
      </c>
      <c r="J117" s="113">
        <v>8.29624044732544E+17</v>
      </c>
    </row>
    <row r="118" spans="3:10" x14ac:dyDescent="0.3">
      <c r="C118" s="41" t="b">
        <v>0</v>
      </c>
      <c r="D118" s="42">
        <v>45</v>
      </c>
      <c r="E118" s="42">
        <v>16</v>
      </c>
      <c r="F118" s="42" t="s">
        <v>57</v>
      </c>
      <c r="G118" s="42">
        <v>84</v>
      </c>
      <c r="H118" s="42" t="s">
        <v>58</v>
      </c>
      <c r="I118" s="42" t="s">
        <v>63</v>
      </c>
      <c r="J118" s="113">
        <v>8.8104798277210696E+18</v>
      </c>
    </row>
    <row r="119" spans="3:10" x14ac:dyDescent="0.3">
      <c r="C119" s="41" t="b">
        <v>0</v>
      </c>
      <c r="D119" s="42">
        <v>46</v>
      </c>
      <c r="E119" s="42">
        <v>16</v>
      </c>
      <c r="F119" s="42" t="s">
        <v>57</v>
      </c>
      <c r="G119" s="42">
        <v>86</v>
      </c>
      <c r="H119" s="42" t="s">
        <v>61</v>
      </c>
      <c r="I119" s="42" t="s">
        <v>63</v>
      </c>
      <c r="J119" s="113">
        <v>1.5777427192724099E+19</v>
      </c>
    </row>
    <row r="120" spans="3:10" x14ac:dyDescent="0.3">
      <c r="C120" s="41" t="b">
        <v>0</v>
      </c>
      <c r="D120" s="42">
        <v>47</v>
      </c>
      <c r="E120" s="42">
        <v>16</v>
      </c>
      <c r="F120" s="42" t="s">
        <v>57</v>
      </c>
      <c r="G120" s="42">
        <v>89</v>
      </c>
      <c r="H120" s="42" t="s">
        <v>62</v>
      </c>
      <c r="I120" s="42" t="s">
        <v>63</v>
      </c>
      <c r="J120" s="113">
        <v>1.56018356436736E+19</v>
      </c>
    </row>
    <row r="121" spans="3:10" x14ac:dyDescent="0.3">
      <c r="C121" s="41" t="b">
        <v>0</v>
      </c>
      <c r="D121" s="42">
        <v>48</v>
      </c>
      <c r="E121" s="42">
        <v>17</v>
      </c>
      <c r="F121" s="42" t="s">
        <v>57</v>
      </c>
      <c r="G121" s="42">
        <v>103</v>
      </c>
      <c r="H121" s="42" t="s">
        <v>58</v>
      </c>
      <c r="I121" s="42" t="s">
        <v>63</v>
      </c>
      <c r="J121" s="113">
        <v>6.4975241080470303E+18</v>
      </c>
    </row>
    <row r="122" spans="3:10" x14ac:dyDescent="0.3">
      <c r="C122" s="41" t="b">
        <v>0</v>
      </c>
      <c r="D122" s="42">
        <v>49</v>
      </c>
      <c r="E122" s="42">
        <v>17</v>
      </c>
      <c r="F122" s="42" t="s">
        <v>57</v>
      </c>
      <c r="G122" s="42">
        <v>109</v>
      </c>
      <c r="H122" s="42" t="s">
        <v>61</v>
      </c>
      <c r="I122" s="42" t="s">
        <v>63</v>
      </c>
      <c r="J122" s="113">
        <v>8.8001109301280102E+18</v>
      </c>
    </row>
    <row r="123" spans="3:10" x14ac:dyDescent="0.3">
      <c r="C123" s="41" t="b">
        <v>0</v>
      </c>
      <c r="D123" s="42">
        <v>50</v>
      </c>
      <c r="E123" s="42">
        <v>17</v>
      </c>
      <c r="F123" s="42" t="s">
        <v>57</v>
      </c>
      <c r="G123" s="42">
        <v>90</v>
      </c>
      <c r="H123" s="42" t="s">
        <v>62</v>
      </c>
      <c r="I123" s="42" t="s">
        <v>63</v>
      </c>
      <c r="J123" s="113">
        <v>5.42217215998046E+18</v>
      </c>
    </row>
    <row r="124" spans="3:10" x14ac:dyDescent="0.3">
      <c r="C124" s="41" t="b">
        <v>0</v>
      </c>
      <c r="D124" s="42">
        <v>51</v>
      </c>
      <c r="E124" s="42">
        <v>18</v>
      </c>
      <c r="F124" s="42" t="s">
        <v>57</v>
      </c>
      <c r="G124" s="42">
        <v>92</v>
      </c>
      <c r="H124" s="42" t="s">
        <v>58</v>
      </c>
      <c r="I124" s="42" t="s">
        <v>63</v>
      </c>
      <c r="J124" s="113">
        <v>9.6867683988585001E+18</v>
      </c>
    </row>
    <row r="125" spans="3:10" x14ac:dyDescent="0.3">
      <c r="C125" s="41" t="b">
        <v>0</v>
      </c>
      <c r="D125" s="42">
        <v>52</v>
      </c>
      <c r="E125" s="42">
        <v>18</v>
      </c>
      <c r="F125" s="42" t="s">
        <v>57</v>
      </c>
      <c r="G125" s="42">
        <v>96</v>
      </c>
      <c r="H125" s="42" t="s">
        <v>61</v>
      </c>
      <c r="I125" s="42" t="s">
        <v>63</v>
      </c>
      <c r="J125" s="113">
        <v>1.43372791101034E+19</v>
      </c>
    </row>
    <row r="126" spans="3:10" x14ac:dyDescent="0.3">
      <c r="C126" s="41" t="b">
        <v>0</v>
      </c>
      <c r="D126" s="42">
        <v>53</v>
      </c>
      <c r="E126" s="42">
        <v>18</v>
      </c>
      <c r="F126" s="42" t="s">
        <v>57</v>
      </c>
      <c r="G126" s="42">
        <v>101</v>
      </c>
      <c r="H126" s="42" t="s">
        <v>62</v>
      </c>
      <c r="I126" s="42" t="s">
        <v>63</v>
      </c>
      <c r="J126" s="113">
        <v>1.84265635317055E+19</v>
      </c>
    </row>
    <row r="127" spans="3:10" x14ac:dyDescent="0.3">
      <c r="C127" s="41" t="b">
        <v>0</v>
      </c>
      <c r="D127" s="42">
        <v>54</v>
      </c>
      <c r="E127" s="42">
        <v>19</v>
      </c>
      <c r="F127" s="42" t="s">
        <v>57</v>
      </c>
      <c r="G127" s="42">
        <v>97</v>
      </c>
      <c r="H127" s="42" t="s">
        <v>58</v>
      </c>
      <c r="I127" s="42" t="s">
        <v>63</v>
      </c>
      <c r="J127" s="113">
        <v>1.6727660210265001E+18</v>
      </c>
    </row>
    <row r="128" spans="3:10" x14ac:dyDescent="0.3">
      <c r="C128" s="41" t="b">
        <v>0</v>
      </c>
      <c r="D128" s="42">
        <v>55</v>
      </c>
      <c r="E128" s="42">
        <v>19</v>
      </c>
      <c r="F128" s="42" t="s">
        <v>57</v>
      </c>
      <c r="G128" s="42">
        <v>98</v>
      </c>
      <c r="H128" s="42" t="s">
        <v>61</v>
      </c>
      <c r="I128" s="42" t="s">
        <v>63</v>
      </c>
      <c r="J128" s="113">
        <v>7.1103376745796004E+18</v>
      </c>
    </row>
    <row r="129" spans="3:10" x14ac:dyDescent="0.3">
      <c r="C129" s="41" t="b">
        <v>0</v>
      </c>
      <c r="D129" s="42">
        <v>56</v>
      </c>
      <c r="E129" s="42">
        <v>19</v>
      </c>
      <c r="F129" s="42" t="s">
        <v>57</v>
      </c>
      <c r="G129" s="42">
        <v>100</v>
      </c>
      <c r="H129" s="42" t="s">
        <v>62</v>
      </c>
      <c r="I129" s="42" t="s">
        <v>63</v>
      </c>
      <c r="J129" s="113">
        <v>1.7028593821899399E+19</v>
      </c>
    </row>
    <row r="130" spans="3:10" x14ac:dyDescent="0.3">
      <c r="C130" s="41" t="b">
        <v>0</v>
      </c>
      <c r="D130" s="42">
        <v>57</v>
      </c>
      <c r="E130" s="42">
        <v>20</v>
      </c>
      <c r="F130" s="42" t="s">
        <v>57</v>
      </c>
      <c r="G130" s="42">
        <v>102</v>
      </c>
      <c r="H130" s="42" t="s">
        <v>58</v>
      </c>
      <c r="I130" s="42" t="s">
        <v>63</v>
      </c>
      <c r="J130" s="113">
        <v>7.9481206572055204E+18</v>
      </c>
    </row>
    <row r="131" spans="3:10" x14ac:dyDescent="0.3">
      <c r="C131" s="41" t="b">
        <v>0</v>
      </c>
      <c r="D131" s="42">
        <v>58</v>
      </c>
      <c r="E131" s="42">
        <v>20</v>
      </c>
      <c r="F131" s="42" t="s">
        <v>57</v>
      </c>
      <c r="G131" s="42">
        <v>104</v>
      </c>
      <c r="H131" s="42" t="s">
        <v>61</v>
      </c>
      <c r="I131" s="42" t="s">
        <v>63</v>
      </c>
      <c r="J131" s="113">
        <v>1.5131765674225701E+19</v>
      </c>
    </row>
    <row r="132" spans="3:10" x14ac:dyDescent="0.3">
      <c r="C132" s="41" t="b">
        <v>0</v>
      </c>
      <c r="D132" s="42">
        <v>59</v>
      </c>
      <c r="E132" s="42">
        <v>20</v>
      </c>
      <c r="F132" s="42" t="s">
        <v>57</v>
      </c>
      <c r="G132" s="42">
        <v>103</v>
      </c>
      <c r="H132" s="42" t="s">
        <v>62</v>
      </c>
      <c r="I132" s="42" t="s">
        <v>63</v>
      </c>
      <c r="J132" s="113">
        <v>1.7778494721148801E+19</v>
      </c>
    </row>
    <row r="133" spans="3:10" x14ac:dyDescent="0.3">
      <c r="C133" s="41" t="b">
        <v>0</v>
      </c>
      <c r="D133" s="42">
        <v>60</v>
      </c>
      <c r="E133" s="42">
        <v>21</v>
      </c>
      <c r="F133" s="42" t="s">
        <v>60</v>
      </c>
      <c r="G133" s="42">
        <v>93</v>
      </c>
      <c r="H133" s="42" t="s">
        <v>58</v>
      </c>
      <c r="I133" s="42" t="s">
        <v>64</v>
      </c>
      <c r="J133" s="113">
        <v>7.7052917099779901E+18</v>
      </c>
    </row>
    <row r="134" spans="3:10" x14ac:dyDescent="0.3">
      <c r="C134" s="41" t="b">
        <v>0</v>
      </c>
      <c r="D134" s="42">
        <v>61</v>
      </c>
      <c r="E134" s="42">
        <v>21</v>
      </c>
      <c r="F134" s="42" t="s">
        <v>60</v>
      </c>
      <c r="G134" s="42">
        <v>98</v>
      </c>
      <c r="H134" s="42" t="s">
        <v>61</v>
      </c>
      <c r="I134" s="42" t="s">
        <v>64</v>
      </c>
      <c r="J134" s="113">
        <v>1.40346151170024E+19</v>
      </c>
    </row>
    <row r="135" spans="3:10" x14ac:dyDescent="0.3">
      <c r="C135" s="41" t="b">
        <v>0</v>
      </c>
      <c r="D135" s="42">
        <v>62</v>
      </c>
      <c r="E135" s="42">
        <v>21</v>
      </c>
      <c r="F135" s="42" t="s">
        <v>60</v>
      </c>
      <c r="G135" s="42">
        <v>110</v>
      </c>
      <c r="H135" s="42" t="s">
        <v>62</v>
      </c>
      <c r="I135" s="42" t="s">
        <v>64</v>
      </c>
      <c r="J135" s="113">
        <v>2.91853595620335E+18</v>
      </c>
    </row>
    <row r="136" spans="3:10" x14ac:dyDescent="0.3">
      <c r="C136" s="41" t="b">
        <v>0</v>
      </c>
      <c r="D136" s="42">
        <v>63</v>
      </c>
      <c r="E136" s="42">
        <v>22</v>
      </c>
      <c r="F136" s="42" t="s">
        <v>60</v>
      </c>
      <c r="G136" s="42">
        <v>98</v>
      </c>
      <c r="H136" s="42" t="s">
        <v>58</v>
      </c>
      <c r="I136" s="42" t="s">
        <v>64</v>
      </c>
      <c r="J136" s="113">
        <v>9.8241705886813491E+18</v>
      </c>
    </row>
    <row r="137" spans="3:10" x14ac:dyDescent="0.3">
      <c r="C137" s="41" t="b">
        <v>0</v>
      </c>
      <c r="D137" s="42">
        <v>64</v>
      </c>
      <c r="E137" s="42">
        <v>22</v>
      </c>
      <c r="F137" s="42" t="s">
        <v>60</v>
      </c>
      <c r="G137" s="42">
        <v>104</v>
      </c>
      <c r="H137" s="42" t="s">
        <v>61</v>
      </c>
      <c r="I137" s="42" t="s">
        <v>64</v>
      </c>
      <c r="J137" s="113">
        <v>6.5156832495146301E+18</v>
      </c>
    </row>
    <row r="138" spans="3:10" x14ac:dyDescent="0.3">
      <c r="C138" s="41" t="b">
        <v>0</v>
      </c>
      <c r="D138" s="42">
        <v>65</v>
      </c>
      <c r="E138" s="42">
        <v>22</v>
      </c>
      <c r="F138" s="42" t="s">
        <v>60</v>
      </c>
      <c r="G138" s="42">
        <v>112</v>
      </c>
      <c r="H138" s="42" t="s">
        <v>62</v>
      </c>
      <c r="I138" s="42" t="s">
        <v>64</v>
      </c>
      <c r="J138" s="113">
        <v>1.7029550121720701E+19</v>
      </c>
    </row>
    <row r="139" spans="3:10" x14ac:dyDescent="0.3">
      <c r="C139" s="41" t="b">
        <v>0</v>
      </c>
      <c r="D139" s="42">
        <v>66</v>
      </c>
      <c r="E139" s="42">
        <v>23</v>
      </c>
      <c r="F139" s="42" t="s">
        <v>60</v>
      </c>
      <c r="G139" s="42">
        <v>98</v>
      </c>
      <c r="H139" s="42" t="s">
        <v>58</v>
      </c>
      <c r="I139" s="42" t="s">
        <v>64</v>
      </c>
      <c r="J139" s="113">
        <v>9.4210575256712008E+18</v>
      </c>
    </row>
    <row r="140" spans="3:10" x14ac:dyDescent="0.3">
      <c r="C140" s="41" t="b">
        <v>0</v>
      </c>
      <c r="D140" s="42">
        <v>67</v>
      </c>
      <c r="E140" s="42">
        <v>23</v>
      </c>
      <c r="F140" s="42" t="s">
        <v>60</v>
      </c>
      <c r="G140" s="42">
        <v>105</v>
      </c>
      <c r="H140" s="42" t="s">
        <v>61</v>
      </c>
      <c r="I140" s="42" t="s">
        <v>64</v>
      </c>
      <c r="J140" s="113">
        <v>5.2261794965347502E+18</v>
      </c>
    </row>
    <row r="141" spans="3:10" x14ac:dyDescent="0.3">
      <c r="C141" s="41" t="b">
        <v>0</v>
      </c>
      <c r="D141" s="42">
        <v>68</v>
      </c>
      <c r="E141" s="42">
        <v>23</v>
      </c>
      <c r="F141" s="42" t="s">
        <v>60</v>
      </c>
      <c r="G141" s="42">
        <v>99</v>
      </c>
      <c r="H141" s="42" t="s">
        <v>62</v>
      </c>
      <c r="I141" s="42" t="s">
        <v>64</v>
      </c>
      <c r="J141" s="113">
        <v>4.0126524949893901E+17</v>
      </c>
    </row>
    <row r="142" spans="3:10" x14ac:dyDescent="0.3">
      <c r="C142" s="41" t="b">
        <v>0</v>
      </c>
      <c r="D142" s="42">
        <v>69</v>
      </c>
      <c r="E142" s="42">
        <v>24</v>
      </c>
      <c r="F142" s="42" t="s">
        <v>60</v>
      </c>
      <c r="G142" s="42">
        <v>87</v>
      </c>
      <c r="H142" s="42" t="s">
        <v>58</v>
      </c>
      <c r="I142" s="42" t="s">
        <v>64</v>
      </c>
      <c r="J142" s="113">
        <v>7.88192443687023E+18</v>
      </c>
    </row>
    <row r="143" spans="3:10" x14ac:dyDescent="0.3">
      <c r="C143" s="41" t="b">
        <v>0</v>
      </c>
      <c r="D143" s="42">
        <v>70</v>
      </c>
      <c r="E143" s="42">
        <v>24</v>
      </c>
      <c r="F143" s="42" t="s">
        <v>60</v>
      </c>
      <c r="G143" s="42">
        <v>132</v>
      </c>
      <c r="H143" s="42" t="s">
        <v>61</v>
      </c>
      <c r="I143" s="42" t="s">
        <v>64</v>
      </c>
      <c r="J143" s="113">
        <v>6.0987176366245898E+18</v>
      </c>
    </row>
    <row r="144" spans="3:10" x14ac:dyDescent="0.3">
      <c r="C144" s="41" t="b">
        <v>0</v>
      </c>
      <c r="D144" s="42">
        <v>71</v>
      </c>
      <c r="E144" s="42">
        <v>24</v>
      </c>
      <c r="F144" s="42" t="s">
        <v>60</v>
      </c>
      <c r="G144" s="42">
        <v>120</v>
      </c>
      <c r="H144" s="42" t="s">
        <v>62</v>
      </c>
      <c r="I144" s="42" t="s">
        <v>64</v>
      </c>
      <c r="J144" s="113">
        <v>1.0126184052807E+19</v>
      </c>
    </row>
    <row r="145" spans="3:10" x14ac:dyDescent="0.3">
      <c r="C145" s="41" t="b">
        <v>0</v>
      </c>
      <c r="D145" s="42">
        <v>72</v>
      </c>
      <c r="E145" s="42">
        <v>25</v>
      </c>
      <c r="F145" s="42" t="s">
        <v>60</v>
      </c>
      <c r="G145" s="42">
        <v>94</v>
      </c>
      <c r="H145" s="42" t="s">
        <v>58</v>
      </c>
      <c r="I145" s="42" t="s">
        <v>64</v>
      </c>
      <c r="J145" s="113">
        <v>1.75805869281851E+19</v>
      </c>
    </row>
    <row r="146" spans="3:10" x14ac:dyDescent="0.3">
      <c r="C146" s="41" t="b">
        <v>0</v>
      </c>
      <c r="D146" s="42">
        <v>73</v>
      </c>
      <c r="E146" s="42">
        <v>25</v>
      </c>
      <c r="F146" s="42" t="s">
        <v>60</v>
      </c>
      <c r="G146" s="42">
        <v>110</v>
      </c>
      <c r="H146" s="42" t="s">
        <v>61</v>
      </c>
      <c r="I146" s="42" t="s">
        <v>64</v>
      </c>
      <c r="J146" s="113">
        <v>2.8497446513366502E+18</v>
      </c>
    </row>
    <row r="147" spans="3:10" x14ac:dyDescent="0.3">
      <c r="C147" s="41" t="b">
        <v>0</v>
      </c>
      <c r="D147" s="42">
        <v>74</v>
      </c>
      <c r="E147" s="42">
        <v>25</v>
      </c>
      <c r="F147" s="42" t="s">
        <v>60</v>
      </c>
      <c r="G147" s="42">
        <v>116</v>
      </c>
      <c r="H147" s="42" t="s">
        <v>62</v>
      </c>
      <c r="I147" s="42" t="s">
        <v>64</v>
      </c>
      <c r="J147" s="113">
        <v>1.7218950029906999E+19</v>
      </c>
    </row>
    <row r="148" spans="3:10" x14ac:dyDescent="0.3">
      <c r="C148" s="41" t="b">
        <v>0</v>
      </c>
      <c r="D148" s="42">
        <v>75</v>
      </c>
      <c r="E148" s="42">
        <v>26</v>
      </c>
      <c r="F148" s="42" t="s">
        <v>57</v>
      </c>
      <c r="G148" s="42">
        <v>95</v>
      </c>
      <c r="H148" s="42" t="s">
        <v>58</v>
      </c>
      <c r="I148" s="42" t="s">
        <v>64</v>
      </c>
      <c r="J148" s="113">
        <v>1.6425712923214399E+19</v>
      </c>
    </row>
    <row r="149" spans="3:10" x14ac:dyDescent="0.3">
      <c r="C149" s="41" t="b">
        <v>0</v>
      </c>
      <c r="D149" s="42">
        <v>76</v>
      </c>
      <c r="E149" s="42">
        <v>26</v>
      </c>
      <c r="F149" s="42" t="s">
        <v>57</v>
      </c>
      <c r="G149" s="42">
        <v>126</v>
      </c>
      <c r="H149" s="42" t="s">
        <v>61</v>
      </c>
      <c r="I149" s="42" t="s">
        <v>64</v>
      </c>
      <c r="J149" s="113">
        <v>1.55897408111157E+19</v>
      </c>
    </row>
    <row r="150" spans="3:10" x14ac:dyDescent="0.3">
      <c r="C150" s="41" t="b">
        <v>0</v>
      </c>
      <c r="D150" s="42">
        <v>77</v>
      </c>
      <c r="E150" s="42">
        <v>26</v>
      </c>
      <c r="F150" s="42" t="s">
        <v>57</v>
      </c>
      <c r="G150" s="42">
        <v>143</v>
      </c>
      <c r="H150" s="42" t="s">
        <v>62</v>
      </c>
      <c r="I150" s="42" t="s">
        <v>64</v>
      </c>
      <c r="J150" s="113">
        <v>1.5349043227270101E+19</v>
      </c>
    </row>
    <row r="151" spans="3:10" x14ac:dyDescent="0.3">
      <c r="C151" s="41" t="b">
        <v>0</v>
      </c>
      <c r="D151" s="42">
        <v>78</v>
      </c>
      <c r="E151" s="42">
        <v>27</v>
      </c>
      <c r="F151" s="42" t="s">
        <v>57</v>
      </c>
      <c r="G151" s="42">
        <v>100</v>
      </c>
      <c r="H151" s="42" t="s">
        <v>58</v>
      </c>
      <c r="I151" s="42" t="s">
        <v>64</v>
      </c>
      <c r="J151" s="113">
        <v>1.1511064953794001E+19</v>
      </c>
    </row>
    <row r="152" spans="3:10" x14ac:dyDescent="0.3">
      <c r="C152" s="41" t="b">
        <v>0</v>
      </c>
      <c r="D152" s="42">
        <v>79</v>
      </c>
      <c r="E152" s="42">
        <v>27</v>
      </c>
      <c r="F152" s="42" t="s">
        <v>57</v>
      </c>
      <c r="G152" s="42">
        <v>126</v>
      </c>
      <c r="H152" s="42" t="s">
        <v>61</v>
      </c>
      <c r="I152" s="42" t="s">
        <v>64</v>
      </c>
      <c r="J152" s="113">
        <v>2.01334249357027E+18</v>
      </c>
    </row>
    <row r="153" spans="3:10" x14ac:dyDescent="0.3">
      <c r="C153" s="41" t="b">
        <v>0</v>
      </c>
      <c r="D153" s="42">
        <v>80</v>
      </c>
      <c r="E153" s="42">
        <v>27</v>
      </c>
      <c r="F153" s="42" t="s">
        <v>57</v>
      </c>
      <c r="G153" s="42">
        <v>140</v>
      </c>
      <c r="H153" s="42" t="s">
        <v>62</v>
      </c>
      <c r="I153" s="42" t="s">
        <v>64</v>
      </c>
      <c r="J153" s="113">
        <v>1.13923832316979E+18</v>
      </c>
    </row>
    <row r="154" spans="3:10" x14ac:dyDescent="0.3">
      <c r="C154" s="41" t="b">
        <v>0</v>
      </c>
      <c r="D154" s="42">
        <v>81</v>
      </c>
      <c r="E154" s="42">
        <v>28</v>
      </c>
      <c r="F154" s="42" t="s">
        <v>57</v>
      </c>
      <c r="G154" s="42">
        <v>103</v>
      </c>
      <c r="H154" s="42" t="s">
        <v>58</v>
      </c>
      <c r="I154" s="42" t="s">
        <v>64</v>
      </c>
      <c r="J154" s="113">
        <v>1.7120173143931501E+19</v>
      </c>
    </row>
    <row r="155" spans="3:10" x14ac:dyDescent="0.3">
      <c r="C155" s="41" t="b">
        <v>0</v>
      </c>
      <c r="D155" s="42">
        <v>82</v>
      </c>
      <c r="E155" s="42">
        <v>28</v>
      </c>
      <c r="F155" s="42" t="s">
        <v>57</v>
      </c>
      <c r="G155" s="42">
        <v>124</v>
      </c>
      <c r="H155" s="42" t="s">
        <v>61</v>
      </c>
      <c r="I155" s="42" t="s">
        <v>64</v>
      </c>
      <c r="J155" s="113">
        <v>8.0292953494169303E+18</v>
      </c>
    </row>
    <row r="156" spans="3:10" x14ac:dyDescent="0.3">
      <c r="C156" s="41" t="b">
        <v>0</v>
      </c>
      <c r="D156" s="42">
        <v>83</v>
      </c>
      <c r="E156" s="42">
        <v>28</v>
      </c>
      <c r="F156" s="42" t="s">
        <v>57</v>
      </c>
      <c r="G156" s="42">
        <v>140</v>
      </c>
      <c r="H156" s="42" t="s">
        <v>62</v>
      </c>
      <c r="I156" s="42" t="s">
        <v>64</v>
      </c>
      <c r="J156" s="113">
        <v>3.6284950835555799E+18</v>
      </c>
    </row>
    <row r="157" spans="3:10" x14ac:dyDescent="0.3">
      <c r="C157" s="41" t="b">
        <v>0</v>
      </c>
      <c r="D157" s="42">
        <v>84</v>
      </c>
      <c r="E157" s="42">
        <v>29</v>
      </c>
      <c r="F157" s="42" t="s">
        <v>57</v>
      </c>
      <c r="G157" s="42">
        <v>94</v>
      </c>
      <c r="H157" s="42" t="s">
        <v>58</v>
      </c>
      <c r="I157" s="42" t="s">
        <v>64</v>
      </c>
      <c r="J157" s="113">
        <v>8.3242176774230999E+18</v>
      </c>
    </row>
    <row r="158" spans="3:10" x14ac:dyDescent="0.3">
      <c r="C158" s="41" t="b">
        <v>0</v>
      </c>
      <c r="D158" s="42">
        <v>85</v>
      </c>
      <c r="E158" s="42">
        <v>29</v>
      </c>
      <c r="F158" s="42" t="s">
        <v>57</v>
      </c>
      <c r="G158" s="42">
        <v>135</v>
      </c>
      <c r="H158" s="42" t="s">
        <v>61</v>
      </c>
      <c r="I158" s="42" t="s">
        <v>64</v>
      </c>
      <c r="J158" s="113">
        <v>6.7671093942176205E+18</v>
      </c>
    </row>
    <row r="159" spans="3:10" x14ac:dyDescent="0.3">
      <c r="C159" s="41" t="b">
        <v>0</v>
      </c>
      <c r="D159" s="42">
        <v>86</v>
      </c>
      <c r="E159" s="42">
        <v>29</v>
      </c>
      <c r="F159" s="42" t="s">
        <v>57</v>
      </c>
      <c r="G159" s="42">
        <v>130</v>
      </c>
      <c r="H159" s="42" t="s">
        <v>62</v>
      </c>
      <c r="I159" s="42" t="s">
        <v>64</v>
      </c>
      <c r="J159" s="113">
        <v>1.09549066189819E+19</v>
      </c>
    </row>
    <row r="160" spans="3:10" x14ac:dyDescent="0.3">
      <c r="C160" s="41" t="b">
        <v>0</v>
      </c>
      <c r="D160" s="42">
        <v>87</v>
      </c>
      <c r="E160" s="42">
        <v>30</v>
      </c>
      <c r="F160" s="42" t="s">
        <v>57</v>
      </c>
      <c r="G160" s="42">
        <v>99</v>
      </c>
      <c r="H160" s="42" t="s">
        <v>58</v>
      </c>
      <c r="I160" s="42" t="s">
        <v>64</v>
      </c>
      <c r="J160" s="113">
        <v>1.4779909294001798E+17</v>
      </c>
    </row>
    <row r="161" spans="3:10" x14ac:dyDescent="0.3">
      <c r="C161" s="41" t="b">
        <v>0</v>
      </c>
      <c r="D161" s="42">
        <v>88</v>
      </c>
      <c r="E161" s="42">
        <v>30</v>
      </c>
      <c r="F161" s="42" t="s">
        <v>57</v>
      </c>
      <c r="G161" s="42">
        <v>111</v>
      </c>
      <c r="H161" s="42" t="s">
        <v>61</v>
      </c>
      <c r="I161" s="42" t="s">
        <v>64</v>
      </c>
      <c r="J161" s="113">
        <v>1.05952697053286E+17</v>
      </c>
    </row>
    <row r="162" spans="3:10" x14ac:dyDescent="0.3">
      <c r="C162" s="41" t="b">
        <v>0</v>
      </c>
      <c r="D162" s="42">
        <v>89</v>
      </c>
      <c r="E162" s="42">
        <v>30</v>
      </c>
      <c r="F162" s="42" t="s">
        <v>57</v>
      </c>
      <c r="G162" s="42">
        <v>150</v>
      </c>
      <c r="H162" s="42" t="s">
        <v>62</v>
      </c>
      <c r="I162" s="42" t="s">
        <v>64</v>
      </c>
      <c r="J162" s="113">
        <v>4.7894917505208801E+18</v>
      </c>
    </row>
  </sheetData>
  <mergeCells count="1">
    <mergeCell ref="D3:E5"/>
  </mergeCells>
  <phoneticPr fontId="15" type="noConversion"/>
  <conditionalFormatting sqref="D25:I25 D71:I71">
    <cfRule type="cellIs" dxfId="29" priority="40" operator="equal">
      <formula>"Notes"</formula>
    </cfRule>
  </conditionalFormatting>
  <conditionalFormatting sqref="D29:I33 D39:I47 D16:I16 D20:I25">
    <cfRule type="cellIs" dxfId="28" priority="41" operator="equal">
      <formula>0</formula>
    </cfRule>
  </conditionalFormatting>
  <conditionalFormatting sqref="D35:I35">
    <cfRule type="cellIs" dxfId="27" priority="39" operator="equal">
      <formula>"Notes"</formula>
    </cfRule>
  </conditionalFormatting>
  <conditionalFormatting sqref="C73:C162">
    <cfRule type="cellIs" dxfId="26" priority="37" operator="equal">
      <formula>FALSE</formula>
    </cfRule>
    <cfRule type="cellIs" dxfId="25" priority="38" operator="notEqual">
      <formula>FALSE</formula>
    </cfRule>
  </conditionalFormatting>
  <conditionalFormatting sqref="D51:E58">
    <cfRule type="cellIs" dxfId="24" priority="35" operator="equal">
      <formula>FALSE</formula>
    </cfRule>
    <cfRule type="cellIs" dxfId="23" priority="36" operator="notEqual">
      <formula>FALSE</formula>
    </cfRule>
  </conditionalFormatting>
  <conditionalFormatting sqref="D10:I10">
    <cfRule type="cellIs" dxfId="22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1" priority="11"/>
  </conditionalFormatting>
  <conditionalFormatting sqref="D3">
    <cfRule type="cellIs" dxfId="20" priority="6" operator="notEqual">
      <formula>"Description"</formula>
    </cfRule>
  </conditionalFormatting>
  <conditionalFormatting sqref="D8:I8">
    <cfRule type="cellIs" dxfId="19" priority="5" operator="notEqual">
      <formula>"Definition"</formula>
    </cfRule>
  </conditionalFormatting>
  <conditionalFormatting sqref="F51:I58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F17:I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J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5" priority="3" operator="equal">
      <formula>"Notes"</formula>
    </cfRule>
  </conditionalFormatting>
  <conditionalFormatting sqref="E6:E7">
    <cfRule type="cellIs" dxfId="14" priority="4" operator="equal">
      <formula>0</formula>
    </cfRule>
  </conditionalFormatting>
  <conditionalFormatting sqref="E2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2026-05-18T19:43:42Z</dcterms:modified>
</cp:coreProperties>
</file>