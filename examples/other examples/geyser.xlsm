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.xleda\examples\other examples\"/>
    </mc:Choice>
  </mc:AlternateContent>
  <xr:revisionPtr revIDLastSave="0" documentId="8_{B2F1E814-7A62-4DDC-AE8B-BC87DFF91750}" xr6:coauthVersionLast="47" xr6:coauthVersionMax="47" xr10:uidLastSave="{00000000-0000-0000-0000-000000000000}"/>
  <bookViews>
    <workbookView xWindow="-108" yWindow="-108" windowWidth="23256" windowHeight="12456" tabRatio="578" activeTab="1" xr2:uid="{00000000-000D-0000-FFFF-FFFF00000000}"/>
  </bookViews>
  <sheets>
    <sheet name="Overview" sheetId="9" r:id="rId1"/>
    <sheet name="Field Analysis" sheetId="3" r:id="rId2"/>
    <sheet name="SinglePlot" sheetId="7" state="hidden" r:id="rId3"/>
    <sheet name="MultiplePlots" sheetId="8" state="hidden" r:id="rId4"/>
  </sheets>
  <definedNames>
    <definedName name="Compiled_Lists">'Field Analysis'!$C$68:$C$77</definedName>
    <definedName name="Composition">'Field Analysis'!$D$22:$D$32</definedName>
    <definedName name="CompositionTable">'Field Analysis'!$D$31</definedName>
    <definedName name="DarkHeader">'Field Analysis'!$D$78</definedName>
    <definedName name="Data_Description">'Field Analysis'!$D$15:$D$19</definedName>
    <definedName name="Definitions">'Field Analysis'!$D$7:$F$7</definedName>
    <definedName name="Description">'Field Analysis'!$D$15</definedName>
    <definedName name="Dimensions">'Field Analysis'!$D$17</definedName>
    <definedName name="Field_Analysis">'Field Analysis'!$D$12:$D$77</definedName>
    <definedName name="Field_Lists">'Field Analysis'!$C$57:$D$65</definedName>
    <definedName name="Field_Notes">'Field Analysis'!$D$7:$D$10</definedName>
    <definedName name="FieldAnalysisTheme" localSheetId="3">#REF!,#REF!,#REF!,#REF!,MultiplePlots!$C$4:$E$4</definedName>
    <definedName name="FieldAnalysisTheme" localSheetId="2">#REF!,#REF!,#REF!,SinglePlot!$A$4:$P$4,#REF!</definedName>
    <definedName name="FieldList1" localSheetId="3">#REF!</definedName>
    <definedName name="FieldList1" localSheetId="2">#REF!</definedName>
    <definedName name="FieldList1">'Field Analysis'!$D$57:$F$57</definedName>
    <definedName name="FieldList2" localSheetId="3">#REF!</definedName>
    <definedName name="FieldList2" localSheetId="2">#REF!</definedName>
    <definedName name="FieldList2">'Field Analysis'!$D$58:$F$58</definedName>
    <definedName name="FieldList3" localSheetId="3">#REF!</definedName>
    <definedName name="FieldList3" localSheetId="2">#REF!</definedName>
    <definedName name="FieldList3">'Field Analysis'!$D$59:$F$59</definedName>
    <definedName name="FieldList4" localSheetId="3">#REF!</definedName>
    <definedName name="FieldList4" localSheetId="2">#REF!</definedName>
    <definedName name="FieldList4">'Field Analysis'!$D$60:$F$60</definedName>
    <definedName name="FieldList5" localSheetId="3">#REF!</definedName>
    <definedName name="FieldList5" localSheetId="2">#REF!</definedName>
    <definedName name="FieldList5">'Field Analysis'!$D$61:$F$61</definedName>
    <definedName name="FieldList6" localSheetId="3">#REF!</definedName>
    <definedName name="FieldList6" localSheetId="2">#REF!</definedName>
    <definedName name="FieldList6">'Field Analysis'!$D$62:$F$62</definedName>
    <definedName name="FieldList7">'Field Analysis'!$D$63:$F$63</definedName>
    <definedName name="FieldList8">'Field Analysis'!$D$64:$F$64</definedName>
    <definedName name="FieldRange" localSheetId="3">#REF!</definedName>
    <definedName name="FieldRange" localSheetId="2">#REF!</definedName>
    <definedName name="FieldRange">'Field Analysis'!$D$78:$F$78</definedName>
    <definedName name="FormatRange">'Field Analysis'!$F:$F</definedName>
    <definedName name="Headers">'Field Analysis'!$D$11:$F$11</definedName>
    <definedName name="Headers_Start">'Field Analysis'!$D$11</definedName>
    <definedName name="Histogram">'Field Analysis'!$D$41</definedName>
    <definedName name="LightHeader" localSheetId="3">#REF!</definedName>
    <definedName name="LightHeader" localSheetId="2">#REF!</definedName>
    <definedName name="LightHeader">'Field Analysis'!$C$78</definedName>
    <definedName name="Metadata">Overview!$C$4:$C$8</definedName>
    <definedName name="MultiplePlots">MultiplePlots!$E$7</definedName>
    <definedName name="MultiplePlotsTitle">MultiplePlots!$D$2</definedName>
    <definedName name="Name">'Field Analysis'!$C$3</definedName>
    <definedName name="Notes" localSheetId="3">#REF!</definedName>
    <definedName name="Notes" localSheetId="2">#REF!</definedName>
    <definedName name="Notes">'Field Analysis'!$D$9:$F$9</definedName>
    <definedName name="Percentiles">'Field Analysis'!$D$45:$D$54</definedName>
    <definedName name="RecordHashes">'Field Analysis'!$G$79:$G$350</definedName>
    <definedName name="SerializedLists">'Field Analysis'!$D$68:$D$77</definedName>
    <definedName name="SinglePlot">SinglePlot!$C$6</definedName>
    <definedName name="SinglePlotTitle">SinglePlot!$C$2</definedName>
    <definedName name="Summary_Stats">'Field Analysis'!$D$35:$D$42</definedName>
    <definedName name="Theme" localSheetId="1">'Field Analysis'!$B$11:$F$11,LightHeader</definedName>
    <definedName name="Theme" localSheetId="3">MultiplePlots!$C$4:$E$4</definedName>
    <definedName name="Theme" localSheetId="0">tbl_Overview[#Headers]</definedName>
    <definedName name="Theme" localSheetId="2">SinglePlot!$B$4:$P$4</definedName>
    <definedName name="Warning">'Field Analysis'!$C$1</definedName>
  </definedNames>
  <calcPr calcId="191029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1" i="9" l="1"/>
  <c r="D12" i="9"/>
  <c r="D13" i="9"/>
  <c r="C11" i="9"/>
  <c r="C12" i="9"/>
  <c r="C13" i="9"/>
  <c r="D68" i="3"/>
  <c r="D69" i="3"/>
  <c r="D70" i="3"/>
  <c r="D71" i="3"/>
  <c r="D72" i="3"/>
  <c r="D73" i="3"/>
  <c r="D74" i="3" a="1"/>
  <c r="D74" i="3" s="1"/>
  <c r="D75" i="3" a="1"/>
  <c r="D75" i="3" s="1"/>
  <c r="D76" i="3" a="1"/>
  <c r="D76" i="3" s="1"/>
  <c r="C73" i="3" l="1"/>
  <c r="C74" i="3"/>
  <c r="C75" i="3"/>
  <c r="C76" i="3"/>
  <c r="C72" i="3"/>
  <c r="C71" i="3"/>
  <c r="C70" i="3"/>
  <c r="C69" i="3"/>
  <c r="C68" i="3"/>
  <c r="B2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<sst xmlns="http://schemas.openxmlformats.org/spreadsheetml/2006/main" count="382" uniqueCount="63">
  <si>
    <t>▶</t>
  </si>
  <si>
    <t>Notes</t>
  </si>
  <si>
    <t xml:space="preserve"> </t>
  </si>
  <si>
    <t>Data type</t>
  </si>
  <si>
    <t>Memory Usage</t>
  </si>
  <si>
    <t>Memory Usage %</t>
  </si>
  <si>
    <t>Distinct</t>
  </si>
  <si>
    <t>Distinct %</t>
  </si>
  <si>
    <t>Count</t>
  </si>
  <si>
    <t>Missing</t>
  </si>
  <si>
    <t>Missing %</t>
  </si>
  <si>
    <t>Mean</t>
  </si>
  <si>
    <t>Median</t>
  </si>
  <si>
    <t>Mode</t>
  </si>
  <si>
    <t>Standard Deviation</t>
  </si>
  <si>
    <t>Variance</t>
  </si>
  <si>
    <t>Min</t>
  </si>
  <si>
    <t>Max</t>
  </si>
  <si>
    <t>Range</t>
  </si>
  <si>
    <t>IQR</t>
  </si>
  <si>
    <t>Record Hash</t>
  </si>
  <si>
    <t>Record List</t>
  </si>
  <si>
    <t>FIeldList7</t>
  </si>
  <si>
    <t>FIeldList8</t>
  </si>
  <si>
    <t>SinglePlotTitle</t>
  </si>
  <si>
    <t>Description</t>
  </si>
  <si>
    <t>Rows</t>
  </si>
  <si>
    <t>Column</t>
  </si>
  <si>
    <t>Field</t>
  </si>
  <si>
    <t>Definition</t>
  </si>
  <si>
    <t>Field Notes</t>
  </si>
  <si>
    <t>MultiplePlotsTitle</t>
  </si>
  <si>
    <t>Count %</t>
  </si>
  <si>
    <t>5%</t>
  </si>
  <si>
    <t>25%</t>
  </si>
  <si>
    <t>50%</t>
  </si>
  <si>
    <t>75%</t>
  </si>
  <si>
    <t>95%</t>
  </si>
  <si>
    <t>Definitions</t>
  </si>
  <si>
    <t>Warning</t>
  </si>
  <si>
    <t>FieldList1</t>
  </si>
  <si>
    <t>FieldList2</t>
  </si>
  <si>
    <t>FieldList3</t>
  </si>
  <si>
    <t>FieldList4</t>
  </si>
  <si>
    <t>FieldList5</t>
  </si>
  <si>
    <t>FieldList6</t>
  </si>
  <si>
    <t>Columns</t>
  </si>
  <si>
    <t>Compiled Lists</t>
  </si>
  <si>
    <t>Field Lists</t>
  </si>
  <si>
    <t>Percentiles</t>
  </si>
  <si>
    <t>Summary Stats</t>
  </si>
  <si>
    <t>Composition</t>
  </si>
  <si>
    <t>Data Description</t>
  </si>
  <si>
    <t>geyser</t>
  </si>
  <si>
    <t>duration</t>
  </si>
  <si>
    <t>waiting</t>
  </si>
  <si>
    <t>kind</t>
  </si>
  <si>
    <t>7,848 bytes</t>
  </si>
  <si>
    <t>float64</t>
  </si>
  <si>
    <t>int64</t>
  </si>
  <si>
    <t>str</t>
  </si>
  <si>
    <t>long</t>
  </si>
  <si>
    <t>short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</si>
</sst>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3"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</font>
    <font>
      <b/>
      <sz val="12"/>
      <color theme="0"/>
      <name val="Calibri"/>
      <family val="2"/>
    </font>
    <font>
      <sz val="9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sz val="10"/>
      <color theme="0"/>
      <name val="Calibri"/>
      <family val="2"/>
    </font>
    <font>
      <sz val="11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sz val="10"/>
      <color theme="1" tint="0.499984740745262"/>
      <name val="Calibri"/>
      <family val="2"/>
    </font>
    <font>
      <sz val="11"/>
      <color theme="1" tint="0.499984740745262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i/>
      <sz val="10"/>
      <color theme="1" tint="0.499984740745262"/>
      <name val="Calibri"/>
      <family val="2"/>
    </font>
    <font>
      <b/>
      <sz val="36"/>
      <color theme="0"/>
      <name val="Calibri"/>
      <family val="2"/>
      <scheme val="minor"/>
    </font>
    <font>
      <i/>
      <sz val="10"/>
      <color theme="1" tint="0.499984740745262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2"/>
      <color rgb="FF000000"/>
      <name val="Calibri"/>
      <family val="2"/>
    </font>
    <font>
      <b/>
      <sz val="16"/>
      <color rgb="FF000000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b/>
      <i/>
      <sz val="10"/>
      <color theme="0"/>
      <name val="Calibri"/>
      <family val="2"/>
    </font>
    <font>
      <b/>
      <sz val="12"/>
      <color theme="0"/>
      <name val="Calibri"/>
      <family val="2"/>
      <scheme val="minor"/>
    </font>
    <font>
      <b/>
      <sz val="10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theme="1" tint="0.44999542222357858"/>
      </patternFill>
    </fill>
    <fill>
      <patternFill patternType="solid">
        <fgColor theme="1"/>
        <bgColor theme="1" tint="0.249977111117893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F16E9B"/>
        <bgColor indexed="64"/>
      </patternFill>
    </fill>
  </fills>
  <borders count="19">
    <border>
      <left/>
      <right/>
      <top/>
      <bottom/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249977111117893"/>
      </left>
      <right/>
      <top/>
      <bottom/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 style="thin">
        <color theme="1" tint="0.249977111117893"/>
      </left>
      <right/>
      <top/>
      <bottom style="thin">
        <color theme="1" tint="0.249977111117893"/>
      </bottom>
      <diagonal/>
    </border>
    <border>
      <left style="thin">
        <color theme="1" tint="0.249977111117893"/>
      </left>
      <right/>
      <top style="thin">
        <color theme="1" tint="0.249977111117893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/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</borders>
  <cellStyleXfs count="5">
    <xf numFmtId="0" fontId="0" fillId="2" borderId="0"/>
    <xf numFmtId="0" fontId="2" fillId="2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2" fillId="0" borderId="0" applyFont="0" applyFill="0" applyBorder="0" applyAlignment="0" applyProtection="0"/>
  </cellStyleXfs>
  <cellXfs count="116">
    <xf numFmtId="0" fontId="0" fillId="2" borderId="0" xfId="0"/>
    <xf numFmtId="0" fontId="2" fillId="2" borderId="0" xfId="1"/>
    <xf numFmtId="0" fontId="2" fillId="2" borderId="0" xfId="1" applyAlignment="1">
      <alignment textRotation="180"/>
    </xf>
    <xf numFmtId="0" fontId="4" fillId="2" borderId="0" xfId="1" applyFont="1" applyAlignment="1">
      <alignment horizontal="right" vertical="center" indent="1"/>
    </xf>
    <xf numFmtId="0" fontId="5" fillId="2" borderId="1" xfId="1" applyFont="1" applyBorder="1" applyAlignment="1">
      <alignment horizontal="left" vertical="center" wrapText="1" indent="1"/>
    </xf>
    <xf numFmtId="0" fontId="6" fillId="2" borderId="0" xfId="1" applyFont="1" applyAlignment="1">
      <alignment horizontal="right" vertical="center" indent="7"/>
    </xf>
    <xf numFmtId="0" fontId="7" fillId="3" borderId="0" xfId="1" applyFont="1" applyFill="1" applyAlignment="1">
      <alignment horizontal="center" vertical="center" wrapText="1"/>
    </xf>
    <xf numFmtId="0" fontId="3" fillId="2" borderId="0" xfId="1" applyFont="1"/>
    <xf numFmtId="0" fontId="8" fillId="2" borderId="0" xfId="1" applyFont="1" applyAlignment="1">
      <alignment horizontal="right" vertical="center"/>
    </xf>
    <xf numFmtId="0" fontId="3" fillId="2" borderId="0" xfId="1" applyFont="1" applyAlignment="1">
      <alignment horizontal="right" vertical="center"/>
    </xf>
    <xf numFmtId="0" fontId="2" fillId="2" borderId="0" xfId="1" applyAlignment="1">
      <alignment horizontal="right"/>
    </xf>
    <xf numFmtId="0" fontId="9" fillId="2" borderId="0" xfId="1" applyFont="1" applyAlignment="1">
      <alignment horizontal="right"/>
    </xf>
    <xf numFmtId="3" fontId="6" fillId="4" borderId="3" xfId="2" applyNumberFormat="1" applyFont="1" applyFill="1" applyBorder="1" applyAlignment="1">
      <alignment horizontal="center" vertical="center" wrapText="1"/>
    </xf>
    <xf numFmtId="0" fontId="11" fillId="2" borderId="0" xfId="1" applyFont="1" applyAlignment="1">
      <alignment horizontal="right"/>
    </xf>
    <xf numFmtId="0" fontId="6" fillId="4" borderId="3" xfId="1" applyFont="1" applyFill="1" applyBorder="1" applyAlignment="1">
      <alignment horizontal="center" wrapText="1"/>
    </xf>
    <xf numFmtId="0" fontId="9" fillId="2" borderId="0" xfId="1" applyFont="1" applyAlignment="1">
      <alignment horizontal="right" vertical="top" textRotation="180"/>
    </xf>
    <xf numFmtId="0" fontId="12" fillId="2" borderId="0" xfId="1" applyFont="1" applyAlignment="1">
      <alignment horizontal="right" vertical="center"/>
    </xf>
    <xf numFmtId="0" fontId="3" fillId="2" borderId="1" xfId="1" applyFont="1" applyBorder="1" applyAlignment="1">
      <alignment vertical="top" wrapText="1"/>
    </xf>
    <xf numFmtId="0" fontId="2" fillId="2" borderId="0" xfId="1" applyAlignment="1">
      <alignment horizontal="right" textRotation="180"/>
    </xf>
    <xf numFmtId="0" fontId="2" fillId="2" borderId="0" xfId="1" applyAlignment="1">
      <alignment vertical="top"/>
    </xf>
    <xf numFmtId="0" fontId="9" fillId="2" borderId="0" xfId="1" applyFont="1" applyAlignment="1">
      <alignment horizontal="right" vertical="top"/>
    </xf>
    <xf numFmtId="0" fontId="10" fillId="2" borderId="0" xfId="1" applyFont="1" applyAlignment="1">
      <alignment horizontal="right" vertical="top"/>
    </xf>
    <xf numFmtId="2" fontId="6" fillId="4" borderId="3" xfId="1" applyNumberFormat="1" applyFont="1" applyFill="1" applyBorder="1" applyAlignment="1">
      <alignment horizontal="center" wrapText="1"/>
    </xf>
    <xf numFmtId="0" fontId="6" fillId="5" borderId="3" xfId="1" applyFont="1" applyFill="1" applyBorder="1" applyAlignment="1">
      <alignment horizontal="center" wrapText="1"/>
    </xf>
    <xf numFmtId="2" fontId="6" fillId="5" borderId="3" xfId="1" applyNumberFormat="1" applyFont="1" applyFill="1" applyBorder="1" applyAlignment="1">
      <alignment horizontal="center" wrapText="1"/>
    </xf>
    <xf numFmtId="0" fontId="3" fillId="2" borderId="0" xfId="1" applyFont="1" applyAlignment="1">
      <alignment vertical="top"/>
    </xf>
    <xf numFmtId="0" fontId="9" fillId="2" borderId="0" xfId="1" applyFont="1" applyAlignment="1">
      <alignment horizontal="right" vertical="center" textRotation="180"/>
    </xf>
    <xf numFmtId="0" fontId="10" fillId="2" borderId="8" xfId="1" applyFont="1" applyBorder="1" applyAlignment="1">
      <alignment horizontal="right" vertical="top"/>
    </xf>
    <xf numFmtId="0" fontId="2" fillId="2" borderId="0" xfId="1" applyAlignment="1">
      <alignment vertical="top" wrapText="1"/>
    </xf>
    <xf numFmtId="0" fontId="7" fillId="3" borderId="10" xfId="1" applyFont="1" applyFill="1" applyBorder="1" applyAlignment="1">
      <alignment horizontal="center" vertical="center" wrapText="1"/>
    </xf>
    <xf numFmtId="0" fontId="2" fillId="2" borderId="0" xfId="1" applyAlignment="1"/>
    <xf numFmtId="0" fontId="6" fillId="3" borderId="7" xfId="1" applyFont="1" applyFill="1" applyBorder="1" applyAlignment="1">
      <alignment horizontal="center"/>
    </xf>
    <xf numFmtId="0" fontId="2" fillId="3" borderId="0" xfId="1" applyFill="1"/>
    <xf numFmtId="0" fontId="14" fillId="2" borderId="0" xfId="1" applyFont="1"/>
    <xf numFmtId="0" fontId="13" fillId="5" borderId="6" xfId="1" applyFont="1" applyFill="1" applyBorder="1" applyAlignment="1">
      <alignment horizontal="right"/>
    </xf>
    <xf numFmtId="0" fontId="3" fillId="2" borderId="0" xfId="1" applyFont="1" applyBorder="1"/>
    <xf numFmtId="0" fontId="3" fillId="2" borderId="0" xfId="1" applyFont="1" applyAlignment="1">
      <alignment vertical="center"/>
    </xf>
    <xf numFmtId="0" fontId="10" fillId="2" borderId="0" xfId="1" applyFont="1" applyAlignment="1">
      <alignment horizontal="right" vertical="center"/>
    </xf>
    <xf numFmtId="0" fontId="6" fillId="2" borderId="0" xfId="1" applyFont="1" applyAlignment="1">
      <alignment horizontal="right" vertical="center"/>
    </xf>
    <xf numFmtId="9" fontId="6" fillId="5" borderId="3" xfId="3" applyFont="1" applyFill="1" applyBorder="1" applyAlignment="1">
      <alignment horizontal="center" vertical="center" wrapText="1"/>
    </xf>
    <xf numFmtId="0" fontId="16" fillId="7" borderId="0" xfId="1" applyFont="1" applyFill="1" applyAlignment="1">
      <alignment vertical="center"/>
    </xf>
    <xf numFmtId="0" fontId="16" fillId="7" borderId="0" xfId="1" applyFont="1" applyFill="1" applyAlignment="1">
      <alignment vertical="center" textRotation="180"/>
    </xf>
    <xf numFmtId="0" fontId="18" fillId="7" borderId="0" xfId="1" applyFont="1" applyFill="1" applyAlignment="1">
      <alignment vertical="center"/>
    </xf>
    <xf numFmtId="0" fontId="2" fillId="2" borderId="0" xfId="1" applyAlignment="1">
      <alignment horizontal="center" vertical="center"/>
    </xf>
    <xf numFmtId="0" fontId="13" fillId="5" borderId="0" xfId="1" applyFont="1" applyFill="1" applyBorder="1" applyAlignment="1">
      <alignment horizontal="right"/>
    </xf>
    <xf numFmtId="0" fontId="10" fillId="4" borderId="0" xfId="1" applyFont="1" applyFill="1" applyAlignment="1">
      <alignment horizontal="right" wrapText="1"/>
    </xf>
    <xf numFmtId="9" fontId="6" fillId="5" borderId="12" xfId="3" applyFont="1" applyFill="1" applyBorder="1" applyAlignment="1">
      <alignment horizontal="center" vertical="center" wrapText="1"/>
    </xf>
    <xf numFmtId="0" fontId="0" fillId="2" borderId="0" xfId="0" applyBorder="1"/>
    <xf numFmtId="9" fontId="6" fillId="5" borderId="14" xfId="3" applyFont="1" applyFill="1" applyBorder="1" applyAlignment="1">
      <alignment horizontal="center" vertical="center" wrapText="1"/>
    </xf>
    <xf numFmtId="3" fontId="2" fillId="2" borderId="13" xfId="1" applyNumberFormat="1" applyBorder="1" applyAlignment="1">
      <alignment horizontal="center"/>
    </xf>
    <xf numFmtId="3" fontId="3" fillId="2" borderId="12" xfId="1" applyNumberFormat="1" applyFont="1" applyBorder="1" applyAlignment="1">
      <alignment horizontal="center" vertical="center"/>
    </xf>
    <xf numFmtId="0" fontId="3" fillId="8" borderId="15" xfId="1" applyFont="1" applyFill="1" applyBorder="1" applyAlignment="1">
      <alignment horizontal="left" vertical="center" wrapText="1" indent="1"/>
    </xf>
    <xf numFmtId="0" fontId="3" fillId="8" borderId="15" xfId="1" applyNumberFormat="1" applyFont="1" applyFill="1" applyBorder="1" applyAlignment="1">
      <alignment horizontal="left" vertical="center" wrapText="1" indent="1"/>
    </xf>
    <xf numFmtId="9" fontId="6" fillId="5" borderId="12" xfId="3" applyFont="1" applyFill="1" applyBorder="1" applyAlignment="1">
      <alignment horizontal="center" vertical="top" wrapText="1"/>
    </xf>
    <xf numFmtId="164" fontId="6" fillId="5" borderId="12" xfId="3" applyNumberFormat="1" applyFont="1" applyFill="1" applyBorder="1" applyAlignment="1">
      <alignment horizontal="center" vertical="top" wrapText="1"/>
    </xf>
    <xf numFmtId="3" fontId="0" fillId="2" borderId="0" xfId="0" applyNumberFormat="1" applyAlignment="1">
      <alignment horizontal="center" vertical="top"/>
    </xf>
    <xf numFmtId="164" fontId="0" fillId="2" borderId="0" xfId="0" applyNumberFormat="1" applyAlignment="1">
      <alignment horizontal="center" vertical="top"/>
    </xf>
    <xf numFmtId="165" fontId="0" fillId="2" borderId="0" xfId="0" applyNumberFormat="1" applyAlignment="1">
      <alignment horizontal="center" vertical="top"/>
    </xf>
    <xf numFmtId="164" fontId="3" fillId="5" borderId="12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Alignment="1">
      <alignment horizontal="center" vertical="top"/>
    </xf>
    <xf numFmtId="0" fontId="19" fillId="2" borderId="0" xfId="1" applyNumberFormat="1" applyFont="1" applyBorder="1" applyAlignment="1">
      <alignment horizontal="center" vertical="center" wrapText="1"/>
    </xf>
    <xf numFmtId="0" fontId="21" fillId="2" borderId="8" xfId="1" applyFont="1" applyBorder="1" applyAlignment="1">
      <alignment horizontal="left" vertical="center"/>
    </xf>
    <xf numFmtId="0" fontId="6" fillId="6" borderId="3" xfId="1" applyFont="1" applyFill="1" applyBorder="1" applyAlignment="1">
      <alignment horizontal="center"/>
    </xf>
    <xf numFmtId="0" fontId="3" fillId="2" borderId="0" xfId="1" applyFont="1" applyAlignment="1">
      <alignment horizontal="left" vertical="top" indent="1"/>
    </xf>
    <xf numFmtId="0" fontId="2" fillId="2" borderId="0" xfId="1" applyAlignment="1">
      <alignment horizontal="left" vertical="top" indent="1"/>
    </xf>
    <xf numFmtId="0" fontId="3" fillId="8" borderId="17" xfId="1" applyNumberFormat="1" applyFont="1" applyFill="1" applyBorder="1" applyAlignment="1">
      <alignment horizontal="left" vertical="center" wrapText="1" indent="1"/>
    </xf>
    <xf numFmtId="0" fontId="3" fillId="8" borderId="18" xfId="1" applyNumberFormat="1" applyFont="1" applyFill="1" applyBorder="1" applyAlignment="1">
      <alignment horizontal="left" vertical="center" wrapText="1" indent="1"/>
    </xf>
    <xf numFmtId="0" fontId="0" fillId="3" borderId="0" xfId="0" applyFill="1"/>
    <xf numFmtId="0" fontId="0" fillId="2" borderId="0" xfId="0" applyFill="1"/>
    <xf numFmtId="0" fontId="22" fillId="2" borderId="0" xfId="1" applyFont="1" applyFill="1" applyBorder="1" applyAlignment="1">
      <alignment vertical="center" wrapText="1"/>
    </xf>
    <xf numFmtId="0" fontId="2" fillId="2" borderId="0" xfId="1" applyFill="1"/>
    <xf numFmtId="3" fontId="22" fillId="2" borderId="0" xfId="1" applyNumberFormat="1" applyFont="1" applyFill="1" applyBorder="1" applyAlignment="1">
      <alignment horizontal="left" vertical="top" wrapText="1"/>
    </xf>
    <xf numFmtId="0" fontId="2" fillId="2" borderId="0" xfId="1" applyFill="1" applyAlignment="1"/>
    <xf numFmtId="0" fontId="10" fillId="2" borderId="8" xfId="1" applyFont="1" applyFill="1" applyBorder="1" applyAlignment="1">
      <alignment horizontal="right" wrapText="1"/>
    </xf>
    <xf numFmtId="0" fontId="22" fillId="2" borderId="0" xfId="1" applyFont="1" applyFill="1" applyBorder="1" applyAlignment="1">
      <alignment horizontal="right" vertical="top" wrapText="1"/>
    </xf>
    <xf numFmtId="0" fontId="22" fillId="2" borderId="1" xfId="1" applyNumberFormat="1" applyFont="1" applyFill="1" applyBorder="1" applyAlignment="1">
      <alignment horizontal="center" vertical="center" wrapText="1"/>
    </xf>
    <xf numFmtId="0" fontId="2" fillId="3" borderId="0" xfId="1" applyFill="1" applyAlignment="1">
      <alignment horizontal="center" vertical="center" textRotation="180"/>
    </xf>
    <xf numFmtId="0" fontId="2" fillId="3" borderId="0" xfId="1" applyFill="1" applyAlignment="1"/>
    <xf numFmtId="0" fontId="20" fillId="3" borderId="0" xfId="1" applyFont="1" applyFill="1" applyAlignment="1">
      <alignment horizontal="left" vertical="center" indent="2"/>
    </xf>
    <xf numFmtId="0" fontId="22" fillId="3" borderId="0" xfId="1" applyFont="1" applyFill="1" applyAlignment="1">
      <alignment horizontal="right" vertical="center" indent="1"/>
    </xf>
    <xf numFmtId="0" fontId="0" fillId="3" borderId="0" xfId="0" applyFill="1" applyAlignment="1"/>
    <xf numFmtId="0" fontId="10" fillId="2" borderId="8" xfId="1" applyFont="1" applyFill="1" applyBorder="1" applyAlignment="1">
      <alignment horizontal="right" vertical="center" wrapText="1"/>
    </xf>
    <xf numFmtId="0" fontId="28" fillId="2" borderId="0" xfId="1" applyFont="1" applyAlignment="1">
      <alignment horizontal="right" vertical="center"/>
    </xf>
    <xf numFmtId="0" fontId="27" fillId="2" borderId="8" xfId="1" applyFont="1" applyFill="1" applyBorder="1" applyAlignment="1">
      <alignment horizontal="left" vertical="center"/>
    </xf>
    <xf numFmtId="0" fontId="29" fillId="2" borderId="0" xfId="0" applyFont="1" applyAlignment="1">
      <alignment horizontal="left" vertical="center" indent="1"/>
    </xf>
    <xf numFmtId="0" fontId="30" fillId="5" borderId="6" xfId="1" applyFont="1" applyFill="1" applyBorder="1" applyAlignment="1">
      <alignment horizontal="right" wrapText="1"/>
    </xf>
    <xf numFmtId="0" fontId="30" fillId="5" borderId="16" xfId="1" applyFont="1" applyFill="1" applyBorder="1" applyAlignment="1">
      <alignment horizontal="right" wrapText="1"/>
    </xf>
    <xf numFmtId="0" fontId="30" fillId="5" borderId="2" xfId="1" applyFont="1" applyFill="1" applyBorder="1" applyAlignment="1">
      <alignment horizontal="right" wrapText="1"/>
    </xf>
    <xf numFmtId="9" fontId="30" fillId="4" borderId="4" xfId="1" applyNumberFormat="1" applyFont="1" applyFill="1" applyBorder="1" applyAlignment="1">
      <alignment horizontal="right" wrapText="1"/>
    </xf>
    <xf numFmtId="9" fontId="30" fillId="5" borderId="4" xfId="1" applyNumberFormat="1" applyFont="1" applyFill="1" applyBorder="1" applyAlignment="1">
      <alignment horizontal="right" wrapText="1"/>
    </xf>
    <xf numFmtId="0" fontId="30" fillId="4" borderId="4" xfId="1" applyFont="1" applyFill="1" applyBorder="1" applyAlignment="1">
      <alignment horizontal="right" wrapText="1"/>
    </xf>
    <xf numFmtId="0" fontId="30" fillId="5" borderId="5" xfId="1" applyFont="1" applyFill="1" applyBorder="1" applyAlignment="1">
      <alignment horizontal="right" wrapText="1"/>
    </xf>
    <xf numFmtId="0" fontId="30" fillId="4" borderId="2" xfId="1" applyFont="1" applyFill="1" applyBorder="1" applyAlignment="1">
      <alignment horizontal="right" wrapText="1"/>
    </xf>
    <xf numFmtId="0" fontId="30" fillId="5" borderId="4" xfId="1" applyFont="1" applyFill="1" applyBorder="1" applyAlignment="1">
      <alignment horizontal="right" wrapText="1"/>
    </xf>
    <xf numFmtId="0" fontId="30" fillId="4" borderId="5" xfId="1" applyFont="1" applyFill="1" applyBorder="1" applyAlignment="1">
      <alignment horizontal="right" wrapText="1"/>
    </xf>
    <xf numFmtId="0" fontId="30" fillId="2" borderId="8" xfId="1" applyFont="1" applyFill="1" applyBorder="1" applyAlignment="1">
      <alignment horizontal="right" wrapText="1"/>
    </xf>
    <xf numFmtId="0" fontId="17" fillId="2" borderId="0" xfId="1" applyFont="1" applyBorder="1" applyAlignment="1">
      <alignment horizontal="center"/>
    </xf>
    <xf numFmtId="0" fontId="2" fillId="2" borderId="0" xfId="1" applyFont="1" applyAlignment="1">
      <alignment horizontal="right" vertical="center" textRotation="180"/>
    </xf>
    <xf numFmtId="3" fontId="6" fillId="5" borderId="11" xfId="4" applyNumberFormat="1" applyFont="1" applyFill="1" applyBorder="1" applyAlignment="1">
      <alignment horizontal="center" vertical="center" wrapText="1"/>
    </xf>
    <xf numFmtId="0" fontId="31" fillId="2" borderId="0" xfId="0" applyFont="1" applyAlignment="1">
      <alignment horizontal="center" vertical="center"/>
    </xf>
    <xf numFmtId="0" fontId="0" fillId="2" borderId="0" xfId="0" applyAlignment="1">
      <alignment horizontal="center" vertical="top"/>
    </xf>
    <xf numFmtId="0" fontId="0" fillId="7" borderId="0" xfId="0" applyFill="1"/>
    <xf numFmtId="0" fontId="22" fillId="2" borderId="11" xfId="1" applyFont="1" applyFill="1" applyBorder="1" applyAlignment="1">
      <alignment horizontal="left" vertical="center" wrapText="1" indent="1"/>
    </xf>
    <xf numFmtId="0" fontId="22" fillId="2" borderId="0" xfId="1" applyFont="1" applyFill="1" applyBorder="1" applyAlignment="1">
      <alignment horizontal="left" vertical="center" wrapText="1" indent="1"/>
    </xf>
    <xf numFmtId="0" fontId="32" fillId="9" borderId="3" xfId="1" applyFont="1" applyFill="1" applyBorder="1" applyAlignment="1">
      <alignment horizontal="left" vertical="center" wrapText="1" indent="1"/>
    </xf>
    <xf numFmtId="0" fontId="32" fillId="9" borderId="7" xfId="1" applyFont="1" applyFill="1" applyBorder="1" applyAlignment="1">
      <alignment horizontal="left" vertical="center" wrapText="1" indent="1"/>
    </xf>
    <xf numFmtId="0" fontId="32" fillId="9" borderId="3" xfId="1" applyFont="1" applyFill="1" applyBorder="1" applyAlignment="1">
      <alignment horizontal="center" vertical="center" wrapText="1"/>
    </xf>
    <xf numFmtId="9" fontId="32" fillId="9" borderId="3" xfId="1" applyNumberFormat="1" applyFont="1" applyFill="1" applyBorder="1" applyAlignment="1">
      <alignment horizontal="center" vertical="center" wrapText="1"/>
    </xf>
    <xf numFmtId="0" fontId="23" fillId="9" borderId="0" xfId="1" applyFont="1" applyFill="1" applyBorder="1" applyAlignment="1"/>
    <xf numFmtId="0" fontId="24" fillId="9" borderId="0" xfId="1" applyFont="1" applyFill="1" applyBorder="1" applyAlignment="1">
      <alignment wrapText="1"/>
    </xf>
    <xf numFmtId="0" fontId="25" fillId="9" borderId="0" xfId="1" applyFont="1" applyFill="1" applyBorder="1" applyAlignment="1">
      <alignment horizontal="center" vertical="center" wrapText="1"/>
    </xf>
    <xf numFmtId="0" fontId="25" fillId="9" borderId="9" xfId="1" applyFont="1" applyFill="1" applyBorder="1" applyAlignment="1">
      <alignment horizontal="center" vertical="center"/>
    </xf>
    <xf numFmtId="0" fontId="26" fillId="9" borderId="0" xfId="1" applyFont="1" applyFill="1" applyBorder="1" applyAlignment="1">
      <alignment vertical="center" wrapText="1"/>
    </xf>
    <xf numFmtId="0" fontId="23" fillId="9" borderId="3" xfId="1" applyFont="1" applyFill="1" applyBorder="1"/>
    <xf numFmtId="0" fontId="24" fillId="9" borderId="3" xfId="1" applyFont="1" applyFill="1" applyBorder="1" applyAlignment="1">
      <alignment wrapText="1"/>
    </xf>
    <xf numFmtId="0" fontId="25" fillId="9" borderId="3" xfId="1" applyFont="1" applyFill="1" applyBorder="1" applyAlignment="1">
      <alignment horizontal="center" vertical="center" wrapText="1"/>
    </xf>
  </cellXfs>
  <cellStyles count="5">
    <cellStyle name="Comma" xfId="4" builtinId="3"/>
    <cellStyle name="Comma 2" xfId="2" xr:uid="{03E3FBE4-B310-4AF6-9CA6-329EA926DEE9}"/>
    <cellStyle name="Normal" xfId="0" builtinId="0" customBuiltin="1"/>
    <cellStyle name="Normal 2" xfId="1" xr:uid="{984616E7-25A5-4319-B0B5-CA2E46AC856A}"/>
    <cellStyle name="Percent 2" xfId="3" xr:uid="{BB3935E1-BD3F-4484-8C7B-508B241C7FB1}"/>
  </cellStyles>
  <dxfs count="58"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/>
        <vertical/>
        <horizontal/>
      </border>
    </dxf>
    <dxf>
      <fill>
        <patternFill patternType="solid">
          <fgColor indexed="64"/>
          <bgColor theme="1" tint="4.9989318521683403E-2"/>
        </patternFill>
      </fill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/>
        <top style="thin">
          <color theme="1" tint="0.34998626667073579"/>
        </top>
        <bottom style="thin">
          <color theme="1" tint="0.3499862666707357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solid">
          <fgColor indexed="64"/>
          <bgColor rgb="FFF16E9B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0.249977111117893"/>
        </left>
        <right style="thin">
          <color theme="1" tint="0.249977111117893"/>
        </right>
        <top/>
        <bottom/>
      </border>
    </dxf>
    <dxf>
      <font>
        <color theme="1" tint="0.34998626667073579"/>
      </font>
      <fill>
        <patternFill>
          <bgColor theme="1"/>
        </patternFill>
      </fill>
    </dxf>
    <dxf>
      <font>
        <color theme="1" tint="0.34998626667073579"/>
      </font>
    </dxf>
    <dxf>
      <font>
        <color theme="1" tint="0.499984740745262"/>
      </font>
      <fill>
        <patternFill patternType="solid">
          <bgColor theme="1"/>
        </patternFill>
      </fill>
    </dxf>
    <dxf>
      <font>
        <color theme="1" tint="0.34998626667073579"/>
      </font>
      <fill>
        <patternFill>
          <bgColor theme="1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none"/>
      </font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164" formatCode="0.0%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/>
        <top style="thin">
          <color theme="1" tint="0.249977111117893"/>
        </top>
        <bottom style="thin">
          <color theme="1" tint="0.249977111117893"/>
        </bottom>
      </border>
    </dxf>
    <dxf>
      <numFmt numFmtId="164" formatCode="0.0%"/>
      <alignment horizontal="center" vertical="top" textRotation="0" wrapText="0" indent="0" justifyLastLine="0" shrinkToFit="0" readingOrder="0"/>
    </dxf>
    <dxf>
      <alignment horizontal="center" vertical="top" textRotation="0" indent="0" justifyLastLine="0" shrinkToFit="0" readingOrder="0"/>
    </dxf>
    <dxf>
      <alignment horizontal="left" vertical="top" textRotation="0" wrapText="0" relativeIndent="1" justifyLastLine="0" shrinkToFit="0" readingOrder="0"/>
    </dxf>
    <dxf>
      <alignment horizontal="center" vertical="top" textRotation="0" wrapText="0" indent="0" justifyLastLine="0" shrinkToFit="0" readingOrder="0"/>
    </dxf>
    <dxf>
      <border>
        <bottom style="thin">
          <color theme="1" tint="0.249977111117893"/>
        </bottom>
      </border>
    </dxf>
    <dxf>
      <fill>
        <patternFill patternType="solid">
          <fgColor theme="1" tint="0.249977111117893"/>
          <bgColor theme="1" tint="0.249977111117893"/>
        </patternFill>
      </fill>
    </dxf>
    <dxf>
      <fill>
        <patternFill>
          <bgColor theme="1"/>
        </patternFill>
      </fill>
    </dxf>
    <dxf>
      <fill>
        <patternFill patternType="solid">
          <fgColor theme="1" tint="0.249977111117893"/>
          <bgColor theme="1"/>
        </patternFill>
      </fill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left style="medium">
          <color theme="0"/>
        </left>
      </border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right style="medium">
          <color theme="0"/>
        </right>
      </border>
    </dxf>
    <dxf>
      <font>
        <b/>
        <color theme="0"/>
      </font>
      <fill>
        <patternFill patternType="solid">
          <fgColor theme="1" tint="0.14999847407452621"/>
          <bgColor theme="1" tint="0.14999847407452621"/>
        </patternFill>
      </fill>
      <border>
        <top style="medium">
          <color theme="0"/>
        </top>
      </border>
    </dxf>
    <dxf>
      <font>
        <strike val="0"/>
        <color theme="0"/>
      </font>
      <fill>
        <patternFill patternType="solid">
          <fgColor theme="1"/>
          <bgColor rgb="FF2A6099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4.9989318521683403E-2"/>
          <bgColor theme="1" tint="0.44999542222357858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</dxfs>
  <tableStyles count="1" defaultTableStyle="TableStyleMedium9" defaultPivotStyle="PivotStyleMedium4">
    <tableStyle name="TableStyleDarker" pivot="0" count="8" xr9:uid="{6808BEA3-E65F-4F4F-A6CC-D0226D87DD56}">
      <tableStyleElement type="wholeTable" dxfId="57"/>
      <tableStyleElement type="headerRow" dxfId="56"/>
      <tableStyleElement type="totalRow" dxfId="55"/>
      <tableStyleElement type="firstColumn" dxfId="54"/>
      <tableStyleElement type="lastColumn" dxfId="53"/>
      <tableStyleElement type="firstRowStripe" dxfId="52"/>
      <tableStyleElement type="secondRowStripe" dxfId="51"/>
      <tableStyleElement type="firstColumnStripe" dxfId="50"/>
    </tableStyle>
  </tableStyles>
  <colors>
    <mruColors>
      <color rgb="FFB08600"/>
      <color rgb="FF1665AB"/>
      <color rgb="FF7A0000"/>
      <color rgb="FF960000"/>
      <color rgb="FF813D05"/>
      <color rgb="FF381A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105537</xdr:colOff>
      <xdr:row>2</xdr:row>
      <xdr:rowOff>29337</xdr:rowOff>
    </xdr:from>
    <xdr:to>
      <xdr:col>2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C4C0CBF0-29DE-44B8-9127-C680F41864A1}"/>
            </a:ext>
          </a:extLst>
        </xdr:cNvPr>
        <xdr:cNvSpPr>
          <a:spLocks/>
        </xdr:cNvSpPr>
      </xdr:nvSpPr>
      <xdr:spPr>
        <a:xfrm>
          <a:off x="501777" y="151257"/>
          <a:ext cx="1899666" cy="5280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88392</xdr:colOff>
      <xdr:row>19</xdr:row>
      <xdr:rowOff>11430</xdr:rowOff>
    </xdr:from>
    <xdr:to>
      <xdr:col>2</xdr:col>
      <xdr:colOff>1679448</xdr:colOff>
      <xdr:row>19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B6906FE-6E9D-463C-A0AD-F212F47F7E3E}"/>
            </a:ext>
          </a:extLst>
        </xdr:cNvPr>
        <xdr:cNvSpPr>
          <a:spLocks/>
        </xdr:cNvSpPr>
      </xdr:nvSpPr>
      <xdr:spPr>
        <a:xfrm>
          <a:off x="484632" y="15963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32</xdr:row>
      <xdr:rowOff>11430</xdr:rowOff>
    </xdr:from>
    <xdr:to>
      <xdr:col>2</xdr:col>
      <xdr:colOff>1679448</xdr:colOff>
      <xdr:row>32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82063F4-A4C2-4F64-8F8E-094E5645EB0E}"/>
            </a:ext>
          </a:extLst>
        </xdr:cNvPr>
        <xdr:cNvSpPr>
          <a:spLocks/>
        </xdr:cNvSpPr>
      </xdr:nvSpPr>
      <xdr:spPr>
        <a:xfrm>
          <a:off x="484632" y="19088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42</xdr:row>
      <xdr:rowOff>11430</xdr:rowOff>
    </xdr:from>
    <xdr:to>
      <xdr:col>2</xdr:col>
      <xdr:colOff>1679448</xdr:colOff>
      <xdr:row>42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C67C131-2954-4CFA-9E37-C6E423132EE9}"/>
            </a:ext>
          </a:extLst>
        </xdr:cNvPr>
        <xdr:cNvSpPr>
          <a:spLocks/>
        </xdr:cNvSpPr>
      </xdr:nvSpPr>
      <xdr:spPr>
        <a:xfrm>
          <a:off x="484632" y="222123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54</xdr:row>
      <xdr:rowOff>11430</xdr:rowOff>
    </xdr:from>
    <xdr:to>
      <xdr:col>2</xdr:col>
      <xdr:colOff>1679448</xdr:colOff>
      <xdr:row>54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7FF653C8-3BA6-4081-8DB3-7EBAC6440ABF}"/>
            </a:ext>
          </a:extLst>
        </xdr:cNvPr>
        <xdr:cNvSpPr>
          <a:spLocks/>
        </xdr:cNvSpPr>
      </xdr:nvSpPr>
      <xdr:spPr>
        <a:xfrm>
          <a:off x="484632" y="25336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65</xdr:row>
      <xdr:rowOff>11430</xdr:rowOff>
    </xdr:from>
    <xdr:to>
      <xdr:col>2</xdr:col>
      <xdr:colOff>1679448</xdr:colOff>
      <xdr:row>65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5B07AEC1-FFA6-429C-B459-8804C7705E0F}"/>
            </a:ext>
          </a:extLst>
        </xdr:cNvPr>
        <xdr:cNvSpPr>
          <a:spLocks/>
        </xdr:cNvSpPr>
      </xdr:nvSpPr>
      <xdr:spPr>
        <a:xfrm>
          <a:off x="484632" y="28460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</xdr:row>
      <xdr:rowOff>11430</xdr:rowOff>
    </xdr:from>
    <xdr:to>
      <xdr:col>2</xdr:col>
      <xdr:colOff>1679448</xdr:colOff>
      <xdr:row>4</xdr:row>
      <xdr:rowOff>240030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CA5B8358-D54C-4A3C-AEF3-C07655C01479}"/>
            </a:ext>
          </a:extLst>
        </xdr:cNvPr>
        <xdr:cNvSpPr>
          <a:spLocks/>
        </xdr:cNvSpPr>
      </xdr:nvSpPr>
      <xdr:spPr>
        <a:xfrm>
          <a:off x="484632" y="14058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12</xdr:row>
      <xdr:rowOff>11430</xdr:rowOff>
    </xdr:from>
    <xdr:to>
      <xdr:col>2</xdr:col>
      <xdr:colOff>1679448</xdr:colOff>
      <xdr:row>12</xdr:row>
      <xdr:rowOff>240030</xdr:rowOff>
    </xdr:to>
    <xdr:sp macro="[0]!ToggleSection" textlink="">
      <xdr:nvSpPr>
        <xdr:cNvPr id="9" name="Data Description">
          <a:extLst>
            <a:ext uri="{FF2B5EF4-FFF2-40B4-BE49-F238E27FC236}">
              <a16:creationId xmlns:a16="http://schemas.microsoft.com/office/drawing/2014/main" id="{C229DBD0-11CE-40AA-A1A1-AE1716716328}"/>
            </a:ext>
          </a:extLst>
        </xdr:cNvPr>
        <xdr:cNvSpPr>
          <a:spLocks/>
        </xdr:cNvSpPr>
      </xdr:nvSpPr>
      <xdr:spPr>
        <a:xfrm>
          <a:off x="484632" y="12839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95250</xdr:colOff>
      <xdr:row>30</xdr:row>
      <xdr:rowOff>95250</xdr:rowOff>
    </xdr:from>
    <xdr:to>
      <xdr:col>3</xdr:col>
      <xdr:colOff>1809750</xdr:colOff>
      <xdr:row>30</xdr:row>
      <xdr:rowOff>1809750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CAB421AC-6374-DFC2-97A6-F268A853CE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59330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3</xdr:col>
      <xdr:colOff>95250</xdr:colOff>
      <xdr:row>40</xdr:row>
      <xdr:rowOff>95250</xdr:rowOff>
    </xdr:from>
    <xdr:to>
      <xdr:col>3</xdr:col>
      <xdr:colOff>1809750</xdr:colOff>
      <xdr:row>40</xdr:row>
      <xdr:rowOff>1809750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576B6D85-33D0-AD3D-1668-95C7A141E1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59330" y="689991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30</xdr:row>
      <xdr:rowOff>95250</xdr:rowOff>
    </xdr:from>
    <xdr:to>
      <xdr:col>4</xdr:col>
      <xdr:colOff>1809750</xdr:colOff>
      <xdr:row>30</xdr:row>
      <xdr:rowOff>1809750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3D5C566A-EF87-D2C7-E52A-255A90E8B3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164330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40</xdr:row>
      <xdr:rowOff>95250</xdr:rowOff>
    </xdr:from>
    <xdr:to>
      <xdr:col>4</xdr:col>
      <xdr:colOff>1809750</xdr:colOff>
      <xdr:row>40</xdr:row>
      <xdr:rowOff>1809750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385F10D8-463A-767C-8E57-0786EB21B8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164330" y="689991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30</xdr:row>
      <xdr:rowOff>95250</xdr:rowOff>
    </xdr:from>
    <xdr:to>
      <xdr:col>5</xdr:col>
      <xdr:colOff>1809750</xdr:colOff>
      <xdr:row>30</xdr:row>
      <xdr:rowOff>1809750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B6E5A6B0-997F-2F45-F320-7ED994B558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069330" y="3646170"/>
          <a:ext cx="1714500" cy="17145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D943D0B-48BC-466F-AB69-8508D54949C1}" name="tbl_Overview" displayName="tbl_Overview" ref="B10:AA13" totalsRowShown="0" headerRowDxfId="5" dataDxfId="48" headerRowBorderDxfId="49" headerRowCellStyle="Normal 2">
  <autoFilter ref="B10:AA13" xr:uid="{7EC467B7-DE9E-48DF-95B5-2995F1F6DE8F}"/>
  <tableColumns count="26">
    <tableColumn id="1" xr3:uid="{CDAE6949-9186-42E8-AEBE-1928381A0155}" name="Field" dataDxfId="47" dataCellStyle="Normal 2"/>
    <tableColumn id="2" xr3:uid="{24D139B7-BFC8-4DD9-8DE4-2245810E04F3}" name="Definition" dataDxfId="4" dataCellStyle="Normal 2">
      <calculatedColumnFormula>IF(INDEX(Definitions,1,MATCH(tbl_Overview[[#This Row],[Field]],Headers,0))="Definition","",INDEX(Definitions,1,MATCH(tbl_Overview[[#This Row],[Field]],Headers,0)))</calculatedColumnFormula>
    </tableColumn>
    <tableColumn id="3" xr3:uid="{92B45608-BAB5-470F-8B3E-2910EF660813}" name="Field Notes" dataDxfId="3" dataCellStyle="Normal 2">
      <calculatedColumnFormula>IF(INDEX(Notes,1,MATCH(tbl_Overview[[#This Row],[Field]],Headers,0))="Notes","",INDEX(Notes,1,MATCH(tbl_Overview[[#This Row],[Field]],Headers,0)))</calculatedColumnFormula>
    </tableColumn>
    <tableColumn id="4" xr3:uid="{8387EFA9-4555-4DF4-B699-541F401C46D0}" name="Data type" dataDxfId="46"/>
    <tableColumn id="8" xr3:uid="{30CDB1E0-924C-48B4-82F4-9B3E3228BE95}" name="Distinct %" dataDxfId="45"/>
    <tableColumn id="12" xr3:uid="{03824906-BEA5-4B63-A981-21F959B6439E}" name="Missing %" dataDxfId="44" dataCellStyle="Percent 2"/>
    <tableColumn id="6" xr3:uid="{8DFFE5A0-8676-4576-AB4D-97E8B31EC097}" name="Memory Usage %" dataDxfId="43" dataCellStyle="Percent 2"/>
    <tableColumn id="5" xr3:uid="{DD50C3DA-F4A8-40F0-AFBD-DBF916650F7E}" name="Memory Usage" dataDxfId="42"/>
    <tableColumn id="7" xr3:uid="{A0CD56D0-07EF-46CA-BC46-D54CD5E746C7}" name="Distinct" dataDxfId="41"/>
    <tableColumn id="9" xr3:uid="{1C848176-6AC1-44A6-9B3B-F1C9E8BC32EA}" name="Count" dataDxfId="40"/>
    <tableColumn id="10" xr3:uid="{6C6E6A37-4969-459F-AC39-2193366810E2}" name="Count %" dataDxfId="39"/>
    <tableColumn id="11" xr3:uid="{CD47252D-0307-4513-AF7C-13CC4AA1FCD9}" name="Missing" dataDxfId="38"/>
    <tableColumn id="13" xr3:uid="{2B45F7F8-CE35-48A6-BB27-9684B5D7936D}" name="Mean" dataDxfId="37"/>
    <tableColumn id="14" xr3:uid="{293386E4-1FA6-4340-9DC6-54CC26209C0A}" name="Median" dataDxfId="36"/>
    <tableColumn id="15" xr3:uid="{29252F5E-4163-4D62-89FC-FF85F6C4755C}" name="Mode" dataDxfId="35"/>
    <tableColumn id="16" xr3:uid="{69FFA3C1-FD1E-4395-AF2E-177FDFCDE62A}" name="Standard Deviation" dataDxfId="34"/>
    <tableColumn id="17" xr3:uid="{2AAB37E9-8AE2-4771-B92B-C04BFABA0B4E}" name="Variance" dataDxfId="33"/>
    <tableColumn id="18" xr3:uid="{07151E41-6633-4A65-A7E1-091F027DEF95}" name="Min" dataDxfId="32"/>
    <tableColumn id="19" xr3:uid="{41A1FD5D-4E5C-45B3-A0C7-1820F89F417F}" name="5%" dataDxfId="31"/>
    <tableColumn id="20" xr3:uid="{50D70984-5A2E-4A19-9F2B-5DA0502339BC}" name="25%" dataDxfId="30"/>
    <tableColumn id="21" xr3:uid="{75FF5489-8FC0-4894-83BC-802076BF1066}" name="50%" dataDxfId="29"/>
    <tableColumn id="22" xr3:uid="{B7FA20A8-EE17-470E-93AD-54011230C113}" name="75%" dataDxfId="28"/>
    <tableColumn id="23" xr3:uid="{378BE758-7A3F-4C04-A75B-FE899B1B0BAD}" name="95%" dataDxfId="27"/>
    <tableColumn id="24" xr3:uid="{818594E7-DC84-4229-81F6-97C1E2E93633}" name="Max" dataDxfId="26"/>
    <tableColumn id="25" xr3:uid="{D8116583-A886-47C1-85E2-D28AD96194AD}" name="Range" dataDxfId="25"/>
    <tableColumn id="26" xr3:uid="{D061AC6A-EAB2-461F-8AB8-E743DC68E666}" name="IQR" dataDxfId="24"/>
  </tableColumns>
  <tableStyleInfo name="TableStyleDarker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6093A9-DDE8-4AD9-BA6A-7D2C7CB220CC}" name="tbl_SourceData" displayName="tbl_SourceData" ref="C78:G350" totalsRowShown="0" headerRowDxfId="14" dataDxfId="13">
  <autoFilter ref="C78:G350" xr:uid="{DB263373-2B4F-4302-9CF6-5012CE3F1A47}"/>
  <tableColumns count="5">
    <tableColumn id="1" xr3:uid="{B87F6371-B38F-4AA9-8A9B-F1D62600E38F}" name="Record List" dataDxfId="1" dataCellStyle="Normal 2"/>
    <tableColumn id="2" xr3:uid="{55547D6A-0C4F-44F3-8DA7-D9918F9ECA79}" name="duration" dataDxfId="12"/>
    <tableColumn id="8" xr3:uid="{5CEA6B82-08F7-4BBF-BE74-DD211F1E2384}" name="waiting" dataDxfId="11"/>
    <tableColumn id="3" xr3:uid="{6C0B3232-D5C0-4185-AF99-A47484E561D2}" name="kind" dataDxfId="10"/>
    <tableColumn id="4" xr3:uid="{803D8FC2-F2F2-4378-8D58-2F96D9C598A2}" name="Record Hash" dataDxfId="2"/>
  </tableColumns>
  <tableStyleInfo name="TableStyleDarker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991F7-AD61-4B07-8E8E-100F383B401C}">
  <sheetPr codeName="Sheet1"/>
  <dimension ref="B2:AA13"/>
  <sheetViews>
    <sheetView zoomScale="85" zoomScaleNormal="85" workbookViewId="0">
      <selection activeCell="B10" sqref="B10"/>
    </sheetView>
  </sheetViews>
  <sheetFormatPr defaultRowHeight="14.4"/>
  <cols>
    <col min="1" max="1" width="2.77734375" customWidth="1"/>
    <col min="2" max="2" width="32" style="1" customWidth="1"/>
    <col min="3" max="3" width="42.33203125" style="1" customWidth="1"/>
    <col min="4" max="4" width="45.5546875" customWidth="1"/>
    <col min="5" max="5" width="17.6640625" customWidth="1"/>
    <col min="6" max="8" width="15.88671875" customWidth="1"/>
    <col min="9" max="27" width="13.5546875" customWidth="1"/>
  </cols>
  <sheetData>
    <row r="2" spans="2:27" ht="36.6" customHeight="1">
      <c r="B2" s="83" t="str">
        <f>Name</f>
        <v>geyser</v>
      </c>
      <c r="C2"/>
    </row>
    <row r="3" spans="2:27" ht="10.050000000000001" customHeight="1">
      <c r="B3"/>
      <c r="C3"/>
    </row>
    <row r="4" spans="2:27">
      <c r="B4" s="92" t="s">
        <v>26</v>
      </c>
      <c r="C4" s="49">
        <v>272</v>
      </c>
    </row>
    <row r="5" spans="2:27">
      <c r="B5" s="92" t="s">
        <v>27</v>
      </c>
      <c r="C5" s="50">
        <v>3</v>
      </c>
    </row>
    <row r="6" spans="2:27">
      <c r="B6" s="94" t="s">
        <v>4</v>
      </c>
      <c r="C6" s="50" t="s">
        <v>57</v>
      </c>
      <c r="F6" s="47"/>
    </row>
    <row r="7" spans="2:27">
      <c r="B7" s="90" t="s">
        <v>7</v>
      </c>
      <c r="C7" s="46">
        <v>0.94117647058823528</v>
      </c>
    </row>
    <row r="8" spans="2:27">
      <c r="B8" s="94" t="s">
        <v>10</v>
      </c>
      <c r="C8" s="48">
        <v>0</v>
      </c>
      <c r="D8" s="45"/>
    </row>
    <row r="9" spans="2:27" ht="24" customHeight="1">
      <c r="B9"/>
      <c r="C9"/>
    </row>
    <row r="10" spans="2:27" ht="34.950000000000003" customHeight="1">
      <c r="B10" s="104" t="s">
        <v>28</v>
      </c>
      <c r="C10" s="105" t="s">
        <v>29</v>
      </c>
      <c r="D10" s="105" t="s">
        <v>30</v>
      </c>
      <c r="E10" s="106" t="s">
        <v>3</v>
      </c>
      <c r="F10" s="106" t="s">
        <v>7</v>
      </c>
      <c r="G10" s="106" t="s">
        <v>10</v>
      </c>
      <c r="H10" s="106" t="s">
        <v>5</v>
      </c>
      <c r="I10" s="106" t="s">
        <v>4</v>
      </c>
      <c r="J10" s="106" t="s">
        <v>6</v>
      </c>
      <c r="K10" s="106" t="s">
        <v>8</v>
      </c>
      <c r="L10" s="106" t="s">
        <v>32</v>
      </c>
      <c r="M10" s="106" t="s">
        <v>9</v>
      </c>
      <c r="N10" s="106" t="s">
        <v>11</v>
      </c>
      <c r="O10" s="106" t="s">
        <v>12</v>
      </c>
      <c r="P10" s="106" t="s">
        <v>13</v>
      </c>
      <c r="Q10" s="106" t="s">
        <v>14</v>
      </c>
      <c r="R10" s="106" t="s">
        <v>15</v>
      </c>
      <c r="S10" s="106" t="s">
        <v>16</v>
      </c>
      <c r="T10" s="107" t="s">
        <v>33</v>
      </c>
      <c r="U10" s="107" t="s">
        <v>34</v>
      </c>
      <c r="V10" s="107" t="s">
        <v>35</v>
      </c>
      <c r="W10" s="107" t="s">
        <v>36</v>
      </c>
      <c r="X10" s="107" t="s">
        <v>37</v>
      </c>
      <c r="Y10" s="106" t="s">
        <v>17</v>
      </c>
      <c r="Z10" s="106" t="s">
        <v>18</v>
      </c>
      <c r="AA10" s="106" t="s">
        <v>19</v>
      </c>
    </row>
    <row r="11" spans="2:27">
      <c r="B11" s="63" t="s">
        <v>54</v>
      </c>
      <c r="C11" s="51" t="str">
        <f>IF(INDEX(Definitions,1,MATCH(tbl_Overview[[#This Row],[Field]],Headers,0))="Definition","",INDEX(Definitions,1,MATCH(tbl_Overview[[#This Row],[Field]],Headers,0)))</f>
        <v/>
      </c>
      <c r="D11" s="51" t="str">
        <f>IF(INDEX(Notes,1,MATCH(tbl_Overview[[#This Row],[Field]],Headers,0))="Notes","",INDEX(Notes,1,MATCH(tbl_Overview[[#This Row],[Field]],Headers,0)))</f>
        <v/>
      </c>
      <c r="E11" s="100" t="s">
        <v>58</v>
      </c>
      <c r="F11" s="53">
        <v>0.46323529411764702</v>
      </c>
      <c r="G11" s="54">
        <v>0</v>
      </c>
      <c r="H11" s="53">
        <v>0.219222244610114</v>
      </c>
      <c r="I11" s="55">
        <v>2176</v>
      </c>
      <c r="J11" s="55">
        <v>126</v>
      </c>
      <c r="K11" s="55">
        <v>272</v>
      </c>
      <c r="L11" s="56">
        <v>1</v>
      </c>
      <c r="M11" s="55">
        <v>0</v>
      </c>
      <c r="N11" s="57">
        <v>3.48778308823529</v>
      </c>
      <c r="O11" s="57">
        <v>4</v>
      </c>
      <c r="P11" s="57">
        <v>1.867</v>
      </c>
      <c r="Q11" s="57">
        <v>1.1413712511052001</v>
      </c>
      <c r="R11" s="57">
        <v>1.3027283328494601</v>
      </c>
      <c r="S11" s="57">
        <v>1.6</v>
      </c>
      <c r="T11" s="57">
        <v>1.8</v>
      </c>
      <c r="U11" s="57">
        <v>2.16275</v>
      </c>
      <c r="V11" s="57">
        <v>4</v>
      </c>
      <c r="W11" s="57">
        <v>4.45425</v>
      </c>
      <c r="X11" s="57">
        <v>4.8170000000000002</v>
      </c>
      <c r="Y11" s="57">
        <v>5.0999999999999996</v>
      </c>
      <c r="Z11" s="57">
        <v>3.4999999999999898</v>
      </c>
      <c r="AA11" s="57">
        <v>2.2915000000000001</v>
      </c>
    </row>
    <row r="12" spans="2:27">
      <c r="B12" s="64" t="s">
        <v>55</v>
      </c>
      <c r="C12" s="52" t="str">
        <f>IF(INDEX(Definitions,1,MATCH(tbl_Overview[[#This Row],[Field]],Headers,0))="Definition","",INDEX(Definitions,1,MATCH(tbl_Overview[[#This Row],[Field]],Headers,0)))</f>
        <v/>
      </c>
      <c r="D12" s="52" t="str">
        <f>IF(INDEX(Notes,1,MATCH(tbl_Overview[[#This Row],[Field]],Headers,0))="Notes","",INDEX(Notes,1,MATCH(tbl_Overview[[#This Row],[Field]],Headers,0)))</f>
        <v/>
      </c>
      <c r="E12" s="100" t="s">
        <v>59</v>
      </c>
      <c r="F12" s="56">
        <v>0.1875</v>
      </c>
      <c r="G12" s="58">
        <v>0</v>
      </c>
      <c r="H12" s="59">
        <v>0.219222244610114</v>
      </c>
      <c r="I12" s="55">
        <v>2176</v>
      </c>
      <c r="J12" s="55">
        <v>51</v>
      </c>
      <c r="K12" s="55">
        <v>272</v>
      </c>
      <c r="L12" s="56">
        <v>1</v>
      </c>
      <c r="M12" s="55">
        <v>0</v>
      </c>
      <c r="N12" s="57">
        <v>70.897058823529406</v>
      </c>
      <c r="O12" s="57">
        <v>76</v>
      </c>
      <c r="P12" s="57">
        <v>78</v>
      </c>
      <c r="Q12" s="57">
        <v>13.594973789999299</v>
      </c>
      <c r="R12" s="57">
        <v>184.82331235077001</v>
      </c>
      <c r="S12" s="57">
        <v>43</v>
      </c>
      <c r="T12" s="57">
        <v>48</v>
      </c>
      <c r="U12" s="57">
        <v>58</v>
      </c>
      <c r="V12" s="57">
        <v>76</v>
      </c>
      <c r="W12" s="57">
        <v>82</v>
      </c>
      <c r="X12" s="57">
        <v>89</v>
      </c>
      <c r="Y12" s="57">
        <v>96</v>
      </c>
      <c r="Z12" s="57">
        <v>53</v>
      </c>
      <c r="AA12" s="57">
        <v>24</v>
      </c>
    </row>
    <row r="13" spans="2:27">
      <c r="B13" s="64" t="s">
        <v>56</v>
      </c>
      <c r="C13" s="65" t="str">
        <f>IF(INDEX(Definitions,1,MATCH(tbl_Overview[[#This Row],[Field]],Headers,0))="Definition","",INDEX(Definitions,1,MATCH(tbl_Overview[[#This Row],[Field]],Headers,0)))</f>
        <v/>
      </c>
      <c r="D13" s="66" t="str">
        <f>IF(INDEX(Notes,1,MATCH(tbl_Overview[[#This Row],[Field]],Headers,0))="Notes","",INDEX(Notes,1,MATCH(tbl_Overview[[#This Row],[Field]],Headers,0)))</f>
        <v/>
      </c>
      <c r="E13" s="100" t="s">
        <v>60</v>
      </c>
      <c r="F13" s="56">
        <v>7.3529411764705803E-3</v>
      </c>
      <c r="G13" s="58">
        <v>0</v>
      </c>
      <c r="H13" s="59">
        <v>0.34233326616965498</v>
      </c>
      <c r="I13" s="55">
        <v>3398</v>
      </c>
      <c r="J13" s="55">
        <v>2</v>
      </c>
      <c r="K13" s="55">
        <v>272</v>
      </c>
      <c r="L13" s="56">
        <v>1</v>
      </c>
      <c r="M13" s="55">
        <v>0</v>
      </c>
      <c r="N13" s="57"/>
      <c r="O13" s="57"/>
      <c r="P13" s="57" t="s">
        <v>61</v>
      </c>
      <c r="Q13" s="57"/>
      <c r="R13" s="57"/>
      <c r="S13" s="57"/>
      <c r="T13" s="57"/>
      <c r="U13" s="57"/>
      <c r="V13" s="57"/>
      <c r="W13" s="57"/>
      <c r="X13" s="57"/>
      <c r="Y13" s="57"/>
      <c r="Z13" s="57"/>
      <c r="AA13" s="57"/>
    </row>
  </sheetData>
  <conditionalFormatting sqref="C7:C8">
    <cfRule type="colorScale" priority="10">
      <colorScale>
        <cfvo type="num" val="0"/>
        <cfvo type="num" val="0.2"/>
        <color theme="1"/>
        <color rgb="FF7A0000"/>
      </colorScale>
    </cfRule>
  </conditionalFormatting>
  <conditionalFormatting sqref="F11:H13">
    <cfRule type="colorScale" priority="7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35159-D796-4A3F-A58D-412F5FB36FD4}">
  <sheetPr codeName="Sheet3"/>
  <dimension ref="A1:N350"/>
  <sheetViews>
    <sheetView tabSelected="1" zoomScale="85" zoomScaleNormal="85" workbookViewId="0">
      <pane xSplit="3" ySplit="11" topLeftCell="D12" activePane="bottomRight" state="frozen"/>
      <selection activeCell="B1" sqref="B1"/>
      <selection pane="topRight" activeCell="F1" sqref="F1"/>
      <selection pane="bottomLeft" activeCell="B5" sqref="B5"/>
      <selection pane="bottomRight" activeCell="D11" sqref="D11"/>
    </sheetView>
  </sheetViews>
  <sheetFormatPr defaultRowHeight="14.4" outlineLevelRow="2"/>
  <cols>
    <col min="1" max="1" width="3" style="1" customWidth="1"/>
    <col min="2" max="2" width="2.77734375" style="2" customWidth="1"/>
    <col min="3" max="3" width="25.77734375" style="7" customWidth="1"/>
    <col min="4" max="6" width="27.77734375" style="1" customWidth="1"/>
    <col min="7" max="7" width="18" bestFit="1" customWidth="1"/>
  </cols>
  <sheetData>
    <row r="1" spans="1:14" ht="31.8" hidden="1" customHeight="1">
      <c r="A1" s="40"/>
      <c r="B1" s="41"/>
      <c r="C1" s="42" t="s">
        <v>39</v>
      </c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</row>
    <row r="2" spans="1:14" ht="10.050000000000001" customHeight="1">
      <c r="A2" s="68"/>
      <c r="B2" s="68"/>
      <c r="C2" s="68"/>
      <c r="D2"/>
      <c r="E2"/>
      <c r="F2"/>
    </row>
    <row r="3" spans="1:14" ht="36.6" customHeight="1">
      <c r="A3" s="70"/>
      <c r="B3" s="97" t="s">
        <v>0</v>
      </c>
      <c r="C3" s="83" t="s">
        <v>53</v>
      </c>
      <c r="D3"/>
      <c r="E3"/>
      <c r="F3"/>
    </row>
    <row r="4" spans="1:14" ht="4.95" customHeight="1">
      <c r="A4" s="68"/>
      <c r="B4" s="68"/>
      <c r="C4" s="68"/>
      <c r="D4"/>
      <c r="E4"/>
      <c r="F4"/>
    </row>
    <row r="5" spans="1:14" ht="19.95" customHeight="1">
      <c r="A5" s="70"/>
      <c r="B5" s="82" t="s">
        <v>0</v>
      </c>
      <c r="C5" s="84" t="s">
        <v>30</v>
      </c>
      <c r="D5"/>
      <c r="E5"/>
      <c r="F5"/>
    </row>
    <row r="6" spans="1:14" ht="4.95" customHeight="1">
      <c r="A6" s="32"/>
      <c r="B6" s="77"/>
      <c r="C6" s="78"/>
      <c r="D6" s="70"/>
      <c r="E6" s="70"/>
      <c r="F6" s="70"/>
    </row>
    <row r="7" spans="1:14" ht="37.799999999999997" hidden="1" customHeight="1" outlineLevel="1">
      <c r="A7" s="32"/>
      <c r="B7" s="77"/>
      <c r="C7" s="79" t="s">
        <v>38</v>
      </c>
      <c r="D7" s="75" t="s">
        <v>29</v>
      </c>
      <c r="E7" s="75" t="s">
        <v>29</v>
      </c>
      <c r="F7" s="75" t="s">
        <v>29</v>
      </c>
    </row>
    <row r="8" spans="1:14" ht="10.050000000000001" hidden="1" customHeight="1" outlineLevel="1">
      <c r="A8" s="67"/>
      <c r="B8" s="80"/>
      <c r="C8" s="67"/>
      <c r="D8" s="68"/>
      <c r="E8" s="68"/>
      <c r="F8" s="68"/>
    </row>
    <row r="9" spans="1:14" ht="37.799999999999997" hidden="1" customHeight="1" outlineLevel="1">
      <c r="A9" s="32"/>
      <c r="B9" s="76"/>
      <c r="C9" s="79" t="s">
        <v>1</v>
      </c>
      <c r="D9" s="75" t="s">
        <v>1</v>
      </c>
      <c r="E9" s="75" t="s">
        <v>1</v>
      </c>
      <c r="F9" s="75" t="s">
        <v>1</v>
      </c>
    </row>
    <row r="10" spans="1:14" ht="4.95" hidden="1" customHeight="1" outlineLevel="1">
      <c r="C10" s="3"/>
      <c r="D10" s="60"/>
      <c r="E10" s="60"/>
      <c r="F10" s="60"/>
    </row>
    <row r="11" spans="1:14" s="99" customFormat="1" ht="30" customHeight="1" collapsed="1">
      <c r="A11" s="6"/>
      <c r="B11" s="108"/>
      <c r="C11" s="109" t="s">
        <v>2</v>
      </c>
      <c r="D11" s="110" t="s">
        <v>54</v>
      </c>
      <c r="E11" s="110" t="s">
        <v>55</v>
      </c>
      <c r="F11" s="110" t="s">
        <v>56</v>
      </c>
      <c r="G11" s="99" t="s">
        <v>20</v>
      </c>
    </row>
    <row r="12" spans="1:14" ht="4.95" customHeight="1">
      <c r="A12"/>
      <c r="B12"/>
      <c r="C12"/>
      <c r="D12"/>
      <c r="E12"/>
      <c r="F12"/>
    </row>
    <row r="13" spans="1:14" ht="19.95" customHeight="1" outlineLevel="1">
      <c r="A13" s="70"/>
      <c r="B13" s="82" t="s">
        <v>0</v>
      </c>
      <c r="C13" s="84" t="s">
        <v>52</v>
      </c>
      <c r="D13" s="69"/>
      <c r="E13" s="69"/>
      <c r="F13" s="69"/>
    </row>
    <row r="14" spans="1:14" ht="4.95" customHeight="1" outlineLevel="1">
      <c r="A14" s="70"/>
      <c r="B14" s="72"/>
      <c r="C14" s="73"/>
      <c r="D14" s="70"/>
      <c r="E14" s="69"/>
      <c r="F14" s="69"/>
    </row>
    <row r="15" spans="1:14" ht="84.6" hidden="1" customHeight="1" outlineLevel="2">
      <c r="A15" s="70"/>
      <c r="B15" s="72"/>
      <c r="C15" s="81"/>
      <c r="D15" s="102" t="s">
        <v>25</v>
      </c>
      <c r="E15" s="103"/>
      <c r="F15" s="69"/>
    </row>
    <row r="16" spans="1:14" ht="10.050000000000001" hidden="1" customHeight="1" outlineLevel="2">
      <c r="A16" s="70"/>
      <c r="B16" s="72"/>
      <c r="C16" s="74"/>
      <c r="D16" s="71"/>
      <c r="E16" s="70"/>
      <c r="F16" s="70"/>
    </row>
    <row r="17" spans="1:6" hidden="1" outlineLevel="2">
      <c r="A17" s="70"/>
      <c r="B17" s="72"/>
      <c r="C17" s="95" t="s">
        <v>26</v>
      </c>
      <c r="D17" s="98">
        <v>272</v>
      </c>
      <c r="E17" s="47"/>
      <c r="F17" s="47"/>
    </row>
    <row r="18" spans="1:6" hidden="1" outlineLevel="2">
      <c r="A18" s="70"/>
      <c r="B18" s="72"/>
      <c r="C18" s="95" t="s">
        <v>46</v>
      </c>
      <c r="D18" s="98">
        <v>3</v>
      </c>
      <c r="E18" s="47"/>
      <c r="F18" s="47"/>
    </row>
    <row r="19" spans="1:6" ht="4.95" hidden="1" customHeight="1" outlineLevel="2">
      <c r="A19" s="70"/>
      <c r="B19" s="72"/>
      <c r="C19" s="74"/>
      <c r="D19" s="71"/>
      <c r="E19"/>
      <c r="F19"/>
    </row>
    <row r="20" spans="1:6" ht="19.95" customHeight="1" outlineLevel="1" collapsed="1">
      <c r="B20" s="82" t="s">
        <v>0</v>
      </c>
      <c r="C20" s="84" t="s">
        <v>51</v>
      </c>
      <c r="D20" s="96"/>
      <c r="E20"/>
      <c r="F20"/>
    </row>
    <row r="21" spans="1:6" ht="4.95" customHeight="1" outlineLevel="1">
      <c r="B21" s="10"/>
      <c r="C21" s="35"/>
      <c r="D21" s="35"/>
      <c r="E21" s="35"/>
      <c r="F21" s="35"/>
    </row>
    <row r="22" spans="1:6" ht="14.4" hidden="1" customHeight="1" outlineLevel="2">
      <c r="A22" s="36"/>
      <c r="B22" s="37"/>
      <c r="C22" s="92" t="s">
        <v>3</v>
      </c>
      <c r="D22" s="12" t="s">
        <v>58</v>
      </c>
      <c r="E22" s="12" t="s">
        <v>59</v>
      </c>
      <c r="F22" s="12" t="s">
        <v>60</v>
      </c>
    </row>
    <row r="23" spans="1:6" ht="14.4" hidden="1" customHeight="1" outlineLevel="2">
      <c r="A23" s="36"/>
      <c r="B23" s="38"/>
      <c r="C23" s="90" t="s">
        <v>7</v>
      </c>
      <c r="D23" s="39">
        <v>0.46323529411764702</v>
      </c>
      <c r="E23" s="39">
        <v>0.1875</v>
      </c>
      <c r="F23" s="39">
        <v>7.3529411764705803E-3</v>
      </c>
    </row>
    <row r="24" spans="1:6" ht="14.4" hidden="1" customHeight="1" outlineLevel="2">
      <c r="A24" s="36"/>
      <c r="B24" s="38"/>
      <c r="C24" s="90" t="s">
        <v>10</v>
      </c>
      <c r="D24" s="39">
        <v>0</v>
      </c>
      <c r="E24" s="39">
        <v>0</v>
      </c>
      <c r="F24" s="39">
        <v>0</v>
      </c>
    </row>
    <row r="25" spans="1:6" ht="14.4" hidden="1" customHeight="1" outlineLevel="2">
      <c r="B25" s="13"/>
      <c r="C25" s="94" t="s">
        <v>5</v>
      </c>
      <c r="D25" s="39">
        <v>0.219222244610114</v>
      </c>
      <c r="E25" s="39">
        <v>0.219222244610114</v>
      </c>
      <c r="F25" s="39">
        <v>0.34233326616965498</v>
      </c>
    </row>
    <row r="26" spans="1:6" ht="14.4" hidden="1" customHeight="1" outlineLevel="2">
      <c r="B26" s="13"/>
      <c r="C26" s="90" t="s">
        <v>4</v>
      </c>
      <c r="D26" s="12">
        <v>2176</v>
      </c>
      <c r="E26" s="12">
        <v>2176</v>
      </c>
      <c r="F26" s="12">
        <v>3398</v>
      </c>
    </row>
    <row r="27" spans="1:6" ht="14.4" hidden="1" customHeight="1" outlineLevel="2">
      <c r="B27" s="13"/>
      <c r="C27" s="90" t="s">
        <v>6</v>
      </c>
      <c r="D27" s="12">
        <v>126</v>
      </c>
      <c r="E27" s="12">
        <v>51</v>
      </c>
      <c r="F27" s="12">
        <v>2</v>
      </c>
    </row>
    <row r="28" spans="1:6" ht="14.4" hidden="1" customHeight="1" outlineLevel="2">
      <c r="B28" s="13"/>
      <c r="C28" s="90" t="s">
        <v>8</v>
      </c>
      <c r="D28" s="12">
        <v>272</v>
      </c>
      <c r="E28" s="12">
        <v>272</v>
      </c>
      <c r="F28" s="12">
        <v>272</v>
      </c>
    </row>
    <row r="29" spans="1:6" ht="14.4" hidden="1" customHeight="1" outlineLevel="2">
      <c r="B29" s="13"/>
      <c r="C29" s="94" t="s">
        <v>9</v>
      </c>
      <c r="D29" s="14">
        <v>0</v>
      </c>
      <c r="E29" s="14">
        <v>0</v>
      </c>
      <c r="F29" s="14">
        <v>0</v>
      </c>
    </row>
    <row r="30" spans="1:6" ht="4.95" hidden="1" customHeight="1" outlineLevel="2">
      <c r="B30" s="10"/>
      <c r="D30" s="7"/>
      <c r="E30" s="7"/>
      <c r="F30" s="7"/>
    </row>
    <row r="31" spans="1:6" ht="150" hidden="1" customHeight="1" outlineLevel="2">
      <c r="B31" s="15"/>
      <c r="C31" s="16"/>
      <c r="D31" s="17"/>
      <c r="E31" s="17"/>
      <c r="F31" s="17"/>
    </row>
    <row r="32" spans="1:6" ht="4.95" hidden="1" customHeight="1" outlineLevel="2">
      <c r="B32" s="18"/>
      <c r="D32" s="7"/>
      <c r="E32" s="7"/>
      <c r="F32" s="7"/>
    </row>
    <row r="33" spans="1:6" ht="19.95" customHeight="1" outlineLevel="1" collapsed="1">
      <c r="B33" s="82" t="s">
        <v>0</v>
      </c>
      <c r="C33" s="84" t="s">
        <v>50</v>
      </c>
      <c r="D33" s="7"/>
      <c r="E33" s="7"/>
      <c r="F33" s="7"/>
    </row>
    <row r="34" spans="1:6" ht="4.95" customHeight="1" outlineLevel="1">
      <c r="A34" s="19"/>
      <c r="B34" s="20"/>
      <c r="C34" s="21"/>
      <c r="D34" s="7"/>
      <c r="E34" s="7"/>
      <c r="F34" s="7"/>
    </row>
    <row r="35" spans="1:6" ht="14.4" hidden="1" customHeight="1" outlineLevel="2">
      <c r="B35" s="11"/>
      <c r="C35" s="92" t="s">
        <v>11</v>
      </c>
      <c r="D35" s="22">
        <v>3.48778308823529</v>
      </c>
      <c r="E35" s="22">
        <v>70.897058823529406</v>
      </c>
      <c r="F35" s="22"/>
    </row>
    <row r="36" spans="1:6" ht="14.4" hidden="1" customHeight="1" outlineLevel="2">
      <c r="B36" s="13"/>
      <c r="C36" s="93" t="s">
        <v>12</v>
      </c>
      <c r="D36" s="23">
        <v>4</v>
      </c>
      <c r="E36" s="23">
        <v>76</v>
      </c>
      <c r="F36" s="23"/>
    </row>
    <row r="37" spans="1:6" ht="14.4" hidden="1" customHeight="1" outlineLevel="2">
      <c r="B37" s="13"/>
      <c r="C37" s="90" t="s">
        <v>13</v>
      </c>
      <c r="D37" s="14">
        <v>1.867</v>
      </c>
      <c r="E37" s="14">
        <v>78</v>
      </c>
      <c r="F37" s="14" t="s">
        <v>61</v>
      </c>
    </row>
    <row r="38" spans="1:6" ht="14.4" hidden="1" customHeight="1" outlineLevel="2">
      <c r="B38" s="13"/>
      <c r="C38" s="93" t="s">
        <v>14</v>
      </c>
      <c r="D38" s="24">
        <v>1.1413712511052001</v>
      </c>
      <c r="E38" s="24">
        <v>13.594973789999299</v>
      </c>
      <c r="F38" s="24"/>
    </row>
    <row r="39" spans="1:6" ht="14.4" hidden="1" customHeight="1" outlineLevel="2">
      <c r="B39" s="13"/>
      <c r="C39" s="94" t="s">
        <v>15</v>
      </c>
      <c r="D39" s="22">
        <v>1.3027283328494601</v>
      </c>
      <c r="E39" s="22">
        <v>184.82331235077001</v>
      </c>
      <c r="F39" s="22"/>
    </row>
    <row r="40" spans="1:6" ht="4.95" hidden="1" customHeight="1" outlineLevel="2">
      <c r="B40" s="10"/>
      <c r="D40" s="7"/>
      <c r="E40" s="7"/>
      <c r="F40" s="7"/>
    </row>
    <row r="41" spans="1:6" ht="150" hidden="1" customHeight="1" outlineLevel="2">
      <c r="A41" s="19"/>
      <c r="B41" s="15"/>
      <c r="C41" s="16"/>
      <c r="D41" s="17"/>
      <c r="E41" s="17"/>
      <c r="F41" s="17"/>
    </row>
    <row r="42" spans="1:6" ht="4.95" hidden="1" customHeight="1" outlineLevel="2">
      <c r="A42" s="19"/>
      <c r="B42" s="15"/>
      <c r="C42" s="25"/>
      <c r="D42" s="7"/>
      <c r="E42" s="7"/>
      <c r="F42" s="7"/>
    </row>
    <row r="43" spans="1:6" ht="19.95" customHeight="1" outlineLevel="1" collapsed="1">
      <c r="B43" s="82" t="s">
        <v>0</v>
      </c>
      <c r="C43" s="84" t="s">
        <v>49</v>
      </c>
      <c r="D43" s="7"/>
      <c r="E43" s="7"/>
      <c r="F43" s="7"/>
    </row>
    <row r="44" spans="1:6" ht="4.95" customHeight="1" outlineLevel="1">
      <c r="A44" s="19"/>
      <c r="B44" s="20"/>
      <c r="C44" s="21"/>
      <c r="D44" s="7"/>
      <c r="E44" s="7"/>
      <c r="F44" s="7"/>
    </row>
    <row r="45" spans="1:6" ht="14.4" hidden="1" customHeight="1" outlineLevel="2">
      <c r="B45" s="11"/>
      <c r="C45" s="87" t="s">
        <v>16</v>
      </c>
      <c r="D45" s="24">
        <v>1.6</v>
      </c>
      <c r="E45" s="24">
        <v>43</v>
      </c>
      <c r="F45" s="24"/>
    </row>
    <row r="46" spans="1:6" ht="14.4" hidden="1" customHeight="1" outlineLevel="2">
      <c r="B46" s="10"/>
      <c r="C46" s="88">
        <v>0.05</v>
      </c>
      <c r="D46" s="22">
        <v>1.8</v>
      </c>
      <c r="E46" s="22">
        <v>48</v>
      </c>
      <c r="F46" s="22"/>
    </row>
    <row r="47" spans="1:6" ht="14.4" hidden="1" customHeight="1" outlineLevel="2">
      <c r="B47" s="10"/>
      <c r="C47" s="89">
        <v>0.25</v>
      </c>
      <c r="D47" s="24">
        <v>2.16275</v>
      </c>
      <c r="E47" s="24">
        <v>58</v>
      </c>
      <c r="F47" s="24"/>
    </row>
    <row r="48" spans="1:6" ht="14.4" hidden="1" customHeight="1" outlineLevel="2">
      <c r="B48" s="10"/>
      <c r="C48" s="88">
        <v>0.5</v>
      </c>
      <c r="D48" s="22">
        <v>4</v>
      </c>
      <c r="E48" s="22">
        <v>76</v>
      </c>
      <c r="F48" s="22"/>
    </row>
    <row r="49" spans="1:6" ht="14.4" hidden="1" customHeight="1" outlineLevel="2">
      <c r="B49" s="10"/>
      <c r="C49" s="89">
        <v>0.75</v>
      </c>
      <c r="D49" s="24">
        <v>4.45425</v>
      </c>
      <c r="E49" s="24">
        <v>82</v>
      </c>
      <c r="F49" s="24"/>
    </row>
    <row r="50" spans="1:6" ht="14.4" hidden="1" customHeight="1" outlineLevel="2">
      <c r="B50" s="10"/>
      <c r="C50" s="88">
        <v>0.95</v>
      </c>
      <c r="D50" s="22">
        <v>4.8170000000000002</v>
      </c>
      <c r="E50" s="22">
        <v>89</v>
      </c>
      <c r="F50" s="22"/>
    </row>
    <row r="51" spans="1:6" ht="14.4" hidden="1" customHeight="1" outlineLevel="2">
      <c r="B51" s="10"/>
      <c r="C51" s="89" t="s">
        <v>17</v>
      </c>
      <c r="D51" s="24">
        <v>5.0999999999999996</v>
      </c>
      <c r="E51" s="24">
        <v>96</v>
      </c>
      <c r="F51" s="24"/>
    </row>
    <row r="52" spans="1:6" ht="14.4" hidden="1" customHeight="1" outlineLevel="2">
      <c r="B52" s="10"/>
      <c r="C52" s="90" t="s">
        <v>18</v>
      </c>
      <c r="D52" s="22">
        <v>3.4999999999999898</v>
      </c>
      <c r="E52" s="22">
        <v>53</v>
      </c>
      <c r="F52" s="22"/>
    </row>
    <row r="53" spans="1:6" ht="14.4" hidden="1" customHeight="1" outlineLevel="2">
      <c r="B53" s="18"/>
      <c r="C53" s="91" t="s">
        <v>19</v>
      </c>
      <c r="D53" s="24">
        <v>2.2915000000000001</v>
      </c>
      <c r="E53" s="24">
        <v>24</v>
      </c>
      <c r="F53" s="24"/>
    </row>
    <row r="54" spans="1:6" ht="4.95" hidden="1" customHeight="1" outlineLevel="2">
      <c r="B54" s="18"/>
      <c r="D54" s="7"/>
      <c r="E54" s="7"/>
      <c r="F54" s="7"/>
    </row>
    <row r="55" spans="1:6" ht="19.95" customHeight="1" outlineLevel="1" collapsed="1">
      <c r="A55" s="30"/>
      <c r="B55" s="82" t="s">
        <v>0</v>
      </c>
      <c r="C55" s="84" t="s">
        <v>48</v>
      </c>
      <c r="D55" s="7"/>
      <c r="E55" s="7"/>
      <c r="F55" s="7"/>
    </row>
    <row r="56" spans="1:6" ht="4.95" customHeight="1" outlineLevel="1">
      <c r="A56" s="30"/>
      <c r="B56" s="20"/>
      <c r="D56" s="7"/>
      <c r="E56" s="7"/>
      <c r="F56" s="7"/>
    </row>
    <row r="57" spans="1:6" ht="14.4" hidden="1" customHeight="1" outlineLevel="2">
      <c r="A57" s="30"/>
      <c r="B57" s="30"/>
      <c r="C57" s="85" t="s">
        <v>40</v>
      </c>
      <c r="D57" s="62" t="b">
        <v>0</v>
      </c>
      <c r="E57" s="62" t="b">
        <v>0</v>
      </c>
      <c r="F57" s="62" t="b">
        <v>0</v>
      </c>
    </row>
    <row r="58" spans="1:6" ht="14.4" hidden="1" customHeight="1" outlineLevel="2">
      <c r="A58" s="30"/>
      <c r="B58" s="30"/>
      <c r="C58" s="85" t="s">
        <v>41</v>
      </c>
      <c r="D58" s="62" t="b">
        <v>0</v>
      </c>
      <c r="E58" s="62" t="b">
        <v>0</v>
      </c>
      <c r="F58" s="62" t="b">
        <v>0</v>
      </c>
    </row>
    <row r="59" spans="1:6" ht="14.4" hidden="1" customHeight="1" outlineLevel="2">
      <c r="A59" s="30"/>
      <c r="B59" s="30"/>
      <c r="C59" s="85" t="s">
        <v>42</v>
      </c>
      <c r="D59" s="62" t="b">
        <v>0</v>
      </c>
      <c r="E59" s="62" t="b">
        <v>0</v>
      </c>
      <c r="F59" s="62" t="b">
        <v>0</v>
      </c>
    </row>
    <row r="60" spans="1:6" ht="14.4" hidden="1" customHeight="1" outlineLevel="2">
      <c r="A60" s="30"/>
      <c r="B60" s="30"/>
      <c r="C60" s="85" t="s">
        <v>43</v>
      </c>
      <c r="D60" s="62" t="b">
        <v>0</v>
      </c>
      <c r="E60" s="62" t="b">
        <v>0</v>
      </c>
      <c r="F60" s="62" t="b">
        <v>0</v>
      </c>
    </row>
    <row r="61" spans="1:6" ht="14.4" hidden="1" customHeight="1" outlineLevel="2">
      <c r="A61" s="30"/>
      <c r="B61" s="30"/>
      <c r="C61" s="85" t="s">
        <v>44</v>
      </c>
      <c r="D61" s="62" t="b">
        <v>0</v>
      </c>
      <c r="E61" s="62" t="b">
        <v>0</v>
      </c>
      <c r="F61" s="62" t="b">
        <v>0</v>
      </c>
    </row>
    <row r="62" spans="1:6" ht="14.4" hidden="1" customHeight="1" outlineLevel="2">
      <c r="A62" s="30"/>
      <c r="B62" s="30"/>
      <c r="C62" s="85" t="s">
        <v>45</v>
      </c>
      <c r="D62" s="62" t="b">
        <v>0</v>
      </c>
      <c r="E62" s="62" t="b">
        <v>0</v>
      </c>
      <c r="F62" s="62" t="b">
        <v>0</v>
      </c>
    </row>
    <row r="63" spans="1:6" ht="14.4" hidden="1" customHeight="1" outlineLevel="2">
      <c r="A63" s="30"/>
      <c r="B63" s="30"/>
      <c r="C63" s="85" t="s">
        <v>22</v>
      </c>
      <c r="D63" s="62" t="b">
        <v>0</v>
      </c>
      <c r="E63" s="62" t="b">
        <v>0</v>
      </c>
      <c r="F63" s="62" t="b">
        <v>0</v>
      </c>
    </row>
    <row r="64" spans="1:6" ht="14.4" hidden="1" customHeight="1" outlineLevel="2">
      <c r="B64" s="1"/>
      <c r="C64" s="86" t="s">
        <v>23</v>
      </c>
      <c r="D64" s="62" t="b">
        <v>0</v>
      </c>
      <c r="E64" s="62" t="b">
        <v>0</v>
      </c>
      <c r="F64" s="62" t="b">
        <v>0</v>
      </c>
    </row>
    <row r="65" spans="1:7" ht="4.95" hidden="1" customHeight="1" outlineLevel="2">
      <c r="B65" s="15"/>
      <c r="D65" s="7"/>
      <c r="E65" s="7"/>
      <c r="F65" s="7"/>
    </row>
    <row r="66" spans="1:7" ht="19.95" customHeight="1" outlineLevel="1" collapsed="1">
      <c r="A66" s="30"/>
      <c r="B66" s="82" t="s">
        <v>0</v>
      </c>
      <c r="C66" s="84" t="s">
        <v>47</v>
      </c>
      <c r="D66" s="7"/>
      <c r="E66" s="7"/>
      <c r="F66" s="7"/>
    </row>
    <row r="67" spans="1:7" ht="4.95" customHeight="1">
      <c r="A67" s="30"/>
      <c r="B67" s="8"/>
      <c r="C67" s="9"/>
      <c r="D67" s="7"/>
      <c r="E67" s="7"/>
      <c r="F67" s="7"/>
    </row>
    <row r="68" spans="1:7" ht="14.4" hidden="1" customHeight="1" outlineLevel="2">
      <c r="A68" s="30"/>
      <c r="B68" s="30"/>
      <c r="C68" s="34" t="str">
        <f>IF(COUNTIF(FieldList1, "&lt;&gt;FALSE") = 0,"",SUBSTITUTE(LOWER(C57)," ","_") &amp;" = ")</f>
        <v/>
      </c>
      <c r="D68" s="33" t="str">
        <f>IF(COUNTIF(FieldList1, "&lt;&gt;FALSE") = 0,"","['"&amp;_xlfn.TEXTJOIN("', '", TRUE, _xlfn._xlws.FILTER(FieldRange,FieldList1&lt;&gt; FALSE, ""))&amp;"']")</f>
        <v/>
      </c>
    </row>
    <row r="69" spans="1:7" ht="14.4" hidden="1" customHeight="1" outlineLevel="2">
      <c r="A69" s="30"/>
      <c r="B69" s="30"/>
      <c r="C69" s="34" t="str">
        <f>IF(COUNTIF(FieldList2, "&lt;&gt;FALSE") = 0,"",SUBSTITUTE(LOWER(C58)," ","_")&amp;" = ")</f>
        <v/>
      </c>
      <c r="D69" s="33" t="str">
        <f>IF(COUNTIF(FieldList2, "&lt;&gt;FALSE") = 0,"","['"&amp;_xlfn.TEXTJOIN("', '", TRUE, _xlfn._xlws.FILTER(FieldRange,FieldList2&lt;&gt; FALSE, ""))&amp;"']")</f>
        <v/>
      </c>
    </row>
    <row r="70" spans="1:7" ht="14.4" hidden="1" customHeight="1" outlineLevel="2">
      <c r="A70" s="30"/>
      <c r="B70" s="30"/>
      <c r="C70" s="34" t="str">
        <f>IF(COUNTIF(FieldList3, "&lt;&gt;FALSE") = 0,"",SUBSTITUTE(LOWER(C59)," ","_")&amp;" = ")</f>
        <v/>
      </c>
      <c r="D70" s="33" t="str">
        <f>IF(COUNTIF(FieldList3, "&lt;&gt;FALSE") = 0,"","['"&amp;_xlfn.TEXTJOIN("', '", TRUE, _xlfn._xlws.FILTER(FieldRange,FieldList3&lt;&gt; FALSE, ""))&amp;"']")</f>
        <v/>
      </c>
    </row>
    <row r="71" spans="1:7" ht="14.4" hidden="1" customHeight="1" outlineLevel="2">
      <c r="A71" s="30"/>
      <c r="B71" s="30"/>
      <c r="C71" s="34" t="str">
        <f>IF(COUNTIF(FieldList4, "&lt;&gt;FALSE") = 0,"",SUBSTITUTE(LOWER(C60)," ","_")&amp;" = ")</f>
        <v/>
      </c>
      <c r="D71" s="33" t="str">
        <f>IF(COUNTIF(FieldList4, "&lt;&gt;FALSE") = 0,"","['"&amp;_xlfn.TEXTJOIN("', '", TRUE, _xlfn._xlws.FILTER(FieldRange,FieldList4&lt;&gt; FALSE, ""))&amp;"']")</f>
        <v/>
      </c>
    </row>
    <row r="72" spans="1:7" ht="14.4" hidden="1" customHeight="1" outlineLevel="2">
      <c r="A72" s="30"/>
      <c r="B72" s="30"/>
      <c r="C72" s="34" t="str">
        <f>IF(COUNTIF(FieldList5, "&lt;&gt;FALSE") = 0,"",SUBSTITUTE(LOWER(C61)," ","_")&amp;" = ")</f>
        <v/>
      </c>
      <c r="D72" s="33" t="str">
        <f>IF(COUNTIF(FieldList5, "&lt;&gt;FALSE") = 0,"","['"&amp;_xlfn.TEXTJOIN("', '", TRUE, _xlfn._xlws.FILTER(FieldRange,FieldList5&lt;&gt; FALSE, ""))&amp;"']")</f>
        <v/>
      </c>
    </row>
    <row r="73" spans="1:7" ht="13.8" hidden="1" customHeight="1" outlineLevel="2">
      <c r="A73" s="30"/>
      <c r="B73" s="30"/>
      <c r="C73" s="34" t="str">
        <f>IF(COUNTIF(FieldList6, "&lt;&gt;FALSE") = 0,"",SUBSTITUTE(LOWER(C62)," ","_")&amp;" = ")</f>
        <v/>
      </c>
      <c r="D73" s="33" t="str">
        <f>IF(COUNTIF(FieldList6, "&lt;&gt;FALSE") = 0,"","['"&amp;_xlfn.TEXTJOIN("', '", TRUE, _xlfn._xlws.FILTER(FieldRange,FieldList6&lt;&gt; FALSE, ""))&amp;"']")</f>
        <v/>
      </c>
    </row>
    <row r="74" spans="1:7" ht="13.8" hidden="1" customHeight="1" outlineLevel="2">
      <c r="A74" s="30"/>
      <c r="B74" s="30"/>
      <c r="C74" s="34" t="str">
        <f>IF(COUNTIF(FieldList7, "&lt;&gt;FALSE") = 0,"",SUBSTITUTE(LOWER(C63)," ","_")&amp;" = ")</f>
        <v/>
      </c>
      <c r="D74" s="33" t="str" cm="1">
        <f t="array" ref="D74">IF(COUNTIF(FieldList7, "&lt;&gt;FALSE") = 0,"","['"&amp;_xlfn.TEXTJOIN("', '", TRUE, _xlfn._xlws.FILTER(FieldRange,FieldList7&lt;&gt; FALSE, ""))&amp;"']")</f>
        <v/>
      </c>
    </row>
    <row r="75" spans="1:7" ht="13.8" hidden="1" customHeight="1" outlineLevel="2">
      <c r="A75" s="30"/>
      <c r="B75" s="30"/>
      <c r="C75" s="34" t="str">
        <f>IF(COUNTIF(FieldList8, "&lt;&gt;FALSE") = 0,"",SUBSTITUTE(LOWER(C64)," ","_")&amp;" = ")</f>
        <v/>
      </c>
      <c r="D75" s="33" t="str" cm="1">
        <f t="array" ref="D75">IF(COUNTIF(FieldList8, "&lt;&gt;FALSE") = 0,"","['"&amp;_xlfn.TEXTJOIN("', '", TRUE, _xlfn._xlws.FILTER(FieldRange,FieldList8&lt;&gt; FALSE, ""))&amp;"']")</f>
        <v/>
      </c>
    </row>
    <row r="76" spans="1:7" ht="14.4" hidden="1" customHeight="1" outlineLevel="2">
      <c r="B76" s="26"/>
      <c r="C76" s="44" t="str">
        <f>IF(COUNTIF(tbl_SourceData[Record List], "&lt;&gt;FALSE") = 0,"",SUBSTITUTE(LOWER(LightHeader)," ", "_") &amp;" = ")</f>
        <v/>
      </c>
      <c r="D76" s="33" t="str" cm="1">
        <f t="array" ref="D76">IF(COUNTIF(tbl_SourceData[Record List], "&lt;&gt;FALSE") = 0,"","['"&amp;_xlfn.TEXTJOIN("', '", TRUE, _xlfn._xlws.FILTER(_xlfn.TAKE(tbl_SourceData[],,-1), tbl_SourceData[Record List] &lt;&gt; FALSE, ""))&amp;"']")</f>
        <v/>
      </c>
    </row>
    <row r="77" spans="1:7" ht="4.95" hidden="1" customHeight="1" outlineLevel="2">
      <c r="B77" s="15"/>
      <c r="C77" s="27"/>
      <c r="D77" s="28"/>
      <c r="E77" s="28"/>
      <c r="F77" s="28"/>
    </row>
    <row r="78" spans="1:7" ht="30" customHeight="1" collapsed="1">
      <c r="C78" s="111" t="s">
        <v>21</v>
      </c>
      <c r="D78" s="29" t="s">
        <v>54</v>
      </c>
      <c r="E78" s="29" t="s">
        <v>55</v>
      </c>
      <c r="F78" s="29" t="s">
        <v>56</v>
      </c>
      <c r="G78" s="111" t="s">
        <v>20</v>
      </c>
    </row>
    <row r="79" spans="1:7">
      <c r="C79" s="31" t="b">
        <v>0</v>
      </c>
      <c r="D79" s="32">
        <v>3.6</v>
      </c>
      <c r="E79" s="32">
        <v>79</v>
      </c>
      <c r="F79" s="32" t="s">
        <v>61</v>
      </c>
      <c r="G79" s="67">
        <v>8.2075861383620198E+18</v>
      </c>
    </row>
    <row r="80" spans="1:7">
      <c r="C80" s="31" t="b">
        <v>0</v>
      </c>
      <c r="D80" s="32">
        <v>1.8</v>
      </c>
      <c r="E80" s="32">
        <v>54</v>
      </c>
      <c r="F80" s="32" t="s">
        <v>62</v>
      </c>
      <c r="G80" s="67">
        <v>1.4903679434123E+19</v>
      </c>
    </row>
    <row r="81" spans="3:7">
      <c r="C81" s="31" t="b">
        <v>0</v>
      </c>
      <c r="D81" s="32">
        <v>3.3330000000000002</v>
      </c>
      <c r="E81" s="32">
        <v>74</v>
      </c>
      <c r="F81" s="32" t="s">
        <v>61</v>
      </c>
      <c r="G81" s="67">
        <v>1.71263305478294E+19</v>
      </c>
    </row>
    <row r="82" spans="3:7">
      <c r="C82" s="31" t="b">
        <v>0</v>
      </c>
      <c r="D82" s="32">
        <v>2.2829999999999999</v>
      </c>
      <c r="E82" s="32">
        <v>62</v>
      </c>
      <c r="F82" s="32" t="s">
        <v>62</v>
      </c>
      <c r="G82" s="67">
        <v>1.8357277145486801E+19</v>
      </c>
    </row>
    <row r="83" spans="3:7">
      <c r="C83" s="31" t="b">
        <v>0</v>
      </c>
      <c r="D83" s="32">
        <v>4.5330000000000004</v>
      </c>
      <c r="E83" s="32">
        <v>85</v>
      </c>
      <c r="F83" s="32" t="s">
        <v>61</v>
      </c>
      <c r="G83" s="67">
        <v>2.8825733488474301E+18</v>
      </c>
    </row>
    <row r="84" spans="3:7">
      <c r="C84" s="31" t="b">
        <v>0</v>
      </c>
      <c r="D84" s="32">
        <v>2.883</v>
      </c>
      <c r="E84" s="32">
        <v>55</v>
      </c>
      <c r="F84" s="32" t="s">
        <v>62</v>
      </c>
      <c r="G84" s="67">
        <v>6.4468171832763402E+18</v>
      </c>
    </row>
    <row r="85" spans="3:7">
      <c r="C85" s="31" t="b">
        <v>0</v>
      </c>
      <c r="D85" s="32">
        <v>4.7</v>
      </c>
      <c r="E85" s="32">
        <v>88</v>
      </c>
      <c r="F85" s="32" t="s">
        <v>61</v>
      </c>
      <c r="G85" s="67">
        <v>2.7102676672574403E+18</v>
      </c>
    </row>
    <row r="86" spans="3:7">
      <c r="C86" s="31" t="b">
        <v>0</v>
      </c>
      <c r="D86" s="32">
        <v>3.6</v>
      </c>
      <c r="E86" s="32">
        <v>85</v>
      </c>
      <c r="F86" s="32" t="s">
        <v>61</v>
      </c>
      <c r="G86" s="67">
        <v>1.2077301466145599E+19</v>
      </c>
    </row>
    <row r="87" spans="3:7">
      <c r="C87" s="31" t="b">
        <v>0</v>
      </c>
      <c r="D87" s="32">
        <v>1.95</v>
      </c>
      <c r="E87" s="32">
        <v>51</v>
      </c>
      <c r="F87" s="32" t="s">
        <v>62</v>
      </c>
      <c r="G87" s="67">
        <v>1.2501438360380101E+19</v>
      </c>
    </row>
    <row r="88" spans="3:7">
      <c r="C88" s="31" t="b">
        <v>0</v>
      </c>
      <c r="D88" s="32">
        <v>4.3499999999999996</v>
      </c>
      <c r="E88" s="32">
        <v>85</v>
      </c>
      <c r="F88" s="32" t="s">
        <v>61</v>
      </c>
      <c r="G88" s="67">
        <v>9.3267938604714496E+18</v>
      </c>
    </row>
    <row r="89" spans="3:7">
      <c r="C89" s="31" t="b">
        <v>0</v>
      </c>
      <c r="D89" s="32">
        <v>1.833</v>
      </c>
      <c r="E89" s="32">
        <v>54</v>
      </c>
      <c r="F89" s="32" t="s">
        <v>62</v>
      </c>
      <c r="G89" s="67">
        <v>3.6744463207797702E+17</v>
      </c>
    </row>
    <row r="90" spans="3:7">
      <c r="C90" s="31" t="b">
        <v>0</v>
      </c>
      <c r="D90" s="32">
        <v>3.9169999999999998</v>
      </c>
      <c r="E90" s="32">
        <v>84</v>
      </c>
      <c r="F90" s="32" t="s">
        <v>61</v>
      </c>
      <c r="G90" s="67">
        <v>6.2822472602778102E+18</v>
      </c>
    </row>
    <row r="91" spans="3:7">
      <c r="C91" s="31" t="b">
        <v>0</v>
      </c>
      <c r="D91" s="32">
        <v>4.2</v>
      </c>
      <c r="E91" s="32">
        <v>78</v>
      </c>
      <c r="F91" s="32" t="s">
        <v>61</v>
      </c>
      <c r="G91" s="67">
        <v>1.6129335866135601E+18</v>
      </c>
    </row>
    <row r="92" spans="3:7">
      <c r="C92" s="31" t="b">
        <v>0</v>
      </c>
      <c r="D92" s="32">
        <v>1.75</v>
      </c>
      <c r="E92" s="32">
        <v>47</v>
      </c>
      <c r="F92" s="32" t="s">
        <v>62</v>
      </c>
      <c r="G92" s="67">
        <v>8.2236845977739203E+18</v>
      </c>
    </row>
    <row r="93" spans="3:7">
      <c r="C93" s="31" t="b">
        <v>0</v>
      </c>
      <c r="D93" s="32">
        <v>4.7</v>
      </c>
      <c r="E93" s="32">
        <v>83</v>
      </c>
      <c r="F93" s="32" t="s">
        <v>61</v>
      </c>
      <c r="G93" s="67">
        <v>8.0760016189633702E+17</v>
      </c>
    </row>
    <row r="94" spans="3:7">
      <c r="C94" s="31" t="b">
        <v>0</v>
      </c>
      <c r="D94" s="32">
        <v>2.1669999999999998</v>
      </c>
      <c r="E94" s="32">
        <v>52</v>
      </c>
      <c r="F94" s="32" t="s">
        <v>62</v>
      </c>
      <c r="G94" s="67">
        <v>8.2866103892626801E+18</v>
      </c>
    </row>
    <row r="95" spans="3:7">
      <c r="C95" s="31" t="b">
        <v>0</v>
      </c>
      <c r="D95" s="32">
        <v>1.75</v>
      </c>
      <c r="E95" s="32">
        <v>62</v>
      </c>
      <c r="F95" s="32" t="s">
        <v>62</v>
      </c>
      <c r="G95" s="67">
        <v>1.09876171253707E+19</v>
      </c>
    </row>
    <row r="96" spans="3:7">
      <c r="C96" s="31" t="b">
        <v>0</v>
      </c>
      <c r="D96" s="32">
        <v>4.8</v>
      </c>
      <c r="E96" s="32">
        <v>84</v>
      </c>
      <c r="F96" s="32" t="s">
        <v>61</v>
      </c>
      <c r="G96" s="67">
        <v>1.2342313563345199E+19</v>
      </c>
    </row>
    <row r="97" spans="3:7">
      <c r="C97" s="31" t="b">
        <v>0</v>
      </c>
      <c r="D97" s="32">
        <v>1.6</v>
      </c>
      <c r="E97" s="32">
        <v>52</v>
      </c>
      <c r="F97" s="32" t="s">
        <v>62</v>
      </c>
      <c r="G97" s="67">
        <v>1.8421303267283401E+19</v>
      </c>
    </row>
    <row r="98" spans="3:7">
      <c r="C98" s="31" t="b">
        <v>0</v>
      </c>
      <c r="D98" s="32">
        <v>4.25</v>
      </c>
      <c r="E98" s="32">
        <v>79</v>
      </c>
      <c r="F98" s="32" t="s">
        <v>61</v>
      </c>
      <c r="G98" s="67">
        <v>1.4745774391663301E+19</v>
      </c>
    </row>
    <row r="99" spans="3:7">
      <c r="C99" s="31" t="b">
        <v>0</v>
      </c>
      <c r="D99" s="32">
        <v>1.8</v>
      </c>
      <c r="E99" s="32">
        <v>51</v>
      </c>
      <c r="F99" s="32" t="s">
        <v>62</v>
      </c>
      <c r="G99" s="67">
        <v>1.17733177417402E+19</v>
      </c>
    </row>
    <row r="100" spans="3:7">
      <c r="C100" s="31" t="b">
        <v>0</v>
      </c>
      <c r="D100" s="32">
        <v>1.75</v>
      </c>
      <c r="E100" s="32">
        <v>47</v>
      </c>
      <c r="F100" s="32" t="s">
        <v>62</v>
      </c>
      <c r="G100" s="67">
        <v>8.2236845977739203E+18</v>
      </c>
    </row>
    <row r="101" spans="3:7">
      <c r="C101" s="31" t="b">
        <v>0</v>
      </c>
      <c r="D101" s="32">
        <v>3.45</v>
      </c>
      <c r="E101" s="32">
        <v>78</v>
      </c>
      <c r="F101" s="32" t="s">
        <v>61</v>
      </c>
      <c r="G101" s="67">
        <v>1.1865079406033701E+19</v>
      </c>
    </row>
    <row r="102" spans="3:7">
      <c r="C102" s="31" t="b">
        <v>0</v>
      </c>
      <c r="D102" s="32">
        <v>3.0670000000000002</v>
      </c>
      <c r="E102" s="32">
        <v>69</v>
      </c>
      <c r="F102" s="32" t="s">
        <v>61</v>
      </c>
      <c r="G102" s="67">
        <v>1.5830553126569699E+19</v>
      </c>
    </row>
    <row r="103" spans="3:7">
      <c r="C103" s="31" t="b">
        <v>0</v>
      </c>
      <c r="D103" s="32">
        <v>4.5330000000000004</v>
      </c>
      <c r="E103" s="32">
        <v>74</v>
      </c>
      <c r="F103" s="32" t="s">
        <v>61</v>
      </c>
      <c r="G103" s="67">
        <v>1.4027785951320001E+19</v>
      </c>
    </row>
    <row r="104" spans="3:7">
      <c r="C104" s="31" t="b">
        <v>0</v>
      </c>
      <c r="D104" s="32">
        <v>3.6</v>
      </c>
      <c r="E104" s="32">
        <v>83</v>
      </c>
      <c r="F104" s="32" t="s">
        <v>61</v>
      </c>
      <c r="G104" s="67">
        <v>1.27421590952662E+19</v>
      </c>
    </row>
    <row r="105" spans="3:7">
      <c r="C105" s="31" t="b">
        <v>0</v>
      </c>
      <c r="D105" s="32">
        <v>1.9670000000000001</v>
      </c>
      <c r="E105" s="32">
        <v>55</v>
      </c>
      <c r="F105" s="32" t="s">
        <v>62</v>
      </c>
      <c r="G105" s="67">
        <v>1.6646546215632599E+19</v>
      </c>
    </row>
    <row r="106" spans="3:7">
      <c r="C106" s="31" t="b">
        <v>0</v>
      </c>
      <c r="D106" s="32">
        <v>4.0830000000000002</v>
      </c>
      <c r="E106" s="32">
        <v>76</v>
      </c>
      <c r="F106" s="32" t="s">
        <v>61</v>
      </c>
      <c r="G106" s="67">
        <v>1.0208672466011601E+19</v>
      </c>
    </row>
    <row r="107" spans="3:7">
      <c r="C107" s="31" t="b">
        <v>0</v>
      </c>
      <c r="D107" s="32">
        <v>3.85</v>
      </c>
      <c r="E107" s="32">
        <v>78</v>
      </c>
      <c r="F107" s="32" t="s">
        <v>61</v>
      </c>
      <c r="G107" s="67">
        <v>1.79983052960937E+19</v>
      </c>
    </row>
    <row r="108" spans="3:7">
      <c r="C108" s="31" t="b">
        <v>0</v>
      </c>
      <c r="D108" s="32">
        <v>4.4329999999999998</v>
      </c>
      <c r="E108" s="32">
        <v>79</v>
      </c>
      <c r="F108" s="32" t="s">
        <v>61</v>
      </c>
      <c r="G108" s="67">
        <v>4.7735015130058895E+18</v>
      </c>
    </row>
    <row r="109" spans="3:7">
      <c r="C109" s="31" t="b">
        <v>0</v>
      </c>
      <c r="D109" s="32">
        <v>4.3</v>
      </c>
      <c r="E109" s="32">
        <v>73</v>
      </c>
      <c r="F109" s="32" t="s">
        <v>61</v>
      </c>
      <c r="G109" s="67">
        <v>1.6950085466281501E+19</v>
      </c>
    </row>
    <row r="110" spans="3:7">
      <c r="C110" s="31" t="b">
        <v>0</v>
      </c>
      <c r="D110" s="32">
        <v>4.4669999999999996</v>
      </c>
      <c r="E110" s="32">
        <v>77</v>
      </c>
      <c r="F110" s="32" t="s">
        <v>61</v>
      </c>
      <c r="G110" s="67">
        <v>7.1109316789924198E+18</v>
      </c>
    </row>
    <row r="111" spans="3:7">
      <c r="C111" s="31" t="b">
        <v>0</v>
      </c>
      <c r="D111" s="32">
        <v>3.367</v>
      </c>
      <c r="E111" s="32">
        <v>66</v>
      </c>
      <c r="F111" s="32" t="s">
        <v>62</v>
      </c>
      <c r="G111" s="67">
        <v>8.5635776101880003E+18</v>
      </c>
    </row>
    <row r="112" spans="3:7">
      <c r="C112" s="31" t="b">
        <v>0</v>
      </c>
      <c r="D112" s="32">
        <v>4.0330000000000004</v>
      </c>
      <c r="E112" s="32">
        <v>80</v>
      </c>
      <c r="F112" s="32" t="s">
        <v>61</v>
      </c>
      <c r="G112" s="67">
        <v>1.5487036371737E+19</v>
      </c>
    </row>
    <row r="113" spans="3:7">
      <c r="C113" s="31" t="b">
        <v>0</v>
      </c>
      <c r="D113" s="32">
        <v>3.8330000000000002</v>
      </c>
      <c r="E113" s="32">
        <v>74</v>
      </c>
      <c r="F113" s="32" t="s">
        <v>61</v>
      </c>
      <c r="G113" s="67">
        <v>1.4302658590113499E+19</v>
      </c>
    </row>
    <row r="114" spans="3:7">
      <c r="C114" s="31" t="b">
        <v>0</v>
      </c>
      <c r="D114" s="32">
        <v>2.0169999999999999</v>
      </c>
      <c r="E114" s="32">
        <v>52</v>
      </c>
      <c r="F114" s="32" t="s">
        <v>62</v>
      </c>
      <c r="G114" s="67">
        <v>1.0372544503630299E+19</v>
      </c>
    </row>
    <row r="115" spans="3:7">
      <c r="C115" s="31" t="b">
        <v>0</v>
      </c>
      <c r="D115" s="32">
        <v>1.867</v>
      </c>
      <c r="E115" s="32">
        <v>48</v>
      </c>
      <c r="F115" s="32" t="s">
        <v>62</v>
      </c>
      <c r="G115" s="67">
        <v>8.77269482749026E+18</v>
      </c>
    </row>
    <row r="116" spans="3:7">
      <c r="C116" s="31" t="b">
        <v>0</v>
      </c>
      <c r="D116" s="32">
        <v>4.8330000000000002</v>
      </c>
      <c r="E116" s="32">
        <v>80</v>
      </c>
      <c r="F116" s="32" t="s">
        <v>61</v>
      </c>
      <c r="G116" s="67">
        <v>1.3614853271007199E+19</v>
      </c>
    </row>
    <row r="117" spans="3:7">
      <c r="C117" s="31" t="b">
        <v>0</v>
      </c>
      <c r="D117" s="32">
        <v>1.833</v>
      </c>
      <c r="E117" s="32">
        <v>59</v>
      </c>
      <c r="F117" s="32" t="s">
        <v>62</v>
      </c>
      <c r="G117" s="67">
        <v>3.1178307410132301E+18</v>
      </c>
    </row>
    <row r="118" spans="3:7">
      <c r="C118" s="31" t="b">
        <v>0</v>
      </c>
      <c r="D118" s="32">
        <v>4.7830000000000004</v>
      </c>
      <c r="E118" s="32">
        <v>90</v>
      </c>
      <c r="F118" s="32" t="s">
        <v>61</v>
      </c>
      <c r="G118" s="67">
        <v>7.0288034045950198E+18</v>
      </c>
    </row>
    <row r="119" spans="3:7">
      <c r="C119" s="31" t="b">
        <v>0</v>
      </c>
      <c r="D119" s="32">
        <v>4.3499999999999996</v>
      </c>
      <c r="E119" s="32">
        <v>80</v>
      </c>
      <c r="F119" s="32" t="s">
        <v>61</v>
      </c>
      <c r="G119" s="67">
        <v>6.9999791047425905E+18</v>
      </c>
    </row>
    <row r="120" spans="3:7">
      <c r="C120" s="31" t="b">
        <v>0</v>
      </c>
      <c r="D120" s="32">
        <v>1.883</v>
      </c>
      <c r="E120" s="32">
        <v>58</v>
      </c>
      <c r="F120" s="32" t="s">
        <v>62</v>
      </c>
      <c r="G120" s="67">
        <v>9.53657282901777E+18</v>
      </c>
    </row>
    <row r="121" spans="3:7">
      <c r="C121" s="31" t="b">
        <v>0</v>
      </c>
      <c r="D121" s="32">
        <v>4.5670000000000002</v>
      </c>
      <c r="E121" s="32">
        <v>84</v>
      </c>
      <c r="F121" s="32" t="s">
        <v>61</v>
      </c>
      <c r="G121" s="67">
        <v>7.4210772060238797E+18</v>
      </c>
    </row>
    <row r="122" spans="3:7">
      <c r="C122" s="31" t="b">
        <v>0</v>
      </c>
      <c r="D122" s="32">
        <v>1.75</v>
      </c>
      <c r="E122" s="32">
        <v>58</v>
      </c>
      <c r="F122" s="32" t="s">
        <v>62</v>
      </c>
      <c r="G122" s="67">
        <v>1.8276922652369601E+19</v>
      </c>
    </row>
    <row r="123" spans="3:7">
      <c r="C123" s="31" t="b">
        <v>0</v>
      </c>
      <c r="D123" s="32">
        <v>4.5330000000000004</v>
      </c>
      <c r="E123" s="32">
        <v>73</v>
      </c>
      <c r="F123" s="32" t="s">
        <v>61</v>
      </c>
      <c r="G123" s="67">
        <v>8.9348886255042703E+18</v>
      </c>
    </row>
    <row r="124" spans="3:7">
      <c r="C124" s="31" t="b">
        <v>0</v>
      </c>
      <c r="D124" s="32">
        <v>3.3170000000000002</v>
      </c>
      <c r="E124" s="32">
        <v>83</v>
      </c>
      <c r="F124" s="32" t="s">
        <v>61</v>
      </c>
      <c r="G124" s="67">
        <v>1.41461511017124E+19</v>
      </c>
    </row>
    <row r="125" spans="3:7">
      <c r="C125" s="31" t="b">
        <v>0</v>
      </c>
      <c r="D125" s="32">
        <v>3.8330000000000002</v>
      </c>
      <c r="E125" s="32">
        <v>64</v>
      </c>
      <c r="F125" s="32" t="s">
        <v>62</v>
      </c>
      <c r="G125" s="67">
        <v>1.3087368272735799E+19</v>
      </c>
    </row>
    <row r="126" spans="3:7">
      <c r="C126" s="31" t="b">
        <v>0</v>
      </c>
      <c r="D126" s="32">
        <v>2.1</v>
      </c>
      <c r="E126" s="32">
        <v>53</v>
      </c>
      <c r="F126" s="32" t="s">
        <v>62</v>
      </c>
      <c r="G126" s="67">
        <v>1.66955528599261E+19</v>
      </c>
    </row>
    <row r="127" spans="3:7">
      <c r="C127" s="31" t="b">
        <v>0</v>
      </c>
      <c r="D127" s="32">
        <v>4.633</v>
      </c>
      <c r="E127" s="32">
        <v>82</v>
      </c>
      <c r="F127" s="32" t="s">
        <v>61</v>
      </c>
      <c r="G127" s="67">
        <v>7.40915330072128E+18</v>
      </c>
    </row>
    <row r="128" spans="3:7">
      <c r="C128" s="31" t="b">
        <v>0</v>
      </c>
      <c r="D128" s="32">
        <v>2</v>
      </c>
      <c r="E128" s="32">
        <v>59</v>
      </c>
      <c r="F128" s="32" t="s">
        <v>62</v>
      </c>
      <c r="G128" s="67">
        <v>1.7317544591190301E+19</v>
      </c>
    </row>
    <row r="129" spans="3:7">
      <c r="C129" s="31" t="b">
        <v>0</v>
      </c>
      <c r="D129" s="32">
        <v>4.8</v>
      </c>
      <c r="E129" s="32">
        <v>75</v>
      </c>
      <c r="F129" s="32" t="s">
        <v>61</v>
      </c>
      <c r="G129" s="67">
        <v>1.4557794117782E+19</v>
      </c>
    </row>
    <row r="130" spans="3:7">
      <c r="C130" s="31" t="b">
        <v>0</v>
      </c>
      <c r="D130" s="32">
        <v>4.7160000000000002</v>
      </c>
      <c r="E130" s="32">
        <v>90</v>
      </c>
      <c r="F130" s="32" t="s">
        <v>61</v>
      </c>
      <c r="G130" s="67">
        <v>4.6337070499865395E+18</v>
      </c>
    </row>
    <row r="131" spans="3:7">
      <c r="C131" s="31" t="b">
        <v>0</v>
      </c>
      <c r="D131" s="32">
        <v>1.833</v>
      </c>
      <c r="E131" s="32">
        <v>54</v>
      </c>
      <c r="F131" s="32" t="s">
        <v>62</v>
      </c>
      <c r="G131" s="67">
        <v>3.6744463207797702E+17</v>
      </c>
    </row>
    <row r="132" spans="3:7">
      <c r="C132" s="31" t="b">
        <v>0</v>
      </c>
      <c r="D132" s="32">
        <v>4.8330000000000002</v>
      </c>
      <c r="E132" s="32">
        <v>80</v>
      </c>
      <c r="F132" s="32" t="s">
        <v>61</v>
      </c>
      <c r="G132" s="67">
        <v>1.3614853271007199E+19</v>
      </c>
    </row>
    <row r="133" spans="3:7">
      <c r="C133" s="31" t="b">
        <v>0</v>
      </c>
      <c r="D133" s="32">
        <v>1.7330000000000001</v>
      </c>
      <c r="E133" s="32">
        <v>54</v>
      </c>
      <c r="F133" s="32" t="s">
        <v>62</v>
      </c>
      <c r="G133" s="67">
        <v>4.5510657608925199E+18</v>
      </c>
    </row>
    <row r="134" spans="3:7">
      <c r="C134" s="31" t="b">
        <v>0</v>
      </c>
      <c r="D134" s="32">
        <v>4.883</v>
      </c>
      <c r="E134" s="32">
        <v>83</v>
      </c>
      <c r="F134" s="32" t="s">
        <v>61</v>
      </c>
      <c r="G134" s="67">
        <v>1.2457075248417901E+19</v>
      </c>
    </row>
    <row r="135" spans="3:7">
      <c r="C135" s="31" t="b">
        <v>0</v>
      </c>
      <c r="D135" s="32">
        <v>3.7170000000000001</v>
      </c>
      <c r="E135" s="32">
        <v>71</v>
      </c>
      <c r="F135" s="32" t="s">
        <v>61</v>
      </c>
      <c r="G135" s="67">
        <v>1.0522596276509399E+19</v>
      </c>
    </row>
    <row r="136" spans="3:7">
      <c r="C136" s="31" t="b">
        <v>0</v>
      </c>
      <c r="D136" s="32">
        <v>1.66699999999999</v>
      </c>
      <c r="E136" s="32">
        <v>64</v>
      </c>
      <c r="F136" s="32" t="s">
        <v>62</v>
      </c>
      <c r="G136" s="67">
        <v>6.8532720159608801E+18</v>
      </c>
    </row>
    <row r="137" spans="3:7">
      <c r="C137" s="31" t="b">
        <v>0</v>
      </c>
      <c r="D137" s="32">
        <v>4.5670000000000002</v>
      </c>
      <c r="E137" s="32">
        <v>77</v>
      </c>
      <c r="F137" s="32" t="s">
        <v>61</v>
      </c>
      <c r="G137" s="67">
        <v>8.1029061690877901E+18</v>
      </c>
    </row>
    <row r="138" spans="3:7">
      <c r="C138" s="31" t="b">
        <v>0</v>
      </c>
      <c r="D138" s="32">
        <v>4.3170000000000002</v>
      </c>
      <c r="E138" s="32">
        <v>81</v>
      </c>
      <c r="F138" s="32" t="s">
        <v>61</v>
      </c>
      <c r="G138" s="67">
        <v>1.30508682186867E+19</v>
      </c>
    </row>
    <row r="139" spans="3:7">
      <c r="C139" s="31" t="b">
        <v>0</v>
      </c>
      <c r="D139" s="32">
        <v>2.2330000000000001</v>
      </c>
      <c r="E139" s="32">
        <v>59</v>
      </c>
      <c r="F139" s="32" t="s">
        <v>62</v>
      </c>
      <c r="G139" s="67">
        <v>1.4232733327367899E+19</v>
      </c>
    </row>
    <row r="140" spans="3:7">
      <c r="C140" s="31" t="b">
        <v>0</v>
      </c>
      <c r="D140" s="32">
        <v>4.5</v>
      </c>
      <c r="E140" s="32">
        <v>84</v>
      </c>
      <c r="F140" s="32" t="s">
        <v>61</v>
      </c>
      <c r="G140" s="67">
        <v>4.6482436588529101E+18</v>
      </c>
    </row>
    <row r="141" spans="3:7">
      <c r="C141" s="31" t="b">
        <v>0</v>
      </c>
      <c r="D141" s="32">
        <v>1.75</v>
      </c>
      <c r="E141" s="32">
        <v>48</v>
      </c>
      <c r="F141" s="32" t="s">
        <v>62</v>
      </c>
      <c r="G141" s="67">
        <v>4.6466065756215695E+18</v>
      </c>
    </row>
    <row r="142" spans="3:7">
      <c r="C142" s="31" t="b">
        <v>0</v>
      </c>
      <c r="D142" s="32">
        <v>4.8</v>
      </c>
      <c r="E142" s="32">
        <v>82</v>
      </c>
      <c r="F142" s="32" t="s">
        <v>61</v>
      </c>
      <c r="G142" s="67">
        <v>1.14238097630259E+19</v>
      </c>
    </row>
    <row r="143" spans="3:7">
      <c r="C143" s="31" t="b">
        <v>0</v>
      </c>
      <c r="D143" s="32">
        <v>1.8169999999999999</v>
      </c>
      <c r="E143" s="32">
        <v>60</v>
      </c>
      <c r="F143" s="32" t="s">
        <v>62</v>
      </c>
      <c r="G143" s="67">
        <v>1.8036026708763099E+19</v>
      </c>
    </row>
    <row r="144" spans="3:7">
      <c r="C144" s="31" t="b">
        <v>0</v>
      </c>
      <c r="D144" s="32">
        <v>4.4000000000000004</v>
      </c>
      <c r="E144" s="32">
        <v>92</v>
      </c>
      <c r="F144" s="32" t="s">
        <v>61</v>
      </c>
      <c r="G144" s="67">
        <v>6.2905238472124099E+18</v>
      </c>
    </row>
    <row r="145" spans="3:7">
      <c r="C145" s="31" t="b">
        <v>0</v>
      </c>
      <c r="D145" s="32">
        <v>4.1669999999999998</v>
      </c>
      <c r="E145" s="32">
        <v>78</v>
      </c>
      <c r="F145" s="32" t="s">
        <v>61</v>
      </c>
      <c r="G145" s="67">
        <v>1.77550525944953E+19</v>
      </c>
    </row>
    <row r="146" spans="3:7">
      <c r="C146" s="31" t="b">
        <v>0</v>
      </c>
      <c r="D146" s="32">
        <v>4.7</v>
      </c>
      <c r="E146" s="32">
        <v>78</v>
      </c>
      <c r="F146" s="32" t="s">
        <v>61</v>
      </c>
      <c r="G146" s="67">
        <v>1.7577502781503799E+19</v>
      </c>
    </row>
    <row r="147" spans="3:7">
      <c r="C147" s="31" t="b">
        <v>0</v>
      </c>
      <c r="D147" s="32">
        <v>2.0670000000000002</v>
      </c>
      <c r="E147" s="32">
        <v>65</v>
      </c>
      <c r="F147" s="32" t="s">
        <v>62</v>
      </c>
      <c r="G147" s="67">
        <v>1.77831000725678E+19</v>
      </c>
    </row>
    <row r="148" spans="3:7">
      <c r="C148" s="31" t="b">
        <v>0</v>
      </c>
      <c r="D148" s="32">
        <v>4.7</v>
      </c>
      <c r="E148" s="32">
        <v>73</v>
      </c>
      <c r="F148" s="32" t="s">
        <v>61</v>
      </c>
      <c r="G148" s="67">
        <v>8.06505203242159E+18</v>
      </c>
    </row>
    <row r="149" spans="3:7">
      <c r="C149" s="31" t="b">
        <v>0</v>
      </c>
      <c r="D149" s="32">
        <v>4.0330000000000004</v>
      </c>
      <c r="E149" s="32">
        <v>82</v>
      </c>
      <c r="F149" s="32" t="s">
        <v>61</v>
      </c>
      <c r="G149" s="67">
        <v>3.1132439107322199E+18</v>
      </c>
    </row>
    <row r="150" spans="3:7">
      <c r="C150" s="31" t="b">
        <v>0</v>
      </c>
      <c r="D150" s="32">
        <v>1.9670000000000001</v>
      </c>
      <c r="E150" s="32">
        <v>56</v>
      </c>
      <c r="F150" s="32" t="s">
        <v>62</v>
      </c>
      <c r="G150" s="67">
        <v>1.50312565150225E+19</v>
      </c>
    </row>
    <row r="151" spans="3:7">
      <c r="C151" s="31" t="b">
        <v>0</v>
      </c>
      <c r="D151" s="32">
        <v>4.5</v>
      </c>
      <c r="E151" s="32">
        <v>79</v>
      </c>
      <c r="F151" s="32" t="s">
        <v>61</v>
      </c>
      <c r="G151" s="67">
        <v>5.3397151212803901E+18</v>
      </c>
    </row>
    <row r="152" spans="3:7">
      <c r="C152" s="31" t="b">
        <v>0</v>
      </c>
      <c r="D152" s="32">
        <v>4</v>
      </c>
      <c r="E152" s="32">
        <v>71</v>
      </c>
      <c r="F152" s="32" t="s">
        <v>61</v>
      </c>
      <c r="G152" s="67">
        <v>1.3124251403954201E+19</v>
      </c>
    </row>
    <row r="153" spans="3:7">
      <c r="C153" s="31" t="b">
        <v>0</v>
      </c>
      <c r="D153" s="32">
        <v>1.9830000000000001</v>
      </c>
      <c r="E153" s="32">
        <v>62</v>
      </c>
      <c r="F153" s="32" t="s">
        <v>62</v>
      </c>
      <c r="G153" s="67">
        <v>1.2740771507690799E+19</v>
      </c>
    </row>
    <row r="154" spans="3:7">
      <c r="C154" s="31" t="b">
        <v>0</v>
      </c>
      <c r="D154" s="32">
        <v>5.0670000000000002</v>
      </c>
      <c r="E154" s="32">
        <v>76</v>
      </c>
      <c r="F154" s="32" t="s">
        <v>61</v>
      </c>
      <c r="G154" s="67">
        <v>1.30603483962094E+19</v>
      </c>
    </row>
    <row r="155" spans="3:7">
      <c r="C155" s="31" t="b">
        <v>0</v>
      </c>
      <c r="D155" s="32">
        <v>2.0169999999999999</v>
      </c>
      <c r="E155" s="32">
        <v>60</v>
      </c>
      <c r="F155" s="32" t="s">
        <v>62</v>
      </c>
      <c r="G155" s="67">
        <v>6.5531800528065198E+18</v>
      </c>
    </row>
    <row r="156" spans="3:7">
      <c r="C156" s="31" t="b">
        <v>0</v>
      </c>
      <c r="D156" s="32">
        <v>4.5670000000000002</v>
      </c>
      <c r="E156" s="32">
        <v>78</v>
      </c>
      <c r="F156" s="32" t="s">
        <v>61</v>
      </c>
      <c r="G156" s="67">
        <v>1.41279071169164E+19</v>
      </c>
    </row>
    <row r="157" spans="3:7">
      <c r="C157" s="31" t="b">
        <v>0</v>
      </c>
      <c r="D157" s="32">
        <v>3.883</v>
      </c>
      <c r="E157" s="32">
        <v>76</v>
      </c>
      <c r="F157" s="32" t="s">
        <v>61</v>
      </c>
      <c r="G157" s="67">
        <v>1.07946950331081E+18</v>
      </c>
    </row>
    <row r="158" spans="3:7">
      <c r="C158" s="31" t="b">
        <v>0</v>
      </c>
      <c r="D158" s="32">
        <v>3.6</v>
      </c>
      <c r="E158" s="32">
        <v>83</v>
      </c>
      <c r="F158" s="32" t="s">
        <v>61</v>
      </c>
      <c r="G158" s="67">
        <v>1.27421590952662E+19</v>
      </c>
    </row>
    <row r="159" spans="3:7">
      <c r="C159" s="31" t="b">
        <v>0</v>
      </c>
      <c r="D159" s="32">
        <v>4.133</v>
      </c>
      <c r="E159" s="32">
        <v>75</v>
      </c>
      <c r="F159" s="32" t="s">
        <v>61</v>
      </c>
      <c r="G159" s="67">
        <v>1.3997644508128299E+19</v>
      </c>
    </row>
    <row r="160" spans="3:7">
      <c r="C160" s="31" t="b">
        <v>0</v>
      </c>
      <c r="D160" s="32">
        <v>4.3330000000000002</v>
      </c>
      <c r="E160" s="32">
        <v>82</v>
      </c>
      <c r="F160" s="32" t="s">
        <v>61</v>
      </c>
      <c r="G160" s="67">
        <v>5.8157752590580398E+18</v>
      </c>
    </row>
    <row r="161" spans="3:7">
      <c r="C161" s="31" t="b">
        <v>0</v>
      </c>
      <c r="D161" s="32">
        <v>4.0999999999999996</v>
      </c>
      <c r="E161" s="32">
        <v>70</v>
      </c>
      <c r="F161" s="32" t="s">
        <v>61</v>
      </c>
      <c r="G161" s="67">
        <v>1.28896930453318E+19</v>
      </c>
    </row>
    <row r="162" spans="3:7">
      <c r="C162" s="31" t="b">
        <v>0</v>
      </c>
      <c r="D162" s="32">
        <v>2.633</v>
      </c>
      <c r="E162" s="32">
        <v>65</v>
      </c>
      <c r="F162" s="32" t="s">
        <v>62</v>
      </c>
      <c r="G162" s="67">
        <v>8.3598846273820303E+18</v>
      </c>
    </row>
    <row r="163" spans="3:7">
      <c r="C163" s="31" t="b">
        <v>0</v>
      </c>
      <c r="D163" s="32">
        <v>4.0670000000000002</v>
      </c>
      <c r="E163" s="32">
        <v>73</v>
      </c>
      <c r="F163" s="32" t="s">
        <v>61</v>
      </c>
      <c r="G163" s="67">
        <v>1.6552093344224899E+19</v>
      </c>
    </row>
    <row r="164" spans="3:7">
      <c r="C164" s="31" t="b">
        <v>0</v>
      </c>
      <c r="D164" s="32">
        <v>4.9329999999999998</v>
      </c>
      <c r="E164" s="32">
        <v>88</v>
      </c>
      <c r="F164" s="32" t="s">
        <v>61</v>
      </c>
      <c r="G164" s="67">
        <v>1.60387759327733E+19</v>
      </c>
    </row>
    <row r="165" spans="3:7">
      <c r="C165" s="31" t="b">
        <v>0</v>
      </c>
      <c r="D165" s="32">
        <v>3.95</v>
      </c>
      <c r="E165" s="32">
        <v>76</v>
      </c>
      <c r="F165" s="32" t="s">
        <v>61</v>
      </c>
      <c r="G165" s="67">
        <v>7.7812525533511096E+18</v>
      </c>
    </row>
    <row r="166" spans="3:7">
      <c r="C166" s="31" t="b">
        <v>0</v>
      </c>
      <c r="D166" s="32">
        <v>4.5170000000000003</v>
      </c>
      <c r="E166" s="32">
        <v>80</v>
      </c>
      <c r="F166" s="32" t="s">
        <v>61</v>
      </c>
      <c r="G166" s="67">
        <v>2.91519294620205E+18</v>
      </c>
    </row>
    <row r="167" spans="3:7">
      <c r="C167" s="31" t="b">
        <v>0</v>
      </c>
      <c r="D167" s="32">
        <v>2.1669999999999998</v>
      </c>
      <c r="E167" s="32">
        <v>48</v>
      </c>
      <c r="F167" s="32" t="s">
        <v>62</v>
      </c>
      <c r="G167" s="67">
        <v>3.86010006054594E+18</v>
      </c>
    </row>
    <row r="168" spans="3:7">
      <c r="C168" s="31" t="b">
        <v>0</v>
      </c>
      <c r="D168" s="32">
        <v>4</v>
      </c>
      <c r="E168" s="32">
        <v>86</v>
      </c>
      <c r="F168" s="32" t="s">
        <v>61</v>
      </c>
      <c r="G168" s="67">
        <v>1.30568494902073E+19</v>
      </c>
    </row>
    <row r="169" spans="3:7">
      <c r="C169" s="31" t="b">
        <v>0</v>
      </c>
      <c r="D169" s="32">
        <v>2.2000000000000002</v>
      </c>
      <c r="E169" s="32">
        <v>60</v>
      </c>
      <c r="F169" s="32" t="s">
        <v>62</v>
      </c>
      <c r="G169" s="67">
        <v>1.5126039407587E+19</v>
      </c>
    </row>
    <row r="170" spans="3:7">
      <c r="C170" s="31" t="b">
        <v>0</v>
      </c>
      <c r="D170" s="32">
        <v>4.3330000000000002</v>
      </c>
      <c r="E170" s="32">
        <v>90</v>
      </c>
      <c r="F170" s="32" t="s">
        <v>61</v>
      </c>
      <c r="G170" s="67">
        <v>1.27377952834601E+19</v>
      </c>
    </row>
    <row r="171" spans="3:7">
      <c r="C171" s="31" t="b">
        <v>0</v>
      </c>
      <c r="D171" s="32">
        <v>1.867</v>
      </c>
      <c r="E171" s="32">
        <v>50</v>
      </c>
      <c r="F171" s="32" t="s">
        <v>62</v>
      </c>
      <c r="G171" s="67">
        <v>9.21597928604497E+18</v>
      </c>
    </row>
    <row r="172" spans="3:7">
      <c r="C172" s="31" t="b">
        <v>0</v>
      </c>
      <c r="D172" s="32">
        <v>4.8170000000000002</v>
      </c>
      <c r="E172" s="32">
        <v>78</v>
      </c>
      <c r="F172" s="32" t="s">
        <v>61</v>
      </c>
      <c r="G172" s="67">
        <v>1.0564035386100099E+19</v>
      </c>
    </row>
    <row r="173" spans="3:7">
      <c r="C173" s="31" t="b">
        <v>0</v>
      </c>
      <c r="D173" s="32">
        <v>1.833</v>
      </c>
      <c r="E173" s="32">
        <v>63</v>
      </c>
      <c r="F173" s="32" t="s">
        <v>62</v>
      </c>
      <c r="G173" s="67">
        <v>5.0907027633707602E+18</v>
      </c>
    </row>
    <row r="174" spans="3:7">
      <c r="C174" s="31" t="b">
        <v>0</v>
      </c>
      <c r="D174" s="32">
        <v>4.3</v>
      </c>
      <c r="E174" s="32">
        <v>72</v>
      </c>
      <c r="F174" s="32" t="s">
        <v>61</v>
      </c>
      <c r="G174" s="67">
        <v>1.3083556765376201E+19</v>
      </c>
    </row>
    <row r="175" spans="3:7">
      <c r="C175" s="31" t="b">
        <v>0</v>
      </c>
      <c r="D175" s="32">
        <v>4.6669999999999998</v>
      </c>
      <c r="E175" s="32">
        <v>84</v>
      </c>
      <c r="F175" s="32" t="s">
        <v>61</v>
      </c>
      <c r="G175" s="67">
        <v>1.28817296181741E+18</v>
      </c>
    </row>
    <row r="176" spans="3:7">
      <c r="C176" s="31" t="b">
        <v>0</v>
      </c>
      <c r="D176" s="32">
        <v>3.75</v>
      </c>
      <c r="E176" s="32">
        <v>75</v>
      </c>
      <c r="F176" s="32" t="s">
        <v>61</v>
      </c>
      <c r="G176" s="67">
        <v>5.5462159548751002E+18</v>
      </c>
    </row>
    <row r="177" spans="3:7">
      <c r="C177" s="31" t="b">
        <v>0</v>
      </c>
      <c r="D177" s="32">
        <v>1.867</v>
      </c>
      <c r="E177" s="32">
        <v>51</v>
      </c>
      <c r="F177" s="32" t="s">
        <v>62</v>
      </c>
      <c r="G177" s="67">
        <v>1.68431888374563E+19</v>
      </c>
    </row>
    <row r="178" spans="3:7">
      <c r="C178" s="31" t="b">
        <v>0</v>
      </c>
      <c r="D178" s="32">
        <v>4.9000000000000004</v>
      </c>
      <c r="E178" s="32">
        <v>82</v>
      </c>
      <c r="F178" s="32" t="s">
        <v>61</v>
      </c>
      <c r="G178" s="67">
        <v>8.8464388800552602E+18</v>
      </c>
    </row>
    <row r="179" spans="3:7">
      <c r="C179" s="31" t="b">
        <v>0</v>
      </c>
      <c r="D179" s="32">
        <v>2.4830000000000001</v>
      </c>
      <c r="E179" s="32">
        <v>62</v>
      </c>
      <c r="F179" s="32" t="s">
        <v>62</v>
      </c>
      <c r="G179" s="67">
        <v>1.35727876602176E+19</v>
      </c>
    </row>
    <row r="180" spans="3:7">
      <c r="C180" s="31" t="b">
        <v>0</v>
      </c>
      <c r="D180" s="32">
        <v>4.367</v>
      </c>
      <c r="E180" s="32">
        <v>88</v>
      </c>
      <c r="F180" s="32" t="s">
        <v>61</v>
      </c>
      <c r="G180" s="67">
        <v>5.4357696770303501E+17</v>
      </c>
    </row>
    <row r="181" spans="3:7">
      <c r="C181" s="31" t="b">
        <v>0</v>
      </c>
      <c r="D181" s="32">
        <v>2.1</v>
      </c>
      <c r="E181" s="32">
        <v>49</v>
      </c>
      <c r="F181" s="32" t="s">
        <v>62</v>
      </c>
      <c r="G181" s="67">
        <v>1.62559887871121E+19</v>
      </c>
    </row>
    <row r="182" spans="3:7">
      <c r="C182" s="31" t="b">
        <v>0</v>
      </c>
      <c r="D182" s="32">
        <v>4.5</v>
      </c>
      <c r="E182" s="32">
        <v>83</v>
      </c>
      <c r="F182" s="32" t="s">
        <v>61</v>
      </c>
      <c r="G182" s="67">
        <v>1.5374453974758101E+19</v>
      </c>
    </row>
    <row r="183" spans="3:7">
      <c r="C183" s="31" t="b">
        <v>0</v>
      </c>
      <c r="D183" s="32">
        <v>4.05</v>
      </c>
      <c r="E183" s="32">
        <v>81</v>
      </c>
      <c r="F183" s="32" t="s">
        <v>61</v>
      </c>
      <c r="G183" s="67">
        <v>8.5440240311547699E+18</v>
      </c>
    </row>
    <row r="184" spans="3:7">
      <c r="C184" s="31" t="b">
        <v>0</v>
      </c>
      <c r="D184" s="32">
        <v>1.867</v>
      </c>
      <c r="E184" s="32">
        <v>47</v>
      </c>
      <c r="F184" s="32" t="s">
        <v>62</v>
      </c>
      <c r="G184" s="67">
        <v>1.2931096147444099E+19</v>
      </c>
    </row>
    <row r="185" spans="3:7">
      <c r="C185" s="31" t="b">
        <v>0</v>
      </c>
      <c r="D185" s="32">
        <v>4.7</v>
      </c>
      <c r="E185" s="32">
        <v>84</v>
      </c>
      <c r="F185" s="32" t="s">
        <v>61</v>
      </c>
      <c r="G185" s="67">
        <v>1.40547590281293E+19</v>
      </c>
    </row>
    <row r="186" spans="3:7">
      <c r="C186" s="31" t="b">
        <v>0</v>
      </c>
      <c r="D186" s="32">
        <v>1.7829999999999999</v>
      </c>
      <c r="E186" s="32">
        <v>52</v>
      </c>
      <c r="F186" s="32" t="s">
        <v>62</v>
      </c>
      <c r="G186" s="67">
        <v>1.71032824045317E+19</v>
      </c>
    </row>
    <row r="187" spans="3:7">
      <c r="C187" s="31" t="b">
        <v>0</v>
      </c>
      <c r="D187" s="32">
        <v>4.8499999999999996</v>
      </c>
      <c r="E187" s="32">
        <v>86</v>
      </c>
      <c r="F187" s="32" t="s">
        <v>61</v>
      </c>
      <c r="G187" s="67">
        <v>1.31710055844968E+19</v>
      </c>
    </row>
    <row r="188" spans="3:7">
      <c r="C188" s="31" t="b">
        <v>0</v>
      </c>
      <c r="D188" s="32">
        <v>3.6829999999999998</v>
      </c>
      <c r="E188" s="32">
        <v>81</v>
      </c>
      <c r="F188" s="32" t="s">
        <v>61</v>
      </c>
      <c r="G188" s="67">
        <v>1.7748319875580299E+19</v>
      </c>
    </row>
    <row r="189" spans="3:7">
      <c r="C189" s="31" t="b">
        <v>0</v>
      </c>
      <c r="D189" s="32">
        <v>4.7329999999999997</v>
      </c>
      <c r="E189" s="32">
        <v>75</v>
      </c>
      <c r="F189" s="32" t="s">
        <v>61</v>
      </c>
      <c r="G189" s="67">
        <v>4.5234567272974802E+18</v>
      </c>
    </row>
    <row r="190" spans="3:7">
      <c r="C190" s="31" t="b">
        <v>0</v>
      </c>
      <c r="D190" s="32">
        <v>2.2999999999999998</v>
      </c>
      <c r="E190" s="32">
        <v>59</v>
      </c>
      <c r="F190" s="32" t="s">
        <v>62</v>
      </c>
      <c r="G190" s="67">
        <v>1.7227150797431501E+19</v>
      </c>
    </row>
    <row r="191" spans="3:7">
      <c r="C191" s="31" t="b">
        <v>0</v>
      </c>
      <c r="D191" s="32">
        <v>4.9000000000000004</v>
      </c>
      <c r="E191" s="32">
        <v>89</v>
      </c>
      <c r="F191" s="32" t="s">
        <v>61</v>
      </c>
      <c r="G191" s="67">
        <v>3.4937731244344003E+18</v>
      </c>
    </row>
    <row r="192" spans="3:7">
      <c r="C192" s="31" t="b">
        <v>0</v>
      </c>
      <c r="D192" s="32">
        <v>4.4169999999999998</v>
      </c>
      <c r="E192" s="32">
        <v>79</v>
      </c>
      <c r="F192" s="32" t="s">
        <v>61</v>
      </c>
      <c r="G192" s="67">
        <v>2.4274470439494098E+18</v>
      </c>
    </row>
    <row r="193" spans="3:7">
      <c r="C193" s="31" t="b">
        <v>0</v>
      </c>
      <c r="D193" s="32">
        <v>1.7</v>
      </c>
      <c r="E193" s="32">
        <v>59</v>
      </c>
      <c r="F193" s="32" t="s">
        <v>62</v>
      </c>
      <c r="G193" s="67">
        <v>8.5096636704752896E+18</v>
      </c>
    </row>
    <row r="194" spans="3:7">
      <c r="C194" s="31" t="b">
        <v>0</v>
      </c>
      <c r="D194" s="32">
        <v>4.633</v>
      </c>
      <c r="E194" s="32">
        <v>81</v>
      </c>
      <c r="F194" s="32" t="s">
        <v>61</v>
      </c>
      <c r="G194" s="67">
        <v>1.0532965436087599E+19</v>
      </c>
    </row>
    <row r="195" spans="3:7">
      <c r="C195" s="31" t="b">
        <v>0</v>
      </c>
      <c r="D195" s="32">
        <v>2.3170000000000002</v>
      </c>
      <c r="E195" s="32">
        <v>50</v>
      </c>
      <c r="F195" s="32" t="s">
        <v>62</v>
      </c>
      <c r="G195" s="67">
        <v>1.66687376415697E+18</v>
      </c>
    </row>
    <row r="196" spans="3:7">
      <c r="C196" s="31" t="b">
        <v>0</v>
      </c>
      <c r="D196" s="32">
        <v>4.5999999999999996</v>
      </c>
      <c r="E196" s="32">
        <v>85</v>
      </c>
      <c r="F196" s="32" t="s">
        <v>61</v>
      </c>
      <c r="G196" s="67">
        <v>4.46079604674336E+18</v>
      </c>
    </row>
    <row r="197" spans="3:7">
      <c r="C197" s="31" t="b">
        <v>0</v>
      </c>
      <c r="D197" s="32">
        <v>1.8169999999999999</v>
      </c>
      <c r="E197" s="32">
        <v>59</v>
      </c>
      <c r="F197" s="32" t="s">
        <v>62</v>
      </c>
      <c r="G197" s="67">
        <v>1.66001243895593E+19</v>
      </c>
    </row>
    <row r="198" spans="3:7">
      <c r="C198" s="31" t="b">
        <v>0</v>
      </c>
      <c r="D198" s="32">
        <v>4.4169999999999998</v>
      </c>
      <c r="E198" s="32">
        <v>87</v>
      </c>
      <c r="F198" s="32" t="s">
        <v>61</v>
      </c>
      <c r="G198" s="67">
        <v>7.9841336849427098E+18</v>
      </c>
    </row>
    <row r="199" spans="3:7">
      <c r="C199" s="31" t="b">
        <v>0</v>
      </c>
      <c r="D199" s="32">
        <v>2.617</v>
      </c>
      <c r="E199" s="32">
        <v>53</v>
      </c>
      <c r="F199" s="32" t="s">
        <v>62</v>
      </c>
      <c r="G199" s="67">
        <v>1.0828853636925499E+19</v>
      </c>
    </row>
    <row r="200" spans="3:7">
      <c r="C200" s="31" t="b">
        <v>0</v>
      </c>
      <c r="D200" s="32">
        <v>4.0670000000000002</v>
      </c>
      <c r="E200" s="32">
        <v>69</v>
      </c>
      <c r="F200" s="32" t="s">
        <v>61</v>
      </c>
      <c r="G200" s="67">
        <v>1.75464740255978E+19</v>
      </c>
    </row>
    <row r="201" spans="3:7">
      <c r="C201" s="31" t="b">
        <v>0</v>
      </c>
      <c r="D201" s="32">
        <v>4.25</v>
      </c>
      <c r="E201" s="32">
        <v>77</v>
      </c>
      <c r="F201" s="32" t="s">
        <v>61</v>
      </c>
      <c r="G201" s="67">
        <v>1.5873675455847899E+19</v>
      </c>
    </row>
    <row r="202" spans="3:7">
      <c r="C202" s="31" t="b">
        <v>0</v>
      </c>
      <c r="D202" s="32">
        <v>1.9670000000000001</v>
      </c>
      <c r="E202" s="32">
        <v>56</v>
      </c>
      <c r="F202" s="32" t="s">
        <v>62</v>
      </c>
      <c r="G202" s="67">
        <v>1.50312565150225E+19</v>
      </c>
    </row>
    <row r="203" spans="3:7">
      <c r="C203" s="31" t="b">
        <v>0</v>
      </c>
      <c r="D203" s="32">
        <v>4.5999999999999996</v>
      </c>
      <c r="E203" s="32">
        <v>88</v>
      </c>
      <c r="F203" s="32" t="s">
        <v>61</v>
      </c>
      <c r="G203" s="67">
        <v>2.82392779141839E+18</v>
      </c>
    </row>
    <row r="204" spans="3:7">
      <c r="C204" s="31" t="b">
        <v>0</v>
      </c>
      <c r="D204" s="32">
        <v>3.7669999999999999</v>
      </c>
      <c r="E204" s="32">
        <v>81</v>
      </c>
      <c r="F204" s="32" t="s">
        <v>61</v>
      </c>
      <c r="G204" s="67">
        <v>1.54624908580138E+19</v>
      </c>
    </row>
    <row r="205" spans="3:7">
      <c r="C205" s="31" t="b">
        <v>0</v>
      </c>
      <c r="D205" s="32">
        <v>1.917</v>
      </c>
      <c r="E205" s="32">
        <v>45</v>
      </c>
      <c r="F205" s="32" t="s">
        <v>62</v>
      </c>
      <c r="G205" s="67">
        <v>8.7877440371570596E+18</v>
      </c>
    </row>
    <row r="206" spans="3:7">
      <c r="C206" s="31" t="b">
        <v>0</v>
      </c>
      <c r="D206" s="32">
        <v>4.5</v>
      </c>
      <c r="E206" s="32">
        <v>82</v>
      </c>
      <c r="F206" s="32" t="s">
        <v>61</v>
      </c>
      <c r="G206" s="67">
        <v>1.5152086733945E+19</v>
      </c>
    </row>
    <row r="207" spans="3:7">
      <c r="C207" s="31" t="b">
        <v>0</v>
      </c>
      <c r="D207" s="32">
        <v>2.2669999999999999</v>
      </c>
      <c r="E207" s="32">
        <v>55</v>
      </c>
      <c r="F207" s="32" t="s">
        <v>62</v>
      </c>
      <c r="G207" s="67">
        <v>1.2436991860692799E+19</v>
      </c>
    </row>
    <row r="208" spans="3:7">
      <c r="C208" s="31" t="b">
        <v>0</v>
      </c>
      <c r="D208" s="32">
        <v>4.6500000000000004</v>
      </c>
      <c r="E208" s="32">
        <v>90</v>
      </c>
      <c r="F208" s="32" t="s">
        <v>61</v>
      </c>
      <c r="G208" s="67">
        <v>1.4540362767794399E+19</v>
      </c>
    </row>
    <row r="209" spans="3:7">
      <c r="C209" s="31" t="b">
        <v>0</v>
      </c>
      <c r="D209" s="32">
        <v>1.867</v>
      </c>
      <c r="E209" s="32">
        <v>45</v>
      </c>
      <c r="F209" s="32" t="s">
        <v>62</v>
      </c>
      <c r="G209" s="67">
        <v>1.07391017377194E+19</v>
      </c>
    </row>
    <row r="210" spans="3:7">
      <c r="C210" s="31" t="b">
        <v>0</v>
      </c>
      <c r="D210" s="32">
        <v>4.1669999999999998</v>
      </c>
      <c r="E210" s="32">
        <v>83</v>
      </c>
      <c r="F210" s="32" t="s">
        <v>61</v>
      </c>
      <c r="G210" s="67">
        <v>1.70809889092468E+19</v>
      </c>
    </row>
    <row r="211" spans="3:7">
      <c r="C211" s="31" t="b">
        <v>0</v>
      </c>
      <c r="D211" s="32">
        <v>2.8</v>
      </c>
      <c r="E211" s="32">
        <v>56</v>
      </c>
      <c r="F211" s="32" t="s">
        <v>62</v>
      </c>
      <c r="G211" s="67">
        <v>1.4496876720784599E+19</v>
      </c>
    </row>
    <row r="212" spans="3:7">
      <c r="C212" s="31" t="b">
        <v>0</v>
      </c>
      <c r="D212" s="32">
        <v>4.3330000000000002</v>
      </c>
      <c r="E212" s="32">
        <v>89</v>
      </c>
      <c r="F212" s="32" t="s">
        <v>61</v>
      </c>
      <c r="G212" s="67">
        <v>1.2883528728633899E+19</v>
      </c>
    </row>
    <row r="213" spans="3:7">
      <c r="C213" s="31" t="b">
        <v>0</v>
      </c>
      <c r="D213" s="32">
        <v>1.833</v>
      </c>
      <c r="E213" s="32">
        <v>46</v>
      </c>
      <c r="F213" s="32" t="s">
        <v>62</v>
      </c>
      <c r="G213" s="67">
        <v>1.46575931247808E+19</v>
      </c>
    </row>
    <row r="214" spans="3:7">
      <c r="C214" s="31" t="b">
        <v>0</v>
      </c>
      <c r="D214" s="32">
        <v>4.383</v>
      </c>
      <c r="E214" s="32">
        <v>82</v>
      </c>
      <c r="F214" s="32" t="s">
        <v>61</v>
      </c>
      <c r="G214" s="67">
        <v>1.73784462268607E+19</v>
      </c>
    </row>
    <row r="215" spans="3:7">
      <c r="C215" s="31" t="b">
        <v>0</v>
      </c>
      <c r="D215" s="32">
        <v>1.883</v>
      </c>
      <c r="E215" s="32">
        <v>51</v>
      </c>
      <c r="F215" s="32" t="s">
        <v>62</v>
      </c>
      <c r="G215" s="67">
        <v>5.5628508332734502E+17</v>
      </c>
    </row>
    <row r="216" spans="3:7">
      <c r="C216" s="31" t="b">
        <v>0</v>
      </c>
      <c r="D216" s="32">
        <v>4.9329999999999998</v>
      </c>
      <c r="E216" s="32">
        <v>86</v>
      </c>
      <c r="F216" s="32" t="s">
        <v>61</v>
      </c>
      <c r="G216" s="67">
        <v>9.2652613055197594E+18</v>
      </c>
    </row>
    <row r="217" spans="3:7">
      <c r="C217" s="31" t="b">
        <v>0</v>
      </c>
      <c r="D217" s="32">
        <v>2.0329999999999999</v>
      </c>
      <c r="E217" s="32">
        <v>53</v>
      </c>
      <c r="F217" s="32" t="s">
        <v>62</v>
      </c>
      <c r="G217" s="67">
        <v>1.53685760330303E+19</v>
      </c>
    </row>
    <row r="218" spans="3:7">
      <c r="C218" s="31" t="b">
        <v>0</v>
      </c>
      <c r="D218" s="32">
        <v>3.7330000000000001</v>
      </c>
      <c r="E218" s="32">
        <v>79</v>
      </c>
      <c r="F218" s="32" t="s">
        <v>61</v>
      </c>
      <c r="G218" s="67">
        <v>5.5840631730926705E+18</v>
      </c>
    </row>
    <row r="219" spans="3:7">
      <c r="C219" s="31" t="b">
        <v>0</v>
      </c>
      <c r="D219" s="32">
        <v>4.2329999999999997</v>
      </c>
      <c r="E219" s="32">
        <v>81</v>
      </c>
      <c r="F219" s="32" t="s">
        <v>61</v>
      </c>
      <c r="G219" s="67">
        <v>7.8788983631530598E+18</v>
      </c>
    </row>
    <row r="220" spans="3:7">
      <c r="C220" s="31" t="b">
        <v>0</v>
      </c>
      <c r="D220" s="32">
        <v>2.2330000000000001</v>
      </c>
      <c r="E220" s="32">
        <v>60</v>
      </c>
      <c r="F220" s="32" t="s">
        <v>62</v>
      </c>
      <c r="G220" s="67">
        <v>5.7218274375751301E+18</v>
      </c>
    </row>
    <row r="221" spans="3:7">
      <c r="C221" s="31" t="b">
        <v>0</v>
      </c>
      <c r="D221" s="32">
        <v>4.5330000000000004</v>
      </c>
      <c r="E221" s="32">
        <v>82</v>
      </c>
      <c r="F221" s="32" t="s">
        <v>61</v>
      </c>
      <c r="G221" s="67">
        <v>7.40741794547921E+18</v>
      </c>
    </row>
    <row r="222" spans="3:7">
      <c r="C222" s="31" t="b">
        <v>0</v>
      </c>
      <c r="D222" s="32">
        <v>4.8170000000000002</v>
      </c>
      <c r="E222" s="32">
        <v>77</v>
      </c>
      <c r="F222" s="32" t="s">
        <v>61</v>
      </c>
      <c r="G222" s="67">
        <v>2.0960435015557E+18</v>
      </c>
    </row>
    <row r="223" spans="3:7">
      <c r="C223" s="31" t="b">
        <v>0</v>
      </c>
      <c r="D223" s="32">
        <v>4.3330000000000002</v>
      </c>
      <c r="E223" s="32">
        <v>76</v>
      </c>
      <c r="F223" s="32" t="s">
        <v>61</v>
      </c>
      <c r="G223" s="67">
        <v>7.78223704633101E+18</v>
      </c>
    </row>
    <row r="224" spans="3:7">
      <c r="C224" s="31" t="b">
        <v>0</v>
      </c>
      <c r="D224" s="32">
        <v>1.9830000000000001</v>
      </c>
      <c r="E224" s="32">
        <v>59</v>
      </c>
      <c r="F224" s="32" t="s">
        <v>62</v>
      </c>
      <c r="G224" s="67">
        <v>1.3546521165464701E+19</v>
      </c>
    </row>
    <row r="225" spans="3:7">
      <c r="C225" s="31" t="b">
        <v>0</v>
      </c>
      <c r="D225" s="32">
        <v>4.633</v>
      </c>
      <c r="E225" s="32">
        <v>80</v>
      </c>
      <c r="F225" s="32" t="s">
        <v>61</v>
      </c>
      <c r="G225" s="67">
        <v>6.58969376370701E+18</v>
      </c>
    </row>
    <row r="226" spans="3:7">
      <c r="C226" s="31" t="b">
        <v>0</v>
      </c>
      <c r="D226" s="32">
        <v>2.0169999999999999</v>
      </c>
      <c r="E226" s="32">
        <v>49</v>
      </c>
      <c r="F226" s="32" t="s">
        <v>62</v>
      </c>
      <c r="G226" s="67">
        <v>1.5870946448860101E+19</v>
      </c>
    </row>
    <row r="227" spans="3:7">
      <c r="C227" s="31" t="b">
        <v>0</v>
      </c>
      <c r="D227" s="32">
        <v>5.0999999999999996</v>
      </c>
      <c r="E227" s="32">
        <v>96</v>
      </c>
      <c r="F227" s="32" t="s">
        <v>61</v>
      </c>
      <c r="G227" s="67">
        <v>1.24224612148596E+19</v>
      </c>
    </row>
    <row r="228" spans="3:7">
      <c r="C228" s="31" t="b">
        <v>0</v>
      </c>
      <c r="D228" s="32">
        <v>1.8</v>
      </c>
      <c r="E228" s="32">
        <v>53</v>
      </c>
      <c r="F228" s="32" t="s">
        <v>62</v>
      </c>
      <c r="G228" s="67">
        <v>9.4336076137849897E+18</v>
      </c>
    </row>
    <row r="229" spans="3:7">
      <c r="C229" s="31" t="b">
        <v>0</v>
      </c>
      <c r="D229" s="32">
        <v>5.0330000000000004</v>
      </c>
      <c r="E229" s="32">
        <v>77</v>
      </c>
      <c r="F229" s="32" t="s">
        <v>61</v>
      </c>
      <c r="G229" s="67">
        <v>1.5225401407577801E+19</v>
      </c>
    </row>
    <row r="230" spans="3:7">
      <c r="C230" s="31" t="b">
        <v>0</v>
      </c>
      <c r="D230" s="32">
        <v>4</v>
      </c>
      <c r="E230" s="32">
        <v>77</v>
      </c>
      <c r="F230" s="32" t="s">
        <v>61</v>
      </c>
      <c r="G230" s="67">
        <v>1.28985143243759E+19</v>
      </c>
    </row>
    <row r="231" spans="3:7">
      <c r="C231" s="31" t="b">
        <v>0</v>
      </c>
      <c r="D231" s="32">
        <v>2.4</v>
      </c>
      <c r="E231" s="32">
        <v>65</v>
      </c>
      <c r="F231" s="32" t="s">
        <v>62</v>
      </c>
      <c r="G231" s="67">
        <v>6.9866629367455396E+18</v>
      </c>
    </row>
    <row r="232" spans="3:7">
      <c r="C232" s="31" t="b">
        <v>0</v>
      </c>
      <c r="D232" s="32">
        <v>4.5999999999999996</v>
      </c>
      <c r="E232" s="32">
        <v>81</v>
      </c>
      <c r="F232" s="32" t="s">
        <v>61</v>
      </c>
      <c r="G232" s="67">
        <v>7.51515005605598E+18</v>
      </c>
    </row>
    <row r="233" spans="3:7">
      <c r="C233" s="31" t="b">
        <v>0</v>
      </c>
      <c r="D233" s="32">
        <v>3.5670000000000002</v>
      </c>
      <c r="E233" s="32">
        <v>71</v>
      </c>
      <c r="F233" s="32" t="s">
        <v>61</v>
      </c>
      <c r="G233" s="67">
        <v>1.45450877114391E+19</v>
      </c>
    </row>
    <row r="234" spans="3:7">
      <c r="C234" s="31" t="b">
        <v>0</v>
      </c>
      <c r="D234" s="32">
        <v>4</v>
      </c>
      <c r="E234" s="32">
        <v>70</v>
      </c>
      <c r="F234" s="32" t="s">
        <v>61</v>
      </c>
      <c r="G234" s="67">
        <v>7.7148514505199903E+18</v>
      </c>
    </row>
    <row r="235" spans="3:7">
      <c r="C235" s="31" t="b">
        <v>0</v>
      </c>
      <c r="D235" s="32">
        <v>4.5</v>
      </c>
      <c r="E235" s="32">
        <v>81</v>
      </c>
      <c r="F235" s="32" t="s">
        <v>61</v>
      </c>
      <c r="G235" s="67">
        <v>1.4756317022221799E+19</v>
      </c>
    </row>
    <row r="236" spans="3:7">
      <c r="C236" s="31" t="b">
        <v>0</v>
      </c>
      <c r="D236" s="32">
        <v>4.0830000000000002</v>
      </c>
      <c r="E236" s="32">
        <v>93</v>
      </c>
      <c r="F236" s="32" t="s">
        <v>61</v>
      </c>
      <c r="G236" s="67">
        <v>7.7914971263394499E+18</v>
      </c>
    </row>
    <row r="237" spans="3:7">
      <c r="C237" s="31" t="b">
        <v>0</v>
      </c>
      <c r="D237" s="32">
        <v>1.8</v>
      </c>
      <c r="E237" s="32">
        <v>53</v>
      </c>
      <c r="F237" s="32" t="s">
        <v>62</v>
      </c>
      <c r="G237" s="67">
        <v>9.4336076137849897E+18</v>
      </c>
    </row>
    <row r="238" spans="3:7">
      <c r="C238" s="31" t="b">
        <v>0</v>
      </c>
      <c r="D238" s="32">
        <v>3.9670000000000001</v>
      </c>
      <c r="E238" s="32">
        <v>89</v>
      </c>
      <c r="F238" s="32" t="s">
        <v>61</v>
      </c>
      <c r="G238" s="67">
        <v>9.0468159514660198E+18</v>
      </c>
    </row>
    <row r="239" spans="3:7">
      <c r="C239" s="31" t="b">
        <v>0</v>
      </c>
      <c r="D239" s="32">
        <v>2.2000000000000002</v>
      </c>
      <c r="E239" s="32">
        <v>45</v>
      </c>
      <c r="F239" s="32" t="s">
        <v>62</v>
      </c>
      <c r="G239" s="67">
        <v>1.1827912002084301E+19</v>
      </c>
    </row>
    <row r="240" spans="3:7">
      <c r="C240" s="31" t="b">
        <v>0</v>
      </c>
      <c r="D240" s="32">
        <v>4.1500000000000004</v>
      </c>
      <c r="E240" s="32">
        <v>86</v>
      </c>
      <c r="F240" s="32" t="s">
        <v>61</v>
      </c>
      <c r="G240" s="67">
        <v>1.7305456057987899E+18</v>
      </c>
    </row>
    <row r="241" spans="3:7">
      <c r="C241" s="31" t="b">
        <v>0</v>
      </c>
      <c r="D241" s="32">
        <v>2</v>
      </c>
      <c r="E241" s="32">
        <v>58</v>
      </c>
      <c r="F241" s="32" t="s">
        <v>62</v>
      </c>
      <c r="G241" s="67">
        <v>4.11357425733886E+18</v>
      </c>
    </row>
    <row r="242" spans="3:7">
      <c r="C242" s="31" t="b">
        <v>0</v>
      </c>
      <c r="D242" s="32">
        <v>3.8330000000000002</v>
      </c>
      <c r="E242" s="32">
        <v>78</v>
      </c>
      <c r="F242" s="32" t="s">
        <v>61</v>
      </c>
      <c r="G242" s="67">
        <v>3.8877837012930202E+18</v>
      </c>
    </row>
    <row r="243" spans="3:7">
      <c r="C243" s="31" t="b">
        <v>0</v>
      </c>
      <c r="D243" s="32">
        <v>3.5</v>
      </c>
      <c r="E243" s="32">
        <v>66</v>
      </c>
      <c r="F243" s="32" t="s">
        <v>62</v>
      </c>
      <c r="G243" s="67">
        <v>9.2371354501685197E+17</v>
      </c>
    </row>
    <row r="244" spans="3:7">
      <c r="C244" s="31" t="b">
        <v>0</v>
      </c>
      <c r="D244" s="32">
        <v>4.5830000000000002</v>
      </c>
      <c r="E244" s="32">
        <v>76</v>
      </c>
      <c r="F244" s="32" t="s">
        <v>61</v>
      </c>
      <c r="G244" s="67">
        <v>2.2140602750501101E+17</v>
      </c>
    </row>
    <row r="245" spans="3:7">
      <c r="C245" s="31" t="b">
        <v>0</v>
      </c>
      <c r="D245" s="32">
        <v>2.367</v>
      </c>
      <c r="E245" s="32">
        <v>63</v>
      </c>
      <c r="F245" s="32" t="s">
        <v>62</v>
      </c>
      <c r="G245" s="67">
        <v>9.5883670452421407E+18</v>
      </c>
    </row>
    <row r="246" spans="3:7">
      <c r="C246" s="31" t="b">
        <v>0</v>
      </c>
      <c r="D246" s="32">
        <v>5</v>
      </c>
      <c r="E246" s="32">
        <v>88</v>
      </c>
      <c r="F246" s="32" t="s">
        <v>61</v>
      </c>
      <c r="G246" s="67">
        <v>7.9108268183233198E+18</v>
      </c>
    </row>
    <row r="247" spans="3:7">
      <c r="C247" s="31" t="b">
        <v>0</v>
      </c>
      <c r="D247" s="32">
        <v>1.9330000000000001</v>
      </c>
      <c r="E247" s="32">
        <v>52</v>
      </c>
      <c r="F247" s="32" t="s">
        <v>62</v>
      </c>
      <c r="G247" s="67">
        <v>2.7259798220802499E+18</v>
      </c>
    </row>
    <row r="248" spans="3:7">
      <c r="C248" s="31" t="b">
        <v>0</v>
      </c>
      <c r="D248" s="32">
        <v>4.617</v>
      </c>
      <c r="E248" s="32">
        <v>93</v>
      </c>
      <c r="F248" s="32" t="s">
        <v>61</v>
      </c>
      <c r="G248" s="67">
        <v>7.1411743573629102E+18</v>
      </c>
    </row>
    <row r="249" spans="3:7">
      <c r="C249" s="31" t="b">
        <v>0</v>
      </c>
      <c r="D249" s="32">
        <v>1.917</v>
      </c>
      <c r="E249" s="32">
        <v>49</v>
      </c>
      <c r="F249" s="32" t="s">
        <v>62</v>
      </c>
      <c r="G249" s="67">
        <v>3.0992700892807802E+17</v>
      </c>
    </row>
    <row r="250" spans="3:7">
      <c r="C250" s="31" t="b">
        <v>0</v>
      </c>
      <c r="D250" s="32">
        <v>2.0830000000000002</v>
      </c>
      <c r="E250" s="32">
        <v>57</v>
      </c>
      <c r="F250" s="32" t="s">
        <v>62</v>
      </c>
      <c r="G250" s="67">
        <v>4.8729066978400102E+18</v>
      </c>
    </row>
    <row r="251" spans="3:7">
      <c r="C251" s="31" t="b">
        <v>0</v>
      </c>
      <c r="D251" s="32">
        <v>4.5830000000000002</v>
      </c>
      <c r="E251" s="32">
        <v>77</v>
      </c>
      <c r="F251" s="32" t="s">
        <v>61</v>
      </c>
      <c r="G251" s="67">
        <v>5.8640667830844703E+18</v>
      </c>
    </row>
    <row r="252" spans="3:7">
      <c r="C252" s="31" t="b">
        <v>0</v>
      </c>
      <c r="D252" s="32">
        <v>3.3330000000000002</v>
      </c>
      <c r="E252" s="32">
        <v>68</v>
      </c>
      <c r="F252" s="32" t="s">
        <v>61</v>
      </c>
      <c r="G252" s="67">
        <v>7.6081982739836498E+18</v>
      </c>
    </row>
    <row r="253" spans="3:7">
      <c r="C253" s="31" t="b">
        <v>0</v>
      </c>
      <c r="D253" s="32">
        <v>4.1669999999999998</v>
      </c>
      <c r="E253" s="32">
        <v>81</v>
      </c>
      <c r="F253" s="32" t="s">
        <v>61</v>
      </c>
      <c r="G253" s="67">
        <v>1.82727034209153E+19</v>
      </c>
    </row>
    <row r="254" spans="3:7">
      <c r="C254" s="31" t="b">
        <v>0</v>
      </c>
      <c r="D254" s="32">
        <v>4.3330000000000002</v>
      </c>
      <c r="E254" s="32">
        <v>81</v>
      </c>
      <c r="F254" s="32" t="s">
        <v>61</v>
      </c>
      <c r="G254" s="67">
        <v>8.0858116448607703E+18</v>
      </c>
    </row>
    <row r="255" spans="3:7">
      <c r="C255" s="31" t="b">
        <v>0</v>
      </c>
      <c r="D255" s="32">
        <v>4.5</v>
      </c>
      <c r="E255" s="32">
        <v>73</v>
      </c>
      <c r="F255" s="32" t="s">
        <v>61</v>
      </c>
      <c r="G255" s="67">
        <v>1.52175089223314E+19</v>
      </c>
    </row>
    <row r="256" spans="3:7">
      <c r="C256" s="31" t="b">
        <v>0</v>
      </c>
      <c r="D256" s="32">
        <v>2.4169999999999998</v>
      </c>
      <c r="E256" s="32">
        <v>50</v>
      </c>
      <c r="F256" s="32" t="s">
        <v>62</v>
      </c>
      <c r="G256" s="67">
        <v>6.8675875791639501E+18</v>
      </c>
    </row>
    <row r="257" spans="3:7">
      <c r="C257" s="31" t="b">
        <v>0</v>
      </c>
      <c r="D257" s="32">
        <v>4</v>
      </c>
      <c r="E257" s="32">
        <v>85</v>
      </c>
      <c r="F257" s="32" t="s">
        <v>61</v>
      </c>
      <c r="G257" s="67">
        <v>1.3450719787377101E+19</v>
      </c>
    </row>
    <row r="258" spans="3:7">
      <c r="C258" s="31" t="b">
        <v>0</v>
      </c>
      <c r="D258" s="32">
        <v>4.1669999999999998</v>
      </c>
      <c r="E258" s="32">
        <v>74</v>
      </c>
      <c r="F258" s="32" t="s">
        <v>61</v>
      </c>
      <c r="G258" s="67">
        <v>8.9900560283015096E+18</v>
      </c>
    </row>
    <row r="259" spans="3:7">
      <c r="C259" s="31" t="b">
        <v>0</v>
      </c>
      <c r="D259" s="32">
        <v>1.883</v>
      </c>
      <c r="E259" s="32">
        <v>55</v>
      </c>
      <c r="F259" s="32" t="s">
        <v>62</v>
      </c>
      <c r="G259" s="67">
        <v>9.5854510601285796E+18</v>
      </c>
    </row>
    <row r="260" spans="3:7">
      <c r="C260" s="31" t="b">
        <v>0</v>
      </c>
      <c r="D260" s="32">
        <v>4.5830000000000002</v>
      </c>
      <c r="E260" s="32">
        <v>77</v>
      </c>
      <c r="F260" s="32" t="s">
        <v>61</v>
      </c>
      <c r="G260" s="67">
        <v>5.8640667830844703E+18</v>
      </c>
    </row>
    <row r="261" spans="3:7">
      <c r="C261" s="31" t="b">
        <v>0</v>
      </c>
      <c r="D261" s="32">
        <v>4.25</v>
      </c>
      <c r="E261" s="32">
        <v>83</v>
      </c>
      <c r="F261" s="32" t="s">
        <v>61</v>
      </c>
      <c r="G261" s="67">
        <v>1.8850216839992499E+18</v>
      </c>
    </row>
    <row r="262" spans="3:7">
      <c r="C262" s="31" t="b">
        <v>0</v>
      </c>
      <c r="D262" s="32">
        <v>3.7669999999999999</v>
      </c>
      <c r="E262" s="32">
        <v>83</v>
      </c>
      <c r="F262" s="32" t="s">
        <v>61</v>
      </c>
      <c r="G262" s="67">
        <v>5.5179969151702702E+18</v>
      </c>
    </row>
    <row r="263" spans="3:7">
      <c r="C263" s="31" t="b">
        <v>0</v>
      </c>
      <c r="D263" s="32">
        <v>2.0329999999999999</v>
      </c>
      <c r="E263" s="32">
        <v>51</v>
      </c>
      <c r="F263" s="32" t="s">
        <v>62</v>
      </c>
      <c r="G263" s="67">
        <v>5.5036242544150999E+18</v>
      </c>
    </row>
    <row r="264" spans="3:7">
      <c r="C264" s="31" t="b">
        <v>0</v>
      </c>
      <c r="D264" s="32">
        <v>4.4329999999999998</v>
      </c>
      <c r="E264" s="32">
        <v>78</v>
      </c>
      <c r="F264" s="32" t="s">
        <v>61</v>
      </c>
      <c r="G264" s="67">
        <v>1.33639312191103E+19</v>
      </c>
    </row>
    <row r="265" spans="3:7">
      <c r="C265" s="31" t="b">
        <v>0</v>
      </c>
      <c r="D265" s="32">
        <v>4.0830000000000002</v>
      </c>
      <c r="E265" s="32">
        <v>84</v>
      </c>
      <c r="F265" s="32" t="s">
        <v>61</v>
      </c>
      <c r="G265" s="67">
        <v>9.3132856105288909E+18</v>
      </c>
    </row>
    <row r="266" spans="3:7">
      <c r="C266" s="31" t="b">
        <v>0</v>
      </c>
      <c r="D266" s="32">
        <v>1.833</v>
      </c>
      <c r="E266" s="32">
        <v>46</v>
      </c>
      <c r="F266" s="32" t="s">
        <v>62</v>
      </c>
      <c r="G266" s="67">
        <v>1.46575931247808E+19</v>
      </c>
    </row>
    <row r="267" spans="3:7">
      <c r="C267" s="31" t="b">
        <v>0</v>
      </c>
      <c r="D267" s="32">
        <v>4.4169999999999998</v>
      </c>
      <c r="E267" s="32">
        <v>83</v>
      </c>
      <c r="F267" s="32" t="s">
        <v>61</v>
      </c>
      <c r="G267" s="67">
        <v>6.9361287427680799E+18</v>
      </c>
    </row>
    <row r="268" spans="3:7">
      <c r="C268" s="31" t="b">
        <v>0</v>
      </c>
      <c r="D268" s="32">
        <v>2.1829999999999998</v>
      </c>
      <c r="E268" s="32">
        <v>55</v>
      </c>
      <c r="F268" s="32" t="s">
        <v>62</v>
      </c>
      <c r="G268" s="67">
        <v>1.33706231005247E+18</v>
      </c>
    </row>
    <row r="269" spans="3:7">
      <c r="C269" s="31" t="b">
        <v>0</v>
      </c>
      <c r="D269" s="32">
        <v>4.8</v>
      </c>
      <c r="E269" s="32">
        <v>81</v>
      </c>
      <c r="F269" s="32" t="s">
        <v>61</v>
      </c>
      <c r="G269" s="67">
        <v>1.1740756716644499E+19</v>
      </c>
    </row>
    <row r="270" spans="3:7">
      <c r="C270" s="31" t="b">
        <v>0</v>
      </c>
      <c r="D270" s="32">
        <v>1.833</v>
      </c>
      <c r="E270" s="32">
        <v>57</v>
      </c>
      <c r="F270" s="32" t="s">
        <v>62</v>
      </c>
      <c r="G270" s="67">
        <v>7.31944117044928E+18</v>
      </c>
    </row>
    <row r="271" spans="3:7">
      <c r="C271" s="31" t="b">
        <v>0</v>
      </c>
      <c r="D271" s="32">
        <v>4.8</v>
      </c>
      <c r="E271" s="32">
        <v>76</v>
      </c>
      <c r="F271" s="32" t="s">
        <v>61</v>
      </c>
      <c r="G271" s="67">
        <v>1.4155296024207901E+19</v>
      </c>
    </row>
    <row r="272" spans="3:7">
      <c r="C272" s="31" t="b">
        <v>0</v>
      </c>
      <c r="D272" s="32">
        <v>4.0999999999999996</v>
      </c>
      <c r="E272" s="32">
        <v>84</v>
      </c>
      <c r="F272" s="32" t="s">
        <v>61</v>
      </c>
      <c r="G272" s="67">
        <v>7.0082835162915297E+18</v>
      </c>
    </row>
    <row r="273" spans="3:7">
      <c r="C273" s="31" t="b">
        <v>0</v>
      </c>
      <c r="D273" s="32">
        <v>3.9660000000000002</v>
      </c>
      <c r="E273" s="32">
        <v>77</v>
      </c>
      <c r="F273" s="32" t="s">
        <v>61</v>
      </c>
      <c r="G273" s="67">
        <v>4.0797912658787898E+17</v>
      </c>
    </row>
    <row r="274" spans="3:7">
      <c r="C274" s="31" t="b">
        <v>0</v>
      </c>
      <c r="D274" s="32">
        <v>4.2329999999999997</v>
      </c>
      <c r="E274" s="32">
        <v>81</v>
      </c>
      <c r="F274" s="32" t="s">
        <v>61</v>
      </c>
      <c r="G274" s="67">
        <v>7.8788983631530598E+18</v>
      </c>
    </row>
    <row r="275" spans="3:7">
      <c r="C275" s="31" t="b">
        <v>0</v>
      </c>
      <c r="D275" s="32">
        <v>3.5</v>
      </c>
      <c r="E275" s="32">
        <v>87</v>
      </c>
      <c r="F275" s="32" t="s">
        <v>61</v>
      </c>
      <c r="G275" s="67">
        <v>5.5531760407954504E+18</v>
      </c>
    </row>
    <row r="276" spans="3:7">
      <c r="C276" s="31" t="b">
        <v>0</v>
      </c>
      <c r="D276" s="32">
        <v>4.3659999999999997</v>
      </c>
      <c r="E276" s="32">
        <v>77</v>
      </c>
      <c r="F276" s="32" t="s">
        <v>61</v>
      </c>
      <c r="G276" s="67">
        <v>1.67570879604706E+19</v>
      </c>
    </row>
    <row r="277" spans="3:7">
      <c r="C277" s="31" t="b">
        <v>0</v>
      </c>
      <c r="D277" s="32">
        <v>2.25</v>
      </c>
      <c r="E277" s="32">
        <v>51</v>
      </c>
      <c r="F277" s="32" t="s">
        <v>62</v>
      </c>
      <c r="G277" s="67">
        <v>2.1779622110627599E+18</v>
      </c>
    </row>
    <row r="278" spans="3:7">
      <c r="C278" s="31" t="b">
        <v>0</v>
      </c>
      <c r="D278" s="32">
        <v>4.6669999999999998</v>
      </c>
      <c r="E278" s="32">
        <v>78</v>
      </c>
      <c r="F278" s="32" t="s">
        <v>61</v>
      </c>
      <c r="G278" s="67">
        <v>6.5556718170983904E+16</v>
      </c>
    </row>
    <row r="279" spans="3:7">
      <c r="C279" s="31" t="b">
        <v>0</v>
      </c>
      <c r="D279" s="32">
        <v>2.1</v>
      </c>
      <c r="E279" s="32">
        <v>60</v>
      </c>
      <c r="F279" s="32" t="s">
        <v>62</v>
      </c>
      <c r="G279" s="67">
        <v>1.42095009849233E+19</v>
      </c>
    </row>
    <row r="280" spans="3:7">
      <c r="C280" s="31" t="b">
        <v>0</v>
      </c>
      <c r="D280" s="32">
        <v>4.3499999999999996</v>
      </c>
      <c r="E280" s="32">
        <v>82</v>
      </c>
      <c r="F280" s="32" t="s">
        <v>61</v>
      </c>
      <c r="G280" s="67">
        <v>1.0385818552024199E+19</v>
      </c>
    </row>
    <row r="281" spans="3:7">
      <c r="C281" s="31" t="b">
        <v>0</v>
      </c>
      <c r="D281" s="32">
        <v>4.133</v>
      </c>
      <c r="E281" s="32">
        <v>91</v>
      </c>
      <c r="F281" s="32" t="s">
        <v>61</v>
      </c>
      <c r="G281" s="67">
        <v>1.05709363017089E+19</v>
      </c>
    </row>
    <row r="282" spans="3:7">
      <c r="C282" s="31" t="b">
        <v>0</v>
      </c>
      <c r="D282" s="32">
        <v>1.867</v>
      </c>
      <c r="E282" s="32">
        <v>53</v>
      </c>
      <c r="F282" s="32" t="s">
        <v>62</v>
      </c>
      <c r="G282" s="67">
        <v>4.7753563425591296E+18</v>
      </c>
    </row>
    <row r="283" spans="3:7">
      <c r="C283" s="31" t="b">
        <v>0</v>
      </c>
      <c r="D283" s="32">
        <v>4.5999999999999996</v>
      </c>
      <c r="E283" s="32">
        <v>78</v>
      </c>
      <c r="F283" s="32" t="s">
        <v>61</v>
      </c>
      <c r="G283" s="67">
        <v>4.0247723199666601E+18</v>
      </c>
    </row>
    <row r="284" spans="3:7">
      <c r="C284" s="31" t="b">
        <v>0</v>
      </c>
      <c r="D284" s="32">
        <v>1.7829999999999999</v>
      </c>
      <c r="E284" s="32">
        <v>46</v>
      </c>
      <c r="F284" s="32" t="s">
        <v>62</v>
      </c>
      <c r="G284" s="67">
        <v>4.0631028897730002E+18</v>
      </c>
    </row>
    <row r="285" spans="3:7">
      <c r="C285" s="31" t="b">
        <v>0</v>
      </c>
      <c r="D285" s="32">
        <v>4.367</v>
      </c>
      <c r="E285" s="32">
        <v>77</v>
      </c>
      <c r="F285" s="32" t="s">
        <v>61</v>
      </c>
      <c r="G285" s="67">
        <v>8.58009790861918E+18</v>
      </c>
    </row>
    <row r="286" spans="3:7">
      <c r="C286" s="31" t="b">
        <v>0</v>
      </c>
      <c r="D286" s="32">
        <v>3.85</v>
      </c>
      <c r="E286" s="32">
        <v>84</v>
      </c>
      <c r="F286" s="32" t="s">
        <v>61</v>
      </c>
      <c r="G286" s="67">
        <v>1.56150371672249E+19</v>
      </c>
    </row>
    <row r="287" spans="3:7">
      <c r="C287" s="31" t="b">
        <v>0</v>
      </c>
      <c r="D287" s="32">
        <v>1.9330000000000001</v>
      </c>
      <c r="E287" s="32">
        <v>49</v>
      </c>
      <c r="F287" s="32" t="s">
        <v>62</v>
      </c>
      <c r="G287" s="67">
        <v>4.37035084077869E+18</v>
      </c>
    </row>
    <row r="288" spans="3:7">
      <c r="C288" s="31" t="b">
        <v>0</v>
      </c>
      <c r="D288" s="32">
        <v>4.5</v>
      </c>
      <c r="E288" s="32">
        <v>83</v>
      </c>
      <c r="F288" s="32" t="s">
        <v>61</v>
      </c>
      <c r="G288" s="67">
        <v>1.5374453974758101E+19</v>
      </c>
    </row>
    <row r="289" spans="3:7">
      <c r="C289" s="31" t="b">
        <v>0</v>
      </c>
      <c r="D289" s="32">
        <v>2.383</v>
      </c>
      <c r="E289" s="32">
        <v>71</v>
      </c>
      <c r="F289" s="32" t="s">
        <v>61</v>
      </c>
      <c r="G289" s="67">
        <v>8.5786444647150397E+18</v>
      </c>
    </row>
    <row r="290" spans="3:7">
      <c r="C290" s="31" t="b">
        <v>0</v>
      </c>
      <c r="D290" s="32">
        <v>4.7</v>
      </c>
      <c r="E290" s="32">
        <v>80</v>
      </c>
      <c r="F290" s="32" t="s">
        <v>61</v>
      </c>
      <c r="G290" s="67">
        <v>1.2209374569402499E+19</v>
      </c>
    </row>
    <row r="291" spans="3:7">
      <c r="C291" s="31" t="b">
        <v>0</v>
      </c>
      <c r="D291" s="32">
        <v>1.867</v>
      </c>
      <c r="E291" s="32">
        <v>49</v>
      </c>
      <c r="F291" s="32" t="s">
        <v>62</v>
      </c>
      <c r="G291" s="67">
        <v>1.6435236850354399E+19</v>
      </c>
    </row>
    <row r="292" spans="3:7">
      <c r="C292" s="31" t="b">
        <v>0</v>
      </c>
      <c r="D292" s="32">
        <v>3.8330000000000002</v>
      </c>
      <c r="E292" s="32">
        <v>75</v>
      </c>
      <c r="F292" s="32" t="s">
        <v>61</v>
      </c>
      <c r="G292" s="67">
        <v>3.60045466589683E+18</v>
      </c>
    </row>
    <row r="293" spans="3:7">
      <c r="C293" s="31" t="b">
        <v>0</v>
      </c>
      <c r="D293" s="32">
        <v>3.4169999999999998</v>
      </c>
      <c r="E293" s="32">
        <v>64</v>
      </c>
      <c r="F293" s="32" t="s">
        <v>62</v>
      </c>
      <c r="G293" s="67">
        <v>1.73942982658212E+19</v>
      </c>
    </row>
    <row r="294" spans="3:7">
      <c r="C294" s="31" t="b">
        <v>0</v>
      </c>
      <c r="D294" s="32">
        <v>4.2329999999999997</v>
      </c>
      <c r="E294" s="32">
        <v>76</v>
      </c>
      <c r="F294" s="32" t="s">
        <v>61</v>
      </c>
      <c r="G294" s="67">
        <v>2.5802415468498899E+17</v>
      </c>
    </row>
    <row r="295" spans="3:7">
      <c r="C295" s="31" t="b">
        <v>0</v>
      </c>
      <c r="D295" s="32">
        <v>2.4</v>
      </c>
      <c r="E295" s="32">
        <v>53</v>
      </c>
      <c r="F295" s="32" t="s">
        <v>62</v>
      </c>
      <c r="G295" s="67">
        <v>1.79611309782197E+19</v>
      </c>
    </row>
    <row r="296" spans="3:7">
      <c r="C296" s="31" t="b">
        <v>0</v>
      </c>
      <c r="D296" s="32">
        <v>4.8</v>
      </c>
      <c r="E296" s="32">
        <v>94</v>
      </c>
      <c r="F296" s="32" t="s">
        <v>61</v>
      </c>
      <c r="G296" s="67">
        <v>3.47200872948749E+18</v>
      </c>
    </row>
    <row r="297" spans="3:7">
      <c r="C297" s="31" t="b">
        <v>0</v>
      </c>
      <c r="D297" s="32">
        <v>2</v>
      </c>
      <c r="E297" s="32">
        <v>55</v>
      </c>
      <c r="F297" s="32" t="s">
        <v>62</v>
      </c>
      <c r="G297" s="67">
        <v>2.0431826342568E+18</v>
      </c>
    </row>
    <row r="298" spans="3:7">
      <c r="C298" s="31" t="b">
        <v>0</v>
      </c>
      <c r="D298" s="32">
        <v>4.1500000000000004</v>
      </c>
      <c r="E298" s="32">
        <v>76</v>
      </c>
      <c r="F298" s="32" t="s">
        <v>61</v>
      </c>
      <c r="G298" s="67">
        <v>1.26975253679039E+19</v>
      </c>
    </row>
    <row r="299" spans="3:7">
      <c r="C299" s="31" t="b">
        <v>0</v>
      </c>
      <c r="D299" s="32">
        <v>1.867</v>
      </c>
      <c r="E299" s="32">
        <v>50</v>
      </c>
      <c r="F299" s="32" t="s">
        <v>62</v>
      </c>
      <c r="G299" s="67">
        <v>9.21597928604497E+18</v>
      </c>
    </row>
    <row r="300" spans="3:7">
      <c r="C300" s="31" t="b">
        <v>0</v>
      </c>
      <c r="D300" s="32">
        <v>4.2670000000000003</v>
      </c>
      <c r="E300" s="32">
        <v>82</v>
      </c>
      <c r="F300" s="32" t="s">
        <v>61</v>
      </c>
      <c r="G300" s="67">
        <v>1.6769562957127999E+19</v>
      </c>
    </row>
    <row r="301" spans="3:7">
      <c r="C301" s="31" t="b">
        <v>0</v>
      </c>
      <c r="D301" s="32">
        <v>1.75</v>
      </c>
      <c r="E301" s="32">
        <v>54</v>
      </c>
      <c r="F301" s="32" t="s">
        <v>62</v>
      </c>
      <c r="G301" s="67">
        <v>6.2898149286082898E+18</v>
      </c>
    </row>
    <row r="302" spans="3:7">
      <c r="C302" s="31" t="b">
        <v>0</v>
      </c>
      <c r="D302" s="32">
        <v>4.4829999999999997</v>
      </c>
      <c r="E302" s="32">
        <v>75</v>
      </c>
      <c r="F302" s="32" t="s">
        <v>61</v>
      </c>
      <c r="G302" s="67">
        <v>5.4355674604449597E+18</v>
      </c>
    </row>
    <row r="303" spans="3:7">
      <c r="C303" s="31" t="b">
        <v>0</v>
      </c>
      <c r="D303" s="32">
        <v>4</v>
      </c>
      <c r="E303" s="32">
        <v>78</v>
      </c>
      <c r="F303" s="32" t="s">
        <v>61</v>
      </c>
      <c r="G303" s="67">
        <v>1.05364826943745E+19</v>
      </c>
    </row>
    <row r="304" spans="3:7">
      <c r="C304" s="31" t="b">
        <v>0</v>
      </c>
      <c r="D304" s="32">
        <v>4.117</v>
      </c>
      <c r="E304" s="32">
        <v>79</v>
      </c>
      <c r="F304" s="32" t="s">
        <v>61</v>
      </c>
      <c r="G304" s="67">
        <v>4.3937945862139002E+17</v>
      </c>
    </row>
    <row r="305" spans="3:7">
      <c r="C305" s="31" t="b">
        <v>0</v>
      </c>
      <c r="D305" s="32">
        <v>4.0830000000000002</v>
      </c>
      <c r="E305" s="32">
        <v>78</v>
      </c>
      <c r="F305" s="32" t="s">
        <v>61</v>
      </c>
      <c r="G305" s="67">
        <v>4.9244537112058102E+18</v>
      </c>
    </row>
    <row r="306" spans="3:7">
      <c r="C306" s="31" t="b">
        <v>0</v>
      </c>
      <c r="D306" s="32">
        <v>4.2670000000000003</v>
      </c>
      <c r="E306" s="32">
        <v>78</v>
      </c>
      <c r="F306" s="32" t="s">
        <v>61</v>
      </c>
      <c r="G306" s="67">
        <v>1.8311166278156401E+19</v>
      </c>
    </row>
    <row r="307" spans="3:7">
      <c r="C307" s="31" t="b">
        <v>0</v>
      </c>
      <c r="D307" s="32">
        <v>3.9169999999999998</v>
      </c>
      <c r="E307" s="32">
        <v>70</v>
      </c>
      <c r="F307" s="32" t="s">
        <v>61</v>
      </c>
      <c r="G307" s="67">
        <v>9.0275151153152696E+18</v>
      </c>
    </row>
    <row r="308" spans="3:7">
      <c r="C308" s="31" t="b">
        <v>0</v>
      </c>
      <c r="D308" s="32">
        <v>4.55</v>
      </c>
      <c r="E308" s="32">
        <v>79</v>
      </c>
      <c r="F308" s="32" t="s">
        <v>61</v>
      </c>
      <c r="G308" s="67">
        <v>6.9773067029739796E+18</v>
      </c>
    </row>
    <row r="309" spans="3:7">
      <c r="C309" s="31" t="b">
        <v>0</v>
      </c>
      <c r="D309" s="32">
        <v>4.0830000000000002</v>
      </c>
      <c r="E309" s="32">
        <v>70</v>
      </c>
      <c r="F309" s="32" t="s">
        <v>61</v>
      </c>
      <c r="G309" s="67">
        <v>5.9866225021829396E+18</v>
      </c>
    </row>
    <row r="310" spans="3:7">
      <c r="C310" s="31" t="b">
        <v>0</v>
      </c>
      <c r="D310" s="32">
        <v>2.4169999999999998</v>
      </c>
      <c r="E310" s="32">
        <v>54</v>
      </c>
      <c r="F310" s="32" t="s">
        <v>62</v>
      </c>
      <c r="G310" s="67">
        <v>1.2495884132039E+19</v>
      </c>
    </row>
    <row r="311" spans="3:7">
      <c r="C311" s="31" t="b">
        <v>0</v>
      </c>
      <c r="D311" s="32">
        <v>4.1829999999999998</v>
      </c>
      <c r="E311" s="32">
        <v>86</v>
      </c>
      <c r="F311" s="32" t="s">
        <v>61</v>
      </c>
      <c r="G311" s="67">
        <v>6.57944477000525E+18</v>
      </c>
    </row>
    <row r="312" spans="3:7">
      <c r="C312" s="31" t="b">
        <v>0</v>
      </c>
      <c r="D312" s="32">
        <v>2.2170000000000001</v>
      </c>
      <c r="E312" s="32">
        <v>50</v>
      </c>
      <c r="F312" s="32" t="s">
        <v>62</v>
      </c>
      <c r="G312" s="67">
        <v>9.6478288206073997E+17</v>
      </c>
    </row>
    <row r="313" spans="3:7">
      <c r="C313" s="31" t="b">
        <v>0</v>
      </c>
      <c r="D313" s="32">
        <v>4.45</v>
      </c>
      <c r="E313" s="32">
        <v>90</v>
      </c>
      <c r="F313" s="32" t="s">
        <v>61</v>
      </c>
      <c r="G313" s="67">
        <v>4.17703628973826E+18</v>
      </c>
    </row>
    <row r="314" spans="3:7">
      <c r="C314" s="31" t="b">
        <v>0</v>
      </c>
      <c r="D314" s="32">
        <v>1.883</v>
      </c>
      <c r="E314" s="32">
        <v>54</v>
      </c>
      <c r="F314" s="32" t="s">
        <v>62</v>
      </c>
      <c r="G314" s="67">
        <v>7.77237008661248E+18</v>
      </c>
    </row>
    <row r="315" spans="3:7">
      <c r="C315" s="31" t="b">
        <v>0</v>
      </c>
      <c r="D315" s="32">
        <v>1.85</v>
      </c>
      <c r="E315" s="32">
        <v>54</v>
      </c>
      <c r="F315" s="32" t="s">
        <v>62</v>
      </c>
      <c r="G315" s="67">
        <v>5.4438256434271201E+18</v>
      </c>
    </row>
    <row r="316" spans="3:7">
      <c r="C316" s="31" t="b">
        <v>0</v>
      </c>
      <c r="D316" s="32">
        <v>4.2830000000000004</v>
      </c>
      <c r="E316" s="32">
        <v>77</v>
      </c>
      <c r="F316" s="32" t="s">
        <v>61</v>
      </c>
      <c r="G316" s="67">
        <v>2.03624014979776E+18</v>
      </c>
    </row>
    <row r="317" spans="3:7">
      <c r="C317" s="31" t="b">
        <v>0</v>
      </c>
      <c r="D317" s="32">
        <v>3.95</v>
      </c>
      <c r="E317" s="32">
        <v>79</v>
      </c>
      <c r="F317" s="32" t="s">
        <v>61</v>
      </c>
      <c r="G317" s="67">
        <v>3.8714473401179197E+18</v>
      </c>
    </row>
    <row r="318" spans="3:7">
      <c r="C318" s="31" t="b">
        <v>0</v>
      </c>
      <c r="D318" s="32">
        <v>2.3330000000000002</v>
      </c>
      <c r="E318" s="32">
        <v>64</v>
      </c>
      <c r="F318" s="32" t="s">
        <v>62</v>
      </c>
      <c r="G318" s="67">
        <v>6.79016427379665E+18</v>
      </c>
    </row>
    <row r="319" spans="3:7">
      <c r="C319" s="31" t="b">
        <v>0</v>
      </c>
      <c r="D319" s="32">
        <v>4.1500000000000004</v>
      </c>
      <c r="E319" s="32">
        <v>75</v>
      </c>
      <c r="F319" s="32" t="s">
        <v>61</v>
      </c>
      <c r="G319" s="67">
        <v>1.3582218435046101E+19</v>
      </c>
    </row>
    <row r="320" spans="3:7">
      <c r="C320" s="31" t="b">
        <v>0</v>
      </c>
      <c r="D320" s="32">
        <v>2.35</v>
      </c>
      <c r="E320" s="32">
        <v>47</v>
      </c>
      <c r="F320" s="32" t="s">
        <v>62</v>
      </c>
      <c r="G320" s="67">
        <v>4.6401627795061299E+18</v>
      </c>
    </row>
    <row r="321" spans="3:7">
      <c r="C321" s="31" t="b">
        <v>0</v>
      </c>
      <c r="D321" s="32">
        <v>4.9329999999999998</v>
      </c>
      <c r="E321" s="32">
        <v>86</v>
      </c>
      <c r="F321" s="32" t="s">
        <v>61</v>
      </c>
      <c r="G321" s="67">
        <v>9.2652613055197594E+18</v>
      </c>
    </row>
    <row r="322" spans="3:7">
      <c r="C322" s="31" t="b">
        <v>0</v>
      </c>
      <c r="D322" s="32">
        <v>2.9</v>
      </c>
      <c r="E322" s="32">
        <v>63</v>
      </c>
      <c r="F322" s="32" t="s">
        <v>62</v>
      </c>
      <c r="G322" s="67">
        <v>1.83587586109421E+18</v>
      </c>
    </row>
    <row r="323" spans="3:7">
      <c r="C323" s="31" t="b">
        <v>0</v>
      </c>
      <c r="D323" s="32">
        <v>4.5830000000000002</v>
      </c>
      <c r="E323" s="32">
        <v>85</v>
      </c>
      <c r="F323" s="32" t="s">
        <v>61</v>
      </c>
      <c r="G323" s="67">
        <v>1.64332404518333E+18</v>
      </c>
    </row>
    <row r="324" spans="3:7">
      <c r="C324" s="31" t="b">
        <v>0</v>
      </c>
      <c r="D324" s="32">
        <v>3.8330000000000002</v>
      </c>
      <c r="E324" s="32">
        <v>82</v>
      </c>
      <c r="F324" s="32" t="s">
        <v>61</v>
      </c>
      <c r="G324" s="67">
        <v>1.7355405642605699E+19</v>
      </c>
    </row>
    <row r="325" spans="3:7">
      <c r="C325" s="31" t="b">
        <v>0</v>
      </c>
      <c r="D325" s="32">
        <v>2.0830000000000002</v>
      </c>
      <c r="E325" s="32">
        <v>57</v>
      </c>
      <c r="F325" s="32" t="s">
        <v>62</v>
      </c>
      <c r="G325" s="67">
        <v>4.8729066978400102E+18</v>
      </c>
    </row>
    <row r="326" spans="3:7">
      <c r="C326" s="31" t="b">
        <v>0</v>
      </c>
      <c r="D326" s="32">
        <v>4.367</v>
      </c>
      <c r="E326" s="32">
        <v>82</v>
      </c>
      <c r="F326" s="32" t="s">
        <v>61</v>
      </c>
      <c r="G326" s="67">
        <v>7.5417111909695703E+18</v>
      </c>
    </row>
    <row r="327" spans="3:7">
      <c r="C327" s="31" t="b">
        <v>0</v>
      </c>
      <c r="D327" s="32">
        <v>2.133</v>
      </c>
      <c r="E327" s="32">
        <v>67</v>
      </c>
      <c r="F327" s="32" t="s">
        <v>62</v>
      </c>
      <c r="G327" s="67">
        <v>1.83134236296127E+19</v>
      </c>
    </row>
    <row r="328" spans="3:7">
      <c r="C328" s="31" t="b">
        <v>0</v>
      </c>
      <c r="D328" s="32">
        <v>4.3499999999999996</v>
      </c>
      <c r="E328" s="32">
        <v>74</v>
      </c>
      <c r="F328" s="32" t="s">
        <v>61</v>
      </c>
      <c r="G328" s="67">
        <v>3.2840729396108498E+18</v>
      </c>
    </row>
    <row r="329" spans="3:7">
      <c r="C329" s="31" t="b">
        <v>0</v>
      </c>
      <c r="D329" s="32">
        <v>2.2000000000000002</v>
      </c>
      <c r="E329" s="32">
        <v>54</v>
      </c>
      <c r="F329" s="32" t="s">
        <v>62</v>
      </c>
      <c r="G329" s="67">
        <v>3.8825306393040102E+18</v>
      </c>
    </row>
    <row r="330" spans="3:7">
      <c r="C330" s="31" t="b">
        <v>0</v>
      </c>
      <c r="D330" s="32">
        <v>4.45</v>
      </c>
      <c r="E330" s="32">
        <v>83</v>
      </c>
      <c r="F330" s="32" t="s">
        <v>61</v>
      </c>
      <c r="G330" s="67">
        <v>5.4681838941368698E+17</v>
      </c>
    </row>
    <row r="331" spans="3:7">
      <c r="C331" s="31" t="b">
        <v>0</v>
      </c>
      <c r="D331" s="32">
        <v>3.5670000000000002</v>
      </c>
      <c r="E331" s="32">
        <v>73</v>
      </c>
      <c r="F331" s="32" t="s">
        <v>61</v>
      </c>
      <c r="G331" s="67">
        <v>8.7611033818060503E+18</v>
      </c>
    </row>
    <row r="332" spans="3:7">
      <c r="C332" s="31" t="b">
        <v>0</v>
      </c>
      <c r="D332" s="32">
        <v>4.5</v>
      </c>
      <c r="E332" s="32">
        <v>73</v>
      </c>
      <c r="F332" s="32" t="s">
        <v>61</v>
      </c>
      <c r="G332" s="67">
        <v>1.52175089223314E+19</v>
      </c>
    </row>
    <row r="333" spans="3:7">
      <c r="C333" s="31" t="b">
        <v>0</v>
      </c>
      <c r="D333" s="32">
        <v>4.1500000000000004</v>
      </c>
      <c r="E333" s="32">
        <v>88</v>
      </c>
      <c r="F333" s="32" t="s">
        <v>61</v>
      </c>
      <c r="G333" s="67">
        <v>9.5690283900599091E+18</v>
      </c>
    </row>
    <row r="334" spans="3:7">
      <c r="C334" s="31" t="b">
        <v>0</v>
      </c>
      <c r="D334" s="32">
        <v>3.8170000000000002</v>
      </c>
      <c r="E334" s="32">
        <v>80</v>
      </c>
      <c r="F334" s="32" t="s">
        <v>61</v>
      </c>
      <c r="G334" s="67">
        <v>1.3283293690182199E+19</v>
      </c>
    </row>
    <row r="335" spans="3:7">
      <c r="C335" s="31" t="b">
        <v>0</v>
      </c>
      <c r="D335" s="32">
        <v>3.9169999999999998</v>
      </c>
      <c r="E335" s="32">
        <v>71</v>
      </c>
      <c r="F335" s="32" t="s">
        <v>61</v>
      </c>
      <c r="G335" s="67">
        <v>2.24160205121249E+18</v>
      </c>
    </row>
    <row r="336" spans="3:7">
      <c r="C336" s="31" t="b">
        <v>0</v>
      </c>
      <c r="D336" s="32">
        <v>4.45</v>
      </c>
      <c r="E336" s="32">
        <v>83</v>
      </c>
      <c r="F336" s="32" t="s">
        <v>61</v>
      </c>
      <c r="G336" s="67">
        <v>5.4681838941368698E+17</v>
      </c>
    </row>
    <row r="337" spans="3:7">
      <c r="C337" s="31" t="b">
        <v>0</v>
      </c>
      <c r="D337" s="32">
        <v>2</v>
      </c>
      <c r="E337" s="32">
        <v>56</v>
      </c>
      <c r="F337" s="32" t="s">
        <v>62</v>
      </c>
      <c r="G337" s="67">
        <v>7.0415908679225805E+18</v>
      </c>
    </row>
    <row r="338" spans="3:7">
      <c r="C338" s="31" t="b">
        <v>0</v>
      </c>
      <c r="D338" s="32">
        <v>4.2830000000000004</v>
      </c>
      <c r="E338" s="32">
        <v>79</v>
      </c>
      <c r="F338" s="32" t="s">
        <v>61</v>
      </c>
      <c r="G338" s="67">
        <v>4.2419738256017101E+18</v>
      </c>
    </row>
    <row r="339" spans="3:7">
      <c r="C339" s="31" t="b">
        <v>0</v>
      </c>
      <c r="D339" s="32">
        <v>4.7670000000000003</v>
      </c>
      <c r="E339" s="32">
        <v>78</v>
      </c>
      <c r="F339" s="32" t="s">
        <v>61</v>
      </c>
      <c r="G339" s="67">
        <v>1.1226280026428E+19</v>
      </c>
    </row>
    <row r="340" spans="3:7">
      <c r="C340" s="31" t="b">
        <v>0</v>
      </c>
      <c r="D340" s="32">
        <v>4.5330000000000004</v>
      </c>
      <c r="E340" s="32">
        <v>84</v>
      </c>
      <c r="F340" s="32" t="s">
        <v>61</v>
      </c>
      <c r="G340" s="67">
        <v>1.2292481630639E+19</v>
      </c>
    </row>
    <row r="341" spans="3:7">
      <c r="C341" s="31" t="b">
        <v>0</v>
      </c>
      <c r="D341" s="32">
        <v>1.85</v>
      </c>
      <c r="E341" s="32">
        <v>58</v>
      </c>
      <c r="F341" s="32" t="s">
        <v>62</v>
      </c>
      <c r="G341" s="67">
        <v>1.78850917995782E+19</v>
      </c>
    </row>
    <row r="342" spans="3:7">
      <c r="C342" s="31" t="b">
        <v>0</v>
      </c>
      <c r="D342" s="32">
        <v>4.25</v>
      </c>
      <c r="E342" s="32">
        <v>83</v>
      </c>
      <c r="F342" s="32" t="s">
        <v>61</v>
      </c>
      <c r="G342" s="67">
        <v>1.8850216839992499E+18</v>
      </c>
    </row>
    <row r="343" spans="3:7">
      <c r="C343" s="31" t="b">
        <v>0</v>
      </c>
      <c r="D343" s="32">
        <v>1.9830000000000001</v>
      </c>
      <c r="E343" s="32">
        <v>43</v>
      </c>
      <c r="F343" s="32" t="s">
        <v>62</v>
      </c>
      <c r="G343" s="67">
        <v>1.16007299420574E+19</v>
      </c>
    </row>
    <row r="344" spans="3:7">
      <c r="C344" s="31" t="b">
        <v>0</v>
      </c>
      <c r="D344" s="32">
        <v>2.25</v>
      </c>
      <c r="E344" s="32">
        <v>60</v>
      </c>
      <c r="F344" s="32" t="s">
        <v>62</v>
      </c>
      <c r="G344" s="67">
        <v>1.3650962286491699E+19</v>
      </c>
    </row>
    <row r="345" spans="3:7">
      <c r="C345" s="31" t="b">
        <v>0</v>
      </c>
      <c r="D345" s="32">
        <v>4.75</v>
      </c>
      <c r="E345" s="32">
        <v>75</v>
      </c>
      <c r="F345" s="32" t="s">
        <v>61</v>
      </c>
      <c r="G345" s="67">
        <v>1.81841294838645E+19</v>
      </c>
    </row>
    <row r="346" spans="3:7">
      <c r="C346" s="31" t="b">
        <v>0</v>
      </c>
      <c r="D346" s="32">
        <v>4.117</v>
      </c>
      <c r="E346" s="32">
        <v>81</v>
      </c>
      <c r="F346" s="32" t="s">
        <v>61</v>
      </c>
      <c r="G346" s="67">
        <v>1.3160936553919199E+19</v>
      </c>
    </row>
    <row r="347" spans="3:7">
      <c r="C347" s="31" t="b">
        <v>0</v>
      </c>
      <c r="D347" s="32">
        <v>2.15</v>
      </c>
      <c r="E347" s="32">
        <v>46</v>
      </c>
      <c r="F347" s="32" t="s">
        <v>62</v>
      </c>
      <c r="G347" s="67">
        <v>9.0966523013037404E+18</v>
      </c>
    </row>
    <row r="348" spans="3:7">
      <c r="C348" s="31" t="b">
        <v>0</v>
      </c>
      <c r="D348" s="32">
        <v>4.4169999999999998</v>
      </c>
      <c r="E348" s="32">
        <v>90</v>
      </c>
      <c r="F348" s="32" t="s">
        <v>61</v>
      </c>
      <c r="G348" s="67">
        <v>3.0456456145192202E+18</v>
      </c>
    </row>
    <row r="349" spans="3:7">
      <c r="C349" s="31" t="b">
        <v>0</v>
      </c>
      <c r="D349" s="32">
        <v>1.8169999999999999</v>
      </c>
      <c r="E349" s="32">
        <v>46</v>
      </c>
      <c r="F349" s="32" t="s">
        <v>62</v>
      </c>
      <c r="G349" s="67">
        <v>1.05778098021172E+19</v>
      </c>
    </row>
    <row r="350" spans="3:7">
      <c r="C350" s="31" t="b">
        <v>0</v>
      </c>
      <c r="D350" s="32">
        <v>4.4669999999999996</v>
      </c>
      <c r="E350" s="32">
        <v>74</v>
      </c>
      <c r="F350" s="32" t="s">
        <v>61</v>
      </c>
      <c r="G350" s="67">
        <v>1.52136880968429E+18</v>
      </c>
    </row>
  </sheetData>
  <mergeCells count="1">
    <mergeCell ref="D15:E15"/>
  </mergeCells>
  <phoneticPr fontId="15" type="noConversion"/>
  <conditionalFormatting sqref="D22:F29 D35:F39 D45:F53">
    <cfRule type="cellIs" dxfId="23" priority="54" operator="equal">
      <formula>0</formula>
    </cfRule>
  </conditionalFormatting>
  <conditionalFormatting sqref="C79:C350">
    <cfRule type="cellIs" dxfId="22" priority="50" operator="equal">
      <formula>FALSE</formula>
    </cfRule>
    <cfRule type="cellIs" dxfId="21" priority="51" operator="notEqual">
      <formula>FALSE</formula>
    </cfRule>
  </conditionalFormatting>
  <conditionalFormatting sqref="D9:F9">
    <cfRule type="cellIs" dxfId="20" priority="24" operator="notEqual">
      <formula>"Notes"</formula>
    </cfRule>
  </conditionalFormatting>
  <conditionalFormatting sqref="D23:F25">
    <cfRule type="colorScale" priority="45">
      <colorScale>
        <cfvo type="num" val="0"/>
        <cfvo type="num" val="0.2"/>
        <color theme="1"/>
        <color rgb="FF7A0000"/>
      </colorScale>
    </cfRule>
  </conditionalFormatting>
  <conditionalFormatting sqref="C78 C57:C64">
    <cfRule type="duplicateValues" dxfId="19" priority="25"/>
  </conditionalFormatting>
  <conditionalFormatting sqref="D7:F7">
    <cfRule type="cellIs" dxfId="18" priority="18" operator="notEqual">
      <formula>"Definition"</formula>
    </cfRule>
  </conditionalFormatting>
  <conditionalFormatting sqref="D15">
    <cfRule type="cellIs" dxfId="17" priority="9" operator="notEqual">
      <formula>"Description"</formula>
    </cfRule>
  </conditionalFormatting>
  <conditionalFormatting sqref="D17">
    <cfRule type="colorScale" priority="8">
      <colorScale>
        <cfvo type="num" val="0"/>
        <cfvo type="num" val="100000"/>
        <cfvo type="num" val="1000000"/>
        <color theme="1"/>
        <color rgb="FFB08600"/>
        <color rgb="FF7A0000"/>
      </colorScale>
    </cfRule>
  </conditionalFormatting>
  <conditionalFormatting sqref="D18">
    <cfRule type="colorScale" priority="6">
      <colorScale>
        <cfvo type="num" val="0"/>
        <cfvo type="num" val="100"/>
        <cfvo type="num" val="16000"/>
        <color theme="1"/>
        <color rgb="FFB08600"/>
        <color rgb="FF7A0000"/>
      </colorScale>
    </cfRule>
  </conditionalFormatting>
  <conditionalFormatting sqref="D57:F64">
    <cfRule type="cellIs" dxfId="16" priority="48" operator="equal">
      <formula>FALSE</formula>
    </cfRule>
    <cfRule type="cellIs" dxfId="15" priority="49" operator="notEqual">
      <formula>FALSE</formula>
    </cfRule>
  </conditionalFormatting>
  <conditionalFormatting sqref="G78">
    <cfRule type="duplicateValues" dxfId="0" priority="1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95EEE-047F-419C-9BC8-A7C362742EA6}">
  <sheetPr codeName="Sheet5"/>
  <dimension ref="A2:P15"/>
  <sheetViews>
    <sheetView zoomScale="85" zoomScaleNormal="85" workbookViewId="0">
      <selection activeCell="C6" sqref="C6"/>
    </sheetView>
  </sheetViews>
  <sheetFormatPr defaultRowHeight="14.4"/>
  <cols>
    <col min="1" max="1" width="2.77734375" customWidth="1"/>
    <col min="2" max="2" width="2.77734375" style="2" customWidth="1"/>
    <col min="3" max="3" width="78.6640625" style="7" customWidth="1"/>
    <col min="4" max="4" width="31.88671875" style="1" customWidth="1"/>
    <col min="5" max="16" width="8.88671875" style="1"/>
  </cols>
  <sheetData>
    <row r="2" spans="1:16" ht="43.2" customHeight="1">
      <c r="C2" s="61" t="s">
        <v>24</v>
      </c>
    </row>
    <row r="3" spans="1:16" ht="10.050000000000001" customHeight="1">
      <c r="B3" s="1"/>
      <c r="C3" s="5"/>
    </row>
    <row r="4" spans="1:16" ht="34.950000000000003" customHeight="1">
      <c r="B4" s="109"/>
      <c r="C4" s="112"/>
      <c r="D4" s="112"/>
      <c r="E4" s="112"/>
      <c r="F4" s="112"/>
      <c r="G4" s="112"/>
      <c r="H4" s="112"/>
      <c r="I4" s="112"/>
      <c r="J4" s="112"/>
      <c r="K4" s="112"/>
      <c r="L4" s="112"/>
      <c r="M4" s="112"/>
      <c r="N4" s="112"/>
      <c r="O4" s="112"/>
      <c r="P4" s="112"/>
    </row>
    <row r="5" spans="1:16" ht="15" customHeight="1">
      <c r="B5"/>
      <c r="C5"/>
      <c r="D5"/>
      <c r="E5"/>
      <c r="F5"/>
      <c r="G5"/>
      <c r="H5"/>
      <c r="I5"/>
      <c r="J5"/>
      <c r="K5"/>
      <c r="L5"/>
      <c r="M5"/>
      <c r="N5"/>
      <c r="O5"/>
      <c r="P5"/>
    </row>
    <row r="6" spans="1:16" ht="15" customHeight="1">
      <c r="C6" s="25"/>
    </row>
    <row r="7" spans="1:16" ht="19.2" customHeight="1">
      <c r="B7" s="1"/>
      <c r="C7" s="5"/>
    </row>
    <row r="14" spans="1:16" s="1" customFormat="1">
      <c r="A14"/>
      <c r="B14" s="2"/>
    </row>
    <row r="15" spans="1:16" s="1" customFormat="1">
      <c r="A15"/>
      <c r="B15" s="2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F1DEB-DE7B-436D-A47E-90F41C9C2F3B}">
  <sheetPr codeName="Sheet4"/>
  <dimension ref="B2:E18"/>
  <sheetViews>
    <sheetView zoomScale="85" zoomScaleNormal="85" workbookViewId="0">
      <pane xSplit="4" ySplit="4" topLeftCell="E5" activePane="bottomRight" state="frozen"/>
      <selection activeCell="B5" sqref="B5"/>
      <selection pane="topRight" activeCell="B5" sqref="B5"/>
      <selection pane="bottomLeft" activeCell="B5" sqref="B5"/>
      <selection pane="bottomRight" activeCell="C6" sqref="C6"/>
    </sheetView>
  </sheetViews>
  <sheetFormatPr defaultRowHeight="14.4"/>
  <cols>
    <col min="1" max="1" width="3" style="1" customWidth="1"/>
    <col min="2" max="2" width="8.21875" style="1" bestFit="1" customWidth="1"/>
    <col min="3" max="3" width="2.77734375" style="2" customWidth="1"/>
    <col min="4" max="4" width="53.33203125" style="7" bestFit="1" customWidth="1"/>
    <col min="5" max="5" width="27.77734375" style="1" customWidth="1"/>
    <col min="6" max="16384" width="8.88671875" style="1"/>
  </cols>
  <sheetData>
    <row r="2" spans="2:5" ht="51.6" customHeight="1">
      <c r="C2" s="43"/>
      <c r="D2" s="61" t="s">
        <v>31</v>
      </c>
      <c r="E2" s="4" t="s">
        <v>1</v>
      </c>
    </row>
    <row r="3" spans="2:5" ht="10.050000000000001" customHeight="1">
      <c r="C3" s="1"/>
      <c r="D3" s="5"/>
    </row>
    <row r="4" spans="2:5" s="6" customFormat="1" ht="30" customHeight="1">
      <c r="B4" s="1"/>
      <c r="C4" s="113"/>
      <c r="D4" s="114" t="s">
        <v>2</v>
      </c>
      <c r="E4" s="115"/>
    </row>
    <row r="5" spans="2:5" ht="10.050000000000001" customHeight="1">
      <c r="C5" s="1"/>
      <c r="D5" s="5"/>
    </row>
    <row r="6" spans="2:5" ht="10.050000000000001" customHeight="1">
      <c r="C6" s="10"/>
      <c r="E6" s="7"/>
    </row>
    <row r="7" spans="2:5" ht="150" customHeight="1">
      <c r="C7" s="15"/>
      <c r="D7" s="16"/>
      <c r="E7" s="17"/>
    </row>
    <row r="8" spans="2:5" ht="10.050000000000001" customHeight="1">
      <c r="C8" s="18"/>
      <c r="E8" s="7"/>
    </row>
    <row r="9" spans="2:5" collapsed="1"/>
    <row r="11" spans="2:5">
      <c r="D11" s="1"/>
    </row>
    <row r="12" spans="2:5">
      <c r="D12" s="1"/>
    </row>
    <row r="13" spans="2:5">
      <c r="D13" s="1"/>
    </row>
    <row r="14" spans="2:5">
      <c r="D14" s="1"/>
    </row>
    <row r="17" spans="4:4">
      <c r="D17" s="1"/>
    </row>
    <row r="18" spans="4:4">
      <c r="D18" s="1"/>
    </row>
  </sheetData>
  <conditionalFormatting sqref="E7">
    <cfRule type="cellIs" dxfId="9" priority="3" operator="equal">
      <formula>"Notes"</formula>
    </cfRule>
  </conditionalFormatting>
  <conditionalFormatting sqref="E6:E7">
    <cfRule type="cellIs" dxfId="8" priority="4" operator="equal">
      <formula>0</formula>
    </cfRule>
  </conditionalFormatting>
  <conditionalFormatting sqref="E2">
    <cfRule type="cellIs" dxfId="7" priority="1" operator="equal">
      <formula>"Notes"</formula>
    </cfRule>
    <cfRule type="cellIs" dxfId="6" priority="2" operator="equal">
      <formula>"Notes"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40</vt:i4>
      </vt:variant>
    </vt:vector>
  </HeadingPairs>
  <TitlesOfParts>
    <vt:vector size="44" baseType="lpstr">
      <vt:lpstr>Overview</vt:lpstr>
      <vt:lpstr>Field Analysis</vt:lpstr>
      <vt:lpstr>SinglePlot</vt:lpstr>
      <vt:lpstr>MultiplePlots</vt:lpstr>
      <vt:lpstr>Compiled_Lists</vt:lpstr>
      <vt:lpstr>Composition</vt:lpstr>
      <vt:lpstr>CompositionTable</vt:lpstr>
      <vt:lpstr>DarkHeader</vt:lpstr>
      <vt:lpstr>Data_Description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FieldRange</vt:lpstr>
      <vt:lpstr>FormatRange</vt:lpstr>
      <vt:lpstr>Headers</vt:lpstr>
      <vt:lpstr>Headers_Start</vt:lpstr>
      <vt:lpstr>Histogram</vt:lpstr>
      <vt:lpstr>LightHeader</vt:lpstr>
      <vt:lpstr>Metadata</vt:lpstr>
      <vt:lpstr>MultiplePlots</vt:lpstr>
      <vt:lpstr>MultiplePlotsTitle</vt:lpstr>
      <vt:lpstr>Name</vt:lpstr>
      <vt:lpstr>Notes</vt:lpstr>
      <vt:lpstr>Percentiles</vt:lpstr>
      <vt:lpstr>RecordHashes</vt:lpstr>
      <vt:lpstr>SerializedLists</vt:lpstr>
      <vt:lpstr>SinglePlot</vt:lpstr>
      <vt:lpstr>SinglePlotTitle</vt:lpstr>
      <vt:lpstr>Summary_Stats</vt:lpstr>
      <vt:lpstr>MultiplePlots!Theme</vt:lpstr>
      <vt:lpstr>Overview!Theme</vt:lpstr>
      <vt:lpstr>SinglePlot!Theme</vt:lpstr>
      <vt:lpstr>Warning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Design.In.Data@outlook.com</dc:creator>
  <cp:lastModifiedBy>Michael Rivers</cp:lastModifiedBy>
  <dcterms:created xsi:type="dcterms:W3CDTF">2015-01-25T11:31:25Z</dcterms:created>
  <dcterms:modified xsi:type="dcterms:W3CDTF">2026-05-19T06:11:54Z</dcterms:modified>
</cp:coreProperties>
</file>