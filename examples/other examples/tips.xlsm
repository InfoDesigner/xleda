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4F588F2C-D1CE-4462-9192-0FE3212FB747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Analysis'!$D$8:$J$8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Analysis'!$D$51:$J$51</definedName>
    <definedName name="FieldList2" localSheetId="3">#REF!</definedName>
    <definedName name="FieldList2" localSheetId="2">#REF!</definedName>
    <definedName name="FieldList2">'Field Analysis'!$D$52:$J$52</definedName>
    <definedName name="FieldList3" localSheetId="3">#REF!</definedName>
    <definedName name="FieldList3" localSheetId="2">#REF!</definedName>
    <definedName name="FieldList3">'Field Analysis'!$D$53:$J$53</definedName>
    <definedName name="FieldList4" localSheetId="3">#REF!</definedName>
    <definedName name="FieldList4" localSheetId="2">#REF!</definedName>
    <definedName name="FieldList4">'Field Analysis'!$D$54:$J$54</definedName>
    <definedName name="FieldList5" localSheetId="3">#REF!</definedName>
    <definedName name="FieldList5" localSheetId="2">#REF!</definedName>
    <definedName name="FieldList5">'Field Analysis'!$D$55:$J$55</definedName>
    <definedName name="FieldList6" localSheetId="3">#REF!</definedName>
    <definedName name="FieldList6" localSheetId="2">#REF!</definedName>
    <definedName name="FieldList6">'Field Analysis'!$D$56:$J$56</definedName>
    <definedName name="FieldList7">'Field Analysis'!$D$57:$J$57</definedName>
    <definedName name="FieldList8">'Field Analysis'!$D$58:$J$58</definedName>
    <definedName name="FieldRange" localSheetId="3">#REF!</definedName>
    <definedName name="FieldRange" localSheetId="2">#REF!</definedName>
    <definedName name="FieldRange">'Field Analysis'!$D$72:$J$72</definedName>
    <definedName name="FormatRange">'Field Analysis'!$E:$E</definedName>
    <definedName name="Headers">'Field Analysis'!$D$12:$J$12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Analysis'!$D$10:$J$10</definedName>
    <definedName name="Percentiles">'Field Analysis'!$D$39:$D$48</definedName>
    <definedName name="RecordHashes">'Field Analysis'!$K$73:$K$316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<sst xmlns="http://schemas.openxmlformats.org/spreadsheetml/2006/main" count="1111" uniqueCount="69">
  <si>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</si>
  <si>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</si>
  <si>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</si>
  <si>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</si>
  <si>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</si>
  <si>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</si>
  <si>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</si>
  <si>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</si>
  <si>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</si>
  <si>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</si>
  <si>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</si>
  <si>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</si>
  <si>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</si>
  <si>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</si>
  <si>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</si>
  <si>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</si>
  <si>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</si>
  <si>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</si>
  <si>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</si>
  <si>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</si>
  <si>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</si>
  <si>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</si>
  <si>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</si>
  <si>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</si>
  <si>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</si>
  <si>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</si>
  <si>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</si>
  <si>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</si>
  <si>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</si>
  <si>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</si>
  <si>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</si>
  <si>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</si>
  <si>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</si>
  <si>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</si>
  <si>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</si>
  <si>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</si>
  <si>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</si>
  <si>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</si>
  <si>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</si>
  <si>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</si>
  <si>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</si>
  <si>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</si>
  <si>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</si>
  <si>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</si>
  <si>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</si>
  <si>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</si>
  <si>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tips</t>
  </si>
  <si>
    <t>rows = 244, columns = 7</t>
  </si>
  <si>
    <t>total_bill</t>
  </si>
  <si>
    <t>tip</t>
  </si>
  <si>
    <t>sex</t>
  </si>
  <si>
    <t>smoker</t>
  </si>
  <si>
    <t>day</t>
  </si>
  <si>
    <t>time</t>
  </si>
  <si>
    <t>size</t>
  </si>
  <si>
    <t>7,579 bytes</t>
  </si>
  <si>
    <t>float64</t>
  </si>
  <si>
    <t>category</t>
  </si>
  <si>
    <t>Male</t>
  </si>
  <si>
    <t>No</t>
  </si>
  <si>
    <t>Sat</t>
  </si>
  <si>
    <t>Dinner</t>
  </si>
  <si>
    <t>int64</t>
  </si>
  <si>
    <t>Female</t>
  </si>
  <si>
    <t>Sun</t>
  </si>
  <si>
    <t>Yes</t>
  </si>
  <si>
    <t>Thur</t>
  </si>
  <si>
    <t>Lunch</t>
  </si>
  <si>
    <t>Fri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</si>
</sst>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D1131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6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D113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5"/>
      <tableStyleElement type="headerRow" dxfId="64"/>
      <tableStyleElement type="totalRow" dxfId="63"/>
      <tableStyleElement type="firstColumn" dxfId="62"/>
      <tableStyleElement type="lastColumn" dxfId="61"/>
      <tableStyleElement type="firstRowStripe" dxfId="60"/>
      <tableStyleElement type="secondRowStripe" dxfId="59"/>
      <tableStyleElement type="firstColumnStripe" dxfId="58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5345B1E-612D-104E-2ECE-DB925C12C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49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34</xdr:row>
      <xdr:rowOff>95250</xdr:rowOff>
    </xdr:from>
    <xdr:to>
      <xdr:col>3</xdr:col>
      <xdr:colOff>1809750</xdr:colOff>
      <xdr:row>34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CA416FF-623C-4828-5AEA-90532FC0C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4493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477F13B-D744-13FB-339D-D0EB94A8B6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499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0616D60-52F2-16A0-0510-00847AE8A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4993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D4920B6-DC61-F9B2-D10D-B2973B70A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549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B41ECF7-ACB0-1D24-7583-CDF2C62A73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0599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49326488-60E0-E4B2-39F4-19EFACC08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9649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A7F42F73-0E04-508D-B7B0-6416A69BD6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8699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24</xdr:row>
      <xdr:rowOff>95250</xdr:rowOff>
    </xdr:from>
    <xdr:to>
      <xdr:col>9</xdr:col>
      <xdr:colOff>1809750</xdr:colOff>
      <xdr:row>24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457003CB-4E16-DB54-16AB-FD0F01517F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7493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34</xdr:row>
      <xdr:rowOff>95250</xdr:rowOff>
    </xdr:from>
    <xdr:to>
      <xdr:col>9</xdr:col>
      <xdr:colOff>1809750</xdr:colOff>
      <xdr:row>34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FE76908-E0A9-B629-6969-54069EFFB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77493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12" dataDxfId="55" headerRowBorderDxfId="56" headerRowCellStyle="Normal 2">
  <autoFilter ref="B10:AA17" xr:uid="{7EC467B7-DE9E-48DF-95B5-2995F1F6DE8F}"/>
  <tableColumns count="26">
    <tableColumn id="1" xr3:uid="{CDAE6949-9186-42E8-AEBE-1928381A0155}" name="Field" dataDxfId="54" dataCellStyle="Normal 2"/>
    <tableColumn id="2" xr3:uid="{24D139B7-BFC8-4DD9-8DE4-2245810E04F3}" name="Definition" dataDxfId="9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8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3"/>
    <tableColumn id="8" xr3:uid="{30CDB1E0-924C-48B4-82F4-9B3E3228BE95}" name="Distinct %" dataDxfId="52"/>
    <tableColumn id="12" xr3:uid="{03824906-BEA5-4B63-A981-21F959B6439E}" name="Missing %" dataDxfId="51" dataCellStyle="Percent 2"/>
    <tableColumn id="6" xr3:uid="{8DFFE5A0-8676-4576-AB4D-97E8B31EC097}" name="Memory Usage %" dataDxfId="50" dataCellStyle="Percent 2"/>
    <tableColumn id="5" xr3:uid="{DD50C3DA-F4A8-40F0-AFBD-DBF916650F7E}" name="Memory Usage" dataDxfId="49"/>
    <tableColumn id="7" xr3:uid="{A0CD56D0-07EF-46CA-BC46-D54CD5E746C7}" name="Distinct" dataDxfId="48"/>
    <tableColumn id="9" xr3:uid="{1C848176-6AC1-44A6-9B3B-F1C9E8BC32EA}" name="Count" dataDxfId="47"/>
    <tableColumn id="10" xr3:uid="{6C6E6A37-4969-459F-AC39-2193366810E2}" name="Count %" dataDxfId="46"/>
    <tableColumn id="11" xr3:uid="{CD47252D-0307-4513-AF7C-13CC4AA1FCD9}" name="Missing" dataDxfId="45"/>
    <tableColumn id="13" xr3:uid="{2B45F7F8-CE35-48A6-BB27-9684B5D7936D}" name="Mean" dataDxfId="44"/>
    <tableColumn id="14" xr3:uid="{293386E4-1FA6-4340-9DC6-54CC26209C0A}" name="Median" dataDxfId="43"/>
    <tableColumn id="15" xr3:uid="{29252F5E-4163-4D62-89FC-FF85F6C4755C}" name="Mode" dataDxfId="42"/>
    <tableColumn id="16" xr3:uid="{69FFA3C1-FD1E-4395-AF2E-177FDFCDE62A}" name="Standard Deviation" dataDxfId="41"/>
    <tableColumn id="17" xr3:uid="{2AAB37E9-8AE2-4771-B92B-C04BFABA0B4E}" name="Variance" dataDxfId="40"/>
    <tableColumn id="18" xr3:uid="{07151E41-6633-4A65-A7E1-091F027DEF95}" name="Min" dataDxfId="39"/>
    <tableColumn id="19" xr3:uid="{41A1FD5D-4E5C-45B3-A0C7-1820F89F417F}" name="5%" dataDxfId="38"/>
    <tableColumn id="20" xr3:uid="{50D70984-5A2E-4A19-9F2B-5DA0502339BC}" name="25%" dataDxfId="37"/>
    <tableColumn id="21" xr3:uid="{75FF5489-8FC0-4894-83BC-802076BF1066}" name="50%" dataDxfId="36"/>
    <tableColumn id="22" xr3:uid="{B7FA20A8-EE17-470E-93AD-54011230C113}" name="75%" dataDxfId="35"/>
    <tableColumn id="23" xr3:uid="{378BE758-7A3F-4C04-A75B-FE899B1B0BAD}" name="95%" dataDxfId="34"/>
    <tableColumn id="24" xr3:uid="{818594E7-DC84-4229-81F6-97C1E2E93633}" name="Max" dataDxfId="33"/>
    <tableColumn id="25" xr3:uid="{D8116583-A886-47C1-85E2-D28AD96194AD}" name="Range" dataDxfId="32"/>
    <tableColumn id="26" xr3:uid="{D061AC6A-EAB2-461F-8AB8-E743DC68E666}" name="IQR" dataDxfId="31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K316" totalsRowShown="0" dataDxfId="19">
  <autoFilter ref="C72:K316" xr:uid="{DB263373-2B4F-4302-9CF6-5012CE3F1A47}"/>
  <tableColumns count="9">
    <tableColumn id="1" xr3:uid="{B87F6371-B38F-4AA9-8A9B-F1D62600E38F}" name="Record List" dataDxfId="1" dataCellStyle="Normal 2"/>
    <tableColumn id="2" xr3:uid="{55547D6A-0C4F-44F3-8DA7-D9918F9ECA79}" name="total_bill" dataDxfId="18"/>
    <tableColumn id="8" xr3:uid="{5CEA6B82-08F7-4BBF-BE74-DD211F1E2384}" name="tip" dataDxfId="17" dataCellStyle="Normal 2"/>
    <tableColumn id="3" xr3:uid="{23270305-25A1-4FBD-B943-5DBACCCC5820}" name="sex" dataDxfId="7"/>
    <tableColumn id="4" xr3:uid="{D285A95A-48B4-4A6F-8822-CD793DBEF4CA}" name="smoker" dataDxfId="6"/>
    <tableColumn id="5" xr3:uid="{1ADCB787-CB2F-45A7-9F96-9B5A38A2CF63}" name="day" dataDxfId="5"/>
    <tableColumn id="6" xr3:uid="{46A33D6A-D4BD-47AA-B4E1-2C845FCDBAD1}" name="time" dataDxfId="4"/>
    <tableColumn id="7" xr3:uid="{2B361667-1892-45FB-9F3D-3C8B4BDC82EA}" name="size" dataDxfId="3"/>
    <tableColumn id="9" xr3:uid="{543A552C-9DBE-4B90-92E5-23371081B198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tips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244</v>
      </c>
    </row>
    <row r="5" spans="2:27" x14ac:dyDescent="0.3">
      <c r="B5" s="13" t="s">
        <v>27</v>
      </c>
      <c r="C5" s="63">
        <v>7</v>
      </c>
    </row>
    <row r="6" spans="2:27" x14ac:dyDescent="0.3">
      <c r="B6" s="30" t="s">
        <v>4</v>
      </c>
      <c r="C6" s="63" t="s">
        <v>55</v>
      </c>
      <c r="F6" s="58"/>
    </row>
    <row r="7" spans="2:27" x14ac:dyDescent="0.3">
      <c r="B7" s="16" t="s">
        <v>7</v>
      </c>
      <c r="C7" s="57">
        <v>0.99590163934426235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56</v>
      </c>
      <c r="F11" s="68">
        <v>0.93852459016393397</v>
      </c>
      <c r="G11" s="69">
        <v>0</v>
      </c>
      <c r="H11" s="68">
        <v>0.207681668262581</v>
      </c>
      <c r="I11" s="70">
        <v>1952</v>
      </c>
      <c r="J11" s="70">
        <v>229</v>
      </c>
      <c r="K11" s="70">
        <v>244</v>
      </c>
      <c r="L11" s="71">
        <v>1</v>
      </c>
      <c r="M11" s="70">
        <v>0</v>
      </c>
      <c r="N11" s="72">
        <v>19.785942622950799</v>
      </c>
      <c r="O11" s="72">
        <v>17.795000000000002</v>
      </c>
      <c r="P11" s="72">
        <v>13.42</v>
      </c>
      <c r="Q11" s="72">
        <v>8.9024119548568503</v>
      </c>
      <c r="R11" s="72">
        <v>79.252938613978202</v>
      </c>
      <c r="S11" s="72">
        <v>3.07</v>
      </c>
      <c r="T11" s="72">
        <v>9.5574999999999992</v>
      </c>
      <c r="U11" s="72">
        <v>13.3475</v>
      </c>
      <c r="V11" s="72">
        <v>17.795000000000002</v>
      </c>
      <c r="W11" s="72">
        <v>24.127499999999898</v>
      </c>
      <c r="X11" s="72">
        <v>38.061</v>
      </c>
      <c r="Y11" s="72">
        <v>50.81</v>
      </c>
      <c r="Z11" s="72">
        <v>47.74</v>
      </c>
      <c r="AA11" s="72">
        <v>10.7799999999999</v>
      </c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56</v>
      </c>
      <c r="F12" s="71">
        <v>0.50409836065573699</v>
      </c>
      <c r="G12" s="73">
        <v>0</v>
      </c>
      <c r="H12" s="74">
        <v>0.207681668262581</v>
      </c>
      <c r="I12" s="70">
        <v>1952</v>
      </c>
      <c r="J12" s="70">
        <v>123</v>
      </c>
      <c r="K12" s="70">
        <v>244</v>
      </c>
      <c r="L12" s="71">
        <v>1</v>
      </c>
      <c r="M12" s="70">
        <v>0</v>
      </c>
      <c r="N12" s="72">
        <v>2.9982786885245898</v>
      </c>
      <c r="O12" s="72">
        <v>2.9</v>
      </c>
      <c r="P12" s="72">
        <v>2</v>
      </c>
      <c r="Q12" s="72">
        <v>1.38363818900118</v>
      </c>
      <c r="R12" s="72">
        <v>1.9144546380624701</v>
      </c>
      <c r="S12" s="72">
        <v>1</v>
      </c>
      <c r="T12" s="72">
        <v>1.44</v>
      </c>
      <c r="U12" s="72">
        <v>2</v>
      </c>
      <c r="V12" s="72">
        <v>2.9</v>
      </c>
      <c r="W12" s="72">
        <v>3.5625</v>
      </c>
      <c r="X12" s="72">
        <v>5.1955</v>
      </c>
      <c r="Y12" s="72">
        <v>10</v>
      </c>
      <c r="Z12" s="72">
        <v>9</v>
      </c>
      <c r="AA12" s="72">
        <v>1.5625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57</v>
      </c>
      <c r="F13" s="71">
        <v>8.1967213114754103E-3</v>
      </c>
      <c r="G13" s="73">
        <v>0</v>
      </c>
      <c r="H13" s="74">
        <v>4.02170443664219E-2</v>
      </c>
      <c r="I13" s="70">
        <v>378</v>
      </c>
      <c r="J13" s="70">
        <v>2</v>
      </c>
      <c r="K13" s="70">
        <v>244</v>
      </c>
      <c r="L13" s="71">
        <v>1</v>
      </c>
      <c r="M13" s="70">
        <v>0</v>
      </c>
      <c r="N13" s="72"/>
      <c r="O13" s="72"/>
      <c r="P13" s="72" t="s">
        <v>58</v>
      </c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57</v>
      </c>
      <c r="F14" s="71">
        <v>8.1967213114754103E-3</v>
      </c>
      <c r="G14" s="73">
        <v>0</v>
      </c>
      <c r="H14" s="74">
        <v>3.9685072880093597E-2</v>
      </c>
      <c r="I14" s="70">
        <v>373</v>
      </c>
      <c r="J14" s="70">
        <v>2</v>
      </c>
      <c r="K14" s="70">
        <v>244</v>
      </c>
      <c r="L14" s="71">
        <v>1</v>
      </c>
      <c r="M14" s="70">
        <v>0</v>
      </c>
      <c r="N14" s="72"/>
      <c r="O14" s="72"/>
      <c r="P14" s="72" t="s">
        <v>59</v>
      </c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</row>
    <row r="15" spans="2:27" x14ac:dyDescent="0.3">
      <c r="B15" s="84" t="s">
        <v>52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57</v>
      </c>
      <c r="F15" s="71">
        <v>1.63934426229508E-2</v>
      </c>
      <c r="G15" s="73">
        <v>0</v>
      </c>
      <c r="H15" s="74">
        <v>4.90477710394722E-2</v>
      </c>
      <c r="I15" s="70">
        <v>461</v>
      </c>
      <c r="J15" s="70">
        <v>4</v>
      </c>
      <c r="K15" s="70">
        <v>244</v>
      </c>
      <c r="L15" s="71">
        <v>1</v>
      </c>
      <c r="M15" s="70">
        <v>0</v>
      </c>
      <c r="N15" s="72"/>
      <c r="O15" s="72"/>
      <c r="P15" s="72" t="s">
        <v>60</v>
      </c>
      <c r="Q15" s="72"/>
      <c r="R15" s="72"/>
      <c r="S15" s="72"/>
      <c r="T15" s="72"/>
      <c r="U15" s="72"/>
      <c r="V15" s="72"/>
      <c r="W15" s="72"/>
      <c r="X15" s="72"/>
      <c r="Y15" s="72"/>
      <c r="Z15" s="72"/>
      <c r="AA15" s="72"/>
    </row>
    <row r="16" spans="2:27" x14ac:dyDescent="0.3">
      <c r="B16" s="84" t="s">
        <v>53</v>
      </c>
      <c r="C16" s="102" t="str">
        <f>IF(INDEX(Definitions,1,MATCH(tbl_Overview[[#This Row],[Field]],Headers,0))="Definition","",INDEX(Definitions,1,MATCH(tbl_Overview[[#This Row],[Field]],Headers,0)))</f>
        <v/>
      </c>
      <c r="D16" s="103" t="str">
        <f>IF(INDEX(Notes,1,MATCH(tbl_Overview[[#This Row],[Field]],Headers,0))="Notes","",INDEX(Notes,1,MATCH(tbl_Overview[[#This Row],[Field]],Headers,0)))</f>
        <v/>
      </c>
      <c r="E16" s="67" t="s">
        <v>57</v>
      </c>
      <c r="F16" s="71">
        <v>8.1967213114754103E-3</v>
      </c>
      <c r="G16" s="73">
        <v>0</v>
      </c>
      <c r="H16" s="74">
        <v>4.0323438663687601E-2</v>
      </c>
      <c r="I16" s="70">
        <v>379</v>
      </c>
      <c r="J16" s="70">
        <v>2</v>
      </c>
      <c r="K16" s="70">
        <v>244</v>
      </c>
      <c r="L16" s="71">
        <v>1</v>
      </c>
      <c r="M16" s="70">
        <v>0</v>
      </c>
      <c r="N16" s="72"/>
      <c r="O16" s="72"/>
      <c r="P16" s="72" t="s">
        <v>61</v>
      </c>
      <c r="Q16" s="72"/>
      <c r="R16" s="72"/>
      <c r="S16" s="72"/>
      <c r="T16" s="72"/>
      <c r="U16" s="72"/>
      <c r="V16" s="72"/>
      <c r="W16" s="72"/>
      <c r="X16" s="72"/>
      <c r="Y16" s="72"/>
      <c r="Z16" s="72"/>
      <c r="AA16" s="72"/>
    </row>
    <row r="17" spans="2:27" x14ac:dyDescent="0.3">
      <c r="B17" s="104" t="s">
        <v>54</v>
      </c>
      <c r="C17" s="105" t="str">
        <f>IF(INDEX(Definitions,1,MATCH(tbl_Overview[[#This Row],[Field]],Headers,0))="Definition","",INDEX(Definitions,1,MATCH(tbl_Overview[[#This Row],[Field]],Headers,0)))</f>
        <v/>
      </c>
      <c r="D17" s="106" t="str">
        <f>IF(INDEX(Notes,1,MATCH(tbl_Overview[[#This Row],[Field]],Headers,0))="Notes","",INDEX(Notes,1,MATCH(tbl_Overview[[#This Row],[Field]],Headers,0)))</f>
        <v/>
      </c>
      <c r="E17" s="107" t="s">
        <v>62</v>
      </c>
      <c r="F17" s="108">
        <v>2.4590163934426201E-2</v>
      </c>
      <c r="G17" s="109">
        <v>0</v>
      </c>
      <c r="H17" s="110">
        <v>0.207681668262581</v>
      </c>
      <c r="I17" s="111">
        <v>1952</v>
      </c>
      <c r="J17" s="111">
        <v>6</v>
      </c>
      <c r="K17" s="111">
        <v>244</v>
      </c>
      <c r="L17" s="108">
        <v>1</v>
      </c>
      <c r="M17" s="111">
        <v>0</v>
      </c>
      <c r="N17" s="112">
        <v>2.5696721311475401</v>
      </c>
      <c r="O17" s="112">
        <v>2</v>
      </c>
      <c r="P17" s="112">
        <v>2</v>
      </c>
      <c r="Q17" s="112">
        <v>0.95109980473223399</v>
      </c>
      <c r="R17" s="112">
        <v>0.90459083856169398</v>
      </c>
      <c r="S17" s="112">
        <v>1</v>
      </c>
      <c r="T17" s="112">
        <v>2</v>
      </c>
      <c r="U17" s="112">
        <v>2</v>
      </c>
      <c r="V17" s="112">
        <v>2</v>
      </c>
      <c r="W17" s="112">
        <v>3</v>
      </c>
      <c r="X17" s="112">
        <v>4</v>
      </c>
      <c r="Y17" s="112">
        <v>6</v>
      </c>
      <c r="Z17" s="112">
        <v>5</v>
      </c>
      <c r="AA17" s="112">
        <v>1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7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K31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2.44140625" style="8" bestFit="1" customWidth="1"/>
    <col min="4" max="10" width="27.77734375" style="1" customWidth="1"/>
    <col min="11" max="11" width="15.88671875" bestFit="1" customWidth="1"/>
  </cols>
  <sheetData>
    <row r="1" spans="1:11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  <c r="J1" s="51"/>
    </row>
    <row r="2" spans="1:11" ht="10.050000000000001" customHeight="1" x14ac:dyDescent="0.3">
      <c r="A2"/>
      <c r="B2"/>
      <c r="C2"/>
      <c r="D2"/>
      <c r="E2"/>
      <c r="F2"/>
      <c r="G2"/>
      <c r="H2"/>
      <c r="I2"/>
      <c r="J2"/>
    </row>
    <row r="3" spans="1:11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  <c r="J3"/>
    </row>
    <row r="4" spans="1:11" ht="10.050000000000001" customHeight="1" x14ac:dyDescent="0.3">
      <c r="C4" s="79" t="s">
        <v>47</v>
      </c>
      <c r="D4" s="88"/>
      <c r="E4" s="88"/>
      <c r="F4"/>
      <c r="G4"/>
      <c r="H4"/>
      <c r="I4"/>
      <c r="J4"/>
    </row>
    <row r="5" spans="1:11" ht="10.050000000000001" customHeight="1" x14ac:dyDescent="0.3">
      <c r="C5" s="79"/>
      <c r="D5" s="88"/>
      <c r="E5" s="88"/>
      <c r="F5"/>
      <c r="G5"/>
      <c r="H5"/>
      <c r="I5"/>
      <c r="J5"/>
    </row>
    <row r="6" spans="1:11" ht="19.95" customHeight="1" x14ac:dyDescent="0.3">
      <c r="B6" s="9" t="s">
        <v>0</v>
      </c>
      <c r="C6" s="79"/>
    </row>
    <row r="7" spans="1:11" ht="10.050000000000001" customHeight="1" x14ac:dyDescent="0.3">
      <c r="B7" s="40"/>
      <c r="C7" s="79"/>
    </row>
    <row r="8" spans="1:11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  <c r="J8" s="80" t="s">
        <v>29</v>
      </c>
    </row>
    <row r="9" spans="1:11" ht="10.050000000000001" hidden="1" customHeight="1" outlineLevel="1" x14ac:dyDescent="0.3">
      <c r="A9"/>
      <c r="B9" s="75"/>
      <c r="C9"/>
      <c r="D9"/>
      <c r="E9"/>
      <c r="F9"/>
      <c r="G9"/>
      <c r="H9"/>
      <c r="I9"/>
      <c r="J9"/>
    </row>
    <row r="10" spans="1:11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  <c r="J10" s="80" t="s">
        <v>1</v>
      </c>
    </row>
    <row r="11" spans="1:11" ht="10.050000000000001" hidden="1" customHeight="1" outlineLevel="1" x14ac:dyDescent="0.3">
      <c r="C11" s="4"/>
      <c r="D11" s="76"/>
      <c r="E11" s="76"/>
      <c r="F11" s="76"/>
      <c r="G11" s="76"/>
      <c r="H11" s="76"/>
      <c r="I11" s="76"/>
      <c r="J11" s="76"/>
    </row>
    <row r="12" spans="1:11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96" t="s">
        <v>53</v>
      </c>
      <c r="J12" s="96" t="s">
        <v>54</v>
      </c>
      <c r="K12" s="85" t="s">
        <v>20</v>
      </c>
    </row>
    <row r="13" spans="1:11" ht="10.050000000000001" customHeight="1" outlineLevel="1" x14ac:dyDescent="0.3">
      <c r="A13"/>
      <c r="B13"/>
      <c r="C13"/>
      <c r="D13"/>
      <c r="E13"/>
      <c r="F13"/>
      <c r="G13"/>
      <c r="H13"/>
      <c r="I13"/>
      <c r="J13"/>
    </row>
    <row r="14" spans="1:11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  <c r="J14" s="8"/>
    </row>
    <row r="15" spans="1:11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  <c r="J15" s="46"/>
    </row>
    <row r="16" spans="1:11" ht="14.4" hidden="1" customHeight="1" outlineLevel="2" x14ac:dyDescent="0.3">
      <c r="A16" s="47"/>
      <c r="B16" s="48"/>
      <c r="C16" s="13" t="s">
        <v>3</v>
      </c>
      <c r="D16" s="14" t="s">
        <v>56</v>
      </c>
      <c r="E16" s="14" t="s">
        <v>56</v>
      </c>
      <c r="F16" s="14" t="s">
        <v>57</v>
      </c>
      <c r="G16" s="14" t="s">
        <v>57</v>
      </c>
      <c r="H16" s="14" t="s">
        <v>57</v>
      </c>
      <c r="I16" s="14" t="s">
        <v>57</v>
      </c>
      <c r="J16" s="14" t="s">
        <v>62</v>
      </c>
    </row>
    <row r="17" spans="1:10" ht="14.4" hidden="1" customHeight="1" outlineLevel="2" x14ac:dyDescent="0.3">
      <c r="A17" s="47"/>
      <c r="B17" s="49"/>
      <c r="C17" s="16" t="s">
        <v>7</v>
      </c>
      <c r="D17" s="50">
        <v>0.93852459016393397</v>
      </c>
      <c r="E17" s="50">
        <v>0.50409836065573699</v>
      </c>
      <c r="F17" s="50">
        <v>8.1967213114754103E-3</v>
      </c>
      <c r="G17" s="50">
        <v>8.1967213114754103E-3</v>
      </c>
      <c r="H17" s="50">
        <v>1.63934426229508E-2</v>
      </c>
      <c r="I17" s="50">
        <v>8.1967213114754103E-3</v>
      </c>
      <c r="J17" s="50">
        <v>2.4590163934426201E-2</v>
      </c>
    </row>
    <row r="18" spans="1:10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  <c r="I18" s="50">
        <v>0</v>
      </c>
      <c r="J18" s="50">
        <v>0</v>
      </c>
    </row>
    <row r="19" spans="1:10" ht="14.4" hidden="1" customHeight="1" outlineLevel="2" x14ac:dyDescent="0.3">
      <c r="B19" s="15"/>
      <c r="C19" s="30" t="s">
        <v>5</v>
      </c>
      <c r="D19" s="50">
        <v>0.207681668262581</v>
      </c>
      <c r="E19" s="50">
        <v>0.207681668262581</v>
      </c>
      <c r="F19" s="50">
        <v>4.02170443664219E-2</v>
      </c>
      <c r="G19" s="50">
        <v>3.9685072880093597E-2</v>
      </c>
      <c r="H19" s="50">
        <v>4.90477710394722E-2</v>
      </c>
      <c r="I19" s="50">
        <v>4.0323438663687601E-2</v>
      </c>
      <c r="J19" s="50">
        <v>0.207681668262581</v>
      </c>
    </row>
    <row r="20" spans="1:10" ht="14.4" hidden="1" customHeight="1" outlineLevel="2" x14ac:dyDescent="0.3">
      <c r="B20" s="15"/>
      <c r="C20" s="16" t="s">
        <v>4</v>
      </c>
      <c r="D20" s="14">
        <v>1952</v>
      </c>
      <c r="E20" s="14">
        <v>1952</v>
      </c>
      <c r="F20" s="14">
        <v>378</v>
      </c>
      <c r="G20" s="14">
        <v>373</v>
      </c>
      <c r="H20" s="14">
        <v>461</v>
      </c>
      <c r="I20" s="14">
        <v>379</v>
      </c>
      <c r="J20" s="14">
        <v>1952</v>
      </c>
    </row>
    <row r="21" spans="1:10" ht="14.4" hidden="1" customHeight="1" outlineLevel="2" x14ac:dyDescent="0.3">
      <c r="B21" s="15"/>
      <c r="C21" s="16" t="s">
        <v>6</v>
      </c>
      <c r="D21" s="14">
        <v>229</v>
      </c>
      <c r="E21" s="14">
        <v>123</v>
      </c>
      <c r="F21" s="14">
        <v>2</v>
      </c>
      <c r="G21" s="14">
        <v>2</v>
      </c>
      <c r="H21" s="14">
        <v>4</v>
      </c>
      <c r="I21" s="14">
        <v>2</v>
      </c>
      <c r="J21" s="14">
        <v>6</v>
      </c>
    </row>
    <row r="22" spans="1:10" ht="14.4" hidden="1" customHeight="1" outlineLevel="2" x14ac:dyDescent="0.3">
      <c r="B22" s="15"/>
      <c r="C22" s="16" t="s">
        <v>8</v>
      </c>
      <c r="D22" s="14">
        <v>244</v>
      </c>
      <c r="E22" s="14">
        <v>244</v>
      </c>
      <c r="F22" s="14">
        <v>244</v>
      </c>
      <c r="G22" s="14">
        <v>244</v>
      </c>
      <c r="H22" s="14">
        <v>244</v>
      </c>
      <c r="I22" s="14">
        <v>244</v>
      </c>
      <c r="J22" s="14">
        <v>244</v>
      </c>
    </row>
    <row r="23" spans="1:10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  <c r="I23" s="18">
        <v>0</v>
      </c>
      <c r="J23" s="18">
        <v>0</v>
      </c>
    </row>
    <row r="24" spans="1:10" ht="10.050000000000001" hidden="1" customHeight="1" outlineLevel="2" x14ac:dyDescent="0.3">
      <c r="B24" s="11"/>
      <c r="D24" s="8"/>
      <c r="E24" s="8"/>
      <c r="F24" s="8"/>
      <c r="G24" s="8"/>
      <c r="H24" s="8"/>
      <c r="I24" s="8"/>
      <c r="J24" s="8"/>
    </row>
    <row r="25" spans="1:10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  <c r="J25" s="22"/>
    </row>
    <row r="26" spans="1:10" ht="10.050000000000001" hidden="1" customHeight="1" outlineLevel="2" x14ac:dyDescent="0.3">
      <c r="B26" s="23"/>
      <c r="D26" s="8"/>
      <c r="E26" s="8"/>
      <c r="F26" s="8"/>
      <c r="G26" s="8"/>
      <c r="H26" s="8"/>
      <c r="I26" s="8"/>
      <c r="J26" s="8"/>
    </row>
    <row r="27" spans="1:10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  <c r="J27" s="8"/>
    </row>
    <row r="28" spans="1:10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  <c r="J28" s="8"/>
    </row>
    <row r="29" spans="1:10" ht="14.4" hidden="1" customHeight="1" outlineLevel="2" x14ac:dyDescent="0.35">
      <c r="B29" s="12"/>
      <c r="C29" s="13" t="s">
        <v>11</v>
      </c>
      <c r="D29" s="27">
        <v>19.785942622950799</v>
      </c>
      <c r="E29" s="27">
        <v>2.9982786885245898</v>
      </c>
      <c r="F29" s="27"/>
      <c r="G29" s="27"/>
      <c r="H29" s="27"/>
      <c r="I29" s="27"/>
      <c r="J29" s="27">
        <v>2.5696721311475401</v>
      </c>
    </row>
    <row r="30" spans="1:10" ht="14.4" hidden="1" customHeight="1" outlineLevel="2" x14ac:dyDescent="0.3">
      <c r="B30" s="15"/>
      <c r="C30" s="17" t="s">
        <v>12</v>
      </c>
      <c r="D30" s="28">
        <v>17.795000000000002</v>
      </c>
      <c r="E30" s="28">
        <v>2.9</v>
      </c>
      <c r="F30" s="28"/>
      <c r="G30" s="28"/>
      <c r="H30" s="28"/>
      <c r="I30" s="28"/>
      <c r="J30" s="28">
        <v>2</v>
      </c>
    </row>
    <row r="31" spans="1:10" ht="14.4" hidden="1" customHeight="1" outlineLevel="2" x14ac:dyDescent="0.3">
      <c r="B31" s="15"/>
      <c r="C31" s="16" t="s">
        <v>13</v>
      </c>
      <c r="D31" s="18">
        <v>13.42</v>
      </c>
      <c r="E31" s="18">
        <v>2</v>
      </c>
      <c r="F31" s="18" t="s">
        <v>58</v>
      </c>
      <c r="G31" s="18" t="s">
        <v>59</v>
      </c>
      <c r="H31" s="18" t="s">
        <v>60</v>
      </c>
      <c r="I31" s="18" t="s">
        <v>61</v>
      </c>
      <c r="J31" s="18">
        <v>2</v>
      </c>
    </row>
    <row r="32" spans="1:10" ht="14.4" hidden="1" customHeight="1" outlineLevel="2" x14ac:dyDescent="0.3">
      <c r="B32" s="15"/>
      <c r="C32" s="17" t="s">
        <v>14</v>
      </c>
      <c r="D32" s="29">
        <v>8.9024119548568503</v>
      </c>
      <c r="E32" s="29">
        <v>1.38363818900118</v>
      </c>
      <c r="F32" s="29"/>
      <c r="G32" s="29"/>
      <c r="H32" s="29"/>
      <c r="I32" s="29"/>
      <c r="J32" s="29">
        <v>0.95109980473223399</v>
      </c>
    </row>
    <row r="33" spans="1:10" ht="14.4" hidden="1" customHeight="1" outlineLevel="2" x14ac:dyDescent="0.3">
      <c r="B33" s="15"/>
      <c r="C33" s="30" t="s">
        <v>15</v>
      </c>
      <c r="D33" s="27">
        <v>79.252938613978202</v>
      </c>
      <c r="E33" s="27">
        <v>1.9144546380624701</v>
      </c>
      <c r="F33" s="27"/>
      <c r="G33" s="27"/>
      <c r="H33" s="27"/>
      <c r="I33" s="27"/>
      <c r="J33" s="27">
        <v>0.90459083856169398</v>
      </c>
    </row>
    <row r="34" spans="1:10" ht="10.050000000000001" hidden="1" customHeight="1" outlineLevel="2" x14ac:dyDescent="0.3">
      <c r="B34" s="11"/>
      <c r="D34" s="8"/>
      <c r="E34" s="8"/>
      <c r="F34" s="8"/>
      <c r="G34" s="8"/>
      <c r="H34" s="8"/>
      <c r="I34" s="8"/>
      <c r="J34" s="8"/>
    </row>
    <row r="35" spans="1:10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  <c r="J35" s="22"/>
    </row>
    <row r="36" spans="1:10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  <c r="J36" s="8"/>
    </row>
    <row r="37" spans="1:10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  <c r="J37" s="8"/>
    </row>
    <row r="38" spans="1:10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  <c r="J38" s="8"/>
    </row>
    <row r="39" spans="1:10" ht="14.4" hidden="1" customHeight="1" outlineLevel="2" x14ac:dyDescent="0.35">
      <c r="B39" s="12"/>
      <c r="C39" s="32" t="s">
        <v>16</v>
      </c>
      <c r="D39" s="29">
        <v>3.07</v>
      </c>
      <c r="E39" s="29">
        <v>1</v>
      </c>
      <c r="F39" s="29"/>
      <c r="G39" s="29"/>
      <c r="H39" s="29"/>
      <c r="I39" s="29"/>
      <c r="J39" s="29">
        <v>1</v>
      </c>
    </row>
    <row r="40" spans="1:10" ht="14.4" hidden="1" customHeight="1" outlineLevel="2" x14ac:dyDescent="0.3">
      <c r="B40" s="11"/>
      <c r="C40" s="33">
        <v>0.05</v>
      </c>
      <c r="D40" s="27">
        <v>9.5574999999999992</v>
      </c>
      <c r="E40" s="27">
        <v>1.44</v>
      </c>
      <c r="F40" s="27"/>
      <c r="G40" s="27"/>
      <c r="H40" s="27"/>
      <c r="I40" s="27"/>
      <c r="J40" s="27">
        <v>2</v>
      </c>
    </row>
    <row r="41" spans="1:10" ht="14.4" hidden="1" customHeight="1" outlineLevel="2" x14ac:dyDescent="0.3">
      <c r="B41" s="11"/>
      <c r="C41" s="34">
        <v>0.25</v>
      </c>
      <c r="D41" s="29">
        <v>13.3475</v>
      </c>
      <c r="E41" s="29">
        <v>2</v>
      </c>
      <c r="F41" s="29"/>
      <c r="G41" s="29"/>
      <c r="H41" s="29"/>
      <c r="I41" s="29"/>
      <c r="J41" s="29">
        <v>2</v>
      </c>
    </row>
    <row r="42" spans="1:10" ht="14.4" hidden="1" customHeight="1" outlineLevel="2" x14ac:dyDescent="0.3">
      <c r="B42" s="11"/>
      <c r="C42" s="33">
        <v>0.5</v>
      </c>
      <c r="D42" s="27">
        <v>17.795000000000002</v>
      </c>
      <c r="E42" s="27">
        <v>2.9</v>
      </c>
      <c r="F42" s="27"/>
      <c r="G42" s="27"/>
      <c r="H42" s="27"/>
      <c r="I42" s="27"/>
      <c r="J42" s="27">
        <v>2</v>
      </c>
    </row>
    <row r="43" spans="1:10" ht="14.4" hidden="1" customHeight="1" outlineLevel="2" x14ac:dyDescent="0.3">
      <c r="B43" s="11"/>
      <c r="C43" s="34">
        <v>0.75</v>
      </c>
      <c r="D43" s="29">
        <v>24.127499999999898</v>
      </c>
      <c r="E43" s="29">
        <v>3.5625</v>
      </c>
      <c r="F43" s="29"/>
      <c r="G43" s="29"/>
      <c r="H43" s="29"/>
      <c r="I43" s="29"/>
      <c r="J43" s="29">
        <v>3</v>
      </c>
    </row>
    <row r="44" spans="1:10" ht="14.4" hidden="1" customHeight="1" outlineLevel="2" x14ac:dyDescent="0.3">
      <c r="B44" s="11"/>
      <c r="C44" s="33">
        <v>0.95</v>
      </c>
      <c r="D44" s="27">
        <v>38.061</v>
      </c>
      <c r="E44" s="27">
        <v>5.1955</v>
      </c>
      <c r="F44" s="27"/>
      <c r="G44" s="27"/>
      <c r="H44" s="27"/>
      <c r="I44" s="27"/>
      <c r="J44" s="27">
        <v>4</v>
      </c>
    </row>
    <row r="45" spans="1:10" ht="14.4" hidden="1" customHeight="1" outlineLevel="2" x14ac:dyDescent="0.3">
      <c r="B45" s="11"/>
      <c r="C45" s="34" t="s">
        <v>17</v>
      </c>
      <c r="D45" s="29">
        <v>50.81</v>
      </c>
      <c r="E45" s="29">
        <v>10</v>
      </c>
      <c r="F45" s="29"/>
      <c r="G45" s="29"/>
      <c r="H45" s="29"/>
      <c r="I45" s="29"/>
      <c r="J45" s="29">
        <v>6</v>
      </c>
    </row>
    <row r="46" spans="1:10" ht="14.4" hidden="1" customHeight="1" outlineLevel="2" x14ac:dyDescent="0.3">
      <c r="B46" s="11"/>
      <c r="C46" s="16" t="s">
        <v>18</v>
      </c>
      <c r="D46" s="27">
        <v>47.74</v>
      </c>
      <c r="E46" s="27">
        <v>9</v>
      </c>
      <c r="F46" s="27"/>
      <c r="G46" s="27"/>
      <c r="H46" s="27"/>
      <c r="I46" s="27"/>
      <c r="J46" s="27">
        <v>5</v>
      </c>
    </row>
    <row r="47" spans="1:10" ht="14.4" hidden="1" customHeight="1" outlineLevel="2" x14ac:dyDescent="0.3">
      <c r="B47" s="23"/>
      <c r="C47" s="19" t="s">
        <v>19</v>
      </c>
      <c r="D47" s="29">
        <v>10.7799999999999</v>
      </c>
      <c r="E47" s="29">
        <v>1.5625</v>
      </c>
      <c r="F47" s="29"/>
      <c r="G47" s="29"/>
      <c r="H47" s="29"/>
      <c r="I47" s="29"/>
      <c r="J47" s="29">
        <v>1</v>
      </c>
    </row>
    <row r="48" spans="1:10" ht="10.050000000000001" hidden="1" customHeight="1" outlineLevel="2" x14ac:dyDescent="0.3">
      <c r="B48" s="23"/>
      <c r="D48" s="8"/>
      <c r="E48" s="8"/>
      <c r="F48" s="8"/>
      <c r="G48" s="8"/>
      <c r="H48" s="8"/>
      <c r="I48" s="8"/>
      <c r="J48" s="8"/>
    </row>
    <row r="49" spans="1:10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  <c r="J49" s="8"/>
    </row>
    <row r="50" spans="1:10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  <c r="J50" s="8"/>
    </row>
    <row r="51" spans="1:10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  <c r="J51" s="81" t="b">
        <v>0</v>
      </c>
    </row>
    <row r="52" spans="1:10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  <c r="J52" s="81" t="b">
        <v>0</v>
      </c>
    </row>
    <row r="53" spans="1:10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  <c r="J53" s="81" t="b">
        <v>0</v>
      </c>
    </row>
    <row r="54" spans="1:10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  <c r="J54" s="81" t="b">
        <v>0</v>
      </c>
    </row>
    <row r="55" spans="1:10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  <c r="J55" s="81" t="b">
        <v>0</v>
      </c>
    </row>
    <row r="56" spans="1:10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  <c r="J56" s="81" t="b">
        <v>0</v>
      </c>
    </row>
    <row r="57" spans="1:10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  <c r="J57" s="81" t="b">
        <v>0</v>
      </c>
    </row>
    <row r="58" spans="1:10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  <c r="J58" s="81" t="b">
        <v>0</v>
      </c>
    </row>
    <row r="59" spans="1:10" ht="10.050000000000001" hidden="1" customHeight="1" outlineLevel="2" x14ac:dyDescent="0.3">
      <c r="B59" s="20"/>
      <c r="D59" s="8"/>
      <c r="E59" s="8"/>
      <c r="F59" s="8"/>
      <c r="G59" s="8"/>
      <c r="H59" s="8"/>
      <c r="I59" s="8"/>
      <c r="J59" s="8"/>
    </row>
    <row r="60" spans="1:10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  <c r="J60" s="8"/>
    </row>
    <row r="61" spans="1:10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  <c r="J61" s="8"/>
    </row>
    <row r="62" spans="1:10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10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10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1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1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1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1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1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1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1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  <c r="J71" s="38"/>
    </row>
    <row r="72" spans="1:11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39" t="s">
        <v>54</v>
      </c>
      <c r="K72" s="97" t="s">
        <v>20</v>
      </c>
    </row>
    <row r="73" spans="1:11" x14ac:dyDescent="0.3">
      <c r="C73" s="41" t="b">
        <v>0</v>
      </c>
      <c r="D73" s="42">
        <v>16.989999999999998</v>
      </c>
      <c r="E73" s="42">
        <v>1.01</v>
      </c>
      <c r="F73" s="42" t="s">
        <v>63</v>
      </c>
      <c r="G73" s="42" t="s">
        <v>59</v>
      </c>
      <c r="H73" s="42" t="s">
        <v>64</v>
      </c>
      <c r="I73" s="42" t="s">
        <v>61</v>
      </c>
      <c r="J73" s="42">
        <v>2</v>
      </c>
      <c r="K73" s="113">
        <v>7.5104698228654705E+18</v>
      </c>
    </row>
    <row r="74" spans="1:11" x14ac:dyDescent="0.3">
      <c r="C74" s="41" t="b">
        <v>0</v>
      </c>
      <c r="D74" s="42">
        <v>10.34</v>
      </c>
      <c r="E74" s="42">
        <v>1.66</v>
      </c>
      <c r="F74" s="42" t="s">
        <v>58</v>
      </c>
      <c r="G74" s="42" t="s">
        <v>59</v>
      </c>
      <c r="H74" s="42" t="s">
        <v>64</v>
      </c>
      <c r="I74" s="42" t="s">
        <v>61</v>
      </c>
      <c r="J74" s="42">
        <v>3</v>
      </c>
      <c r="K74" s="113">
        <v>6.0843172595470899E+18</v>
      </c>
    </row>
    <row r="75" spans="1:11" x14ac:dyDescent="0.3">
      <c r="C75" s="41" t="b">
        <v>0</v>
      </c>
      <c r="D75" s="42">
        <v>21.01</v>
      </c>
      <c r="E75" s="42">
        <v>3.5</v>
      </c>
      <c r="F75" s="42" t="s">
        <v>58</v>
      </c>
      <c r="G75" s="42" t="s">
        <v>59</v>
      </c>
      <c r="H75" s="42" t="s">
        <v>64</v>
      </c>
      <c r="I75" s="42" t="s">
        <v>61</v>
      </c>
      <c r="J75" s="42">
        <v>3</v>
      </c>
      <c r="K75" s="113">
        <v>1.2806379340775299E+19</v>
      </c>
    </row>
    <row r="76" spans="1:11" x14ac:dyDescent="0.3">
      <c r="C76" s="41" t="b">
        <v>0</v>
      </c>
      <c r="D76" s="42">
        <v>23.68</v>
      </c>
      <c r="E76" s="42">
        <v>3.31</v>
      </c>
      <c r="F76" s="42" t="s">
        <v>58</v>
      </c>
      <c r="G76" s="42" t="s">
        <v>59</v>
      </c>
      <c r="H76" s="42" t="s">
        <v>64</v>
      </c>
      <c r="I76" s="42" t="s">
        <v>61</v>
      </c>
      <c r="J76" s="42">
        <v>2</v>
      </c>
      <c r="K76" s="113">
        <v>1.19001269297692E+19</v>
      </c>
    </row>
    <row r="77" spans="1:11" x14ac:dyDescent="0.3">
      <c r="C77" s="41" t="b">
        <v>0</v>
      </c>
      <c r="D77" s="42">
        <v>24.59</v>
      </c>
      <c r="E77" s="42">
        <v>3.61</v>
      </c>
      <c r="F77" s="42" t="s">
        <v>63</v>
      </c>
      <c r="G77" s="42" t="s">
        <v>59</v>
      </c>
      <c r="H77" s="42" t="s">
        <v>64</v>
      </c>
      <c r="I77" s="42" t="s">
        <v>61</v>
      </c>
      <c r="J77" s="42">
        <v>4</v>
      </c>
      <c r="K77" s="113">
        <v>1.4011221456170299E+19</v>
      </c>
    </row>
    <row r="78" spans="1:11" x14ac:dyDescent="0.3">
      <c r="C78" s="41" t="b">
        <v>0</v>
      </c>
      <c r="D78" s="42">
        <v>25.29</v>
      </c>
      <c r="E78" s="42">
        <v>4.71</v>
      </c>
      <c r="F78" s="42" t="s">
        <v>58</v>
      </c>
      <c r="G78" s="42" t="s">
        <v>59</v>
      </c>
      <c r="H78" s="42" t="s">
        <v>64</v>
      </c>
      <c r="I78" s="42" t="s">
        <v>61</v>
      </c>
      <c r="J78" s="42">
        <v>4</v>
      </c>
      <c r="K78" s="113">
        <v>2.3369940589917E+18</v>
      </c>
    </row>
    <row r="79" spans="1:11" x14ac:dyDescent="0.3">
      <c r="C79" s="41" t="b">
        <v>0</v>
      </c>
      <c r="D79" s="42">
        <v>8.77</v>
      </c>
      <c r="E79" s="42">
        <v>2</v>
      </c>
      <c r="F79" s="42" t="s">
        <v>58</v>
      </c>
      <c r="G79" s="42" t="s">
        <v>59</v>
      </c>
      <c r="H79" s="42" t="s">
        <v>64</v>
      </c>
      <c r="I79" s="42" t="s">
        <v>61</v>
      </c>
      <c r="J79" s="42">
        <v>2</v>
      </c>
      <c r="K79" s="113">
        <v>1.0442550378459199E+19</v>
      </c>
    </row>
    <row r="80" spans="1:11" x14ac:dyDescent="0.3">
      <c r="C80" s="41" t="b">
        <v>0</v>
      </c>
      <c r="D80" s="42">
        <v>26.88</v>
      </c>
      <c r="E80" s="42">
        <v>3.12</v>
      </c>
      <c r="F80" s="42" t="s">
        <v>58</v>
      </c>
      <c r="G80" s="42" t="s">
        <v>59</v>
      </c>
      <c r="H80" s="42" t="s">
        <v>64</v>
      </c>
      <c r="I80" s="42" t="s">
        <v>61</v>
      </c>
      <c r="J80" s="42">
        <v>4</v>
      </c>
      <c r="K80" s="113">
        <v>2.64318599023407E+18</v>
      </c>
    </row>
    <row r="81" spans="3:11" x14ac:dyDescent="0.3">
      <c r="C81" s="41" t="b">
        <v>0</v>
      </c>
      <c r="D81" s="42">
        <v>15.04</v>
      </c>
      <c r="E81" s="42">
        <v>1.96</v>
      </c>
      <c r="F81" s="42" t="s">
        <v>58</v>
      </c>
      <c r="G81" s="42" t="s">
        <v>59</v>
      </c>
      <c r="H81" s="42" t="s">
        <v>64</v>
      </c>
      <c r="I81" s="42" t="s">
        <v>61</v>
      </c>
      <c r="J81" s="42">
        <v>2</v>
      </c>
      <c r="K81" s="113">
        <v>1.78925574791925E+19</v>
      </c>
    </row>
    <row r="82" spans="3:11" x14ac:dyDescent="0.3">
      <c r="C82" s="41" t="b">
        <v>0</v>
      </c>
      <c r="D82" s="42">
        <v>14.78</v>
      </c>
      <c r="E82" s="42">
        <v>3.23</v>
      </c>
      <c r="F82" s="42" t="s">
        <v>58</v>
      </c>
      <c r="G82" s="42" t="s">
        <v>59</v>
      </c>
      <c r="H82" s="42" t="s">
        <v>64</v>
      </c>
      <c r="I82" s="42" t="s">
        <v>61</v>
      </c>
      <c r="J82" s="42">
        <v>2</v>
      </c>
      <c r="K82" s="113">
        <v>3.2065582729770701E+17</v>
      </c>
    </row>
    <row r="83" spans="3:11" x14ac:dyDescent="0.3">
      <c r="C83" s="41" t="b">
        <v>0</v>
      </c>
      <c r="D83" s="42">
        <v>10.27</v>
      </c>
      <c r="E83" s="42">
        <v>1.71</v>
      </c>
      <c r="F83" s="42" t="s">
        <v>58</v>
      </c>
      <c r="G83" s="42" t="s">
        <v>59</v>
      </c>
      <c r="H83" s="42" t="s">
        <v>64</v>
      </c>
      <c r="I83" s="42" t="s">
        <v>61</v>
      </c>
      <c r="J83" s="42">
        <v>2</v>
      </c>
      <c r="K83" s="113">
        <v>3.53951939244109E+18</v>
      </c>
    </row>
    <row r="84" spans="3:11" x14ac:dyDescent="0.3">
      <c r="C84" s="41" t="b">
        <v>0</v>
      </c>
      <c r="D84" s="42">
        <v>35.26</v>
      </c>
      <c r="E84" s="42">
        <v>5</v>
      </c>
      <c r="F84" s="42" t="s">
        <v>63</v>
      </c>
      <c r="G84" s="42" t="s">
        <v>59</v>
      </c>
      <c r="H84" s="42" t="s">
        <v>64</v>
      </c>
      <c r="I84" s="42" t="s">
        <v>61</v>
      </c>
      <c r="J84" s="42">
        <v>4</v>
      </c>
      <c r="K84" s="113">
        <v>1.27564665350523E+19</v>
      </c>
    </row>
    <row r="85" spans="3:11" x14ac:dyDescent="0.3">
      <c r="C85" s="41" t="b">
        <v>0</v>
      </c>
      <c r="D85" s="42">
        <v>15.42</v>
      </c>
      <c r="E85" s="42">
        <v>1.57</v>
      </c>
      <c r="F85" s="42" t="s">
        <v>58</v>
      </c>
      <c r="G85" s="42" t="s">
        <v>59</v>
      </c>
      <c r="H85" s="42" t="s">
        <v>64</v>
      </c>
      <c r="I85" s="42" t="s">
        <v>61</v>
      </c>
      <c r="J85" s="42">
        <v>2</v>
      </c>
      <c r="K85" s="113">
        <v>5.0159218669489603E+18</v>
      </c>
    </row>
    <row r="86" spans="3:11" x14ac:dyDescent="0.3">
      <c r="C86" s="41" t="b">
        <v>0</v>
      </c>
      <c r="D86" s="42">
        <v>18.43</v>
      </c>
      <c r="E86" s="42">
        <v>3</v>
      </c>
      <c r="F86" s="42" t="s">
        <v>58</v>
      </c>
      <c r="G86" s="42" t="s">
        <v>59</v>
      </c>
      <c r="H86" s="42" t="s">
        <v>64</v>
      </c>
      <c r="I86" s="42" t="s">
        <v>61</v>
      </c>
      <c r="J86" s="42">
        <v>4</v>
      </c>
      <c r="K86" s="113">
        <v>1.6880138672821399E+18</v>
      </c>
    </row>
    <row r="87" spans="3:11" x14ac:dyDescent="0.3">
      <c r="C87" s="41" t="b">
        <v>0</v>
      </c>
      <c r="D87" s="42">
        <v>14.83</v>
      </c>
      <c r="E87" s="42">
        <v>3.02</v>
      </c>
      <c r="F87" s="42" t="s">
        <v>63</v>
      </c>
      <c r="G87" s="42" t="s">
        <v>59</v>
      </c>
      <c r="H87" s="42" t="s">
        <v>64</v>
      </c>
      <c r="I87" s="42" t="s">
        <v>61</v>
      </c>
      <c r="J87" s="42">
        <v>2</v>
      </c>
      <c r="K87" s="113">
        <v>1.56158319115962E+19</v>
      </c>
    </row>
    <row r="88" spans="3:11" x14ac:dyDescent="0.3">
      <c r="C88" s="41" t="b">
        <v>0</v>
      </c>
      <c r="D88" s="42">
        <v>21.58</v>
      </c>
      <c r="E88" s="42">
        <v>3.92</v>
      </c>
      <c r="F88" s="42" t="s">
        <v>58</v>
      </c>
      <c r="G88" s="42" t="s">
        <v>59</v>
      </c>
      <c r="H88" s="42" t="s">
        <v>64</v>
      </c>
      <c r="I88" s="42" t="s">
        <v>61</v>
      </c>
      <c r="J88" s="42">
        <v>2</v>
      </c>
      <c r="K88" s="113">
        <v>1.1559945909674E+19</v>
      </c>
    </row>
    <row r="89" spans="3:11" x14ac:dyDescent="0.3">
      <c r="C89" s="41" t="b">
        <v>0</v>
      </c>
      <c r="D89" s="42">
        <v>10.33</v>
      </c>
      <c r="E89" s="42">
        <v>1.67</v>
      </c>
      <c r="F89" s="42" t="s">
        <v>63</v>
      </c>
      <c r="G89" s="42" t="s">
        <v>59</v>
      </c>
      <c r="H89" s="42" t="s">
        <v>64</v>
      </c>
      <c r="I89" s="42" t="s">
        <v>61</v>
      </c>
      <c r="J89" s="42">
        <v>3</v>
      </c>
      <c r="K89" s="113">
        <v>6.6058862076817398E+18</v>
      </c>
    </row>
    <row r="90" spans="3:11" x14ac:dyDescent="0.3">
      <c r="C90" s="41" t="b">
        <v>0</v>
      </c>
      <c r="D90" s="42">
        <v>16.29</v>
      </c>
      <c r="E90" s="42">
        <v>3.71</v>
      </c>
      <c r="F90" s="42" t="s">
        <v>58</v>
      </c>
      <c r="G90" s="42" t="s">
        <v>59</v>
      </c>
      <c r="H90" s="42" t="s">
        <v>64</v>
      </c>
      <c r="I90" s="42" t="s">
        <v>61</v>
      </c>
      <c r="J90" s="42">
        <v>3</v>
      </c>
      <c r="K90" s="113">
        <v>9.7725412371542896E+16</v>
      </c>
    </row>
    <row r="91" spans="3:11" x14ac:dyDescent="0.3">
      <c r="C91" s="41" t="b">
        <v>0</v>
      </c>
      <c r="D91" s="42">
        <v>16.97</v>
      </c>
      <c r="E91" s="42">
        <v>3.5</v>
      </c>
      <c r="F91" s="42" t="s">
        <v>63</v>
      </c>
      <c r="G91" s="42" t="s">
        <v>59</v>
      </c>
      <c r="H91" s="42" t="s">
        <v>64</v>
      </c>
      <c r="I91" s="42" t="s">
        <v>61</v>
      </c>
      <c r="J91" s="42">
        <v>3</v>
      </c>
      <c r="K91" s="113">
        <v>1.50741537392751E+19</v>
      </c>
    </row>
    <row r="92" spans="3:11" x14ac:dyDescent="0.3">
      <c r="C92" s="41" t="b">
        <v>0</v>
      </c>
      <c r="D92" s="42">
        <v>20.65</v>
      </c>
      <c r="E92" s="42">
        <v>3.35</v>
      </c>
      <c r="F92" s="42" t="s">
        <v>58</v>
      </c>
      <c r="G92" s="42" t="s">
        <v>59</v>
      </c>
      <c r="H92" s="42" t="s">
        <v>60</v>
      </c>
      <c r="I92" s="42" t="s">
        <v>61</v>
      </c>
      <c r="J92" s="42">
        <v>3</v>
      </c>
      <c r="K92" s="113">
        <v>1.1871538398832499E+18</v>
      </c>
    </row>
    <row r="93" spans="3:11" x14ac:dyDescent="0.3">
      <c r="C93" s="41" t="b">
        <v>0</v>
      </c>
      <c r="D93" s="42">
        <v>17.920000000000002</v>
      </c>
      <c r="E93" s="42">
        <v>4.08</v>
      </c>
      <c r="F93" s="42" t="s">
        <v>58</v>
      </c>
      <c r="G93" s="42" t="s">
        <v>59</v>
      </c>
      <c r="H93" s="42" t="s">
        <v>60</v>
      </c>
      <c r="I93" s="42" t="s">
        <v>61</v>
      </c>
      <c r="J93" s="42">
        <v>2</v>
      </c>
      <c r="K93" s="113">
        <v>6.6506527492650199E+18</v>
      </c>
    </row>
    <row r="94" spans="3:11" x14ac:dyDescent="0.3">
      <c r="C94" s="41" t="b">
        <v>0</v>
      </c>
      <c r="D94" s="42">
        <v>20.29</v>
      </c>
      <c r="E94" s="42">
        <v>2.75</v>
      </c>
      <c r="F94" s="42" t="s">
        <v>63</v>
      </c>
      <c r="G94" s="42" t="s">
        <v>59</v>
      </c>
      <c r="H94" s="42" t="s">
        <v>60</v>
      </c>
      <c r="I94" s="42" t="s">
        <v>61</v>
      </c>
      <c r="J94" s="42">
        <v>2</v>
      </c>
      <c r="K94" s="113">
        <v>1.6589552980100801E+19</v>
      </c>
    </row>
    <row r="95" spans="3:11" x14ac:dyDescent="0.3">
      <c r="C95" s="41" t="b">
        <v>0</v>
      </c>
      <c r="D95" s="42">
        <v>15.77</v>
      </c>
      <c r="E95" s="42">
        <v>2.23</v>
      </c>
      <c r="F95" s="42" t="s">
        <v>63</v>
      </c>
      <c r="G95" s="42" t="s">
        <v>59</v>
      </c>
      <c r="H95" s="42" t="s">
        <v>60</v>
      </c>
      <c r="I95" s="42" t="s">
        <v>61</v>
      </c>
      <c r="J95" s="42">
        <v>2</v>
      </c>
      <c r="K95" s="113">
        <v>1.8359796040389599E+19</v>
      </c>
    </row>
    <row r="96" spans="3:11" x14ac:dyDescent="0.3">
      <c r="C96" s="41" t="b">
        <v>0</v>
      </c>
      <c r="D96" s="42">
        <v>39.42</v>
      </c>
      <c r="E96" s="42">
        <v>7.58</v>
      </c>
      <c r="F96" s="42" t="s">
        <v>58</v>
      </c>
      <c r="G96" s="42" t="s">
        <v>59</v>
      </c>
      <c r="H96" s="42" t="s">
        <v>60</v>
      </c>
      <c r="I96" s="42" t="s">
        <v>61</v>
      </c>
      <c r="J96" s="42">
        <v>4</v>
      </c>
      <c r="K96" s="113">
        <v>5.80096703819149E+18</v>
      </c>
    </row>
    <row r="97" spans="3:11" x14ac:dyDescent="0.3">
      <c r="C97" s="41" t="b">
        <v>0</v>
      </c>
      <c r="D97" s="42">
        <v>19.82</v>
      </c>
      <c r="E97" s="42">
        <v>3.18</v>
      </c>
      <c r="F97" s="42" t="s">
        <v>58</v>
      </c>
      <c r="G97" s="42" t="s">
        <v>59</v>
      </c>
      <c r="H97" s="42" t="s">
        <v>60</v>
      </c>
      <c r="I97" s="42" t="s">
        <v>61</v>
      </c>
      <c r="J97" s="42">
        <v>2</v>
      </c>
      <c r="K97" s="113">
        <v>1.2327435005005001E+19</v>
      </c>
    </row>
    <row r="98" spans="3:11" x14ac:dyDescent="0.3">
      <c r="C98" s="41" t="b">
        <v>0</v>
      </c>
      <c r="D98" s="42">
        <v>17.809999999999999</v>
      </c>
      <c r="E98" s="42">
        <v>2.34</v>
      </c>
      <c r="F98" s="42" t="s">
        <v>58</v>
      </c>
      <c r="G98" s="42" t="s">
        <v>59</v>
      </c>
      <c r="H98" s="42" t="s">
        <v>60</v>
      </c>
      <c r="I98" s="42" t="s">
        <v>61</v>
      </c>
      <c r="J98" s="42">
        <v>4</v>
      </c>
      <c r="K98" s="113">
        <v>3.6164800239611197E+18</v>
      </c>
    </row>
    <row r="99" spans="3:11" x14ac:dyDescent="0.3">
      <c r="C99" s="41" t="b">
        <v>0</v>
      </c>
      <c r="D99" s="42">
        <v>13.37</v>
      </c>
      <c r="E99" s="42">
        <v>2</v>
      </c>
      <c r="F99" s="42" t="s">
        <v>58</v>
      </c>
      <c r="G99" s="42" t="s">
        <v>59</v>
      </c>
      <c r="H99" s="42" t="s">
        <v>60</v>
      </c>
      <c r="I99" s="42" t="s">
        <v>61</v>
      </c>
      <c r="J99" s="42">
        <v>2</v>
      </c>
      <c r="K99" s="113">
        <v>1.3885923723546401E+19</v>
      </c>
    </row>
    <row r="100" spans="3:11" x14ac:dyDescent="0.3">
      <c r="C100" s="41" t="b">
        <v>0</v>
      </c>
      <c r="D100" s="42">
        <v>12.69</v>
      </c>
      <c r="E100" s="42">
        <v>2</v>
      </c>
      <c r="F100" s="42" t="s">
        <v>58</v>
      </c>
      <c r="G100" s="42" t="s">
        <v>59</v>
      </c>
      <c r="H100" s="42" t="s">
        <v>60</v>
      </c>
      <c r="I100" s="42" t="s">
        <v>61</v>
      </c>
      <c r="J100" s="42">
        <v>2</v>
      </c>
      <c r="K100" s="113">
        <v>1.06210718227222E+19</v>
      </c>
    </row>
    <row r="101" spans="3:11" x14ac:dyDescent="0.3">
      <c r="C101" s="41" t="b">
        <v>0</v>
      </c>
      <c r="D101" s="42">
        <v>21.7</v>
      </c>
      <c r="E101" s="42">
        <v>4.3</v>
      </c>
      <c r="F101" s="42" t="s">
        <v>58</v>
      </c>
      <c r="G101" s="42" t="s">
        <v>59</v>
      </c>
      <c r="H101" s="42" t="s">
        <v>60</v>
      </c>
      <c r="I101" s="42" t="s">
        <v>61</v>
      </c>
      <c r="J101" s="42">
        <v>2</v>
      </c>
      <c r="K101" s="113">
        <v>2.4784224923164201E+18</v>
      </c>
    </row>
    <row r="102" spans="3:11" x14ac:dyDescent="0.3">
      <c r="C102" s="41" t="b">
        <v>0</v>
      </c>
      <c r="D102" s="42">
        <v>19.649999999999999</v>
      </c>
      <c r="E102" s="42">
        <v>3</v>
      </c>
      <c r="F102" s="42" t="s">
        <v>63</v>
      </c>
      <c r="G102" s="42" t="s">
        <v>59</v>
      </c>
      <c r="H102" s="42" t="s">
        <v>60</v>
      </c>
      <c r="I102" s="42" t="s">
        <v>61</v>
      </c>
      <c r="J102" s="42">
        <v>2</v>
      </c>
      <c r="K102" s="113">
        <v>1.11310539022277E+19</v>
      </c>
    </row>
    <row r="103" spans="3:11" x14ac:dyDescent="0.3">
      <c r="C103" s="41" t="b">
        <v>0</v>
      </c>
      <c r="D103" s="42">
        <v>9.5500000000000007</v>
      </c>
      <c r="E103" s="42">
        <v>1.45</v>
      </c>
      <c r="F103" s="42" t="s">
        <v>58</v>
      </c>
      <c r="G103" s="42" t="s">
        <v>59</v>
      </c>
      <c r="H103" s="42" t="s">
        <v>60</v>
      </c>
      <c r="I103" s="42" t="s">
        <v>61</v>
      </c>
      <c r="J103" s="42">
        <v>2</v>
      </c>
      <c r="K103" s="113">
        <v>4.6400151965172797E+18</v>
      </c>
    </row>
    <row r="104" spans="3:11" x14ac:dyDescent="0.3">
      <c r="C104" s="41" t="b">
        <v>0</v>
      </c>
      <c r="D104" s="42">
        <v>18.350000000000001</v>
      </c>
      <c r="E104" s="42">
        <v>2.5</v>
      </c>
      <c r="F104" s="42" t="s">
        <v>58</v>
      </c>
      <c r="G104" s="42" t="s">
        <v>59</v>
      </c>
      <c r="H104" s="42" t="s">
        <v>60</v>
      </c>
      <c r="I104" s="42" t="s">
        <v>61</v>
      </c>
      <c r="J104" s="42">
        <v>4</v>
      </c>
      <c r="K104" s="113">
        <v>9.5844281538499098E+17</v>
      </c>
    </row>
    <row r="105" spans="3:11" x14ac:dyDescent="0.3">
      <c r="C105" s="41" t="b">
        <v>0</v>
      </c>
      <c r="D105" s="42">
        <v>15.06</v>
      </c>
      <c r="E105" s="42">
        <v>3</v>
      </c>
      <c r="F105" s="42" t="s">
        <v>63</v>
      </c>
      <c r="G105" s="42" t="s">
        <v>59</v>
      </c>
      <c r="H105" s="42" t="s">
        <v>60</v>
      </c>
      <c r="I105" s="42" t="s">
        <v>61</v>
      </c>
      <c r="J105" s="42">
        <v>2</v>
      </c>
      <c r="K105" s="113">
        <v>1.0574968148867899E+19</v>
      </c>
    </row>
    <row r="106" spans="3:11" x14ac:dyDescent="0.3">
      <c r="C106" s="41" t="b">
        <v>0</v>
      </c>
      <c r="D106" s="42">
        <v>20.69</v>
      </c>
      <c r="E106" s="42">
        <v>2.4500000000000002</v>
      </c>
      <c r="F106" s="42" t="s">
        <v>63</v>
      </c>
      <c r="G106" s="42" t="s">
        <v>59</v>
      </c>
      <c r="H106" s="42" t="s">
        <v>60</v>
      </c>
      <c r="I106" s="42" t="s">
        <v>61</v>
      </c>
      <c r="J106" s="42">
        <v>4</v>
      </c>
      <c r="K106" s="113">
        <v>1.6080799920171801E+19</v>
      </c>
    </row>
    <row r="107" spans="3:11" x14ac:dyDescent="0.3">
      <c r="C107" s="41" t="b">
        <v>0</v>
      </c>
      <c r="D107" s="42">
        <v>17.78</v>
      </c>
      <c r="E107" s="42">
        <v>3.27</v>
      </c>
      <c r="F107" s="42" t="s">
        <v>58</v>
      </c>
      <c r="G107" s="42" t="s">
        <v>59</v>
      </c>
      <c r="H107" s="42" t="s">
        <v>60</v>
      </c>
      <c r="I107" s="42" t="s">
        <v>61</v>
      </c>
      <c r="J107" s="42">
        <v>2</v>
      </c>
      <c r="K107" s="113">
        <v>2.3487575600490501E+18</v>
      </c>
    </row>
    <row r="108" spans="3:11" x14ac:dyDescent="0.3">
      <c r="C108" s="41" t="b">
        <v>0</v>
      </c>
      <c r="D108" s="42">
        <v>24.06</v>
      </c>
      <c r="E108" s="42">
        <v>3.6</v>
      </c>
      <c r="F108" s="42" t="s">
        <v>58</v>
      </c>
      <c r="G108" s="42" t="s">
        <v>59</v>
      </c>
      <c r="H108" s="42" t="s">
        <v>60</v>
      </c>
      <c r="I108" s="42" t="s">
        <v>61</v>
      </c>
      <c r="J108" s="42">
        <v>3</v>
      </c>
      <c r="K108" s="113">
        <v>1.84454908652707E+19</v>
      </c>
    </row>
    <row r="109" spans="3:11" x14ac:dyDescent="0.3">
      <c r="C109" s="41" t="b">
        <v>0</v>
      </c>
      <c r="D109" s="42">
        <v>16.309999999999999</v>
      </c>
      <c r="E109" s="42">
        <v>2</v>
      </c>
      <c r="F109" s="42" t="s">
        <v>58</v>
      </c>
      <c r="G109" s="42" t="s">
        <v>59</v>
      </c>
      <c r="H109" s="42" t="s">
        <v>60</v>
      </c>
      <c r="I109" s="42" t="s">
        <v>61</v>
      </c>
      <c r="J109" s="42">
        <v>3</v>
      </c>
      <c r="K109" s="113">
        <v>1.1261565039414E+19</v>
      </c>
    </row>
    <row r="110" spans="3:11" x14ac:dyDescent="0.3">
      <c r="C110" s="41" t="b">
        <v>0</v>
      </c>
      <c r="D110" s="42">
        <v>16.93</v>
      </c>
      <c r="E110" s="42">
        <v>3.07</v>
      </c>
      <c r="F110" s="42" t="s">
        <v>63</v>
      </c>
      <c r="G110" s="42" t="s">
        <v>59</v>
      </c>
      <c r="H110" s="42" t="s">
        <v>60</v>
      </c>
      <c r="I110" s="42" t="s">
        <v>61</v>
      </c>
      <c r="J110" s="42">
        <v>3</v>
      </c>
      <c r="K110" s="113">
        <v>1.4587282417693901E+19</v>
      </c>
    </row>
    <row r="111" spans="3:11" x14ac:dyDescent="0.3">
      <c r="C111" s="41" t="b">
        <v>0</v>
      </c>
      <c r="D111" s="42">
        <v>18.690000000000001</v>
      </c>
      <c r="E111" s="42">
        <v>2.31</v>
      </c>
      <c r="F111" s="42" t="s">
        <v>58</v>
      </c>
      <c r="G111" s="42" t="s">
        <v>59</v>
      </c>
      <c r="H111" s="42" t="s">
        <v>60</v>
      </c>
      <c r="I111" s="42" t="s">
        <v>61</v>
      </c>
      <c r="J111" s="42">
        <v>3</v>
      </c>
      <c r="K111" s="113">
        <v>9.2993892906164704E+16</v>
      </c>
    </row>
    <row r="112" spans="3:11" x14ac:dyDescent="0.3">
      <c r="C112" s="41" t="b">
        <v>0</v>
      </c>
      <c r="D112" s="42">
        <v>31.27</v>
      </c>
      <c r="E112" s="42">
        <v>5</v>
      </c>
      <c r="F112" s="42" t="s">
        <v>58</v>
      </c>
      <c r="G112" s="42" t="s">
        <v>59</v>
      </c>
      <c r="H112" s="42" t="s">
        <v>60</v>
      </c>
      <c r="I112" s="42" t="s">
        <v>61</v>
      </c>
      <c r="J112" s="42">
        <v>3</v>
      </c>
      <c r="K112" s="113">
        <v>6.7694757123485604E+18</v>
      </c>
    </row>
    <row r="113" spans="3:11" x14ac:dyDescent="0.3">
      <c r="C113" s="41" t="b">
        <v>0</v>
      </c>
      <c r="D113" s="42">
        <v>16.04</v>
      </c>
      <c r="E113" s="42">
        <v>2.2400000000000002</v>
      </c>
      <c r="F113" s="42" t="s">
        <v>58</v>
      </c>
      <c r="G113" s="42" t="s">
        <v>59</v>
      </c>
      <c r="H113" s="42" t="s">
        <v>60</v>
      </c>
      <c r="I113" s="42" t="s">
        <v>61</v>
      </c>
      <c r="J113" s="42">
        <v>3</v>
      </c>
      <c r="K113" s="113">
        <v>1.07153642101043E+19</v>
      </c>
    </row>
    <row r="114" spans="3:11" x14ac:dyDescent="0.3">
      <c r="C114" s="41" t="b">
        <v>0</v>
      </c>
      <c r="D114" s="42">
        <v>17.46</v>
      </c>
      <c r="E114" s="42">
        <v>2.54</v>
      </c>
      <c r="F114" s="42" t="s">
        <v>58</v>
      </c>
      <c r="G114" s="42" t="s">
        <v>59</v>
      </c>
      <c r="H114" s="42" t="s">
        <v>64</v>
      </c>
      <c r="I114" s="42" t="s">
        <v>61</v>
      </c>
      <c r="J114" s="42">
        <v>2</v>
      </c>
      <c r="K114" s="113">
        <v>8.8297189996784804E+18</v>
      </c>
    </row>
    <row r="115" spans="3:11" x14ac:dyDescent="0.3">
      <c r="C115" s="41" t="b">
        <v>0</v>
      </c>
      <c r="D115" s="42">
        <v>13.94</v>
      </c>
      <c r="E115" s="42">
        <v>3.06</v>
      </c>
      <c r="F115" s="42" t="s">
        <v>58</v>
      </c>
      <c r="G115" s="42" t="s">
        <v>59</v>
      </c>
      <c r="H115" s="42" t="s">
        <v>64</v>
      </c>
      <c r="I115" s="42" t="s">
        <v>61</v>
      </c>
      <c r="J115" s="42">
        <v>2</v>
      </c>
      <c r="K115" s="113">
        <v>4.0137302721988398E+18</v>
      </c>
    </row>
    <row r="116" spans="3:11" x14ac:dyDescent="0.3">
      <c r="C116" s="41" t="b">
        <v>0</v>
      </c>
      <c r="D116" s="42">
        <v>9.68</v>
      </c>
      <c r="E116" s="42">
        <v>1.32</v>
      </c>
      <c r="F116" s="42" t="s">
        <v>58</v>
      </c>
      <c r="G116" s="42" t="s">
        <v>59</v>
      </c>
      <c r="H116" s="42" t="s">
        <v>64</v>
      </c>
      <c r="I116" s="42" t="s">
        <v>61</v>
      </c>
      <c r="J116" s="42">
        <v>2</v>
      </c>
      <c r="K116" s="113">
        <v>1.5958220869183001E+19</v>
      </c>
    </row>
    <row r="117" spans="3:11" x14ac:dyDescent="0.3">
      <c r="C117" s="41" t="b">
        <v>0</v>
      </c>
      <c r="D117" s="42">
        <v>30.4</v>
      </c>
      <c r="E117" s="42">
        <v>5.6</v>
      </c>
      <c r="F117" s="42" t="s">
        <v>58</v>
      </c>
      <c r="G117" s="42" t="s">
        <v>59</v>
      </c>
      <c r="H117" s="42" t="s">
        <v>64</v>
      </c>
      <c r="I117" s="42" t="s">
        <v>61</v>
      </c>
      <c r="J117" s="42">
        <v>4</v>
      </c>
      <c r="K117" s="113">
        <v>3.5783742930598902E+18</v>
      </c>
    </row>
    <row r="118" spans="3:11" x14ac:dyDescent="0.3">
      <c r="C118" s="41" t="b">
        <v>0</v>
      </c>
      <c r="D118" s="42">
        <v>18.29</v>
      </c>
      <c r="E118" s="42">
        <v>3</v>
      </c>
      <c r="F118" s="42" t="s">
        <v>58</v>
      </c>
      <c r="G118" s="42" t="s">
        <v>59</v>
      </c>
      <c r="H118" s="42" t="s">
        <v>64</v>
      </c>
      <c r="I118" s="42" t="s">
        <v>61</v>
      </c>
      <c r="J118" s="42">
        <v>2</v>
      </c>
      <c r="K118" s="113">
        <v>4.0014866239081498E+18</v>
      </c>
    </row>
    <row r="119" spans="3:11" x14ac:dyDescent="0.3">
      <c r="C119" s="41" t="b">
        <v>0</v>
      </c>
      <c r="D119" s="42">
        <v>22.23</v>
      </c>
      <c r="E119" s="42">
        <v>5</v>
      </c>
      <c r="F119" s="42" t="s">
        <v>58</v>
      </c>
      <c r="G119" s="42" t="s">
        <v>59</v>
      </c>
      <c r="H119" s="42" t="s">
        <v>64</v>
      </c>
      <c r="I119" s="42" t="s">
        <v>61</v>
      </c>
      <c r="J119" s="42">
        <v>2</v>
      </c>
      <c r="K119" s="113">
        <v>5.1909182773702697E+18</v>
      </c>
    </row>
    <row r="120" spans="3:11" x14ac:dyDescent="0.3">
      <c r="C120" s="41" t="b">
        <v>0</v>
      </c>
      <c r="D120" s="42">
        <v>32.4</v>
      </c>
      <c r="E120" s="42">
        <v>6</v>
      </c>
      <c r="F120" s="42" t="s">
        <v>58</v>
      </c>
      <c r="G120" s="42" t="s">
        <v>59</v>
      </c>
      <c r="H120" s="42" t="s">
        <v>64</v>
      </c>
      <c r="I120" s="42" t="s">
        <v>61</v>
      </c>
      <c r="J120" s="42">
        <v>4</v>
      </c>
      <c r="K120" s="113">
        <v>1.6455982064145101E+19</v>
      </c>
    </row>
    <row r="121" spans="3:11" x14ac:dyDescent="0.3">
      <c r="C121" s="41" t="b">
        <v>0</v>
      </c>
      <c r="D121" s="42">
        <v>28.55</v>
      </c>
      <c r="E121" s="42">
        <v>2.0499999999999998</v>
      </c>
      <c r="F121" s="42" t="s">
        <v>58</v>
      </c>
      <c r="G121" s="42" t="s">
        <v>59</v>
      </c>
      <c r="H121" s="42" t="s">
        <v>64</v>
      </c>
      <c r="I121" s="42" t="s">
        <v>61</v>
      </c>
      <c r="J121" s="42">
        <v>3</v>
      </c>
      <c r="K121" s="113">
        <v>7.0695294150509701E+18</v>
      </c>
    </row>
    <row r="122" spans="3:11" x14ac:dyDescent="0.3">
      <c r="C122" s="41" t="b">
        <v>0</v>
      </c>
      <c r="D122" s="42">
        <v>18.04</v>
      </c>
      <c r="E122" s="42">
        <v>3</v>
      </c>
      <c r="F122" s="42" t="s">
        <v>58</v>
      </c>
      <c r="G122" s="42" t="s">
        <v>59</v>
      </c>
      <c r="H122" s="42" t="s">
        <v>64</v>
      </c>
      <c r="I122" s="42" t="s">
        <v>61</v>
      </c>
      <c r="J122" s="42">
        <v>2</v>
      </c>
      <c r="K122" s="113">
        <v>3.6836612542946502E+17</v>
      </c>
    </row>
    <row r="123" spans="3:11" x14ac:dyDescent="0.3">
      <c r="C123" s="41" t="b">
        <v>0</v>
      </c>
      <c r="D123" s="42">
        <v>12.54</v>
      </c>
      <c r="E123" s="42">
        <v>2.5</v>
      </c>
      <c r="F123" s="42" t="s">
        <v>58</v>
      </c>
      <c r="G123" s="42" t="s">
        <v>59</v>
      </c>
      <c r="H123" s="42" t="s">
        <v>64</v>
      </c>
      <c r="I123" s="42" t="s">
        <v>61</v>
      </c>
      <c r="J123" s="42">
        <v>2</v>
      </c>
      <c r="K123" s="113">
        <v>4.9010137159024404E+18</v>
      </c>
    </row>
    <row r="124" spans="3:11" x14ac:dyDescent="0.3">
      <c r="C124" s="41" t="b">
        <v>0</v>
      </c>
      <c r="D124" s="42">
        <v>10.29</v>
      </c>
      <c r="E124" s="42">
        <v>2.6</v>
      </c>
      <c r="F124" s="42" t="s">
        <v>63</v>
      </c>
      <c r="G124" s="42" t="s">
        <v>59</v>
      </c>
      <c r="H124" s="42" t="s">
        <v>64</v>
      </c>
      <c r="I124" s="42" t="s">
        <v>61</v>
      </c>
      <c r="J124" s="42">
        <v>2</v>
      </c>
      <c r="K124" s="113">
        <v>1.2182328876891601E+19</v>
      </c>
    </row>
    <row r="125" spans="3:11" x14ac:dyDescent="0.3">
      <c r="C125" s="41" t="b">
        <v>0</v>
      </c>
      <c r="D125" s="42">
        <v>34.81</v>
      </c>
      <c r="E125" s="42">
        <v>5.2</v>
      </c>
      <c r="F125" s="42" t="s">
        <v>63</v>
      </c>
      <c r="G125" s="42" t="s">
        <v>59</v>
      </c>
      <c r="H125" s="42" t="s">
        <v>64</v>
      </c>
      <c r="I125" s="42" t="s">
        <v>61</v>
      </c>
      <c r="J125" s="42">
        <v>4</v>
      </c>
      <c r="K125" s="113">
        <v>2.92014521546944E+18</v>
      </c>
    </row>
    <row r="126" spans="3:11" x14ac:dyDescent="0.3">
      <c r="C126" s="41" t="b">
        <v>0</v>
      </c>
      <c r="D126" s="42">
        <v>9.94</v>
      </c>
      <c r="E126" s="42">
        <v>1.56</v>
      </c>
      <c r="F126" s="42" t="s">
        <v>58</v>
      </c>
      <c r="G126" s="42" t="s">
        <v>59</v>
      </c>
      <c r="H126" s="42" t="s">
        <v>64</v>
      </c>
      <c r="I126" s="42" t="s">
        <v>61</v>
      </c>
      <c r="J126" s="42">
        <v>2</v>
      </c>
      <c r="K126" s="113">
        <v>1.3513551421499799E+18</v>
      </c>
    </row>
    <row r="127" spans="3:11" x14ac:dyDescent="0.3">
      <c r="C127" s="41" t="b">
        <v>0</v>
      </c>
      <c r="D127" s="42">
        <v>25.56</v>
      </c>
      <c r="E127" s="42">
        <v>4.34</v>
      </c>
      <c r="F127" s="42" t="s">
        <v>58</v>
      </c>
      <c r="G127" s="42" t="s">
        <v>59</v>
      </c>
      <c r="H127" s="42" t="s">
        <v>64</v>
      </c>
      <c r="I127" s="42" t="s">
        <v>61</v>
      </c>
      <c r="J127" s="42">
        <v>4</v>
      </c>
      <c r="K127" s="113">
        <v>1.7459059531618801E+18</v>
      </c>
    </row>
    <row r="128" spans="3:11" x14ac:dyDescent="0.3">
      <c r="C128" s="41" t="b">
        <v>0</v>
      </c>
      <c r="D128" s="42">
        <v>19.489999999999998</v>
      </c>
      <c r="E128" s="42">
        <v>3.51</v>
      </c>
      <c r="F128" s="42" t="s">
        <v>58</v>
      </c>
      <c r="G128" s="42" t="s">
        <v>59</v>
      </c>
      <c r="H128" s="42" t="s">
        <v>64</v>
      </c>
      <c r="I128" s="42" t="s">
        <v>61</v>
      </c>
      <c r="J128" s="42">
        <v>2</v>
      </c>
      <c r="K128" s="113">
        <v>1.5510102590232601E+19</v>
      </c>
    </row>
    <row r="129" spans="3:11" x14ac:dyDescent="0.3">
      <c r="C129" s="41" t="b">
        <v>0</v>
      </c>
      <c r="D129" s="42">
        <v>38.01</v>
      </c>
      <c r="E129" s="42">
        <v>3</v>
      </c>
      <c r="F129" s="42" t="s">
        <v>58</v>
      </c>
      <c r="G129" s="42" t="s">
        <v>65</v>
      </c>
      <c r="H129" s="42" t="s">
        <v>60</v>
      </c>
      <c r="I129" s="42" t="s">
        <v>61</v>
      </c>
      <c r="J129" s="42">
        <v>4</v>
      </c>
      <c r="K129" s="113">
        <v>1.31138184511128E+19</v>
      </c>
    </row>
    <row r="130" spans="3:11" x14ac:dyDescent="0.3">
      <c r="C130" s="41" t="b">
        <v>0</v>
      </c>
      <c r="D130" s="42">
        <v>26.41</v>
      </c>
      <c r="E130" s="42">
        <v>1.5</v>
      </c>
      <c r="F130" s="42" t="s">
        <v>63</v>
      </c>
      <c r="G130" s="42" t="s">
        <v>59</v>
      </c>
      <c r="H130" s="42" t="s">
        <v>60</v>
      </c>
      <c r="I130" s="42" t="s">
        <v>61</v>
      </c>
      <c r="J130" s="42">
        <v>2</v>
      </c>
      <c r="K130" s="113">
        <v>5.3846342911401299E+17</v>
      </c>
    </row>
    <row r="131" spans="3:11" x14ac:dyDescent="0.3">
      <c r="C131" s="41" t="b">
        <v>0</v>
      </c>
      <c r="D131" s="42">
        <v>11.24</v>
      </c>
      <c r="E131" s="42">
        <v>1.76</v>
      </c>
      <c r="F131" s="42" t="s">
        <v>58</v>
      </c>
      <c r="G131" s="42" t="s">
        <v>65</v>
      </c>
      <c r="H131" s="42" t="s">
        <v>60</v>
      </c>
      <c r="I131" s="42" t="s">
        <v>61</v>
      </c>
      <c r="J131" s="42">
        <v>2</v>
      </c>
      <c r="K131" s="113">
        <v>1.2801298042311299E+19</v>
      </c>
    </row>
    <row r="132" spans="3:11" x14ac:dyDescent="0.3">
      <c r="C132" s="41" t="b">
        <v>0</v>
      </c>
      <c r="D132" s="42">
        <v>48.27</v>
      </c>
      <c r="E132" s="42">
        <v>6.73</v>
      </c>
      <c r="F132" s="42" t="s">
        <v>58</v>
      </c>
      <c r="G132" s="42" t="s">
        <v>59</v>
      </c>
      <c r="H132" s="42" t="s">
        <v>60</v>
      </c>
      <c r="I132" s="42" t="s">
        <v>61</v>
      </c>
      <c r="J132" s="42">
        <v>4</v>
      </c>
      <c r="K132" s="113">
        <v>2.9301630679268301E+18</v>
      </c>
    </row>
    <row r="133" spans="3:11" x14ac:dyDescent="0.3">
      <c r="C133" s="41" t="b">
        <v>0</v>
      </c>
      <c r="D133" s="42">
        <v>20.29</v>
      </c>
      <c r="E133" s="42">
        <v>3.21</v>
      </c>
      <c r="F133" s="42" t="s">
        <v>58</v>
      </c>
      <c r="G133" s="42" t="s">
        <v>65</v>
      </c>
      <c r="H133" s="42" t="s">
        <v>60</v>
      </c>
      <c r="I133" s="42" t="s">
        <v>61</v>
      </c>
      <c r="J133" s="42">
        <v>2</v>
      </c>
      <c r="K133" s="113">
        <v>3.4749728636808402E+18</v>
      </c>
    </row>
    <row r="134" spans="3:11" x14ac:dyDescent="0.3">
      <c r="C134" s="41" t="b">
        <v>0</v>
      </c>
      <c r="D134" s="42">
        <v>13.81</v>
      </c>
      <c r="E134" s="42">
        <v>2</v>
      </c>
      <c r="F134" s="42" t="s">
        <v>58</v>
      </c>
      <c r="G134" s="42" t="s">
        <v>65</v>
      </c>
      <c r="H134" s="42" t="s">
        <v>60</v>
      </c>
      <c r="I134" s="42" t="s">
        <v>61</v>
      </c>
      <c r="J134" s="42">
        <v>2</v>
      </c>
      <c r="K134" s="113">
        <v>1.6894525039655E+19</v>
      </c>
    </row>
    <row r="135" spans="3:11" x14ac:dyDescent="0.3">
      <c r="C135" s="41" t="b">
        <v>0</v>
      </c>
      <c r="D135" s="42">
        <v>11.02</v>
      </c>
      <c r="E135" s="42">
        <v>1.98</v>
      </c>
      <c r="F135" s="42" t="s">
        <v>58</v>
      </c>
      <c r="G135" s="42" t="s">
        <v>65</v>
      </c>
      <c r="H135" s="42" t="s">
        <v>60</v>
      </c>
      <c r="I135" s="42" t="s">
        <v>61</v>
      </c>
      <c r="J135" s="42">
        <v>2</v>
      </c>
      <c r="K135" s="113">
        <v>1.4046077523086201E+19</v>
      </c>
    </row>
    <row r="136" spans="3:11" x14ac:dyDescent="0.3">
      <c r="C136" s="41" t="b">
        <v>0</v>
      </c>
      <c r="D136" s="42">
        <v>18.29</v>
      </c>
      <c r="E136" s="42">
        <v>3.76</v>
      </c>
      <c r="F136" s="42" t="s">
        <v>58</v>
      </c>
      <c r="G136" s="42" t="s">
        <v>65</v>
      </c>
      <c r="H136" s="42" t="s">
        <v>60</v>
      </c>
      <c r="I136" s="42" t="s">
        <v>61</v>
      </c>
      <c r="J136" s="42">
        <v>4</v>
      </c>
      <c r="K136" s="113">
        <v>1.28915136443946E+19</v>
      </c>
    </row>
    <row r="137" spans="3:11" x14ac:dyDescent="0.3">
      <c r="C137" s="41" t="b">
        <v>0</v>
      </c>
      <c r="D137" s="42">
        <v>17.59</v>
      </c>
      <c r="E137" s="42">
        <v>2.64</v>
      </c>
      <c r="F137" s="42" t="s">
        <v>58</v>
      </c>
      <c r="G137" s="42" t="s">
        <v>59</v>
      </c>
      <c r="H137" s="42" t="s">
        <v>60</v>
      </c>
      <c r="I137" s="42" t="s">
        <v>61</v>
      </c>
      <c r="J137" s="42">
        <v>3</v>
      </c>
      <c r="K137" s="113">
        <v>8.36939791732049E+18</v>
      </c>
    </row>
    <row r="138" spans="3:11" x14ac:dyDescent="0.3">
      <c r="C138" s="41" t="b">
        <v>0</v>
      </c>
      <c r="D138" s="42">
        <v>20.079999999999998</v>
      </c>
      <c r="E138" s="42">
        <v>3.15</v>
      </c>
      <c r="F138" s="42" t="s">
        <v>58</v>
      </c>
      <c r="G138" s="42" t="s">
        <v>59</v>
      </c>
      <c r="H138" s="42" t="s">
        <v>60</v>
      </c>
      <c r="I138" s="42" t="s">
        <v>61</v>
      </c>
      <c r="J138" s="42">
        <v>3</v>
      </c>
      <c r="K138" s="113">
        <v>1.4622748048383701E+19</v>
      </c>
    </row>
    <row r="139" spans="3:11" x14ac:dyDescent="0.3">
      <c r="C139" s="41" t="b">
        <v>0</v>
      </c>
      <c r="D139" s="42">
        <v>16.45</v>
      </c>
      <c r="E139" s="42">
        <v>2.4700000000000002</v>
      </c>
      <c r="F139" s="42" t="s">
        <v>63</v>
      </c>
      <c r="G139" s="42" t="s">
        <v>59</v>
      </c>
      <c r="H139" s="42" t="s">
        <v>60</v>
      </c>
      <c r="I139" s="42" t="s">
        <v>61</v>
      </c>
      <c r="J139" s="42">
        <v>2</v>
      </c>
      <c r="K139" s="113">
        <v>6.7446969148265697E+18</v>
      </c>
    </row>
    <row r="140" spans="3:11" x14ac:dyDescent="0.3">
      <c r="C140" s="41" t="b">
        <v>0</v>
      </c>
      <c r="D140" s="42">
        <v>3.07</v>
      </c>
      <c r="E140" s="42">
        <v>1</v>
      </c>
      <c r="F140" s="42" t="s">
        <v>63</v>
      </c>
      <c r="G140" s="42" t="s">
        <v>65</v>
      </c>
      <c r="H140" s="42" t="s">
        <v>60</v>
      </c>
      <c r="I140" s="42" t="s">
        <v>61</v>
      </c>
      <c r="J140" s="42">
        <v>1</v>
      </c>
      <c r="K140" s="113">
        <v>6.6166555047229399E+18</v>
      </c>
    </row>
    <row r="141" spans="3:11" x14ac:dyDescent="0.3">
      <c r="C141" s="41" t="b">
        <v>0</v>
      </c>
      <c r="D141" s="42">
        <v>20.23</v>
      </c>
      <c r="E141" s="42">
        <v>2.0099999999999998</v>
      </c>
      <c r="F141" s="42" t="s">
        <v>58</v>
      </c>
      <c r="G141" s="42" t="s">
        <v>59</v>
      </c>
      <c r="H141" s="42" t="s">
        <v>60</v>
      </c>
      <c r="I141" s="42" t="s">
        <v>61</v>
      </c>
      <c r="J141" s="42">
        <v>2</v>
      </c>
      <c r="K141" s="113">
        <v>3.7957835463995802E+18</v>
      </c>
    </row>
    <row r="142" spans="3:11" x14ac:dyDescent="0.3">
      <c r="C142" s="41" t="b">
        <v>0</v>
      </c>
      <c r="D142" s="42">
        <v>15.01</v>
      </c>
      <c r="E142" s="42">
        <v>2.09</v>
      </c>
      <c r="F142" s="42" t="s">
        <v>58</v>
      </c>
      <c r="G142" s="42" t="s">
        <v>65</v>
      </c>
      <c r="H142" s="42" t="s">
        <v>60</v>
      </c>
      <c r="I142" s="42" t="s">
        <v>61</v>
      </c>
      <c r="J142" s="42">
        <v>2</v>
      </c>
      <c r="K142" s="113">
        <v>1.8204963894222801E+19</v>
      </c>
    </row>
    <row r="143" spans="3:11" x14ac:dyDescent="0.3">
      <c r="C143" s="41" t="b">
        <v>0</v>
      </c>
      <c r="D143" s="42">
        <v>12.02</v>
      </c>
      <c r="E143" s="42">
        <v>1.97</v>
      </c>
      <c r="F143" s="42" t="s">
        <v>58</v>
      </c>
      <c r="G143" s="42" t="s">
        <v>59</v>
      </c>
      <c r="H143" s="42" t="s">
        <v>60</v>
      </c>
      <c r="I143" s="42" t="s">
        <v>61</v>
      </c>
      <c r="J143" s="42">
        <v>2</v>
      </c>
      <c r="K143" s="113">
        <v>1.9078657845213901E+18</v>
      </c>
    </row>
    <row r="144" spans="3:11" x14ac:dyDescent="0.3">
      <c r="C144" s="41" t="b">
        <v>0</v>
      </c>
      <c r="D144" s="42">
        <v>17.07</v>
      </c>
      <c r="E144" s="42">
        <v>3</v>
      </c>
      <c r="F144" s="42" t="s">
        <v>63</v>
      </c>
      <c r="G144" s="42" t="s">
        <v>59</v>
      </c>
      <c r="H144" s="42" t="s">
        <v>60</v>
      </c>
      <c r="I144" s="42" t="s">
        <v>61</v>
      </c>
      <c r="J144" s="42">
        <v>3</v>
      </c>
      <c r="K144" s="113">
        <v>1.38337815633106E+19</v>
      </c>
    </row>
    <row r="145" spans="3:11" x14ac:dyDescent="0.3">
      <c r="C145" s="41" t="b">
        <v>0</v>
      </c>
      <c r="D145" s="42">
        <v>26.86</v>
      </c>
      <c r="E145" s="42">
        <v>3.14</v>
      </c>
      <c r="F145" s="42" t="s">
        <v>63</v>
      </c>
      <c r="G145" s="42" t="s">
        <v>65</v>
      </c>
      <c r="H145" s="42" t="s">
        <v>60</v>
      </c>
      <c r="I145" s="42" t="s">
        <v>61</v>
      </c>
      <c r="J145" s="42">
        <v>2</v>
      </c>
      <c r="K145" s="113">
        <v>1.4076260841202399E+19</v>
      </c>
    </row>
    <row r="146" spans="3:11" x14ac:dyDescent="0.3">
      <c r="C146" s="41" t="b">
        <v>0</v>
      </c>
      <c r="D146" s="42">
        <v>25.28</v>
      </c>
      <c r="E146" s="42">
        <v>5</v>
      </c>
      <c r="F146" s="42" t="s">
        <v>63</v>
      </c>
      <c r="G146" s="42" t="s">
        <v>65</v>
      </c>
      <c r="H146" s="42" t="s">
        <v>60</v>
      </c>
      <c r="I146" s="42" t="s">
        <v>61</v>
      </c>
      <c r="J146" s="42">
        <v>2</v>
      </c>
      <c r="K146" s="113">
        <v>1.1668462304949801E+19</v>
      </c>
    </row>
    <row r="147" spans="3:11" x14ac:dyDescent="0.3">
      <c r="C147" s="41" t="b">
        <v>0</v>
      </c>
      <c r="D147" s="42">
        <v>14.73</v>
      </c>
      <c r="E147" s="42">
        <v>2.2000000000000002</v>
      </c>
      <c r="F147" s="42" t="s">
        <v>63</v>
      </c>
      <c r="G147" s="42" t="s">
        <v>59</v>
      </c>
      <c r="H147" s="42" t="s">
        <v>60</v>
      </c>
      <c r="I147" s="42" t="s">
        <v>61</v>
      </c>
      <c r="J147" s="42">
        <v>2</v>
      </c>
      <c r="K147" s="113">
        <v>4.1940273593325399E+18</v>
      </c>
    </row>
    <row r="148" spans="3:11" x14ac:dyDescent="0.3">
      <c r="C148" s="41" t="b">
        <v>0</v>
      </c>
      <c r="D148" s="42">
        <v>10.51</v>
      </c>
      <c r="E148" s="42">
        <v>1.25</v>
      </c>
      <c r="F148" s="42" t="s">
        <v>58</v>
      </c>
      <c r="G148" s="42" t="s">
        <v>59</v>
      </c>
      <c r="H148" s="42" t="s">
        <v>60</v>
      </c>
      <c r="I148" s="42" t="s">
        <v>61</v>
      </c>
      <c r="J148" s="42">
        <v>2</v>
      </c>
      <c r="K148" s="113">
        <v>1.8098277367286E+19</v>
      </c>
    </row>
    <row r="149" spans="3:11" x14ac:dyDescent="0.3">
      <c r="C149" s="41" t="b">
        <v>0</v>
      </c>
      <c r="D149" s="42">
        <v>17.920000000000002</v>
      </c>
      <c r="E149" s="42">
        <v>3.08</v>
      </c>
      <c r="F149" s="42" t="s">
        <v>58</v>
      </c>
      <c r="G149" s="42" t="s">
        <v>65</v>
      </c>
      <c r="H149" s="42" t="s">
        <v>60</v>
      </c>
      <c r="I149" s="42" t="s">
        <v>61</v>
      </c>
      <c r="J149" s="42">
        <v>2</v>
      </c>
      <c r="K149" s="113">
        <v>3.73576742507968E+18</v>
      </c>
    </row>
    <row r="150" spans="3:11" x14ac:dyDescent="0.3">
      <c r="C150" s="41" t="b">
        <v>0</v>
      </c>
      <c r="D150" s="42">
        <v>27.2</v>
      </c>
      <c r="E150" s="42">
        <v>4</v>
      </c>
      <c r="F150" s="42" t="s">
        <v>58</v>
      </c>
      <c r="G150" s="42" t="s">
        <v>59</v>
      </c>
      <c r="H150" s="42" t="s">
        <v>66</v>
      </c>
      <c r="I150" s="42" t="s">
        <v>67</v>
      </c>
      <c r="J150" s="42">
        <v>4</v>
      </c>
      <c r="K150" s="113">
        <v>1.4383704181640301E+19</v>
      </c>
    </row>
    <row r="151" spans="3:11" x14ac:dyDescent="0.3">
      <c r="C151" s="41" t="b">
        <v>0</v>
      </c>
      <c r="D151" s="42">
        <v>22.76</v>
      </c>
      <c r="E151" s="42">
        <v>3</v>
      </c>
      <c r="F151" s="42" t="s">
        <v>58</v>
      </c>
      <c r="G151" s="42" t="s">
        <v>59</v>
      </c>
      <c r="H151" s="42" t="s">
        <v>66</v>
      </c>
      <c r="I151" s="42" t="s">
        <v>67</v>
      </c>
      <c r="J151" s="42">
        <v>2</v>
      </c>
      <c r="K151" s="113">
        <v>6.3127336642082202E+18</v>
      </c>
    </row>
    <row r="152" spans="3:11" x14ac:dyDescent="0.3">
      <c r="C152" s="41" t="b">
        <v>0</v>
      </c>
      <c r="D152" s="42">
        <v>17.29</v>
      </c>
      <c r="E152" s="42">
        <v>2.71</v>
      </c>
      <c r="F152" s="42" t="s">
        <v>58</v>
      </c>
      <c r="G152" s="42" t="s">
        <v>59</v>
      </c>
      <c r="H152" s="42" t="s">
        <v>66</v>
      </c>
      <c r="I152" s="42" t="s">
        <v>67</v>
      </c>
      <c r="J152" s="42">
        <v>2</v>
      </c>
      <c r="K152" s="113">
        <v>1.10513304109416E+19</v>
      </c>
    </row>
    <row r="153" spans="3:11" x14ac:dyDescent="0.3">
      <c r="C153" s="41" t="b">
        <v>0</v>
      </c>
      <c r="D153" s="42">
        <v>19.440000000000001</v>
      </c>
      <c r="E153" s="42">
        <v>3</v>
      </c>
      <c r="F153" s="42" t="s">
        <v>58</v>
      </c>
      <c r="G153" s="42" t="s">
        <v>65</v>
      </c>
      <c r="H153" s="42" t="s">
        <v>66</v>
      </c>
      <c r="I153" s="42" t="s">
        <v>67</v>
      </c>
      <c r="J153" s="42">
        <v>2</v>
      </c>
      <c r="K153" s="113">
        <v>1.30528134695517E+19</v>
      </c>
    </row>
    <row r="154" spans="3:11" x14ac:dyDescent="0.3">
      <c r="C154" s="41" t="b">
        <v>0</v>
      </c>
      <c r="D154" s="42">
        <v>16.66</v>
      </c>
      <c r="E154" s="42">
        <v>3.4</v>
      </c>
      <c r="F154" s="42" t="s">
        <v>58</v>
      </c>
      <c r="G154" s="42" t="s">
        <v>59</v>
      </c>
      <c r="H154" s="42" t="s">
        <v>66</v>
      </c>
      <c r="I154" s="42" t="s">
        <v>67</v>
      </c>
      <c r="J154" s="42">
        <v>2</v>
      </c>
      <c r="K154" s="113">
        <v>9.8499418283788104E+18</v>
      </c>
    </row>
    <row r="155" spans="3:11" x14ac:dyDescent="0.3">
      <c r="C155" s="41" t="b">
        <v>0</v>
      </c>
      <c r="D155" s="42">
        <v>10.07</v>
      </c>
      <c r="E155" s="42">
        <v>1.83</v>
      </c>
      <c r="F155" s="42" t="s">
        <v>63</v>
      </c>
      <c r="G155" s="42" t="s">
        <v>59</v>
      </c>
      <c r="H155" s="42" t="s">
        <v>66</v>
      </c>
      <c r="I155" s="42" t="s">
        <v>67</v>
      </c>
      <c r="J155" s="42">
        <v>1</v>
      </c>
      <c r="K155" s="113">
        <v>1.4889276391609999E+19</v>
      </c>
    </row>
    <row r="156" spans="3:11" x14ac:dyDescent="0.3">
      <c r="C156" s="41" t="b">
        <v>0</v>
      </c>
      <c r="D156" s="42">
        <v>32.68</v>
      </c>
      <c r="E156" s="42">
        <v>5</v>
      </c>
      <c r="F156" s="42" t="s">
        <v>58</v>
      </c>
      <c r="G156" s="42" t="s">
        <v>65</v>
      </c>
      <c r="H156" s="42" t="s">
        <v>66</v>
      </c>
      <c r="I156" s="42" t="s">
        <v>67</v>
      </c>
      <c r="J156" s="42">
        <v>2</v>
      </c>
      <c r="K156" s="113">
        <v>5.3082213044277105E+18</v>
      </c>
    </row>
    <row r="157" spans="3:11" x14ac:dyDescent="0.3">
      <c r="C157" s="41" t="b">
        <v>0</v>
      </c>
      <c r="D157" s="42">
        <v>15.98</v>
      </c>
      <c r="E157" s="42">
        <v>2.0299999999999998</v>
      </c>
      <c r="F157" s="42" t="s">
        <v>58</v>
      </c>
      <c r="G157" s="42" t="s">
        <v>59</v>
      </c>
      <c r="H157" s="42" t="s">
        <v>66</v>
      </c>
      <c r="I157" s="42" t="s">
        <v>67</v>
      </c>
      <c r="J157" s="42">
        <v>2</v>
      </c>
      <c r="K157" s="113">
        <v>3.7376374207830502E+18</v>
      </c>
    </row>
    <row r="158" spans="3:11" x14ac:dyDescent="0.3">
      <c r="C158" s="41" t="b">
        <v>0</v>
      </c>
      <c r="D158" s="42">
        <v>34.83</v>
      </c>
      <c r="E158" s="42">
        <v>5.17</v>
      </c>
      <c r="F158" s="42" t="s">
        <v>63</v>
      </c>
      <c r="G158" s="42" t="s">
        <v>59</v>
      </c>
      <c r="H158" s="42" t="s">
        <v>66</v>
      </c>
      <c r="I158" s="42" t="s">
        <v>67</v>
      </c>
      <c r="J158" s="42">
        <v>4</v>
      </c>
      <c r="K158" s="113">
        <v>1.52717985977496E+19</v>
      </c>
    </row>
    <row r="159" spans="3:11" x14ac:dyDescent="0.3">
      <c r="C159" s="41" t="b">
        <v>0</v>
      </c>
      <c r="D159" s="42">
        <v>13.03</v>
      </c>
      <c r="E159" s="42">
        <v>2</v>
      </c>
      <c r="F159" s="42" t="s">
        <v>58</v>
      </c>
      <c r="G159" s="42" t="s">
        <v>59</v>
      </c>
      <c r="H159" s="42" t="s">
        <v>66</v>
      </c>
      <c r="I159" s="42" t="s">
        <v>67</v>
      </c>
      <c r="J159" s="42">
        <v>2</v>
      </c>
      <c r="K159" s="113">
        <v>5.2669798048467896E+18</v>
      </c>
    </row>
    <row r="160" spans="3:11" x14ac:dyDescent="0.3">
      <c r="C160" s="41" t="b">
        <v>0</v>
      </c>
      <c r="D160" s="42">
        <v>18.28</v>
      </c>
      <c r="E160" s="42">
        <v>4</v>
      </c>
      <c r="F160" s="42" t="s">
        <v>58</v>
      </c>
      <c r="G160" s="42" t="s">
        <v>59</v>
      </c>
      <c r="H160" s="42" t="s">
        <v>66</v>
      </c>
      <c r="I160" s="42" t="s">
        <v>67</v>
      </c>
      <c r="J160" s="42">
        <v>2</v>
      </c>
      <c r="K160" s="113">
        <v>8.5659107867257702E+18</v>
      </c>
    </row>
    <row r="161" spans="3:11" x14ac:dyDescent="0.3">
      <c r="C161" s="41" t="b">
        <v>0</v>
      </c>
      <c r="D161" s="42">
        <v>24.71</v>
      </c>
      <c r="E161" s="42">
        <v>5.85</v>
      </c>
      <c r="F161" s="42" t="s">
        <v>58</v>
      </c>
      <c r="G161" s="42" t="s">
        <v>59</v>
      </c>
      <c r="H161" s="42" t="s">
        <v>66</v>
      </c>
      <c r="I161" s="42" t="s">
        <v>67</v>
      </c>
      <c r="J161" s="42">
        <v>2</v>
      </c>
      <c r="K161" s="113">
        <v>2.6831671000138998E+18</v>
      </c>
    </row>
    <row r="162" spans="3:11" x14ac:dyDescent="0.3">
      <c r="C162" s="41" t="b">
        <v>0</v>
      </c>
      <c r="D162" s="42">
        <v>21.16</v>
      </c>
      <c r="E162" s="42">
        <v>3</v>
      </c>
      <c r="F162" s="42" t="s">
        <v>58</v>
      </c>
      <c r="G162" s="42" t="s">
        <v>59</v>
      </c>
      <c r="H162" s="42" t="s">
        <v>66</v>
      </c>
      <c r="I162" s="42" t="s">
        <v>67</v>
      </c>
      <c r="J162" s="42">
        <v>2</v>
      </c>
      <c r="K162" s="113">
        <v>1.9025103385420701E+17</v>
      </c>
    </row>
    <row r="163" spans="3:11" x14ac:dyDescent="0.3">
      <c r="C163" s="41" t="b">
        <v>0</v>
      </c>
      <c r="D163" s="42">
        <v>28.97</v>
      </c>
      <c r="E163" s="42">
        <v>3</v>
      </c>
      <c r="F163" s="42" t="s">
        <v>58</v>
      </c>
      <c r="G163" s="42" t="s">
        <v>65</v>
      </c>
      <c r="H163" s="42" t="s">
        <v>68</v>
      </c>
      <c r="I163" s="42" t="s">
        <v>61</v>
      </c>
      <c r="J163" s="42">
        <v>2</v>
      </c>
      <c r="K163" s="113">
        <v>4.9053177439461704E+18</v>
      </c>
    </row>
    <row r="164" spans="3:11" x14ac:dyDescent="0.3">
      <c r="C164" s="41" t="b">
        <v>0</v>
      </c>
      <c r="D164" s="42">
        <v>22.49</v>
      </c>
      <c r="E164" s="42">
        <v>3.5</v>
      </c>
      <c r="F164" s="42" t="s">
        <v>58</v>
      </c>
      <c r="G164" s="42" t="s">
        <v>59</v>
      </c>
      <c r="H164" s="42" t="s">
        <v>68</v>
      </c>
      <c r="I164" s="42" t="s">
        <v>61</v>
      </c>
      <c r="J164" s="42">
        <v>2</v>
      </c>
      <c r="K164" s="113">
        <v>1.6390826006184901E+18</v>
      </c>
    </row>
    <row r="165" spans="3:11" x14ac:dyDescent="0.3">
      <c r="C165" s="41" t="b">
        <v>0</v>
      </c>
      <c r="D165" s="42">
        <v>5.75</v>
      </c>
      <c r="E165" s="42">
        <v>1</v>
      </c>
      <c r="F165" s="42" t="s">
        <v>63</v>
      </c>
      <c r="G165" s="42" t="s">
        <v>65</v>
      </c>
      <c r="H165" s="42" t="s">
        <v>68</v>
      </c>
      <c r="I165" s="42" t="s">
        <v>61</v>
      </c>
      <c r="J165" s="42">
        <v>2</v>
      </c>
      <c r="K165" s="113">
        <v>1.17378626026182E+19</v>
      </c>
    </row>
    <row r="166" spans="3:11" x14ac:dyDescent="0.3">
      <c r="C166" s="41" t="b">
        <v>0</v>
      </c>
      <c r="D166" s="42">
        <v>16.32</v>
      </c>
      <c r="E166" s="42">
        <v>4.3</v>
      </c>
      <c r="F166" s="42" t="s">
        <v>63</v>
      </c>
      <c r="G166" s="42" t="s">
        <v>65</v>
      </c>
      <c r="H166" s="42" t="s">
        <v>68</v>
      </c>
      <c r="I166" s="42" t="s">
        <v>61</v>
      </c>
      <c r="J166" s="42">
        <v>2</v>
      </c>
      <c r="K166" s="113">
        <v>1.4741934421628101E+19</v>
      </c>
    </row>
    <row r="167" spans="3:11" x14ac:dyDescent="0.3">
      <c r="C167" s="41" t="b">
        <v>0</v>
      </c>
      <c r="D167" s="42">
        <v>22.75</v>
      </c>
      <c r="E167" s="42">
        <v>3.25</v>
      </c>
      <c r="F167" s="42" t="s">
        <v>63</v>
      </c>
      <c r="G167" s="42" t="s">
        <v>59</v>
      </c>
      <c r="H167" s="42" t="s">
        <v>68</v>
      </c>
      <c r="I167" s="42" t="s">
        <v>61</v>
      </c>
      <c r="J167" s="42">
        <v>2</v>
      </c>
      <c r="K167" s="113">
        <v>1.2078223641877201E+19</v>
      </c>
    </row>
    <row r="168" spans="3:11" x14ac:dyDescent="0.3">
      <c r="C168" s="41" t="b">
        <v>0</v>
      </c>
      <c r="D168" s="42">
        <v>40.17</v>
      </c>
      <c r="E168" s="42">
        <v>4.7300000000000004</v>
      </c>
      <c r="F168" s="42" t="s">
        <v>58</v>
      </c>
      <c r="G168" s="42" t="s">
        <v>65</v>
      </c>
      <c r="H168" s="42" t="s">
        <v>68</v>
      </c>
      <c r="I168" s="42" t="s">
        <v>61</v>
      </c>
      <c r="J168" s="42">
        <v>4</v>
      </c>
      <c r="K168" s="113">
        <v>1.4136432838255E+19</v>
      </c>
    </row>
    <row r="169" spans="3:11" x14ac:dyDescent="0.3">
      <c r="C169" s="41" t="b">
        <v>0</v>
      </c>
      <c r="D169" s="42">
        <v>27.28</v>
      </c>
      <c r="E169" s="42">
        <v>4</v>
      </c>
      <c r="F169" s="42" t="s">
        <v>58</v>
      </c>
      <c r="G169" s="42" t="s">
        <v>65</v>
      </c>
      <c r="H169" s="42" t="s">
        <v>68</v>
      </c>
      <c r="I169" s="42" t="s">
        <v>61</v>
      </c>
      <c r="J169" s="42">
        <v>2</v>
      </c>
      <c r="K169" s="113">
        <v>4.6820905466427802E+18</v>
      </c>
    </row>
    <row r="170" spans="3:11" x14ac:dyDescent="0.3">
      <c r="C170" s="41" t="b">
        <v>0</v>
      </c>
      <c r="D170" s="42">
        <v>12.03</v>
      </c>
      <c r="E170" s="42">
        <v>1.5</v>
      </c>
      <c r="F170" s="42" t="s">
        <v>58</v>
      </c>
      <c r="G170" s="42" t="s">
        <v>65</v>
      </c>
      <c r="H170" s="42" t="s">
        <v>68</v>
      </c>
      <c r="I170" s="42" t="s">
        <v>61</v>
      </c>
      <c r="J170" s="42">
        <v>2</v>
      </c>
      <c r="K170" s="113">
        <v>1.8088009753393701E+19</v>
      </c>
    </row>
    <row r="171" spans="3:11" x14ac:dyDescent="0.3">
      <c r="C171" s="41" t="b">
        <v>0</v>
      </c>
      <c r="D171" s="42">
        <v>21.01</v>
      </c>
      <c r="E171" s="42">
        <v>3</v>
      </c>
      <c r="F171" s="42" t="s">
        <v>58</v>
      </c>
      <c r="G171" s="42" t="s">
        <v>65</v>
      </c>
      <c r="H171" s="42" t="s">
        <v>68</v>
      </c>
      <c r="I171" s="42" t="s">
        <v>61</v>
      </c>
      <c r="J171" s="42">
        <v>2</v>
      </c>
      <c r="K171" s="113">
        <v>1.2487441440158099E+19</v>
      </c>
    </row>
    <row r="172" spans="3:11" x14ac:dyDescent="0.3">
      <c r="C172" s="41" t="b">
        <v>0</v>
      </c>
      <c r="D172" s="42">
        <v>12.46</v>
      </c>
      <c r="E172" s="42">
        <v>1.5</v>
      </c>
      <c r="F172" s="42" t="s">
        <v>58</v>
      </c>
      <c r="G172" s="42" t="s">
        <v>59</v>
      </c>
      <c r="H172" s="42" t="s">
        <v>68</v>
      </c>
      <c r="I172" s="42" t="s">
        <v>61</v>
      </c>
      <c r="J172" s="42">
        <v>2</v>
      </c>
      <c r="K172" s="113">
        <v>3.6216733649545299E+17</v>
      </c>
    </row>
    <row r="173" spans="3:11" x14ac:dyDescent="0.3">
      <c r="C173" s="41" t="b">
        <v>0</v>
      </c>
      <c r="D173" s="42">
        <v>11.35</v>
      </c>
      <c r="E173" s="42">
        <v>2.5</v>
      </c>
      <c r="F173" s="42" t="s">
        <v>63</v>
      </c>
      <c r="G173" s="42" t="s">
        <v>65</v>
      </c>
      <c r="H173" s="42" t="s">
        <v>68</v>
      </c>
      <c r="I173" s="42" t="s">
        <v>61</v>
      </c>
      <c r="J173" s="42">
        <v>2</v>
      </c>
      <c r="K173" s="113">
        <v>1.35782031862749E+18</v>
      </c>
    </row>
    <row r="174" spans="3:11" x14ac:dyDescent="0.3">
      <c r="C174" s="41" t="b">
        <v>0</v>
      </c>
      <c r="D174" s="42">
        <v>15.38</v>
      </c>
      <c r="E174" s="42">
        <v>3</v>
      </c>
      <c r="F174" s="42" t="s">
        <v>63</v>
      </c>
      <c r="G174" s="42" t="s">
        <v>65</v>
      </c>
      <c r="H174" s="42" t="s">
        <v>68</v>
      </c>
      <c r="I174" s="42" t="s">
        <v>61</v>
      </c>
      <c r="J174" s="42">
        <v>2</v>
      </c>
      <c r="K174" s="113">
        <v>7.1169948228450499E+18</v>
      </c>
    </row>
    <row r="175" spans="3:11" x14ac:dyDescent="0.3">
      <c r="C175" s="41" t="b">
        <v>0</v>
      </c>
      <c r="D175" s="42">
        <v>44.3</v>
      </c>
      <c r="E175" s="42">
        <v>2.5</v>
      </c>
      <c r="F175" s="42" t="s">
        <v>63</v>
      </c>
      <c r="G175" s="42" t="s">
        <v>65</v>
      </c>
      <c r="H175" s="42" t="s">
        <v>60</v>
      </c>
      <c r="I175" s="42" t="s">
        <v>61</v>
      </c>
      <c r="J175" s="42">
        <v>3</v>
      </c>
      <c r="K175" s="113">
        <v>1.53366890998919E+19</v>
      </c>
    </row>
    <row r="176" spans="3:11" x14ac:dyDescent="0.3">
      <c r="C176" s="41" t="b">
        <v>0</v>
      </c>
      <c r="D176" s="42">
        <v>22.42</v>
      </c>
      <c r="E176" s="42">
        <v>3.48</v>
      </c>
      <c r="F176" s="42" t="s">
        <v>63</v>
      </c>
      <c r="G176" s="42" t="s">
        <v>65</v>
      </c>
      <c r="H176" s="42" t="s">
        <v>60</v>
      </c>
      <c r="I176" s="42" t="s">
        <v>61</v>
      </c>
      <c r="J176" s="42">
        <v>2</v>
      </c>
      <c r="K176" s="113">
        <v>1.0495895110844701E+19</v>
      </c>
    </row>
    <row r="177" spans="3:11" x14ac:dyDescent="0.3">
      <c r="C177" s="41" t="b">
        <v>0</v>
      </c>
      <c r="D177" s="42">
        <v>20.92</v>
      </c>
      <c r="E177" s="42">
        <v>4.08</v>
      </c>
      <c r="F177" s="42" t="s">
        <v>63</v>
      </c>
      <c r="G177" s="42" t="s">
        <v>59</v>
      </c>
      <c r="H177" s="42" t="s">
        <v>60</v>
      </c>
      <c r="I177" s="42" t="s">
        <v>61</v>
      </c>
      <c r="J177" s="42">
        <v>2</v>
      </c>
      <c r="K177" s="113">
        <v>2.6820519248574899E+18</v>
      </c>
    </row>
    <row r="178" spans="3:11" x14ac:dyDescent="0.3">
      <c r="C178" s="41" t="b">
        <v>0</v>
      </c>
      <c r="D178" s="42">
        <v>15.36</v>
      </c>
      <c r="E178" s="42">
        <v>1.64</v>
      </c>
      <c r="F178" s="42" t="s">
        <v>58</v>
      </c>
      <c r="G178" s="42" t="s">
        <v>65</v>
      </c>
      <c r="H178" s="42" t="s">
        <v>60</v>
      </c>
      <c r="I178" s="42" t="s">
        <v>61</v>
      </c>
      <c r="J178" s="42">
        <v>2</v>
      </c>
      <c r="K178" s="113">
        <v>3.8022624019967002E+18</v>
      </c>
    </row>
    <row r="179" spans="3:11" x14ac:dyDescent="0.3">
      <c r="C179" s="41" t="b">
        <v>0</v>
      </c>
      <c r="D179" s="42">
        <v>20.49</v>
      </c>
      <c r="E179" s="42">
        <v>4.0599999999999996</v>
      </c>
      <c r="F179" s="42" t="s">
        <v>58</v>
      </c>
      <c r="G179" s="42" t="s">
        <v>65</v>
      </c>
      <c r="H179" s="42" t="s">
        <v>60</v>
      </c>
      <c r="I179" s="42" t="s">
        <v>61</v>
      </c>
      <c r="J179" s="42">
        <v>2</v>
      </c>
      <c r="K179" s="113">
        <v>1.13240474366143E+19</v>
      </c>
    </row>
    <row r="180" spans="3:11" x14ac:dyDescent="0.3">
      <c r="C180" s="41" t="b">
        <v>0</v>
      </c>
      <c r="D180" s="42">
        <v>25.21</v>
      </c>
      <c r="E180" s="42">
        <v>4.29</v>
      </c>
      <c r="F180" s="42" t="s">
        <v>58</v>
      </c>
      <c r="G180" s="42" t="s">
        <v>65</v>
      </c>
      <c r="H180" s="42" t="s">
        <v>60</v>
      </c>
      <c r="I180" s="42" t="s">
        <v>61</v>
      </c>
      <c r="J180" s="42">
        <v>2</v>
      </c>
      <c r="K180" s="113">
        <v>4.3811643267321298E+18</v>
      </c>
    </row>
    <row r="181" spans="3:11" x14ac:dyDescent="0.3">
      <c r="C181" s="41" t="b">
        <v>0</v>
      </c>
      <c r="D181" s="42">
        <v>18.239999999999998</v>
      </c>
      <c r="E181" s="42">
        <v>3.76</v>
      </c>
      <c r="F181" s="42" t="s">
        <v>58</v>
      </c>
      <c r="G181" s="42" t="s">
        <v>59</v>
      </c>
      <c r="H181" s="42" t="s">
        <v>60</v>
      </c>
      <c r="I181" s="42" t="s">
        <v>61</v>
      </c>
      <c r="J181" s="42">
        <v>2</v>
      </c>
      <c r="K181" s="113">
        <v>9.4785099402587302E+17</v>
      </c>
    </row>
    <row r="182" spans="3:11" x14ac:dyDescent="0.3">
      <c r="C182" s="41" t="b">
        <v>0</v>
      </c>
      <c r="D182" s="42">
        <v>14.31</v>
      </c>
      <c r="E182" s="42">
        <v>4</v>
      </c>
      <c r="F182" s="42" t="s">
        <v>63</v>
      </c>
      <c r="G182" s="42" t="s">
        <v>65</v>
      </c>
      <c r="H182" s="42" t="s">
        <v>60</v>
      </c>
      <c r="I182" s="42" t="s">
        <v>61</v>
      </c>
      <c r="J182" s="42">
        <v>2</v>
      </c>
      <c r="K182" s="113">
        <v>1.7812078774881901E+19</v>
      </c>
    </row>
    <row r="183" spans="3:11" x14ac:dyDescent="0.3">
      <c r="C183" s="41" t="b">
        <v>0</v>
      </c>
      <c r="D183" s="42">
        <v>14</v>
      </c>
      <c r="E183" s="42">
        <v>3</v>
      </c>
      <c r="F183" s="42" t="s">
        <v>58</v>
      </c>
      <c r="G183" s="42" t="s">
        <v>59</v>
      </c>
      <c r="H183" s="42" t="s">
        <v>60</v>
      </c>
      <c r="I183" s="42" t="s">
        <v>61</v>
      </c>
      <c r="J183" s="42">
        <v>2</v>
      </c>
      <c r="K183" s="113">
        <v>9.0525867458447698E+18</v>
      </c>
    </row>
    <row r="184" spans="3:11" x14ac:dyDescent="0.3">
      <c r="C184" s="41" t="b">
        <v>0</v>
      </c>
      <c r="D184" s="42">
        <v>7.25</v>
      </c>
      <c r="E184" s="42">
        <v>1</v>
      </c>
      <c r="F184" s="42" t="s">
        <v>63</v>
      </c>
      <c r="G184" s="42" t="s">
        <v>59</v>
      </c>
      <c r="H184" s="42" t="s">
        <v>60</v>
      </c>
      <c r="I184" s="42" t="s">
        <v>61</v>
      </c>
      <c r="J184" s="42">
        <v>1</v>
      </c>
      <c r="K184" s="113">
        <v>5.35353226429009E+18</v>
      </c>
    </row>
    <row r="185" spans="3:11" x14ac:dyDescent="0.3">
      <c r="C185" s="41" t="b">
        <v>0</v>
      </c>
      <c r="D185" s="42">
        <v>38.07</v>
      </c>
      <c r="E185" s="42">
        <v>4</v>
      </c>
      <c r="F185" s="42" t="s">
        <v>58</v>
      </c>
      <c r="G185" s="42" t="s">
        <v>59</v>
      </c>
      <c r="H185" s="42" t="s">
        <v>64</v>
      </c>
      <c r="I185" s="42" t="s">
        <v>61</v>
      </c>
      <c r="J185" s="42">
        <v>3</v>
      </c>
      <c r="K185" s="113">
        <v>8.5907542960586803E+17</v>
      </c>
    </row>
    <row r="186" spans="3:11" x14ac:dyDescent="0.3">
      <c r="C186" s="41" t="b">
        <v>0</v>
      </c>
      <c r="D186" s="42">
        <v>23.95</v>
      </c>
      <c r="E186" s="42">
        <v>2.5499999999999998</v>
      </c>
      <c r="F186" s="42" t="s">
        <v>58</v>
      </c>
      <c r="G186" s="42" t="s">
        <v>59</v>
      </c>
      <c r="H186" s="42" t="s">
        <v>64</v>
      </c>
      <c r="I186" s="42" t="s">
        <v>61</v>
      </c>
      <c r="J186" s="42">
        <v>2</v>
      </c>
      <c r="K186" s="113">
        <v>1.7429976467197301E+19</v>
      </c>
    </row>
    <row r="187" spans="3:11" x14ac:dyDescent="0.3">
      <c r="C187" s="41" t="b">
        <v>0</v>
      </c>
      <c r="D187" s="42">
        <v>25.71</v>
      </c>
      <c r="E187" s="42">
        <v>4</v>
      </c>
      <c r="F187" s="42" t="s">
        <v>63</v>
      </c>
      <c r="G187" s="42" t="s">
        <v>59</v>
      </c>
      <c r="H187" s="42" t="s">
        <v>64</v>
      </c>
      <c r="I187" s="42" t="s">
        <v>61</v>
      </c>
      <c r="J187" s="42">
        <v>3</v>
      </c>
      <c r="K187" s="113">
        <v>1.3673911023274199E+19</v>
      </c>
    </row>
    <row r="188" spans="3:11" x14ac:dyDescent="0.3">
      <c r="C188" s="41" t="b">
        <v>0</v>
      </c>
      <c r="D188" s="42">
        <v>17.309999999999999</v>
      </c>
      <c r="E188" s="42">
        <v>3.5</v>
      </c>
      <c r="F188" s="42" t="s">
        <v>63</v>
      </c>
      <c r="G188" s="42" t="s">
        <v>59</v>
      </c>
      <c r="H188" s="42" t="s">
        <v>64</v>
      </c>
      <c r="I188" s="42" t="s">
        <v>61</v>
      </c>
      <c r="J188" s="42">
        <v>2</v>
      </c>
      <c r="K188" s="113">
        <v>1.03631802867149E+19</v>
      </c>
    </row>
    <row r="189" spans="3:11" x14ac:dyDescent="0.3">
      <c r="C189" s="41" t="b">
        <v>0</v>
      </c>
      <c r="D189" s="42">
        <v>29.93</v>
      </c>
      <c r="E189" s="42">
        <v>5.07</v>
      </c>
      <c r="F189" s="42" t="s">
        <v>58</v>
      </c>
      <c r="G189" s="42" t="s">
        <v>59</v>
      </c>
      <c r="H189" s="42" t="s">
        <v>64</v>
      </c>
      <c r="I189" s="42" t="s">
        <v>61</v>
      </c>
      <c r="J189" s="42">
        <v>4</v>
      </c>
      <c r="K189" s="113">
        <v>1.33022620528657E+18</v>
      </c>
    </row>
    <row r="190" spans="3:11" x14ac:dyDescent="0.3">
      <c r="C190" s="41" t="b">
        <v>0</v>
      </c>
      <c r="D190" s="42">
        <v>10.65</v>
      </c>
      <c r="E190" s="42">
        <v>1.5</v>
      </c>
      <c r="F190" s="42" t="s">
        <v>63</v>
      </c>
      <c r="G190" s="42" t="s">
        <v>59</v>
      </c>
      <c r="H190" s="42" t="s">
        <v>66</v>
      </c>
      <c r="I190" s="42" t="s">
        <v>67</v>
      </c>
      <c r="J190" s="42">
        <v>2</v>
      </c>
      <c r="K190" s="113">
        <v>5.14071620968243E+18</v>
      </c>
    </row>
    <row r="191" spans="3:11" x14ac:dyDescent="0.3">
      <c r="C191" s="41" t="b">
        <v>0</v>
      </c>
      <c r="D191" s="42">
        <v>12.43</v>
      </c>
      <c r="E191" s="42">
        <v>1.8</v>
      </c>
      <c r="F191" s="42" t="s">
        <v>63</v>
      </c>
      <c r="G191" s="42" t="s">
        <v>59</v>
      </c>
      <c r="H191" s="42" t="s">
        <v>66</v>
      </c>
      <c r="I191" s="42" t="s">
        <v>67</v>
      </c>
      <c r="J191" s="42">
        <v>2</v>
      </c>
      <c r="K191" s="113">
        <v>7.15410840286558E+18</v>
      </c>
    </row>
    <row r="192" spans="3:11" x14ac:dyDescent="0.3">
      <c r="C192" s="41" t="b">
        <v>0</v>
      </c>
      <c r="D192" s="42">
        <v>24.08</v>
      </c>
      <c r="E192" s="42">
        <v>2.92</v>
      </c>
      <c r="F192" s="42" t="s">
        <v>63</v>
      </c>
      <c r="G192" s="42" t="s">
        <v>59</v>
      </c>
      <c r="H192" s="42" t="s">
        <v>66</v>
      </c>
      <c r="I192" s="42" t="s">
        <v>67</v>
      </c>
      <c r="J192" s="42">
        <v>4</v>
      </c>
      <c r="K192" s="113">
        <v>1.4585826772390601E+19</v>
      </c>
    </row>
    <row r="193" spans="3:11" x14ac:dyDescent="0.3">
      <c r="C193" s="41" t="b">
        <v>0</v>
      </c>
      <c r="D193" s="42">
        <v>11.69</v>
      </c>
      <c r="E193" s="42">
        <v>2.31</v>
      </c>
      <c r="F193" s="42" t="s">
        <v>58</v>
      </c>
      <c r="G193" s="42" t="s">
        <v>59</v>
      </c>
      <c r="H193" s="42" t="s">
        <v>66</v>
      </c>
      <c r="I193" s="42" t="s">
        <v>67</v>
      </c>
      <c r="J193" s="42">
        <v>2</v>
      </c>
      <c r="K193" s="113">
        <v>7.94102265487949E+18</v>
      </c>
    </row>
    <row r="194" spans="3:11" x14ac:dyDescent="0.3">
      <c r="C194" s="41" t="b">
        <v>0</v>
      </c>
      <c r="D194" s="42">
        <v>13.42</v>
      </c>
      <c r="E194" s="42">
        <v>1.68</v>
      </c>
      <c r="F194" s="42" t="s">
        <v>63</v>
      </c>
      <c r="G194" s="42" t="s">
        <v>59</v>
      </c>
      <c r="H194" s="42" t="s">
        <v>66</v>
      </c>
      <c r="I194" s="42" t="s">
        <v>67</v>
      </c>
      <c r="J194" s="42">
        <v>2</v>
      </c>
      <c r="K194" s="113">
        <v>1.5923129571971E+19</v>
      </c>
    </row>
    <row r="195" spans="3:11" x14ac:dyDescent="0.3">
      <c r="C195" s="41" t="b">
        <v>0</v>
      </c>
      <c r="D195" s="42">
        <v>14.26</v>
      </c>
      <c r="E195" s="42">
        <v>2.5</v>
      </c>
      <c r="F195" s="42" t="s">
        <v>58</v>
      </c>
      <c r="G195" s="42" t="s">
        <v>59</v>
      </c>
      <c r="H195" s="42" t="s">
        <v>66</v>
      </c>
      <c r="I195" s="42" t="s">
        <v>67</v>
      </c>
      <c r="J195" s="42">
        <v>2</v>
      </c>
      <c r="K195" s="113">
        <v>1.2651764235832701E+19</v>
      </c>
    </row>
    <row r="196" spans="3:11" x14ac:dyDescent="0.3">
      <c r="C196" s="41" t="b">
        <v>0</v>
      </c>
      <c r="D196" s="42">
        <v>15.95</v>
      </c>
      <c r="E196" s="42">
        <v>2</v>
      </c>
      <c r="F196" s="42" t="s">
        <v>58</v>
      </c>
      <c r="G196" s="42" t="s">
        <v>59</v>
      </c>
      <c r="H196" s="42" t="s">
        <v>66</v>
      </c>
      <c r="I196" s="42" t="s">
        <v>67</v>
      </c>
      <c r="J196" s="42">
        <v>2</v>
      </c>
      <c r="K196" s="113">
        <v>3.96859028180098E+18</v>
      </c>
    </row>
    <row r="197" spans="3:11" x14ac:dyDescent="0.3">
      <c r="C197" s="41" t="b">
        <v>0</v>
      </c>
      <c r="D197" s="42">
        <v>12.48</v>
      </c>
      <c r="E197" s="42">
        <v>2.52</v>
      </c>
      <c r="F197" s="42" t="s">
        <v>63</v>
      </c>
      <c r="G197" s="42" t="s">
        <v>59</v>
      </c>
      <c r="H197" s="42" t="s">
        <v>66</v>
      </c>
      <c r="I197" s="42" t="s">
        <v>67</v>
      </c>
      <c r="J197" s="42">
        <v>2</v>
      </c>
      <c r="K197" s="113">
        <v>1.8170378151965E+19</v>
      </c>
    </row>
    <row r="198" spans="3:11" x14ac:dyDescent="0.3">
      <c r="C198" s="41" t="b">
        <v>0</v>
      </c>
      <c r="D198" s="42">
        <v>29.8</v>
      </c>
      <c r="E198" s="42">
        <v>4.2</v>
      </c>
      <c r="F198" s="42" t="s">
        <v>63</v>
      </c>
      <c r="G198" s="42" t="s">
        <v>59</v>
      </c>
      <c r="H198" s="42" t="s">
        <v>66</v>
      </c>
      <c r="I198" s="42" t="s">
        <v>67</v>
      </c>
      <c r="J198" s="42">
        <v>6</v>
      </c>
      <c r="K198" s="113">
        <v>1.6378369927144499E+18</v>
      </c>
    </row>
    <row r="199" spans="3:11" x14ac:dyDescent="0.3">
      <c r="C199" s="41" t="b">
        <v>0</v>
      </c>
      <c r="D199" s="42">
        <v>8.52</v>
      </c>
      <c r="E199" s="42">
        <v>1.48</v>
      </c>
      <c r="F199" s="42" t="s">
        <v>58</v>
      </c>
      <c r="G199" s="42" t="s">
        <v>59</v>
      </c>
      <c r="H199" s="42" t="s">
        <v>66</v>
      </c>
      <c r="I199" s="42" t="s">
        <v>67</v>
      </c>
      <c r="J199" s="42">
        <v>2</v>
      </c>
      <c r="K199" s="113">
        <v>1.11141388386583E+19</v>
      </c>
    </row>
    <row r="200" spans="3:11" x14ac:dyDescent="0.3">
      <c r="C200" s="41" t="b">
        <v>0</v>
      </c>
      <c r="D200" s="42">
        <v>14.52</v>
      </c>
      <c r="E200" s="42">
        <v>2</v>
      </c>
      <c r="F200" s="42" t="s">
        <v>63</v>
      </c>
      <c r="G200" s="42" t="s">
        <v>59</v>
      </c>
      <c r="H200" s="42" t="s">
        <v>66</v>
      </c>
      <c r="I200" s="42" t="s">
        <v>67</v>
      </c>
      <c r="J200" s="42">
        <v>2</v>
      </c>
      <c r="K200" s="113">
        <v>1.48640148212611E+18</v>
      </c>
    </row>
    <row r="201" spans="3:11" x14ac:dyDescent="0.3">
      <c r="C201" s="41" t="b">
        <v>0</v>
      </c>
      <c r="D201" s="42">
        <v>11.38</v>
      </c>
      <c r="E201" s="42">
        <v>2</v>
      </c>
      <c r="F201" s="42" t="s">
        <v>63</v>
      </c>
      <c r="G201" s="42" t="s">
        <v>59</v>
      </c>
      <c r="H201" s="42" t="s">
        <v>66</v>
      </c>
      <c r="I201" s="42" t="s">
        <v>67</v>
      </c>
      <c r="J201" s="42">
        <v>2</v>
      </c>
      <c r="K201" s="113">
        <v>3.7741709026891802E+18</v>
      </c>
    </row>
    <row r="202" spans="3:11" x14ac:dyDescent="0.3">
      <c r="C202" s="41" t="b">
        <v>0</v>
      </c>
      <c r="D202" s="42">
        <v>22.82</v>
      </c>
      <c r="E202" s="42">
        <v>2.1800000000000002</v>
      </c>
      <c r="F202" s="42" t="s">
        <v>58</v>
      </c>
      <c r="G202" s="42" t="s">
        <v>59</v>
      </c>
      <c r="H202" s="42" t="s">
        <v>66</v>
      </c>
      <c r="I202" s="42" t="s">
        <v>67</v>
      </c>
      <c r="J202" s="42">
        <v>3</v>
      </c>
      <c r="K202" s="113">
        <v>1.5641414264729899E+19</v>
      </c>
    </row>
    <row r="203" spans="3:11" x14ac:dyDescent="0.3">
      <c r="C203" s="41" t="b">
        <v>0</v>
      </c>
      <c r="D203" s="42">
        <v>19.079999999999998</v>
      </c>
      <c r="E203" s="42">
        <v>1.5</v>
      </c>
      <c r="F203" s="42" t="s">
        <v>58</v>
      </c>
      <c r="G203" s="42" t="s">
        <v>59</v>
      </c>
      <c r="H203" s="42" t="s">
        <v>66</v>
      </c>
      <c r="I203" s="42" t="s">
        <v>67</v>
      </c>
      <c r="J203" s="42">
        <v>2</v>
      </c>
      <c r="K203" s="113">
        <v>8.2530261914238505E+18</v>
      </c>
    </row>
    <row r="204" spans="3:11" x14ac:dyDescent="0.3">
      <c r="C204" s="41" t="b">
        <v>0</v>
      </c>
      <c r="D204" s="42">
        <v>20.27</v>
      </c>
      <c r="E204" s="42">
        <v>2.83</v>
      </c>
      <c r="F204" s="42" t="s">
        <v>63</v>
      </c>
      <c r="G204" s="42" t="s">
        <v>59</v>
      </c>
      <c r="H204" s="42" t="s">
        <v>66</v>
      </c>
      <c r="I204" s="42" t="s">
        <v>67</v>
      </c>
      <c r="J204" s="42">
        <v>2</v>
      </c>
      <c r="K204" s="113">
        <v>7.7169815413065902E+18</v>
      </c>
    </row>
    <row r="205" spans="3:11" x14ac:dyDescent="0.3">
      <c r="C205" s="41" t="b">
        <v>0</v>
      </c>
      <c r="D205" s="42">
        <v>11.17</v>
      </c>
      <c r="E205" s="42">
        <v>1.5</v>
      </c>
      <c r="F205" s="42" t="s">
        <v>63</v>
      </c>
      <c r="G205" s="42" t="s">
        <v>59</v>
      </c>
      <c r="H205" s="42" t="s">
        <v>66</v>
      </c>
      <c r="I205" s="42" t="s">
        <v>67</v>
      </c>
      <c r="J205" s="42">
        <v>2</v>
      </c>
      <c r="K205" s="113">
        <v>5.8988950280628204E+18</v>
      </c>
    </row>
    <row r="206" spans="3:11" x14ac:dyDescent="0.3">
      <c r="C206" s="41" t="b">
        <v>0</v>
      </c>
      <c r="D206" s="42">
        <v>12.26</v>
      </c>
      <c r="E206" s="42">
        <v>2</v>
      </c>
      <c r="F206" s="42" t="s">
        <v>63</v>
      </c>
      <c r="G206" s="42" t="s">
        <v>59</v>
      </c>
      <c r="H206" s="42" t="s">
        <v>66</v>
      </c>
      <c r="I206" s="42" t="s">
        <v>67</v>
      </c>
      <c r="J206" s="42">
        <v>2</v>
      </c>
      <c r="K206" s="113">
        <v>1.71884022612772E+19</v>
      </c>
    </row>
    <row r="207" spans="3:11" x14ac:dyDescent="0.3">
      <c r="C207" s="41" t="b">
        <v>0</v>
      </c>
      <c r="D207" s="42">
        <v>18.260000000000002</v>
      </c>
      <c r="E207" s="42">
        <v>3.25</v>
      </c>
      <c r="F207" s="42" t="s">
        <v>63</v>
      </c>
      <c r="G207" s="42" t="s">
        <v>59</v>
      </c>
      <c r="H207" s="42" t="s">
        <v>66</v>
      </c>
      <c r="I207" s="42" t="s">
        <v>67</v>
      </c>
      <c r="J207" s="42">
        <v>2</v>
      </c>
      <c r="K207" s="113">
        <v>1.01746820608567E+18</v>
      </c>
    </row>
    <row r="208" spans="3:11" x14ac:dyDescent="0.3">
      <c r="C208" s="41" t="b">
        <v>0</v>
      </c>
      <c r="D208" s="42">
        <v>8.51</v>
      </c>
      <c r="E208" s="42">
        <v>1.25</v>
      </c>
      <c r="F208" s="42" t="s">
        <v>63</v>
      </c>
      <c r="G208" s="42" t="s">
        <v>59</v>
      </c>
      <c r="H208" s="42" t="s">
        <v>66</v>
      </c>
      <c r="I208" s="42" t="s">
        <v>67</v>
      </c>
      <c r="J208" s="42">
        <v>2</v>
      </c>
      <c r="K208" s="113">
        <v>1.7902306141324401E+18</v>
      </c>
    </row>
    <row r="209" spans="3:11" x14ac:dyDescent="0.3">
      <c r="C209" s="41" t="b">
        <v>0</v>
      </c>
      <c r="D209" s="42">
        <v>10.33</v>
      </c>
      <c r="E209" s="42">
        <v>2</v>
      </c>
      <c r="F209" s="42" t="s">
        <v>63</v>
      </c>
      <c r="G209" s="42" t="s">
        <v>59</v>
      </c>
      <c r="H209" s="42" t="s">
        <v>66</v>
      </c>
      <c r="I209" s="42" t="s">
        <v>67</v>
      </c>
      <c r="J209" s="42">
        <v>2</v>
      </c>
      <c r="K209" s="113">
        <v>1.68051348020671E+19</v>
      </c>
    </row>
    <row r="210" spans="3:11" x14ac:dyDescent="0.3">
      <c r="C210" s="41" t="b">
        <v>0</v>
      </c>
      <c r="D210" s="42">
        <v>14.15</v>
      </c>
      <c r="E210" s="42">
        <v>2</v>
      </c>
      <c r="F210" s="42" t="s">
        <v>63</v>
      </c>
      <c r="G210" s="42" t="s">
        <v>59</v>
      </c>
      <c r="H210" s="42" t="s">
        <v>66</v>
      </c>
      <c r="I210" s="42" t="s">
        <v>67</v>
      </c>
      <c r="J210" s="42">
        <v>2</v>
      </c>
      <c r="K210" s="113">
        <v>1.70846213429325E+19</v>
      </c>
    </row>
    <row r="211" spans="3:11" x14ac:dyDescent="0.3">
      <c r="C211" s="41" t="b">
        <v>0</v>
      </c>
      <c r="D211" s="42">
        <v>16</v>
      </c>
      <c r="E211" s="42">
        <v>2</v>
      </c>
      <c r="F211" s="42" t="s">
        <v>58</v>
      </c>
      <c r="G211" s="42" t="s">
        <v>65</v>
      </c>
      <c r="H211" s="42" t="s">
        <v>66</v>
      </c>
      <c r="I211" s="42" t="s">
        <v>67</v>
      </c>
      <c r="J211" s="42">
        <v>2</v>
      </c>
      <c r="K211" s="113">
        <v>1.83595269811713E+19</v>
      </c>
    </row>
    <row r="212" spans="3:11" x14ac:dyDescent="0.3">
      <c r="C212" s="41" t="b">
        <v>0</v>
      </c>
      <c r="D212" s="42">
        <v>13.16</v>
      </c>
      <c r="E212" s="42">
        <v>2.75</v>
      </c>
      <c r="F212" s="42" t="s">
        <v>63</v>
      </c>
      <c r="G212" s="42" t="s">
        <v>59</v>
      </c>
      <c r="H212" s="42" t="s">
        <v>66</v>
      </c>
      <c r="I212" s="42" t="s">
        <v>67</v>
      </c>
      <c r="J212" s="42">
        <v>2</v>
      </c>
      <c r="K212" s="113">
        <v>9.0099682373159398E+17</v>
      </c>
    </row>
    <row r="213" spans="3:11" x14ac:dyDescent="0.3">
      <c r="C213" s="41" t="b">
        <v>0</v>
      </c>
      <c r="D213" s="42">
        <v>17.47</v>
      </c>
      <c r="E213" s="42">
        <v>3.5</v>
      </c>
      <c r="F213" s="42" t="s">
        <v>63</v>
      </c>
      <c r="G213" s="42" t="s">
        <v>59</v>
      </c>
      <c r="H213" s="42" t="s">
        <v>66</v>
      </c>
      <c r="I213" s="42" t="s">
        <v>67</v>
      </c>
      <c r="J213" s="42">
        <v>2</v>
      </c>
      <c r="K213" s="113">
        <v>1.7009032866881599E+19</v>
      </c>
    </row>
    <row r="214" spans="3:11" x14ac:dyDescent="0.3">
      <c r="C214" s="41" t="b">
        <v>0</v>
      </c>
      <c r="D214" s="42">
        <v>34.299999999999997</v>
      </c>
      <c r="E214" s="42">
        <v>6.7</v>
      </c>
      <c r="F214" s="42" t="s">
        <v>58</v>
      </c>
      <c r="G214" s="42" t="s">
        <v>59</v>
      </c>
      <c r="H214" s="42" t="s">
        <v>66</v>
      </c>
      <c r="I214" s="42" t="s">
        <v>67</v>
      </c>
      <c r="J214" s="42">
        <v>6</v>
      </c>
      <c r="K214" s="113">
        <v>1.19470648808308E+19</v>
      </c>
    </row>
    <row r="215" spans="3:11" x14ac:dyDescent="0.3">
      <c r="C215" s="41" t="b">
        <v>0</v>
      </c>
      <c r="D215" s="42">
        <v>41.19</v>
      </c>
      <c r="E215" s="42">
        <v>5</v>
      </c>
      <c r="F215" s="42" t="s">
        <v>58</v>
      </c>
      <c r="G215" s="42" t="s">
        <v>59</v>
      </c>
      <c r="H215" s="42" t="s">
        <v>66</v>
      </c>
      <c r="I215" s="42" t="s">
        <v>67</v>
      </c>
      <c r="J215" s="42">
        <v>5</v>
      </c>
      <c r="K215" s="113">
        <v>2.9833230749771203E+18</v>
      </c>
    </row>
    <row r="216" spans="3:11" x14ac:dyDescent="0.3">
      <c r="C216" s="41" t="b">
        <v>0</v>
      </c>
      <c r="D216" s="42">
        <v>27.05</v>
      </c>
      <c r="E216" s="42">
        <v>5</v>
      </c>
      <c r="F216" s="42" t="s">
        <v>63</v>
      </c>
      <c r="G216" s="42" t="s">
        <v>59</v>
      </c>
      <c r="H216" s="42" t="s">
        <v>66</v>
      </c>
      <c r="I216" s="42" t="s">
        <v>67</v>
      </c>
      <c r="J216" s="42">
        <v>6</v>
      </c>
      <c r="K216" s="113">
        <v>1.5699685986862899E+19</v>
      </c>
    </row>
    <row r="217" spans="3:11" x14ac:dyDescent="0.3">
      <c r="C217" s="41" t="b">
        <v>0</v>
      </c>
      <c r="D217" s="42">
        <v>16.43</v>
      </c>
      <c r="E217" s="42">
        <v>2.2999999999999998</v>
      </c>
      <c r="F217" s="42" t="s">
        <v>63</v>
      </c>
      <c r="G217" s="42" t="s">
        <v>59</v>
      </c>
      <c r="H217" s="42" t="s">
        <v>66</v>
      </c>
      <c r="I217" s="42" t="s">
        <v>67</v>
      </c>
      <c r="J217" s="42">
        <v>2</v>
      </c>
      <c r="K217" s="113">
        <v>8.8113954667389102E+18</v>
      </c>
    </row>
    <row r="218" spans="3:11" x14ac:dyDescent="0.3">
      <c r="C218" s="41" t="b">
        <v>0</v>
      </c>
      <c r="D218" s="42">
        <v>8.35</v>
      </c>
      <c r="E218" s="42">
        <v>1.5</v>
      </c>
      <c r="F218" s="42" t="s">
        <v>63</v>
      </c>
      <c r="G218" s="42" t="s">
        <v>59</v>
      </c>
      <c r="H218" s="42" t="s">
        <v>66</v>
      </c>
      <c r="I218" s="42" t="s">
        <v>67</v>
      </c>
      <c r="J218" s="42">
        <v>2</v>
      </c>
      <c r="K218" s="113">
        <v>1.6967054614998999E+18</v>
      </c>
    </row>
    <row r="219" spans="3:11" x14ac:dyDescent="0.3">
      <c r="C219" s="41" t="b">
        <v>0</v>
      </c>
      <c r="D219" s="42">
        <v>18.64</v>
      </c>
      <c r="E219" s="42">
        <v>1.36</v>
      </c>
      <c r="F219" s="42" t="s">
        <v>63</v>
      </c>
      <c r="G219" s="42" t="s">
        <v>59</v>
      </c>
      <c r="H219" s="42" t="s">
        <v>66</v>
      </c>
      <c r="I219" s="42" t="s">
        <v>67</v>
      </c>
      <c r="J219" s="42">
        <v>3</v>
      </c>
      <c r="K219" s="113">
        <v>1.72913597424735E+18</v>
      </c>
    </row>
    <row r="220" spans="3:11" x14ac:dyDescent="0.3">
      <c r="C220" s="41" t="b">
        <v>0</v>
      </c>
      <c r="D220" s="42">
        <v>11.87</v>
      </c>
      <c r="E220" s="42">
        <v>1.63</v>
      </c>
      <c r="F220" s="42" t="s">
        <v>63</v>
      </c>
      <c r="G220" s="42" t="s">
        <v>59</v>
      </c>
      <c r="H220" s="42" t="s">
        <v>66</v>
      </c>
      <c r="I220" s="42" t="s">
        <v>67</v>
      </c>
      <c r="J220" s="42">
        <v>2</v>
      </c>
      <c r="K220" s="113">
        <v>1.0999898521496001E+19</v>
      </c>
    </row>
    <row r="221" spans="3:11" x14ac:dyDescent="0.3">
      <c r="C221" s="41" t="b">
        <v>0</v>
      </c>
      <c r="D221" s="42">
        <v>9.7799999999999994</v>
      </c>
      <c r="E221" s="42">
        <v>1.73</v>
      </c>
      <c r="F221" s="42" t="s">
        <v>58</v>
      </c>
      <c r="G221" s="42" t="s">
        <v>59</v>
      </c>
      <c r="H221" s="42" t="s">
        <v>66</v>
      </c>
      <c r="I221" s="42" t="s">
        <v>67</v>
      </c>
      <c r="J221" s="42">
        <v>2</v>
      </c>
      <c r="K221" s="113">
        <v>2.05765500279936E+18</v>
      </c>
    </row>
    <row r="222" spans="3:11" x14ac:dyDescent="0.3">
      <c r="C222" s="41" t="b">
        <v>0</v>
      </c>
      <c r="D222" s="42">
        <v>7.51</v>
      </c>
      <c r="E222" s="42">
        <v>2</v>
      </c>
      <c r="F222" s="42" t="s">
        <v>58</v>
      </c>
      <c r="G222" s="42" t="s">
        <v>59</v>
      </c>
      <c r="H222" s="42" t="s">
        <v>66</v>
      </c>
      <c r="I222" s="42" t="s">
        <v>67</v>
      </c>
      <c r="J222" s="42">
        <v>2</v>
      </c>
      <c r="K222" s="113">
        <v>1.1969169418973301E+19</v>
      </c>
    </row>
    <row r="223" spans="3:11" x14ac:dyDescent="0.3">
      <c r="C223" s="41" t="b">
        <v>0</v>
      </c>
      <c r="D223" s="42">
        <v>14.07</v>
      </c>
      <c r="E223" s="42">
        <v>2.5</v>
      </c>
      <c r="F223" s="42" t="s">
        <v>58</v>
      </c>
      <c r="G223" s="42" t="s">
        <v>59</v>
      </c>
      <c r="H223" s="42" t="s">
        <v>64</v>
      </c>
      <c r="I223" s="42" t="s">
        <v>61</v>
      </c>
      <c r="J223" s="42">
        <v>2</v>
      </c>
      <c r="K223" s="113">
        <v>6.8560277241199104E+18</v>
      </c>
    </row>
    <row r="224" spans="3:11" x14ac:dyDescent="0.3">
      <c r="C224" s="41" t="b">
        <v>0</v>
      </c>
      <c r="D224" s="42">
        <v>13.13</v>
      </c>
      <c r="E224" s="42">
        <v>2</v>
      </c>
      <c r="F224" s="42" t="s">
        <v>58</v>
      </c>
      <c r="G224" s="42" t="s">
        <v>59</v>
      </c>
      <c r="H224" s="42" t="s">
        <v>64</v>
      </c>
      <c r="I224" s="42" t="s">
        <v>61</v>
      </c>
      <c r="J224" s="42">
        <v>2</v>
      </c>
      <c r="K224" s="113">
        <v>1.58064674192903E+19</v>
      </c>
    </row>
    <row r="225" spans="3:11" x14ac:dyDescent="0.3">
      <c r="C225" s="41" t="b">
        <v>0</v>
      </c>
      <c r="D225" s="42">
        <v>17.260000000000002</v>
      </c>
      <c r="E225" s="42">
        <v>2.74</v>
      </c>
      <c r="F225" s="42" t="s">
        <v>58</v>
      </c>
      <c r="G225" s="42" t="s">
        <v>59</v>
      </c>
      <c r="H225" s="42" t="s">
        <v>64</v>
      </c>
      <c r="I225" s="42" t="s">
        <v>61</v>
      </c>
      <c r="J225" s="42">
        <v>3</v>
      </c>
      <c r="K225" s="113">
        <v>2.3039142770801201E+18</v>
      </c>
    </row>
    <row r="226" spans="3:11" x14ac:dyDescent="0.3">
      <c r="C226" s="41" t="b">
        <v>0</v>
      </c>
      <c r="D226" s="42">
        <v>24.55</v>
      </c>
      <c r="E226" s="42">
        <v>2</v>
      </c>
      <c r="F226" s="42" t="s">
        <v>58</v>
      </c>
      <c r="G226" s="42" t="s">
        <v>59</v>
      </c>
      <c r="H226" s="42" t="s">
        <v>64</v>
      </c>
      <c r="I226" s="42" t="s">
        <v>61</v>
      </c>
      <c r="J226" s="42">
        <v>4</v>
      </c>
      <c r="K226" s="113">
        <v>1.7465158241259801E+19</v>
      </c>
    </row>
    <row r="227" spans="3:11" x14ac:dyDescent="0.3">
      <c r="C227" s="41" t="b">
        <v>0</v>
      </c>
      <c r="D227" s="42">
        <v>19.77</v>
      </c>
      <c r="E227" s="42">
        <v>2</v>
      </c>
      <c r="F227" s="42" t="s">
        <v>58</v>
      </c>
      <c r="G227" s="42" t="s">
        <v>59</v>
      </c>
      <c r="H227" s="42" t="s">
        <v>64</v>
      </c>
      <c r="I227" s="42" t="s">
        <v>61</v>
      </c>
      <c r="J227" s="42">
        <v>4</v>
      </c>
      <c r="K227" s="113">
        <v>1.0232055983904399E+19</v>
      </c>
    </row>
    <row r="228" spans="3:11" x14ac:dyDescent="0.3">
      <c r="C228" s="41" t="b">
        <v>0</v>
      </c>
      <c r="D228" s="42">
        <v>29.85</v>
      </c>
      <c r="E228" s="42">
        <v>5.14</v>
      </c>
      <c r="F228" s="42" t="s">
        <v>63</v>
      </c>
      <c r="G228" s="42" t="s">
        <v>59</v>
      </c>
      <c r="H228" s="42" t="s">
        <v>64</v>
      </c>
      <c r="I228" s="42" t="s">
        <v>61</v>
      </c>
      <c r="J228" s="42">
        <v>5</v>
      </c>
      <c r="K228" s="113">
        <v>7.9830164199721902E+18</v>
      </c>
    </row>
    <row r="229" spans="3:11" x14ac:dyDescent="0.3">
      <c r="C229" s="41" t="b">
        <v>0</v>
      </c>
      <c r="D229" s="42">
        <v>48.17</v>
      </c>
      <c r="E229" s="42">
        <v>5</v>
      </c>
      <c r="F229" s="42" t="s">
        <v>58</v>
      </c>
      <c r="G229" s="42" t="s">
        <v>59</v>
      </c>
      <c r="H229" s="42" t="s">
        <v>64</v>
      </c>
      <c r="I229" s="42" t="s">
        <v>61</v>
      </c>
      <c r="J229" s="42">
        <v>6</v>
      </c>
      <c r="K229" s="113">
        <v>2.0640750938842199E+18</v>
      </c>
    </row>
    <row r="230" spans="3:11" x14ac:dyDescent="0.3">
      <c r="C230" s="41" t="b">
        <v>0</v>
      </c>
      <c r="D230" s="42">
        <v>25</v>
      </c>
      <c r="E230" s="42">
        <v>3.75</v>
      </c>
      <c r="F230" s="42" t="s">
        <v>63</v>
      </c>
      <c r="G230" s="42" t="s">
        <v>59</v>
      </c>
      <c r="H230" s="42" t="s">
        <v>64</v>
      </c>
      <c r="I230" s="42" t="s">
        <v>61</v>
      </c>
      <c r="J230" s="42">
        <v>4</v>
      </c>
      <c r="K230" s="113">
        <v>1.8053851855626701E+19</v>
      </c>
    </row>
    <row r="231" spans="3:11" x14ac:dyDescent="0.3">
      <c r="C231" s="41" t="b">
        <v>0</v>
      </c>
      <c r="D231" s="42">
        <v>13.39</v>
      </c>
      <c r="E231" s="42">
        <v>2.61</v>
      </c>
      <c r="F231" s="42" t="s">
        <v>63</v>
      </c>
      <c r="G231" s="42" t="s">
        <v>59</v>
      </c>
      <c r="H231" s="42" t="s">
        <v>64</v>
      </c>
      <c r="I231" s="42" t="s">
        <v>61</v>
      </c>
      <c r="J231" s="42">
        <v>2</v>
      </c>
      <c r="K231" s="113">
        <v>6.4704267986764401E+18</v>
      </c>
    </row>
    <row r="232" spans="3:11" x14ac:dyDescent="0.3">
      <c r="C232" s="41" t="b">
        <v>0</v>
      </c>
      <c r="D232" s="42">
        <v>16.489999999999998</v>
      </c>
      <c r="E232" s="42">
        <v>2</v>
      </c>
      <c r="F232" s="42" t="s">
        <v>58</v>
      </c>
      <c r="G232" s="42" t="s">
        <v>59</v>
      </c>
      <c r="H232" s="42" t="s">
        <v>64</v>
      </c>
      <c r="I232" s="42" t="s">
        <v>61</v>
      </c>
      <c r="J232" s="42">
        <v>4</v>
      </c>
      <c r="K232" s="113">
        <v>1.1233768429245901E+19</v>
      </c>
    </row>
    <row r="233" spans="3:11" x14ac:dyDescent="0.3">
      <c r="C233" s="41" t="b">
        <v>0</v>
      </c>
      <c r="D233" s="42">
        <v>21.5</v>
      </c>
      <c r="E233" s="42">
        <v>3.5</v>
      </c>
      <c r="F233" s="42" t="s">
        <v>58</v>
      </c>
      <c r="G233" s="42" t="s">
        <v>59</v>
      </c>
      <c r="H233" s="42" t="s">
        <v>64</v>
      </c>
      <c r="I233" s="42" t="s">
        <v>61</v>
      </c>
      <c r="J233" s="42">
        <v>4</v>
      </c>
      <c r="K233" s="113">
        <v>1.2407582103721699E+19</v>
      </c>
    </row>
    <row r="234" spans="3:11" x14ac:dyDescent="0.3">
      <c r="C234" s="41" t="b">
        <v>0</v>
      </c>
      <c r="D234" s="42">
        <v>12.66</v>
      </c>
      <c r="E234" s="42">
        <v>2.5</v>
      </c>
      <c r="F234" s="42" t="s">
        <v>58</v>
      </c>
      <c r="G234" s="42" t="s">
        <v>59</v>
      </c>
      <c r="H234" s="42" t="s">
        <v>64</v>
      </c>
      <c r="I234" s="42" t="s">
        <v>61</v>
      </c>
      <c r="J234" s="42">
        <v>2</v>
      </c>
      <c r="K234" s="113">
        <v>1.0213971969413599E+19</v>
      </c>
    </row>
    <row r="235" spans="3:11" x14ac:dyDescent="0.3">
      <c r="C235" s="41" t="b">
        <v>0</v>
      </c>
      <c r="D235" s="42">
        <v>16.21</v>
      </c>
      <c r="E235" s="42">
        <v>2</v>
      </c>
      <c r="F235" s="42" t="s">
        <v>63</v>
      </c>
      <c r="G235" s="42" t="s">
        <v>59</v>
      </c>
      <c r="H235" s="42" t="s">
        <v>64</v>
      </c>
      <c r="I235" s="42" t="s">
        <v>61</v>
      </c>
      <c r="J235" s="42">
        <v>3</v>
      </c>
      <c r="K235" s="113">
        <v>1.51531608180409E+19</v>
      </c>
    </row>
    <row r="236" spans="3:11" x14ac:dyDescent="0.3">
      <c r="C236" s="41" t="b">
        <v>0</v>
      </c>
      <c r="D236" s="42">
        <v>13.81</v>
      </c>
      <c r="E236" s="42">
        <v>2</v>
      </c>
      <c r="F236" s="42" t="s">
        <v>58</v>
      </c>
      <c r="G236" s="42" t="s">
        <v>59</v>
      </c>
      <c r="H236" s="42" t="s">
        <v>64</v>
      </c>
      <c r="I236" s="42" t="s">
        <v>61</v>
      </c>
      <c r="J236" s="42">
        <v>2</v>
      </c>
      <c r="K236" s="113">
        <v>1.2165783503472599E+19</v>
      </c>
    </row>
    <row r="237" spans="3:11" x14ac:dyDescent="0.3">
      <c r="C237" s="41" t="b">
        <v>0</v>
      </c>
      <c r="D237" s="42">
        <v>17.510000000000002</v>
      </c>
      <c r="E237" s="42">
        <v>3</v>
      </c>
      <c r="F237" s="42" t="s">
        <v>63</v>
      </c>
      <c r="G237" s="42" t="s">
        <v>65</v>
      </c>
      <c r="H237" s="42" t="s">
        <v>64</v>
      </c>
      <c r="I237" s="42" t="s">
        <v>61</v>
      </c>
      <c r="J237" s="42">
        <v>2</v>
      </c>
      <c r="K237" s="113">
        <v>6.0724243549114204E+18</v>
      </c>
    </row>
    <row r="238" spans="3:11" x14ac:dyDescent="0.3">
      <c r="C238" s="41" t="b">
        <v>0</v>
      </c>
      <c r="D238" s="42">
        <v>24.52</v>
      </c>
      <c r="E238" s="42">
        <v>3.48</v>
      </c>
      <c r="F238" s="42" t="s">
        <v>58</v>
      </c>
      <c r="G238" s="42" t="s">
        <v>59</v>
      </c>
      <c r="H238" s="42" t="s">
        <v>64</v>
      </c>
      <c r="I238" s="42" t="s">
        <v>61</v>
      </c>
      <c r="J238" s="42">
        <v>3</v>
      </c>
      <c r="K238" s="113">
        <v>1.71614729996469E+19</v>
      </c>
    </row>
    <row r="239" spans="3:11" x14ac:dyDescent="0.3">
      <c r="C239" s="41" t="b">
        <v>0</v>
      </c>
      <c r="D239" s="42">
        <v>20.76</v>
      </c>
      <c r="E239" s="42">
        <v>2.2400000000000002</v>
      </c>
      <c r="F239" s="42" t="s">
        <v>58</v>
      </c>
      <c r="G239" s="42" t="s">
        <v>59</v>
      </c>
      <c r="H239" s="42" t="s">
        <v>64</v>
      </c>
      <c r="I239" s="42" t="s">
        <v>61</v>
      </c>
      <c r="J239" s="42">
        <v>2</v>
      </c>
      <c r="K239" s="113">
        <v>1.15782548919702E+19</v>
      </c>
    </row>
    <row r="240" spans="3:11" x14ac:dyDescent="0.3">
      <c r="C240" s="41" t="b">
        <v>0</v>
      </c>
      <c r="D240" s="42">
        <v>31.71</v>
      </c>
      <c r="E240" s="42">
        <v>4.5</v>
      </c>
      <c r="F240" s="42" t="s">
        <v>58</v>
      </c>
      <c r="G240" s="42" t="s">
        <v>59</v>
      </c>
      <c r="H240" s="42" t="s">
        <v>64</v>
      </c>
      <c r="I240" s="42" t="s">
        <v>61</v>
      </c>
      <c r="J240" s="42">
        <v>4</v>
      </c>
      <c r="K240" s="113">
        <v>4.2415878267277E+18</v>
      </c>
    </row>
    <row r="241" spans="3:11" x14ac:dyDescent="0.3">
      <c r="C241" s="41" t="b">
        <v>0</v>
      </c>
      <c r="D241" s="42">
        <v>10.59</v>
      </c>
      <c r="E241" s="42">
        <v>1.61</v>
      </c>
      <c r="F241" s="42" t="s">
        <v>63</v>
      </c>
      <c r="G241" s="42" t="s">
        <v>65</v>
      </c>
      <c r="H241" s="42" t="s">
        <v>60</v>
      </c>
      <c r="I241" s="42" t="s">
        <v>61</v>
      </c>
      <c r="J241" s="42">
        <v>2</v>
      </c>
      <c r="K241" s="113">
        <v>4.12642801990366E+18</v>
      </c>
    </row>
    <row r="242" spans="3:11" x14ac:dyDescent="0.3">
      <c r="C242" s="41" t="b">
        <v>0</v>
      </c>
      <c r="D242" s="42">
        <v>10.63</v>
      </c>
      <c r="E242" s="42">
        <v>2</v>
      </c>
      <c r="F242" s="42" t="s">
        <v>63</v>
      </c>
      <c r="G242" s="42" t="s">
        <v>65</v>
      </c>
      <c r="H242" s="42" t="s">
        <v>60</v>
      </c>
      <c r="I242" s="42" t="s">
        <v>61</v>
      </c>
      <c r="J242" s="42">
        <v>2</v>
      </c>
      <c r="K242" s="113">
        <v>7.9714389336459305E+18</v>
      </c>
    </row>
    <row r="243" spans="3:11" x14ac:dyDescent="0.3">
      <c r="C243" s="41" t="b">
        <v>0</v>
      </c>
      <c r="D243" s="42">
        <v>50.81</v>
      </c>
      <c r="E243" s="42">
        <v>10</v>
      </c>
      <c r="F243" s="42" t="s">
        <v>58</v>
      </c>
      <c r="G243" s="42" t="s">
        <v>65</v>
      </c>
      <c r="H243" s="42" t="s">
        <v>60</v>
      </c>
      <c r="I243" s="42" t="s">
        <v>61</v>
      </c>
      <c r="J243" s="42">
        <v>3</v>
      </c>
      <c r="K243" s="113">
        <v>8.3994069833085204E+18</v>
      </c>
    </row>
    <row r="244" spans="3:11" x14ac:dyDescent="0.3">
      <c r="C244" s="41" t="b">
        <v>0</v>
      </c>
      <c r="D244" s="42">
        <v>15.81</v>
      </c>
      <c r="E244" s="42">
        <v>3.16</v>
      </c>
      <c r="F244" s="42" t="s">
        <v>58</v>
      </c>
      <c r="G244" s="42" t="s">
        <v>65</v>
      </c>
      <c r="H244" s="42" t="s">
        <v>60</v>
      </c>
      <c r="I244" s="42" t="s">
        <v>61</v>
      </c>
      <c r="J244" s="42">
        <v>2</v>
      </c>
      <c r="K244" s="113">
        <v>1.6481595734378799E+19</v>
      </c>
    </row>
    <row r="245" spans="3:11" x14ac:dyDescent="0.3">
      <c r="C245" s="41" t="b">
        <v>0</v>
      </c>
      <c r="D245" s="42">
        <v>7.25</v>
      </c>
      <c r="E245" s="42">
        <v>5.15</v>
      </c>
      <c r="F245" s="42" t="s">
        <v>58</v>
      </c>
      <c r="G245" s="42" t="s">
        <v>65</v>
      </c>
      <c r="H245" s="42" t="s">
        <v>64</v>
      </c>
      <c r="I245" s="42" t="s">
        <v>61</v>
      </c>
      <c r="J245" s="42">
        <v>2</v>
      </c>
      <c r="K245" s="113">
        <v>1.13618236698852E+19</v>
      </c>
    </row>
    <row r="246" spans="3:11" x14ac:dyDescent="0.3">
      <c r="C246" s="41" t="b">
        <v>0</v>
      </c>
      <c r="D246" s="42">
        <v>31.85</v>
      </c>
      <c r="E246" s="42">
        <v>3.18</v>
      </c>
      <c r="F246" s="42" t="s">
        <v>58</v>
      </c>
      <c r="G246" s="42" t="s">
        <v>65</v>
      </c>
      <c r="H246" s="42" t="s">
        <v>64</v>
      </c>
      <c r="I246" s="42" t="s">
        <v>61</v>
      </c>
      <c r="J246" s="42">
        <v>2</v>
      </c>
      <c r="K246" s="113">
        <v>1.4323764996875801E+19</v>
      </c>
    </row>
    <row r="247" spans="3:11" x14ac:dyDescent="0.3">
      <c r="C247" s="41" t="b">
        <v>0</v>
      </c>
      <c r="D247" s="42">
        <v>16.82</v>
      </c>
      <c r="E247" s="42">
        <v>4</v>
      </c>
      <c r="F247" s="42" t="s">
        <v>58</v>
      </c>
      <c r="G247" s="42" t="s">
        <v>65</v>
      </c>
      <c r="H247" s="42" t="s">
        <v>64</v>
      </c>
      <c r="I247" s="42" t="s">
        <v>61</v>
      </c>
      <c r="J247" s="42">
        <v>2</v>
      </c>
      <c r="K247" s="113">
        <v>1.70717363841834E+19</v>
      </c>
    </row>
    <row r="248" spans="3:11" x14ac:dyDescent="0.3">
      <c r="C248" s="41" t="b">
        <v>0</v>
      </c>
      <c r="D248" s="42">
        <v>32.9</v>
      </c>
      <c r="E248" s="42">
        <v>3.11</v>
      </c>
      <c r="F248" s="42" t="s">
        <v>58</v>
      </c>
      <c r="G248" s="42" t="s">
        <v>65</v>
      </c>
      <c r="H248" s="42" t="s">
        <v>64</v>
      </c>
      <c r="I248" s="42" t="s">
        <v>61</v>
      </c>
      <c r="J248" s="42">
        <v>2</v>
      </c>
      <c r="K248" s="113">
        <v>1.4101075274663801E+19</v>
      </c>
    </row>
    <row r="249" spans="3:11" x14ac:dyDescent="0.3">
      <c r="C249" s="41" t="b">
        <v>0</v>
      </c>
      <c r="D249" s="42">
        <v>17.89</v>
      </c>
      <c r="E249" s="42">
        <v>2</v>
      </c>
      <c r="F249" s="42" t="s">
        <v>58</v>
      </c>
      <c r="G249" s="42" t="s">
        <v>65</v>
      </c>
      <c r="H249" s="42" t="s">
        <v>64</v>
      </c>
      <c r="I249" s="42" t="s">
        <v>61</v>
      </c>
      <c r="J249" s="42">
        <v>2</v>
      </c>
      <c r="K249" s="113">
        <v>8.2863642075731599E+18</v>
      </c>
    </row>
    <row r="250" spans="3:11" x14ac:dyDescent="0.3">
      <c r="C250" s="41" t="b">
        <v>0</v>
      </c>
      <c r="D250" s="42">
        <v>14.48</v>
      </c>
      <c r="E250" s="42">
        <v>2</v>
      </c>
      <c r="F250" s="42" t="s">
        <v>58</v>
      </c>
      <c r="G250" s="42" t="s">
        <v>65</v>
      </c>
      <c r="H250" s="42" t="s">
        <v>64</v>
      </c>
      <c r="I250" s="42" t="s">
        <v>61</v>
      </c>
      <c r="J250" s="42">
        <v>2</v>
      </c>
      <c r="K250" s="113">
        <v>5.97915388470178E+18</v>
      </c>
    </row>
    <row r="251" spans="3:11" x14ac:dyDescent="0.3">
      <c r="C251" s="41" t="b">
        <v>0</v>
      </c>
      <c r="D251" s="42">
        <v>9.6</v>
      </c>
      <c r="E251" s="42">
        <v>4</v>
      </c>
      <c r="F251" s="42" t="s">
        <v>63</v>
      </c>
      <c r="G251" s="42" t="s">
        <v>65</v>
      </c>
      <c r="H251" s="42" t="s">
        <v>64</v>
      </c>
      <c r="I251" s="42" t="s">
        <v>61</v>
      </c>
      <c r="J251" s="42">
        <v>2</v>
      </c>
      <c r="K251" s="113">
        <v>6.22377093061696E+18</v>
      </c>
    </row>
    <row r="252" spans="3:11" x14ac:dyDescent="0.3">
      <c r="C252" s="41" t="b">
        <v>0</v>
      </c>
      <c r="D252" s="42">
        <v>34.630000000000003</v>
      </c>
      <c r="E252" s="42">
        <v>3.55</v>
      </c>
      <c r="F252" s="42" t="s">
        <v>58</v>
      </c>
      <c r="G252" s="42" t="s">
        <v>65</v>
      </c>
      <c r="H252" s="42" t="s">
        <v>64</v>
      </c>
      <c r="I252" s="42" t="s">
        <v>61</v>
      </c>
      <c r="J252" s="42">
        <v>2</v>
      </c>
      <c r="K252" s="113">
        <v>4.19761862050605E+18</v>
      </c>
    </row>
    <row r="253" spans="3:11" x14ac:dyDescent="0.3">
      <c r="C253" s="41" t="b">
        <v>0</v>
      </c>
      <c r="D253" s="42">
        <v>34.65</v>
      </c>
      <c r="E253" s="42">
        <v>3.68</v>
      </c>
      <c r="F253" s="42" t="s">
        <v>58</v>
      </c>
      <c r="G253" s="42" t="s">
        <v>65</v>
      </c>
      <c r="H253" s="42" t="s">
        <v>64</v>
      </c>
      <c r="I253" s="42" t="s">
        <v>61</v>
      </c>
      <c r="J253" s="42">
        <v>4</v>
      </c>
      <c r="K253" s="113">
        <v>4.5240661416026102E+18</v>
      </c>
    </row>
    <row r="254" spans="3:11" x14ac:dyDescent="0.3">
      <c r="C254" s="41" t="b">
        <v>0</v>
      </c>
      <c r="D254" s="42">
        <v>23.33</v>
      </c>
      <c r="E254" s="42">
        <v>5.65</v>
      </c>
      <c r="F254" s="42" t="s">
        <v>58</v>
      </c>
      <c r="G254" s="42" t="s">
        <v>65</v>
      </c>
      <c r="H254" s="42" t="s">
        <v>64</v>
      </c>
      <c r="I254" s="42" t="s">
        <v>61</v>
      </c>
      <c r="J254" s="42">
        <v>2</v>
      </c>
      <c r="K254" s="113">
        <v>5.7783418485632E+18</v>
      </c>
    </row>
    <row r="255" spans="3:11" x14ac:dyDescent="0.3">
      <c r="C255" s="41" t="b">
        <v>0</v>
      </c>
      <c r="D255" s="42">
        <v>45.35</v>
      </c>
      <c r="E255" s="42">
        <v>3.5</v>
      </c>
      <c r="F255" s="42" t="s">
        <v>58</v>
      </c>
      <c r="G255" s="42" t="s">
        <v>65</v>
      </c>
      <c r="H255" s="42" t="s">
        <v>64</v>
      </c>
      <c r="I255" s="42" t="s">
        <v>61</v>
      </c>
      <c r="J255" s="42">
        <v>3</v>
      </c>
      <c r="K255" s="113">
        <v>1.4669866325308E+19</v>
      </c>
    </row>
    <row r="256" spans="3:11" x14ac:dyDescent="0.3">
      <c r="C256" s="41" t="b">
        <v>0</v>
      </c>
      <c r="D256" s="42">
        <v>23.17</v>
      </c>
      <c r="E256" s="42">
        <v>6.5</v>
      </c>
      <c r="F256" s="42" t="s">
        <v>58</v>
      </c>
      <c r="G256" s="42" t="s">
        <v>65</v>
      </c>
      <c r="H256" s="42" t="s">
        <v>64</v>
      </c>
      <c r="I256" s="42" t="s">
        <v>61</v>
      </c>
      <c r="J256" s="42">
        <v>4</v>
      </c>
      <c r="K256" s="113">
        <v>5.38209057932463E+18</v>
      </c>
    </row>
    <row r="257" spans="3:11" x14ac:dyDescent="0.3">
      <c r="C257" s="41" t="b">
        <v>0</v>
      </c>
      <c r="D257" s="42">
        <v>40.549999999999997</v>
      </c>
      <c r="E257" s="42">
        <v>3</v>
      </c>
      <c r="F257" s="42" t="s">
        <v>58</v>
      </c>
      <c r="G257" s="42" t="s">
        <v>65</v>
      </c>
      <c r="H257" s="42" t="s">
        <v>64</v>
      </c>
      <c r="I257" s="42" t="s">
        <v>61</v>
      </c>
      <c r="J257" s="42">
        <v>2</v>
      </c>
      <c r="K257" s="113">
        <v>2.4476896425001298E+18</v>
      </c>
    </row>
    <row r="258" spans="3:11" x14ac:dyDescent="0.3">
      <c r="C258" s="41" t="b">
        <v>0</v>
      </c>
      <c r="D258" s="42">
        <v>20.69</v>
      </c>
      <c r="E258" s="42">
        <v>5</v>
      </c>
      <c r="F258" s="42" t="s">
        <v>58</v>
      </c>
      <c r="G258" s="42" t="s">
        <v>59</v>
      </c>
      <c r="H258" s="42" t="s">
        <v>64</v>
      </c>
      <c r="I258" s="42" t="s">
        <v>61</v>
      </c>
      <c r="J258" s="42">
        <v>5</v>
      </c>
      <c r="K258" s="113">
        <v>1.41329132318505E+19</v>
      </c>
    </row>
    <row r="259" spans="3:11" x14ac:dyDescent="0.3">
      <c r="C259" s="41" t="b">
        <v>0</v>
      </c>
      <c r="D259" s="42">
        <v>20.9</v>
      </c>
      <c r="E259" s="42">
        <v>3.5</v>
      </c>
      <c r="F259" s="42" t="s">
        <v>63</v>
      </c>
      <c r="G259" s="42" t="s">
        <v>65</v>
      </c>
      <c r="H259" s="42" t="s">
        <v>64</v>
      </c>
      <c r="I259" s="42" t="s">
        <v>61</v>
      </c>
      <c r="J259" s="42">
        <v>3</v>
      </c>
      <c r="K259" s="113">
        <v>1.6114245355922E+19</v>
      </c>
    </row>
    <row r="260" spans="3:11" x14ac:dyDescent="0.3">
      <c r="C260" s="41" t="b">
        <v>0</v>
      </c>
      <c r="D260" s="42">
        <v>30.46</v>
      </c>
      <c r="E260" s="42">
        <v>2</v>
      </c>
      <c r="F260" s="42" t="s">
        <v>58</v>
      </c>
      <c r="G260" s="42" t="s">
        <v>65</v>
      </c>
      <c r="H260" s="42" t="s">
        <v>64</v>
      </c>
      <c r="I260" s="42" t="s">
        <v>61</v>
      </c>
      <c r="J260" s="42">
        <v>5</v>
      </c>
      <c r="K260" s="113">
        <v>1.55709202501511E+19</v>
      </c>
    </row>
    <row r="261" spans="3:11" x14ac:dyDescent="0.3">
      <c r="C261" s="41" t="b">
        <v>0</v>
      </c>
      <c r="D261" s="42">
        <v>18.149999999999999</v>
      </c>
      <c r="E261" s="42">
        <v>3.5</v>
      </c>
      <c r="F261" s="42" t="s">
        <v>63</v>
      </c>
      <c r="G261" s="42" t="s">
        <v>65</v>
      </c>
      <c r="H261" s="42" t="s">
        <v>64</v>
      </c>
      <c r="I261" s="42" t="s">
        <v>61</v>
      </c>
      <c r="J261" s="42">
        <v>3</v>
      </c>
      <c r="K261" s="113">
        <v>1.8165581492892201E+19</v>
      </c>
    </row>
    <row r="262" spans="3:11" x14ac:dyDescent="0.3">
      <c r="C262" s="41" t="b">
        <v>0</v>
      </c>
      <c r="D262" s="42">
        <v>23.1</v>
      </c>
      <c r="E262" s="42">
        <v>4</v>
      </c>
      <c r="F262" s="42" t="s">
        <v>58</v>
      </c>
      <c r="G262" s="42" t="s">
        <v>65</v>
      </c>
      <c r="H262" s="42" t="s">
        <v>64</v>
      </c>
      <c r="I262" s="42" t="s">
        <v>61</v>
      </c>
      <c r="J262" s="42">
        <v>3</v>
      </c>
      <c r="K262" s="113">
        <v>1.3169635677490399E+19</v>
      </c>
    </row>
    <row r="263" spans="3:11" x14ac:dyDescent="0.3">
      <c r="C263" s="41" t="b">
        <v>0</v>
      </c>
      <c r="D263" s="42">
        <v>15.69</v>
      </c>
      <c r="E263" s="42">
        <v>1.5</v>
      </c>
      <c r="F263" s="42" t="s">
        <v>58</v>
      </c>
      <c r="G263" s="42" t="s">
        <v>65</v>
      </c>
      <c r="H263" s="42" t="s">
        <v>64</v>
      </c>
      <c r="I263" s="42" t="s">
        <v>61</v>
      </c>
      <c r="J263" s="42">
        <v>2</v>
      </c>
      <c r="K263" s="113">
        <v>1.78316340617106E+19</v>
      </c>
    </row>
    <row r="264" spans="3:11" x14ac:dyDescent="0.3">
      <c r="C264" s="41" t="b">
        <v>0</v>
      </c>
      <c r="D264" s="42">
        <v>19.809999999999999</v>
      </c>
      <c r="E264" s="42">
        <v>4.1900000000000004</v>
      </c>
      <c r="F264" s="42" t="s">
        <v>63</v>
      </c>
      <c r="G264" s="42" t="s">
        <v>65</v>
      </c>
      <c r="H264" s="42" t="s">
        <v>66</v>
      </c>
      <c r="I264" s="42" t="s">
        <v>67</v>
      </c>
      <c r="J264" s="42">
        <v>2</v>
      </c>
      <c r="K264" s="113">
        <v>1.24845226118349E+19</v>
      </c>
    </row>
    <row r="265" spans="3:11" x14ac:dyDescent="0.3">
      <c r="C265" s="41" t="b">
        <v>0</v>
      </c>
      <c r="D265" s="42">
        <v>28.44</v>
      </c>
      <c r="E265" s="42">
        <v>2.56</v>
      </c>
      <c r="F265" s="42" t="s">
        <v>58</v>
      </c>
      <c r="G265" s="42" t="s">
        <v>65</v>
      </c>
      <c r="H265" s="42" t="s">
        <v>66</v>
      </c>
      <c r="I265" s="42" t="s">
        <v>67</v>
      </c>
      <c r="J265" s="42">
        <v>2</v>
      </c>
      <c r="K265" s="113">
        <v>5.2040524583068099E+18</v>
      </c>
    </row>
    <row r="266" spans="3:11" x14ac:dyDescent="0.3">
      <c r="C266" s="41" t="b">
        <v>0</v>
      </c>
      <c r="D266" s="42">
        <v>15.48</v>
      </c>
      <c r="E266" s="42">
        <v>2.02</v>
      </c>
      <c r="F266" s="42" t="s">
        <v>58</v>
      </c>
      <c r="G266" s="42" t="s">
        <v>65</v>
      </c>
      <c r="H266" s="42" t="s">
        <v>66</v>
      </c>
      <c r="I266" s="42" t="s">
        <v>67</v>
      </c>
      <c r="J266" s="42">
        <v>2</v>
      </c>
      <c r="K266" s="113">
        <v>4.4735659437084698E+18</v>
      </c>
    </row>
    <row r="267" spans="3:11" x14ac:dyDescent="0.3">
      <c r="C267" s="41" t="b">
        <v>0</v>
      </c>
      <c r="D267" s="42">
        <v>16.579999999999998</v>
      </c>
      <c r="E267" s="42">
        <v>4</v>
      </c>
      <c r="F267" s="42" t="s">
        <v>58</v>
      </c>
      <c r="G267" s="42" t="s">
        <v>65</v>
      </c>
      <c r="H267" s="42" t="s">
        <v>66</v>
      </c>
      <c r="I267" s="42" t="s">
        <v>67</v>
      </c>
      <c r="J267" s="42">
        <v>2</v>
      </c>
      <c r="K267" s="113">
        <v>1.25816369605299E+19</v>
      </c>
    </row>
    <row r="268" spans="3:11" x14ac:dyDescent="0.3">
      <c r="C268" s="41" t="b">
        <v>0</v>
      </c>
      <c r="D268" s="42">
        <v>7.56</v>
      </c>
      <c r="E268" s="42">
        <v>1.44</v>
      </c>
      <c r="F268" s="42" t="s">
        <v>58</v>
      </c>
      <c r="G268" s="42" t="s">
        <v>59</v>
      </c>
      <c r="H268" s="42" t="s">
        <v>66</v>
      </c>
      <c r="I268" s="42" t="s">
        <v>67</v>
      </c>
      <c r="J268" s="42">
        <v>2</v>
      </c>
      <c r="K268" s="113">
        <v>7.8709650450134106E+17</v>
      </c>
    </row>
    <row r="269" spans="3:11" x14ac:dyDescent="0.3">
      <c r="C269" s="41" t="b">
        <v>0</v>
      </c>
      <c r="D269" s="42">
        <v>10.34</v>
      </c>
      <c r="E269" s="42">
        <v>2</v>
      </c>
      <c r="F269" s="42" t="s">
        <v>58</v>
      </c>
      <c r="G269" s="42" t="s">
        <v>65</v>
      </c>
      <c r="H269" s="42" t="s">
        <v>66</v>
      </c>
      <c r="I269" s="42" t="s">
        <v>67</v>
      </c>
      <c r="J269" s="42">
        <v>2</v>
      </c>
      <c r="K269" s="113">
        <v>1.0725867554948301E+19</v>
      </c>
    </row>
    <row r="270" spans="3:11" x14ac:dyDescent="0.3">
      <c r="C270" s="41" t="b">
        <v>0</v>
      </c>
      <c r="D270" s="42">
        <v>43.11</v>
      </c>
      <c r="E270" s="42">
        <v>5</v>
      </c>
      <c r="F270" s="42" t="s">
        <v>63</v>
      </c>
      <c r="G270" s="42" t="s">
        <v>65</v>
      </c>
      <c r="H270" s="42" t="s">
        <v>66</v>
      </c>
      <c r="I270" s="42" t="s">
        <v>67</v>
      </c>
      <c r="J270" s="42">
        <v>4</v>
      </c>
      <c r="K270" s="113">
        <v>1.0735407763318301E+19</v>
      </c>
    </row>
    <row r="271" spans="3:11" x14ac:dyDescent="0.3">
      <c r="C271" s="41" t="b">
        <v>0</v>
      </c>
      <c r="D271" s="42">
        <v>13</v>
      </c>
      <c r="E271" s="42">
        <v>2</v>
      </c>
      <c r="F271" s="42" t="s">
        <v>63</v>
      </c>
      <c r="G271" s="42" t="s">
        <v>65</v>
      </c>
      <c r="H271" s="42" t="s">
        <v>66</v>
      </c>
      <c r="I271" s="42" t="s">
        <v>67</v>
      </c>
      <c r="J271" s="42">
        <v>2</v>
      </c>
      <c r="K271" s="113">
        <v>4.8142056048647496E+18</v>
      </c>
    </row>
    <row r="272" spans="3:11" x14ac:dyDescent="0.3">
      <c r="C272" s="41" t="b">
        <v>0</v>
      </c>
      <c r="D272" s="42">
        <v>13.51</v>
      </c>
      <c r="E272" s="42">
        <v>2</v>
      </c>
      <c r="F272" s="42" t="s">
        <v>58</v>
      </c>
      <c r="G272" s="42" t="s">
        <v>65</v>
      </c>
      <c r="H272" s="42" t="s">
        <v>66</v>
      </c>
      <c r="I272" s="42" t="s">
        <v>67</v>
      </c>
      <c r="J272" s="42">
        <v>2</v>
      </c>
      <c r="K272" s="113">
        <v>4.2958181623876102E+17</v>
      </c>
    </row>
    <row r="273" spans="3:11" x14ac:dyDescent="0.3">
      <c r="C273" s="41" t="b">
        <v>0</v>
      </c>
      <c r="D273" s="42">
        <v>18.71</v>
      </c>
      <c r="E273" s="42">
        <v>4</v>
      </c>
      <c r="F273" s="42" t="s">
        <v>58</v>
      </c>
      <c r="G273" s="42" t="s">
        <v>65</v>
      </c>
      <c r="H273" s="42" t="s">
        <v>66</v>
      </c>
      <c r="I273" s="42" t="s">
        <v>67</v>
      </c>
      <c r="J273" s="42">
        <v>3</v>
      </c>
      <c r="K273" s="113">
        <v>6.0581804379576105E+18</v>
      </c>
    </row>
    <row r="274" spans="3:11" x14ac:dyDescent="0.3">
      <c r="C274" s="41" t="b">
        <v>0</v>
      </c>
      <c r="D274" s="42">
        <v>12.74</v>
      </c>
      <c r="E274" s="42">
        <v>2.0099999999999998</v>
      </c>
      <c r="F274" s="42" t="s">
        <v>63</v>
      </c>
      <c r="G274" s="42" t="s">
        <v>65</v>
      </c>
      <c r="H274" s="42" t="s">
        <v>66</v>
      </c>
      <c r="I274" s="42" t="s">
        <v>67</v>
      </c>
      <c r="J274" s="42">
        <v>2</v>
      </c>
      <c r="K274" s="113">
        <v>1.5240461516174399E+19</v>
      </c>
    </row>
    <row r="275" spans="3:11" x14ac:dyDescent="0.3">
      <c r="C275" s="41" t="b">
        <v>0</v>
      </c>
      <c r="D275" s="42">
        <v>13</v>
      </c>
      <c r="E275" s="42">
        <v>2</v>
      </c>
      <c r="F275" s="42" t="s">
        <v>63</v>
      </c>
      <c r="G275" s="42" t="s">
        <v>65</v>
      </c>
      <c r="H275" s="42" t="s">
        <v>66</v>
      </c>
      <c r="I275" s="42" t="s">
        <v>67</v>
      </c>
      <c r="J275" s="42">
        <v>2</v>
      </c>
      <c r="K275" s="113">
        <v>4.8142056048647496E+18</v>
      </c>
    </row>
    <row r="276" spans="3:11" x14ac:dyDescent="0.3">
      <c r="C276" s="41" t="b">
        <v>0</v>
      </c>
      <c r="D276" s="42">
        <v>16.399999999999999</v>
      </c>
      <c r="E276" s="42">
        <v>2.5</v>
      </c>
      <c r="F276" s="42" t="s">
        <v>63</v>
      </c>
      <c r="G276" s="42" t="s">
        <v>65</v>
      </c>
      <c r="H276" s="42" t="s">
        <v>66</v>
      </c>
      <c r="I276" s="42" t="s">
        <v>67</v>
      </c>
      <c r="J276" s="42">
        <v>2</v>
      </c>
      <c r="K276" s="113">
        <v>4.3211225867746299E+18</v>
      </c>
    </row>
    <row r="277" spans="3:11" x14ac:dyDescent="0.3">
      <c r="C277" s="41" t="b">
        <v>0</v>
      </c>
      <c r="D277" s="42">
        <v>20.53</v>
      </c>
      <c r="E277" s="42">
        <v>4</v>
      </c>
      <c r="F277" s="42" t="s">
        <v>58</v>
      </c>
      <c r="G277" s="42" t="s">
        <v>65</v>
      </c>
      <c r="H277" s="42" t="s">
        <v>66</v>
      </c>
      <c r="I277" s="42" t="s">
        <v>67</v>
      </c>
      <c r="J277" s="42">
        <v>4</v>
      </c>
      <c r="K277" s="113">
        <v>2.0017919555303501E+18</v>
      </c>
    </row>
    <row r="278" spans="3:11" x14ac:dyDescent="0.3">
      <c r="C278" s="41" t="b">
        <v>0</v>
      </c>
      <c r="D278" s="42">
        <v>16.47</v>
      </c>
      <c r="E278" s="42">
        <v>3.23</v>
      </c>
      <c r="F278" s="42" t="s">
        <v>63</v>
      </c>
      <c r="G278" s="42" t="s">
        <v>65</v>
      </c>
      <c r="H278" s="42" t="s">
        <v>66</v>
      </c>
      <c r="I278" s="42" t="s">
        <v>67</v>
      </c>
      <c r="J278" s="42">
        <v>3</v>
      </c>
      <c r="K278" s="113">
        <v>8.36766355845393E+18</v>
      </c>
    </row>
    <row r="279" spans="3:11" x14ac:dyDescent="0.3">
      <c r="C279" s="41" t="b">
        <v>0</v>
      </c>
      <c r="D279" s="42">
        <v>26.59</v>
      </c>
      <c r="E279" s="42">
        <v>3.41</v>
      </c>
      <c r="F279" s="42" t="s">
        <v>58</v>
      </c>
      <c r="G279" s="42" t="s">
        <v>65</v>
      </c>
      <c r="H279" s="42" t="s">
        <v>60</v>
      </c>
      <c r="I279" s="42" t="s">
        <v>61</v>
      </c>
      <c r="J279" s="42">
        <v>3</v>
      </c>
      <c r="K279" s="113">
        <v>1.69478401527429E+19</v>
      </c>
    </row>
    <row r="280" spans="3:11" x14ac:dyDescent="0.3">
      <c r="C280" s="41" t="b">
        <v>0</v>
      </c>
      <c r="D280" s="42">
        <v>38.729999999999997</v>
      </c>
      <c r="E280" s="42">
        <v>3</v>
      </c>
      <c r="F280" s="42" t="s">
        <v>58</v>
      </c>
      <c r="G280" s="42" t="s">
        <v>65</v>
      </c>
      <c r="H280" s="42" t="s">
        <v>60</v>
      </c>
      <c r="I280" s="42" t="s">
        <v>61</v>
      </c>
      <c r="J280" s="42">
        <v>4</v>
      </c>
      <c r="K280" s="113">
        <v>1.1647252219370899E+19</v>
      </c>
    </row>
    <row r="281" spans="3:11" x14ac:dyDescent="0.3">
      <c r="C281" s="41" t="b">
        <v>0</v>
      </c>
      <c r="D281" s="42">
        <v>24.27</v>
      </c>
      <c r="E281" s="42">
        <v>2.0299999999999998</v>
      </c>
      <c r="F281" s="42" t="s">
        <v>58</v>
      </c>
      <c r="G281" s="42" t="s">
        <v>65</v>
      </c>
      <c r="H281" s="42" t="s">
        <v>60</v>
      </c>
      <c r="I281" s="42" t="s">
        <v>61</v>
      </c>
      <c r="J281" s="42">
        <v>2</v>
      </c>
      <c r="K281" s="113">
        <v>4.8808790631622502E+17</v>
      </c>
    </row>
    <row r="282" spans="3:11" x14ac:dyDescent="0.3">
      <c r="C282" s="41" t="b">
        <v>0</v>
      </c>
      <c r="D282" s="42">
        <v>12.76</v>
      </c>
      <c r="E282" s="42">
        <v>2.23</v>
      </c>
      <c r="F282" s="42" t="s">
        <v>63</v>
      </c>
      <c r="G282" s="42" t="s">
        <v>65</v>
      </c>
      <c r="H282" s="42" t="s">
        <v>60</v>
      </c>
      <c r="I282" s="42" t="s">
        <v>61</v>
      </c>
      <c r="J282" s="42">
        <v>2</v>
      </c>
      <c r="K282" s="113">
        <v>1.6865906202507E+19</v>
      </c>
    </row>
    <row r="283" spans="3:11" x14ac:dyDescent="0.3">
      <c r="C283" s="41" t="b">
        <v>0</v>
      </c>
      <c r="D283" s="42">
        <v>30.06</v>
      </c>
      <c r="E283" s="42">
        <v>2</v>
      </c>
      <c r="F283" s="42" t="s">
        <v>58</v>
      </c>
      <c r="G283" s="42" t="s">
        <v>65</v>
      </c>
      <c r="H283" s="42" t="s">
        <v>60</v>
      </c>
      <c r="I283" s="42" t="s">
        <v>61</v>
      </c>
      <c r="J283" s="42">
        <v>3</v>
      </c>
      <c r="K283" s="113">
        <v>7.2883362476617605E+18</v>
      </c>
    </row>
    <row r="284" spans="3:11" x14ac:dyDescent="0.3">
      <c r="C284" s="41" t="b">
        <v>0</v>
      </c>
      <c r="D284" s="42">
        <v>25.89</v>
      </c>
      <c r="E284" s="42">
        <v>5.16</v>
      </c>
      <c r="F284" s="42" t="s">
        <v>58</v>
      </c>
      <c r="G284" s="42" t="s">
        <v>65</v>
      </c>
      <c r="H284" s="42" t="s">
        <v>60</v>
      </c>
      <c r="I284" s="42" t="s">
        <v>61</v>
      </c>
      <c r="J284" s="42">
        <v>4</v>
      </c>
      <c r="K284" s="113">
        <v>1.68341659322525E+19</v>
      </c>
    </row>
    <row r="285" spans="3:11" x14ac:dyDescent="0.3">
      <c r="C285" s="41" t="b">
        <v>0</v>
      </c>
      <c r="D285" s="42">
        <v>48.33</v>
      </c>
      <c r="E285" s="42">
        <v>9</v>
      </c>
      <c r="F285" s="42" t="s">
        <v>58</v>
      </c>
      <c r="G285" s="42" t="s">
        <v>59</v>
      </c>
      <c r="H285" s="42" t="s">
        <v>60</v>
      </c>
      <c r="I285" s="42" t="s">
        <v>61</v>
      </c>
      <c r="J285" s="42">
        <v>4</v>
      </c>
      <c r="K285" s="113">
        <v>7.5374952098128097E+18</v>
      </c>
    </row>
    <row r="286" spans="3:11" x14ac:dyDescent="0.3">
      <c r="C286" s="41" t="b">
        <v>0</v>
      </c>
      <c r="D286" s="42">
        <v>13.27</v>
      </c>
      <c r="E286" s="42">
        <v>2.5</v>
      </c>
      <c r="F286" s="42" t="s">
        <v>63</v>
      </c>
      <c r="G286" s="42" t="s">
        <v>65</v>
      </c>
      <c r="H286" s="42" t="s">
        <v>60</v>
      </c>
      <c r="I286" s="42" t="s">
        <v>61</v>
      </c>
      <c r="J286" s="42">
        <v>2</v>
      </c>
      <c r="K286" s="113">
        <v>1.06409220460526E+19</v>
      </c>
    </row>
    <row r="287" spans="3:11" x14ac:dyDescent="0.3">
      <c r="C287" s="41" t="b">
        <v>0</v>
      </c>
      <c r="D287" s="42">
        <v>28.17</v>
      </c>
      <c r="E287" s="42">
        <v>6.5</v>
      </c>
      <c r="F287" s="42" t="s">
        <v>63</v>
      </c>
      <c r="G287" s="42" t="s">
        <v>65</v>
      </c>
      <c r="H287" s="42" t="s">
        <v>60</v>
      </c>
      <c r="I287" s="42" t="s">
        <v>61</v>
      </c>
      <c r="J287" s="42">
        <v>3</v>
      </c>
      <c r="K287" s="113">
        <v>7.8226985855930501E+18</v>
      </c>
    </row>
    <row r="288" spans="3:11" x14ac:dyDescent="0.3">
      <c r="C288" s="41" t="b">
        <v>0</v>
      </c>
      <c r="D288" s="42">
        <v>12.9</v>
      </c>
      <c r="E288" s="42">
        <v>1.1000000000000001</v>
      </c>
      <c r="F288" s="42" t="s">
        <v>63</v>
      </c>
      <c r="G288" s="42" t="s">
        <v>65</v>
      </c>
      <c r="H288" s="42" t="s">
        <v>60</v>
      </c>
      <c r="I288" s="42" t="s">
        <v>61</v>
      </c>
      <c r="J288" s="42">
        <v>2</v>
      </c>
      <c r="K288" s="113">
        <v>3.7980615622376202E+18</v>
      </c>
    </row>
    <row r="289" spans="3:11" x14ac:dyDescent="0.3">
      <c r="C289" s="41" t="b">
        <v>0</v>
      </c>
      <c r="D289" s="42">
        <v>28.15</v>
      </c>
      <c r="E289" s="42">
        <v>3</v>
      </c>
      <c r="F289" s="42" t="s">
        <v>58</v>
      </c>
      <c r="G289" s="42" t="s">
        <v>65</v>
      </c>
      <c r="H289" s="42" t="s">
        <v>60</v>
      </c>
      <c r="I289" s="42" t="s">
        <v>61</v>
      </c>
      <c r="J289" s="42">
        <v>5</v>
      </c>
      <c r="K289" s="113">
        <v>7.0191133527157197E+18</v>
      </c>
    </row>
    <row r="290" spans="3:11" x14ac:dyDescent="0.3">
      <c r="C290" s="41" t="b">
        <v>0</v>
      </c>
      <c r="D290" s="42">
        <v>11.59</v>
      </c>
      <c r="E290" s="42">
        <v>1.5</v>
      </c>
      <c r="F290" s="42" t="s">
        <v>58</v>
      </c>
      <c r="G290" s="42" t="s">
        <v>65</v>
      </c>
      <c r="H290" s="42" t="s">
        <v>60</v>
      </c>
      <c r="I290" s="42" t="s">
        <v>61</v>
      </c>
      <c r="J290" s="42">
        <v>2</v>
      </c>
      <c r="K290" s="113">
        <v>1.80550056495988E+19</v>
      </c>
    </row>
    <row r="291" spans="3:11" x14ac:dyDescent="0.3">
      <c r="C291" s="41" t="b">
        <v>0</v>
      </c>
      <c r="D291" s="42">
        <v>7.74</v>
      </c>
      <c r="E291" s="42">
        <v>1.44</v>
      </c>
      <c r="F291" s="42" t="s">
        <v>58</v>
      </c>
      <c r="G291" s="42" t="s">
        <v>65</v>
      </c>
      <c r="H291" s="42" t="s">
        <v>60</v>
      </c>
      <c r="I291" s="42" t="s">
        <v>61</v>
      </c>
      <c r="J291" s="42">
        <v>2</v>
      </c>
      <c r="K291" s="113">
        <v>5.7384564269885E+18</v>
      </c>
    </row>
    <row r="292" spans="3:11" x14ac:dyDescent="0.3">
      <c r="C292" s="41" t="b">
        <v>0</v>
      </c>
      <c r="D292" s="42">
        <v>30.14</v>
      </c>
      <c r="E292" s="42">
        <v>3.09</v>
      </c>
      <c r="F292" s="42" t="s">
        <v>63</v>
      </c>
      <c r="G292" s="42" t="s">
        <v>65</v>
      </c>
      <c r="H292" s="42" t="s">
        <v>60</v>
      </c>
      <c r="I292" s="42" t="s">
        <v>61</v>
      </c>
      <c r="J292" s="42">
        <v>4</v>
      </c>
      <c r="K292" s="113">
        <v>1.7612490096360401E+19</v>
      </c>
    </row>
    <row r="293" spans="3:11" x14ac:dyDescent="0.3">
      <c r="C293" s="41" t="b">
        <v>0</v>
      </c>
      <c r="D293" s="42">
        <v>12.16</v>
      </c>
      <c r="E293" s="42">
        <v>2.2000000000000002</v>
      </c>
      <c r="F293" s="42" t="s">
        <v>58</v>
      </c>
      <c r="G293" s="42" t="s">
        <v>65</v>
      </c>
      <c r="H293" s="42" t="s">
        <v>68</v>
      </c>
      <c r="I293" s="42" t="s">
        <v>67</v>
      </c>
      <c r="J293" s="42">
        <v>2</v>
      </c>
      <c r="K293" s="113">
        <v>4.1208674843213102E+18</v>
      </c>
    </row>
    <row r="294" spans="3:11" x14ac:dyDescent="0.3">
      <c r="C294" s="41" t="b">
        <v>0</v>
      </c>
      <c r="D294" s="42">
        <v>13.42</v>
      </c>
      <c r="E294" s="42">
        <v>3.48</v>
      </c>
      <c r="F294" s="42" t="s">
        <v>63</v>
      </c>
      <c r="G294" s="42" t="s">
        <v>65</v>
      </c>
      <c r="H294" s="42" t="s">
        <v>68</v>
      </c>
      <c r="I294" s="42" t="s">
        <v>67</v>
      </c>
      <c r="J294" s="42">
        <v>2</v>
      </c>
      <c r="K294" s="113">
        <v>1.08961507021219E+19</v>
      </c>
    </row>
    <row r="295" spans="3:11" x14ac:dyDescent="0.3">
      <c r="C295" s="41" t="b">
        <v>0</v>
      </c>
      <c r="D295" s="42">
        <v>8.58</v>
      </c>
      <c r="E295" s="42">
        <v>1.92</v>
      </c>
      <c r="F295" s="42" t="s">
        <v>58</v>
      </c>
      <c r="G295" s="42" t="s">
        <v>65</v>
      </c>
      <c r="H295" s="42" t="s">
        <v>68</v>
      </c>
      <c r="I295" s="42" t="s">
        <v>67</v>
      </c>
      <c r="J295" s="42">
        <v>1</v>
      </c>
      <c r="K295" s="113">
        <v>8.3270936872367903E+18</v>
      </c>
    </row>
    <row r="296" spans="3:11" x14ac:dyDescent="0.3">
      <c r="C296" s="41" t="b">
        <v>0</v>
      </c>
      <c r="D296" s="42">
        <v>15.98</v>
      </c>
      <c r="E296" s="42">
        <v>3</v>
      </c>
      <c r="F296" s="42" t="s">
        <v>63</v>
      </c>
      <c r="G296" s="42" t="s">
        <v>59</v>
      </c>
      <c r="H296" s="42" t="s">
        <v>68</v>
      </c>
      <c r="I296" s="42" t="s">
        <v>67</v>
      </c>
      <c r="J296" s="42">
        <v>3</v>
      </c>
      <c r="K296" s="113">
        <v>9.0901725958537697E+18</v>
      </c>
    </row>
    <row r="297" spans="3:11" x14ac:dyDescent="0.3">
      <c r="C297" s="41" t="b">
        <v>0</v>
      </c>
      <c r="D297" s="42">
        <v>13.42</v>
      </c>
      <c r="E297" s="42">
        <v>1.58</v>
      </c>
      <c r="F297" s="42" t="s">
        <v>58</v>
      </c>
      <c r="G297" s="42" t="s">
        <v>65</v>
      </c>
      <c r="H297" s="42" t="s">
        <v>68</v>
      </c>
      <c r="I297" s="42" t="s">
        <v>67</v>
      </c>
      <c r="J297" s="42">
        <v>2</v>
      </c>
      <c r="K297" s="113">
        <v>1.5614477453961699E+19</v>
      </c>
    </row>
    <row r="298" spans="3:11" x14ac:dyDescent="0.3">
      <c r="C298" s="41" t="b">
        <v>0</v>
      </c>
      <c r="D298" s="42">
        <v>16.27</v>
      </c>
      <c r="E298" s="42">
        <v>2.5</v>
      </c>
      <c r="F298" s="42" t="s">
        <v>63</v>
      </c>
      <c r="G298" s="42" t="s">
        <v>65</v>
      </c>
      <c r="H298" s="42" t="s">
        <v>68</v>
      </c>
      <c r="I298" s="42" t="s">
        <v>67</v>
      </c>
      <c r="J298" s="42">
        <v>2</v>
      </c>
      <c r="K298" s="113">
        <v>1.26004980527743E+19</v>
      </c>
    </row>
    <row r="299" spans="3:11" x14ac:dyDescent="0.3">
      <c r="C299" s="41" t="b">
        <v>0</v>
      </c>
      <c r="D299" s="42">
        <v>10.09</v>
      </c>
      <c r="E299" s="42">
        <v>2</v>
      </c>
      <c r="F299" s="42" t="s">
        <v>63</v>
      </c>
      <c r="G299" s="42" t="s">
        <v>65</v>
      </c>
      <c r="H299" s="42" t="s">
        <v>68</v>
      </c>
      <c r="I299" s="42" t="s">
        <v>67</v>
      </c>
      <c r="J299" s="42">
        <v>2</v>
      </c>
      <c r="K299" s="113">
        <v>9.9753362840117801E+18</v>
      </c>
    </row>
    <row r="300" spans="3:11" x14ac:dyDescent="0.3">
      <c r="C300" s="41" t="b">
        <v>0</v>
      </c>
      <c r="D300" s="42">
        <v>20.45</v>
      </c>
      <c r="E300" s="42">
        <v>3</v>
      </c>
      <c r="F300" s="42" t="s">
        <v>58</v>
      </c>
      <c r="G300" s="42" t="s">
        <v>59</v>
      </c>
      <c r="H300" s="42" t="s">
        <v>60</v>
      </c>
      <c r="I300" s="42" t="s">
        <v>61</v>
      </c>
      <c r="J300" s="42">
        <v>4</v>
      </c>
      <c r="K300" s="113">
        <v>1.0771441299811799E+19</v>
      </c>
    </row>
    <row r="301" spans="3:11" x14ac:dyDescent="0.3">
      <c r="C301" s="41" t="b">
        <v>0</v>
      </c>
      <c r="D301" s="42">
        <v>13.28</v>
      </c>
      <c r="E301" s="42">
        <v>2.72</v>
      </c>
      <c r="F301" s="42" t="s">
        <v>58</v>
      </c>
      <c r="G301" s="42" t="s">
        <v>59</v>
      </c>
      <c r="H301" s="42" t="s">
        <v>60</v>
      </c>
      <c r="I301" s="42" t="s">
        <v>61</v>
      </c>
      <c r="J301" s="42">
        <v>2</v>
      </c>
      <c r="K301" s="113">
        <v>8.8451323917688596E+18</v>
      </c>
    </row>
    <row r="302" spans="3:11" x14ac:dyDescent="0.3">
      <c r="C302" s="41" t="b">
        <v>0</v>
      </c>
      <c r="D302" s="42">
        <v>22.12</v>
      </c>
      <c r="E302" s="42">
        <v>2.88</v>
      </c>
      <c r="F302" s="42" t="s">
        <v>63</v>
      </c>
      <c r="G302" s="42" t="s">
        <v>65</v>
      </c>
      <c r="H302" s="42" t="s">
        <v>60</v>
      </c>
      <c r="I302" s="42" t="s">
        <v>61</v>
      </c>
      <c r="J302" s="42">
        <v>2</v>
      </c>
      <c r="K302" s="113">
        <v>1.6488690364573901E+19</v>
      </c>
    </row>
    <row r="303" spans="3:11" x14ac:dyDescent="0.3">
      <c r="C303" s="41" t="b">
        <v>0</v>
      </c>
      <c r="D303" s="42">
        <v>24.01</v>
      </c>
      <c r="E303" s="42">
        <v>2</v>
      </c>
      <c r="F303" s="42" t="s">
        <v>58</v>
      </c>
      <c r="G303" s="42" t="s">
        <v>65</v>
      </c>
      <c r="H303" s="42" t="s">
        <v>60</v>
      </c>
      <c r="I303" s="42" t="s">
        <v>61</v>
      </c>
      <c r="J303" s="42">
        <v>4</v>
      </c>
      <c r="K303" s="113">
        <v>3.7873974020147E+18</v>
      </c>
    </row>
    <row r="304" spans="3:11" x14ac:dyDescent="0.3">
      <c r="C304" s="41" t="b">
        <v>0</v>
      </c>
      <c r="D304" s="42">
        <v>15.69</v>
      </c>
      <c r="E304" s="42">
        <v>3</v>
      </c>
      <c r="F304" s="42" t="s">
        <v>58</v>
      </c>
      <c r="G304" s="42" t="s">
        <v>65</v>
      </c>
      <c r="H304" s="42" t="s">
        <v>60</v>
      </c>
      <c r="I304" s="42" t="s">
        <v>61</v>
      </c>
      <c r="J304" s="42">
        <v>3</v>
      </c>
      <c r="K304" s="113">
        <v>8.8412421000615598E+18</v>
      </c>
    </row>
    <row r="305" spans="3:11" x14ac:dyDescent="0.3">
      <c r="C305" s="41" t="b">
        <v>0</v>
      </c>
      <c r="D305" s="42">
        <v>11.61</v>
      </c>
      <c r="E305" s="42">
        <v>3.39</v>
      </c>
      <c r="F305" s="42" t="s">
        <v>58</v>
      </c>
      <c r="G305" s="42" t="s">
        <v>59</v>
      </c>
      <c r="H305" s="42" t="s">
        <v>60</v>
      </c>
      <c r="I305" s="42" t="s">
        <v>61</v>
      </c>
      <c r="J305" s="42">
        <v>2</v>
      </c>
      <c r="K305" s="113">
        <v>1.84006125444882E+19</v>
      </c>
    </row>
    <row r="306" spans="3:11" x14ac:dyDescent="0.3">
      <c r="C306" s="41" t="b">
        <v>0</v>
      </c>
      <c r="D306" s="42">
        <v>10.77</v>
      </c>
      <c r="E306" s="42">
        <v>1.47</v>
      </c>
      <c r="F306" s="42" t="s">
        <v>58</v>
      </c>
      <c r="G306" s="42" t="s">
        <v>59</v>
      </c>
      <c r="H306" s="42" t="s">
        <v>60</v>
      </c>
      <c r="I306" s="42" t="s">
        <v>61</v>
      </c>
      <c r="J306" s="42">
        <v>2</v>
      </c>
      <c r="K306" s="113">
        <v>1.3655322373988801E+19</v>
      </c>
    </row>
    <row r="307" spans="3:11" x14ac:dyDescent="0.3">
      <c r="C307" s="41" t="b">
        <v>0</v>
      </c>
      <c r="D307" s="42">
        <v>15.53</v>
      </c>
      <c r="E307" s="42">
        <v>3</v>
      </c>
      <c r="F307" s="42" t="s">
        <v>58</v>
      </c>
      <c r="G307" s="42" t="s">
        <v>65</v>
      </c>
      <c r="H307" s="42" t="s">
        <v>60</v>
      </c>
      <c r="I307" s="42" t="s">
        <v>61</v>
      </c>
      <c r="J307" s="42">
        <v>2</v>
      </c>
      <c r="K307" s="113">
        <v>2.8283944725546399E+18</v>
      </c>
    </row>
    <row r="308" spans="3:11" x14ac:dyDescent="0.3">
      <c r="C308" s="41" t="b">
        <v>0</v>
      </c>
      <c r="D308" s="42">
        <v>10.07</v>
      </c>
      <c r="E308" s="42">
        <v>1.25</v>
      </c>
      <c r="F308" s="42" t="s">
        <v>58</v>
      </c>
      <c r="G308" s="42" t="s">
        <v>59</v>
      </c>
      <c r="H308" s="42" t="s">
        <v>60</v>
      </c>
      <c r="I308" s="42" t="s">
        <v>61</v>
      </c>
      <c r="J308" s="42">
        <v>2</v>
      </c>
      <c r="K308" s="113">
        <v>1.16951823337956E+19</v>
      </c>
    </row>
    <row r="309" spans="3:11" x14ac:dyDescent="0.3">
      <c r="C309" s="41" t="b">
        <v>0</v>
      </c>
      <c r="D309" s="42">
        <v>12.6</v>
      </c>
      <c r="E309" s="42">
        <v>1</v>
      </c>
      <c r="F309" s="42" t="s">
        <v>58</v>
      </c>
      <c r="G309" s="42" t="s">
        <v>65</v>
      </c>
      <c r="H309" s="42" t="s">
        <v>60</v>
      </c>
      <c r="I309" s="42" t="s">
        <v>61</v>
      </c>
      <c r="J309" s="42">
        <v>2</v>
      </c>
      <c r="K309" s="113">
        <v>1.6247294638403799E+19</v>
      </c>
    </row>
    <row r="310" spans="3:11" x14ac:dyDescent="0.3">
      <c r="C310" s="41" t="b">
        <v>0</v>
      </c>
      <c r="D310" s="42">
        <v>32.83</v>
      </c>
      <c r="E310" s="42">
        <v>1.17</v>
      </c>
      <c r="F310" s="42" t="s">
        <v>58</v>
      </c>
      <c r="G310" s="42" t="s">
        <v>65</v>
      </c>
      <c r="H310" s="42" t="s">
        <v>60</v>
      </c>
      <c r="I310" s="42" t="s">
        <v>61</v>
      </c>
      <c r="J310" s="42">
        <v>2</v>
      </c>
      <c r="K310" s="113">
        <v>1.82340889521723E+19</v>
      </c>
    </row>
    <row r="311" spans="3:11" x14ac:dyDescent="0.3">
      <c r="C311" s="41" t="b">
        <v>0</v>
      </c>
      <c r="D311" s="42">
        <v>35.83</v>
      </c>
      <c r="E311" s="42">
        <v>4.67</v>
      </c>
      <c r="F311" s="42" t="s">
        <v>63</v>
      </c>
      <c r="G311" s="42" t="s">
        <v>59</v>
      </c>
      <c r="H311" s="42" t="s">
        <v>60</v>
      </c>
      <c r="I311" s="42" t="s">
        <v>61</v>
      </c>
      <c r="J311" s="42">
        <v>3</v>
      </c>
      <c r="K311" s="113">
        <v>5.6310767904172196E+18</v>
      </c>
    </row>
    <row r="312" spans="3:11" x14ac:dyDescent="0.3">
      <c r="C312" s="41" t="b">
        <v>0</v>
      </c>
      <c r="D312" s="42">
        <v>29.03</v>
      </c>
      <c r="E312" s="42">
        <v>5.92</v>
      </c>
      <c r="F312" s="42" t="s">
        <v>58</v>
      </c>
      <c r="G312" s="42" t="s">
        <v>59</v>
      </c>
      <c r="H312" s="42" t="s">
        <v>60</v>
      </c>
      <c r="I312" s="42" t="s">
        <v>61</v>
      </c>
      <c r="J312" s="42">
        <v>3</v>
      </c>
      <c r="K312" s="113">
        <v>6.7902928325433498E+18</v>
      </c>
    </row>
    <row r="313" spans="3:11" x14ac:dyDescent="0.3">
      <c r="C313" s="41" t="b">
        <v>0</v>
      </c>
      <c r="D313" s="42">
        <v>27.18</v>
      </c>
      <c r="E313" s="42">
        <v>2</v>
      </c>
      <c r="F313" s="42" t="s">
        <v>63</v>
      </c>
      <c r="G313" s="42" t="s">
        <v>65</v>
      </c>
      <c r="H313" s="42" t="s">
        <v>60</v>
      </c>
      <c r="I313" s="42" t="s">
        <v>61</v>
      </c>
      <c r="J313" s="42">
        <v>2</v>
      </c>
      <c r="K313" s="113">
        <v>7.0529652135893197E+18</v>
      </c>
    </row>
    <row r="314" spans="3:11" x14ac:dyDescent="0.3">
      <c r="C314" s="41" t="b">
        <v>0</v>
      </c>
      <c r="D314" s="42">
        <v>22.67</v>
      </c>
      <c r="E314" s="42">
        <v>2</v>
      </c>
      <c r="F314" s="42" t="s">
        <v>58</v>
      </c>
      <c r="G314" s="42" t="s">
        <v>65</v>
      </c>
      <c r="H314" s="42" t="s">
        <v>60</v>
      </c>
      <c r="I314" s="42" t="s">
        <v>61</v>
      </c>
      <c r="J314" s="42">
        <v>2</v>
      </c>
      <c r="K314" s="113">
        <v>1.44069547204979E+19</v>
      </c>
    </row>
    <row r="315" spans="3:11" x14ac:dyDescent="0.3">
      <c r="C315" s="41" t="b">
        <v>0</v>
      </c>
      <c r="D315" s="42">
        <v>17.82</v>
      </c>
      <c r="E315" s="42">
        <v>1.75</v>
      </c>
      <c r="F315" s="42" t="s">
        <v>58</v>
      </c>
      <c r="G315" s="42" t="s">
        <v>59</v>
      </c>
      <c r="H315" s="42" t="s">
        <v>60</v>
      </c>
      <c r="I315" s="42" t="s">
        <v>61</v>
      </c>
      <c r="J315" s="42">
        <v>2</v>
      </c>
      <c r="K315" s="113">
        <v>1.4903220378966901E+19</v>
      </c>
    </row>
    <row r="316" spans="3:11" x14ac:dyDescent="0.3">
      <c r="C316" s="41" t="b">
        <v>0</v>
      </c>
      <c r="D316" s="42">
        <v>18.78</v>
      </c>
      <c r="E316" s="42">
        <v>3</v>
      </c>
      <c r="F316" s="42" t="s">
        <v>63</v>
      </c>
      <c r="G316" s="42" t="s">
        <v>59</v>
      </c>
      <c r="H316" s="42" t="s">
        <v>66</v>
      </c>
      <c r="I316" s="42" t="s">
        <v>61</v>
      </c>
      <c r="J316" s="42">
        <v>2</v>
      </c>
      <c r="K316" s="113">
        <v>7.1800790385350697E+18</v>
      </c>
    </row>
  </sheetData>
  <mergeCells count="1">
    <mergeCell ref="D3:E5"/>
  </mergeCells>
  <phoneticPr fontId="15" type="noConversion"/>
  <conditionalFormatting sqref="D25:J25 D71:J71">
    <cfRule type="cellIs" dxfId="30" priority="40" operator="equal">
      <formula>"Notes"</formula>
    </cfRule>
  </conditionalFormatting>
  <conditionalFormatting sqref="D29:J33 D39:J47 D16:J16 D20:J25">
    <cfRule type="cellIs" dxfId="29" priority="41" operator="equal">
      <formula>0</formula>
    </cfRule>
  </conditionalFormatting>
  <conditionalFormatting sqref="D35:J35">
    <cfRule type="cellIs" dxfId="28" priority="39" operator="equal">
      <formula>"Notes"</formula>
    </cfRule>
  </conditionalFormatting>
  <conditionalFormatting sqref="C73:C316">
    <cfRule type="cellIs" dxfId="27" priority="37" operator="equal">
      <formula>FALSE</formula>
    </cfRule>
    <cfRule type="cellIs" dxfId="26" priority="38" operator="notEqual">
      <formula>FALSE</formula>
    </cfRule>
  </conditionalFormatting>
  <conditionalFormatting sqref="D51:E58">
    <cfRule type="cellIs" dxfId="25" priority="35" operator="equal">
      <formula>FALSE</formula>
    </cfRule>
    <cfRule type="cellIs" dxfId="24" priority="36" operator="notEqual">
      <formula>FALSE</formula>
    </cfRule>
  </conditionalFormatting>
  <conditionalFormatting sqref="D10:J10">
    <cfRule type="cellIs" dxfId="23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2" priority="11"/>
  </conditionalFormatting>
  <conditionalFormatting sqref="D3">
    <cfRule type="cellIs" dxfId="21" priority="6" operator="notEqual">
      <formula>"Description"</formula>
    </cfRule>
  </conditionalFormatting>
  <conditionalFormatting sqref="D8:J8">
    <cfRule type="cellIs" dxfId="20" priority="5" operator="notEqual">
      <formula>"Definition"</formula>
    </cfRule>
  </conditionalFormatting>
  <conditionalFormatting sqref="F51:J58">
    <cfRule type="cellIs" dxfId="11" priority="3" operator="equal">
      <formula>FALSE</formula>
    </cfRule>
    <cfRule type="cellIs" dxfId="10" priority="4" operator="notEqual">
      <formula>FALSE</formula>
    </cfRule>
  </conditionalFormatting>
  <conditionalFormatting sqref="F17:J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K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6" priority="3" operator="equal">
      <formula>"Notes"</formula>
    </cfRule>
  </conditionalFormatting>
  <conditionalFormatting sqref="E6:E7">
    <cfRule type="cellIs" dxfId="15" priority="4" operator="equal">
      <formula>0</formula>
    </cfRule>
  </conditionalFormatting>
  <conditionalFormatting sqref="E2">
    <cfRule type="cellIs" dxfId="14" priority="1" operator="equal">
      <formula>"Notes"</formula>
    </cfRule>
    <cfRule type="cellIs" dxfId="13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2026-05-18T19:42:50Z</dcterms:modified>
</cp:coreProperties>
</file>