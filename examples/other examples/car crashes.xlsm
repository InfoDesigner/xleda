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AAE71821-7837-46D8-A988-BB97D60B9EA2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Analysis'!$D$7:$K$7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Analysis'!$D$57:$K$57</definedName>
    <definedName name="FieldList2" localSheetId="3">#REF!</definedName>
    <definedName name="FieldList2" localSheetId="2">#REF!</definedName>
    <definedName name="FieldList2">'Field Analysis'!$D$58:$K$58</definedName>
    <definedName name="FieldList3" localSheetId="3">#REF!</definedName>
    <definedName name="FieldList3" localSheetId="2">#REF!</definedName>
    <definedName name="FieldList3">'Field Analysis'!$D$59:$K$59</definedName>
    <definedName name="FieldList4" localSheetId="3">#REF!</definedName>
    <definedName name="FieldList4" localSheetId="2">#REF!</definedName>
    <definedName name="FieldList4">'Field Analysis'!$D$60:$K$60</definedName>
    <definedName name="FieldList5" localSheetId="3">#REF!</definedName>
    <definedName name="FieldList5" localSheetId="2">#REF!</definedName>
    <definedName name="FieldList5">'Field Analysis'!$D$61:$K$61</definedName>
    <definedName name="FieldList6" localSheetId="3">#REF!</definedName>
    <definedName name="FieldList6" localSheetId="2">#REF!</definedName>
    <definedName name="FieldList6">'Field Analysis'!$D$62:$K$62</definedName>
    <definedName name="FieldList7">'Field Analysis'!$D$63:$K$63</definedName>
    <definedName name="FieldList8">'Field Analysis'!$D$64:$K$64</definedName>
    <definedName name="FieldRange" localSheetId="3">#REF!</definedName>
    <definedName name="FieldRange" localSheetId="2">#REF!</definedName>
    <definedName name="FieldRange">'Field Analysis'!$D$78:$K$78</definedName>
    <definedName name="FormatRange">'Field Analysis'!$F:$F</definedName>
    <definedName name="Headers">'Field Analysis'!$D$11:$K$11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Analysis'!$D$9:$K$9</definedName>
    <definedName name="Percentiles">'Field Analysis'!$D$45:$D$54</definedName>
    <definedName name="RecordHashes">'Field Analysis'!$L$79:$L$129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C11" i="9"/>
  <c r="C12" i="9"/>
  <c r="C13" i="9"/>
  <c r="C14" i="9"/>
  <c r="C15" i="9"/>
  <c r="C16" i="9"/>
  <c r="C17" i="9"/>
  <c r="C18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<sst xmlns="http://schemas.openxmlformats.org/spreadsheetml/2006/main" count="196" uniqueCount="116">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</sst>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6C59F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left" vertical="center" wrapText="1" indent="1"/>
    </xf>
    <xf numFmtId="0" fontId="32" fillId="9" borderId="7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center" vertical="center" wrapText="1"/>
    </xf>
    <xf numFmtId="9" fontId="32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25" fillId="9" borderId="0" xfId="1" applyFont="1" applyFill="1" applyBorder="1" applyAlignment="1">
      <alignment horizontal="center" vertical="center" wrapText="1"/>
    </xf>
    <xf numFmtId="0" fontId="25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C6C59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firstRowStripe" dxfId="60"/>
      <tableStyleElement type="secondRowStripe" dxfId="59"/>
      <tableStyleElement type="firstColumnStripe" dxfId="5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272DEDF-BB0D-7E1E-6209-977B8BDA7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BF4E55D-5E96-50A2-CD7B-8723DBD5F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C3D8C05-7729-39F6-7E67-0F4E9B476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F1CF53A-3DFF-2136-ED8E-104EF133C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509D049-5991-F77D-B45F-A600EE05E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7E67162-F970-570D-D5E3-18120359D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0C28D89-94F4-9E1A-FE2A-FB576BC2D7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69F5354-26DB-33D4-BC55-87A1B50C7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8044A3C-9CE9-6570-AAF7-7E4FE9C97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5AD7BD1-E0DC-9883-6CDF-4658109E5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C8E772D1-B546-3C97-DA02-866BD1D38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3C3AF302-96EF-7405-A5B3-557FD6D9B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2A69755A-4B8C-2AEE-8A79-F9B056BAF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B404224E-31E2-723A-673E-4CCF797A5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F648C57E-F29A-1AEA-2004-7FAD69A23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8" totalsRowShown="0" headerRowDxfId="13" dataDxfId="56" headerRowBorderDxfId="57" headerRowCellStyle="Normal 2">
  <autoFilter ref="B10:AA18" xr:uid="{7EC467B7-DE9E-48DF-95B5-2995F1F6DE8F}"/>
  <tableColumns count="26">
    <tableColumn id="1" xr3:uid="{CDAE6949-9186-42E8-AEBE-1928381A0155}" name="Field" dataDxfId="55" dataCellStyle="Normal 2"/>
    <tableColumn id="2" xr3:uid="{24D139B7-BFC8-4DD9-8DE4-2245810E04F3}" name="Definition" dataDxfId="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4"/>
    <tableColumn id="8" xr3:uid="{30CDB1E0-924C-48B4-82F4-9B3E3228BE95}" name="Distinct %" dataDxfId="53"/>
    <tableColumn id="12" xr3:uid="{03824906-BEA5-4B63-A981-21F959B6439E}" name="Missing %" dataDxfId="52" dataCellStyle="Percent 2"/>
    <tableColumn id="6" xr3:uid="{8DFFE5A0-8676-4576-AB4D-97E8B31EC097}" name="Memory Usage %" dataDxfId="51" dataCellStyle="Percent 2"/>
    <tableColumn id="5" xr3:uid="{DD50C3DA-F4A8-40F0-AFBD-DBF916650F7E}" name="Memory Usage" dataDxfId="50"/>
    <tableColumn id="7" xr3:uid="{A0CD56D0-07EF-46CA-BC46-D54CD5E746C7}" name="Distinct" dataDxfId="49"/>
    <tableColumn id="9" xr3:uid="{1C848176-6AC1-44A6-9B3B-F1C9E8BC32EA}" name="Count" dataDxfId="48"/>
    <tableColumn id="10" xr3:uid="{6C6E6A37-4969-459F-AC39-2193366810E2}" name="Count %" dataDxfId="47"/>
    <tableColumn id="11" xr3:uid="{CD47252D-0307-4513-AF7C-13CC4AA1FCD9}" name="Missing" dataDxfId="46"/>
    <tableColumn id="13" xr3:uid="{2B45F7F8-CE35-48A6-BB27-9684B5D7936D}" name="Mean" dataDxfId="45"/>
    <tableColumn id="14" xr3:uid="{293386E4-1FA6-4340-9DC6-54CC26209C0A}" name="Median" dataDxfId="44"/>
    <tableColumn id="15" xr3:uid="{29252F5E-4163-4D62-89FC-FF85F6C4755C}" name="Mode" dataDxfId="43"/>
    <tableColumn id="16" xr3:uid="{69FFA3C1-FD1E-4395-AF2E-177FDFCDE62A}" name="Standard Deviation" dataDxfId="42"/>
    <tableColumn id="17" xr3:uid="{2AAB37E9-8AE2-4771-B92B-C04BFABA0B4E}" name="Variance" dataDxfId="41"/>
    <tableColumn id="18" xr3:uid="{07151E41-6633-4A65-A7E1-091F027DEF95}" name="Min" dataDxfId="40"/>
    <tableColumn id="19" xr3:uid="{41A1FD5D-4E5C-45B3-A0C7-1820F89F417F}" name="5%" dataDxfId="39"/>
    <tableColumn id="20" xr3:uid="{50D70984-5A2E-4A19-9F2B-5DA0502339BC}" name="25%" dataDxfId="38"/>
    <tableColumn id="21" xr3:uid="{75FF5489-8FC0-4894-83BC-802076BF1066}" name="50%" dataDxfId="37"/>
    <tableColumn id="22" xr3:uid="{B7FA20A8-EE17-470E-93AD-54011230C113}" name="75%" dataDxfId="36"/>
    <tableColumn id="23" xr3:uid="{378BE758-7A3F-4C04-A75B-FE899B1B0BAD}" name="95%" dataDxfId="35"/>
    <tableColumn id="24" xr3:uid="{818594E7-DC84-4229-81F6-97C1E2E93633}" name="Max" dataDxfId="34"/>
    <tableColumn id="25" xr3:uid="{D8116583-A886-47C1-85E2-D28AD96194AD}" name="Range" dataDxfId="33"/>
    <tableColumn id="26" xr3:uid="{D061AC6A-EAB2-461F-8AB8-E743DC68E666}" name="IQR" dataDxfId="3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L129" totalsRowShown="0" headerRowDxfId="22" dataDxfId="21">
  <autoFilter ref="C78:L129" xr:uid="{DB263373-2B4F-4302-9CF6-5012CE3F1A47}"/>
  <tableColumns count="10">
    <tableColumn id="1" xr3:uid="{B87F6371-B38F-4AA9-8A9B-F1D62600E38F}" name="Record List" dataDxfId="1" dataCellStyle="Normal 2"/>
    <tableColumn id="2" xr3:uid="{55547D6A-0C4F-44F3-8DA7-D9918F9ECA79}" name="total" dataDxfId="20"/>
    <tableColumn id="8" xr3:uid="{5CEA6B82-08F7-4BBF-BE74-DD211F1E2384}" name="speeding" dataDxfId="19"/>
    <tableColumn id="3" xr3:uid="{6C0B3232-D5C0-4185-AF99-A47484E561D2}" name="alcohol" dataDxfId="18"/>
    <tableColumn id="4" xr3:uid="{B345BCCF-EBC5-41F8-BEBD-2369E3F08B66}" name="not_distracted" dataDxfId="7"/>
    <tableColumn id="5" xr3:uid="{214EE419-14B9-47D1-A447-5BB6C6B7D597}" name="no_previous" dataDxfId="6"/>
    <tableColumn id="6" xr3:uid="{C9EEC8F3-C16B-4063-9B0D-30B06CA8FA30}" name="ins_premium" dataDxfId="5"/>
    <tableColumn id="7" xr3:uid="{B533094E-63A3-4564-B0D9-F7D9B2E79F55}" name="ins_losses" dataDxfId="4"/>
    <tableColumn id="9" xr3:uid="{C548AF97-4C89-453C-862E-EEE467039889}" name="abbrev" dataDxfId="3"/>
    <tableColumn id="10" xr3:uid="{78C87B0E-AC01-4641-8D52-2D1ED7AC9A8D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8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car crashes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51</v>
      </c>
    </row>
    <row r="5" spans="2:27">
      <c r="B5" s="92" t="s">
        <v>27</v>
      </c>
      <c r="C5" s="50">
        <v>8</v>
      </c>
    </row>
    <row r="6" spans="2:27">
      <c r="B6" s="94" t="s">
        <v>4</v>
      </c>
      <c r="C6" s="50" t="s">
        <v>62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63</v>
      </c>
      <c r="F11" s="53">
        <v>0.88235294117647001</v>
      </c>
      <c r="G11" s="54">
        <v>0</v>
      </c>
      <c r="H11" s="53">
        <v>0.10790796085691599</v>
      </c>
      <c r="I11" s="55">
        <v>408</v>
      </c>
      <c r="J11" s="55">
        <v>45</v>
      </c>
      <c r="K11" s="55">
        <v>51</v>
      </c>
      <c r="L11" s="56">
        <v>1</v>
      </c>
      <c r="M11" s="55">
        <v>0</v>
      </c>
      <c r="N11" s="57">
        <v>15.7901960784313</v>
      </c>
      <c r="O11" s="57">
        <v>15.6</v>
      </c>
      <c r="P11" s="57">
        <v>12.8</v>
      </c>
      <c r="Q11" s="57">
        <v>4.1220021786486596</v>
      </c>
      <c r="R11" s="57">
        <v>16.990901960784299</v>
      </c>
      <c r="S11" s="57">
        <v>5.9</v>
      </c>
      <c r="T11" s="57">
        <v>10.1</v>
      </c>
      <c r="U11" s="57">
        <v>12.75</v>
      </c>
      <c r="V11" s="57">
        <v>15.6</v>
      </c>
      <c r="W11" s="57">
        <v>18.5</v>
      </c>
      <c r="X11" s="57">
        <v>23.1</v>
      </c>
      <c r="Y11" s="57">
        <v>23.9</v>
      </c>
      <c r="Z11" s="57">
        <v>18</v>
      </c>
      <c r="AA11" s="57">
        <v>5.75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63</v>
      </c>
      <c r="F12" s="56">
        <v>0.98039215686274495</v>
      </c>
      <c r="G12" s="58">
        <v>0</v>
      </c>
      <c r="H12" s="59">
        <v>0.10790796085691599</v>
      </c>
      <c r="I12" s="55">
        <v>408</v>
      </c>
      <c r="J12" s="55">
        <v>50</v>
      </c>
      <c r="K12" s="55">
        <v>51</v>
      </c>
      <c r="L12" s="56">
        <v>1</v>
      </c>
      <c r="M12" s="55">
        <v>0</v>
      </c>
      <c r="N12" s="57">
        <v>4.9981960784313699</v>
      </c>
      <c r="O12" s="57">
        <v>4.6079999999999997</v>
      </c>
      <c r="P12" s="57">
        <v>4.968</v>
      </c>
      <c r="Q12" s="57">
        <v>2.0177470903917301</v>
      </c>
      <c r="R12" s="57">
        <v>4.0713033207843097</v>
      </c>
      <c r="S12" s="57">
        <v>1.79199999999999</v>
      </c>
      <c r="T12" s="57">
        <v>1.9715</v>
      </c>
      <c r="U12" s="57">
        <v>3.76649999999999</v>
      </c>
      <c r="V12" s="57">
        <v>4.6079999999999997</v>
      </c>
      <c r="W12" s="57">
        <v>6.4390000000000001</v>
      </c>
      <c r="X12" s="57">
        <v>8.7139999999999898</v>
      </c>
      <c r="Y12" s="57">
        <v>9.4499999999999993</v>
      </c>
      <c r="Z12" s="57">
        <v>7.6579999999999897</v>
      </c>
      <c r="AA12" s="57">
        <v>2.6724999999999999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63</v>
      </c>
      <c r="F13" s="56">
        <v>0.98039215686274495</v>
      </c>
      <c r="G13" s="58">
        <v>0</v>
      </c>
      <c r="H13" s="59">
        <v>0.10790796085691599</v>
      </c>
      <c r="I13" s="55">
        <v>408</v>
      </c>
      <c r="J13" s="55">
        <v>50</v>
      </c>
      <c r="K13" s="55">
        <v>51</v>
      </c>
      <c r="L13" s="56">
        <v>1</v>
      </c>
      <c r="M13" s="55">
        <v>0</v>
      </c>
      <c r="N13" s="57">
        <v>4.8867843137254896</v>
      </c>
      <c r="O13" s="57">
        <v>4.5540000000000003</v>
      </c>
      <c r="P13" s="57">
        <v>5.2080000000000002</v>
      </c>
      <c r="Q13" s="57">
        <v>1.7291329077167601</v>
      </c>
      <c r="R13" s="57">
        <v>2.98990061254902</v>
      </c>
      <c r="S13" s="57">
        <v>1.593</v>
      </c>
      <c r="T13" s="57">
        <v>2.827</v>
      </c>
      <c r="U13" s="57">
        <v>3.8940000000000001</v>
      </c>
      <c r="V13" s="57">
        <v>4.5540000000000003</v>
      </c>
      <c r="W13" s="57">
        <v>5.6039999999999903</v>
      </c>
      <c r="X13" s="57">
        <v>8.3940000000000001</v>
      </c>
      <c r="Y13" s="57">
        <v>10.038</v>
      </c>
      <c r="Z13" s="57">
        <v>8.4450000000000003</v>
      </c>
      <c r="AA13" s="57">
        <v>1.70999999999999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63</v>
      </c>
      <c r="F14" s="56">
        <v>0.98039215686274495</v>
      </c>
      <c r="G14" s="116">
        <v>0</v>
      </c>
      <c r="H14" s="59">
        <v>0.10790796085691599</v>
      </c>
      <c r="I14" s="55">
        <v>408</v>
      </c>
      <c r="J14" s="55">
        <v>50</v>
      </c>
      <c r="K14" s="55">
        <v>51</v>
      </c>
      <c r="L14" s="56">
        <v>1</v>
      </c>
      <c r="M14" s="55">
        <v>0</v>
      </c>
      <c r="N14" s="57">
        <v>13.5731764705882</v>
      </c>
      <c r="O14" s="57">
        <v>13.856999999999999</v>
      </c>
      <c r="P14" s="57">
        <v>14.093999999999999</v>
      </c>
      <c r="Q14" s="57">
        <v>4.5089770844655304</v>
      </c>
      <c r="R14" s="57">
        <v>20.330874348235199</v>
      </c>
      <c r="S14" s="57">
        <v>1.76</v>
      </c>
      <c r="T14" s="57">
        <v>6.5170000000000003</v>
      </c>
      <c r="U14" s="57">
        <v>10.4779999999999</v>
      </c>
      <c r="V14" s="57">
        <v>13.856999999999999</v>
      </c>
      <c r="W14" s="57">
        <v>16.14</v>
      </c>
      <c r="X14" s="57">
        <v>22</v>
      </c>
      <c r="Y14" s="57">
        <v>23.661000000000001</v>
      </c>
      <c r="Z14" s="57">
        <v>21.901</v>
      </c>
      <c r="AA14" s="57">
        <v>5.6619999999999999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63</v>
      </c>
      <c r="F15" s="56">
        <v>0.98039215686274495</v>
      </c>
      <c r="G15" s="116">
        <v>0</v>
      </c>
      <c r="H15" s="59">
        <v>0.10790796085691599</v>
      </c>
      <c r="I15" s="55">
        <v>408</v>
      </c>
      <c r="J15" s="55">
        <v>50</v>
      </c>
      <c r="K15" s="55">
        <v>51</v>
      </c>
      <c r="L15" s="56">
        <v>1</v>
      </c>
      <c r="M15" s="55">
        <v>0</v>
      </c>
      <c r="N15" s="57">
        <v>14.004882352941101</v>
      </c>
      <c r="O15" s="57">
        <v>13.775</v>
      </c>
      <c r="P15" s="57">
        <v>12.92</v>
      </c>
      <c r="Q15" s="57">
        <v>3.7646718988355801</v>
      </c>
      <c r="R15" s="57">
        <v>14.172754505882301</v>
      </c>
      <c r="S15" s="57">
        <v>5.9</v>
      </c>
      <c r="T15" s="57">
        <v>8.5919999999999899</v>
      </c>
      <c r="U15" s="57">
        <v>11.3479999999999</v>
      </c>
      <c r="V15" s="57">
        <v>13.775</v>
      </c>
      <c r="W15" s="57">
        <v>16.754999999999999</v>
      </c>
      <c r="X15" s="57">
        <v>20.321999999999999</v>
      </c>
      <c r="Y15" s="57">
        <v>21.28</v>
      </c>
      <c r="Z15" s="57">
        <v>15.38</v>
      </c>
      <c r="AA15" s="57">
        <v>5.407</v>
      </c>
    </row>
    <row r="16" spans="2:27">
      <c r="B16" s="64" t="s">
        <v>59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63</v>
      </c>
      <c r="F16" s="56">
        <v>1</v>
      </c>
      <c r="G16" s="116">
        <v>0</v>
      </c>
      <c r="H16" s="59">
        <v>0.10790796085691599</v>
      </c>
      <c r="I16" s="55">
        <v>408</v>
      </c>
      <c r="J16" s="55">
        <v>51</v>
      </c>
      <c r="K16" s="55">
        <v>51</v>
      </c>
      <c r="L16" s="56">
        <v>1</v>
      </c>
      <c r="M16" s="55">
        <v>0</v>
      </c>
      <c r="N16" s="57">
        <v>886.957647058823</v>
      </c>
      <c r="O16" s="57">
        <v>858.97</v>
      </c>
      <c r="P16" s="57">
        <v>641.96</v>
      </c>
      <c r="Q16" s="57">
        <v>178.296284791223</v>
      </c>
      <c r="R16" s="57">
        <v>31789.5651703529</v>
      </c>
      <c r="S16" s="57">
        <v>641.96</v>
      </c>
      <c r="T16" s="57">
        <v>665.59500000000003</v>
      </c>
      <c r="U16" s="57">
        <v>768.43</v>
      </c>
      <c r="V16" s="57">
        <v>858.97</v>
      </c>
      <c r="W16" s="57">
        <v>1007.94499999999</v>
      </c>
      <c r="X16" s="57">
        <v>1254.0999999999999</v>
      </c>
      <c r="Y16" s="57">
        <v>1301.52</v>
      </c>
      <c r="Z16" s="57">
        <v>659.56</v>
      </c>
      <c r="AA16" s="57">
        <v>239.51499999999899</v>
      </c>
    </row>
    <row r="17" spans="2:27">
      <c r="B17" s="64" t="s">
        <v>60</v>
      </c>
      <c r="C17" s="65" t="str">
        <f>IF(INDEX(Definitions,1,MATCH(tbl_Overview[[#This Row],[Field]],Headers,0))="Definition","",INDEX(Definitions,1,MATCH(tbl_Overview[[#This Row],[Field]],Headers,0)))</f>
        <v/>
      </c>
      <c r="D17" s="66" t="str">
        <f>IF(INDEX(Notes,1,MATCH(tbl_Overview[[#This Row],[Field]],Headers,0))="Notes","",INDEX(Notes,1,MATCH(tbl_Overview[[#This Row],[Field]],Headers,0)))</f>
        <v/>
      </c>
      <c r="E17" s="100" t="s">
        <v>63</v>
      </c>
      <c r="F17" s="56">
        <v>1</v>
      </c>
      <c r="G17" s="116">
        <v>0</v>
      </c>
      <c r="H17" s="59">
        <v>0.10790796085691599</v>
      </c>
      <c r="I17" s="55">
        <v>408</v>
      </c>
      <c r="J17" s="55">
        <v>51</v>
      </c>
      <c r="K17" s="55">
        <v>51</v>
      </c>
      <c r="L17" s="56">
        <v>1</v>
      </c>
      <c r="M17" s="55">
        <v>0</v>
      </c>
      <c r="N17" s="57">
        <v>134.493137254901</v>
      </c>
      <c r="O17" s="57">
        <v>136.05000000000001</v>
      </c>
      <c r="P17" s="57">
        <v>82.75</v>
      </c>
      <c r="Q17" s="57">
        <v>24.835922490634001</v>
      </c>
      <c r="R17" s="57">
        <v>616.82304596078404</v>
      </c>
      <c r="S17" s="57">
        <v>82.75</v>
      </c>
      <c r="T17" s="57">
        <v>96.72</v>
      </c>
      <c r="U17" s="57">
        <v>114.645</v>
      </c>
      <c r="V17" s="57">
        <v>136.05000000000001</v>
      </c>
      <c r="W17" s="57">
        <v>151.87</v>
      </c>
      <c r="X17" s="57">
        <v>172.94</v>
      </c>
      <c r="Y17" s="57">
        <v>194.78</v>
      </c>
      <c r="Z17" s="57">
        <v>112.03</v>
      </c>
      <c r="AA17" s="57">
        <v>37.225000000000001</v>
      </c>
    </row>
    <row r="18" spans="2:27">
      <c r="B18" s="117" t="s">
        <v>61</v>
      </c>
      <c r="C18" s="118" t="str">
        <f>IF(INDEX(Definitions,1,MATCH(tbl_Overview[[#This Row],[Field]],Headers,0))="Definition","",INDEX(Definitions,1,MATCH(tbl_Overview[[#This Row],[Field]],Headers,0)))</f>
        <v/>
      </c>
      <c r="D18" s="119" t="str">
        <f>IF(INDEX(Notes,1,MATCH(tbl_Overview[[#This Row],[Field]],Headers,0))="Notes","",INDEX(Notes,1,MATCH(tbl_Overview[[#This Row],[Field]],Headers,0)))</f>
        <v/>
      </c>
      <c r="E18" s="120" t="s">
        <v>64</v>
      </c>
      <c r="F18" s="121">
        <v>1</v>
      </c>
      <c r="G18" s="122">
        <v>0</v>
      </c>
      <c r="H18" s="123">
        <v>0.13673631314467</v>
      </c>
      <c r="I18" s="124">
        <v>517</v>
      </c>
      <c r="J18" s="124">
        <v>51</v>
      </c>
      <c r="K18" s="124">
        <v>51</v>
      </c>
      <c r="L18" s="121">
        <v>1</v>
      </c>
      <c r="M18" s="124">
        <v>0</v>
      </c>
      <c r="N18" s="125"/>
      <c r="O18" s="125"/>
      <c r="P18" s="125" t="s">
        <v>65</v>
      </c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8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1" width="27.77734375" style="1" customWidth="1"/>
    <col min="12" max="12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  <c r="I2"/>
      <c r="J2"/>
      <c r="K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  <c r="K3"/>
    </row>
    <row r="4" spans="1:14" ht="4.95" customHeight="1">
      <c r="A4" s="68"/>
      <c r="B4" s="68"/>
      <c r="C4" s="68"/>
      <c r="D4"/>
      <c r="E4"/>
      <c r="F4"/>
      <c r="G4"/>
      <c r="H4"/>
      <c r="I4"/>
      <c r="J4"/>
      <c r="K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  <c r="K5"/>
    </row>
    <row r="6" spans="1:14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  <c r="K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  <c r="K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  <c r="K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  <c r="K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  <c r="I10" s="60"/>
      <c r="J10" s="60"/>
      <c r="K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110" t="s">
        <v>59</v>
      </c>
      <c r="J11" s="110" t="s">
        <v>60</v>
      </c>
      <c r="K11" s="110" t="s">
        <v>61</v>
      </c>
      <c r="L11" s="99" t="s">
        <v>20</v>
      </c>
    </row>
    <row r="12" spans="1:14" ht="4.95" customHeight="1">
      <c r="A12"/>
      <c r="B12"/>
      <c r="C12"/>
      <c r="D12"/>
      <c r="E12"/>
      <c r="F12"/>
      <c r="G12"/>
      <c r="H12"/>
      <c r="I12"/>
      <c r="J12"/>
      <c r="K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  <c r="K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  <c r="K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  <c r="J15" s="69"/>
      <c r="K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  <c r="K16" s="70"/>
    </row>
    <row r="17" spans="1:11" hidden="1" outlineLevel="2">
      <c r="A17" s="70"/>
      <c r="B17" s="72"/>
      <c r="C17" s="95" t="s">
        <v>26</v>
      </c>
      <c r="D17" s="98">
        <v>51</v>
      </c>
      <c r="E17" s="47"/>
      <c r="F17" s="47"/>
      <c r="G17" s="47"/>
      <c r="H17" s="47"/>
      <c r="I17" s="47"/>
      <c r="J17" s="47"/>
      <c r="K17" s="47"/>
    </row>
    <row r="18" spans="1:11" hidden="1" outlineLevel="2">
      <c r="A18" s="70"/>
      <c r="B18" s="72"/>
      <c r="C18" s="95" t="s">
        <v>46</v>
      </c>
      <c r="D18" s="98">
        <v>8</v>
      </c>
      <c r="E18" s="47"/>
      <c r="F18" s="47"/>
      <c r="G18" s="47"/>
      <c r="H18" s="47"/>
      <c r="I18" s="47"/>
      <c r="J18" s="47"/>
      <c r="K18" s="47"/>
    </row>
    <row r="19" spans="1:11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  <c r="K19"/>
    </row>
    <row r="20" spans="1:11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  <c r="J20"/>
      <c r="K20"/>
    </row>
    <row r="21" spans="1:11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  <c r="K21" s="35"/>
    </row>
    <row r="22" spans="1:11" ht="14.4" hidden="1" customHeight="1" outlineLevel="2">
      <c r="A22" s="36"/>
      <c r="B22" s="37"/>
      <c r="C22" s="92" t="s">
        <v>3</v>
      </c>
      <c r="D22" s="12" t="s">
        <v>63</v>
      </c>
      <c r="E22" s="12" t="s">
        <v>63</v>
      </c>
      <c r="F22" s="12" t="s">
        <v>63</v>
      </c>
      <c r="G22" s="12" t="s">
        <v>63</v>
      </c>
      <c r="H22" s="12" t="s">
        <v>63</v>
      </c>
      <c r="I22" s="12" t="s">
        <v>63</v>
      </c>
      <c r="J22" s="12" t="s">
        <v>63</v>
      </c>
      <c r="K22" s="12" t="s">
        <v>64</v>
      </c>
    </row>
    <row r="23" spans="1:11" ht="14.4" hidden="1" customHeight="1" outlineLevel="2">
      <c r="A23" s="36"/>
      <c r="B23" s="38"/>
      <c r="C23" s="90" t="s">
        <v>7</v>
      </c>
      <c r="D23" s="39">
        <v>0.88235294117647001</v>
      </c>
      <c r="E23" s="39">
        <v>0.98039215686274495</v>
      </c>
      <c r="F23" s="39">
        <v>0.98039215686274495</v>
      </c>
      <c r="G23" s="39">
        <v>0.98039215686274495</v>
      </c>
      <c r="H23" s="39">
        <v>0.98039215686274495</v>
      </c>
      <c r="I23" s="39">
        <v>1</v>
      </c>
      <c r="J23" s="39">
        <v>1</v>
      </c>
      <c r="K23" s="39">
        <v>1</v>
      </c>
    </row>
    <row r="24" spans="1:11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</row>
    <row r="25" spans="1:11" ht="14.4" hidden="1" customHeight="1" outlineLevel="2">
      <c r="B25" s="13"/>
      <c r="C25" s="94" t="s">
        <v>5</v>
      </c>
      <c r="D25" s="39">
        <v>0.10790796085691599</v>
      </c>
      <c r="E25" s="39">
        <v>0.10790796085691599</v>
      </c>
      <c r="F25" s="39">
        <v>0.10790796085691599</v>
      </c>
      <c r="G25" s="39">
        <v>0.10790796085691599</v>
      </c>
      <c r="H25" s="39">
        <v>0.10790796085691599</v>
      </c>
      <c r="I25" s="39">
        <v>0.10790796085691599</v>
      </c>
      <c r="J25" s="39">
        <v>0.10790796085691599</v>
      </c>
      <c r="K25" s="39">
        <v>0.13673631314467</v>
      </c>
    </row>
    <row r="26" spans="1:11" ht="14.4" hidden="1" customHeight="1" outlineLevel="2">
      <c r="B26" s="13"/>
      <c r="C26" s="90" t="s">
        <v>4</v>
      </c>
      <c r="D26" s="12">
        <v>408</v>
      </c>
      <c r="E26" s="12">
        <v>408</v>
      </c>
      <c r="F26" s="12">
        <v>408</v>
      </c>
      <c r="G26" s="12">
        <v>408</v>
      </c>
      <c r="H26" s="12">
        <v>408</v>
      </c>
      <c r="I26" s="12">
        <v>408</v>
      </c>
      <c r="J26" s="12">
        <v>408</v>
      </c>
      <c r="K26" s="12">
        <v>517</v>
      </c>
    </row>
    <row r="27" spans="1:11" ht="14.4" hidden="1" customHeight="1" outlineLevel="2">
      <c r="B27" s="13"/>
      <c r="C27" s="90" t="s">
        <v>6</v>
      </c>
      <c r="D27" s="12">
        <v>45</v>
      </c>
      <c r="E27" s="12">
        <v>50</v>
      </c>
      <c r="F27" s="12">
        <v>50</v>
      </c>
      <c r="G27" s="12">
        <v>50</v>
      </c>
      <c r="H27" s="12">
        <v>50</v>
      </c>
      <c r="I27" s="12">
        <v>51</v>
      </c>
      <c r="J27" s="12">
        <v>51</v>
      </c>
      <c r="K27" s="12">
        <v>51</v>
      </c>
    </row>
    <row r="28" spans="1:11" ht="14.4" hidden="1" customHeight="1" outlineLevel="2">
      <c r="B28" s="13"/>
      <c r="C28" s="90" t="s">
        <v>8</v>
      </c>
      <c r="D28" s="12">
        <v>51</v>
      </c>
      <c r="E28" s="12">
        <v>51</v>
      </c>
      <c r="F28" s="12">
        <v>51</v>
      </c>
      <c r="G28" s="12">
        <v>51</v>
      </c>
      <c r="H28" s="12">
        <v>51</v>
      </c>
      <c r="I28" s="12">
        <v>51</v>
      </c>
      <c r="J28" s="12">
        <v>51</v>
      </c>
      <c r="K28" s="12">
        <v>51</v>
      </c>
    </row>
    <row r="29" spans="1:11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</row>
    <row r="30" spans="1:11" ht="4.95" hidden="1" customHeight="1" outlineLevel="2">
      <c r="B30" s="10"/>
      <c r="D30" s="7"/>
      <c r="E30" s="7"/>
      <c r="F30" s="7"/>
      <c r="G30" s="7"/>
      <c r="H30" s="7"/>
      <c r="I30" s="7"/>
      <c r="J30" s="7"/>
      <c r="K30" s="7"/>
    </row>
    <row r="31" spans="1:11" ht="150" hidden="1" customHeight="1" outlineLevel="2">
      <c r="B31" s="15"/>
      <c r="C31" s="16"/>
      <c r="D31" s="17"/>
      <c r="E31" s="17"/>
      <c r="F31" s="17"/>
      <c r="G31" s="17"/>
      <c r="H31" s="17"/>
      <c r="I31" s="17"/>
      <c r="J31" s="17"/>
      <c r="K31" s="17"/>
    </row>
    <row r="32" spans="1:11" ht="4.95" hidden="1" customHeight="1" outlineLevel="2">
      <c r="B32" s="18"/>
      <c r="D32" s="7"/>
      <c r="E32" s="7"/>
      <c r="F32" s="7"/>
      <c r="G32" s="7"/>
      <c r="H32" s="7"/>
      <c r="I32" s="7"/>
      <c r="J32" s="7"/>
      <c r="K32" s="7"/>
    </row>
    <row r="33" spans="1:11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  <c r="K33" s="7"/>
    </row>
    <row r="34" spans="1:11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  <c r="K34" s="7"/>
    </row>
    <row r="35" spans="1:11" ht="14.4" hidden="1" customHeight="1" outlineLevel="2">
      <c r="B35" s="11"/>
      <c r="C35" s="92" t="s">
        <v>11</v>
      </c>
      <c r="D35" s="22">
        <v>15.7901960784313</v>
      </c>
      <c r="E35" s="22">
        <v>4.9981960784313699</v>
      </c>
      <c r="F35" s="22">
        <v>4.8867843137254896</v>
      </c>
      <c r="G35" s="22">
        <v>13.5731764705882</v>
      </c>
      <c r="H35" s="22">
        <v>14.004882352941101</v>
      </c>
      <c r="I35" s="22">
        <v>886.957647058823</v>
      </c>
      <c r="J35" s="22">
        <v>134.493137254901</v>
      </c>
      <c r="K35" s="22"/>
    </row>
    <row r="36" spans="1:11" ht="14.4" hidden="1" customHeight="1" outlineLevel="2">
      <c r="B36" s="13"/>
      <c r="C36" s="93" t="s">
        <v>12</v>
      </c>
      <c r="D36" s="23">
        <v>15.6</v>
      </c>
      <c r="E36" s="23">
        <v>4.6079999999999997</v>
      </c>
      <c r="F36" s="23">
        <v>4.5540000000000003</v>
      </c>
      <c r="G36" s="23">
        <v>13.856999999999999</v>
      </c>
      <c r="H36" s="23">
        <v>13.775</v>
      </c>
      <c r="I36" s="23">
        <v>858.97</v>
      </c>
      <c r="J36" s="23">
        <v>136.05000000000001</v>
      </c>
      <c r="K36" s="23"/>
    </row>
    <row r="37" spans="1:11" ht="14.4" hidden="1" customHeight="1" outlineLevel="2">
      <c r="B37" s="13"/>
      <c r="C37" s="90" t="s">
        <v>13</v>
      </c>
      <c r="D37" s="14">
        <v>12.8</v>
      </c>
      <c r="E37" s="14">
        <v>4.968</v>
      </c>
      <c r="F37" s="14">
        <v>5.2080000000000002</v>
      </c>
      <c r="G37" s="14">
        <v>14.093999999999999</v>
      </c>
      <c r="H37" s="14">
        <v>12.92</v>
      </c>
      <c r="I37" s="14">
        <v>641.96</v>
      </c>
      <c r="J37" s="14">
        <v>82.75</v>
      </c>
      <c r="K37" s="14" t="s">
        <v>65</v>
      </c>
    </row>
    <row r="38" spans="1:11" ht="14.4" hidden="1" customHeight="1" outlineLevel="2">
      <c r="B38" s="13"/>
      <c r="C38" s="93" t="s">
        <v>14</v>
      </c>
      <c r="D38" s="24">
        <v>4.1220021786486596</v>
      </c>
      <c r="E38" s="24">
        <v>2.0177470903917301</v>
      </c>
      <c r="F38" s="24">
        <v>1.7291329077167601</v>
      </c>
      <c r="G38" s="24">
        <v>4.5089770844655304</v>
      </c>
      <c r="H38" s="24">
        <v>3.7646718988355801</v>
      </c>
      <c r="I38" s="24">
        <v>178.296284791223</v>
      </c>
      <c r="J38" s="24">
        <v>24.835922490634001</v>
      </c>
      <c r="K38" s="24"/>
    </row>
    <row r="39" spans="1:11" ht="14.4" hidden="1" customHeight="1" outlineLevel="2">
      <c r="B39" s="13"/>
      <c r="C39" s="94" t="s">
        <v>15</v>
      </c>
      <c r="D39" s="22">
        <v>16.990901960784299</v>
      </c>
      <c r="E39" s="22">
        <v>4.0713033207843097</v>
      </c>
      <c r="F39" s="22">
        <v>2.98990061254902</v>
      </c>
      <c r="G39" s="22">
        <v>20.330874348235199</v>
      </c>
      <c r="H39" s="22">
        <v>14.172754505882301</v>
      </c>
      <c r="I39" s="22">
        <v>31789.5651703529</v>
      </c>
      <c r="J39" s="22">
        <v>616.82304596078404</v>
      </c>
      <c r="K39" s="22"/>
    </row>
    <row r="40" spans="1:11" ht="4.95" hidden="1" customHeight="1" outlineLevel="2">
      <c r="B40" s="10"/>
      <c r="D40" s="7"/>
      <c r="E40" s="7"/>
      <c r="F40" s="7"/>
      <c r="G40" s="7"/>
      <c r="H40" s="7"/>
      <c r="I40" s="7"/>
      <c r="J40" s="7"/>
      <c r="K40" s="7"/>
    </row>
    <row r="41" spans="1:11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  <c r="K41" s="17"/>
    </row>
    <row r="42" spans="1:11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  <c r="K42" s="7"/>
    </row>
    <row r="43" spans="1:11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  <c r="K43" s="7"/>
    </row>
    <row r="44" spans="1:11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  <c r="K44" s="7"/>
    </row>
    <row r="45" spans="1:11" ht="14.4" hidden="1" customHeight="1" outlineLevel="2">
      <c r="B45" s="11"/>
      <c r="C45" s="87" t="s">
        <v>16</v>
      </c>
      <c r="D45" s="24">
        <v>5.9</v>
      </c>
      <c r="E45" s="24">
        <v>1.79199999999999</v>
      </c>
      <c r="F45" s="24">
        <v>1.593</v>
      </c>
      <c r="G45" s="24">
        <v>1.76</v>
      </c>
      <c r="H45" s="24">
        <v>5.9</v>
      </c>
      <c r="I45" s="24">
        <v>641.96</v>
      </c>
      <c r="J45" s="24">
        <v>82.75</v>
      </c>
      <c r="K45" s="24"/>
    </row>
    <row r="46" spans="1:11" ht="14.4" hidden="1" customHeight="1" outlineLevel="2">
      <c r="B46" s="10"/>
      <c r="C46" s="88">
        <v>0.05</v>
      </c>
      <c r="D46" s="22">
        <v>10.1</v>
      </c>
      <c r="E46" s="22">
        <v>1.9715</v>
      </c>
      <c r="F46" s="22">
        <v>2.827</v>
      </c>
      <c r="G46" s="22">
        <v>6.5170000000000003</v>
      </c>
      <c r="H46" s="22">
        <v>8.5919999999999899</v>
      </c>
      <c r="I46" s="22">
        <v>665.59500000000003</v>
      </c>
      <c r="J46" s="22">
        <v>96.72</v>
      </c>
      <c r="K46" s="22"/>
    </row>
    <row r="47" spans="1:11" ht="14.4" hidden="1" customHeight="1" outlineLevel="2">
      <c r="B47" s="10"/>
      <c r="C47" s="89">
        <v>0.25</v>
      </c>
      <c r="D47" s="24">
        <v>12.75</v>
      </c>
      <c r="E47" s="24">
        <v>3.76649999999999</v>
      </c>
      <c r="F47" s="24">
        <v>3.8940000000000001</v>
      </c>
      <c r="G47" s="24">
        <v>10.4779999999999</v>
      </c>
      <c r="H47" s="24">
        <v>11.3479999999999</v>
      </c>
      <c r="I47" s="24">
        <v>768.43</v>
      </c>
      <c r="J47" s="24">
        <v>114.645</v>
      </c>
      <c r="K47" s="24"/>
    </row>
    <row r="48" spans="1:11" ht="14.4" hidden="1" customHeight="1" outlineLevel="2">
      <c r="B48" s="10"/>
      <c r="C48" s="88">
        <v>0.5</v>
      </c>
      <c r="D48" s="22">
        <v>15.6</v>
      </c>
      <c r="E48" s="22">
        <v>4.6079999999999997</v>
      </c>
      <c r="F48" s="22">
        <v>4.5540000000000003</v>
      </c>
      <c r="G48" s="22">
        <v>13.856999999999999</v>
      </c>
      <c r="H48" s="22">
        <v>13.775</v>
      </c>
      <c r="I48" s="22">
        <v>858.97</v>
      </c>
      <c r="J48" s="22">
        <v>136.05000000000001</v>
      </c>
      <c r="K48" s="22"/>
    </row>
    <row r="49" spans="1:11" ht="14.4" hidden="1" customHeight="1" outlineLevel="2">
      <c r="B49" s="10"/>
      <c r="C49" s="89">
        <v>0.75</v>
      </c>
      <c r="D49" s="24">
        <v>18.5</v>
      </c>
      <c r="E49" s="24">
        <v>6.4390000000000001</v>
      </c>
      <c r="F49" s="24">
        <v>5.6039999999999903</v>
      </c>
      <c r="G49" s="24">
        <v>16.14</v>
      </c>
      <c r="H49" s="24">
        <v>16.754999999999999</v>
      </c>
      <c r="I49" s="24">
        <v>1007.94499999999</v>
      </c>
      <c r="J49" s="24">
        <v>151.87</v>
      </c>
      <c r="K49" s="24"/>
    </row>
    <row r="50" spans="1:11" ht="14.4" hidden="1" customHeight="1" outlineLevel="2">
      <c r="B50" s="10"/>
      <c r="C50" s="88">
        <v>0.95</v>
      </c>
      <c r="D50" s="22">
        <v>23.1</v>
      </c>
      <c r="E50" s="22">
        <v>8.7139999999999898</v>
      </c>
      <c r="F50" s="22">
        <v>8.3940000000000001</v>
      </c>
      <c r="G50" s="22">
        <v>22</v>
      </c>
      <c r="H50" s="22">
        <v>20.321999999999999</v>
      </c>
      <c r="I50" s="22">
        <v>1254.0999999999999</v>
      </c>
      <c r="J50" s="22">
        <v>172.94</v>
      </c>
      <c r="K50" s="22"/>
    </row>
    <row r="51" spans="1:11" ht="14.4" hidden="1" customHeight="1" outlineLevel="2">
      <c r="B51" s="10"/>
      <c r="C51" s="89" t="s">
        <v>17</v>
      </c>
      <c r="D51" s="24">
        <v>23.9</v>
      </c>
      <c r="E51" s="24">
        <v>9.4499999999999993</v>
      </c>
      <c r="F51" s="24">
        <v>10.038</v>
      </c>
      <c r="G51" s="24">
        <v>23.661000000000001</v>
      </c>
      <c r="H51" s="24">
        <v>21.28</v>
      </c>
      <c r="I51" s="24">
        <v>1301.52</v>
      </c>
      <c r="J51" s="24">
        <v>194.78</v>
      </c>
      <c r="K51" s="24"/>
    </row>
    <row r="52" spans="1:11" ht="14.4" hidden="1" customHeight="1" outlineLevel="2">
      <c r="B52" s="10"/>
      <c r="C52" s="90" t="s">
        <v>18</v>
      </c>
      <c r="D52" s="22">
        <v>18</v>
      </c>
      <c r="E52" s="22">
        <v>7.6579999999999897</v>
      </c>
      <c r="F52" s="22">
        <v>8.4450000000000003</v>
      </c>
      <c r="G52" s="22">
        <v>21.901</v>
      </c>
      <c r="H52" s="22">
        <v>15.38</v>
      </c>
      <c r="I52" s="22">
        <v>659.56</v>
      </c>
      <c r="J52" s="22">
        <v>112.03</v>
      </c>
      <c r="K52" s="22"/>
    </row>
    <row r="53" spans="1:11" ht="14.4" hidden="1" customHeight="1" outlineLevel="2">
      <c r="B53" s="18"/>
      <c r="C53" s="91" t="s">
        <v>19</v>
      </c>
      <c r="D53" s="24">
        <v>5.75</v>
      </c>
      <c r="E53" s="24">
        <v>2.6724999999999999</v>
      </c>
      <c r="F53" s="24">
        <v>1.70999999999999</v>
      </c>
      <c r="G53" s="24">
        <v>5.6619999999999999</v>
      </c>
      <c r="H53" s="24">
        <v>5.407</v>
      </c>
      <c r="I53" s="24">
        <v>239.51499999999899</v>
      </c>
      <c r="J53" s="24">
        <v>37.225000000000001</v>
      </c>
      <c r="K53" s="24"/>
    </row>
    <row r="54" spans="1:11" ht="4.95" hidden="1" customHeight="1" outlineLevel="2">
      <c r="B54" s="18"/>
      <c r="D54" s="7"/>
      <c r="E54" s="7"/>
      <c r="F54" s="7"/>
      <c r="G54" s="7"/>
      <c r="H54" s="7"/>
      <c r="I54" s="7"/>
      <c r="J54" s="7"/>
      <c r="K54" s="7"/>
    </row>
    <row r="55" spans="1:11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  <c r="K55" s="7"/>
    </row>
    <row r="56" spans="1:11" ht="4.95" customHeight="1" outlineLevel="1">
      <c r="A56" s="30"/>
      <c r="B56" s="20"/>
      <c r="D56" s="7"/>
      <c r="E56" s="7"/>
      <c r="F56" s="7"/>
      <c r="G56" s="7"/>
      <c r="H56" s="7"/>
      <c r="I56" s="7"/>
      <c r="J56" s="7"/>
      <c r="K56" s="7"/>
    </row>
    <row r="57" spans="1:11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  <c r="K57" s="62" t="b">
        <v>0</v>
      </c>
    </row>
    <row r="58" spans="1:11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  <c r="K58" s="62" t="b">
        <v>0</v>
      </c>
    </row>
    <row r="59" spans="1:11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  <c r="K59" s="62" t="b">
        <v>0</v>
      </c>
    </row>
    <row r="60" spans="1:11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  <c r="K60" s="62" t="b">
        <v>0</v>
      </c>
    </row>
    <row r="61" spans="1:11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  <c r="K61" s="62" t="b">
        <v>0</v>
      </c>
    </row>
    <row r="62" spans="1:11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  <c r="K62" s="62" t="b">
        <v>0</v>
      </c>
    </row>
    <row r="63" spans="1:11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  <c r="K63" s="62" t="b">
        <v>0</v>
      </c>
    </row>
    <row r="64" spans="1:11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  <c r="K64" s="62" t="b">
        <v>0</v>
      </c>
    </row>
    <row r="65" spans="1:12" ht="4.95" hidden="1" customHeight="1" outlineLevel="2">
      <c r="B65" s="15"/>
      <c r="D65" s="7"/>
      <c r="E65" s="7"/>
      <c r="F65" s="7"/>
      <c r="G65" s="7"/>
      <c r="H65" s="7"/>
      <c r="I65" s="7"/>
      <c r="J65" s="7"/>
      <c r="K65" s="7"/>
    </row>
    <row r="66" spans="1:12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  <c r="K66" s="7"/>
    </row>
    <row r="67" spans="1:12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  <c r="K67" s="7"/>
    </row>
    <row r="68" spans="1:12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2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2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2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2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2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2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2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2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2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  <c r="K77" s="28"/>
    </row>
    <row r="78" spans="1:12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29" t="s">
        <v>60</v>
      </c>
      <c r="K78" s="29" t="s">
        <v>61</v>
      </c>
      <c r="L78" s="111" t="s">
        <v>20</v>
      </c>
    </row>
    <row r="79" spans="1:12">
      <c r="C79" s="31" t="b">
        <v>0</v>
      </c>
      <c r="D79" s="32">
        <v>18.8</v>
      </c>
      <c r="E79" s="32">
        <v>7.3319999999999999</v>
      </c>
      <c r="F79" s="32">
        <v>5.64</v>
      </c>
      <c r="G79" s="32">
        <v>18.047999999999998</v>
      </c>
      <c r="H79" s="32">
        <v>15.04</v>
      </c>
      <c r="I79" s="32">
        <v>784.55</v>
      </c>
      <c r="J79" s="32">
        <v>145.08000000000001</v>
      </c>
      <c r="K79" s="32" t="s">
        <v>66</v>
      </c>
      <c r="L79" s="67">
        <v>1.76404223069276E+19</v>
      </c>
    </row>
    <row r="80" spans="1:12">
      <c r="C80" s="31" t="b">
        <v>0</v>
      </c>
      <c r="D80" s="32">
        <v>18.100000000000001</v>
      </c>
      <c r="E80" s="32">
        <v>7.4210000000000003</v>
      </c>
      <c r="F80" s="32">
        <v>4.5250000000000004</v>
      </c>
      <c r="G80" s="32">
        <v>16.29</v>
      </c>
      <c r="H80" s="32">
        <v>17.013999999999999</v>
      </c>
      <c r="I80" s="32">
        <v>1053.48</v>
      </c>
      <c r="J80" s="32">
        <v>133.93</v>
      </c>
      <c r="K80" s="32" t="s">
        <v>65</v>
      </c>
      <c r="L80" s="67">
        <v>3.2893922347626102E+18</v>
      </c>
    </row>
    <row r="81" spans="3:12">
      <c r="C81" s="31" t="b">
        <v>0</v>
      </c>
      <c r="D81" s="32">
        <v>18.600000000000001</v>
      </c>
      <c r="E81" s="32">
        <v>6.51</v>
      </c>
      <c r="F81" s="32">
        <v>5.2080000000000002</v>
      </c>
      <c r="G81" s="32">
        <v>15.624000000000001</v>
      </c>
      <c r="H81" s="32">
        <v>17.856000000000002</v>
      </c>
      <c r="I81" s="32">
        <v>899.47</v>
      </c>
      <c r="J81" s="32">
        <v>110.35</v>
      </c>
      <c r="K81" s="32" t="s">
        <v>67</v>
      </c>
      <c r="L81" s="67">
        <v>2.35059825361265E+18</v>
      </c>
    </row>
    <row r="82" spans="3:12">
      <c r="C82" s="31" t="b">
        <v>0</v>
      </c>
      <c r="D82" s="32">
        <v>22.4</v>
      </c>
      <c r="E82" s="32">
        <v>4.032</v>
      </c>
      <c r="F82" s="32">
        <v>5.8239999999999998</v>
      </c>
      <c r="G82" s="32">
        <v>21.056000000000001</v>
      </c>
      <c r="H82" s="32">
        <v>21.28</v>
      </c>
      <c r="I82" s="32">
        <v>827.34</v>
      </c>
      <c r="J82" s="32">
        <v>142.38999999999999</v>
      </c>
      <c r="K82" s="32" t="s">
        <v>68</v>
      </c>
      <c r="L82" s="67">
        <v>5.39087629873246E+18</v>
      </c>
    </row>
    <row r="83" spans="3:12">
      <c r="C83" s="31" t="b">
        <v>0</v>
      </c>
      <c r="D83" s="32">
        <v>12</v>
      </c>
      <c r="E83" s="32">
        <v>4.2</v>
      </c>
      <c r="F83" s="32">
        <v>3.36</v>
      </c>
      <c r="G83" s="32">
        <v>10.92</v>
      </c>
      <c r="H83" s="32">
        <v>10.68</v>
      </c>
      <c r="I83" s="32">
        <v>878.41</v>
      </c>
      <c r="J83" s="32">
        <v>165.63</v>
      </c>
      <c r="K83" s="32" t="s">
        <v>69</v>
      </c>
      <c r="L83" s="67">
        <v>2.8391193504732401E+18</v>
      </c>
    </row>
    <row r="84" spans="3:12">
      <c r="C84" s="31" t="b">
        <v>0</v>
      </c>
      <c r="D84" s="32">
        <v>13.6</v>
      </c>
      <c r="E84" s="32">
        <v>5.032</v>
      </c>
      <c r="F84" s="32">
        <v>3.8079999999999998</v>
      </c>
      <c r="G84" s="32">
        <v>10.7439999999999</v>
      </c>
      <c r="H84" s="32">
        <v>12.92</v>
      </c>
      <c r="I84" s="32">
        <v>835.5</v>
      </c>
      <c r="J84" s="32">
        <v>139.91</v>
      </c>
      <c r="K84" s="32" t="s">
        <v>70</v>
      </c>
      <c r="L84" s="67">
        <v>8.5587951073480202E+18</v>
      </c>
    </row>
    <row r="85" spans="3:12">
      <c r="C85" s="31" t="b">
        <v>0</v>
      </c>
      <c r="D85" s="32">
        <v>10.8</v>
      </c>
      <c r="E85" s="32">
        <v>4.968</v>
      </c>
      <c r="F85" s="32">
        <v>3.8879999999999999</v>
      </c>
      <c r="G85" s="32">
        <v>9.3960000000000008</v>
      </c>
      <c r="H85" s="32">
        <v>8.8559999999999999</v>
      </c>
      <c r="I85" s="32">
        <v>1068.73</v>
      </c>
      <c r="J85" s="32">
        <v>167.02</v>
      </c>
      <c r="K85" s="32" t="s">
        <v>71</v>
      </c>
      <c r="L85" s="67">
        <v>1.2686068646619099E+19</v>
      </c>
    </row>
    <row r="86" spans="3:12">
      <c r="C86" s="31" t="b">
        <v>0</v>
      </c>
      <c r="D86" s="32">
        <v>16.2</v>
      </c>
      <c r="E86" s="32">
        <v>6.1559999999999997</v>
      </c>
      <c r="F86" s="32">
        <v>4.8600000000000003</v>
      </c>
      <c r="G86" s="32">
        <v>14.093999999999999</v>
      </c>
      <c r="H86" s="32">
        <v>16.038</v>
      </c>
      <c r="I86" s="32">
        <v>1137.8699999999999</v>
      </c>
      <c r="J86" s="32">
        <v>151.47999999999999</v>
      </c>
      <c r="K86" s="32" t="s">
        <v>72</v>
      </c>
      <c r="L86" s="67">
        <v>1.28571832533383E+19</v>
      </c>
    </row>
    <row r="87" spans="3:12">
      <c r="C87" s="31" t="b">
        <v>0</v>
      </c>
      <c r="D87" s="32">
        <v>5.9</v>
      </c>
      <c r="E87" s="32">
        <v>2.0059999999999998</v>
      </c>
      <c r="F87" s="32">
        <v>1.593</v>
      </c>
      <c r="G87" s="32">
        <v>5.9</v>
      </c>
      <c r="H87" s="32">
        <v>5.9</v>
      </c>
      <c r="I87" s="32">
        <v>1273.8900000000001</v>
      </c>
      <c r="J87" s="32">
        <v>136.05000000000001</v>
      </c>
      <c r="K87" s="32" t="s">
        <v>73</v>
      </c>
      <c r="L87" s="67">
        <v>1.59054964723398E+19</v>
      </c>
    </row>
    <row r="88" spans="3:12">
      <c r="C88" s="31" t="b">
        <v>0</v>
      </c>
      <c r="D88" s="32">
        <v>17.899999999999999</v>
      </c>
      <c r="E88" s="32">
        <v>3.7589999999999999</v>
      </c>
      <c r="F88" s="32">
        <v>5.1909999999999901</v>
      </c>
      <c r="G88" s="32">
        <v>16.468</v>
      </c>
      <c r="H88" s="32">
        <v>16.826000000000001</v>
      </c>
      <c r="I88" s="32">
        <v>1160.1300000000001</v>
      </c>
      <c r="J88" s="32">
        <v>144.18</v>
      </c>
      <c r="K88" s="32" t="s">
        <v>74</v>
      </c>
      <c r="L88" s="67">
        <v>1.7686523973342501E+19</v>
      </c>
    </row>
    <row r="89" spans="3:12">
      <c r="C89" s="31" t="b">
        <v>0</v>
      </c>
      <c r="D89" s="32">
        <v>15.6</v>
      </c>
      <c r="E89" s="32">
        <v>2.964</v>
      </c>
      <c r="F89" s="32">
        <v>3.9</v>
      </c>
      <c r="G89" s="32">
        <v>14.82</v>
      </c>
      <c r="H89" s="32">
        <v>14.507999999999999</v>
      </c>
      <c r="I89" s="32">
        <v>913.15</v>
      </c>
      <c r="J89" s="32">
        <v>142.80000000000001</v>
      </c>
      <c r="K89" s="32" t="s">
        <v>75</v>
      </c>
      <c r="L89" s="67">
        <v>1.0256893851756401E+19</v>
      </c>
    </row>
    <row r="90" spans="3:12">
      <c r="C90" s="31" t="b">
        <v>0</v>
      </c>
      <c r="D90" s="32">
        <v>17.5</v>
      </c>
      <c r="E90" s="32">
        <v>9.4499999999999993</v>
      </c>
      <c r="F90" s="32">
        <v>7.1749999999999998</v>
      </c>
      <c r="G90" s="32">
        <v>14.35</v>
      </c>
      <c r="H90" s="32">
        <v>15.225</v>
      </c>
      <c r="I90" s="32">
        <v>861.18</v>
      </c>
      <c r="J90" s="32">
        <v>120.92</v>
      </c>
      <c r="K90" s="32" t="s">
        <v>76</v>
      </c>
      <c r="L90" s="67">
        <v>1.1727691754383E+19</v>
      </c>
    </row>
    <row r="91" spans="3:12">
      <c r="C91" s="31" t="b">
        <v>0</v>
      </c>
      <c r="D91" s="32">
        <v>15.3</v>
      </c>
      <c r="E91" s="32">
        <v>5.508</v>
      </c>
      <c r="F91" s="32">
        <v>4.4370000000000003</v>
      </c>
      <c r="G91" s="32">
        <v>13.005000000000001</v>
      </c>
      <c r="H91" s="32">
        <v>14.994</v>
      </c>
      <c r="I91" s="32">
        <v>641.96</v>
      </c>
      <c r="J91" s="32">
        <v>82.75</v>
      </c>
      <c r="K91" s="32" t="s">
        <v>77</v>
      </c>
      <c r="L91" s="67">
        <v>9.1576648965107999E+18</v>
      </c>
    </row>
    <row r="92" spans="3:12">
      <c r="C92" s="31" t="b">
        <v>0</v>
      </c>
      <c r="D92" s="32">
        <v>12.8</v>
      </c>
      <c r="E92" s="32">
        <v>4.6079999999999997</v>
      </c>
      <c r="F92" s="32">
        <v>4.3520000000000003</v>
      </c>
      <c r="G92" s="32">
        <v>12.032</v>
      </c>
      <c r="H92" s="32">
        <v>12.288</v>
      </c>
      <c r="I92" s="32">
        <v>803.11</v>
      </c>
      <c r="J92" s="32">
        <v>139.15</v>
      </c>
      <c r="K92" s="32" t="s">
        <v>78</v>
      </c>
      <c r="L92" s="67">
        <v>2.2061915324943501E+18</v>
      </c>
    </row>
    <row r="93" spans="3:12">
      <c r="C93" s="31" t="b">
        <v>0</v>
      </c>
      <c r="D93" s="32">
        <v>14.5</v>
      </c>
      <c r="E93" s="32">
        <v>3.625</v>
      </c>
      <c r="F93" s="32">
        <v>4.2050000000000001</v>
      </c>
      <c r="G93" s="32">
        <v>13.775</v>
      </c>
      <c r="H93" s="32">
        <v>13.775</v>
      </c>
      <c r="I93" s="32">
        <v>710.46</v>
      </c>
      <c r="J93" s="32">
        <v>108.92</v>
      </c>
      <c r="K93" s="32" t="s">
        <v>79</v>
      </c>
      <c r="L93" s="67">
        <v>1.0822632612148199E+19</v>
      </c>
    </row>
    <row r="94" spans="3:12">
      <c r="C94" s="31" t="b">
        <v>0</v>
      </c>
      <c r="D94" s="32">
        <v>15.7</v>
      </c>
      <c r="E94" s="32">
        <v>2.669</v>
      </c>
      <c r="F94" s="32">
        <v>3.9249999999999998</v>
      </c>
      <c r="G94" s="32">
        <v>15.228999999999999</v>
      </c>
      <c r="H94" s="32">
        <v>13.659000000000001</v>
      </c>
      <c r="I94" s="32">
        <v>649.05999999999995</v>
      </c>
      <c r="J94" s="32">
        <v>114.47</v>
      </c>
      <c r="K94" s="32" t="s">
        <v>80</v>
      </c>
      <c r="L94" s="67">
        <v>9.0169156514464205E+18</v>
      </c>
    </row>
    <row r="95" spans="3:12">
      <c r="C95" s="31" t="b">
        <v>0</v>
      </c>
      <c r="D95" s="32">
        <v>17.8</v>
      </c>
      <c r="E95" s="32">
        <v>4.806</v>
      </c>
      <c r="F95" s="32">
        <v>4.2720000000000002</v>
      </c>
      <c r="G95" s="32">
        <v>13.706</v>
      </c>
      <c r="H95" s="32">
        <v>15.13</v>
      </c>
      <c r="I95" s="32">
        <v>780.45</v>
      </c>
      <c r="J95" s="32">
        <v>133.80000000000001</v>
      </c>
      <c r="K95" s="32" t="s">
        <v>81</v>
      </c>
      <c r="L95" s="67">
        <v>8.62726541863744E+18</v>
      </c>
    </row>
    <row r="96" spans="3:12">
      <c r="C96" s="31" t="b">
        <v>0</v>
      </c>
      <c r="D96" s="32">
        <v>21.4</v>
      </c>
      <c r="E96" s="32">
        <v>4.0659999999999998</v>
      </c>
      <c r="F96" s="32">
        <v>4.9219999999999997</v>
      </c>
      <c r="G96" s="32">
        <v>16.691999999999901</v>
      </c>
      <c r="H96" s="32">
        <v>16.263999999999999</v>
      </c>
      <c r="I96" s="32">
        <v>872.51</v>
      </c>
      <c r="J96" s="32">
        <v>137.13</v>
      </c>
      <c r="K96" s="32" t="s">
        <v>82</v>
      </c>
      <c r="L96" s="67">
        <v>1.56966903383419E+19</v>
      </c>
    </row>
    <row r="97" spans="3:12">
      <c r="C97" s="31" t="b">
        <v>0</v>
      </c>
      <c r="D97" s="32">
        <v>20.5</v>
      </c>
      <c r="E97" s="32">
        <v>7.1749999999999998</v>
      </c>
      <c r="F97" s="32">
        <v>6.7649999999999997</v>
      </c>
      <c r="G97" s="32">
        <v>14.965</v>
      </c>
      <c r="H97" s="32">
        <v>20.09</v>
      </c>
      <c r="I97" s="32">
        <v>1281.55</v>
      </c>
      <c r="J97" s="32">
        <v>194.78</v>
      </c>
      <c r="K97" s="32" t="s">
        <v>83</v>
      </c>
      <c r="L97" s="67">
        <v>4.0179288378989599E+18</v>
      </c>
    </row>
    <row r="98" spans="3:12">
      <c r="C98" s="31" t="b">
        <v>0</v>
      </c>
      <c r="D98" s="32">
        <v>15.1</v>
      </c>
      <c r="E98" s="32">
        <v>5.7380000000000004</v>
      </c>
      <c r="F98" s="32">
        <v>4.53</v>
      </c>
      <c r="G98" s="32">
        <v>13.137</v>
      </c>
      <c r="H98" s="32">
        <v>12.683999999999999</v>
      </c>
      <c r="I98" s="32">
        <v>661.88</v>
      </c>
      <c r="J98" s="32">
        <v>96.57</v>
      </c>
      <c r="K98" s="32" t="s">
        <v>84</v>
      </c>
      <c r="L98" s="67">
        <v>7.6699857337802004E+18</v>
      </c>
    </row>
    <row r="99" spans="3:12">
      <c r="C99" s="31" t="b">
        <v>0</v>
      </c>
      <c r="D99" s="32">
        <v>12.5</v>
      </c>
      <c r="E99" s="32">
        <v>4.25</v>
      </c>
      <c r="F99" s="32">
        <v>4</v>
      </c>
      <c r="G99" s="32">
        <v>8.875</v>
      </c>
      <c r="H99" s="32">
        <v>12.375</v>
      </c>
      <c r="I99" s="32">
        <v>1048.78</v>
      </c>
      <c r="J99" s="32">
        <v>192.7</v>
      </c>
      <c r="K99" s="32" t="s">
        <v>85</v>
      </c>
      <c r="L99" s="67">
        <v>1.6964519238227599E+19</v>
      </c>
    </row>
    <row r="100" spans="3:12">
      <c r="C100" s="31" t="b">
        <v>0</v>
      </c>
      <c r="D100" s="32">
        <v>8.1999999999999993</v>
      </c>
      <c r="E100" s="32">
        <v>1.8859999999999999</v>
      </c>
      <c r="F100" s="32">
        <v>2.87</v>
      </c>
      <c r="G100" s="32">
        <v>7.1340000000000003</v>
      </c>
      <c r="H100" s="32">
        <v>6.56</v>
      </c>
      <c r="I100" s="32">
        <v>1011.14</v>
      </c>
      <c r="J100" s="32">
        <v>135.63</v>
      </c>
      <c r="K100" s="32" t="s">
        <v>86</v>
      </c>
      <c r="L100" s="67">
        <v>1.6109354771701299E+19</v>
      </c>
    </row>
    <row r="101" spans="3:12">
      <c r="C101" s="31" t="b">
        <v>0</v>
      </c>
      <c r="D101" s="32">
        <v>14.1</v>
      </c>
      <c r="E101" s="32">
        <v>3.3839999999999999</v>
      </c>
      <c r="F101" s="32">
        <v>3.948</v>
      </c>
      <c r="G101" s="32">
        <v>13.395</v>
      </c>
      <c r="H101" s="32">
        <v>10.856999999999999</v>
      </c>
      <c r="I101" s="32">
        <v>1110.6099999999999</v>
      </c>
      <c r="J101" s="32">
        <v>152.26</v>
      </c>
      <c r="K101" s="32" t="s">
        <v>87</v>
      </c>
      <c r="L101" s="67">
        <v>5.1594315422662697E+18</v>
      </c>
    </row>
    <row r="102" spans="3:12">
      <c r="C102" s="31" t="b">
        <v>0</v>
      </c>
      <c r="D102" s="32">
        <v>9.6</v>
      </c>
      <c r="E102" s="32">
        <v>2.2080000000000002</v>
      </c>
      <c r="F102" s="32">
        <v>2.7839999999999998</v>
      </c>
      <c r="G102" s="32">
        <v>8.4480000000000004</v>
      </c>
      <c r="H102" s="32">
        <v>8.4480000000000004</v>
      </c>
      <c r="I102" s="32">
        <v>777.18</v>
      </c>
      <c r="J102" s="32">
        <v>133.35</v>
      </c>
      <c r="K102" s="32" t="s">
        <v>88</v>
      </c>
      <c r="L102" s="67">
        <v>1.9840265171200499E+18</v>
      </c>
    </row>
    <row r="103" spans="3:12">
      <c r="C103" s="31" t="b">
        <v>0</v>
      </c>
      <c r="D103" s="32">
        <v>17.600000000000001</v>
      </c>
      <c r="E103" s="32">
        <v>2.64</v>
      </c>
      <c r="F103" s="32">
        <v>5.4560000000000004</v>
      </c>
      <c r="G103" s="32">
        <v>1.76</v>
      </c>
      <c r="H103" s="32">
        <v>17.600000000000001</v>
      </c>
      <c r="I103" s="32">
        <v>896.07</v>
      </c>
      <c r="J103" s="32">
        <v>155.77000000000001</v>
      </c>
      <c r="K103" s="32" t="s">
        <v>89</v>
      </c>
      <c r="L103" s="67">
        <v>8.1540472782845E+18</v>
      </c>
    </row>
    <row r="104" spans="3:12">
      <c r="C104" s="31" t="b">
        <v>0</v>
      </c>
      <c r="D104" s="32">
        <v>16.100000000000001</v>
      </c>
      <c r="E104" s="32">
        <v>6.923</v>
      </c>
      <c r="F104" s="32">
        <v>5.4740000000000002</v>
      </c>
      <c r="G104" s="32">
        <v>14.811999999999999</v>
      </c>
      <c r="H104" s="32">
        <v>13.523999999999999</v>
      </c>
      <c r="I104" s="32">
        <v>790.32</v>
      </c>
      <c r="J104" s="32">
        <v>144.44999999999999</v>
      </c>
      <c r="K104" s="32" t="s">
        <v>90</v>
      </c>
      <c r="L104" s="67">
        <v>1.11995705297332E+19</v>
      </c>
    </row>
    <row r="105" spans="3:12">
      <c r="C105" s="31" t="b">
        <v>0</v>
      </c>
      <c r="D105" s="32">
        <v>21.4</v>
      </c>
      <c r="E105" s="32">
        <v>8.3459999999999894</v>
      </c>
      <c r="F105" s="32">
        <v>9.4160000000000004</v>
      </c>
      <c r="G105" s="32">
        <v>17.975999999999999</v>
      </c>
      <c r="H105" s="32">
        <v>18.190000000000001</v>
      </c>
      <c r="I105" s="32">
        <v>816.21</v>
      </c>
      <c r="J105" s="32">
        <v>85.15</v>
      </c>
      <c r="K105" s="32" t="s">
        <v>91</v>
      </c>
      <c r="L105" s="67">
        <v>1.72821659940491E+19</v>
      </c>
    </row>
    <row r="106" spans="3:12">
      <c r="C106" s="31" t="b">
        <v>0</v>
      </c>
      <c r="D106" s="32">
        <v>14.9</v>
      </c>
      <c r="E106" s="32">
        <v>1.9370000000000001</v>
      </c>
      <c r="F106" s="32">
        <v>5.2149999999999999</v>
      </c>
      <c r="G106" s="32">
        <v>13.856999999999999</v>
      </c>
      <c r="H106" s="32">
        <v>13.41</v>
      </c>
      <c r="I106" s="32">
        <v>732.28</v>
      </c>
      <c r="J106" s="32">
        <v>114.82</v>
      </c>
      <c r="K106" s="32" t="s">
        <v>92</v>
      </c>
      <c r="L106" s="67">
        <v>9.7115306329567109E+18</v>
      </c>
    </row>
    <row r="107" spans="3:12">
      <c r="C107" s="31" t="b">
        <v>0</v>
      </c>
      <c r="D107" s="32">
        <v>14.7</v>
      </c>
      <c r="E107" s="32">
        <v>5.4390000000000001</v>
      </c>
      <c r="F107" s="32">
        <v>4.7039999999999997</v>
      </c>
      <c r="G107" s="32">
        <v>13.965</v>
      </c>
      <c r="H107" s="32">
        <v>14.553000000000001</v>
      </c>
      <c r="I107" s="32">
        <v>1029.8699999999999</v>
      </c>
      <c r="J107" s="32">
        <v>138.71</v>
      </c>
      <c r="K107" s="32" t="s">
        <v>93</v>
      </c>
      <c r="L107" s="67">
        <v>1.0392683400597899E+19</v>
      </c>
    </row>
    <row r="108" spans="3:12">
      <c r="C108" s="31" t="b">
        <v>0</v>
      </c>
      <c r="D108" s="32">
        <v>11.6</v>
      </c>
      <c r="E108" s="32">
        <v>4.0599999999999996</v>
      </c>
      <c r="F108" s="32">
        <v>3.48</v>
      </c>
      <c r="G108" s="32">
        <v>10.092000000000001</v>
      </c>
      <c r="H108" s="32">
        <v>9.6280000000000001</v>
      </c>
      <c r="I108" s="32">
        <v>746.54</v>
      </c>
      <c r="J108" s="32">
        <v>120.21</v>
      </c>
      <c r="K108" s="32" t="s">
        <v>94</v>
      </c>
      <c r="L108" s="67">
        <v>1.7260000570926201E+19</v>
      </c>
    </row>
    <row r="109" spans="3:12">
      <c r="C109" s="31" t="b">
        <v>0</v>
      </c>
      <c r="D109" s="32">
        <v>11.2</v>
      </c>
      <c r="E109" s="32">
        <v>1.79199999999999</v>
      </c>
      <c r="F109" s="32">
        <v>3.1360000000000001</v>
      </c>
      <c r="G109" s="32">
        <v>9.6319999999999997</v>
      </c>
      <c r="H109" s="32">
        <v>8.73599999999999</v>
      </c>
      <c r="I109" s="32">
        <v>1301.52</v>
      </c>
      <c r="J109" s="32">
        <v>159.85</v>
      </c>
      <c r="K109" s="32" t="s">
        <v>95</v>
      </c>
      <c r="L109" s="67">
        <v>1.1166171365250001E+19</v>
      </c>
    </row>
    <row r="110" spans="3:12">
      <c r="C110" s="31" t="b">
        <v>0</v>
      </c>
      <c r="D110" s="32">
        <v>18.399999999999999</v>
      </c>
      <c r="E110" s="32">
        <v>3.496</v>
      </c>
      <c r="F110" s="32">
        <v>4.968</v>
      </c>
      <c r="G110" s="32">
        <v>12.327999999999999</v>
      </c>
      <c r="H110" s="32">
        <v>18.032</v>
      </c>
      <c r="I110" s="32">
        <v>869.85</v>
      </c>
      <c r="J110" s="32">
        <v>120.75</v>
      </c>
      <c r="K110" s="32" t="s">
        <v>96</v>
      </c>
      <c r="L110" s="67">
        <v>7.6090829625067899E+18</v>
      </c>
    </row>
    <row r="111" spans="3:12">
      <c r="C111" s="31" t="b">
        <v>0</v>
      </c>
      <c r="D111" s="32">
        <v>12.3</v>
      </c>
      <c r="E111" s="32">
        <v>3.9359999999999999</v>
      </c>
      <c r="F111" s="32">
        <v>3.5670000000000002</v>
      </c>
      <c r="G111" s="32">
        <v>10.824</v>
      </c>
      <c r="H111" s="32">
        <v>9.84</v>
      </c>
      <c r="I111" s="32">
        <v>1234.31</v>
      </c>
      <c r="J111" s="32">
        <v>150.01</v>
      </c>
      <c r="K111" s="32" t="s">
        <v>97</v>
      </c>
      <c r="L111" s="67">
        <v>1.58254753809907E+19</v>
      </c>
    </row>
    <row r="112" spans="3:12">
      <c r="C112" s="31" t="b">
        <v>0</v>
      </c>
      <c r="D112" s="32">
        <v>16.8</v>
      </c>
      <c r="E112" s="32">
        <v>6.5519999999999996</v>
      </c>
      <c r="F112" s="32">
        <v>5.2080000000000002</v>
      </c>
      <c r="G112" s="32">
        <v>15.792</v>
      </c>
      <c r="H112" s="32">
        <v>13.608000000000001</v>
      </c>
      <c r="I112" s="32">
        <v>708.24</v>
      </c>
      <c r="J112" s="32">
        <v>127.82</v>
      </c>
      <c r="K112" s="32" t="s">
        <v>98</v>
      </c>
      <c r="L112" s="67">
        <v>1.5932460250781E+19</v>
      </c>
    </row>
    <row r="113" spans="3:12">
      <c r="C113" s="31" t="b">
        <v>0</v>
      </c>
      <c r="D113" s="32">
        <v>23.9</v>
      </c>
      <c r="E113" s="32">
        <v>5.4969999999999901</v>
      </c>
      <c r="F113" s="32">
        <v>10.038</v>
      </c>
      <c r="G113" s="32">
        <v>23.661000000000001</v>
      </c>
      <c r="H113" s="32">
        <v>20.553999999999998</v>
      </c>
      <c r="I113" s="32">
        <v>688.75</v>
      </c>
      <c r="J113" s="32">
        <v>109.72</v>
      </c>
      <c r="K113" s="32" t="s">
        <v>99</v>
      </c>
      <c r="L113" s="67">
        <v>1.54323644224158E+19</v>
      </c>
    </row>
    <row r="114" spans="3:12">
      <c r="C114" s="31" t="b">
        <v>0</v>
      </c>
      <c r="D114" s="32">
        <v>14.1</v>
      </c>
      <c r="E114" s="32">
        <v>3.948</v>
      </c>
      <c r="F114" s="32">
        <v>4.7939999999999996</v>
      </c>
      <c r="G114" s="32">
        <v>13.9589999999999</v>
      </c>
      <c r="H114" s="32">
        <v>11.561999999999999</v>
      </c>
      <c r="I114" s="32">
        <v>697.73</v>
      </c>
      <c r="J114" s="32">
        <v>133.52000000000001</v>
      </c>
      <c r="K114" s="32" t="s">
        <v>100</v>
      </c>
      <c r="L114" s="67">
        <v>1.61853856031237E+19</v>
      </c>
    </row>
    <row r="115" spans="3:12">
      <c r="C115" s="31" t="b">
        <v>0</v>
      </c>
      <c r="D115" s="32">
        <v>19.899999999999999</v>
      </c>
      <c r="E115" s="32">
        <v>6.3679999999999897</v>
      </c>
      <c r="F115" s="32">
        <v>5.7709999999999901</v>
      </c>
      <c r="G115" s="32">
        <v>18.308</v>
      </c>
      <c r="H115" s="32">
        <v>18.706</v>
      </c>
      <c r="I115" s="32">
        <v>881.51</v>
      </c>
      <c r="J115" s="32">
        <v>178.86</v>
      </c>
      <c r="K115" s="32" t="s">
        <v>101</v>
      </c>
      <c r="L115" s="67">
        <v>8.0435172388625797E+18</v>
      </c>
    </row>
    <row r="116" spans="3:12">
      <c r="C116" s="31" t="b">
        <v>0</v>
      </c>
      <c r="D116" s="32">
        <v>12.8</v>
      </c>
      <c r="E116" s="32">
        <v>4.2240000000000002</v>
      </c>
      <c r="F116" s="32">
        <v>3.3279999999999998</v>
      </c>
      <c r="G116" s="32">
        <v>8.5760000000000005</v>
      </c>
      <c r="H116" s="32">
        <v>11.52</v>
      </c>
      <c r="I116" s="32">
        <v>804.71</v>
      </c>
      <c r="J116" s="32">
        <v>104.61</v>
      </c>
      <c r="K116" s="32" t="s">
        <v>102</v>
      </c>
      <c r="L116" s="67">
        <v>6.5151966916560804E+18</v>
      </c>
    </row>
    <row r="117" spans="3:12">
      <c r="C117" s="31" t="b">
        <v>0</v>
      </c>
      <c r="D117" s="32">
        <v>18.2</v>
      </c>
      <c r="E117" s="32">
        <v>9.1</v>
      </c>
      <c r="F117" s="32">
        <v>5.6420000000000003</v>
      </c>
      <c r="G117" s="32">
        <v>17.471999999999898</v>
      </c>
      <c r="H117" s="32">
        <v>16.015999999999998</v>
      </c>
      <c r="I117" s="32">
        <v>905.99</v>
      </c>
      <c r="J117" s="32">
        <v>153.86000000000001</v>
      </c>
      <c r="K117" s="32" t="s">
        <v>103</v>
      </c>
      <c r="L117" s="67">
        <v>1.2200668873636E+19</v>
      </c>
    </row>
    <row r="118" spans="3:12">
      <c r="C118" s="31" t="b">
        <v>0</v>
      </c>
      <c r="D118" s="32">
        <v>11.1</v>
      </c>
      <c r="E118" s="32">
        <v>3.774</v>
      </c>
      <c r="F118" s="32">
        <v>4.218</v>
      </c>
      <c r="G118" s="32">
        <v>10.212</v>
      </c>
      <c r="H118" s="32">
        <v>8.7690000000000001</v>
      </c>
      <c r="I118" s="32">
        <v>1148.99</v>
      </c>
      <c r="J118" s="32">
        <v>148.58000000000001</v>
      </c>
      <c r="K118" s="32" t="s">
        <v>104</v>
      </c>
      <c r="L118" s="67">
        <v>1.2220578329105E+19</v>
      </c>
    </row>
    <row r="119" spans="3:12">
      <c r="C119" s="31" t="b">
        <v>0</v>
      </c>
      <c r="D119" s="32">
        <v>23.9</v>
      </c>
      <c r="E119" s="32">
        <v>9.0820000000000007</v>
      </c>
      <c r="F119" s="32">
        <v>9.7989999999999995</v>
      </c>
      <c r="G119" s="32">
        <v>22.943999999999999</v>
      </c>
      <c r="H119" s="32">
        <v>19.359000000000002</v>
      </c>
      <c r="I119" s="32">
        <v>858.97</v>
      </c>
      <c r="J119" s="32">
        <v>116.29</v>
      </c>
      <c r="K119" s="32" t="s">
        <v>105</v>
      </c>
      <c r="L119" s="67">
        <v>2.80587965081199E+18</v>
      </c>
    </row>
    <row r="120" spans="3:12">
      <c r="C120" s="31" t="b">
        <v>0</v>
      </c>
      <c r="D120" s="32">
        <v>19.399999999999999</v>
      </c>
      <c r="E120" s="32">
        <v>6.0139999999999896</v>
      </c>
      <c r="F120" s="32">
        <v>6.4019999999999904</v>
      </c>
      <c r="G120" s="32">
        <v>19.012</v>
      </c>
      <c r="H120" s="32">
        <v>16.683999999999902</v>
      </c>
      <c r="I120" s="32">
        <v>669.31</v>
      </c>
      <c r="J120" s="32">
        <v>96.87</v>
      </c>
      <c r="K120" s="32" t="s">
        <v>106</v>
      </c>
      <c r="L120" s="67">
        <v>3.54994650678771E+18</v>
      </c>
    </row>
    <row r="121" spans="3:12">
      <c r="C121" s="31" t="b">
        <v>0</v>
      </c>
      <c r="D121" s="32">
        <v>19.5</v>
      </c>
      <c r="E121" s="32">
        <v>4.0949999999999998</v>
      </c>
      <c r="F121" s="32">
        <v>5.6550000000000002</v>
      </c>
      <c r="G121" s="32">
        <v>15.99</v>
      </c>
      <c r="H121" s="32">
        <v>15.795</v>
      </c>
      <c r="I121" s="32">
        <v>767.91</v>
      </c>
      <c r="J121" s="32">
        <v>155.57</v>
      </c>
      <c r="K121" s="32" t="s">
        <v>107</v>
      </c>
      <c r="L121" s="67">
        <v>7.0267144542683802E+18</v>
      </c>
    </row>
    <row r="122" spans="3:12">
      <c r="C122" s="31" t="b">
        <v>0</v>
      </c>
      <c r="D122" s="32">
        <v>19.399999999999999</v>
      </c>
      <c r="E122" s="32">
        <v>7.76</v>
      </c>
      <c r="F122" s="32">
        <v>7.3719999999999901</v>
      </c>
      <c r="G122" s="32">
        <v>17.654</v>
      </c>
      <c r="H122" s="32">
        <v>16.878</v>
      </c>
      <c r="I122" s="32">
        <v>1004.75</v>
      </c>
      <c r="J122" s="32">
        <v>156.83000000000001</v>
      </c>
      <c r="K122" s="32" t="s">
        <v>108</v>
      </c>
      <c r="L122" s="67">
        <v>4.3545620424737101E+18</v>
      </c>
    </row>
    <row r="123" spans="3:12">
      <c r="C123" s="31" t="b">
        <v>0</v>
      </c>
      <c r="D123" s="32">
        <v>11.3</v>
      </c>
      <c r="E123" s="32">
        <v>4.859</v>
      </c>
      <c r="F123" s="32">
        <v>1.8080000000000001</v>
      </c>
      <c r="G123" s="32">
        <v>9.9440000000000008</v>
      </c>
      <c r="H123" s="32">
        <v>10.848000000000001</v>
      </c>
      <c r="I123" s="32">
        <v>809.38</v>
      </c>
      <c r="J123" s="32">
        <v>109.48</v>
      </c>
      <c r="K123" s="32" t="s">
        <v>109</v>
      </c>
      <c r="L123" s="67">
        <v>1.3726012184080501E+19</v>
      </c>
    </row>
    <row r="124" spans="3:12">
      <c r="C124" s="31" t="b">
        <v>0</v>
      </c>
      <c r="D124" s="32">
        <v>13.6</v>
      </c>
      <c r="E124" s="32">
        <v>4.08</v>
      </c>
      <c r="F124" s="32">
        <v>4.08</v>
      </c>
      <c r="G124" s="32">
        <v>13.055999999999999</v>
      </c>
      <c r="H124" s="32">
        <v>12.92</v>
      </c>
      <c r="I124" s="32">
        <v>716.2</v>
      </c>
      <c r="J124" s="32">
        <v>109.61</v>
      </c>
      <c r="K124" s="32" t="s">
        <v>110</v>
      </c>
      <c r="L124" s="67">
        <v>1.28799520220975E+19</v>
      </c>
    </row>
    <row r="125" spans="3:12">
      <c r="C125" s="31" t="b">
        <v>0</v>
      </c>
      <c r="D125" s="32">
        <v>12.7</v>
      </c>
      <c r="E125" s="32">
        <v>2.4129999999999998</v>
      </c>
      <c r="F125" s="32">
        <v>3.4289999999999998</v>
      </c>
      <c r="G125" s="32">
        <v>11.048999999999999</v>
      </c>
      <c r="H125" s="32">
        <v>11.175999999999901</v>
      </c>
      <c r="I125" s="32">
        <v>768.95</v>
      </c>
      <c r="J125" s="32">
        <v>153.72</v>
      </c>
      <c r="K125" s="32" t="s">
        <v>111</v>
      </c>
      <c r="L125" s="67">
        <v>7.4865262669974497E+18</v>
      </c>
    </row>
    <row r="126" spans="3:12">
      <c r="C126" s="31" t="b">
        <v>0</v>
      </c>
      <c r="D126" s="32">
        <v>10.6</v>
      </c>
      <c r="E126" s="32">
        <v>4.452</v>
      </c>
      <c r="F126" s="32">
        <v>3.4980000000000002</v>
      </c>
      <c r="G126" s="32">
        <v>8.6920000000000002</v>
      </c>
      <c r="H126" s="32">
        <v>9.1159999999999997</v>
      </c>
      <c r="I126" s="32">
        <v>890.03</v>
      </c>
      <c r="J126" s="32">
        <v>111.62</v>
      </c>
      <c r="K126" s="32" t="s">
        <v>112</v>
      </c>
      <c r="L126" s="67">
        <v>1.1481651693322E+19</v>
      </c>
    </row>
    <row r="127" spans="3:12">
      <c r="C127" s="31" t="b">
        <v>0</v>
      </c>
      <c r="D127" s="32">
        <v>23.8</v>
      </c>
      <c r="E127" s="32">
        <v>8.0920000000000005</v>
      </c>
      <c r="F127" s="32">
        <v>6.6639999999999997</v>
      </c>
      <c r="G127" s="32">
        <v>23.085999999999999</v>
      </c>
      <c r="H127" s="32">
        <v>20.706</v>
      </c>
      <c r="I127" s="32">
        <v>992.61</v>
      </c>
      <c r="J127" s="32">
        <v>152.56</v>
      </c>
      <c r="K127" s="32" t="s">
        <v>113</v>
      </c>
      <c r="L127" s="67">
        <v>8.6859950399287501E+18</v>
      </c>
    </row>
    <row r="128" spans="3:12">
      <c r="C128" s="31" t="b">
        <v>0</v>
      </c>
      <c r="D128" s="32">
        <v>13.8</v>
      </c>
      <c r="E128" s="32">
        <v>4.968</v>
      </c>
      <c r="F128" s="32">
        <v>4.5540000000000003</v>
      </c>
      <c r="G128" s="32">
        <v>5.3819999999999997</v>
      </c>
      <c r="H128" s="32">
        <v>11.592000000000001</v>
      </c>
      <c r="I128" s="32">
        <v>670.31</v>
      </c>
      <c r="J128" s="32">
        <v>106.62</v>
      </c>
      <c r="K128" s="32" t="s">
        <v>114</v>
      </c>
      <c r="L128" s="67">
        <v>4.8332696807016499E+18</v>
      </c>
    </row>
    <row r="129" spans="3:12">
      <c r="C129" s="31" t="b">
        <v>0</v>
      </c>
      <c r="D129" s="32">
        <v>17.399999999999999</v>
      </c>
      <c r="E129" s="32">
        <v>7.3079999999999998</v>
      </c>
      <c r="F129" s="32">
        <v>5.5679999999999996</v>
      </c>
      <c r="G129" s="32">
        <v>14.093999999999999</v>
      </c>
      <c r="H129" s="32">
        <v>15.659999999999901</v>
      </c>
      <c r="I129" s="32">
        <v>791.14</v>
      </c>
      <c r="J129" s="32">
        <v>122.04</v>
      </c>
      <c r="K129" s="32" t="s">
        <v>115</v>
      </c>
      <c r="L129" s="67">
        <v>2.0610729079285299E+18</v>
      </c>
    </row>
  </sheetData>
  <mergeCells count="1">
    <mergeCell ref="D15:E15"/>
  </mergeCells>
  <phoneticPr fontId="15" type="noConversion"/>
  <conditionalFormatting sqref="D22:F29 D35:F39 D45:F53">
    <cfRule type="cellIs" dxfId="31" priority="58" operator="equal">
      <formula>0</formula>
    </cfRule>
  </conditionalFormatting>
  <conditionalFormatting sqref="C79:C129">
    <cfRule type="cellIs" dxfId="30" priority="54" operator="equal">
      <formula>FALSE</formula>
    </cfRule>
    <cfRule type="cellIs" dxfId="29" priority="55" operator="notEqual">
      <formula>FALSE</formula>
    </cfRule>
  </conditionalFormatting>
  <conditionalFormatting sqref="D9:K9">
    <cfRule type="cellIs" dxfId="2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7" priority="29"/>
  </conditionalFormatting>
  <conditionalFormatting sqref="D7:K7">
    <cfRule type="cellIs" dxfId="26" priority="22" operator="notEqual">
      <formula>"Definition"</formula>
    </cfRule>
  </conditionalFormatting>
  <conditionalFormatting sqref="D15">
    <cfRule type="cellIs" dxfId="2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4" priority="52" operator="equal">
      <formula>FALSE</formula>
    </cfRule>
    <cfRule type="cellIs" dxfId="23" priority="53" operator="notEqual">
      <formula>FALSE</formula>
    </cfRule>
  </conditionalFormatting>
  <conditionalFormatting sqref="G22:K29 G35:K39 G45:K53">
    <cfRule type="cellIs" dxfId="12" priority="5" operator="equal">
      <formula>0</formula>
    </cfRule>
  </conditionalFormatting>
  <conditionalFormatting sqref="G23:K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K64">
    <cfRule type="cellIs" dxfId="11" priority="3" operator="equal">
      <formula>FALSE</formula>
    </cfRule>
    <cfRule type="cellIs" dxfId="10" priority="4" operator="notEqual">
      <formula>FALSE</formula>
    </cfRule>
  </conditionalFormatting>
  <conditionalFormatting sqref="L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7" priority="3" operator="equal">
      <formula>"Notes"</formula>
    </cfRule>
  </conditionalFormatting>
  <conditionalFormatting sqref="E6:E7">
    <cfRule type="cellIs" dxfId="16" priority="4" operator="equal">
      <formula>0</formula>
    </cfRule>
  </conditionalFormatting>
  <conditionalFormatting sqref="E2">
    <cfRule type="cellIs" dxfId="15" priority="1" operator="equal">
      <formula>"Notes"</formula>
    </cfRule>
    <cfRule type="cellIs" dxfId="14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2026-05-19T06:12:40Z</dcterms:modified>
</cp:coreProperties>
</file>