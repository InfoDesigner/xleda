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6590583A-B7ED-43DE-B2D0-D9C00A80DD1A}" xr6:coauthVersionLast="47" xr6:coauthVersionMax="47" xr10:uidLastSave="{00000000-0000-0000-0000-000000000000}"/>
  <bookViews>
    <workbookView xWindow="3000" yWindow="3000" windowWidth="17280" windowHeight="8880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Analysis'!$D$8:$H$8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Analysis'!$D$51:$H$51</definedName>
    <definedName name="FieldList2" localSheetId="3">#REF!</definedName>
    <definedName name="FieldList2" localSheetId="2">#REF!</definedName>
    <definedName name="FieldList2">'Field Analysis'!$D$52:$H$52</definedName>
    <definedName name="FieldList3" localSheetId="3">#REF!</definedName>
    <definedName name="FieldList3" localSheetId="2">#REF!</definedName>
    <definedName name="FieldList3">'Field Analysis'!$D$53:$H$53</definedName>
    <definedName name="FieldList4" localSheetId="3">#REF!</definedName>
    <definedName name="FieldList4" localSheetId="2">#REF!</definedName>
    <definedName name="FieldList4">'Field Analysis'!$D$54:$H$54</definedName>
    <definedName name="FieldList5" localSheetId="3">#REF!</definedName>
    <definedName name="FieldList5" localSheetId="2">#REF!</definedName>
    <definedName name="FieldList5">'Field Analysis'!$D$55:$H$55</definedName>
    <definedName name="FieldList6" localSheetId="3">#REF!</definedName>
    <definedName name="FieldList6" localSheetId="2">#REF!</definedName>
    <definedName name="FieldList6">'Field Analysis'!$D$56:$H$56</definedName>
    <definedName name="FieldList7">'Field Analysis'!$D$57:$H$57</definedName>
    <definedName name="FieldList8">'Field Analysis'!$D$58:$H$58</definedName>
    <definedName name="FieldRange" localSheetId="3">#REF!</definedName>
    <definedName name="FieldRange" localSheetId="2">#REF!</definedName>
    <definedName name="FieldRange">'Field Analysis'!$D$72:$H$72</definedName>
    <definedName name="FormatRange">'Field Analysis'!$E:$E</definedName>
    <definedName name="Headers">'Field Analysis'!$D$12:$H$12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Analysis'!$D$10:$H$10</definedName>
    <definedName name="Percentiles">'Field Analysis'!$D$39:$D$48</definedName>
    <definedName name="RecordHashes">'Field Analysis'!$I$73:$I$92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<sst xmlns="http://schemas.openxmlformats.org/spreadsheetml/2006/main" count="135" uniqueCount="59">
  <si>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</si>
  <si>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</si>
  <si>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</si>
  <si>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</si>
  <si>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</si>
  <si>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</si>
  <si>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</si>
  <si>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</si>
  <si>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</si>
  <si>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</si>
  <si>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</si>
  <si>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</si>
  <si>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</si>
  <si>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</si>
  <si>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</si>
  <si>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</si>
  <si>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</si>
  <si>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</si>
  <si>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</si>
  <si>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</si>
  <si>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</si>
  <si>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</si>
  <si>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</si>
  <si>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</si>
  <si>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</si>
  <si>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</si>
  <si>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</si>
  <si>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</si>
  <si>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</si>
  <si>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</si>
  <si>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</si>
  <si>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</si>
  <si>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</si>
  <si>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</si>
  <si>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</si>
  <si>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</si>
  <si>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</si>
  <si>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</si>
  <si>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</si>
  <si>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</si>
  <si>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</si>
  <si>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</si>
  <si>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</si>
  <si>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</si>
  <si>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</si>
  <si>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</si>
  <si>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anagrams</t>
  </si>
  <si>
    <t>rows = 20, columns = 5</t>
  </si>
  <si>
    <t>subidr</t>
  </si>
  <si>
    <t>attnr</t>
  </si>
  <si>
    <t>num1</t>
  </si>
  <si>
    <t>num2</t>
  </si>
  <si>
    <t>num3</t>
  </si>
  <si>
    <t>1,072 bytes</t>
  </si>
  <si>
    <t>int64</t>
  </si>
  <si>
    <t>str</t>
  </si>
  <si>
    <t>divided</t>
  </si>
  <si>
    <t>float64</t>
  </si>
  <si>
    <t>focused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</si>
</sst>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3D104C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20" fillId="2" borderId="0" xfId="1" applyNumberFormat="1" applyFont="1" applyBorder="1" applyAlignment="1">
      <alignment horizontal="center" vertical="center" wrapText="1"/>
    </xf>
    <xf numFmtId="0" fontId="23" fillId="2" borderId="0" xfId="1" applyFont="1" applyAlignment="1">
      <alignment horizontal="right" vertical="center" indent="1"/>
    </xf>
    <xf numFmtId="0" fontId="22" fillId="2" borderId="9" xfId="1" applyFont="1" applyBorder="1" applyAlignment="1">
      <alignment horizontal="left" vertical="center"/>
    </xf>
    <xf numFmtId="0" fontId="21" fillId="2" borderId="0" xfId="1" applyFont="1" applyAlignment="1">
      <alignment horizontal="left" vertical="center" indent="2"/>
    </xf>
    <xf numFmtId="0" fontId="23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23" fillId="2" borderId="12" xfId="1" applyFont="1" applyBorder="1" applyAlignment="1">
      <alignment horizontal="left" vertical="center" wrapText="1" indent="1"/>
    </xf>
    <xf numFmtId="0" fontId="23" fillId="2" borderId="0" xfId="1" applyFont="1" applyAlignment="1">
      <alignment horizontal="left" vertical="center" wrapText="1" indent="1"/>
    </xf>
    <xf numFmtId="0" fontId="23" fillId="2" borderId="0" xfId="1" applyFont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left" vertical="center" wrapText="1" indent="1"/>
    </xf>
    <xf numFmtId="0" fontId="10" fillId="9" borderId="8" xfId="1" applyFont="1" applyFill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center" vertical="center" wrapText="1"/>
    </xf>
    <xf numFmtId="9" fontId="10" fillId="9" borderId="4" xfId="1" applyNumberFormat="1" applyFont="1" applyFill="1" applyBorder="1" applyAlignment="1">
      <alignment horizontal="center" vertical="center" wrapText="1"/>
    </xf>
    <xf numFmtId="0" fontId="2" fillId="9" borderId="13" xfId="1" applyFill="1" applyBorder="1" applyAlignment="1"/>
    <xf numFmtId="0" fontId="3" fillId="9" borderId="5" xfId="1" applyFont="1" applyFill="1" applyBorder="1" applyAlignment="1">
      <alignment wrapText="1"/>
    </xf>
    <xf numFmtId="0" fontId="7" fillId="9" borderId="4" xfId="1" applyFont="1" applyFill="1" applyBorder="1" applyAlignment="1">
      <alignment horizontal="center" vertical="center" wrapText="1"/>
    </xf>
    <xf numFmtId="0" fontId="7" fillId="9" borderId="13" xfId="1" applyFont="1" applyFill="1" applyBorder="1" applyAlignment="1">
      <alignment horizontal="center" vertical="center" wrapText="1"/>
    </xf>
    <xf numFmtId="0" fontId="10" fillId="9" borderId="10" xfId="1" applyFont="1" applyFill="1" applyBorder="1" applyAlignment="1">
      <alignment horizontal="center" vertical="center"/>
    </xf>
    <xf numFmtId="0" fontId="3" fillId="9" borderId="2" xfId="1" applyFont="1" applyFill="1" applyBorder="1" applyAlignment="1">
      <alignment wrapText="1"/>
    </xf>
    <xf numFmtId="0" fontId="19" fillId="9" borderId="2" xfId="1" applyFont="1" applyFill="1" applyBorder="1" applyAlignment="1">
      <alignment vertical="center" wrapText="1"/>
    </xf>
    <xf numFmtId="0" fontId="2" fillId="9" borderId="4" xfId="1" applyFill="1" applyBorder="1"/>
    <xf numFmtId="0" fontId="3" fillId="9" borderId="4" xfId="1" applyFont="1" applyFill="1" applyBorder="1" applyAlignment="1">
      <alignment wrapTex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4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3D104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3"/>
      <tableStyleElement type="headerRow" dxfId="62"/>
      <tableStyleElement type="totalRow" dxfId="61"/>
      <tableStyleElement type="firstColumn" dxfId="60"/>
      <tableStyleElement type="lastColumn" dxfId="59"/>
      <tableStyleElement type="firstRowStripe" dxfId="58"/>
      <tableStyleElement type="secondRowStripe" dxfId="57"/>
      <tableStyleElement type="firstColumnStripe" dxfId="56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2F7A877-A356-1466-7128-45A73BF830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2603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34</xdr:row>
      <xdr:rowOff>95250</xdr:rowOff>
    </xdr:from>
    <xdr:to>
      <xdr:col>3</xdr:col>
      <xdr:colOff>1809750</xdr:colOff>
      <xdr:row>34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8F824D36-ACA3-9F32-A1F0-56C4372F7A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2603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8F4058A-3FDD-49DD-F664-6A2D297230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3103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C0AB79-E77F-E2A7-F976-7C1C58922A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3603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34</xdr:row>
      <xdr:rowOff>95250</xdr:rowOff>
    </xdr:from>
    <xdr:to>
      <xdr:col>5</xdr:col>
      <xdr:colOff>1809750</xdr:colOff>
      <xdr:row>34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54D9749-36A0-1E85-AABF-5EEB62F790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3603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24</xdr:row>
      <xdr:rowOff>95250</xdr:rowOff>
    </xdr:from>
    <xdr:to>
      <xdr:col>6</xdr:col>
      <xdr:colOff>1809750</xdr:colOff>
      <xdr:row>24</xdr:row>
      <xdr:rowOff>1809750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FE66CDF4-0176-9464-3618-D28EDA65C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24103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34</xdr:row>
      <xdr:rowOff>95250</xdr:rowOff>
    </xdr:from>
    <xdr:to>
      <xdr:col>6</xdr:col>
      <xdr:colOff>1809750</xdr:colOff>
      <xdr:row>34</xdr:row>
      <xdr:rowOff>1809750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69B5CAD4-2DC8-461E-D9A6-BC533EA9D4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24103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24</xdr:row>
      <xdr:rowOff>95250</xdr:rowOff>
    </xdr:from>
    <xdr:to>
      <xdr:col>7</xdr:col>
      <xdr:colOff>1809750</xdr:colOff>
      <xdr:row>24</xdr:row>
      <xdr:rowOff>1809750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6A7D2E75-BDBD-E3B5-6580-D083AA9016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14603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34</xdr:row>
      <xdr:rowOff>95250</xdr:rowOff>
    </xdr:from>
    <xdr:to>
      <xdr:col>7</xdr:col>
      <xdr:colOff>1809750</xdr:colOff>
      <xdr:row>34</xdr:row>
      <xdr:rowOff>1809750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A17B7307-6D48-4819-CBA5-C4A15BF4BF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146030" y="74180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3" headerRowBorderDxfId="54" headerRowCellStyle="Normal 2">
  <autoFilter ref="B10:AA15" xr:uid="{7EC467B7-DE9E-48DF-95B5-2995F1F6DE8F}"/>
  <tableColumns count="26">
    <tableColumn id="1" xr3:uid="{CDAE6949-9186-42E8-AEBE-1928381A0155}" name="Field" dataDxfId="52" dataCellStyle="Normal 2"/>
    <tableColumn id="2" xr3:uid="{24D139B7-BFC8-4DD9-8DE4-2245810E04F3}" name="Definition" dataDxfId="7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1"/>
    <tableColumn id="8" xr3:uid="{30CDB1E0-924C-48B4-82F4-9B3E3228BE95}" name="Distinct %" dataDxfId="50"/>
    <tableColumn id="12" xr3:uid="{03824906-BEA5-4B63-A981-21F959B6439E}" name="Missing %" dataDxfId="49" dataCellStyle="Percent 2"/>
    <tableColumn id="6" xr3:uid="{8DFFE5A0-8676-4576-AB4D-97E8B31EC097}" name="Memory Usage %" dataDxfId="48" dataCellStyle="Percent 2"/>
    <tableColumn id="5" xr3:uid="{DD50C3DA-F4A8-40F0-AFBD-DBF916650F7E}" name="Memory Usage" dataDxfId="47"/>
    <tableColumn id="7" xr3:uid="{A0CD56D0-07EF-46CA-BC46-D54CD5E746C7}" name="Distinct" dataDxfId="46"/>
    <tableColumn id="9" xr3:uid="{1C848176-6AC1-44A6-9B3B-F1C9E8BC32EA}" name="Count" dataDxfId="45"/>
    <tableColumn id="10" xr3:uid="{6C6E6A37-4969-459F-AC39-2193366810E2}" name="Count %" dataDxfId="44"/>
    <tableColumn id="11" xr3:uid="{CD47252D-0307-4513-AF7C-13CC4AA1FCD9}" name="Missing" dataDxfId="43"/>
    <tableColumn id="13" xr3:uid="{2B45F7F8-CE35-48A6-BB27-9684B5D7936D}" name="Mean" dataDxfId="42"/>
    <tableColumn id="14" xr3:uid="{293386E4-1FA6-4340-9DC6-54CC26209C0A}" name="Median" dataDxfId="41"/>
    <tableColumn id="15" xr3:uid="{29252F5E-4163-4D62-89FC-FF85F6C4755C}" name="Mode" dataDxfId="40"/>
    <tableColumn id="16" xr3:uid="{69FFA3C1-FD1E-4395-AF2E-177FDFCDE62A}" name="Standard Deviation" dataDxfId="39"/>
    <tableColumn id="17" xr3:uid="{2AAB37E9-8AE2-4771-B92B-C04BFABA0B4E}" name="Variance" dataDxfId="38"/>
    <tableColumn id="18" xr3:uid="{07151E41-6633-4A65-A7E1-091F027DEF95}" name="Min" dataDxfId="37"/>
    <tableColumn id="19" xr3:uid="{41A1FD5D-4E5C-45B3-A0C7-1820F89F417F}" name="5%" dataDxfId="36"/>
    <tableColumn id="20" xr3:uid="{50D70984-5A2E-4A19-9F2B-5DA0502339BC}" name="25%" dataDxfId="35"/>
    <tableColumn id="21" xr3:uid="{75FF5489-8FC0-4894-83BC-802076BF1066}" name="50%" dataDxfId="34"/>
    <tableColumn id="22" xr3:uid="{B7FA20A8-EE17-470E-93AD-54011230C113}" name="75%" dataDxfId="33"/>
    <tableColumn id="23" xr3:uid="{378BE758-7A3F-4C04-A75B-FE899B1B0BAD}" name="95%" dataDxfId="32"/>
    <tableColumn id="24" xr3:uid="{818594E7-DC84-4229-81F6-97C1E2E93633}" name="Max" dataDxfId="31"/>
    <tableColumn id="25" xr3:uid="{D8116583-A886-47C1-85E2-D28AD96194AD}" name="Range" dataDxfId="30"/>
    <tableColumn id="26" xr3:uid="{D061AC6A-EAB2-461F-8AB8-E743DC68E666}" name="IQR" dataDxfId="2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I92" totalsRowShown="0" dataDxfId="17">
  <autoFilter ref="C72:I92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subidr" dataDxfId="16"/>
    <tableColumn id="8" xr3:uid="{5CEA6B82-08F7-4BBF-BE74-DD211F1E2384}" name="attnr" dataDxfId="15" dataCellStyle="Normal 2"/>
    <tableColumn id="3" xr3:uid="{3D5D4AF9-94E3-433D-8A54-66388DE01DB7}" name="num1" dataDxfId="5"/>
    <tableColumn id="4" xr3:uid="{F97DA4EB-4857-4D41-AEF8-AB652D860548}" name="num2" dataDxfId="4"/>
    <tableColumn id="5" xr3:uid="{C419F1FA-8244-4E58-8929-525D61626F36}" name="num3" dataDxfId="3"/>
    <tableColumn id="6" xr3:uid="{4E3AE20B-64A5-44E0-AA60-5575E297E7EE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78" t="str">
        <f>Name</f>
        <v>anagrams</v>
      </c>
      <c r="C2" s="86" t="str">
        <f>Description</f>
        <v>Description</v>
      </c>
      <c r="D2" s="87"/>
      <c r="E2" s="87"/>
      <c r="F2" s="64"/>
    </row>
    <row r="3" spans="2:27" ht="10.050000000000001" customHeight="1" x14ac:dyDescent="0.3">
      <c r="C3" s="59"/>
    </row>
    <row r="4" spans="2:27" x14ac:dyDescent="0.3">
      <c r="B4" s="13" t="s">
        <v>26</v>
      </c>
      <c r="C4" s="62">
        <v>20</v>
      </c>
    </row>
    <row r="5" spans="2:27" x14ac:dyDescent="0.3">
      <c r="B5" s="13" t="s">
        <v>27</v>
      </c>
      <c r="C5" s="63">
        <v>5</v>
      </c>
    </row>
    <row r="6" spans="2:27" x14ac:dyDescent="0.3">
      <c r="B6" s="30" t="s">
        <v>4</v>
      </c>
      <c r="C6" s="63" t="s">
        <v>53</v>
      </c>
      <c r="F6" s="58"/>
    </row>
    <row r="7" spans="2:27" x14ac:dyDescent="0.3">
      <c r="B7" s="16" t="s">
        <v>7</v>
      </c>
      <c r="C7" s="57">
        <v>1</v>
      </c>
    </row>
    <row r="8" spans="2:27" x14ac:dyDescent="0.3">
      <c r="B8" s="30" t="s">
        <v>10</v>
      </c>
      <c r="C8" s="60">
        <v>0</v>
      </c>
      <c r="D8" s="56"/>
    </row>
    <row r="9" spans="2:27" ht="24" customHeight="1" x14ac:dyDescent="0.3">
      <c r="B9" s="47"/>
      <c r="C9" s="61"/>
      <c r="D9" s="56"/>
    </row>
    <row r="10" spans="2:27" ht="34.950000000000003" customHeight="1" x14ac:dyDescent="0.3">
      <c r="B10" s="89" t="s">
        <v>28</v>
      </c>
      <c r="C10" s="90" t="s">
        <v>29</v>
      </c>
      <c r="D10" s="90" t="s">
        <v>30</v>
      </c>
      <c r="E10" s="91" t="s">
        <v>3</v>
      </c>
      <c r="F10" s="91" t="s">
        <v>7</v>
      </c>
      <c r="G10" s="91" t="s">
        <v>10</v>
      </c>
      <c r="H10" s="91" t="s">
        <v>5</v>
      </c>
      <c r="I10" s="91" t="s">
        <v>4</v>
      </c>
      <c r="J10" s="91" t="s">
        <v>6</v>
      </c>
      <c r="K10" s="91" t="s">
        <v>8</v>
      </c>
      <c r="L10" s="91" t="s">
        <v>32</v>
      </c>
      <c r="M10" s="91" t="s">
        <v>9</v>
      </c>
      <c r="N10" s="91" t="s">
        <v>11</v>
      </c>
      <c r="O10" s="91" t="s">
        <v>12</v>
      </c>
      <c r="P10" s="91" t="s">
        <v>13</v>
      </c>
      <c r="Q10" s="91" t="s">
        <v>14</v>
      </c>
      <c r="R10" s="91" t="s">
        <v>15</v>
      </c>
      <c r="S10" s="91" t="s">
        <v>16</v>
      </c>
      <c r="T10" s="92" t="s">
        <v>33</v>
      </c>
      <c r="U10" s="92" t="s">
        <v>34</v>
      </c>
      <c r="V10" s="92" t="s">
        <v>35</v>
      </c>
      <c r="W10" s="92" t="s">
        <v>36</v>
      </c>
      <c r="X10" s="92" t="s">
        <v>37</v>
      </c>
      <c r="Y10" s="91" t="s">
        <v>17</v>
      </c>
      <c r="Z10" s="91" t="s">
        <v>18</v>
      </c>
      <c r="AA10" s="91" t="s">
        <v>19</v>
      </c>
    </row>
    <row r="11" spans="2:27" x14ac:dyDescent="0.3">
      <c r="B11" s="83" t="s">
        <v>48</v>
      </c>
      <c r="C11" s="65" t="str">
        <f>IF(INDEX(Definitions,1,MATCH(tbl_Overview[[#This Row],[Field]],Headers,0))="Definition","",INDEX(Definitions,1,MATCH(tbl_Overview[[#This Row],[Field]],Headers,0)))</f>
        <v/>
      </c>
      <c r="D11" s="65" t="str">
        <f>IF(INDEX(Notes,1,MATCH(tbl_Overview[[#This Row],[Field]],Headers,0))="Notes","",INDEX(Notes,1,MATCH(tbl_Overview[[#This Row],[Field]],Headers,0)))</f>
        <v/>
      </c>
      <c r="E11" s="67" t="s">
        <v>54</v>
      </c>
      <c r="F11" s="68">
        <v>1</v>
      </c>
      <c r="G11" s="69">
        <v>0</v>
      </c>
      <c r="H11" s="68">
        <v>0.14505893019038901</v>
      </c>
      <c r="I11" s="70">
        <v>160</v>
      </c>
      <c r="J11" s="70">
        <v>20</v>
      </c>
      <c r="K11" s="70">
        <v>20</v>
      </c>
      <c r="L11" s="71">
        <v>1</v>
      </c>
      <c r="M11" s="70">
        <v>0</v>
      </c>
      <c r="N11" s="72">
        <v>10.5</v>
      </c>
      <c r="O11" s="72">
        <v>10.5</v>
      </c>
      <c r="P11" s="72">
        <v>1</v>
      </c>
      <c r="Q11" s="72">
        <v>5.9160797830996099</v>
      </c>
      <c r="R11" s="72">
        <v>35</v>
      </c>
      <c r="S11" s="72">
        <v>1</v>
      </c>
      <c r="T11" s="72">
        <v>1.95</v>
      </c>
      <c r="U11" s="72">
        <v>5.75</v>
      </c>
      <c r="V11" s="72">
        <v>10.5</v>
      </c>
      <c r="W11" s="72">
        <v>15.25</v>
      </c>
      <c r="X11" s="72">
        <v>19.05</v>
      </c>
      <c r="Y11" s="72">
        <v>20</v>
      </c>
      <c r="Z11" s="72">
        <v>19</v>
      </c>
      <c r="AA11" s="72">
        <v>9.5</v>
      </c>
    </row>
    <row r="12" spans="2:27" x14ac:dyDescent="0.3">
      <c r="B12" s="84" t="s">
        <v>49</v>
      </c>
      <c r="C12" s="66" t="str">
        <f>IF(INDEX(Definitions,1,MATCH(tbl_Overview[[#This Row],[Field]],Headers,0))="Definition","",INDEX(Definitions,1,MATCH(tbl_Overview[[#This Row],[Field]],Headers,0)))</f>
        <v/>
      </c>
      <c r="D12" s="66" t="str">
        <f>IF(INDEX(Notes,1,MATCH(tbl_Overview[[#This Row],[Field]],Headers,0))="Notes","",INDEX(Notes,1,MATCH(tbl_Overview[[#This Row],[Field]],Headers,0)))</f>
        <v/>
      </c>
      <c r="E12" s="67" t="s">
        <v>55</v>
      </c>
      <c r="F12" s="71">
        <v>0.1</v>
      </c>
      <c r="G12" s="73">
        <v>0</v>
      </c>
      <c r="H12" s="74">
        <v>0.27470534904805</v>
      </c>
      <c r="I12" s="70">
        <v>303</v>
      </c>
      <c r="J12" s="70">
        <v>2</v>
      </c>
      <c r="K12" s="70">
        <v>20</v>
      </c>
      <c r="L12" s="71">
        <v>1</v>
      </c>
      <c r="M12" s="70">
        <v>0</v>
      </c>
      <c r="N12" s="72"/>
      <c r="O12" s="72"/>
      <c r="P12" s="72" t="s">
        <v>56</v>
      </c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</row>
    <row r="13" spans="2:27" x14ac:dyDescent="0.3">
      <c r="B13" s="84" t="s">
        <v>50</v>
      </c>
      <c r="C13" s="102" t="str">
        <f>IF(INDEX(Definitions,1,MATCH(tbl_Overview[[#This Row],[Field]],Headers,0))="Definition","",INDEX(Definitions,1,MATCH(tbl_Overview[[#This Row],[Field]],Headers,0)))</f>
        <v/>
      </c>
      <c r="D13" s="103" t="str">
        <f>IF(INDEX(Notes,1,MATCH(tbl_Overview[[#This Row],[Field]],Headers,0))="Notes","",INDEX(Notes,1,MATCH(tbl_Overview[[#This Row],[Field]],Headers,0)))</f>
        <v/>
      </c>
      <c r="E13" s="67" t="s">
        <v>54</v>
      </c>
      <c r="F13" s="71">
        <v>0.35</v>
      </c>
      <c r="G13" s="73">
        <v>0</v>
      </c>
      <c r="H13" s="74">
        <v>0.14505893019038901</v>
      </c>
      <c r="I13" s="70">
        <v>160</v>
      </c>
      <c r="J13" s="70">
        <v>7</v>
      </c>
      <c r="K13" s="70">
        <v>20</v>
      </c>
      <c r="L13" s="71">
        <v>1</v>
      </c>
      <c r="M13" s="70">
        <v>0</v>
      </c>
      <c r="N13" s="72">
        <v>5.35</v>
      </c>
      <c r="O13" s="72">
        <v>5.5</v>
      </c>
      <c r="P13" s="72">
        <v>5</v>
      </c>
      <c r="Q13" s="72">
        <v>1.84319516629483</v>
      </c>
      <c r="R13" s="72">
        <v>3.3973684210526298</v>
      </c>
      <c r="S13" s="72">
        <v>2</v>
      </c>
      <c r="T13" s="72">
        <v>2</v>
      </c>
      <c r="U13" s="72">
        <v>4.75</v>
      </c>
      <c r="V13" s="72">
        <v>5.5</v>
      </c>
      <c r="W13" s="72">
        <v>6.25</v>
      </c>
      <c r="X13" s="72">
        <v>8</v>
      </c>
      <c r="Y13" s="72">
        <v>8</v>
      </c>
      <c r="Z13" s="72">
        <v>6</v>
      </c>
      <c r="AA13" s="72">
        <v>1.5</v>
      </c>
    </row>
    <row r="14" spans="2:27" x14ac:dyDescent="0.3">
      <c r="B14" s="84" t="s">
        <v>51</v>
      </c>
      <c r="C14" s="102" t="str">
        <f>IF(INDEX(Definitions,1,MATCH(tbl_Overview[[#This Row],[Field]],Headers,0))="Definition","",INDEX(Definitions,1,MATCH(tbl_Overview[[#This Row],[Field]],Headers,0)))</f>
        <v/>
      </c>
      <c r="D14" s="103" t="str">
        <f>IF(INDEX(Notes,1,MATCH(tbl_Overview[[#This Row],[Field]],Headers,0))="Notes","",INDEX(Notes,1,MATCH(tbl_Overview[[#This Row],[Field]],Headers,0)))</f>
        <v/>
      </c>
      <c r="E14" s="67" t="s">
        <v>57</v>
      </c>
      <c r="F14" s="71">
        <v>0.4</v>
      </c>
      <c r="G14" s="73">
        <v>0</v>
      </c>
      <c r="H14" s="74">
        <v>0.14505893019038901</v>
      </c>
      <c r="I14" s="70">
        <v>160</v>
      </c>
      <c r="J14" s="70">
        <v>8</v>
      </c>
      <c r="K14" s="70">
        <v>20</v>
      </c>
      <c r="L14" s="71">
        <v>1</v>
      </c>
      <c r="M14" s="70">
        <v>0</v>
      </c>
      <c r="N14" s="72">
        <v>5.9749999999999996</v>
      </c>
      <c r="O14" s="72">
        <v>5.5</v>
      </c>
      <c r="P14" s="72">
        <v>5</v>
      </c>
      <c r="Q14" s="72">
        <v>1.6739097001363299</v>
      </c>
      <c r="R14" s="72">
        <v>2.8019736842105201</v>
      </c>
      <c r="S14" s="72">
        <v>3</v>
      </c>
      <c r="T14" s="72">
        <v>3.95</v>
      </c>
      <c r="U14" s="72">
        <v>5</v>
      </c>
      <c r="V14" s="72">
        <v>5.5</v>
      </c>
      <c r="W14" s="72">
        <v>7.25</v>
      </c>
      <c r="X14" s="72">
        <v>8.0500000000000007</v>
      </c>
      <c r="Y14" s="72">
        <v>9</v>
      </c>
      <c r="Z14" s="72">
        <v>6</v>
      </c>
      <c r="AA14" s="72">
        <v>2.25</v>
      </c>
    </row>
    <row r="15" spans="2:27" x14ac:dyDescent="0.3">
      <c r="B15" s="104" t="s">
        <v>52</v>
      </c>
      <c r="C15" s="105" t="str">
        <f>IF(INDEX(Definitions,1,MATCH(tbl_Overview[[#This Row],[Field]],Headers,0))="Definition","",INDEX(Definitions,1,MATCH(tbl_Overview[[#This Row],[Field]],Headers,0)))</f>
        <v/>
      </c>
      <c r="D15" s="106" t="str">
        <f>IF(INDEX(Notes,1,MATCH(tbl_Overview[[#This Row],[Field]],Headers,0))="Notes","",INDEX(Notes,1,MATCH(tbl_Overview[[#This Row],[Field]],Headers,0)))</f>
        <v/>
      </c>
      <c r="E15" s="107" t="s">
        <v>54</v>
      </c>
      <c r="F15" s="108">
        <v>0.25</v>
      </c>
      <c r="G15" s="109">
        <v>0</v>
      </c>
      <c r="H15" s="110">
        <v>0.14505893019038901</v>
      </c>
      <c r="I15" s="111">
        <v>160</v>
      </c>
      <c r="J15" s="111">
        <v>5</v>
      </c>
      <c r="K15" s="111">
        <v>20</v>
      </c>
      <c r="L15" s="108">
        <v>1</v>
      </c>
      <c r="M15" s="111">
        <v>0</v>
      </c>
      <c r="N15" s="112">
        <v>6.55</v>
      </c>
      <c r="O15" s="112">
        <v>6</v>
      </c>
      <c r="P15" s="112">
        <v>6</v>
      </c>
      <c r="Q15" s="112">
        <v>1.0990426455975599</v>
      </c>
      <c r="R15" s="112">
        <v>1.2078947368421</v>
      </c>
      <c r="S15" s="112">
        <v>5</v>
      </c>
      <c r="T15" s="112">
        <v>5</v>
      </c>
      <c r="U15" s="112">
        <v>6</v>
      </c>
      <c r="V15" s="112">
        <v>6</v>
      </c>
      <c r="W15" s="112">
        <v>7</v>
      </c>
      <c r="X15" s="112">
        <v>8.0500000000000007</v>
      </c>
      <c r="Y15" s="112">
        <v>9</v>
      </c>
      <c r="Z15" s="112">
        <v>4</v>
      </c>
      <c r="AA15" s="112">
        <v>1</v>
      </c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55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I92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29.6640625" style="8" bestFit="1" customWidth="1"/>
    <col min="4" max="8" width="27.77734375" style="1" customWidth="1"/>
    <col min="9" max="9" width="15.88671875" bestFit="1" customWidth="1"/>
  </cols>
  <sheetData>
    <row r="1" spans="1:9" ht="31.8" hidden="1" customHeight="1" x14ac:dyDescent="0.3">
      <c r="A1" s="51"/>
      <c r="B1" s="52"/>
      <c r="C1" s="53" t="s">
        <v>39</v>
      </c>
      <c r="D1" s="51"/>
      <c r="E1" s="51"/>
      <c r="F1" s="51"/>
      <c r="G1" s="51"/>
      <c r="H1" s="51"/>
    </row>
    <row r="2" spans="1:9" ht="10.050000000000001" customHeight="1" x14ac:dyDescent="0.3">
      <c r="A2"/>
      <c r="B2"/>
      <c r="C2"/>
      <c r="D2"/>
      <c r="E2"/>
      <c r="F2"/>
      <c r="G2"/>
      <c r="H2"/>
    </row>
    <row r="3" spans="1:9" ht="49.2" customHeight="1" x14ac:dyDescent="0.3">
      <c r="B3" s="3" t="s">
        <v>0</v>
      </c>
      <c r="C3" s="78" t="s">
        <v>46</v>
      </c>
      <c r="D3" s="88" t="s">
        <v>25</v>
      </c>
      <c r="E3" s="88"/>
      <c r="F3"/>
      <c r="G3"/>
      <c r="H3"/>
    </row>
    <row r="4" spans="1:9" ht="10.050000000000001" customHeight="1" x14ac:dyDescent="0.3">
      <c r="C4" s="79" t="s">
        <v>47</v>
      </c>
      <c r="D4" s="88"/>
      <c r="E4" s="88"/>
      <c r="F4"/>
      <c r="G4"/>
      <c r="H4"/>
    </row>
    <row r="5" spans="1:9" ht="10.050000000000001" customHeight="1" x14ac:dyDescent="0.3">
      <c r="C5" s="79"/>
      <c r="D5" s="88"/>
      <c r="E5" s="88"/>
      <c r="F5"/>
      <c r="G5"/>
      <c r="H5"/>
    </row>
    <row r="6" spans="1:9" ht="19.95" customHeight="1" x14ac:dyDescent="0.3">
      <c r="B6" s="9" t="s">
        <v>0</v>
      </c>
      <c r="C6" s="79"/>
    </row>
    <row r="7" spans="1:9" ht="10.050000000000001" customHeight="1" x14ac:dyDescent="0.3">
      <c r="B7" s="40"/>
      <c r="C7" s="79"/>
    </row>
    <row r="8" spans="1:9" ht="37.799999999999997" hidden="1" customHeight="1" outlineLevel="1" x14ac:dyDescent="0.3">
      <c r="B8" s="40"/>
      <c r="C8" s="77" t="s">
        <v>38</v>
      </c>
      <c r="D8" s="80" t="s">
        <v>29</v>
      </c>
      <c r="E8" s="80" t="s">
        <v>29</v>
      </c>
      <c r="F8" s="80" t="s">
        <v>29</v>
      </c>
      <c r="G8" s="80" t="s">
        <v>29</v>
      </c>
      <c r="H8" s="80" t="s">
        <v>29</v>
      </c>
    </row>
    <row r="9" spans="1:9" ht="10.050000000000001" hidden="1" customHeight="1" outlineLevel="1" x14ac:dyDescent="0.3">
      <c r="A9"/>
      <c r="B9" s="75"/>
      <c r="C9"/>
      <c r="D9"/>
      <c r="E9"/>
      <c r="F9"/>
      <c r="G9"/>
      <c r="H9"/>
    </row>
    <row r="10" spans="1:9" ht="37.799999999999997" hidden="1" customHeight="1" outlineLevel="1" x14ac:dyDescent="0.3">
      <c r="B10" s="3"/>
      <c r="C10" s="77" t="s">
        <v>1</v>
      </c>
      <c r="D10" s="80" t="s">
        <v>1</v>
      </c>
      <c r="E10" s="80" t="s">
        <v>1</v>
      </c>
      <c r="F10" s="80" t="s">
        <v>1</v>
      </c>
      <c r="G10" s="80" t="s">
        <v>1</v>
      </c>
      <c r="H10" s="80" t="s">
        <v>1</v>
      </c>
    </row>
    <row r="11" spans="1:9" ht="10.050000000000001" hidden="1" customHeight="1" outlineLevel="1" x14ac:dyDescent="0.3">
      <c r="C11" s="4"/>
      <c r="D11" s="76"/>
      <c r="E11" s="76"/>
      <c r="F11" s="76"/>
      <c r="G11" s="76"/>
      <c r="H11" s="76"/>
    </row>
    <row r="12" spans="1:9" s="85" customFormat="1" ht="34.950000000000003" customHeight="1" collapsed="1" x14ac:dyDescent="0.3">
      <c r="A12" s="7"/>
      <c r="B12" s="93"/>
      <c r="C12" s="94" t="s">
        <v>2</v>
      </c>
      <c r="D12" s="95" t="s">
        <v>48</v>
      </c>
      <c r="E12" s="96" t="s">
        <v>49</v>
      </c>
      <c r="F12" s="96" t="s">
        <v>50</v>
      </c>
      <c r="G12" s="96" t="s">
        <v>51</v>
      </c>
      <c r="H12" s="96" t="s">
        <v>52</v>
      </c>
      <c r="I12" s="85" t="s">
        <v>20</v>
      </c>
    </row>
    <row r="13" spans="1:9" ht="10.050000000000001" customHeight="1" outlineLevel="1" x14ac:dyDescent="0.3">
      <c r="A13"/>
      <c r="B13"/>
      <c r="C13"/>
      <c r="D13"/>
      <c r="E13"/>
      <c r="F13"/>
      <c r="G13"/>
      <c r="H13"/>
    </row>
    <row r="14" spans="1:9" ht="19.95" customHeight="1" outlineLevel="1" x14ac:dyDescent="0.35">
      <c r="B14" s="9" t="s">
        <v>0</v>
      </c>
      <c r="C14" s="10"/>
      <c r="D14" s="45"/>
      <c r="E14" s="8"/>
      <c r="F14" s="8"/>
      <c r="G14" s="8"/>
      <c r="H14" s="8"/>
    </row>
    <row r="15" spans="1:9" ht="10.050000000000001" customHeight="1" outlineLevel="1" x14ac:dyDescent="0.3">
      <c r="B15" s="11"/>
      <c r="C15" s="46"/>
      <c r="D15" s="46"/>
      <c r="E15" s="46"/>
      <c r="F15" s="46"/>
      <c r="G15" s="46"/>
      <c r="H15" s="46"/>
    </row>
    <row r="16" spans="1:9" ht="14.4" hidden="1" customHeight="1" outlineLevel="2" x14ac:dyDescent="0.3">
      <c r="A16" s="47"/>
      <c r="B16" s="48"/>
      <c r="C16" s="13" t="s">
        <v>3</v>
      </c>
      <c r="D16" s="14" t="s">
        <v>54</v>
      </c>
      <c r="E16" s="14" t="s">
        <v>55</v>
      </c>
      <c r="F16" s="14" t="s">
        <v>54</v>
      </c>
      <c r="G16" s="14" t="s">
        <v>57</v>
      </c>
      <c r="H16" s="14" t="s">
        <v>54</v>
      </c>
    </row>
    <row r="17" spans="1:8" ht="14.4" hidden="1" customHeight="1" outlineLevel="2" x14ac:dyDescent="0.3">
      <c r="A17" s="47"/>
      <c r="B17" s="49"/>
      <c r="C17" s="16" t="s">
        <v>7</v>
      </c>
      <c r="D17" s="50">
        <v>1</v>
      </c>
      <c r="E17" s="50">
        <v>0.1</v>
      </c>
      <c r="F17" s="50">
        <v>0.35</v>
      </c>
      <c r="G17" s="50">
        <v>0.4</v>
      </c>
      <c r="H17" s="50">
        <v>0.25</v>
      </c>
    </row>
    <row r="18" spans="1:8" ht="14.4" hidden="1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  <c r="F18" s="50">
        <v>0</v>
      </c>
      <c r="G18" s="50">
        <v>0</v>
      </c>
      <c r="H18" s="50">
        <v>0</v>
      </c>
    </row>
    <row r="19" spans="1:8" ht="14.4" hidden="1" customHeight="1" outlineLevel="2" x14ac:dyDescent="0.3">
      <c r="B19" s="15"/>
      <c r="C19" s="30" t="s">
        <v>5</v>
      </c>
      <c r="D19" s="50">
        <v>0.14505893019038901</v>
      </c>
      <c r="E19" s="50">
        <v>0.27470534904805</v>
      </c>
      <c r="F19" s="50">
        <v>0.14505893019038901</v>
      </c>
      <c r="G19" s="50">
        <v>0.14505893019038901</v>
      </c>
      <c r="H19" s="50">
        <v>0.14505893019038901</v>
      </c>
    </row>
    <row r="20" spans="1:8" ht="14.4" hidden="1" customHeight="1" outlineLevel="2" x14ac:dyDescent="0.3">
      <c r="B20" s="15"/>
      <c r="C20" s="16" t="s">
        <v>4</v>
      </c>
      <c r="D20" s="14">
        <v>160</v>
      </c>
      <c r="E20" s="14">
        <v>303</v>
      </c>
      <c r="F20" s="14">
        <v>160</v>
      </c>
      <c r="G20" s="14">
        <v>160</v>
      </c>
      <c r="H20" s="14">
        <v>160</v>
      </c>
    </row>
    <row r="21" spans="1:8" ht="14.4" hidden="1" customHeight="1" outlineLevel="2" x14ac:dyDescent="0.3">
      <c r="B21" s="15"/>
      <c r="C21" s="16" t="s">
        <v>6</v>
      </c>
      <c r="D21" s="14">
        <v>20</v>
      </c>
      <c r="E21" s="14">
        <v>2</v>
      </c>
      <c r="F21" s="14">
        <v>7</v>
      </c>
      <c r="G21" s="14">
        <v>8</v>
      </c>
      <c r="H21" s="14">
        <v>5</v>
      </c>
    </row>
    <row r="22" spans="1:8" ht="14.4" hidden="1" customHeight="1" outlineLevel="2" x14ac:dyDescent="0.3">
      <c r="B22" s="15"/>
      <c r="C22" s="16" t="s">
        <v>8</v>
      </c>
      <c r="D22" s="14">
        <v>20</v>
      </c>
      <c r="E22" s="14">
        <v>20</v>
      </c>
      <c r="F22" s="14">
        <v>20</v>
      </c>
      <c r="G22" s="14">
        <v>20</v>
      </c>
      <c r="H22" s="14">
        <v>20</v>
      </c>
    </row>
    <row r="23" spans="1:8" ht="14.4" hidden="1" customHeight="1" outlineLevel="2" x14ac:dyDescent="0.3">
      <c r="B23" s="15"/>
      <c r="C23" s="30" t="s">
        <v>9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</row>
    <row r="24" spans="1:8" ht="10.050000000000001" hidden="1" customHeight="1" outlineLevel="2" x14ac:dyDescent="0.3">
      <c r="B24" s="11"/>
      <c r="D24" s="8"/>
      <c r="E24" s="8"/>
      <c r="F24" s="8"/>
      <c r="G24" s="8"/>
      <c r="H24" s="8"/>
    </row>
    <row r="25" spans="1:8" ht="150" hidden="1" customHeight="1" outlineLevel="2" x14ac:dyDescent="0.3">
      <c r="B25" s="20"/>
      <c r="C25" s="21"/>
      <c r="D25" s="22"/>
      <c r="E25" s="22"/>
      <c r="F25" s="22"/>
      <c r="G25" s="22"/>
      <c r="H25" s="22"/>
    </row>
    <row r="26" spans="1:8" ht="10.050000000000001" hidden="1" customHeight="1" outlineLevel="2" x14ac:dyDescent="0.3">
      <c r="B26" s="23"/>
      <c r="D26" s="8"/>
      <c r="E26" s="8"/>
      <c r="F26" s="8"/>
      <c r="G26" s="8"/>
      <c r="H26" s="8"/>
    </row>
    <row r="27" spans="1:8" ht="19.95" customHeight="1" outlineLevel="1" collapsed="1" x14ac:dyDescent="0.3">
      <c r="B27" s="9" t="s">
        <v>0</v>
      </c>
      <c r="C27" s="10"/>
      <c r="D27" s="8"/>
      <c r="E27" s="8"/>
      <c r="F27" s="8"/>
      <c r="G27" s="8"/>
      <c r="H27" s="8"/>
    </row>
    <row r="28" spans="1:8" ht="10.050000000000001" customHeight="1" outlineLevel="1" x14ac:dyDescent="0.3">
      <c r="A28" s="24"/>
      <c r="B28" s="25"/>
      <c r="C28" s="26"/>
      <c r="D28" s="8"/>
      <c r="E28" s="8"/>
      <c r="F28" s="8"/>
      <c r="G28" s="8"/>
      <c r="H28" s="8"/>
    </row>
    <row r="29" spans="1:8" ht="14.4" hidden="1" customHeight="1" outlineLevel="2" x14ac:dyDescent="0.35">
      <c r="B29" s="12"/>
      <c r="C29" s="13" t="s">
        <v>11</v>
      </c>
      <c r="D29" s="27">
        <v>10.5</v>
      </c>
      <c r="E29" s="27"/>
      <c r="F29" s="27">
        <v>5.35</v>
      </c>
      <c r="G29" s="27">
        <v>5.9749999999999996</v>
      </c>
      <c r="H29" s="27">
        <v>6.55</v>
      </c>
    </row>
    <row r="30" spans="1:8" ht="14.4" hidden="1" customHeight="1" outlineLevel="2" x14ac:dyDescent="0.3">
      <c r="B30" s="15"/>
      <c r="C30" s="17" t="s">
        <v>12</v>
      </c>
      <c r="D30" s="28">
        <v>10.5</v>
      </c>
      <c r="E30" s="28"/>
      <c r="F30" s="28">
        <v>5.5</v>
      </c>
      <c r="G30" s="28">
        <v>5.5</v>
      </c>
      <c r="H30" s="28">
        <v>6</v>
      </c>
    </row>
    <row r="31" spans="1:8" ht="14.4" hidden="1" customHeight="1" outlineLevel="2" x14ac:dyDescent="0.3">
      <c r="B31" s="15"/>
      <c r="C31" s="16" t="s">
        <v>13</v>
      </c>
      <c r="D31" s="18">
        <v>1</v>
      </c>
      <c r="E31" s="18" t="s">
        <v>56</v>
      </c>
      <c r="F31" s="18">
        <v>5</v>
      </c>
      <c r="G31" s="18">
        <v>5</v>
      </c>
      <c r="H31" s="18">
        <v>6</v>
      </c>
    </row>
    <row r="32" spans="1:8" ht="14.4" hidden="1" customHeight="1" outlineLevel="2" x14ac:dyDescent="0.3">
      <c r="B32" s="15"/>
      <c r="C32" s="17" t="s">
        <v>14</v>
      </c>
      <c r="D32" s="29">
        <v>5.9160797830996099</v>
      </c>
      <c r="E32" s="29"/>
      <c r="F32" s="29">
        <v>1.84319516629483</v>
      </c>
      <c r="G32" s="29">
        <v>1.6739097001363299</v>
      </c>
      <c r="H32" s="29">
        <v>1.0990426455975599</v>
      </c>
    </row>
    <row r="33" spans="1:8" ht="14.4" hidden="1" customHeight="1" outlineLevel="2" x14ac:dyDescent="0.3">
      <c r="B33" s="15"/>
      <c r="C33" s="30" t="s">
        <v>15</v>
      </c>
      <c r="D33" s="27">
        <v>35</v>
      </c>
      <c r="E33" s="27"/>
      <c r="F33" s="27">
        <v>3.3973684210526298</v>
      </c>
      <c r="G33" s="27">
        <v>2.8019736842105201</v>
      </c>
      <c r="H33" s="27">
        <v>1.2078947368421</v>
      </c>
    </row>
    <row r="34" spans="1:8" ht="10.050000000000001" hidden="1" customHeight="1" outlineLevel="2" x14ac:dyDescent="0.3">
      <c r="B34" s="11"/>
      <c r="D34" s="8"/>
      <c r="E34" s="8"/>
      <c r="F34" s="8"/>
      <c r="G34" s="8"/>
      <c r="H34" s="8"/>
    </row>
    <row r="35" spans="1:8" ht="150" hidden="1" customHeight="1" outlineLevel="2" x14ac:dyDescent="0.3">
      <c r="A35" s="24"/>
      <c r="B35" s="20"/>
      <c r="C35" s="21"/>
      <c r="D35" s="22"/>
      <c r="E35" s="22"/>
      <c r="F35" s="22"/>
      <c r="G35" s="22"/>
      <c r="H35" s="22"/>
    </row>
    <row r="36" spans="1:8" ht="10.050000000000001" hidden="1" customHeight="1" outlineLevel="2" x14ac:dyDescent="0.3">
      <c r="A36" s="24"/>
      <c r="B36" s="20"/>
      <c r="C36" s="31"/>
      <c r="D36" s="8"/>
      <c r="E36" s="8"/>
      <c r="F36" s="8"/>
      <c r="G36" s="8"/>
      <c r="H36" s="8"/>
    </row>
    <row r="37" spans="1:8" ht="19.95" customHeight="1" outlineLevel="1" collapsed="1" x14ac:dyDescent="0.3">
      <c r="B37" s="9" t="s">
        <v>0</v>
      </c>
      <c r="C37" s="10"/>
      <c r="D37" s="8"/>
      <c r="E37" s="8"/>
      <c r="F37" s="8"/>
      <c r="G37" s="8"/>
      <c r="H37" s="8"/>
    </row>
    <row r="38" spans="1:8" ht="10.050000000000001" customHeight="1" outlineLevel="1" x14ac:dyDescent="0.3">
      <c r="A38" s="24"/>
      <c r="B38" s="25"/>
      <c r="C38" s="26"/>
      <c r="D38" s="8"/>
      <c r="E38" s="8"/>
      <c r="F38" s="8"/>
      <c r="G38" s="8"/>
      <c r="H38" s="8"/>
    </row>
    <row r="39" spans="1:8" ht="14.4" hidden="1" customHeight="1" outlineLevel="2" x14ac:dyDescent="0.35">
      <c r="B39" s="12"/>
      <c r="C39" s="32" t="s">
        <v>16</v>
      </c>
      <c r="D39" s="29">
        <v>1</v>
      </c>
      <c r="E39" s="29"/>
      <c r="F39" s="29">
        <v>2</v>
      </c>
      <c r="G39" s="29">
        <v>3</v>
      </c>
      <c r="H39" s="29">
        <v>5</v>
      </c>
    </row>
    <row r="40" spans="1:8" ht="14.4" hidden="1" customHeight="1" outlineLevel="2" x14ac:dyDescent="0.3">
      <c r="B40" s="11"/>
      <c r="C40" s="33">
        <v>0.05</v>
      </c>
      <c r="D40" s="27">
        <v>1.95</v>
      </c>
      <c r="E40" s="27"/>
      <c r="F40" s="27">
        <v>2</v>
      </c>
      <c r="G40" s="27">
        <v>3.95</v>
      </c>
      <c r="H40" s="27">
        <v>5</v>
      </c>
    </row>
    <row r="41" spans="1:8" ht="14.4" hidden="1" customHeight="1" outlineLevel="2" x14ac:dyDescent="0.3">
      <c r="B41" s="11"/>
      <c r="C41" s="34">
        <v>0.25</v>
      </c>
      <c r="D41" s="29">
        <v>5.75</v>
      </c>
      <c r="E41" s="29"/>
      <c r="F41" s="29">
        <v>4.75</v>
      </c>
      <c r="G41" s="29">
        <v>5</v>
      </c>
      <c r="H41" s="29">
        <v>6</v>
      </c>
    </row>
    <row r="42" spans="1:8" ht="14.4" hidden="1" customHeight="1" outlineLevel="2" x14ac:dyDescent="0.3">
      <c r="B42" s="11"/>
      <c r="C42" s="33">
        <v>0.5</v>
      </c>
      <c r="D42" s="27">
        <v>10.5</v>
      </c>
      <c r="E42" s="27"/>
      <c r="F42" s="27">
        <v>5.5</v>
      </c>
      <c r="G42" s="27">
        <v>5.5</v>
      </c>
      <c r="H42" s="27">
        <v>6</v>
      </c>
    </row>
    <row r="43" spans="1:8" ht="14.4" hidden="1" customHeight="1" outlineLevel="2" x14ac:dyDescent="0.3">
      <c r="B43" s="11"/>
      <c r="C43" s="34">
        <v>0.75</v>
      </c>
      <c r="D43" s="29">
        <v>15.25</v>
      </c>
      <c r="E43" s="29"/>
      <c r="F43" s="29">
        <v>6.25</v>
      </c>
      <c r="G43" s="29">
        <v>7.25</v>
      </c>
      <c r="H43" s="29">
        <v>7</v>
      </c>
    </row>
    <row r="44" spans="1:8" ht="14.4" hidden="1" customHeight="1" outlineLevel="2" x14ac:dyDescent="0.3">
      <c r="B44" s="11"/>
      <c r="C44" s="33">
        <v>0.95</v>
      </c>
      <c r="D44" s="27">
        <v>19.05</v>
      </c>
      <c r="E44" s="27"/>
      <c r="F44" s="27">
        <v>8</v>
      </c>
      <c r="G44" s="27">
        <v>8.0500000000000007</v>
      </c>
      <c r="H44" s="27">
        <v>8.0500000000000007</v>
      </c>
    </row>
    <row r="45" spans="1:8" ht="14.4" hidden="1" customHeight="1" outlineLevel="2" x14ac:dyDescent="0.3">
      <c r="B45" s="11"/>
      <c r="C45" s="34" t="s">
        <v>17</v>
      </c>
      <c r="D45" s="29">
        <v>20</v>
      </c>
      <c r="E45" s="29"/>
      <c r="F45" s="29">
        <v>8</v>
      </c>
      <c r="G45" s="29">
        <v>9</v>
      </c>
      <c r="H45" s="29">
        <v>9</v>
      </c>
    </row>
    <row r="46" spans="1:8" ht="14.4" hidden="1" customHeight="1" outlineLevel="2" x14ac:dyDescent="0.3">
      <c r="B46" s="11"/>
      <c r="C46" s="16" t="s">
        <v>18</v>
      </c>
      <c r="D46" s="27">
        <v>19</v>
      </c>
      <c r="E46" s="27"/>
      <c r="F46" s="27">
        <v>6</v>
      </c>
      <c r="G46" s="27">
        <v>6</v>
      </c>
      <c r="H46" s="27">
        <v>4</v>
      </c>
    </row>
    <row r="47" spans="1:8" ht="14.4" hidden="1" customHeight="1" outlineLevel="2" x14ac:dyDescent="0.3">
      <c r="B47" s="23"/>
      <c r="C47" s="19" t="s">
        <v>19</v>
      </c>
      <c r="D47" s="29">
        <v>9.5</v>
      </c>
      <c r="E47" s="29"/>
      <c r="F47" s="29">
        <v>1.5</v>
      </c>
      <c r="G47" s="29">
        <v>2.25</v>
      </c>
      <c r="H47" s="29">
        <v>1</v>
      </c>
    </row>
    <row r="48" spans="1:8" ht="10.050000000000001" hidden="1" customHeight="1" outlineLevel="2" x14ac:dyDescent="0.3">
      <c r="B48" s="23"/>
      <c r="D48" s="8"/>
      <c r="E48" s="8"/>
      <c r="F48" s="8"/>
      <c r="G48" s="8"/>
      <c r="H48" s="8"/>
    </row>
    <row r="49" spans="1:8" ht="19.95" customHeight="1" outlineLevel="1" collapsed="1" x14ac:dyDescent="0.3">
      <c r="A49" s="40"/>
      <c r="B49" s="9" t="s">
        <v>0</v>
      </c>
      <c r="C49" s="10"/>
      <c r="D49" s="8"/>
      <c r="E49" s="8"/>
      <c r="F49" s="8"/>
      <c r="G49" s="8"/>
      <c r="H49" s="8"/>
    </row>
    <row r="50" spans="1:8" ht="10.050000000000001" customHeight="1" outlineLevel="1" x14ac:dyDescent="0.3">
      <c r="A50" s="40"/>
      <c r="B50" s="25"/>
      <c r="D50" s="8"/>
      <c r="E50" s="8"/>
      <c r="F50" s="8"/>
      <c r="G50" s="8"/>
      <c r="H50" s="8"/>
    </row>
    <row r="51" spans="1:8" ht="14.4" hidden="1" customHeight="1" outlineLevel="2" x14ac:dyDescent="0.3">
      <c r="A51" s="40"/>
      <c r="B51" s="40"/>
      <c r="C51" s="35" t="s">
        <v>40</v>
      </c>
      <c r="D51" s="81" t="b">
        <v>0</v>
      </c>
      <c r="E51" s="81" t="b">
        <v>0</v>
      </c>
      <c r="F51" s="81" t="b">
        <v>0</v>
      </c>
      <c r="G51" s="81" t="b">
        <v>0</v>
      </c>
      <c r="H51" s="81" t="b">
        <v>0</v>
      </c>
    </row>
    <row r="52" spans="1:8" ht="14.4" hidden="1" customHeight="1" outlineLevel="2" x14ac:dyDescent="0.3">
      <c r="A52" s="40"/>
      <c r="B52" s="40"/>
      <c r="C52" s="35" t="s">
        <v>41</v>
      </c>
      <c r="D52" s="81" t="b">
        <v>0</v>
      </c>
      <c r="E52" s="81" t="b">
        <v>0</v>
      </c>
      <c r="F52" s="81" t="b">
        <v>0</v>
      </c>
      <c r="G52" s="81" t="b">
        <v>0</v>
      </c>
      <c r="H52" s="81" t="b">
        <v>0</v>
      </c>
    </row>
    <row r="53" spans="1:8" ht="14.4" hidden="1" customHeight="1" outlineLevel="2" x14ac:dyDescent="0.3">
      <c r="A53" s="40"/>
      <c r="B53" s="40"/>
      <c r="C53" s="35" t="s">
        <v>42</v>
      </c>
      <c r="D53" s="81" t="b">
        <v>0</v>
      </c>
      <c r="E53" s="81" t="b">
        <v>0</v>
      </c>
      <c r="F53" s="81" t="b">
        <v>0</v>
      </c>
      <c r="G53" s="81" t="b">
        <v>0</v>
      </c>
      <c r="H53" s="81" t="b">
        <v>0</v>
      </c>
    </row>
    <row r="54" spans="1:8" ht="14.4" hidden="1" customHeight="1" outlineLevel="2" x14ac:dyDescent="0.3">
      <c r="A54" s="40"/>
      <c r="B54" s="40"/>
      <c r="C54" s="35" t="s">
        <v>43</v>
      </c>
      <c r="D54" s="81" t="b">
        <v>0</v>
      </c>
      <c r="E54" s="81" t="b">
        <v>0</v>
      </c>
      <c r="F54" s="81" t="b">
        <v>0</v>
      </c>
      <c r="G54" s="81" t="b">
        <v>0</v>
      </c>
      <c r="H54" s="81" t="b">
        <v>0</v>
      </c>
    </row>
    <row r="55" spans="1:8" ht="14.4" hidden="1" customHeight="1" outlineLevel="2" x14ac:dyDescent="0.3">
      <c r="A55" s="40"/>
      <c r="B55" s="40"/>
      <c r="C55" s="35" t="s">
        <v>44</v>
      </c>
      <c r="D55" s="81" t="b">
        <v>0</v>
      </c>
      <c r="E55" s="81" t="b">
        <v>0</v>
      </c>
      <c r="F55" s="81" t="b">
        <v>0</v>
      </c>
      <c r="G55" s="81" t="b">
        <v>0</v>
      </c>
      <c r="H55" s="81" t="b">
        <v>0</v>
      </c>
    </row>
    <row r="56" spans="1:8" ht="14.4" hidden="1" customHeight="1" outlineLevel="2" x14ac:dyDescent="0.3">
      <c r="A56" s="40"/>
      <c r="B56" s="40"/>
      <c r="C56" s="35" t="s">
        <v>45</v>
      </c>
      <c r="D56" s="81" t="b">
        <v>0</v>
      </c>
      <c r="E56" s="81" t="b">
        <v>0</v>
      </c>
      <c r="F56" s="81" t="b">
        <v>0</v>
      </c>
      <c r="G56" s="81" t="b">
        <v>0</v>
      </c>
      <c r="H56" s="81" t="b">
        <v>0</v>
      </c>
    </row>
    <row r="57" spans="1:8" ht="14.4" hidden="1" customHeight="1" outlineLevel="2" x14ac:dyDescent="0.3">
      <c r="A57" s="40"/>
      <c r="B57" s="40"/>
      <c r="C57" s="35" t="s">
        <v>22</v>
      </c>
      <c r="D57" s="81" t="b">
        <v>0</v>
      </c>
      <c r="E57" s="81" t="b">
        <v>0</v>
      </c>
      <c r="F57" s="81" t="b">
        <v>0</v>
      </c>
      <c r="G57" s="81" t="b">
        <v>0</v>
      </c>
      <c r="H57" s="81" t="b">
        <v>0</v>
      </c>
    </row>
    <row r="58" spans="1:8" ht="14.4" hidden="1" customHeight="1" outlineLevel="2" x14ac:dyDescent="0.3">
      <c r="B58" s="1"/>
      <c r="C58" s="82" t="s">
        <v>23</v>
      </c>
      <c r="D58" s="81" t="b">
        <v>0</v>
      </c>
      <c r="E58" s="81" t="b">
        <v>0</v>
      </c>
      <c r="F58" s="81" t="b">
        <v>0</v>
      </c>
      <c r="G58" s="81" t="b">
        <v>0</v>
      </c>
      <c r="H58" s="81" t="b">
        <v>0</v>
      </c>
    </row>
    <row r="59" spans="1:8" ht="10.050000000000001" hidden="1" customHeight="1" outlineLevel="2" x14ac:dyDescent="0.3">
      <c r="B59" s="20"/>
      <c r="D59" s="8"/>
      <c r="E59" s="8"/>
      <c r="F59" s="8"/>
      <c r="G59" s="8"/>
      <c r="H59" s="8"/>
    </row>
    <row r="60" spans="1:8" ht="19.95" customHeight="1" outlineLevel="1" collapsed="1" x14ac:dyDescent="0.3">
      <c r="A60" s="40"/>
      <c r="B60" s="9" t="s">
        <v>0</v>
      </c>
      <c r="C60" s="10"/>
      <c r="D60" s="8"/>
      <c r="E60" s="8"/>
      <c r="F60" s="8"/>
      <c r="G60" s="8"/>
      <c r="H60" s="8"/>
    </row>
    <row r="61" spans="1:8" ht="10.050000000000001" customHeight="1" outlineLevel="1" x14ac:dyDescent="0.3">
      <c r="A61" s="40"/>
      <c r="B61" s="9"/>
      <c r="C61" s="10"/>
      <c r="D61" s="8"/>
      <c r="E61" s="8"/>
      <c r="F61" s="8"/>
      <c r="G61" s="8"/>
      <c r="H61" s="8"/>
    </row>
    <row r="62" spans="1:8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8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8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9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9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9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9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9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9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9" ht="10.050000000000001" customHeight="1" outlineLevel="2" x14ac:dyDescent="0.3">
      <c r="B71" s="20"/>
      <c r="C71" s="37"/>
      <c r="D71" s="38"/>
      <c r="E71" s="38"/>
      <c r="F71" s="38"/>
      <c r="G71" s="38"/>
      <c r="H71" s="38"/>
    </row>
    <row r="72" spans="1:9" ht="30" customHeight="1" x14ac:dyDescent="0.3">
      <c r="C72" s="97" t="s">
        <v>21</v>
      </c>
      <c r="D72" s="39" t="s">
        <v>48</v>
      </c>
      <c r="E72" s="39" t="s">
        <v>49</v>
      </c>
      <c r="F72" s="39" t="s">
        <v>50</v>
      </c>
      <c r="G72" s="39" t="s">
        <v>51</v>
      </c>
      <c r="H72" s="39" t="s">
        <v>52</v>
      </c>
      <c r="I72" s="97" t="s">
        <v>20</v>
      </c>
    </row>
    <row r="73" spans="1:9" x14ac:dyDescent="0.3">
      <c r="C73" s="41" t="b">
        <v>0</v>
      </c>
      <c r="D73" s="42">
        <v>1</v>
      </c>
      <c r="E73" s="42" t="s">
        <v>56</v>
      </c>
      <c r="F73" s="42">
        <v>2</v>
      </c>
      <c r="G73" s="42">
        <v>4</v>
      </c>
      <c r="H73" s="42">
        <v>7</v>
      </c>
      <c r="I73" s="113">
        <v>1.0684420560176001E+19</v>
      </c>
    </row>
    <row r="74" spans="1:9" x14ac:dyDescent="0.3">
      <c r="C74" s="41" t="b">
        <v>0</v>
      </c>
      <c r="D74" s="42">
        <v>2</v>
      </c>
      <c r="E74" s="42" t="s">
        <v>56</v>
      </c>
      <c r="F74" s="42">
        <v>3</v>
      </c>
      <c r="G74" s="42">
        <v>4</v>
      </c>
      <c r="H74" s="42">
        <v>5</v>
      </c>
      <c r="I74" s="113">
        <v>1.72235016245888E+19</v>
      </c>
    </row>
    <row r="75" spans="1:9" x14ac:dyDescent="0.3">
      <c r="C75" s="41" t="b">
        <v>0</v>
      </c>
      <c r="D75" s="42">
        <v>3</v>
      </c>
      <c r="E75" s="42" t="s">
        <v>56</v>
      </c>
      <c r="F75" s="42">
        <v>3</v>
      </c>
      <c r="G75" s="42">
        <v>5</v>
      </c>
      <c r="H75" s="42">
        <v>6</v>
      </c>
      <c r="I75" s="113">
        <v>3.2337433936727598E+18</v>
      </c>
    </row>
    <row r="76" spans="1:9" x14ac:dyDescent="0.3">
      <c r="C76" s="41" t="b">
        <v>0</v>
      </c>
      <c r="D76" s="42">
        <v>4</v>
      </c>
      <c r="E76" s="42" t="s">
        <v>56</v>
      </c>
      <c r="F76" s="42">
        <v>5</v>
      </c>
      <c r="G76" s="42">
        <v>7</v>
      </c>
      <c r="H76" s="42">
        <v>5</v>
      </c>
      <c r="I76" s="113">
        <v>4.7447771707958999E+18</v>
      </c>
    </row>
    <row r="77" spans="1:9" x14ac:dyDescent="0.3">
      <c r="C77" s="41" t="b">
        <v>0</v>
      </c>
      <c r="D77" s="42">
        <v>5</v>
      </c>
      <c r="E77" s="42" t="s">
        <v>56</v>
      </c>
      <c r="F77" s="42">
        <v>4</v>
      </c>
      <c r="G77" s="42">
        <v>5</v>
      </c>
      <c r="H77" s="42">
        <v>8</v>
      </c>
      <c r="I77" s="113">
        <v>7.4621130552709796E+18</v>
      </c>
    </row>
    <row r="78" spans="1:9" x14ac:dyDescent="0.3">
      <c r="C78" s="41" t="b">
        <v>0</v>
      </c>
      <c r="D78" s="42">
        <v>6</v>
      </c>
      <c r="E78" s="42" t="s">
        <v>56</v>
      </c>
      <c r="F78" s="42">
        <v>5</v>
      </c>
      <c r="G78" s="42">
        <v>5</v>
      </c>
      <c r="H78" s="42">
        <v>6</v>
      </c>
      <c r="I78" s="113">
        <v>1.03239679620886E+19</v>
      </c>
    </row>
    <row r="79" spans="1:9" x14ac:dyDescent="0.3">
      <c r="C79" s="41" t="b">
        <v>0</v>
      </c>
      <c r="D79" s="42">
        <v>7</v>
      </c>
      <c r="E79" s="42" t="s">
        <v>56</v>
      </c>
      <c r="F79" s="42">
        <v>5</v>
      </c>
      <c r="G79" s="42">
        <v>4.5</v>
      </c>
      <c r="H79" s="42">
        <v>6</v>
      </c>
      <c r="I79" s="113">
        <v>9.6019863117799199E+18</v>
      </c>
    </row>
    <row r="80" spans="1:9" x14ac:dyDescent="0.3">
      <c r="C80" s="41" t="b">
        <v>0</v>
      </c>
      <c r="D80" s="42">
        <v>8</v>
      </c>
      <c r="E80" s="42" t="s">
        <v>56</v>
      </c>
      <c r="F80" s="42">
        <v>5</v>
      </c>
      <c r="G80" s="42">
        <v>7</v>
      </c>
      <c r="H80" s="42">
        <v>8</v>
      </c>
      <c r="I80" s="113">
        <v>1.5409715335643501E+19</v>
      </c>
    </row>
    <row r="81" spans="3:9" x14ac:dyDescent="0.3">
      <c r="C81" s="41" t="b">
        <v>0</v>
      </c>
      <c r="D81" s="42">
        <v>9</v>
      </c>
      <c r="E81" s="42" t="s">
        <v>56</v>
      </c>
      <c r="F81" s="42">
        <v>2</v>
      </c>
      <c r="G81" s="42">
        <v>3</v>
      </c>
      <c r="H81" s="42">
        <v>7</v>
      </c>
      <c r="I81" s="113">
        <v>1.5269839327361499E+19</v>
      </c>
    </row>
    <row r="82" spans="3:9" x14ac:dyDescent="0.3">
      <c r="C82" s="41" t="b">
        <v>0</v>
      </c>
      <c r="D82" s="42">
        <v>10</v>
      </c>
      <c r="E82" s="42" t="s">
        <v>56</v>
      </c>
      <c r="F82" s="42">
        <v>6</v>
      </c>
      <c r="G82" s="42">
        <v>5</v>
      </c>
      <c r="H82" s="42">
        <v>6</v>
      </c>
      <c r="I82" s="113">
        <v>1.56791911608391E+19</v>
      </c>
    </row>
    <row r="83" spans="3:9" x14ac:dyDescent="0.3">
      <c r="C83" s="41" t="b">
        <v>0</v>
      </c>
      <c r="D83" s="42">
        <v>11</v>
      </c>
      <c r="E83" s="42" t="s">
        <v>58</v>
      </c>
      <c r="F83" s="42">
        <v>6</v>
      </c>
      <c r="G83" s="42">
        <v>5</v>
      </c>
      <c r="H83" s="42">
        <v>6</v>
      </c>
      <c r="I83" s="113">
        <v>4.31643619698959E+18</v>
      </c>
    </row>
    <row r="84" spans="3:9" x14ac:dyDescent="0.3">
      <c r="C84" s="41" t="b">
        <v>0</v>
      </c>
      <c r="D84" s="42">
        <v>12</v>
      </c>
      <c r="E84" s="42" t="s">
        <v>58</v>
      </c>
      <c r="F84" s="42">
        <v>8</v>
      </c>
      <c r="G84" s="42">
        <v>9</v>
      </c>
      <c r="H84" s="42">
        <v>8</v>
      </c>
      <c r="I84" s="113">
        <v>3.8226641307049997E+17</v>
      </c>
    </row>
    <row r="85" spans="3:9" x14ac:dyDescent="0.3">
      <c r="C85" s="41" t="b">
        <v>0</v>
      </c>
      <c r="D85" s="42">
        <v>13</v>
      </c>
      <c r="E85" s="42" t="s">
        <v>58</v>
      </c>
      <c r="F85" s="42">
        <v>6</v>
      </c>
      <c r="G85" s="42">
        <v>5</v>
      </c>
      <c r="H85" s="42">
        <v>9</v>
      </c>
      <c r="I85" s="113">
        <v>1.0227272929768499E+19</v>
      </c>
    </row>
    <row r="86" spans="3:9" x14ac:dyDescent="0.3">
      <c r="C86" s="41" t="b">
        <v>0</v>
      </c>
      <c r="D86" s="42">
        <v>14</v>
      </c>
      <c r="E86" s="42" t="s">
        <v>58</v>
      </c>
      <c r="F86" s="42">
        <v>8</v>
      </c>
      <c r="G86" s="42">
        <v>8</v>
      </c>
      <c r="H86" s="42">
        <v>7</v>
      </c>
      <c r="I86" s="113">
        <v>8.2384603963948298E+18</v>
      </c>
    </row>
    <row r="87" spans="3:9" x14ac:dyDescent="0.3">
      <c r="C87" s="41" t="b">
        <v>0</v>
      </c>
      <c r="D87" s="42">
        <v>15</v>
      </c>
      <c r="E87" s="42" t="s">
        <v>58</v>
      </c>
      <c r="F87" s="42">
        <v>8</v>
      </c>
      <c r="G87" s="42">
        <v>8</v>
      </c>
      <c r="H87" s="42">
        <v>7</v>
      </c>
      <c r="I87" s="113">
        <v>6.5155449120557599E+18</v>
      </c>
    </row>
    <row r="88" spans="3:9" x14ac:dyDescent="0.3">
      <c r="C88" s="41" t="b">
        <v>0</v>
      </c>
      <c r="D88" s="42">
        <v>16</v>
      </c>
      <c r="E88" s="42" t="s">
        <v>58</v>
      </c>
      <c r="F88" s="42">
        <v>6</v>
      </c>
      <c r="G88" s="42">
        <v>8</v>
      </c>
      <c r="H88" s="42">
        <v>7</v>
      </c>
      <c r="I88" s="113">
        <v>1.01729212403432E+19</v>
      </c>
    </row>
    <row r="89" spans="3:9" x14ac:dyDescent="0.3">
      <c r="C89" s="41" t="b">
        <v>0</v>
      </c>
      <c r="D89" s="42">
        <v>17</v>
      </c>
      <c r="E89" s="42" t="s">
        <v>58</v>
      </c>
      <c r="F89" s="42">
        <v>7</v>
      </c>
      <c r="G89" s="42">
        <v>7</v>
      </c>
      <c r="H89" s="42">
        <v>6</v>
      </c>
      <c r="I89" s="113">
        <v>6.08217692610893E+18</v>
      </c>
    </row>
    <row r="90" spans="3:9" x14ac:dyDescent="0.3">
      <c r="C90" s="41" t="b">
        <v>0</v>
      </c>
      <c r="D90" s="42">
        <v>18</v>
      </c>
      <c r="E90" s="42" t="s">
        <v>58</v>
      </c>
      <c r="F90" s="42">
        <v>7</v>
      </c>
      <c r="G90" s="42">
        <v>8</v>
      </c>
      <c r="H90" s="42">
        <v>6</v>
      </c>
      <c r="I90" s="113">
        <v>3.2649422401536901E+18</v>
      </c>
    </row>
    <row r="91" spans="3:9" x14ac:dyDescent="0.3">
      <c r="C91" s="41" t="b">
        <v>0</v>
      </c>
      <c r="D91" s="42">
        <v>19</v>
      </c>
      <c r="E91" s="42" t="s">
        <v>58</v>
      </c>
      <c r="F91" s="42">
        <v>5</v>
      </c>
      <c r="G91" s="42">
        <v>6</v>
      </c>
      <c r="H91" s="42">
        <v>6</v>
      </c>
      <c r="I91" s="113">
        <v>3.6838341962216402E+18</v>
      </c>
    </row>
    <row r="92" spans="3:9" x14ac:dyDescent="0.3">
      <c r="C92" s="41" t="b">
        <v>0</v>
      </c>
      <c r="D92" s="42">
        <v>20</v>
      </c>
      <c r="E92" s="42" t="s">
        <v>58</v>
      </c>
      <c r="F92" s="42">
        <v>6</v>
      </c>
      <c r="G92" s="42">
        <v>6</v>
      </c>
      <c r="H92" s="42">
        <v>5</v>
      </c>
      <c r="I92" s="113">
        <v>6.00799070634432E+18</v>
      </c>
    </row>
  </sheetData>
  <mergeCells count="1">
    <mergeCell ref="D3:E5"/>
  </mergeCells>
  <phoneticPr fontId="15" type="noConversion"/>
  <conditionalFormatting sqref="D25:H25 D71:H71">
    <cfRule type="cellIs" dxfId="28" priority="40" operator="equal">
      <formula>"Notes"</formula>
    </cfRule>
  </conditionalFormatting>
  <conditionalFormatting sqref="D29:H33 D39:H47 D16:H16 D20:H25">
    <cfRule type="cellIs" dxfId="27" priority="41" operator="equal">
      <formula>0</formula>
    </cfRule>
  </conditionalFormatting>
  <conditionalFormatting sqref="D35:H35">
    <cfRule type="cellIs" dxfId="26" priority="39" operator="equal">
      <formula>"Notes"</formula>
    </cfRule>
  </conditionalFormatting>
  <conditionalFormatting sqref="C73:C92">
    <cfRule type="cellIs" dxfId="25" priority="37" operator="equal">
      <formula>FALSE</formula>
    </cfRule>
    <cfRule type="cellIs" dxfId="24" priority="38" operator="notEqual">
      <formula>FALSE</formula>
    </cfRule>
  </conditionalFormatting>
  <conditionalFormatting sqref="D51:E58">
    <cfRule type="cellIs" dxfId="23" priority="35" operator="equal">
      <formula>FALSE</formula>
    </cfRule>
    <cfRule type="cellIs" dxfId="22" priority="36" operator="notEqual">
      <formula>FALSE</formula>
    </cfRule>
  </conditionalFormatting>
  <conditionalFormatting sqref="D10:H10">
    <cfRule type="cellIs" dxfId="21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20" priority="11"/>
  </conditionalFormatting>
  <conditionalFormatting sqref="D3">
    <cfRule type="cellIs" dxfId="19" priority="6" operator="notEqual">
      <formula>"Description"</formula>
    </cfRule>
  </conditionalFormatting>
  <conditionalFormatting sqref="D8:H8">
    <cfRule type="cellIs" dxfId="18" priority="5" operator="notEqual">
      <formula>"Definition"</formula>
    </cfRule>
  </conditionalFormatting>
  <conditionalFormatting sqref="F51:H58">
    <cfRule type="cellIs" dxfId="9" priority="3" operator="equal">
      <formula>FALSE</formula>
    </cfRule>
    <cfRule type="cellIs" dxfId="8" priority="4" operator="notEqual">
      <formula>FALSE</formula>
    </cfRule>
  </conditionalFormatting>
  <conditionalFormatting sqref="F17:H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I72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B5" sqref="B5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78" t="s">
        <v>24</v>
      </c>
    </row>
    <row r="3" spans="1:16" ht="10.050000000000001" customHeight="1" thickBot="1" x14ac:dyDescent="0.35">
      <c r="B3" s="1"/>
      <c r="C3" s="6"/>
    </row>
    <row r="4" spans="1:16" ht="34.950000000000003" customHeight="1" thickBot="1" x14ac:dyDescent="0.35">
      <c r="B4" s="98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8" bestFit="1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78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100"/>
      <c r="D4" s="101" t="s">
        <v>2</v>
      </c>
      <c r="E4" s="95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14" priority="3" operator="equal">
      <formula>"Notes"</formula>
    </cfRule>
  </conditionalFormatting>
  <conditionalFormatting sqref="E6:E7">
    <cfRule type="cellIs" dxfId="13" priority="4" operator="equal">
      <formula>0</formula>
    </cfRule>
  </conditionalFormatting>
  <conditionalFormatting sqref="E2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2026-05-18T19:41:43Z</dcterms:modified>
</cp:coreProperties>
</file>