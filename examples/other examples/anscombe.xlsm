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5D58E4A5-21E1-4D73-BECE-22A8778210EB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Analysis'!$D$8:$F$8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Analysis'!$D$51:$F$51</definedName>
    <definedName name="FieldList2" localSheetId="3">#REF!</definedName>
    <definedName name="FieldList2" localSheetId="2">#REF!</definedName>
    <definedName name="FieldList2">'Field Analysis'!$D$52:$F$52</definedName>
    <definedName name="FieldList3" localSheetId="3">#REF!</definedName>
    <definedName name="FieldList3" localSheetId="2">#REF!</definedName>
    <definedName name="FieldList3">'Field Analysis'!$D$53:$F$53</definedName>
    <definedName name="FieldList4" localSheetId="3">#REF!</definedName>
    <definedName name="FieldList4" localSheetId="2">#REF!</definedName>
    <definedName name="FieldList4">'Field Analysis'!$D$54:$F$54</definedName>
    <definedName name="FieldList5" localSheetId="3">#REF!</definedName>
    <definedName name="FieldList5" localSheetId="2">#REF!</definedName>
    <definedName name="FieldList5">'Field Analysis'!$D$55:$F$55</definedName>
    <definedName name="FieldList6" localSheetId="3">#REF!</definedName>
    <definedName name="FieldList6" localSheetId="2">#REF!</definedName>
    <definedName name="FieldList6">'Field Analysis'!$D$56:$F$56</definedName>
    <definedName name="FieldList7">'Field Analysis'!$D$57:$F$57</definedName>
    <definedName name="FieldList8">'Field Analysis'!$D$58:$F$58</definedName>
    <definedName name="FieldRange" localSheetId="3">#REF!</definedName>
    <definedName name="FieldRange" localSheetId="2">#REF!</definedName>
    <definedName name="FieldRange">'Field Analysis'!$D$72:$F$72</definedName>
    <definedName name="FormatRange">'Field Analysis'!$E:$E</definedName>
    <definedName name="Headers">'Field Analysis'!$D$12:$F$12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Analysis'!$D$10:$F$10</definedName>
    <definedName name="Percentiles">'Field Analysis'!$D$39:$D$48</definedName>
    <definedName name="RecordHashes">'Field Analysis'!$G$73:$G$116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<sst xmlns="http://schemas.openxmlformats.org/spreadsheetml/2006/main" count="145" uniqueCount="58">
  <si>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</si>
  <si>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</si>
  <si>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</si>
  <si>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</si>
  <si>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</si>
  <si>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</si>
  <si>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</si>
  <si>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</si>
  <si>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</si>
  <si>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</si>
  <si>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</si>
  <si>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</si>
  <si>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</si>
  <si>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</si>
  <si>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</si>
  <si>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</si>
  <si>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</si>
  <si>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</si>
  <si>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</si>
  <si>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</si>
  <si>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</si>
  <si>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</si>
  <si>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</si>
  <si>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</si>
  <si>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</si>
  <si>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</si>
  <si>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</si>
  <si>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</si>
  <si>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</si>
  <si>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</si>
  <si>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</si>
  <si>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</si>
  <si>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</si>
  <si>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</si>
  <si>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</si>
  <si>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</si>
  <si>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</si>
  <si>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</si>
  <si>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</si>
  <si>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</si>
  <si>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</si>
  <si>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</si>
  <si>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</si>
  <si>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</si>
  <si>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</si>
  <si>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</si>
  <si>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anscombe</t>
  </si>
  <si>
    <t>rows = 44, columns = 3</t>
  </si>
  <si>
    <t>dataset</t>
  </si>
  <si>
    <t>x</t>
  </si>
  <si>
    <t>y</t>
  </si>
  <si>
    <t>1,276 bytes</t>
  </si>
  <si>
    <t>str</t>
  </si>
  <si>
    <t>I</t>
  </si>
  <si>
    <t>float64</t>
  </si>
  <si>
    <t>II</t>
  </si>
  <si>
    <t>III</t>
  </si>
  <si>
    <t>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</si>
</sst>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027ED"/>
        <bgColor indexed="64"/>
      </patternFill>
    </fill>
  </fills>
  <borders count="20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2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2" fillId="2" borderId="0" xfId="1" applyBorder="1" applyAlignment="1">
      <alignment horizontal="left" vertical="top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027E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ADD4A7F-3D24-C3B0-A031-119697AD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98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02F96FB-3F0A-89BC-A241-D49C1DD15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148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D97CE39-FA9C-CC66-A0B3-7F681A956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1485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EF6B895-BCD1-A83E-7313-853706F62F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41985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34</xdr:row>
      <xdr:rowOff>95250</xdr:rowOff>
    </xdr:from>
    <xdr:to>
      <xdr:col>5</xdr:col>
      <xdr:colOff>1809750</xdr:colOff>
      <xdr:row>34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3748580E-1576-BD3C-81E0-E634CA6605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19850" y="74180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8" dataDxfId="51" headerRowBorderDxfId="52" headerRowCellStyle="Normal 2">
  <autoFilter ref="B10:AA13" xr:uid="{7EC467B7-DE9E-48DF-95B5-2995F1F6DE8F}"/>
  <tableColumns count="26">
    <tableColumn id="1" xr3:uid="{CDAE6949-9186-42E8-AEBE-1928381A0155}" name="Field" dataDxfId="50" dataCellStyle="Normal 2"/>
    <tableColumn id="2" xr3:uid="{24D139B7-BFC8-4DD9-8DE4-2245810E04F3}" name="Definition" dataDxfId="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9"/>
    <tableColumn id="8" xr3:uid="{30CDB1E0-924C-48B4-82F4-9B3E3228BE95}" name="Distinct %" dataDxfId="48"/>
    <tableColumn id="12" xr3:uid="{03824906-BEA5-4B63-A981-21F959B6439E}" name="Missing %" dataDxfId="47" dataCellStyle="Percent 2"/>
    <tableColumn id="6" xr3:uid="{8DFFE5A0-8676-4576-AB4D-97E8B31EC097}" name="Memory Usage %" dataDxfId="46" dataCellStyle="Percent 2"/>
    <tableColumn id="5" xr3:uid="{DD50C3DA-F4A8-40F0-AFBD-DBF916650F7E}" name="Memory Usage" dataDxfId="45"/>
    <tableColumn id="7" xr3:uid="{A0CD56D0-07EF-46CA-BC46-D54CD5E746C7}" name="Distinct" dataDxfId="44"/>
    <tableColumn id="9" xr3:uid="{1C848176-6AC1-44A6-9B3B-F1C9E8BC32EA}" name="Count" dataDxfId="43"/>
    <tableColumn id="10" xr3:uid="{6C6E6A37-4969-459F-AC39-2193366810E2}" name="Count %" dataDxfId="42"/>
    <tableColumn id="11" xr3:uid="{CD47252D-0307-4513-AF7C-13CC4AA1FCD9}" name="Missing" dataDxfId="41"/>
    <tableColumn id="13" xr3:uid="{2B45F7F8-CE35-48A6-BB27-9684B5D7936D}" name="Mean" dataDxfId="40"/>
    <tableColumn id="14" xr3:uid="{293386E4-1FA6-4340-9DC6-54CC26209C0A}" name="Median" dataDxfId="39"/>
    <tableColumn id="15" xr3:uid="{29252F5E-4163-4D62-89FC-FF85F6C4755C}" name="Mode" dataDxfId="38"/>
    <tableColumn id="16" xr3:uid="{69FFA3C1-FD1E-4395-AF2E-177FDFCDE62A}" name="Standard Deviation" dataDxfId="37"/>
    <tableColumn id="17" xr3:uid="{2AAB37E9-8AE2-4771-B92B-C04BFABA0B4E}" name="Variance" dataDxfId="36"/>
    <tableColumn id="18" xr3:uid="{07151E41-6633-4A65-A7E1-091F027DEF95}" name="Min" dataDxfId="35"/>
    <tableColumn id="19" xr3:uid="{41A1FD5D-4E5C-45B3-A0C7-1820F89F417F}" name="5%" dataDxfId="34"/>
    <tableColumn id="20" xr3:uid="{50D70984-5A2E-4A19-9F2B-5DA0502339BC}" name="25%" dataDxfId="33"/>
    <tableColumn id="21" xr3:uid="{75FF5489-8FC0-4894-83BC-802076BF1066}" name="50%" dataDxfId="32"/>
    <tableColumn id="22" xr3:uid="{B7FA20A8-EE17-470E-93AD-54011230C113}" name="75%" dataDxfId="31"/>
    <tableColumn id="23" xr3:uid="{378BE758-7A3F-4C04-A75B-FE899B1B0BAD}" name="95%" dataDxfId="30"/>
    <tableColumn id="24" xr3:uid="{818594E7-DC84-4229-81F6-97C1E2E93633}" name="Max" dataDxfId="29"/>
    <tableColumn id="25" xr3:uid="{D8116583-A886-47C1-85E2-D28AD96194AD}" name="Range" dataDxfId="28"/>
    <tableColumn id="26" xr3:uid="{D061AC6A-EAB2-461F-8AB8-E743DC68E666}" name="IQR" dataDxfId="27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G116" totalsRowShown="0" dataDxfId="15">
  <autoFilter ref="C72:G116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dataset" dataDxfId="14"/>
    <tableColumn id="8" xr3:uid="{5CEA6B82-08F7-4BBF-BE74-DD211F1E2384}" name="x" dataDxfId="13" dataCellStyle="Normal 2"/>
    <tableColumn id="3" xr3:uid="{DBDCEFC4-2124-4FC1-91AE-C1C41519E052}" name="y" dataDxfId="3"/>
    <tableColumn id="4" xr3:uid="{6AC7A8D4-7998-4AD1-90FB-A731CF79FAA4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anscombe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44</v>
      </c>
    </row>
    <row r="5" spans="2:27" x14ac:dyDescent="0.3">
      <c r="B5" s="13" t="s">
        <v>27</v>
      </c>
      <c r="C5" s="63">
        <v>3</v>
      </c>
    </row>
    <row r="6" spans="2:27" x14ac:dyDescent="0.3">
      <c r="B6" s="30" t="s">
        <v>4</v>
      </c>
      <c r="C6" s="63" t="s">
        <v>51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52</v>
      </c>
      <c r="F11" s="68">
        <v>9.0909090909090898E-2</v>
      </c>
      <c r="G11" s="69">
        <v>0</v>
      </c>
      <c r="H11" s="68">
        <v>0.29693741677762903</v>
      </c>
      <c r="I11" s="70">
        <v>446</v>
      </c>
      <c r="J11" s="70">
        <v>4</v>
      </c>
      <c r="K11" s="70">
        <v>44</v>
      </c>
      <c r="L11" s="71">
        <v>1</v>
      </c>
      <c r="M11" s="70">
        <v>0</v>
      </c>
      <c r="N11" s="72"/>
      <c r="O11" s="72"/>
      <c r="P11" s="72" t="s">
        <v>53</v>
      </c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54</v>
      </c>
      <c r="F12" s="71">
        <v>0.27272727272727199</v>
      </c>
      <c r="G12" s="73">
        <v>0</v>
      </c>
      <c r="H12" s="74">
        <v>0.234354194407456</v>
      </c>
      <c r="I12" s="70">
        <v>352</v>
      </c>
      <c r="J12" s="70">
        <v>12</v>
      </c>
      <c r="K12" s="70">
        <v>44</v>
      </c>
      <c r="L12" s="71">
        <v>1</v>
      </c>
      <c r="M12" s="70">
        <v>0</v>
      </c>
      <c r="N12" s="72">
        <v>9</v>
      </c>
      <c r="O12" s="72">
        <v>8</v>
      </c>
      <c r="P12" s="72">
        <v>8</v>
      </c>
      <c r="Q12" s="72">
        <v>3.1988369979626698</v>
      </c>
      <c r="R12" s="72">
        <v>10.232558139534801</v>
      </c>
      <c r="S12" s="72">
        <v>4</v>
      </c>
      <c r="T12" s="72">
        <v>4.1500000000000004</v>
      </c>
      <c r="U12" s="72">
        <v>7</v>
      </c>
      <c r="V12" s="72">
        <v>8</v>
      </c>
      <c r="W12" s="72">
        <v>11</v>
      </c>
      <c r="X12" s="72">
        <v>14</v>
      </c>
      <c r="Y12" s="72">
        <v>19</v>
      </c>
      <c r="Z12" s="72">
        <v>15</v>
      </c>
      <c r="AA12" s="72">
        <v>4</v>
      </c>
    </row>
    <row r="13" spans="2:27" x14ac:dyDescent="0.3">
      <c r="B13" s="102" t="s">
        <v>50</v>
      </c>
      <c r="C13" s="103" t="str">
        <f>IF(INDEX(Definitions,1,MATCH(tbl_Overview[[#This Row],[Field]],Headers,0))="Definition","",INDEX(Definitions,1,MATCH(tbl_Overview[[#This Row],[Field]],Headers,0)))</f>
        <v/>
      </c>
      <c r="D13" s="104" t="str">
        <f>IF(INDEX(Notes,1,MATCH(tbl_Overview[[#This Row],[Field]],Headers,0))="Notes","",INDEX(Notes,1,MATCH(tbl_Overview[[#This Row],[Field]],Headers,0)))</f>
        <v/>
      </c>
      <c r="E13" s="105" t="s">
        <v>54</v>
      </c>
      <c r="F13" s="106">
        <v>0.97727272727272696</v>
      </c>
      <c r="G13" s="107">
        <v>0</v>
      </c>
      <c r="H13" s="108">
        <v>0.234354194407456</v>
      </c>
      <c r="I13" s="109">
        <v>352</v>
      </c>
      <c r="J13" s="109">
        <v>43</v>
      </c>
      <c r="K13" s="109">
        <v>44</v>
      </c>
      <c r="L13" s="106">
        <v>1</v>
      </c>
      <c r="M13" s="109">
        <v>0</v>
      </c>
      <c r="N13" s="110">
        <v>7.5006818181818096</v>
      </c>
      <c r="O13" s="110">
        <v>7.52</v>
      </c>
      <c r="P13" s="110">
        <v>8.84</v>
      </c>
      <c r="Q13" s="110">
        <v>1.9589251890784101</v>
      </c>
      <c r="R13" s="110">
        <v>3.83738789640591</v>
      </c>
      <c r="S13" s="110">
        <v>3.1</v>
      </c>
      <c r="T13" s="110">
        <v>4.7519999999999998</v>
      </c>
      <c r="U13" s="110">
        <v>6.1174999999999997</v>
      </c>
      <c r="V13" s="110">
        <v>7.52</v>
      </c>
      <c r="W13" s="110">
        <v>8.7475000000000005</v>
      </c>
      <c r="X13" s="110">
        <v>10.708</v>
      </c>
      <c r="Y13" s="110">
        <v>12.74</v>
      </c>
      <c r="Z13" s="110">
        <v>9.64</v>
      </c>
      <c r="AA13" s="110">
        <v>2.63</v>
      </c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3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G116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0.88671875" style="8" bestFit="1" customWidth="1"/>
    <col min="4" max="6" width="27.77734375" style="1" customWidth="1"/>
    <col min="7" max="7" width="15.88671875" bestFit="1" customWidth="1"/>
  </cols>
  <sheetData>
    <row r="1" spans="1:7" ht="31.8" hidden="1" customHeight="1" x14ac:dyDescent="0.3">
      <c r="A1" s="51"/>
      <c r="B1" s="52"/>
      <c r="C1" s="53" t="s">
        <v>39</v>
      </c>
      <c r="D1" s="51"/>
      <c r="E1" s="51"/>
      <c r="F1" s="51"/>
    </row>
    <row r="2" spans="1:7" ht="10.050000000000001" customHeight="1" x14ac:dyDescent="0.3">
      <c r="A2"/>
      <c r="B2"/>
      <c r="C2"/>
      <c r="D2"/>
      <c r="E2"/>
      <c r="F2"/>
    </row>
    <row r="3" spans="1:7" ht="49.2" customHeight="1" x14ac:dyDescent="0.3">
      <c r="B3" s="3" t="s">
        <v>0</v>
      </c>
      <c r="C3" s="78" t="s">
        <v>46</v>
      </c>
      <c r="D3" s="88" t="s">
        <v>25</v>
      </c>
      <c r="E3" s="88"/>
      <c r="F3"/>
    </row>
    <row r="4" spans="1:7" ht="10.050000000000001" customHeight="1" x14ac:dyDescent="0.3">
      <c r="C4" s="79" t="s">
        <v>47</v>
      </c>
      <c r="D4" s="88"/>
      <c r="E4" s="88"/>
      <c r="F4"/>
    </row>
    <row r="5" spans="1:7" ht="10.050000000000001" customHeight="1" x14ac:dyDescent="0.3">
      <c r="C5" s="79"/>
      <c r="D5" s="88"/>
      <c r="E5" s="88"/>
      <c r="F5"/>
    </row>
    <row r="6" spans="1:7" ht="19.95" customHeight="1" x14ac:dyDescent="0.3">
      <c r="B6" s="9" t="s">
        <v>0</v>
      </c>
      <c r="C6" s="79"/>
    </row>
    <row r="7" spans="1:7" ht="10.050000000000001" customHeight="1" x14ac:dyDescent="0.3">
      <c r="B7" s="40"/>
      <c r="C7" s="79"/>
    </row>
    <row r="8" spans="1:7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</row>
    <row r="9" spans="1:7" ht="10.050000000000001" hidden="1" customHeight="1" outlineLevel="1" x14ac:dyDescent="0.3">
      <c r="A9"/>
      <c r="B9" s="75"/>
      <c r="C9"/>
      <c r="D9"/>
      <c r="E9"/>
      <c r="F9"/>
    </row>
    <row r="10" spans="1:7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</row>
    <row r="11" spans="1:7" ht="10.050000000000001" hidden="1" customHeight="1" outlineLevel="1" x14ac:dyDescent="0.3">
      <c r="C11" s="4"/>
      <c r="D11" s="76"/>
      <c r="E11" s="76"/>
      <c r="F11" s="76"/>
    </row>
    <row r="12" spans="1:7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85" t="s">
        <v>20</v>
      </c>
    </row>
    <row r="13" spans="1:7" ht="10.050000000000001" customHeight="1" outlineLevel="1" x14ac:dyDescent="0.3">
      <c r="A13"/>
      <c r="B13"/>
      <c r="C13"/>
      <c r="D13"/>
      <c r="E13"/>
      <c r="F13"/>
    </row>
    <row r="14" spans="1:7" ht="19.95" customHeight="1" outlineLevel="1" x14ac:dyDescent="0.35">
      <c r="B14" s="9" t="s">
        <v>0</v>
      </c>
      <c r="C14" s="10"/>
      <c r="D14" s="45"/>
      <c r="E14" s="8"/>
      <c r="F14" s="8"/>
    </row>
    <row r="15" spans="1:7" ht="10.050000000000001" customHeight="1" outlineLevel="1" x14ac:dyDescent="0.3">
      <c r="B15" s="11"/>
      <c r="C15" s="46"/>
      <c r="D15" s="46"/>
      <c r="E15" s="46"/>
      <c r="F15" s="46"/>
    </row>
    <row r="16" spans="1:7" ht="14.4" hidden="1" customHeight="1" outlineLevel="2" x14ac:dyDescent="0.3">
      <c r="A16" s="47"/>
      <c r="B16" s="48"/>
      <c r="C16" s="13" t="s">
        <v>3</v>
      </c>
      <c r="D16" s="14" t="s">
        <v>52</v>
      </c>
      <c r="E16" s="14" t="s">
        <v>54</v>
      </c>
      <c r="F16" s="14" t="s">
        <v>54</v>
      </c>
    </row>
    <row r="17" spans="1:6" ht="14.4" hidden="1" customHeight="1" outlineLevel="2" x14ac:dyDescent="0.3">
      <c r="A17" s="47"/>
      <c r="B17" s="49"/>
      <c r="C17" s="16" t="s">
        <v>7</v>
      </c>
      <c r="D17" s="50">
        <v>9.0909090909090898E-2</v>
      </c>
      <c r="E17" s="50">
        <v>0.27272727272727199</v>
      </c>
      <c r="F17" s="50">
        <v>0.97727272727272696</v>
      </c>
    </row>
    <row r="18" spans="1:6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</row>
    <row r="19" spans="1:6" ht="14.4" hidden="1" customHeight="1" outlineLevel="2" x14ac:dyDescent="0.3">
      <c r="B19" s="15"/>
      <c r="C19" s="30" t="s">
        <v>5</v>
      </c>
      <c r="D19" s="50">
        <v>0.29693741677762903</v>
      </c>
      <c r="E19" s="50">
        <v>0.234354194407456</v>
      </c>
      <c r="F19" s="50">
        <v>0.234354194407456</v>
      </c>
    </row>
    <row r="20" spans="1:6" ht="14.4" hidden="1" customHeight="1" outlineLevel="2" x14ac:dyDescent="0.3">
      <c r="B20" s="15"/>
      <c r="C20" s="16" t="s">
        <v>4</v>
      </c>
      <c r="D20" s="14">
        <v>446</v>
      </c>
      <c r="E20" s="14">
        <v>352</v>
      </c>
      <c r="F20" s="14">
        <v>352</v>
      </c>
    </row>
    <row r="21" spans="1:6" ht="14.4" hidden="1" customHeight="1" outlineLevel="2" x14ac:dyDescent="0.3">
      <c r="B21" s="15"/>
      <c r="C21" s="16" t="s">
        <v>6</v>
      </c>
      <c r="D21" s="14">
        <v>4</v>
      </c>
      <c r="E21" s="14">
        <v>12</v>
      </c>
      <c r="F21" s="14">
        <v>43</v>
      </c>
    </row>
    <row r="22" spans="1:6" ht="14.4" hidden="1" customHeight="1" outlineLevel="2" x14ac:dyDescent="0.3">
      <c r="B22" s="15"/>
      <c r="C22" s="16" t="s">
        <v>8</v>
      </c>
      <c r="D22" s="14">
        <v>44</v>
      </c>
      <c r="E22" s="14">
        <v>44</v>
      </c>
      <c r="F22" s="14">
        <v>44</v>
      </c>
    </row>
    <row r="23" spans="1:6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</row>
    <row r="24" spans="1:6" ht="10.050000000000001" hidden="1" customHeight="1" outlineLevel="2" x14ac:dyDescent="0.3">
      <c r="B24" s="11"/>
      <c r="D24" s="8"/>
      <c r="E24" s="8"/>
      <c r="F24" s="8"/>
    </row>
    <row r="25" spans="1:6" ht="150" hidden="1" customHeight="1" outlineLevel="2" x14ac:dyDescent="0.3">
      <c r="B25" s="20"/>
      <c r="C25" s="21"/>
      <c r="D25" s="22"/>
      <c r="E25" s="22"/>
      <c r="F25" s="22"/>
    </row>
    <row r="26" spans="1:6" ht="10.050000000000001" hidden="1" customHeight="1" outlineLevel="2" x14ac:dyDescent="0.3">
      <c r="B26" s="23"/>
      <c r="D26" s="8"/>
      <c r="E26" s="8"/>
      <c r="F26" s="8"/>
    </row>
    <row r="27" spans="1:6" ht="19.95" customHeight="1" outlineLevel="1" collapsed="1" x14ac:dyDescent="0.3">
      <c r="B27" s="9" t="s">
        <v>0</v>
      </c>
      <c r="C27" s="10"/>
      <c r="D27" s="8"/>
      <c r="E27" s="8"/>
      <c r="F27" s="8"/>
    </row>
    <row r="28" spans="1:6" ht="10.050000000000001" customHeight="1" outlineLevel="1" x14ac:dyDescent="0.3">
      <c r="A28" s="24"/>
      <c r="B28" s="25"/>
      <c r="C28" s="26"/>
      <c r="D28" s="8"/>
      <c r="E28" s="8"/>
      <c r="F28" s="8"/>
    </row>
    <row r="29" spans="1:6" ht="14.4" hidden="1" customHeight="1" outlineLevel="2" x14ac:dyDescent="0.35">
      <c r="B29" s="12"/>
      <c r="C29" s="13" t="s">
        <v>11</v>
      </c>
      <c r="D29" s="27"/>
      <c r="E29" s="27">
        <v>9</v>
      </c>
      <c r="F29" s="27">
        <v>7.5006818181818096</v>
      </c>
    </row>
    <row r="30" spans="1:6" ht="14.4" hidden="1" customHeight="1" outlineLevel="2" x14ac:dyDescent="0.3">
      <c r="B30" s="15"/>
      <c r="C30" s="17" t="s">
        <v>12</v>
      </c>
      <c r="D30" s="28"/>
      <c r="E30" s="28">
        <v>8</v>
      </c>
      <c r="F30" s="28">
        <v>7.52</v>
      </c>
    </row>
    <row r="31" spans="1:6" ht="14.4" hidden="1" customHeight="1" outlineLevel="2" x14ac:dyDescent="0.3">
      <c r="B31" s="15"/>
      <c r="C31" s="16" t="s">
        <v>13</v>
      </c>
      <c r="D31" s="18" t="s">
        <v>53</v>
      </c>
      <c r="E31" s="18">
        <v>8</v>
      </c>
      <c r="F31" s="18">
        <v>8.84</v>
      </c>
    </row>
    <row r="32" spans="1:6" ht="14.4" hidden="1" customHeight="1" outlineLevel="2" x14ac:dyDescent="0.3">
      <c r="B32" s="15"/>
      <c r="C32" s="17" t="s">
        <v>14</v>
      </c>
      <c r="D32" s="29"/>
      <c r="E32" s="29">
        <v>3.1988369979626698</v>
      </c>
      <c r="F32" s="29">
        <v>1.9589251890784101</v>
      </c>
    </row>
    <row r="33" spans="1:6" ht="14.4" hidden="1" customHeight="1" outlineLevel="2" x14ac:dyDescent="0.3">
      <c r="B33" s="15"/>
      <c r="C33" s="30" t="s">
        <v>15</v>
      </c>
      <c r="D33" s="27"/>
      <c r="E33" s="27">
        <v>10.232558139534801</v>
      </c>
      <c r="F33" s="27">
        <v>3.83738789640591</v>
      </c>
    </row>
    <row r="34" spans="1:6" ht="10.050000000000001" hidden="1" customHeight="1" outlineLevel="2" x14ac:dyDescent="0.3">
      <c r="B34" s="11"/>
      <c r="D34" s="8"/>
      <c r="E34" s="8"/>
      <c r="F34" s="8"/>
    </row>
    <row r="35" spans="1:6" ht="150" hidden="1" customHeight="1" outlineLevel="2" x14ac:dyDescent="0.3">
      <c r="A35" s="24"/>
      <c r="B35" s="20"/>
      <c r="C35" s="21"/>
      <c r="D35" s="22"/>
      <c r="E35" s="22"/>
      <c r="F35" s="22"/>
    </row>
    <row r="36" spans="1:6" ht="10.050000000000001" hidden="1" customHeight="1" outlineLevel="2" x14ac:dyDescent="0.3">
      <c r="A36" s="24"/>
      <c r="B36" s="20"/>
      <c r="C36" s="31"/>
      <c r="D36" s="8"/>
      <c r="E36" s="8"/>
      <c r="F36" s="8"/>
    </row>
    <row r="37" spans="1:6" ht="19.95" customHeight="1" outlineLevel="1" collapsed="1" x14ac:dyDescent="0.3">
      <c r="B37" s="9" t="s">
        <v>0</v>
      </c>
      <c r="C37" s="10"/>
      <c r="D37" s="8"/>
      <c r="E37" s="8"/>
      <c r="F37" s="8"/>
    </row>
    <row r="38" spans="1:6" ht="10.050000000000001" customHeight="1" outlineLevel="1" x14ac:dyDescent="0.3">
      <c r="A38" s="24"/>
      <c r="B38" s="25"/>
      <c r="C38" s="26"/>
      <c r="D38" s="8"/>
      <c r="E38" s="8"/>
      <c r="F38" s="8"/>
    </row>
    <row r="39" spans="1:6" ht="14.4" hidden="1" customHeight="1" outlineLevel="2" x14ac:dyDescent="0.35">
      <c r="B39" s="12"/>
      <c r="C39" s="32" t="s">
        <v>16</v>
      </c>
      <c r="D39" s="29"/>
      <c r="E39" s="29">
        <v>4</v>
      </c>
      <c r="F39" s="29">
        <v>3.1</v>
      </c>
    </row>
    <row r="40" spans="1:6" ht="14.4" hidden="1" customHeight="1" outlineLevel="2" x14ac:dyDescent="0.3">
      <c r="B40" s="11"/>
      <c r="C40" s="33">
        <v>0.05</v>
      </c>
      <c r="D40" s="27"/>
      <c r="E40" s="27">
        <v>4.1500000000000004</v>
      </c>
      <c r="F40" s="27">
        <v>4.7519999999999998</v>
      </c>
    </row>
    <row r="41" spans="1:6" ht="14.4" hidden="1" customHeight="1" outlineLevel="2" x14ac:dyDescent="0.3">
      <c r="B41" s="11"/>
      <c r="C41" s="34">
        <v>0.25</v>
      </c>
      <c r="D41" s="29"/>
      <c r="E41" s="29">
        <v>7</v>
      </c>
      <c r="F41" s="29">
        <v>6.1174999999999997</v>
      </c>
    </row>
    <row r="42" spans="1:6" ht="14.4" hidden="1" customHeight="1" outlineLevel="2" x14ac:dyDescent="0.3">
      <c r="B42" s="11"/>
      <c r="C42" s="33">
        <v>0.5</v>
      </c>
      <c r="D42" s="27"/>
      <c r="E42" s="27">
        <v>8</v>
      </c>
      <c r="F42" s="27">
        <v>7.52</v>
      </c>
    </row>
    <row r="43" spans="1:6" ht="14.4" hidden="1" customHeight="1" outlineLevel="2" x14ac:dyDescent="0.3">
      <c r="B43" s="11"/>
      <c r="C43" s="34">
        <v>0.75</v>
      </c>
      <c r="D43" s="29"/>
      <c r="E43" s="29">
        <v>11</v>
      </c>
      <c r="F43" s="29">
        <v>8.7475000000000005</v>
      </c>
    </row>
    <row r="44" spans="1:6" ht="14.4" hidden="1" customHeight="1" outlineLevel="2" x14ac:dyDescent="0.3">
      <c r="B44" s="11"/>
      <c r="C44" s="33">
        <v>0.95</v>
      </c>
      <c r="D44" s="27"/>
      <c r="E44" s="27">
        <v>14</v>
      </c>
      <c r="F44" s="27">
        <v>10.708</v>
      </c>
    </row>
    <row r="45" spans="1:6" ht="14.4" hidden="1" customHeight="1" outlineLevel="2" x14ac:dyDescent="0.3">
      <c r="B45" s="11"/>
      <c r="C45" s="34" t="s">
        <v>17</v>
      </c>
      <c r="D45" s="29"/>
      <c r="E45" s="29">
        <v>19</v>
      </c>
      <c r="F45" s="29">
        <v>12.74</v>
      </c>
    </row>
    <row r="46" spans="1:6" ht="14.4" hidden="1" customHeight="1" outlineLevel="2" x14ac:dyDescent="0.3">
      <c r="B46" s="11"/>
      <c r="C46" s="16" t="s">
        <v>18</v>
      </c>
      <c r="D46" s="27"/>
      <c r="E46" s="27">
        <v>15</v>
      </c>
      <c r="F46" s="27">
        <v>9.64</v>
      </c>
    </row>
    <row r="47" spans="1:6" ht="14.4" hidden="1" customHeight="1" outlineLevel="2" x14ac:dyDescent="0.3">
      <c r="B47" s="23"/>
      <c r="C47" s="19" t="s">
        <v>19</v>
      </c>
      <c r="D47" s="29"/>
      <c r="E47" s="29">
        <v>4</v>
      </c>
      <c r="F47" s="29">
        <v>2.63</v>
      </c>
    </row>
    <row r="48" spans="1:6" ht="10.050000000000001" hidden="1" customHeight="1" outlineLevel="2" x14ac:dyDescent="0.3">
      <c r="B48" s="23"/>
      <c r="D48" s="8"/>
      <c r="E48" s="8"/>
      <c r="F48" s="8"/>
    </row>
    <row r="49" spans="1:6" ht="19.95" customHeight="1" outlineLevel="1" collapsed="1" x14ac:dyDescent="0.3">
      <c r="A49" s="40"/>
      <c r="B49" s="9" t="s">
        <v>0</v>
      </c>
      <c r="C49" s="10"/>
      <c r="D49" s="8"/>
      <c r="E49" s="8"/>
      <c r="F49" s="8"/>
    </row>
    <row r="50" spans="1:6" ht="10.050000000000001" customHeight="1" outlineLevel="1" x14ac:dyDescent="0.3">
      <c r="A50" s="40"/>
      <c r="B50" s="25"/>
      <c r="D50" s="8"/>
      <c r="E50" s="8"/>
      <c r="F50" s="8"/>
    </row>
    <row r="51" spans="1:6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</row>
    <row r="52" spans="1:6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</row>
    <row r="53" spans="1:6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</row>
    <row r="54" spans="1:6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</row>
    <row r="55" spans="1:6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</row>
    <row r="56" spans="1:6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</row>
    <row r="57" spans="1:6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</row>
    <row r="58" spans="1:6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</row>
    <row r="59" spans="1:6" ht="10.050000000000001" hidden="1" customHeight="1" outlineLevel="2" x14ac:dyDescent="0.3">
      <c r="B59" s="20"/>
      <c r="D59" s="8"/>
      <c r="E59" s="8"/>
      <c r="F59" s="8"/>
    </row>
    <row r="60" spans="1:6" ht="19.95" customHeight="1" outlineLevel="1" collapsed="1" x14ac:dyDescent="0.3">
      <c r="A60" s="40"/>
      <c r="B60" s="9" t="s">
        <v>0</v>
      </c>
      <c r="C60" s="10"/>
      <c r="D60" s="8"/>
      <c r="E60" s="8"/>
      <c r="F60" s="8"/>
    </row>
    <row r="61" spans="1:6" ht="10.050000000000001" customHeight="1" outlineLevel="1" x14ac:dyDescent="0.3">
      <c r="A61" s="40"/>
      <c r="B61" s="9"/>
      <c r="C61" s="10"/>
      <c r="D61" s="8"/>
      <c r="E61" s="8"/>
      <c r="F61" s="8"/>
    </row>
    <row r="62" spans="1:6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6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6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7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7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7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7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7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7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7" ht="10.050000000000001" customHeight="1" outlineLevel="2" x14ac:dyDescent="0.3">
      <c r="B71" s="20"/>
      <c r="C71" s="37"/>
      <c r="D71" s="38"/>
      <c r="E71" s="38"/>
      <c r="F71" s="38"/>
    </row>
    <row r="72" spans="1:7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97" t="s">
        <v>20</v>
      </c>
    </row>
    <row r="73" spans="1:7" x14ac:dyDescent="0.3">
      <c r="C73" s="41" t="b">
        <v>0</v>
      </c>
      <c r="D73" s="42" t="s">
        <v>53</v>
      </c>
      <c r="E73" s="42">
        <v>10</v>
      </c>
      <c r="F73" s="42">
        <v>8.0399999999999991</v>
      </c>
      <c r="G73" s="111">
        <v>2.8454094130192502E+18</v>
      </c>
    </row>
    <row r="74" spans="1:7" x14ac:dyDescent="0.3">
      <c r="C74" s="41" t="b">
        <v>0</v>
      </c>
      <c r="D74" s="42" t="s">
        <v>53</v>
      </c>
      <c r="E74" s="42">
        <v>8</v>
      </c>
      <c r="F74" s="42">
        <v>6.95</v>
      </c>
      <c r="G74" s="111">
        <v>1.0836384747149199E+19</v>
      </c>
    </row>
    <row r="75" spans="1:7" x14ac:dyDescent="0.3">
      <c r="C75" s="41" t="b">
        <v>0</v>
      </c>
      <c r="D75" s="42" t="s">
        <v>53</v>
      </c>
      <c r="E75" s="42">
        <v>13</v>
      </c>
      <c r="F75" s="42">
        <v>7.58</v>
      </c>
      <c r="G75" s="111">
        <v>6.5527174279685898E+18</v>
      </c>
    </row>
    <row r="76" spans="1:7" x14ac:dyDescent="0.3">
      <c r="C76" s="41" t="b">
        <v>0</v>
      </c>
      <c r="D76" s="42" t="s">
        <v>53</v>
      </c>
      <c r="E76" s="42">
        <v>9</v>
      </c>
      <c r="F76" s="42">
        <v>8.81</v>
      </c>
      <c r="G76" s="111">
        <v>4.4642553426489999E+18</v>
      </c>
    </row>
    <row r="77" spans="1:7" x14ac:dyDescent="0.3">
      <c r="C77" s="41" t="b">
        <v>0</v>
      </c>
      <c r="D77" s="42" t="s">
        <v>53</v>
      </c>
      <c r="E77" s="42">
        <v>11</v>
      </c>
      <c r="F77" s="42">
        <v>8.33</v>
      </c>
      <c r="G77" s="111">
        <v>6.89321540516049E+18</v>
      </c>
    </row>
    <row r="78" spans="1:7" x14ac:dyDescent="0.3">
      <c r="C78" s="41" t="b">
        <v>0</v>
      </c>
      <c r="D78" s="42" t="s">
        <v>53</v>
      </c>
      <c r="E78" s="42">
        <v>14</v>
      </c>
      <c r="F78" s="42">
        <v>9.9600000000000009</v>
      </c>
      <c r="G78" s="111">
        <v>3.9810440011071302E+17</v>
      </c>
    </row>
    <row r="79" spans="1:7" x14ac:dyDescent="0.3">
      <c r="C79" s="41" t="b">
        <v>0</v>
      </c>
      <c r="D79" s="42" t="s">
        <v>53</v>
      </c>
      <c r="E79" s="42">
        <v>6</v>
      </c>
      <c r="F79" s="42">
        <v>7.24</v>
      </c>
      <c r="G79" s="111">
        <v>1.41042559780684E+19</v>
      </c>
    </row>
    <row r="80" spans="1:7" x14ac:dyDescent="0.3">
      <c r="C80" s="41" t="b">
        <v>0</v>
      </c>
      <c r="D80" s="42" t="s">
        <v>53</v>
      </c>
      <c r="E80" s="42">
        <v>4</v>
      </c>
      <c r="F80" s="42">
        <v>4.26</v>
      </c>
      <c r="G80" s="111">
        <v>9.4385819246966108E+18</v>
      </c>
    </row>
    <row r="81" spans="3:7" x14ac:dyDescent="0.3">
      <c r="C81" s="41" t="b">
        <v>0</v>
      </c>
      <c r="D81" s="42" t="s">
        <v>53</v>
      </c>
      <c r="E81" s="42">
        <v>12</v>
      </c>
      <c r="F81" s="42">
        <v>10.84</v>
      </c>
      <c r="G81" s="111">
        <v>9.5530720481987092E+18</v>
      </c>
    </row>
    <row r="82" spans="3:7" x14ac:dyDescent="0.3">
      <c r="C82" s="41" t="b">
        <v>0</v>
      </c>
      <c r="D82" s="42" t="s">
        <v>53</v>
      </c>
      <c r="E82" s="42">
        <v>7</v>
      </c>
      <c r="F82" s="42">
        <v>4.82</v>
      </c>
      <c r="G82" s="111">
        <v>7.8074761636836997E+18</v>
      </c>
    </row>
    <row r="83" spans="3:7" x14ac:dyDescent="0.3">
      <c r="C83" s="41" t="b">
        <v>0</v>
      </c>
      <c r="D83" s="42" t="s">
        <v>53</v>
      </c>
      <c r="E83" s="42">
        <v>5</v>
      </c>
      <c r="F83" s="42">
        <v>5.68</v>
      </c>
      <c r="G83" s="111">
        <v>7.4073668418141604E+18</v>
      </c>
    </row>
    <row r="84" spans="3:7" x14ac:dyDescent="0.3">
      <c r="C84" s="41" t="b">
        <v>0</v>
      </c>
      <c r="D84" s="42" t="s">
        <v>55</v>
      </c>
      <c r="E84" s="42">
        <v>10</v>
      </c>
      <c r="F84" s="42">
        <v>9.14</v>
      </c>
      <c r="G84" s="111">
        <v>5.4922571149654804E+18</v>
      </c>
    </row>
    <row r="85" spans="3:7" x14ac:dyDescent="0.3">
      <c r="C85" s="41" t="b">
        <v>0</v>
      </c>
      <c r="D85" s="42" t="s">
        <v>55</v>
      </c>
      <c r="E85" s="42">
        <v>8</v>
      </c>
      <c r="F85" s="42">
        <v>8.14</v>
      </c>
      <c r="G85" s="111">
        <v>2.95358080871987E+18</v>
      </c>
    </row>
    <row r="86" spans="3:7" x14ac:dyDescent="0.3">
      <c r="C86" s="41" t="b">
        <v>0</v>
      </c>
      <c r="D86" s="42" t="s">
        <v>55</v>
      </c>
      <c r="E86" s="42">
        <v>13</v>
      </c>
      <c r="F86" s="42">
        <v>8.74</v>
      </c>
      <c r="G86" s="111">
        <v>5394748437137050</v>
      </c>
    </row>
    <row r="87" spans="3:7" x14ac:dyDescent="0.3">
      <c r="C87" s="41" t="b">
        <v>0</v>
      </c>
      <c r="D87" s="42" t="s">
        <v>55</v>
      </c>
      <c r="E87" s="42">
        <v>9</v>
      </c>
      <c r="F87" s="42">
        <v>8.77</v>
      </c>
      <c r="G87" s="111">
        <v>5.4152788655851397E+18</v>
      </c>
    </row>
    <row r="88" spans="3:7" x14ac:dyDescent="0.3">
      <c r="C88" s="41" t="b">
        <v>0</v>
      </c>
      <c r="D88" s="42" t="s">
        <v>55</v>
      </c>
      <c r="E88" s="42">
        <v>11</v>
      </c>
      <c r="F88" s="42">
        <v>9.26</v>
      </c>
      <c r="G88" s="111">
        <v>9.5236052591229809E+18</v>
      </c>
    </row>
    <row r="89" spans="3:7" x14ac:dyDescent="0.3">
      <c r="C89" s="41" t="b">
        <v>0</v>
      </c>
      <c r="D89" s="42" t="s">
        <v>55</v>
      </c>
      <c r="E89" s="42">
        <v>14</v>
      </c>
      <c r="F89" s="42">
        <v>8.1</v>
      </c>
      <c r="G89" s="111">
        <v>1.12903780567295E+18</v>
      </c>
    </row>
    <row r="90" spans="3:7" x14ac:dyDescent="0.3">
      <c r="C90" s="41" t="b">
        <v>0</v>
      </c>
      <c r="D90" s="42" t="s">
        <v>55</v>
      </c>
      <c r="E90" s="42">
        <v>6</v>
      </c>
      <c r="F90" s="42">
        <v>6.13</v>
      </c>
      <c r="G90" s="111">
        <v>1.6978976512457601E+19</v>
      </c>
    </row>
    <row r="91" spans="3:7" x14ac:dyDescent="0.3">
      <c r="C91" s="41" t="b">
        <v>0</v>
      </c>
      <c r="D91" s="42" t="s">
        <v>55</v>
      </c>
      <c r="E91" s="42">
        <v>4</v>
      </c>
      <c r="F91" s="42">
        <v>3.1</v>
      </c>
      <c r="G91" s="111">
        <v>1.20809234738852E+19</v>
      </c>
    </row>
    <row r="92" spans="3:7" x14ac:dyDescent="0.3">
      <c r="C92" s="41" t="b">
        <v>0</v>
      </c>
      <c r="D92" s="42" t="s">
        <v>55</v>
      </c>
      <c r="E92" s="42">
        <v>12</v>
      </c>
      <c r="F92" s="42">
        <v>9.1300000000000008</v>
      </c>
      <c r="G92" s="111">
        <v>1.7246476809089499E+19</v>
      </c>
    </row>
    <row r="93" spans="3:7" x14ac:dyDescent="0.3">
      <c r="C93" s="41" t="b">
        <v>0</v>
      </c>
      <c r="D93" s="42" t="s">
        <v>55</v>
      </c>
      <c r="E93" s="42">
        <v>7</v>
      </c>
      <c r="F93" s="42">
        <v>7.26</v>
      </c>
      <c r="G93" s="111">
        <v>1.1746225231691901E+19</v>
      </c>
    </row>
    <row r="94" spans="3:7" x14ac:dyDescent="0.3">
      <c r="C94" s="41" t="b">
        <v>0</v>
      </c>
      <c r="D94" s="42" t="s">
        <v>55</v>
      </c>
      <c r="E94" s="42">
        <v>5</v>
      </c>
      <c r="F94" s="42">
        <v>4.74</v>
      </c>
      <c r="G94" s="111">
        <v>9.1238366854069504E+18</v>
      </c>
    </row>
    <row r="95" spans="3:7" x14ac:dyDescent="0.3">
      <c r="C95" s="41" t="b">
        <v>0</v>
      </c>
      <c r="D95" s="42" t="s">
        <v>56</v>
      </c>
      <c r="E95" s="42">
        <v>10</v>
      </c>
      <c r="F95" s="42">
        <v>7.46</v>
      </c>
      <c r="G95" s="111">
        <v>2.1472340387593001E+18</v>
      </c>
    </row>
    <row r="96" spans="3:7" x14ac:dyDescent="0.3">
      <c r="C96" s="41" t="b">
        <v>0</v>
      </c>
      <c r="D96" s="42" t="s">
        <v>56</v>
      </c>
      <c r="E96" s="42">
        <v>8</v>
      </c>
      <c r="F96" s="42">
        <v>6.77</v>
      </c>
      <c r="G96" s="111">
        <v>1.6826749592604899E+19</v>
      </c>
    </row>
    <row r="97" spans="3:7" x14ac:dyDescent="0.3">
      <c r="C97" s="41" t="b">
        <v>0</v>
      </c>
      <c r="D97" s="42" t="s">
        <v>56</v>
      </c>
      <c r="E97" s="42">
        <v>13</v>
      </c>
      <c r="F97" s="42">
        <v>12.74</v>
      </c>
      <c r="G97" s="111">
        <v>1.58888556534295E+19</v>
      </c>
    </row>
    <row r="98" spans="3:7" x14ac:dyDescent="0.3">
      <c r="C98" s="41" t="b">
        <v>0</v>
      </c>
      <c r="D98" s="42" t="s">
        <v>56</v>
      </c>
      <c r="E98" s="42">
        <v>9</v>
      </c>
      <c r="F98" s="42">
        <v>7.11</v>
      </c>
      <c r="G98" s="111">
        <v>1.80347174522984E+19</v>
      </c>
    </row>
    <row r="99" spans="3:7" x14ac:dyDescent="0.3">
      <c r="C99" s="41" t="b">
        <v>0</v>
      </c>
      <c r="D99" s="42" t="s">
        <v>56</v>
      </c>
      <c r="E99" s="42">
        <v>11</v>
      </c>
      <c r="F99" s="42">
        <v>7.81</v>
      </c>
      <c r="G99" s="111">
        <v>9.0627707655893197E+18</v>
      </c>
    </row>
    <row r="100" spans="3:7" x14ac:dyDescent="0.3">
      <c r="C100" s="41" t="b">
        <v>0</v>
      </c>
      <c r="D100" s="42" t="s">
        <v>56</v>
      </c>
      <c r="E100" s="42">
        <v>14</v>
      </c>
      <c r="F100" s="42">
        <v>8.84</v>
      </c>
      <c r="G100" s="111">
        <v>1.52505983479807E+19</v>
      </c>
    </row>
    <row r="101" spans="3:7" x14ac:dyDescent="0.3">
      <c r="C101" s="41" t="b">
        <v>0</v>
      </c>
      <c r="D101" s="42" t="s">
        <v>56</v>
      </c>
      <c r="E101" s="42">
        <v>6</v>
      </c>
      <c r="F101" s="42">
        <v>6.08</v>
      </c>
      <c r="G101" s="111">
        <v>1.79854231005149E+18</v>
      </c>
    </row>
    <row r="102" spans="3:7" x14ac:dyDescent="0.3">
      <c r="C102" s="41" t="b">
        <v>0</v>
      </c>
      <c r="D102" s="42" t="s">
        <v>56</v>
      </c>
      <c r="E102" s="42">
        <v>4</v>
      </c>
      <c r="F102" s="42">
        <v>5.39</v>
      </c>
      <c r="G102" s="111">
        <v>9.7371911615824794E+18</v>
      </c>
    </row>
    <row r="103" spans="3:7" x14ac:dyDescent="0.3">
      <c r="C103" s="41" t="b">
        <v>0</v>
      </c>
      <c r="D103" s="42" t="s">
        <v>56</v>
      </c>
      <c r="E103" s="42">
        <v>12</v>
      </c>
      <c r="F103" s="42">
        <v>8.15</v>
      </c>
      <c r="G103" s="111">
        <v>5.4454045529280205E+18</v>
      </c>
    </row>
    <row r="104" spans="3:7" x14ac:dyDescent="0.3">
      <c r="C104" s="41" t="b">
        <v>0</v>
      </c>
      <c r="D104" s="42" t="s">
        <v>56</v>
      </c>
      <c r="E104" s="42">
        <v>7</v>
      </c>
      <c r="F104" s="42">
        <v>6.42</v>
      </c>
      <c r="G104" s="111">
        <v>1.2001983730747001E+19</v>
      </c>
    </row>
    <row r="105" spans="3:7" x14ac:dyDescent="0.3">
      <c r="C105" s="41" t="b">
        <v>0</v>
      </c>
      <c r="D105" s="42" t="s">
        <v>56</v>
      </c>
      <c r="E105" s="42">
        <v>5</v>
      </c>
      <c r="F105" s="42">
        <v>5.73</v>
      </c>
      <c r="G105" s="111">
        <v>1.05086329199506E+19</v>
      </c>
    </row>
    <row r="106" spans="3:7" x14ac:dyDescent="0.3">
      <c r="C106" s="41" t="b">
        <v>0</v>
      </c>
      <c r="D106" s="42" t="s">
        <v>57</v>
      </c>
      <c r="E106" s="42">
        <v>8</v>
      </c>
      <c r="F106" s="42">
        <v>6.58</v>
      </c>
      <c r="G106" s="111">
        <v>5.7929059739542497E+18</v>
      </c>
    </row>
    <row r="107" spans="3:7" x14ac:dyDescent="0.3">
      <c r="C107" s="41" t="b">
        <v>0</v>
      </c>
      <c r="D107" s="42" t="s">
        <v>57</v>
      </c>
      <c r="E107" s="42">
        <v>8</v>
      </c>
      <c r="F107" s="42">
        <v>5.76</v>
      </c>
      <c r="G107" s="111">
        <v>5.6834675159801999E+18</v>
      </c>
    </row>
    <row r="108" spans="3:7" x14ac:dyDescent="0.3">
      <c r="C108" s="41" t="b">
        <v>0</v>
      </c>
      <c r="D108" s="42" t="s">
        <v>57</v>
      </c>
      <c r="E108" s="42">
        <v>8</v>
      </c>
      <c r="F108" s="42">
        <v>7.71</v>
      </c>
      <c r="G108" s="111">
        <v>5.9998283002785096E+18</v>
      </c>
    </row>
    <row r="109" spans="3:7" x14ac:dyDescent="0.3">
      <c r="C109" s="41" t="b">
        <v>0</v>
      </c>
      <c r="D109" s="42" t="s">
        <v>57</v>
      </c>
      <c r="E109" s="42">
        <v>8</v>
      </c>
      <c r="F109" s="42">
        <v>8.84</v>
      </c>
      <c r="G109" s="111">
        <v>5.5327752545114798E+18</v>
      </c>
    </row>
    <row r="110" spans="3:7" x14ac:dyDescent="0.3">
      <c r="C110" s="41" t="b">
        <v>0</v>
      </c>
      <c r="D110" s="42" t="s">
        <v>57</v>
      </c>
      <c r="E110" s="42">
        <v>8</v>
      </c>
      <c r="F110" s="42">
        <v>8.4700000000000006</v>
      </c>
      <c r="G110" s="111">
        <v>8.2211065989950904E+18</v>
      </c>
    </row>
    <row r="111" spans="3:7" x14ac:dyDescent="0.3">
      <c r="C111" s="41" t="b">
        <v>0</v>
      </c>
      <c r="D111" s="42" t="s">
        <v>57</v>
      </c>
      <c r="E111" s="42">
        <v>8</v>
      </c>
      <c r="F111" s="42">
        <v>7.04</v>
      </c>
      <c r="G111" s="111">
        <v>1.5882094272543001E+19</v>
      </c>
    </row>
    <row r="112" spans="3:7" x14ac:dyDescent="0.3">
      <c r="C112" s="41" t="b">
        <v>0</v>
      </c>
      <c r="D112" s="42" t="s">
        <v>57</v>
      </c>
      <c r="E112" s="42">
        <v>8</v>
      </c>
      <c r="F112" s="42">
        <v>5.25</v>
      </c>
      <c r="G112" s="111">
        <v>1.57735777312798E+19</v>
      </c>
    </row>
    <row r="113" spans="3:7" x14ac:dyDescent="0.3">
      <c r="C113" s="41" t="b">
        <v>0</v>
      </c>
      <c r="D113" s="42" t="s">
        <v>57</v>
      </c>
      <c r="E113" s="42">
        <v>19</v>
      </c>
      <c r="F113" s="42">
        <v>12.5</v>
      </c>
      <c r="G113" s="111">
        <v>8.7740009195292396E+18</v>
      </c>
    </row>
    <row r="114" spans="3:7" x14ac:dyDescent="0.3">
      <c r="C114" s="41" t="b">
        <v>0</v>
      </c>
      <c r="D114" s="42" t="s">
        <v>57</v>
      </c>
      <c r="E114" s="42">
        <v>8</v>
      </c>
      <c r="F114" s="42">
        <v>5.56</v>
      </c>
      <c r="G114" s="111">
        <v>1.5586345677435601E+19</v>
      </c>
    </row>
    <row r="115" spans="3:7" x14ac:dyDescent="0.3">
      <c r="C115" s="41" t="b">
        <v>0</v>
      </c>
      <c r="D115" s="42" t="s">
        <v>57</v>
      </c>
      <c r="E115" s="42">
        <v>8</v>
      </c>
      <c r="F115" s="42">
        <v>7.91</v>
      </c>
      <c r="G115" s="111">
        <v>1.68995586890887E+19</v>
      </c>
    </row>
    <row r="116" spans="3:7" x14ac:dyDescent="0.3">
      <c r="C116" s="41" t="b">
        <v>0</v>
      </c>
      <c r="D116" s="42" t="s">
        <v>57</v>
      </c>
      <c r="E116" s="42">
        <v>8</v>
      </c>
      <c r="F116" s="42">
        <v>6.89</v>
      </c>
      <c r="G116" s="111">
        <v>7.9083629136960297E+18</v>
      </c>
    </row>
  </sheetData>
  <mergeCells count="1">
    <mergeCell ref="D3:E5"/>
  </mergeCells>
  <phoneticPr fontId="15" type="noConversion"/>
  <conditionalFormatting sqref="D25:F25 D71:F71">
    <cfRule type="cellIs" dxfId="26" priority="40" operator="equal">
      <formula>"Notes"</formula>
    </cfRule>
  </conditionalFormatting>
  <conditionalFormatting sqref="D29:F33 D39:F47 D16:F16 D20:F25">
    <cfRule type="cellIs" dxfId="25" priority="41" operator="equal">
      <formula>0</formula>
    </cfRule>
  </conditionalFormatting>
  <conditionalFormatting sqref="D35:F35">
    <cfRule type="cellIs" dxfId="24" priority="39" operator="equal">
      <formula>"Notes"</formula>
    </cfRule>
  </conditionalFormatting>
  <conditionalFormatting sqref="C73:C116">
    <cfRule type="cellIs" dxfId="23" priority="37" operator="equal">
      <formula>FALSE</formula>
    </cfRule>
    <cfRule type="cellIs" dxfId="22" priority="38" operator="notEqual">
      <formula>FALSE</formula>
    </cfRule>
  </conditionalFormatting>
  <conditionalFormatting sqref="D51:E58">
    <cfRule type="cellIs" dxfId="21" priority="35" operator="equal">
      <formula>FALSE</formula>
    </cfRule>
    <cfRule type="cellIs" dxfId="20" priority="36" operator="notEqual">
      <formula>FALSE</formula>
    </cfRule>
  </conditionalFormatting>
  <conditionalFormatting sqref="D10:F10">
    <cfRule type="cellIs" dxfId="19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18" priority="11"/>
  </conditionalFormatting>
  <conditionalFormatting sqref="D3">
    <cfRule type="cellIs" dxfId="17" priority="6" operator="notEqual">
      <formula>"Description"</formula>
    </cfRule>
  </conditionalFormatting>
  <conditionalFormatting sqref="D8:F8">
    <cfRule type="cellIs" dxfId="16" priority="5" operator="notEqual">
      <formula>"Definition"</formula>
    </cfRule>
  </conditionalFormatting>
  <conditionalFormatting sqref="F51:F58">
    <cfRule type="cellIs" dxfId="7" priority="3" operator="equal">
      <formula>FALSE</formula>
    </cfRule>
    <cfRule type="cellIs" dxfId="6" priority="4" operator="notEqual">
      <formula>FALSE</formula>
    </cfRule>
  </conditionalFormatting>
  <conditionalFormatting sqref="F17:F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2" priority="3" operator="equal">
      <formula>"Notes"</formula>
    </cfRule>
  </conditionalFormatting>
  <conditionalFormatting sqref="E6:E7">
    <cfRule type="cellIs" dxfId="11" priority="4" operator="equal">
      <formula>0</formula>
    </cfRule>
  </conditionalFormatting>
  <conditionalFormatting sqref="E2">
    <cfRule type="cellIs" dxfId="10" priority="1" operator="equal">
      <formula>"Notes"</formula>
    </cfRule>
    <cfRule type="cellIs" dxfId="9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2026-05-18T19:42:05Z</dcterms:modified>
</cp:coreProperties>
</file>