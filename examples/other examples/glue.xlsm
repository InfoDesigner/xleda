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 examples\"/>
    </mc:Choice>
  </mc:AlternateContent>
  <xr:revisionPtr revIDLastSave="0" documentId="8_{E8B38AA7-F14C-40F1-8D1C-2377F0F17001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Analysis'!$D$7:$H$7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#REF!,#REF!,#REF!,#REF!,MultiplePlots!$C$4:$E$4</definedName>
    <definedName name="FieldAnalysisTheme" localSheetId="2">#REF!,#REF!,#REF!,SinglePlot!$A$4:$P$4,#REF!</definedName>
    <definedName name="FieldList1" localSheetId="3">#REF!</definedName>
    <definedName name="FieldList1" localSheetId="2">#REF!</definedName>
    <definedName name="FieldList1">'Field Analysis'!$D$57:$H$57</definedName>
    <definedName name="FieldList2" localSheetId="3">#REF!</definedName>
    <definedName name="FieldList2" localSheetId="2">#REF!</definedName>
    <definedName name="FieldList2">'Field Analysis'!$D$58:$H$58</definedName>
    <definedName name="FieldList3" localSheetId="3">#REF!</definedName>
    <definedName name="FieldList3" localSheetId="2">#REF!</definedName>
    <definedName name="FieldList3">'Field Analysis'!$D$59:$H$59</definedName>
    <definedName name="FieldList4" localSheetId="3">#REF!</definedName>
    <definedName name="FieldList4" localSheetId="2">#REF!</definedName>
    <definedName name="FieldList4">'Field Analysis'!$D$60:$H$60</definedName>
    <definedName name="FieldList5" localSheetId="3">#REF!</definedName>
    <definedName name="FieldList5" localSheetId="2">#REF!</definedName>
    <definedName name="FieldList5">'Field Analysis'!$D$61:$H$61</definedName>
    <definedName name="FieldList6" localSheetId="3">#REF!</definedName>
    <definedName name="FieldList6" localSheetId="2">#REF!</definedName>
    <definedName name="FieldList6">'Field Analysis'!$D$62:$H$62</definedName>
    <definedName name="FieldList7">'Field Analysis'!$D$63:$H$63</definedName>
    <definedName name="FieldList8">'Field Analysis'!$D$64:$H$64</definedName>
    <definedName name="FieldRange" localSheetId="3">#REF!</definedName>
    <definedName name="FieldRange" localSheetId="2">#REF!</definedName>
    <definedName name="FieldRange">'Field Analysis'!$D$78:$H$78</definedName>
    <definedName name="FormatRange">'Field Analysis'!$F:$F</definedName>
    <definedName name="Headers">'Field Analysis'!$D$11:$H$11</definedName>
    <definedName name="Headers_Start">'Field Analysis'!$D$11</definedName>
    <definedName name="Histogram">'Field Analysis'!$D$41</definedName>
    <definedName name="LightHeader" localSheetId="3">#REF!</definedName>
    <definedName name="LightHeader" localSheetId="2">#REF!</definedName>
    <definedName name="LightHeader">'Field Analysis'!$C$78</definedName>
    <definedName name="Metadata">Overview!$C$4:$C$8</definedName>
    <definedName name="MultiplePlots">MultiplePlots!$E$7</definedName>
    <definedName name="MultiplePlotsTitle">MultiplePlots!$D$2</definedName>
    <definedName name="Name">'Field Analysis'!$C$3</definedName>
    <definedName name="Notes" localSheetId="3">#REF!</definedName>
    <definedName name="Notes" localSheetId="2">#REF!</definedName>
    <definedName name="Notes">'Field Analysis'!$D$9:$H$9</definedName>
    <definedName name="Percentiles">'Field Analysis'!$D$45:$D$54</definedName>
    <definedName name="RecordHashes">'Field Analysis'!$I$79:$I$142</definedName>
    <definedName name="SerializedLists">'Field Analysis'!$D$68:$D$77</definedName>
    <definedName name="SinglePlot">SinglePlot!$C$6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MultiplePlots!$C$4:$E$4</definedName>
    <definedName name="Theme" localSheetId="0">tbl_Overview[#Headers]</definedName>
    <definedName name="Theme" localSheetId="2">SinglePlot!$B$4:$P$4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C11" i="9"/>
  <c r="C12" i="9"/>
  <c r="C13" i="9"/>
  <c r="C14" i="9"/>
  <c r="C15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<sst xmlns="http://schemas.openxmlformats.org/spreadsheetml/2006/main" count="320" uniqueCount="81">
  <si>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</si>
  <si>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</si>
  <si>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</si>
  <si>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</si>
  <si>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</si>
  <si>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</si>
  <si>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</si>
  <si>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</si>
  <si>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</si>
  <si>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</si>
  <si>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</si>
  <si>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</si>
  <si>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</si>
  <si>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</si>
  <si>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</si>
  <si>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</si>
  <si>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</si>
  <si>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</si>
  <si>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</si>
  <si>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</si>
  <si>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</si>
  <si>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</si>
  <si>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</si>
  <si>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</si>
  <si>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</si>
  <si>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</si>
  <si>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</si>
  <si>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</si>
  <si>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</si>
  <si>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</si>
  <si>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</si>
  <si>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</si>
  <si>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</si>
  <si>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</si>
  <si>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</si>
  <si>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</si>
  <si>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</si>
  <si>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</si>
  <si>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</si>
  <si>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</si>
  <si>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</si>
  <si>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</si>
  <si>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</si>
  <si>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</si>
  <si>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</si>
  <si>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</si>
  <si>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</si>
  <si>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</si>
  <si>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</si>
  <si>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</si>
  <si>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</si>
  <si>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</si>
  <si>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</si>
  <si>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glue</t>
  </si>
  <si>
    <t>Model</t>
  </si>
  <si>
    <t>Year</t>
  </si>
  <si>
    <t>Encoder</t>
  </si>
  <si>
    <t>Task</t>
  </si>
  <si>
    <t>Score</t>
  </si>
  <si>
    <t>3,884 bytes</t>
  </si>
  <si>
    <t>str</t>
  </si>
  <si>
    <t>BERT</t>
  </si>
  <si>
    <t>int64</t>
  </si>
  <si>
    <t>LSTM</t>
  </si>
  <si>
    <t>CoLA</t>
  </si>
  <si>
    <t>float64</t>
  </si>
  <si>
    <t>ERNIE</t>
  </si>
  <si>
    <t>Transformer</t>
  </si>
  <si>
    <t>T5</t>
  </si>
  <si>
    <t>RoBERTa</t>
  </si>
  <si>
    <t>BiLSTM+ELMo</t>
  </si>
  <si>
    <t>BiLSTM+CoVe</t>
  </si>
  <si>
    <t>BiLSTM+Attn</t>
  </si>
  <si>
    <t>BiLSTM</t>
  </si>
  <si>
    <t>SST-2</t>
  </si>
  <si>
    <t>MRPC</t>
  </si>
  <si>
    <t>STS-B</t>
  </si>
  <si>
    <t>QQP</t>
  </si>
  <si>
    <t>MNLI</t>
  </si>
  <si>
    <t>QNLI</t>
  </si>
  <si>
    <t>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</si>
</sst>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2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2"/>
      <color rgb="FF000000"/>
      <name val="Calibri"/>
      <family val="2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7E579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5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</cellStyleXfs>
  <cellXfs count="126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5" fillId="2" borderId="1" xfId="1" applyFont="1" applyBorder="1" applyAlignment="1">
      <alignment horizontal="left" vertical="center" wrapText="1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9" fillId="2" borderId="0" xfId="1" applyFont="1" applyAlignment="1">
      <alignment horizontal="right" vertical="center" textRotation="180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6" fillId="7" borderId="0" xfId="1" applyFont="1" applyFill="1" applyAlignment="1">
      <alignment vertical="center" textRotation="180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>
      <alignment horizontal="center" vertical="center" textRotation="180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8" fillId="2" borderId="0" xfId="1" applyFont="1" applyAlignment="1">
      <alignment horizontal="right" vertical="center"/>
    </xf>
    <xf numFmtId="0" fontId="27" fillId="2" borderId="8" xfId="1" applyFont="1" applyFill="1" applyBorder="1" applyAlignment="1">
      <alignment horizontal="left" vertical="center"/>
    </xf>
    <xf numFmtId="0" fontId="29" fillId="2" borderId="0" xfId="0" applyFont="1" applyAlignment="1">
      <alignment horizontal="left" vertical="center" indent="1"/>
    </xf>
    <xf numFmtId="0" fontId="30" fillId="5" borderId="6" xfId="1" applyFont="1" applyFill="1" applyBorder="1" applyAlignment="1">
      <alignment horizontal="right" wrapText="1"/>
    </xf>
    <xf numFmtId="0" fontId="30" fillId="5" borderId="16" xfId="1" applyFont="1" applyFill="1" applyBorder="1" applyAlignment="1">
      <alignment horizontal="right" wrapText="1"/>
    </xf>
    <xf numFmtId="0" fontId="30" fillId="5" borderId="2" xfId="1" applyFont="1" applyFill="1" applyBorder="1" applyAlignment="1">
      <alignment horizontal="right" wrapText="1"/>
    </xf>
    <xf numFmtId="9" fontId="30" fillId="4" borderId="4" xfId="1" applyNumberFormat="1" applyFont="1" applyFill="1" applyBorder="1" applyAlignment="1">
      <alignment horizontal="right" wrapText="1"/>
    </xf>
    <xf numFmtId="9" fontId="30" fillId="5" borderId="4" xfId="1" applyNumberFormat="1" applyFont="1" applyFill="1" applyBorder="1" applyAlignment="1">
      <alignment horizontal="right" wrapText="1"/>
    </xf>
    <xf numFmtId="0" fontId="30" fillId="4" borderId="4" xfId="1" applyFont="1" applyFill="1" applyBorder="1" applyAlignment="1">
      <alignment horizontal="right" wrapText="1"/>
    </xf>
    <xf numFmtId="0" fontId="30" fillId="5" borderId="5" xfId="1" applyFont="1" applyFill="1" applyBorder="1" applyAlignment="1">
      <alignment horizontal="right" wrapText="1"/>
    </xf>
    <xf numFmtId="0" fontId="30" fillId="4" borderId="2" xfId="1" applyFont="1" applyFill="1" applyBorder="1" applyAlignment="1">
      <alignment horizontal="right" wrapText="1"/>
    </xf>
    <xf numFmtId="0" fontId="30" fillId="5" borderId="4" xfId="1" applyFont="1" applyFill="1" applyBorder="1" applyAlignment="1">
      <alignment horizontal="right" wrapText="1"/>
    </xf>
    <xf numFmtId="0" fontId="30" fillId="4" borderId="5" xfId="1" applyFont="1" applyFill="1" applyBorder="1" applyAlignment="1">
      <alignment horizontal="right" wrapText="1"/>
    </xf>
    <xf numFmtId="0" fontId="30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0" fontId="2" fillId="2" borderId="0" xfId="1" applyFont="1" applyAlignment="1">
      <alignment horizontal="right" vertical="center" textRotation="180"/>
    </xf>
    <xf numFmtId="3" fontId="6" fillId="5" borderId="11" xfId="4" applyNumberFormat="1" applyFont="1" applyFill="1" applyBorder="1" applyAlignment="1">
      <alignment horizontal="center" vertical="center" wrapText="1"/>
    </xf>
    <xf numFmtId="0" fontId="31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6" fillId="9" borderId="0" xfId="1" applyFont="1" applyFill="1" applyBorder="1" applyAlignment="1">
      <alignment vertical="center" wrapText="1"/>
    </xf>
    <xf numFmtId="0" fontId="23" fillId="9" borderId="3" xfId="1" applyFont="1" applyFill="1" applyBorder="1"/>
    <xf numFmtId="0" fontId="24" fillId="9" borderId="3" xfId="1" applyFont="1" applyFill="1" applyBorder="1" applyAlignment="1">
      <alignment wrapText="1"/>
    </xf>
    <xf numFmtId="0" fontId="25" fillId="9" borderId="3" xfId="1" applyFont="1" applyFill="1" applyBorder="1" applyAlignment="1">
      <alignment horizontal="center"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</cellXfs>
  <cellStyles count="5">
    <cellStyle name="Comma" xfId="4" builtinId="3"/>
    <cellStyle name="Comma 2" xfId="2" xr:uid="{03E3FBE4-B310-4AF6-9CA6-329EA926DEE9}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7E579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ont>
        <color theme="1" tint="0.34998626667073579"/>
      </font>
      <fill>
        <patternFill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9AE7433-CC6F-68DE-88F2-20F4516359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2EFEE6-FCD5-C6F7-F0D9-2AD797CBB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9C7DDC17-F200-CC33-B358-2E302BC3E8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689991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E347F6EB-545A-87F7-4FC4-5A21E8AD33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FE492C96-F619-5DC2-8803-CC81B57062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87E4C67-E27B-F7C2-D250-905274AA58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3646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D6A3EA16-5298-3670-4041-5AC707997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689991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5" totalsRowShown="0" headerRowDxfId="10" dataDxfId="53" headerRowBorderDxfId="54" headerRowCellStyle="Normal 2">
  <autoFilter ref="B10:AA15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6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5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I142" totalsRowShown="0" headerRowDxfId="19" dataDxfId="18">
  <autoFilter ref="C78:I142" xr:uid="{DB263373-2B4F-4302-9CF6-5012CE3F1A47}"/>
  <tableColumns count="7">
    <tableColumn id="1" xr3:uid="{B87F6371-B38F-4AA9-8A9B-F1D62600E38F}" name="Record List" dataDxfId="1" dataCellStyle="Normal 2"/>
    <tableColumn id="2" xr3:uid="{55547D6A-0C4F-44F3-8DA7-D9918F9ECA79}" name="Model" dataDxfId="17"/>
    <tableColumn id="8" xr3:uid="{5CEA6B82-08F7-4BBF-BE74-DD211F1E2384}" name="Year" dataDxfId="16"/>
    <tableColumn id="3" xr3:uid="{6C0B3232-D5C0-4185-AF99-A47484E561D2}" name="Encoder" dataDxfId="15"/>
    <tableColumn id="4" xr3:uid="{B5919F58-A3E5-47FC-AB0F-83B38E13F619}" name="Task" dataDxfId="4"/>
    <tableColumn id="5" xr3:uid="{4E5269B0-21DA-41D8-8F58-3D240D2BE6D6}" name="Score" dataDxfId="3"/>
    <tableColumn id="6" xr3:uid="{FE8FE245-2B08-452A-984B-A9B1037F2F50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5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83" t="str">
        <f>Name</f>
        <v>glue</v>
      </c>
      <c r="C2"/>
    </row>
    <row r="3" spans="2:27" ht="10.050000000000001" customHeight="1">
      <c r="B3"/>
      <c r="C3"/>
    </row>
    <row r="4" spans="2:27">
      <c r="B4" s="92" t="s">
        <v>26</v>
      </c>
      <c r="C4" s="49">
        <v>64</v>
      </c>
    </row>
    <row r="5" spans="2:27">
      <c r="B5" s="92" t="s">
        <v>27</v>
      </c>
      <c r="C5" s="50">
        <v>5</v>
      </c>
    </row>
    <row r="6" spans="2:27">
      <c r="B6" s="94" t="s">
        <v>4</v>
      </c>
      <c r="C6" s="50" t="s">
        <v>59</v>
      </c>
      <c r="F6" s="47"/>
    </row>
    <row r="7" spans="2:27">
      <c r="B7" s="90" t="s">
        <v>7</v>
      </c>
      <c r="C7" s="46">
        <v>1</v>
      </c>
    </row>
    <row r="8" spans="2:27">
      <c r="B8" s="94" t="s">
        <v>10</v>
      </c>
      <c r="C8" s="48">
        <v>0</v>
      </c>
      <c r="D8" s="45"/>
    </row>
    <row r="9" spans="2:27" ht="24" customHeight="1">
      <c r="B9"/>
      <c r="C9"/>
    </row>
    <row r="10" spans="2:27" ht="34.950000000000003" customHeight="1">
      <c r="B10" s="104" t="s">
        <v>28</v>
      </c>
      <c r="C10" s="105" t="s">
        <v>29</v>
      </c>
      <c r="D10" s="105" t="s">
        <v>30</v>
      </c>
      <c r="E10" s="106" t="s">
        <v>3</v>
      </c>
      <c r="F10" s="106" t="s">
        <v>7</v>
      </c>
      <c r="G10" s="106" t="s">
        <v>10</v>
      </c>
      <c r="H10" s="106" t="s">
        <v>5</v>
      </c>
      <c r="I10" s="106" t="s">
        <v>4</v>
      </c>
      <c r="J10" s="106" t="s">
        <v>6</v>
      </c>
      <c r="K10" s="106" t="s">
        <v>8</v>
      </c>
      <c r="L10" s="106" t="s">
        <v>32</v>
      </c>
      <c r="M10" s="106" t="s">
        <v>9</v>
      </c>
      <c r="N10" s="106" t="s">
        <v>11</v>
      </c>
      <c r="O10" s="106" t="s">
        <v>12</v>
      </c>
      <c r="P10" s="106" t="s">
        <v>13</v>
      </c>
      <c r="Q10" s="106" t="s">
        <v>14</v>
      </c>
      <c r="R10" s="106" t="s">
        <v>15</v>
      </c>
      <c r="S10" s="106" t="s">
        <v>16</v>
      </c>
      <c r="T10" s="107" t="s">
        <v>33</v>
      </c>
      <c r="U10" s="107" t="s">
        <v>34</v>
      </c>
      <c r="V10" s="107" t="s">
        <v>35</v>
      </c>
      <c r="W10" s="107" t="s">
        <v>36</v>
      </c>
      <c r="X10" s="107" t="s">
        <v>37</v>
      </c>
      <c r="Y10" s="106" t="s">
        <v>17</v>
      </c>
      <c r="Z10" s="106" t="s">
        <v>18</v>
      </c>
      <c r="AA10" s="106" t="s">
        <v>19</v>
      </c>
    </row>
    <row r="11" spans="2:27">
      <c r="B11" s="63" t="s">
        <v>54</v>
      </c>
      <c r="C11" s="51" t="str">
        <f>IF(INDEX(Definitions,1,MATCH(tbl_Overview[[#This Row],[Field]],Headers,0))="Definition","",INDEX(Definitions,1,MATCH(tbl_Overview[[#This Row],[Field]],Headers,0)))</f>
        <v/>
      </c>
      <c r="D11" s="51" t="str">
        <f>IF(INDEX(Notes,1,MATCH(tbl_Overview[[#This Row],[Field]],Headers,0))="Notes","",INDEX(Notes,1,MATCH(tbl_Overview[[#This Row],[Field]],Headers,0)))</f>
        <v/>
      </c>
      <c r="E11" s="100" t="s">
        <v>60</v>
      </c>
      <c r="F11" s="53">
        <v>0.125</v>
      </c>
      <c r="G11" s="54">
        <v>0</v>
      </c>
      <c r="H11" s="53">
        <v>0.22761194029850701</v>
      </c>
      <c r="I11" s="55">
        <v>976</v>
      </c>
      <c r="J11" s="55">
        <v>8</v>
      </c>
      <c r="K11" s="55">
        <v>64</v>
      </c>
      <c r="L11" s="56">
        <v>1</v>
      </c>
      <c r="M11" s="55">
        <v>0</v>
      </c>
      <c r="N11" s="57"/>
      <c r="O11" s="57"/>
      <c r="P11" s="57" t="s">
        <v>61</v>
      </c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</row>
    <row r="12" spans="2:27">
      <c r="B12" s="64" t="s">
        <v>55</v>
      </c>
      <c r="C12" s="52" t="str">
        <f>IF(INDEX(Definitions,1,MATCH(tbl_Overview[[#This Row],[Field]],Headers,0))="Definition","",INDEX(Definitions,1,MATCH(tbl_Overview[[#This Row],[Field]],Headers,0)))</f>
        <v/>
      </c>
      <c r="D12" s="52" t="str">
        <f>IF(INDEX(Notes,1,MATCH(tbl_Overview[[#This Row],[Field]],Headers,0))="Notes","",INDEX(Notes,1,MATCH(tbl_Overview[[#This Row],[Field]],Headers,0)))</f>
        <v/>
      </c>
      <c r="E12" s="100" t="s">
        <v>62</v>
      </c>
      <c r="F12" s="56">
        <v>4.6875E-2</v>
      </c>
      <c r="G12" s="58">
        <v>0</v>
      </c>
      <c r="H12" s="59">
        <v>0.119402985074626</v>
      </c>
      <c r="I12" s="55">
        <v>512</v>
      </c>
      <c r="J12" s="55">
        <v>3</v>
      </c>
      <c r="K12" s="55">
        <v>64</v>
      </c>
      <c r="L12" s="56">
        <v>1</v>
      </c>
      <c r="M12" s="55">
        <v>0</v>
      </c>
      <c r="N12" s="57">
        <v>2018</v>
      </c>
      <c r="O12" s="57">
        <v>2018</v>
      </c>
      <c r="P12" s="57">
        <v>2017</v>
      </c>
      <c r="Q12" s="57">
        <v>0.872871560943969</v>
      </c>
      <c r="R12" s="57">
        <v>0.76190476190476097</v>
      </c>
      <c r="S12" s="57">
        <v>2017</v>
      </c>
      <c r="T12" s="57">
        <v>2017</v>
      </c>
      <c r="U12" s="57">
        <v>2017</v>
      </c>
      <c r="V12" s="57">
        <v>2018</v>
      </c>
      <c r="W12" s="57">
        <v>2019</v>
      </c>
      <c r="X12" s="57">
        <v>2019</v>
      </c>
      <c r="Y12" s="57">
        <v>2019</v>
      </c>
      <c r="Z12" s="57">
        <v>2</v>
      </c>
      <c r="AA12" s="57">
        <v>2</v>
      </c>
    </row>
    <row r="13" spans="2:27">
      <c r="B13" s="64" t="s">
        <v>56</v>
      </c>
      <c r="C13" s="65" t="str">
        <f>IF(INDEX(Definitions,1,MATCH(tbl_Overview[[#This Row],[Field]],Headers,0))="Definition","",INDEX(Definitions,1,MATCH(tbl_Overview[[#This Row],[Field]],Headers,0)))</f>
        <v/>
      </c>
      <c r="D13" s="66" t="str">
        <f>IF(INDEX(Notes,1,MATCH(tbl_Overview[[#This Row],[Field]],Headers,0))="Notes","",INDEX(Notes,1,MATCH(tbl_Overview[[#This Row],[Field]],Headers,0)))</f>
        <v/>
      </c>
      <c r="E13" s="100" t="s">
        <v>60</v>
      </c>
      <c r="F13" s="56">
        <v>3.125E-2</v>
      </c>
      <c r="G13" s="58">
        <v>0</v>
      </c>
      <c r="H13" s="59">
        <v>0.23320895522387999</v>
      </c>
      <c r="I13" s="55">
        <v>1000</v>
      </c>
      <c r="J13" s="55">
        <v>2</v>
      </c>
      <c r="K13" s="55">
        <v>64</v>
      </c>
      <c r="L13" s="56">
        <v>1</v>
      </c>
      <c r="M13" s="55">
        <v>0</v>
      </c>
      <c r="N13" s="57"/>
      <c r="O13" s="57"/>
      <c r="P13" s="57" t="s">
        <v>63</v>
      </c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</row>
    <row r="14" spans="2:27">
      <c r="B14" s="64" t="s">
        <v>57</v>
      </c>
      <c r="C14" s="65" t="str">
        <f>IF(INDEX(Definitions,1,MATCH(tbl_Overview[[#This Row],[Field]],Headers,0))="Definition","",INDEX(Definitions,1,MATCH(tbl_Overview[[#This Row],[Field]],Headers,0)))</f>
        <v/>
      </c>
      <c r="D14" s="66" t="str">
        <f>IF(INDEX(Notes,1,MATCH(tbl_Overview[[#This Row],[Field]],Headers,0))="Notes","",INDEX(Notes,1,MATCH(tbl_Overview[[#This Row],[Field]],Headers,0)))</f>
        <v/>
      </c>
      <c r="E14" s="100" t="s">
        <v>60</v>
      </c>
      <c r="F14" s="56">
        <v>0.125</v>
      </c>
      <c r="G14" s="116">
        <v>0</v>
      </c>
      <c r="H14" s="59">
        <v>0.18097014925373101</v>
      </c>
      <c r="I14" s="55">
        <v>776</v>
      </c>
      <c r="J14" s="55">
        <v>8</v>
      </c>
      <c r="K14" s="55">
        <v>64</v>
      </c>
      <c r="L14" s="56">
        <v>1</v>
      </c>
      <c r="M14" s="55">
        <v>0</v>
      </c>
      <c r="N14" s="57"/>
      <c r="O14" s="57"/>
      <c r="P14" s="57" t="s">
        <v>64</v>
      </c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</row>
    <row r="15" spans="2:27">
      <c r="B15" s="117" t="s">
        <v>58</v>
      </c>
      <c r="C15" s="118" t="str">
        <f>IF(INDEX(Definitions,1,MATCH(tbl_Overview[[#This Row],[Field]],Headers,0))="Definition","",INDEX(Definitions,1,MATCH(tbl_Overview[[#This Row],[Field]],Headers,0)))</f>
        <v/>
      </c>
      <c r="D15" s="119" t="str">
        <f>IF(INDEX(Notes,1,MATCH(tbl_Overview[[#This Row],[Field]],Headers,0))="Notes","",INDEX(Notes,1,MATCH(tbl_Overview[[#This Row],[Field]],Headers,0)))</f>
        <v/>
      </c>
      <c r="E15" s="120" t="s">
        <v>65</v>
      </c>
      <c r="F15" s="121">
        <v>0.875</v>
      </c>
      <c r="G15" s="122">
        <v>0</v>
      </c>
      <c r="H15" s="123">
        <v>0.119402985074626</v>
      </c>
      <c r="I15" s="124">
        <v>512</v>
      </c>
      <c r="J15" s="124">
        <v>56</v>
      </c>
      <c r="K15" s="124">
        <v>64</v>
      </c>
      <c r="L15" s="121">
        <v>1</v>
      </c>
      <c r="M15" s="124">
        <v>0</v>
      </c>
      <c r="N15" s="125">
        <v>75.579687500000006</v>
      </c>
      <c r="O15" s="125">
        <v>75.5</v>
      </c>
      <c r="P15" s="125">
        <v>57.4</v>
      </c>
      <c r="Q15" s="125">
        <v>19.289697716553999</v>
      </c>
      <c r="R15" s="125">
        <v>372.09243799603098</v>
      </c>
      <c r="S15" s="125">
        <v>11.6</v>
      </c>
      <c r="T15" s="125">
        <v>35.19</v>
      </c>
      <c r="U15" s="125">
        <v>66.8</v>
      </c>
      <c r="V15" s="125">
        <v>75.5</v>
      </c>
      <c r="W15" s="125">
        <v>92.224999999999994</v>
      </c>
      <c r="X15" s="125">
        <v>96.87</v>
      </c>
      <c r="Y15" s="125">
        <v>97.8</v>
      </c>
      <c r="Z15" s="125">
        <v>86.2</v>
      </c>
      <c r="AA15" s="125">
        <v>25.424999999999901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5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4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2" customWidth="1"/>
    <col min="3" max="3" width="25.77734375" style="7" customWidth="1"/>
    <col min="4" max="8" width="27.77734375" style="1" customWidth="1"/>
    <col min="9" max="9" width="18" bestFit="1" customWidth="1"/>
  </cols>
  <sheetData>
    <row r="1" spans="1:14" ht="31.8" hidden="1" customHeight="1">
      <c r="A1" s="40"/>
      <c r="B1" s="41"/>
      <c r="C1" s="42" t="s">
        <v>39</v>
      </c>
      <c r="D1" s="101"/>
      <c r="E1" s="101"/>
      <c r="F1" s="101"/>
      <c r="G1" s="101"/>
      <c r="H1" s="101"/>
      <c r="I1" s="101"/>
      <c r="J1" s="101"/>
      <c r="K1" s="101"/>
      <c r="L1" s="101"/>
      <c r="M1" s="101"/>
      <c r="N1" s="101"/>
    </row>
    <row r="2" spans="1:14" ht="10.050000000000001" customHeight="1">
      <c r="A2" s="68"/>
      <c r="B2" s="68"/>
      <c r="C2" s="68"/>
      <c r="D2"/>
      <c r="E2"/>
      <c r="F2"/>
      <c r="G2"/>
      <c r="H2"/>
    </row>
    <row r="3" spans="1:14" ht="36.6" customHeight="1">
      <c r="A3" s="70"/>
      <c r="B3" s="97" t="s">
        <v>0</v>
      </c>
      <c r="C3" s="83" t="s">
        <v>53</v>
      </c>
      <c r="D3"/>
      <c r="E3"/>
      <c r="F3"/>
      <c r="G3"/>
      <c r="H3"/>
    </row>
    <row r="4" spans="1:14" ht="4.95" customHeight="1">
      <c r="A4" s="68"/>
      <c r="B4" s="68"/>
      <c r="C4" s="68"/>
      <c r="D4"/>
      <c r="E4"/>
      <c r="F4"/>
      <c r="G4"/>
      <c r="H4"/>
    </row>
    <row r="5" spans="1:14" ht="19.95" customHeight="1">
      <c r="A5" s="70"/>
      <c r="B5" s="82" t="s">
        <v>0</v>
      </c>
      <c r="C5" s="84" t="s">
        <v>30</v>
      </c>
      <c r="D5"/>
      <c r="E5"/>
      <c r="F5"/>
      <c r="G5"/>
      <c r="H5"/>
    </row>
    <row r="6" spans="1:14" ht="4.95" customHeight="1">
      <c r="A6" s="32"/>
      <c r="B6" s="77"/>
      <c r="C6" s="78"/>
      <c r="D6" s="70"/>
      <c r="E6" s="70"/>
      <c r="F6" s="70"/>
      <c r="G6" s="70"/>
      <c r="H6" s="70"/>
    </row>
    <row r="7" spans="1:14" ht="37.799999999999997" hidden="1" customHeight="1" outlineLevel="1">
      <c r="A7" s="32"/>
      <c r="B7" s="77"/>
      <c r="C7" s="79" t="s">
        <v>38</v>
      </c>
      <c r="D7" s="75" t="s">
        <v>29</v>
      </c>
      <c r="E7" s="75" t="s">
        <v>29</v>
      </c>
      <c r="F7" s="75" t="s">
        <v>29</v>
      </c>
      <c r="G7" s="75" t="s">
        <v>29</v>
      </c>
      <c r="H7" s="75" t="s">
        <v>29</v>
      </c>
    </row>
    <row r="8" spans="1:14" ht="10.050000000000001" hidden="1" customHeight="1" outlineLevel="1">
      <c r="A8" s="67"/>
      <c r="B8" s="80"/>
      <c r="C8" s="67"/>
      <c r="D8" s="68"/>
      <c r="E8" s="68"/>
      <c r="F8" s="68"/>
      <c r="G8" s="68"/>
      <c r="H8" s="68"/>
    </row>
    <row r="9" spans="1:14" ht="37.799999999999997" hidden="1" customHeight="1" outlineLevel="1">
      <c r="A9" s="32"/>
      <c r="B9" s="76"/>
      <c r="C9" s="79" t="s">
        <v>1</v>
      </c>
      <c r="D9" s="75" t="s">
        <v>1</v>
      </c>
      <c r="E9" s="75" t="s">
        <v>1</v>
      </c>
      <c r="F9" s="75" t="s">
        <v>1</v>
      </c>
      <c r="G9" s="75" t="s">
        <v>1</v>
      </c>
      <c r="H9" s="75" t="s">
        <v>1</v>
      </c>
    </row>
    <row r="10" spans="1:14" ht="4.95" hidden="1" customHeight="1" outlineLevel="1">
      <c r="C10" s="3"/>
      <c r="D10" s="60"/>
      <c r="E10" s="60"/>
      <c r="F10" s="60"/>
      <c r="G10" s="60"/>
      <c r="H10" s="60"/>
    </row>
    <row r="11" spans="1:14" s="99" customFormat="1" ht="30" customHeight="1" collapsed="1">
      <c r="A11" s="6"/>
      <c r="B11" s="108"/>
      <c r="C11" s="109" t="s">
        <v>2</v>
      </c>
      <c r="D11" s="110" t="s">
        <v>54</v>
      </c>
      <c r="E11" s="110" t="s">
        <v>55</v>
      </c>
      <c r="F11" s="110" t="s">
        <v>56</v>
      </c>
      <c r="G11" s="110" t="s">
        <v>57</v>
      </c>
      <c r="H11" s="110" t="s">
        <v>58</v>
      </c>
      <c r="I11" s="99" t="s">
        <v>20</v>
      </c>
    </row>
    <row r="12" spans="1:14" ht="4.95" customHeight="1">
      <c r="A12"/>
      <c r="B12"/>
      <c r="C12"/>
      <c r="D12"/>
      <c r="E12"/>
      <c r="F12"/>
      <c r="G12"/>
      <c r="H12"/>
    </row>
    <row r="13" spans="1:14" ht="19.95" customHeight="1" outlineLevel="1">
      <c r="A13" s="70"/>
      <c r="B13" s="82" t="s">
        <v>0</v>
      </c>
      <c r="C13" s="84" t="s">
        <v>52</v>
      </c>
      <c r="D13" s="69"/>
      <c r="E13" s="69"/>
      <c r="F13" s="69"/>
      <c r="G13" s="69"/>
      <c r="H13" s="69"/>
    </row>
    <row r="14" spans="1:14" ht="4.95" customHeight="1" outlineLevel="1">
      <c r="A14" s="70"/>
      <c r="B14" s="72"/>
      <c r="C14" s="73"/>
      <c r="D14" s="70"/>
      <c r="E14" s="69"/>
      <c r="F14" s="69"/>
      <c r="G14" s="69"/>
      <c r="H14" s="69"/>
    </row>
    <row r="15" spans="1:14" ht="84.6" hidden="1" customHeight="1" outlineLevel="2">
      <c r="A15" s="70"/>
      <c r="B15" s="72"/>
      <c r="C15" s="81"/>
      <c r="D15" s="102" t="s">
        <v>25</v>
      </c>
      <c r="E15" s="103"/>
      <c r="F15" s="69"/>
      <c r="G15" s="69"/>
      <c r="H15" s="69"/>
    </row>
    <row r="16" spans="1:14" ht="10.050000000000001" hidden="1" customHeight="1" outlineLevel="2">
      <c r="A16" s="70"/>
      <c r="B16" s="72"/>
      <c r="C16" s="74"/>
      <c r="D16" s="71"/>
      <c r="E16" s="70"/>
      <c r="F16" s="70"/>
      <c r="G16" s="70"/>
      <c r="H16" s="70"/>
    </row>
    <row r="17" spans="1:8" hidden="1" outlineLevel="2">
      <c r="A17" s="70"/>
      <c r="B17" s="72"/>
      <c r="C17" s="95" t="s">
        <v>26</v>
      </c>
      <c r="D17" s="98">
        <v>64</v>
      </c>
      <c r="E17" s="47"/>
      <c r="F17" s="47"/>
      <c r="G17" s="47"/>
      <c r="H17" s="47"/>
    </row>
    <row r="18" spans="1:8" hidden="1" outlineLevel="2">
      <c r="A18" s="70"/>
      <c r="B18" s="72"/>
      <c r="C18" s="95" t="s">
        <v>46</v>
      </c>
      <c r="D18" s="98">
        <v>5</v>
      </c>
      <c r="E18" s="47"/>
      <c r="F18" s="47"/>
      <c r="G18" s="47"/>
      <c r="H18" s="47"/>
    </row>
    <row r="19" spans="1:8" ht="4.95" hidden="1" customHeight="1" outlineLevel="2">
      <c r="A19" s="70"/>
      <c r="B19" s="72"/>
      <c r="C19" s="74"/>
      <c r="D19" s="71"/>
      <c r="E19"/>
      <c r="F19"/>
      <c r="G19"/>
      <c r="H19"/>
    </row>
    <row r="20" spans="1:8" ht="19.95" customHeight="1" outlineLevel="1" collapsed="1">
      <c r="B20" s="82" t="s">
        <v>0</v>
      </c>
      <c r="C20" s="84" t="s">
        <v>51</v>
      </c>
      <c r="D20" s="96"/>
      <c r="E20"/>
      <c r="F20"/>
      <c r="G20"/>
      <c r="H20"/>
    </row>
    <row r="21" spans="1:8" ht="4.95" customHeight="1" outlineLevel="1">
      <c r="B21" s="10"/>
      <c r="C21" s="35"/>
      <c r="D21" s="35"/>
      <c r="E21" s="35"/>
      <c r="F21" s="35"/>
      <c r="G21" s="35"/>
      <c r="H21" s="35"/>
    </row>
    <row r="22" spans="1:8" ht="14.4" hidden="1" customHeight="1" outlineLevel="2">
      <c r="A22" s="36"/>
      <c r="B22" s="37"/>
      <c r="C22" s="92" t="s">
        <v>3</v>
      </c>
      <c r="D22" s="12" t="s">
        <v>60</v>
      </c>
      <c r="E22" s="12" t="s">
        <v>62</v>
      </c>
      <c r="F22" s="12" t="s">
        <v>60</v>
      </c>
      <c r="G22" s="12" t="s">
        <v>60</v>
      </c>
      <c r="H22" s="12" t="s">
        <v>65</v>
      </c>
    </row>
    <row r="23" spans="1:8" ht="14.4" hidden="1" customHeight="1" outlineLevel="2">
      <c r="A23" s="36"/>
      <c r="B23" s="38"/>
      <c r="C23" s="90" t="s">
        <v>7</v>
      </c>
      <c r="D23" s="39">
        <v>0.125</v>
      </c>
      <c r="E23" s="39">
        <v>4.6875E-2</v>
      </c>
      <c r="F23" s="39">
        <v>3.125E-2</v>
      </c>
      <c r="G23" s="39">
        <v>0.125</v>
      </c>
      <c r="H23" s="39">
        <v>0.875</v>
      </c>
    </row>
    <row r="24" spans="1:8" ht="14.4" hidden="1" customHeight="1" outlineLevel="2">
      <c r="A24" s="36"/>
      <c r="B24" s="38"/>
      <c r="C24" s="90" t="s">
        <v>10</v>
      </c>
      <c r="D24" s="39">
        <v>0</v>
      </c>
      <c r="E24" s="39">
        <v>0</v>
      </c>
      <c r="F24" s="39">
        <v>0</v>
      </c>
      <c r="G24" s="39">
        <v>0</v>
      </c>
      <c r="H24" s="39">
        <v>0</v>
      </c>
    </row>
    <row r="25" spans="1:8" ht="14.4" hidden="1" customHeight="1" outlineLevel="2">
      <c r="B25" s="13"/>
      <c r="C25" s="94" t="s">
        <v>5</v>
      </c>
      <c r="D25" s="39">
        <v>0.22761194029850701</v>
      </c>
      <c r="E25" s="39">
        <v>0.119402985074626</v>
      </c>
      <c r="F25" s="39">
        <v>0.23320895522387999</v>
      </c>
      <c r="G25" s="39">
        <v>0.18097014925373101</v>
      </c>
      <c r="H25" s="39">
        <v>0.119402985074626</v>
      </c>
    </row>
    <row r="26" spans="1:8" ht="14.4" hidden="1" customHeight="1" outlineLevel="2">
      <c r="B26" s="13"/>
      <c r="C26" s="90" t="s">
        <v>4</v>
      </c>
      <c r="D26" s="12">
        <v>976</v>
      </c>
      <c r="E26" s="12">
        <v>512</v>
      </c>
      <c r="F26" s="12">
        <v>1000</v>
      </c>
      <c r="G26" s="12">
        <v>776</v>
      </c>
      <c r="H26" s="12">
        <v>512</v>
      </c>
    </row>
    <row r="27" spans="1:8" ht="14.4" hidden="1" customHeight="1" outlineLevel="2">
      <c r="B27" s="13"/>
      <c r="C27" s="90" t="s">
        <v>6</v>
      </c>
      <c r="D27" s="12">
        <v>8</v>
      </c>
      <c r="E27" s="12">
        <v>3</v>
      </c>
      <c r="F27" s="12">
        <v>2</v>
      </c>
      <c r="G27" s="12">
        <v>8</v>
      </c>
      <c r="H27" s="12">
        <v>56</v>
      </c>
    </row>
    <row r="28" spans="1:8" ht="14.4" hidden="1" customHeight="1" outlineLevel="2">
      <c r="B28" s="13"/>
      <c r="C28" s="90" t="s">
        <v>8</v>
      </c>
      <c r="D28" s="12">
        <v>64</v>
      </c>
      <c r="E28" s="12">
        <v>64</v>
      </c>
      <c r="F28" s="12">
        <v>64</v>
      </c>
      <c r="G28" s="12">
        <v>64</v>
      </c>
      <c r="H28" s="12">
        <v>64</v>
      </c>
    </row>
    <row r="29" spans="1:8" ht="14.4" hidden="1" customHeight="1" outlineLevel="2">
      <c r="B29" s="13"/>
      <c r="C29" s="94" t="s">
        <v>9</v>
      </c>
      <c r="D29" s="14">
        <v>0</v>
      </c>
      <c r="E29" s="14">
        <v>0</v>
      </c>
      <c r="F29" s="14">
        <v>0</v>
      </c>
      <c r="G29" s="14">
        <v>0</v>
      </c>
      <c r="H29" s="14">
        <v>0</v>
      </c>
    </row>
    <row r="30" spans="1:8" ht="4.95" hidden="1" customHeight="1" outlineLevel="2">
      <c r="B30" s="10"/>
      <c r="D30" s="7"/>
      <c r="E30" s="7"/>
      <c r="F30" s="7"/>
      <c r="G30" s="7"/>
      <c r="H30" s="7"/>
    </row>
    <row r="31" spans="1:8" ht="150" hidden="1" customHeight="1" outlineLevel="2">
      <c r="B31" s="15"/>
      <c r="C31" s="16"/>
      <c r="D31" s="17"/>
      <c r="E31" s="17"/>
      <c r="F31" s="17"/>
      <c r="G31" s="17"/>
      <c r="H31" s="17"/>
    </row>
    <row r="32" spans="1:8" ht="4.95" hidden="1" customHeight="1" outlineLevel="2">
      <c r="B32" s="18"/>
      <c r="D32" s="7"/>
      <c r="E32" s="7"/>
      <c r="F32" s="7"/>
      <c r="G32" s="7"/>
      <c r="H32" s="7"/>
    </row>
    <row r="33" spans="1:8" ht="19.95" customHeight="1" outlineLevel="1" collapsed="1">
      <c r="B33" s="82" t="s">
        <v>0</v>
      </c>
      <c r="C33" s="84" t="s">
        <v>50</v>
      </c>
      <c r="D33" s="7"/>
      <c r="E33" s="7"/>
      <c r="F33" s="7"/>
      <c r="G33" s="7"/>
      <c r="H33" s="7"/>
    </row>
    <row r="34" spans="1:8" ht="4.95" customHeight="1" outlineLevel="1">
      <c r="A34" s="19"/>
      <c r="B34" s="20"/>
      <c r="C34" s="21"/>
      <c r="D34" s="7"/>
      <c r="E34" s="7"/>
      <c r="F34" s="7"/>
      <c r="G34" s="7"/>
      <c r="H34" s="7"/>
    </row>
    <row r="35" spans="1:8" ht="14.4" hidden="1" customHeight="1" outlineLevel="2">
      <c r="B35" s="11"/>
      <c r="C35" s="92" t="s">
        <v>11</v>
      </c>
      <c r="D35" s="22"/>
      <c r="E35" s="22">
        <v>2018</v>
      </c>
      <c r="F35" s="22"/>
      <c r="G35" s="22"/>
      <c r="H35" s="22">
        <v>75.579687500000006</v>
      </c>
    </row>
    <row r="36" spans="1:8" ht="14.4" hidden="1" customHeight="1" outlineLevel="2">
      <c r="B36" s="13"/>
      <c r="C36" s="93" t="s">
        <v>12</v>
      </c>
      <c r="D36" s="23"/>
      <c r="E36" s="23">
        <v>2018</v>
      </c>
      <c r="F36" s="23"/>
      <c r="G36" s="23"/>
      <c r="H36" s="23">
        <v>75.5</v>
      </c>
    </row>
    <row r="37" spans="1:8" ht="14.4" hidden="1" customHeight="1" outlineLevel="2">
      <c r="B37" s="13"/>
      <c r="C37" s="90" t="s">
        <v>13</v>
      </c>
      <c r="D37" s="14" t="s">
        <v>61</v>
      </c>
      <c r="E37" s="14">
        <v>2017</v>
      </c>
      <c r="F37" s="14" t="s">
        <v>63</v>
      </c>
      <c r="G37" s="14" t="s">
        <v>64</v>
      </c>
      <c r="H37" s="14">
        <v>57.4</v>
      </c>
    </row>
    <row r="38" spans="1:8" ht="14.4" hidden="1" customHeight="1" outlineLevel="2">
      <c r="B38" s="13"/>
      <c r="C38" s="93" t="s">
        <v>14</v>
      </c>
      <c r="D38" s="24"/>
      <c r="E38" s="24">
        <v>0.872871560943969</v>
      </c>
      <c r="F38" s="24"/>
      <c r="G38" s="24"/>
      <c r="H38" s="24">
        <v>19.289697716553999</v>
      </c>
    </row>
    <row r="39" spans="1:8" ht="14.4" hidden="1" customHeight="1" outlineLevel="2">
      <c r="B39" s="13"/>
      <c r="C39" s="94" t="s">
        <v>15</v>
      </c>
      <c r="D39" s="22"/>
      <c r="E39" s="22">
        <v>0.76190476190476097</v>
      </c>
      <c r="F39" s="22"/>
      <c r="G39" s="22"/>
      <c r="H39" s="22">
        <v>372.09243799603098</v>
      </c>
    </row>
    <row r="40" spans="1:8" ht="4.95" hidden="1" customHeight="1" outlineLevel="2">
      <c r="B40" s="10"/>
      <c r="D40" s="7"/>
      <c r="E40" s="7"/>
      <c r="F40" s="7"/>
      <c r="G40" s="7"/>
      <c r="H40" s="7"/>
    </row>
    <row r="41" spans="1:8" ht="150" hidden="1" customHeight="1" outlineLevel="2">
      <c r="A41" s="19"/>
      <c r="B41" s="15"/>
      <c r="C41" s="16"/>
      <c r="D41" s="17"/>
      <c r="E41" s="17"/>
      <c r="F41" s="17"/>
      <c r="G41" s="17"/>
      <c r="H41" s="17"/>
    </row>
    <row r="42" spans="1:8" ht="4.95" hidden="1" customHeight="1" outlineLevel="2">
      <c r="A42" s="19"/>
      <c r="B42" s="15"/>
      <c r="C42" s="25"/>
      <c r="D42" s="7"/>
      <c r="E42" s="7"/>
      <c r="F42" s="7"/>
      <c r="G42" s="7"/>
      <c r="H42" s="7"/>
    </row>
    <row r="43" spans="1:8" ht="19.95" customHeight="1" outlineLevel="1" collapsed="1">
      <c r="B43" s="82" t="s">
        <v>0</v>
      </c>
      <c r="C43" s="84" t="s">
        <v>49</v>
      </c>
      <c r="D43" s="7"/>
      <c r="E43" s="7"/>
      <c r="F43" s="7"/>
      <c r="G43" s="7"/>
      <c r="H43" s="7"/>
    </row>
    <row r="44" spans="1:8" ht="4.95" customHeight="1" outlineLevel="1">
      <c r="A44" s="19"/>
      <c r="B44" s="20"/>
      <c r="C44" s="21"/>
      <c r="D44" s="7"/>
      <c r="E44" s="7"/>
      <c r="F44" s="7"/>
      <c r="G44" s="7"/>
      <c r="H44" s="7"/>
    </row>
    <row r="45" spans="1:8" ht="14.4" hidden="1" customHeight="1" outlineLevel="2">
      <c r="B45" s="11"/>
      <c r="C45" s="87" t="s">
        <v>16</v>
      </c>
      <c r="D45" s="24"/>
      <c r="E45" s="24">
        <v>2017</v>
      </c>
      <c r="F45" s="24"/>
      <c r="G45" s="24"/>
      <c r="H45" s="24">
        <v>11.6</v>
      </c>
    </row>
    <row r="46" spans="1:8" ht="14.4" hidden="1" customHeight="1" outlineLevel="2">
      <c r="B46" s="10"/>
      <c r="C46" s="88">
        <v>0.05</v>
      </c>
      <c r="D46" s="22"/>
      <c r="E46" s="22">
        <v>2017</v>
      </c>
      <c r="F46" s="22"/>
      <c r="G46" s="22"/>
      <c r="H46" s="22">
        <v>35.19</v>
      </c>
    </row>
    <row r="47" spans="1:8" ht="14.4" hidden="1" customHeight="1" outlineLevel="2">
      <c r="B47" s="10"/>
      <c r="C47" s="89">
        <v>0.25</v>
      </c>
      <c r="D47" s="24"/>
      <c r="E47" s="24">
        <v>2017</v>
      </c>
      <c r="F47" s="24"/>
      <c r="G47" s="24"/>
      <c r="H47" s="24">
        <v>66.8</v>
      </c>
    </row>
    <row r="48" spans="1:8" ht="14.4" hidden="1" customHeight="1" outlineLevel="2">
      <c r="B48" s="10"/>
      <c r="C48" s="88">
        <v>0.5</v>
      </c>
      <c r="D48" s="22"/>
      <c r="E48" s="22">
        <v>2018</v>
      </c>
      <c r="F48" s="22"/>
      <c r="G48" s="22"/>
      <c r="H48" s="22">
        <v>75.5</v>
      </c>
    </row>
    <row r="49" spans="1:8" ht="14.4" hidden="1" customHeight="1" outlineLevel="2">
      <c r="B49" s="10"/>
      <c r="C49" s="89">
        <v>0.75</v>
      </c>
      <c r="D49" s="24"/>
      <c r="E49" s="24">
        <v>2019</v>
      </c>
      <c r="F49" s="24"/>
      <c r="G49" s="24"/>
      <c r="H49" s="24">
        <v>92.224999999999994</v>
      </c>
    </row>
    <row r="50" spans="1:8" ht="14.4" hidden="1" customHeight="1" outlineLevel="2">
      <c r="B50" s="10"/>
      <c r="C50" s="88">
        <v>0.95</v>
      </c>
      <c r="D50" s="22"/>
      <c r="E50" s="22">
        <v>2019</v>
      </c>
      <c r="F50" s="22"/>
      <c r="G50" s="22"/>
      <c r="H50" s="22">
        <v>96.87</v>
      </c>
    </row>
    <row r="51" spans="1:8" ht="14.4" hidden="1" customHeight="1" outlineLevel="2">
      <c r="B51" s="10"/>
      <c r="C51" s="89" t="s">
        <v>17</v>
      </c>
      <c r="D51" s="24"/>
      <c r="E51" s="24">
        <v>2019</v>
      </c>
      <c r="F51" s="24"/>
      <c r="G51" s="24"/>
      <c r="H51" s="24">
        <v>97.8</v>
      </c>
    </row>
    <row r="52" spans="1:8" ht="14.4" hidden="1" customHeight="1" outlineLevel="2">
      <c r="B52" s="10"/>
      <c r="C52" s="90" t="s">
        <v>18</v>
      </c>
      <c r="D52" s="22"/>
      <c r="E52" s="22">
        <v>2</v>
      </c>
      <c r="F52" s="22"/>
      <c r="G52" s="22"/>
      <c r="H52" s="22">
        <v>86.2</v>
      </c>
    </row>
    <row r="53" spans="1:8" ht="14.4" hidden="1" customHeight="1" outlineLevel="2">
      <c r="B53" s="18"/>
      <c r="C53" s="91" t="s">
        <v>19</v>
      </c>
      <c r="D53" s="24"/>
      <c r="E53" s="24">
        <v>2</v>
      </c>
      <c r="F53" s="24"/>
      <c r="G53" s="24"/>
      <c r="H53" s="24">
        <v>25.424999999999901</v>
      </c>
    </row>
    <row r="54" spans="1:8" ht="4.95" hidden="1" customHeight="1" outlineLevel="2">
      <c r="B54" s="18"/>
      <c r="D54" s="7"/>
      <c r="E54" s="7"/>
      <c r="F54" s="7"/>
      <c r="G54" s="7"/>
      <c r="H54" s="7"/>
    </row>
    <row r="55" spans="1:8" ht="19.95" customHeight="1" outlineLevel="1" collapsed="1">
      <c r="A55" s="30"/>
      <c r="B55" s="82" t="s">
        <v>0</v>
      </c>
      <c r="C55" s="84" t="s">
        <v>48</v>
      </c>
      <c r="D55" s="7"/>
      <c r="E55" s="7"/>
      <c r="F55" s="7"/>
      <c r="G55" s="7"/>
      <c r="H55" s="7"/>
    </row>
    <row r="56" spans="1:8" ht="4.95" customHeight="1" outlineLevel="1">
      <c r="A56" s="30"/>
      <c r="B56" s="20"/>
      <c r="D56" s="7"/>
      <c r="E56" s="7"/>
      <c r="F56" s="7"/>
      <c r="G56" s="7"/>
      <c r="H56" s="7"/>
    </row>
    <row r="57" spans="1:8" ht="14.4" hidden="1" customHeight="1" outlineLevel="2">
      <c r="A57" s="30"/>
      <c r="B57" s="30"/>
      <c r="C57" s="85" t="s">
        <v>40</v>
      </c>
      <c r="D57" s="62" t="b">
        <v>0</v>
      </c>
      <c r="E57" s="62" t="b">
        <v>0</v>
      </c>
      <c r="F57" s="62" t="b">
        <v>0</v>
      </c>
      <c r="G57" s="62" t="b">
        <v>0</v>
      </c>
      <c r="H57" s="62" t="b">
        <v>0</v>
      </c>
    </row>
    <row r="58" spans="1:8" ht="14.4" hidden="1" customHeight="1" outlineLevel="2">
      <c r="A58" s="30"/>
      <c r="B58" s="30"/>
      <c r="C58" s="85" t="s">
        <v>41</v>
      </c>
      <c r="D58" s="62" t="b">
        <v>0</v>
      </c>
      <c r="E58" s="62" t="b">
        <v>0</v>
      </c>
      <c r="F58" s="62" t="b">
        <v>0</v>
      </c>
      <c r="G58" s="62" t="b">
        <v>0</v>
      </c>
      <c r="H58" s="62" t="b">
        <v>0</v>
      </c>
    </row>
    <row r="59" spans="1:8" ht="14.4" hidden="1" customHeight="1" outlineLevel="2">
      <c r="A59" s="30"/>
      <c r="B59" s="30"/>
      <c r="C59" s="85" t="s">
        <v>42</v>
      </c>
      <c r="D59" s="62" t="b">
        <v>0</v>
      </c>
      <c r="E59" s="62" t="b">
        <v>0</v>
      </c>
      <c r="F59" s="62" t="b">
        <v>0</v>
      </c>
      <c r="G59" s="62" t="b">
        <v>0</v>
      </c>
      <c r="H59" s="62" t="b">
        <v>0</v>
      </c>
    </row>
    <row r="60" spans="1:8" ht="14.4" hidden="1" customHeight="1" outlineLevel="2">
      <c r="A60" s="30"/>
      <c r="B60" s="30"/>
      <c r="C60" s="85" t="s">
        <v>43</v>
      </c>
      <c r="D60" s="62" t="b">
        <v>0</v>
      </c>
      <c r="E60" s="62" t="b">
        <v>0</v>
      </c>
      <c r="F60" s="62" t="b">
        <v>0</v>
      </c>
      <c r="G60" s="62" t="b">
        <v>0</v>
      </c>
      <c r="H60" s="62" t="b">
        <v>0</v>
      </c>
    </row>
    <row r="61" spans="1:8" ht="14.4" hidden="1" customHeight="1" outlineLevel="2">
      <c r="A61" s="30"/>
      <c r="B61" s="30"/>
      <c r="C61" s="85" t="s">
        <v>44</v>
      </c>
      <c r="D61" s="62" t="b">
        <v>0</v>
      </c>
      <c r="E61" s="62" t="b">
        <v>0</v>
      </c>
      <c r="F61" s="62" t="b">
        <v>0</v>
      </c>
      <c r="G61" s="62" t="b">
        <v>0</v>
      </c>
      <c r="H61" s="62" t="b">
        <v>0</v>
      </c>
    </row>
    <row r="62" spans="1:8" ht="14.4" hidden="1" customHeight="1" outlineLevel="2">
      <c r="A62" s="30"/>
      <c r="B62" s="30"/>
      <c r="C62" s="85" t="s">
        <v>45</v>
      </c>
      <c r="D62" s="62" t="b">
        <v>0</v>
      </c>
      <c r="E62" s="62" t="b">
        <v>0</v>
      </c>
      <c r="F62" s="62" t="b">
        <v>0</v>
      </c>
      <c r="G62" s="62" t="b">
        <v>0</v>
      </c>
      <c r="H62" s="62" t="b">
        <v>0</v>
      </c>
    </row>
    <row r="63" spans="1:8" ht="14.4" hidden="1" customHeight="1" outlineLevel="2">
      <c r="A63" s="30"/>
      <c r="B63" s="30"/>
      <c r="C63" s="85" t="s">
        <v>22</v>
      </c>
      <c r="D63" s="62" t="b">
        <v>0</v>
      </c>
      <c r="E63" s="62" t="b">
        <v>0</v>
      </c>
      <c r="F63" s="62" t="b">
        <v>0</v>
      </c>
      <c r="G63" s="62" t="b">
        <v>0</v>
      </c>
      <c r="H63" s="62" t="b">
        <v>0</v>
      </c>
    </row>
    <row r="64" spans="1:8" ht="14.4" hidden="1" customHeight="1" outlineLevel="2">
      <c r="B64" s="1"/>
      <c r="C64" s="86" t="s">
        <v>23</v>
      </c>
      <c r="D64" s="62" t="b">
        <v>0</v>
      </c>
      <c r="E64" s="62" t="b">
        <v>0</v>
      </c>
      <c r="F64" s="62" t="b">
        <v>0</v>
      </c>
      <c r="G64" s="62" t="b">
        <v>0</v>
      </c>
      <c r="H64" s="62" t="b">
        <v>0</v>
      </c>
    </row>
    <row r="65" spans="1:9" ht="4.95" hidden="1" customHeight="1" outlineLevel="2">
      <c r="B65" s="15"/>
      <c r="D65" s="7"/>
      <c r="E65" s="7"/>
      <c r="F65" s="7"/>
      <c r="G65" s="7"/>
      <c r="H65" s="7"/>
    </row>
    <row r="66" spans="1:9" ht="19.95" customHeight="1" outlineLevel="1" collapsed="1">
      <c r="A66" s="30"/>
      <c r="B66" s="82" t="s">
        <v>0</v>
      </c>
      <c r="C66" s="84" t="s">
        <v>47</v>
      </c>
      <c r="D66" s="7"/>
      <c r="E66" s="7"/>
      <c r="F66" s="7"/>
      <c r="G66" s="7"/>
      <c r="H66" s="7"/>
    </row>
    <row r="67" spans="1:9" ht="4.95" customHeight="1">
      <c r="A67" s="30"/>
      <c r="B67" s="8"/>
      <c r="C67" s="9"/>
      <c r="D67" s="7"/>
      <c r="E67" s="7"/>
      <c r="F67" s="7"/>
      <c r="G67" s="7"/>
      <c r="H67" s="7"/>
    </row>
    <row r="68" spans="1:9" ht="14.4" hidden="1" customHeight="1" outlineLevel="2">
      <c r="A68" s="30"/>
      <c r="B68" s="30"/>
      <c r="C68" s="34" t="str">
        <f>IF(COUNTIF(FieldList1, "&lt;&gt;FALSE") = 0,"",SUBSTITUTE(LOWER(C57)," ","_") &amp;" = ")</f>
        <v/>
      </c>
      <c r="D68" s="33" t="str">
        <f>IF(COUNTIF(FieldList1, "&lt;&gt;FALSE") = 0,"","['"&amp;_xlfn.TEXTJOIN("', '", TRUE, _xlfn._xlws.FILTER(FieldRange,FieldList1&lt;&gt; FALSE, ""))&amp;"']")</f>
        <v/>
      </c>
    </row>
    <row r="69" spans="1:9" ht="14.4" hidden="1" customHeight="1" outlineLevel="2">
      <c r="A69" s="30"/>
      <c r="B69" s="30"/>
      <c r="C69" s="34" t="str">
        <f>IF(COUNTIF(FieldList2, "&lt;&gt;FALSE") = 0,"",SUBSTITUTE(LOWER(C58)," ","_")&amp;" = ")</f>
        <v/>
      </c>
      <c r="D69" s="33" t="str">
        <f>IF(COUNTIF(FieldList2, "&lt;&gt;FALSE") = 0,"","['"&amp;_xlfn.TEXTJOIN("', '", TRUE, _xlfn._xlws.FILTER(FieldRange,FieldList2&lt;&gt; FALSE, ""))&amp;"']")</f>
        <v/>
      </c>
    </row>
    <row r="70" spans="1:9" ht="14.4" hidden="1" customHeight="1" outlineLevel="2">
      <c r="A70" s="30"/>
      <c r="B70" s="30"/>
      <c r="C70" s="34" t="str">
        <f>IF(COUNTIF(FieldList3, "&lt;&gt;FALSE") = 0,"",SUBSTITUTE(LOWER(C59)," ","_")&amp;" = ")</f>
        <v/>
      </c>
      <c r="D70" s="33" t="str">
        <f>IF(COUNTIF(FieldList3, "&lt;&gt;FALSE") = 0,"","['"&amp;_xlfn.TEXTJOIN("', '", TRUE, _xlfn._xlws.FILTER(FieldRange,FieldList3&lt;&gt; FALSE, ""))&amp;"']")</f>
        <v/>
      </c>
    </row>
    <row r="71" spans="1:9" ht="14.4" hidden="1" customHeight="1" outlineLevel="2">
      <c r="A71" s="30"/>
      <c r="B71" s="30"/>
      <c r="C71" s="34" t="str">
        <f>IF(COUNTIF(FieldList4, "&lt;&gt;FALSE") = 0,"",SUBSTITUTE(LOWER(C60)," ","_")&amp;" = ")</f>
        <v/>
      </c>
      <c r="D71" s="33" t="str">
        <f>IF(COUNTIF(FieldList4, "&lt;&gt;FALSE") = 0,"","['"&amp;_xlfn.TEXTJOIN("', '", TRUE, _xlfn._xlws.FILTER(FieldRange,FieldList4&lt;&gt; FALSE, ""))&amp;"']")</f>
        <v/>
      </c>
    </row>
    <row r="72" spans="1:9" ht="14.4" hidden="1" customHeight="1" outlineLevel="2">
      <c r="A72" s="30"/>
      <c r="B72" s="30"/>
      <c r="C72" s="34" t="str">
        <f>IF(COUNTIF(FieldList5, "&lt;&gt;FALSE") = 0,"",SUBSTITUTE(LOWER(C61)," ","_")&amp;" = ")</f>
        <v/>
      </c>
      <c r="D72" s="33" t="str">
        <f>IF(COUNTIF(FieldList5, "&lt;&gt;FALSE") = 0,"","['"&amp;_xlfn.TEXTJOIN("', '", TRUE, _xlfn._xlws.FILTER(FieldRange,FieldList5&lt;&gt; FALSE, ""))&amp;"']")</f>
        <v/>
      </c>
    </row>
    <row r="73" spans="1:9" ht="13.8" hidden="1" customHeight="1" outlineLevel="2">
      <c r="A73" s="30"/>
      <c r="B73" s="30"/>
      <c r="C73" s="34" t="str">
        <f>IF(COUNTIF(FieldList6, "&lt;&gt;FALSE") = 0,"",SUBSTITUTE(LOWER(C62)," ","_")&amp;" = ")</f>
        <v/>
      </c>
      <c r="D73" s="33" t="str">
        <f>IF(COUNTIF(FieldList6, "&lt;&gt;FALSE") = 0,"","['"&amp;_xlfn.TEXTJOIN("', '", TRUE, _xlfn._xlws.FILTER(FieldRange,FieldList6&lt;&gt; FALSE, ""))&amp;"']")</f>
        <v/>
      </c>
    </row>
    <row r="74" spans="1:9" ht="13.8" hidden="1" customHeight="1" outlineLevel="2">
      <c r="A74" s="30"/>
      <c r="B74" s="30"/>
      <c r="C74" s="34" t="str">
        <f>IF(COUNTIF(FieldList7, "&lt;&gt;FALSE") = 0,"",SUBSTITUTE(LOWER(C63)," ","_")&amp;" = ")</f>
        <v/>
      </c>
      <c r="D74" s="33" t="str" cm="1">
        <f t="array" ref="D74">IF(COUNTIF(FieldList7, "&lt;&gt;FALSE") = 0,"","['"&amp;_xlfn.TEXTJOIN("', '", TRUE, _xlfn._xlws.FILTER(FieldRange,FieldList7&lt;&gt; FALSE, ""))&amp;"']")</f>
        <v/>
      </c>
    </row>
    <row r="75" spans="1:9" ht="13.8" hidden="1" customHeight="1" outlineLevel="2">
      <c r="A75" s="30"/>
      <c r="B75" s="30"/>
      <c r="C75" s="34" t="str">
        <f>IF(COUNTIF(FieldList8, "&lt;&gt;FALSE") = 0,"",SUBSTITUTE(LOWER(C64)," ","_")&amp;" = ")</f>
        <v/>
      </c>
      <c r="D75" s="33" t="str" cm="1">
        <f t="array" ref="D75">IF(COUNTIF(FieldList8, "&lt;&gt;FALSE") = 0,"","['"&amp;_xlfn.TEXTJOIN("', '", TRUE, _xlfn._xlws.FILTER(FieldRange,FieldList8&lt;&gt; FALSE, ""))&amp;"']")</f>
        <v/>
      </c>
    </row>
    <row r="76" spans="1:9" ht="14.4" hidden="1" customHeight="1" outlineLevel="2">
      <c r="B76" s="26"/>
      <c r="C76" s="44" t="str">
        <f>IF(COUNTIF(tbl_SourceData[Record List], "&lt;&gt;FALSE") = 0,"",SUBSTITUTE(LOWER(LightHeader)," ", "_") &amp;" = ")</f>
        <v/>
      </c>
      <c r="D76" s="33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9" ht="4.95" hidden="1" customHeight="1" outlineLevel="2">
      <c r="B77" s="15"/>
      <c r="C77" s="27"/>
      <c r="D77" s="28"/>
      <c r="E77" s="28"/>
      <c r="F77" s="28"/>
      <c r="G77" s="28"/>
      <c r="H77" s="28"/>
    </row>
    <row r="78" spans="1:9" ht="30" customHeight="1" collapsed="1">
      <c r="C78" s="111" t="s">
        <v>21</v>
      </c>
      <c r="D78" s="29" t="s">
        <v>54</v>
      </c>
      <c r="E78" s="29" t="s">
        <v>55</v>
      </c>
      <c r="F78" s="29" t="s">
        <v>56</v>
      </c>
      <c r="G78" s="29" t="s">
        <v>57</v>
      </c>
      <c r="H78" s="29" t="s">
        <v>58</v>
      </c>
      <c r="I78" s="111" t="s">
        <v>20</v>
      </c>
    </row>
    <row r="79" spans="1:9">
      <c r="C79" s="31" t="b">
        <v>0</v>
      </c>
      <c r="D79" s="32" t="s">
        <v>66</v>
      </c>
      <c r="E79" s="32">
        <v>2019</v>
      </c>
      <c r="F79" s="32" t="s">
        <v>67</v>
      </c>
      <c r="G79" s="32" t="s">
        <v>64</v>
      </c>
      <c r="H79" s="32">
        <v>75.5</v>
      </c>
      <c r="I79" s="67">
        <v>9.9929727234931692E+18</v>
      </c>
    </row>
    <row r="80" spans="1:9">
      <c r="C80" s="31" t="b">
        <v>0</v>
      </c>
      <c r="D80" s="32" t="s">
        <v>68</v>
      </c>
      <c r="E80" s="32">
        <v>2019</v>
      </c>
      <c r="F80" s="32" t="s">
        <v>67</v>
      </c>
      <c r="G80" s="32" t="s">
        <v>64</v>
      </c>
      <c r="H80" s="32">
        <v>71.599999999999994</v>
      </c>
      <c r="I80" s="67">
        <v>1.52416519661709E+19</v>
      </c>
    </row>
    <row r="81" spans="3:9">
      <c r="C81" s="31" t="b">
        <v>0</v>
      </c>
      <c r="D81" s="32" t="s">
        <v>69</v>
      </c>
      <c r="E81" s="32">
        <v>2019</v>
      </c>
      <c r="F81" s="32" t="s">
        <v>67</v>
      </c>
      <c r="G81" s="32" t="s">
        <v>64</v>
      </c>
      <c r="H81" s="32">
        <v>67.8</v>
      </c>
      <c r="I81" s="67">
        <v>1.0235907331821001E+19</v>
      </c>
    </row>
    <row r="82" spans="3:9">
      <c r="C82" s="31" t="b">
        <v>0</v>
      </c>
      <c r="D82" s="32" t="s">
        <v>61</v>
      </c>
      <c r="E82" s="32">
        <v>2018</v>
      </c>
      <c r="F82" s="32" t="s">
        <v>67</v>
      </c>
      <c r="G82" s="32" t="s">
        <v>64</v>
      </c>
      <c r="H82" s="32">
        <v>60.5</v>
      </c>
      <c r="I82" s="67">
        <v>3.6627695907256704E+16</v>
      </c>
    </row>
    <row r="83" spans="3:9">
      <c r="C83" s="31" t="b">
        <v>0</v>
      </c>
      <c r="D83" s="32" t="s">
        <v>70</v>
      </c>
      <c r="E83" s="32">
        <v>2018</v>
      </c>
      <c r="F83" s="32" t="s">
        <v>63</v>
      </c>
      <c r="G83" s="32" t="s">
        <v>64</v>
      </c>
      <c r="H83" s="32">
        <v>32.1</v>
      </c>
      <c r="I83" s="67">
        <v>1.1400003188746899E+19</v>
      </c>
    </row>
    <row r="84" spans="3:9">
      <c r="C84" s="31" t="b">
        <v>0</v>
      </c>
      <c r="D84" s="32" t="s">
        <v>71</v>
      </c>
      <c r="E84" s="32">
        <v>2017</v>
      </c>
      <c r="F84" s="32" t="s">
        <v>63</v>
      </c>
      <c r="G84" s="32" t="s">
        <v>64</v>
      </c>
      <c r="H84" s="32">
        <v>18.5</v>
      </c>
      <c r="I84" s="67">
        <v>1.7460847306294301E+19</v>
      </c>
    </row>
    <row r="85" spans="3:9">
      <c r="C85" s="31" t="b">
        <v>0</v>
      </c>
      <c r="D85" s="32" t="s">
        <v>72</v>
      </c>
      <c r="E85" s="32">
        <v>2017</v>
      </c>
      <c r="F85" s="32" t="s">
        <v>63</v>
      </c>
      <c r="G85" s="32" t="s">
        <v>64</v>
      </c>
      <c r="H85" s="32">
        <v>18.600000000000001</v>
      </c>
      <c r="I85" s="67">
        <v>2.1123329517199099E+18</v>
      </c>
    </row>
    <row r="86" spans="3:9">
      <c r="C86" s="31" t="b">
        <v>0</v>
      </c>
      <c r="D86" s="32" t="s">
        <v>73</v>
      </c>
      <c r="E86" s="32">
        <v>2017</v>
      </c>
      <c r="F86" s="32" t="s">
        <v>63</v>
      </c>
      <c r="G86" s="32" t="s">
        <v>64</v>
      </c>
      <c r="H86" s="32">
        <v>11.6</v>
      </c>
      <c r="I86" s="67">
        <v>9.4149813681477402E+17</v>
      </c>
    </row>
    <row r="87" spans="3:9">
      <c r="C87" s="31" t="b">
        <v>0</v>
      </c>
      <c r="D87" s="32" t="s">
        <v>66</v>
      </c>
      <c r="E87" s="32">
        <v>2019</v>
      </c>
      <c r="F87" s="32" t="s">
        <v>67</v>
      </c>
      <c r="G87" s="32" t="s">
        <v>74</v>
      </c>
      <c r="H87" s="32">
        <v>97.8</v>
      </c>
      <c r="I87" s="67">
        <v>9.6263497362670899E+18</v>
      </c>
    </row>
    <row r="88" spans="3:9">
      <c r="C88" s="31" t="b">
        <v>0</v>
      </c>
      <c r="D88" s="32" t="s">
        <v>68</v>
      </c>
      <c r="E88" s="32">
        <v>2019</v>
      </c>
      <c r="F88" s="32" t="s">
        <v>67</v>
      </c>
      <c r="G88" s="32" t="s">
        <v>74</v>
      </c>
      <c r="H88" s="32">
        <v>97.5</v>
      </c>
      <c r="I88" s="67">
        <v>1.43583285109916E+19</v>
      </c>
    </row>
    <row r="89" spans="3:9">
      <c r="C89" s="31" t="b">
        <v>0</v>
      </c>
      <c r="D89" s="32" t="s">
        <v>69</v>
      </c>
      <c r="E89" s="32">
        <v>2019</v>
      </c>
      <c r="F89" s="32" t="s">
        <v>67</v>
      </c>
      <c r="G89" s="32" t="s">
        <v>74</v>
      </c>
      <c r="H89" s="32">
        <v>96.7</v>
      </c>
      <c r="I89" s="67">
        <v>4.4553798895175398E+18</v>
      </c>
    </row>
    <row r="90" spans="3:9">
      <c r="C90" s="31" t="b">
        <v>0</v>
      </c>
      <c r="D90" s="32" t="s">
        <v>61</v>
      </c>
      <c r="E90" s="32">
        <v>2018</v>
      </c>
      <c r="F90" s="32" t="s">
        <v>67</v>
      </c>
      <c r="G90" s="32" t="s">
        <v>74</v>
      </c>
      <c r="H90" s="32">
        <v>94.9</v>
      </c>
      <c r="I90" s="67">
        <v>1.01302104699058E+18</v>
      </c>
    </row>
    <row r="91" spans="3:9">
      <c r="C91" s="31" t="b">
        <v>0</v>
      </c>
      <c r="D91" s="32" t="s">
        <v>70</v>
      </c>
      <c r="E91" s="32">
        <v>2018</v>
      </c>
      <c r="F91" s="32" t="s">
        <v>63</v>
      </c>
      <c r="G91" s="32" t="s">
        <v>74</v>
      </c>
      <c r="H91" s="32">
        <v>89.3</v>
      </c>
      <c r="I91" s="67">
        <v>1.48677903123077E+19</v>
      </c>
    </row>
    <row r="92" spans="3:9">
      <c r="C92" s="31" t="b">
        <v>0</v>
      </c>
      <c r="D92" s="32" t="s">
        <v>71</v>
      </c>
      <c r="E92" s="32">
        <v>2017</v>
      </c>
      <c r="F92" s="32" t="s">
        <v>63</v>
      </c>
      <c r="G92" s="32" t="s">
        <v>74</v>
      </c>
      <c r="H92" s="32">
        <v>81.900000000000006</v>
      </c>
      <c r="I92" s="67">
        <v>4.3150242423210199E+18</v>
      </c>
    </row>
    <row r="93" spans="3:9">
      <c r="C93" s="31" t="b">
        <v>0</v>
      </c>
      <c r="D93" s="32" t="s">
        <v>72</v>
      </c>
      <c r="E93" s="32">
        <v>2017</v>
      </c>
      <c r="F93" s="32" t="s">
        <v>63</v>
      </c>
      <c r="G93" s="32" t="s">
        <v>74</v>
      </c>
      <c r="H93" s="32">
        <v>83</v>
      </c>
      <c r="I93" s="67">
        <v>8.0665310569967196E+18</v>
      </c>
    </row>
    <row r="94" spans="3:9">
      <c r="C94" s="31" t="b">
        <v>0</v>
      </c>
      <c r="D94" s="32" t="s">
        <v>73</v>
      </c>
      <c r="E94" s="32">
        <v>2017</v>
      </c>
      <c r="F94" s="32" t="s">
        <v>63</v>
      </c>
      <c r="G94" s="32" t="s">
        <v>74</v>
      </c>
      <c r="H94" s="32">
        <v>82.8</v>
      </c>
      <c r="I94" s="67">
        <v>2.7156363132571899E+18</v>
      </c>
    </row>
    <row r="95" spans="3:9">
      <c r="C95" s="31" t="b">
        <v>0</v>
      </c>
      <c r="D95" s="32" t="s">
        <v>66</v>
      </c>
      <c r="E95" s="32">
        <v>2019</v>
      </c>
      <c r="F95" s="32" t="s">
        <v>67</v>
      </c>
      <c r="G95" s="32" t="s">
        <v>75</v>
      </c>
      <c r="H95" s="32">
        <v>93.9</v>
      </c>
      <c r="I95" s="67">
        <v>1.9499654540918799E+18</v>
      </c>
    </row>
    <row r="96" spans="3:9">
      <c r="C96" s="31" t="b">
        <v>0</v>
      </c>
      <c r="D96" s="32" t="s">
        <v>68</v>
      </c>
      <c r="E96" s="32">
        <v>2019</v>
      </c>
      <c r="F96" s="32" t="s">
        <v>67</v>
      </c>
      <c r="G96" s="32" t="s">
        <v>75</v>
      </c>
      <c r="H96" s="32">
        <v>92.8</v>
      </c>
      <c r="I96" s="67">
        <v>1.1618223535330099E+19</v>
      </c>
    </row>
    <row r="97" spans="3:9">
      <c r="C97" s="31" t="b">
        <v>0</v>
      </c>
      <c r="D97" s="32" t="s">
        <v>69</v>
      </c>
      <c r="E97" s="32">
        <v>2019</v>
      </c>
      <c r="F97" s="32" t="s">
        <v>67</v>
      </c>
      <c r="G97" s="32" t="s">
        <v>75</v>
      </c>
      <c r="H97" s="32">
        <v>92.3</v>
      </c>
      <c r="I97" s="67">
        <v>1.43637620066734E+18</v>
      </c>
    </row>
    <row r="98" spans="3:9">
      <c r="C98" s="31" t="b">
        <v>0</v>
      </c>
      <c r="D98" s="32" t="s">
        <v>61</v>
      </c>
      <c r="E98" s="32">
        <v>2018</v>
      </c>
      <c r="F98" s="32" t="s">
        <v>67</v>
      </c>
      <c r="G98" s="32" t="s">
        <v>75</v>
      </c>
      <c r="H98" s="32">
        <v>89.3</v>
      </c>
      <c r="I98" s="67">
        <v>9.6903564563254006E+18</v>
      </c>
    </row>
    <row r="99" spans="3:9">
      <c r="C99" s="31" t="b">
        <v>0</v>
      </c>
      <c r="D99" s="32" t="s">
        <v>70</v>
      </c>
      <c r="E99" s="32">
        <v>2018</v>
      </c>
      <c r="F99" s="32" t="s">
        <v>63</v>
      </c>
      <c r="G99" s="32" t="s">
        <v>75</v>
      </c>
      <c r="H99" s="32">
        <v>84.7</v>
      </c>
      <c r="I99" s="67">
        <v>5.1687048004657104E+16</v>
      </c>
    </row>
    <row r="100" spans="3:9">
      <c r="C100" s="31" t="b">
        <v>0</v>
      </c>
      <c r="D100" s="32" t="s">
        <v>71</v>
      </c>
      <c r="E100" s="32">
        <v>2017</v>
      </c>
      <c r="F100" s="32" t="s">
        <v>63</v>
      </c>
      <c r="G100" s="32" t="s">
        <v>75</v>
      </c>
      <c r="H100" s="32">
        <v>78.7</v>
      </c>
      <c r="I100" s="67">
        <v>8.0220361763618396E+18</v>
      </c>
    </row>
    <row r="101" spans="3:9">
      <c r="C101" s="31" t="b">
        <v>0</v>
      </c>
      <c r="D101" s="32" t="s">
        <v>72</v>
      </c>
      <c r="E101" s="32">
        <v>2017</v>
      </c>
      <c r="F101" s="32" t="s">
        <v>63</v>
      </c>
      <c r="G101" s="32" t="s">
        <v>75</v>
      </c>
      <c r="H101" s="32">
        <v>83.9</v>
      </c>
      <c r="I101" s="67">
        <v>1.41824365362105E+19</v>
      </c>
    </row>
    <row r="102" spans="3:9">
      <c r="C102" s="31" t="b">
        <v>0</v>
      </c>
      <c r="D102" s="32" t="s">
        <v>73</v>
      </c>
      <c r="E102" s="32">
        <v>2017</v>
      </c>
      <c r="F102" s="32" t="s">
        <v>63</v>
      </c>
      <c r="G102" s="32" t="s">
        <v>75</v>
      </c>
      <c r="H102" s="32">
        <v>81.8</v>
      </c>
      <c r="I102" s="67">
        <v>1.0541376851723999E+19</v>
      </c>
    </row>
    <row r="103" spans="3:9">
      <c r="C103" s="31" t="b">
        <v>0</v>
      </c>
      <c r="D103" s="32" t="s">
        <v>66</v>
      </c>
      <c r="E103" s="32">
        <v>2019</v>
      </c>
      <c r="F103" s="32" t="s">
        <v>67</v>
      </c>
      <c r="G103" s="32" t="s">
        <v>76</v>
      </c>
      <c r="H103" s="32">
        <v>93</v>
      </c>
      <c r="I103" s="67">
        <v>1.0356692192628401E+18</v>
      </c>
    </row>
    <row r="104" spans="3:9">
      <c r="C104" s="31" t="b">
        <v>0</v>
      </c>
      <c r="D104" s="32" t="s">
        <v>68</v>
      </c>
      <c r="E104" s="32">
        <v>2019</v>
      </c>
      <c r="F104" s="32" t="s">
        <v>67</v>
      </c>
      <c r="G104" s="32" t="s">
        <v>76</v>
      </c>
      <c r="H104" s="32">
        <v>93.1</v>
      </c>
      <c r="I104" s="67">
        <v>1.1274259262237999E+19</v>
      </c>
    </row>
    <row r="105" spans="3:9">
      <c r="C105" s="31" t="b">
        <v>0</v>
      </c>
      <c r="D105" s="32" t="s">
        <v>69</v>
      </c>
      <c r="E105" s="32">
        <v>2019</v>
      </c>
      <c r="F105" s="32" t="s">
        <v>67</v>
      </c>
      <c r="G105" s="32" t="s">
        <v>76</v>
      </c>
      <c r="H105" s="32">
        <v>92.2</v>
      </c>
      <c r="I105" s="67">
        <v>1.7078438466850501E+19</v>
      </c>
    </row>
    <row r="106" spans="3:9">
      <c r="C106" s="31" t="b">
        <v>0</v>
      </c>
      <c r="D106" s="32" t="s">
        <v>61</v>
      </c>
      <c r="E106" s="32">
        <v>2018</v>
      </c>
      <c r="F106" s="32" t="s">
        <v>67</v>
      </c>
      <c r="G106" s="32" t="s">
        <v>76</v>
      </c>
      <c r="H106" s="32">
        <v>87.6</v>
      </c>
      <c r="I106" s="67">
        <v>9.2285928963688202E+18</v>
      </c>
    </row>
    <row r="107" spans="3:9">
      <c r="C107" s="31" t="b">
        <v>0</v>
      </c>
      <c r="D107" s="32" t="s">
        <v>70</v>
      </c>
      <c r="E107" s="32">
        <v>2018</v>
      </c>
      <c r="F107" s="32" t="s">
        <v>63</v>
      </c>
      <c r="G107" s="32" t="s">
        <v>76</v>
      </c>
      <c r="H107" s="32">
        <v>70.3</v>
      </c>
      <c r="I107" s="67">
        <v>1.5775309000715E+19</v>
      </c>
    </row>
    <row r="108" spans="3:9">
      <c r="C108" s="31" t="b">
        <v>0</v>
      </c>
      <c r="D108" s="32" t="s">
        <v>71</v>
      </c>
      <c r="E108" s="32">
        <v>2017</v>
      </c>
      <c r="F108" s="32" t="s">
        <v>63</v>
      </c>
      <c r="G108" s="32" t="s">
        <v>76</v>
      </c>
      <c r="H108" s="32">
        <v>64.400000000000006</v>
      </c>
      <c r="I108" s="67">
        <v>1.2393686424224E+19</v>
      </c>
    </row>
    <row r="109" spans="3:9">
      <c r="C109" s="31" t="b">
        <v>0</v>
      </c>
      <c r="D109" s="32" t="s">
        <v>72</v>
      </c>
      <c r="E109" s="32">
        <v>2017</v>
      </c>
      <c r="F109" s="32" t="s">
        <v>63</v>
      </c>
      <c r="G109" s="32" t="s">
        <v>76</v>
      </c>
      <c r="H109" s="32">
        <v>72.8</v>
      </c>
      <c r="I109" s="67">
        <v>6.5434710748987597E+18</v>
      </c>
    </row>
    <row r="110" spans="3:9">
      <c r="C110" s="31" t="b">
        <v>0</v>
      </c>
      <c r="D110" s="32" t="s">
        <v>73</v>
      </c>
      <c r="E110" s="32">
        <v>2017</v>
      </c>
      <c r="F110" s="32" t="s">
        <v>63</v>
      </c>
      <c r="G110" s="32" t="s">
        <v>76</v>
      </c>
      <c r="H110" s="32">
        <v>70.3</v>
      </c>
      <c r="I110" s="67">
        <v>1.76192985538235E+19</v>
      </c>
    </row>
    <row r="111" spans="3:9">
      <c r="C111" s="31" t="b">
        <v>0</v>
      </c>
      <c r="D111" s="32" t="s">
        <v>66</v>
      </c>
      <c r="E111" s="32">
        <v>2019</v>
      </c>
      <c r="F111" s="32" t="s">
        <v>67</v>
      </c>
      <c r="G111" s="32" t="s">
        <v>77</v>
      </c>
      <c r="H111" s="32">
        <v>75.2</v>
      </c>
      <c r="I111" s="67">
        <v>1.8269344613130199E+19</v>
      </c>
    </row>
    <row r="112" spans="3:9">
      <c r="C112" s="31" t="b">
        <v>0</v>
      </c>
      <c r="D112" s="32" t="s">
        <v>68</v>
      </c>
      <c r="E112" s="32">
        <v>2019</v>
      </c>
      <c r="F112" s="32" t="s">
        <v>67</v>
      </c>
      <c r="G112" s="32" t="s">
        <v>77</v>
      </c>
      <c r="H112" s="32">
        <v>75.099999999999994</v>
      </c>
      <c r="I112" s="67">
        <v>1.7553506572495401E+19</v>
      </c>
    </row>
    <row r="113" spans="3:9">
      <c r="C113" s="31" t="b">
        <v>0</v>
      </c>
      <c r="D113" s="32" t="s">
        <v>69</v>
      </c>
      <c r="E113" s="32">
        <v>2019</v>
      </c>
      <c r="F113" s="32" t="s">
        <v>67</v>
      </c>
      <c r="G113" s="32" t="s">
        <v>77</v>
      </c>
      <c r="H113" s="32">
        <v>74.3</v>
      </c>
      <c r="I113" s="67">
        <v>1.6820731306607301E+19</v>
      </c>
    </row>
    <row r="114" spans="3:9">
      <c r="C114" s="31" t="b">
        <v>0</v>
      </c>
      <c r="D114" s="32" t="s">
        <v>61</v>
      </c>
      <c r="E114" s="32">
        <v>2018</v>
      </c>
      <c r="F114" s="32" t="s">
        <v>67</v>
      </c>
      <c r="G114" s="32" t="s">
        <v>77</v>
      </c>
      <c r="H114" s="32">
        <v>72.099999999999994</v>
      </c>
      <c r="I114" s="67">
        <v>1.7108691470129701E+19</v>
      </c>
    </row>
    <row r="115" spans="3:9">
      <c r="C115" s="31" t="b">
        <v>0</v>
      </c>
      <c r="D115" s="32" t="s">
        <v>70</v>
      </c>
      <c r="E115" s="32">
        <v>2018</v>
      </c>
      <c r="F115" s="32" t="s">
        <v>63</v>
      </c>
      <c r="G115" s="32" t="s">
        <v>77</v>
      </c>
      <c r="H115" s="32">
        <v>61.1</v>
      </c>
      <c r="I115" s="67">
        <v>9.4716502457397699E+18</v>
      </c>
    </row>
    <row r="116" spans="3:9">
      <c r="C116" s="31" t="b">
        <v>0</v>
      </c>
      <c r="D116" s="32" t="s">
        <v>71</v>
      </c>
      <c r="E116" s="32">
        <v>2017</v>
      </c>
      <c r="F116" s="32" t="s">
        <v>63</v>
      </c>
      <c r="G116" s="32" t="s">
        <v>77</v>
      </c>
      <c r="H116" s="32">
        <v>60.6</v>
      </c>
      <c r="I116" s="67">
        <v>1.18675430624146E+19</v>
      </c>
    </row>
    <row r="117" spans="3:9">
      <c r="C117" s="31" t="b">
        <v>0</v>
      </c>
      <c r="D117" s="32" t="s">
        <v>72</v>
      </c>
      <c r="E117" s="32">
        <v>2017</v>
      </c>
      <c r="F117" s="32" t="s">
        <v>63</v>
      </c>
      <c r="G117" s="32" t="s">
        <v>77</v>
      </c>
      <c r="H117" s="32">
        <v>60.1</v>
      </c>
      <c r="I117" s="67">
        <v>1.02047216872733E+19</v>
      </c>
    </row>
    <row r="118" spans="3:9">
      <c r="C118" s="31" t="b">
        <v>0</v>
      </c>
      <c r="D118" s="32" t="s">
        <v>73</v>
      </c>
      <c r="E118" s="32">
        <v>2017</v>
      </c>
      <c r="F118" s="32" t="s">
        <v>63</v>
      </c>
      <c r="G118" s="32" t="s">
        <v>77</v>
      </c>
      <c r="H118" s="32">
        <v>62.5</v>
      </c>
      <c r="I118" s="67">
        <v>5.4933697044270705E+18</v>
      </c>
    </row>
    <row r="119" spans="3:9">
      <c r="C119" s="31" t="b">
        <v>0</v>
      </c>
      <c r="D119" s="32" t="s">
        <v>66</v>
      </c>
      <c r="E119" s="32">
        <v>2019</v>
      </c>
      <c r="F119" s="32" t="s">
        <v>67</v>
      </c>
      <c r="G119" s="32" t="s">
        <v>78</v>
      </c>
      <c r="H119" s="32">
        <v>92.3</v>
      </c>
      <c r="I119" s="67">
        <v>1.39380561396235E+19</v>
      </c>
    </row>
    <row r="120" spans="3:9">
      <c r="C120" s="31" t="b">
        <v>0</v>
      </c>
      <c r="D120" s="32" t="s">
        <v>68</v>
      </c>
      <c r="E120" s="32">
        <v>2019</v>
      </c>
      <c r="F120" s="32" t="s">
        <v>67</v>
      </c>
      <c r="G120" s="32" t="s">
        <v>78</v>
      </c>
      <c r="H120" s="32">
        <v>92.2</v>
      </c>
      <c r="I120" s="67">
        <v>5.7253599513179402E+18</v>
      </c>
    </row>
    <row r="121" spans="3:9">
      <c r="C121" s="31" t="b">
        <v>0</v>
      </c>
      <c r="D121" s="32" t="s">
        <v>69</v>
      </c>
      <c r="E121" s="32">
        <v>2019</v>
      </c>
      <c r="F121" s="32" t="s">
        <v>67</v>
      </c>
      <c r="G121" s="32" t="s">
        <v>78</v>
      </c>
      <c r="H121" s="32">
        <v>90.8</v>
      </c>
      <c r="I121" s="67">
        <v>4.3326849718639898E+18</v>
      </c>
    </row>
    <row r="122" spans="3:9">
      <c r="C122" s="31" t="b">
        <v>0</v>
      </c>
      <c r="D122" s="32" t="s">
        <v>61</v>
      </c>
      <c r="E122" s="32">
        <v>2018</v>
      </c>
      <c r="F122" s="32" t="s">
        <v>67</v>
      </c>
      <c r="G122" s="32" t="s">
        <v>78</v>
      </c>
      <c r="H122" s="32">
        <v>86.7</v>
      </c>
      <c r="I122" s="67">
        <v>1.2796277502226901E+19</v>
      </c>
    </row>
    <row r="123" spans="3:9">
      <c r="C123" s="31" t="b">
        <v>0</v>
      </c>
      <c r="D123" s="32" t="s">
        <v>70</v>
      </c>
      <c r="E123" s="32">
        <v>2018</v>
      </c>
      <c r="F123" s="32" t="s">
        <v>63</v>
      </c>
      <c r="G123" s="32" t="s">
        <v>78</v>
      </c>
      <c r="H123" s="32">
        <v>67.2</v>
      </c>
      <c r="I123" s="67">
        <v>5.0802116163073905E+18</v>
      </c>
    </row>
    <row r="124" spans="3:9">
      <c r="C124" s="31" t="b">
        <v>0</v>
      </c>
      <c r="D124" s="32" t="s">
        <v>71</v>
      </c>
      <c r="E124" s="32">
        <v>2017</v>
      </c>
      <c r="F124" s="32" t="s">
        <v>63</v>
      </c>
      <c r="G124" s="32" t="s">
        <v>78</v>
      </c>
      <c r="H124" s="32">
        <v>65.400000000000006</v>
      </c>
      <c r="I124" s="67">
        <v>9.8838283255593206E+18</v>
      </c>
    </row>
    <row r="125" spans="3:9">
      <c r="C125" s="31" t="b">
        <v>0</v>
      </c>
      <c r="D125" s="32" t="s">
        <v>72</v>
      </c>
      <c r="E125" s="32">
        <v>2017</v>
      </c>
      <c r="F125" s="32" t="s">
        <v>63</v>
      </c>
      <c r="G125" s="32" t="s">
        <v>78</v>
      </c>
      <c r="H125" s="32">
        <v>67.599999999999994</v>
      </c>
      <c r="I125" s="67">
        <v>1.0981386942819799E+19</v>
      </c>
    </row>
    <row r="126" spans="3:9">
      <c r="C126" s="31" t="b">
        <v>0</v>
      </c>
      <c r="D126" s="32" t="s">
        <v>73</v>
      </c>
      <c r="E126" s="32">
        <v>2017</v>
      </c>
      <c r="F126" s="32" t="s">
        <v>63</v>
      </c>
      <c r="G126" s="32" t="s">
        <v>78</v>
      </c>
      <c r="H126" s="32">
        <v>65.599999999999994</v>
      </c>
      <c r="I126" s="67">
        <v>9.0382482465152604E+18</v>
      </c>
    </row>
    <row r="127" spans="3:9">
      <c r="C127" s="31" t="b">
        <v>0</v>
      </c>
      <c r="D127" s="32" t="s">
        <v>66</v>
      </c>
      <c r="E127" s="32">
        <v>2019</v>
      </c>
      <c r="F127" s="32" t="s">
        <v>67</v>
      </c>
      <c r="G127" s="32" t="s">
        <v>79</v>
      </c>
      <c r="H127" s="32">
        <v>97.3</v>
      </c>
      <c r="I127" s="67">
        <v>6.1691038947429601E+18</v>
      </c>
    </row>
    <row r="128" spans="3:9">
      <c r="C128" s="31" t="b">
        <v>0</v>
      </c>
      <c r="D128" s="32" t="s">
        <v>68</v>
      </c>
      <c r="E128" s="32">
        <v>2019</v>
      </c>
      <c r="F128" s="32" t="s">
        <v>67</v>
      </c>
      <c r="G128" s="32" t="s">
        <v>79</v>
      </c>
      <c r="H128" s="32">
        <v>96.9</v>
      </c>
      <c r="I128" s="67">
        <v>1.08209449927861E+19</v>
      </c>
    </row>
    <row r="129" spans="3:9">
      <c r="C129" s="31" t="b">
        <v>0</v>
      </c>
      <c r="D129" s="32" t="s">
        <v>69</v>
      </c>
      <c r="E129" s="32">
        <v>2019</v>
      </c>
      <c r="F129" s="32" t="s">
        <v>67</v>
      </c>
      <c r="G129" s="32" t="s">
        <v>79</v>
      </c>
      <c r="H129" s="32">
        <v>95.4</v>
      </c>
      <c r="I129" s="67">
        <v>1.3601989183877501E+19</v>
      </c>
    </row>
    <row r="130" spans="3:9">
      <c r="C130" s="31" t="b">
        <v>0</v>
      </c>
      <c r="D130" s="32" t="s">
        <v>61</v>
      </c>
      <c r="E130" s="32">
        <v>2018</v>
      </c>
      <c r="F130" s="32" t="s">
        <v>67</v>
      </c>
      <c r="G130" s="32" t="s">
        <v>79</v>
      </c>
      <c r="H130" s="32">
        <v>92.7</v>
      </c>
      <c r="I130" s="67">
        <v>4.1115077632115799E+18</v>
      </c>
    </row>
    <row r="131" spans="3:9">
      <c r="C131" s="31" t="b">
        <v>0</v>
      </c>
      <c r="D131" s="32" t="s">
        <v>70</v>
      </c>
      <c r="E131" s="32">
        <v>2018</v>
      </c>
      <c r="F131" s="32" t="s">
        <v>63</v>
      </c>
      <c r="G131" s="32" t="s">
        <v>79</v>
      </c>
      <c r="H131" s="32">
        <v>75.5</v>
      </c>
      <c r="I131" s="67">
        <v>8.3349481964263803E+18</v>
      </c>
    </row>
    <row r="132" spans="3:9">
      <c r="C132" s="31" t="b">
        <v>0</v>
      </c>
      <c r="D132" s="32" t="s">
        <v>71</v>
      </c>
      <c r="E132" s="32">
        <v>2017</v>
      </c>
      <c r="F132" s="32" t="s">
        <v>63</v>
      </c>
      <c r="G132" s="32" t="s">
        <v>79</v>
      </c>
      <c r="H132" s="32">
        <v>70.8</v>
      </c>
      <c r="I132" s="67">
        <v>9.7329425081643192E+18</v>
      </c>
    </row>
    <row r="133" spans="3:9">
      <c r="C133" s="31" t="b">
        <v>0</v>
      </c>
      <c r="D133" s="32" t="s">
        <v>72</v>
      </c>
      <c r="E133" s="32">
        <v>2017</v>
      </c>
      <c r="F133" s="32" t="s">
        <v>63</v>
      </c>
      <c r="G133" s="32" t="s">
        <v>79</v>
      </c>
      <c r="H133" s="32">
        <v>74.3</v>
      </c>
      <c r="I133" s="67">
        <v>9.1293945915137096E+18</v>
      </c>
    </row>
    <row r="134" spans="3:9">
      <c r="C134" s="31" t="b">
        <v>0</v>
      </c>
      <c r="D134" s="32" t="s">
        <v>73</v>
      </c>
      <c r="E134" s="32">
        <v>2017</v>
      </c>
      <c r="F134" s="32" t="s">
        <v>63</v>
      </c>
      <c r="G134" s="32" t="s">
        <v>79</v>
      </c>
      <c r="H134" s="32">
        <v>74.599999999999994</v>
      </c>
      <c r="I134" s="67">
        <v>2.0266813815504399E+18</v>
      </c>
    </row>
    <row r="135" spans="3:9">
      <c r="C135" s="31" t="b">
        <v>0</v>
      </c>
      <c r="D135" s="32" t="s">
        <v>66</v>
      </c>
      <c r="E135" s="32">
        <v>2019</v>
      </c>
      <c r="F135" s="32" t="s">
        <v>67</v>
      </c>
      <c r="G135" s="32" t="s">
        <v>80</v>
      </c>
      <c r="H135" s="32">
        <v>92.6</v>
      </c>
      <c r="I135" s="67">
        <v>9.8697975938676593E+18</v>
      </c>
    </row>
    <row r="136" spans="3:9">
      <c r="C136" s="31" t="b">
        <v>0</v>
      </c>
      <c r="D136" s="32" t="s">
        <v>68</v>
      </c>
      <c r="E136" s="32">
        <v>2019</v>
      </c>
      <c r="F136" s="32" t="s">
        <v>67</v>
      </c>
      <c r="G136" s="32" t="s">
        <v>80</v>
      </c>
      <c r="H136" s="32">
        <v>92.8</v>
      </c>
      <c r="I136" s="67">
        <v>7.9435431653785702E+18</v>
      </c>
    </row>
    <row r="137" spans="3:9">
      <c r="C137" s="31" t="b">
        <v>0</v>
      </c>
      <c r="D137" s="32" t="s">
        <v>69</v>
      </c>
      <c r="E137" s="32">
        <v>2019</v>
      </c>
      <c r="F137" s="32" t="s">
        <v>67</v>
      </c>
      <c r="G137" s="32" t="s">
        <v>80</v>
      </c>
      <c r="H137" s="32">
        <v>88.2</v>
      </c>
      <c r="I137" s="67">
        <v>1.5864547078008001E+19</v>
      </c>
    </row>
    <row r="138" spans="3:9">
      <c r="C138" s="31" t="b">
        <v>0</v>
      </c>
      <c r="D138" s="32" t="s">
        <v>61</v>
      </c>
      <c r="E138" s="32">
        <v>2018</v>
      </c>
      <c r="F138" s="32" t="s">
        <v>67</v>
      </c>
      <c r="G138" s="32" t="s">
        <v>80</v>
      </c>
      <c r="H138" s="32">
        <v>70.099999999999994</v>
      </c>
      <c r="I138" s="67">
        <v>1.5977479936981701E+19</v>
      </c>
    </row>
    <row r="139" spans="3:9">
      <c r="C139" s="31" t="b">
        <v>0</v>
      </c>
      <c r="D139" s="32" t="s">
        <v>70</v>
      </c>
      <c r="E139" s="32">
        <v>2018</v>
      </c>
      <c r="F139" s="32" t="s">
        <v>63</v>
      </c>
      <c r="G139" s="32" t="s">
        <v>80</v>
      </c>
      <c r="H139" s="32">
        <v>57.4</v>
      </c>
      <c r="I139" s="67">
        <v>1.2019487233758501E+19</v>
      </c>
    </row>
    <row r="140" spans="3:9">
      <c r="C140" s="31" t="b">
        <v>0</v>
      </c>
      <c r="D140" s="32" t="s">
        <v>71</v>
      </c>
      <c r="E140" s="32">
        <v>2017</v>
      </c>
      <c r="F140" s="32" t="s">
        <v>63</v>
      </c>
      <c r="G140" s="32" t="s">
        <v>80</v>
      </c>
      <c r="H140" s="32">
        <v>52.7</v>
      </c>
      <c r="I140" s="67">
        <v>5.7055596176279798E+18</v>
      </c>
    </row>
    <row r="141" spans="3:9">
      <c r="C141" s="31" t="b">
        <v>0</v>
      </c>
      <c r="D141" s="32" t="s">
        <v>72</v>
      </c>
      <c r="E141" s="32">
        <v>2017</v>
      </c>
      <c r="F141" s="32" t="s">
        <v>63</v>
      </c>
      <c r="G141" s="32" t="s">
        <v>80</v>
      </c>
      <c r="H141" s="32">
        <v>58.4</v>
      </c>
      <c r="I141" s="67">
        <v>1.01740775565106E+18</v>
      </c>
    </row>
    <row r="142" spans="3:9">
      <c r="C142" s="31" t="b">
        <v>0</v>
      </c>
      <c r="D142" s="32" t="s">
        <v>73</v>
      </c>
      <c r="E142" s="32">
        <v>2017</v>
      </c>
      <c r="F142" s="32" t="s">
        <v>63</v>
      </c>
      <c r="G142" s="32" t="s">
        <v>80</v>
      </c>
      <c r="H142" s="32">
        <v>57.4</v>
      </c>
      <c r="I142" s="67">
        <v>1.1998182671641899E+19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42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H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H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H29 G35:H39 G45:H53">
    <cfRule type="cellIs" dxfId="9" priority="5" operator="equal">
      <formula>0</formula>
    </cfRule>
  </conditionalFormatting>
  <conditionalFormatting sqref="G23:H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H64">
    <cfRule type="cellIs" dxfId="8" priority="3" operator="equal">
      <formula>FALSE</formula>
    </cfRule>
    <cfRule type="cellIs" dxfId="7" priority="4" operator="notEqual">
      <formula>FALSE</formula>
    </cfRule>
  </conditionalFormatting>
  <conditionalFormatting sqref="I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5"/>
  <sheetViews>
    <sheetView zoomScale="85" zoomScaleNormal="85" workbookViewId="0">
      <selection activeCell="C6" sqref="C6"/>
    </sheetView>
  </sheetViews>
  <sheetFormatPr defaultRowHeight="14.4"/>
  <cols>
    <col min="1" max="1" width="2.77734375" customWidth="1"/>
    <col min="2" max="2" width="2.77734375" style="2" customWidth="1"/>
    <col min="3" max="3" width="78.6640625" style="7" customWidth="1"/>
    <col min="4" max="4" width="31.88671875" style="1" customWidth="1"/>
    <col min="5" max="16" width="8.88671875" style="1"/>
  </cols>
  <sheetData>
    <row r="2" spans="1:16" ht="43.2" customHeight="1">
      <c r="C2" s="61" t="s">
        <v>24</v>
      </c>
    </row>
    <row r="3" spans="1:16" ht="10.050000000000001" customHeight="1">
      <c r="B3" s="1"/>
      <c r="C3" s="5"/>
    </row>
    <row r="4" spans="1:16" ht="34.950000000000003" customHeight="1">
      <c r="B4" s="109"/>
      <c r="C4" s="112"/>
      <c r="D4" s="112"/>
      <c r="E4" s="112"/>
      <c r="F4" s="112"/>
      <c r="G4" s="112"/>
      <c r="H4" s="112"/>
      <c r="I4" s="112"/>
      <c r="J4" s="112"/>
      <c r="K4" s="112"/>
      <c r="L4" s="112"/>
      <c r="M4" s="112"/>
      <c r="N4" s="112"/>
      <c r="O4" s="112"/>
      <c r="P4" s="112"/>
    </row>
    <row r="5" spans="1:16" ht="15" customHeight="1">
      <c r="B5"/>
      <c r="C5"/>
      <c r="D5"/>
      <c r="E5"/>
      <c r="F5"/>
      <c r="G5"/>
      <c r="H5"/>
      <c r="I5"/>
      <c r="J5"/>
      <c r="K5"/>
      <c r="L5"/>
      <c r="M5"/>
      <c r="N5"/>
      <c r="O5"/>
      <c r="P5"/>
    </row>
    <row r="6" spans="1:16" ht="15" customHeight="1">
      <c r="C6" s="25"/>
    </row>
    <row r="7" spans="1:16" ht="19.2" customHeight="1">
      <c r="B7" s="1"/>
      <c r="C7" s="5"/>
    </row>
    <row r="14" spans="1:16" s="1" customFormat="1">
      <c r="A14"/>
      <c r="B14" s="2"/>
    </row>
    <row r="15" spans="1:16" s="1" customFormat="1">
      <c r="A15"/>
      <c r="B15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E18"/>
  <sheetViews>
    <sheetView zoomScale="85" zoomScaleNormal="85" workbookViewId="0">
      <pane xSplit="4" ySplit="4" topLeftCell="E5" activePane="bottomRight" state="frozen"/>
      <selection activeCell="B5" sqref="B5"/>
      <selection pane="topRight" activeCell="B5" sqref="B5"/>
      <selection pane="bottomLeft" activeCell="B5" sqref="B5"/>
      <selection pane="bottomRight" activeCell="C6" sqref="C6"/>
    </sheetView>
  </sheetViews>
  <sheetFormatPr defaultRowHeight="14.4"/>
  <cols>
    <col min="1" max="1" width="3" style="1" customWidth="1"/>
    <col min="2" max="2" width="8.21875" style="1" bestFit="1" customWidth="1"/>
    <col min="3" max="3" width="2.77734375" style="2" customWidth="1"/>
    <col min="4" max="4" width="53.33203125" style="7" bestFit="1" customWidth="1"/>
    <col min="5" max="5" width="27.77734375" style="1" customWidth="1"/>
    <col min="6" max="16384" width="8.88671875" style="1"/>
  </cols>
  <sheetData>
    <row r="2" spans="2:5" ht="51.6" customHeight="1">
      <c r="C2" s="43"/>
      <c r="D2" s="61" t="s">
        <v>31</v>
      </c>
      <c r="E2" s="4" t="s">
        <v>1</v>
      </c>
    </row>
    <row r="3" spans="2:5" ht="10.050000000000001" customHeight="1">
      <c r="C3" s="1"/>
      <c r="D3" s="5"/>
    </row>
    <row r="4" spans="2:5" s="6" customFormat="1" ht="30" customHeight="1">
      <c r="B4" s="1"/>
      <c r="C4" s="113"/>
      <c r="D4" s="114" t="s">
        <v>2</v>
      </c>
      <c r="E4" s="115"/>
    </row>
    <row r="5" spans="2:5" ht="10.050000000000001" customHeight="1">
      <c r="C5" s="1"/>
      <c r="D5" s="5"/>
    </row>
    <row r="6" spans="2:5" ht="10.050000000000001" customHeight="1">
      <c r="C6" s="10"/>
      <c r="E6" s="7"/>
    </row>
    <row r="7" spans="2:5" ht="150" customHeight="1">
      <c r="C7" s="15"/>
      <c r="D7" s="16"/>
      <c r="E7" s="17"/>
    </row>
    <row r="8" spans="2:5" ht="10.050000000000001" customHeight="1">
      <c r="C8" s="18"/>
      <c r="E8" s="7"/>
    </row>
    <row r="9" spans="2:5" collapsed="1"/>
    <row r="11" spans="2:5">
      <c r="D11" s="1"/>
    </row>
    <row r="12" spans="2:5">
      <c r="D12" s="1"/>
    </row>
    <row r="13" spans="2:5">
      <c r="D13" s="1"/>
    </row>
    <row r="14" spans="2:5">
      <c r="D14" s="1"/>
    </row>
    <row r="17" spans="4:4">
      <c r="D17" s="1"/>
    </row>
    <row r="18" spans="4:4">
      <c r="D18" s="1"/>
    </row>
  </sheetData>
  <conditionalFormatting sqref="E7">
    <cfRule type="cellIs" dxfId="14" priority="3" operator="equal">
      <formula>"Notes"</formula>
    </cfRule>
  </conditionalFormatting>
  <conditionalFormatting sqref="E6:E7">
    <cfRule type="cellIs" dxfId="13" priority="4" operator="equal">
      <formula>0</formula>
    </cfRule>
  </conditionalFormatting>
  <conditionalFormatting sqref="E2">
    <cfRule type="cellIs" dxfId="12" priority="1" operator="equal">
      <formula>"Notes"</formula>
    </cfRule>
    <cfRule type="cellIs" dxfId="11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40</vt:i4>
      </vt:variant>
    </vt:vector>
  </HeadingPairs>
  <TitlesOfParts>
    <vt:vector size="44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2026-05-19T06:13:30Z</dcterms:modified>
</cp:coreProperties>
</file>