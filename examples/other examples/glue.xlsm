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B396C94F-287E-43B4-BBF1-322DC5A7B129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Analysis'!$D$8:$H$8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Analysis'!$D$51:$H$51</definedName>
    <definedName name="FieldList2" localSheetId="3">#REF!</definedName>
    <definedName name="FieldList2" localSheetId="2">#REF!</definedName>
    <definedName name="FieldList2">'Field Analysis'!$D$52:$H$52</definedName>
    <definedName name="FieldList3" localSheetId="3">#REF!</definedName>
    <definedName name="FieldList3" localSheetId="2">#REF!</definedName>
    <definedName name="FieldList3">'Field Analysis'!$D$53:$H$53</definedName>
    <definedName name="FieldList4" localSheetId="3">#REF!</definedName>
    <definedName name="FieldList4" localSheetId="2">#REF!</definedName>
    <definedName name="FieldList4">'Field Analysis'!$D$54:$H$54</definedName>
    <definedName name="FieldList5" localSheetId="3">#REF!</definedName>
    <definedName name="FieldList5" localSheetId="2">#REF!</definedName>
    <definedName name="FieldList5">'Field Analysis'!$D$55:$H$55</definedName>
    <definedName name="FieldList6" localSheetId="3">#REF!</definedName>
    <definedName name="FieldList6" localSheetId="2">#REF!</definedName>
    <definedName name="FieldList6">'Field Analysis'!$D$56:$H$56</definedName>
    <definedName name="FieldList7">'Field Analysis'!$D$57:$H$57</definedName>
    <definedName name="FieldList8">'Field Analysis'!$D$58:$H$58</definedName>
    <definedName name="FieldRange" localSheetId="3">#REF!</definedName>
    <definedName name="FieldRange" localSheetId="2">#REF!</definedName>
    <definedName name="FieldRange">'Field Analysis'!$D$72:$H$72</definedName>
    <definedName name="FormatRange">'Field Analysis'!$E:$E</definedName>
    <definedName name="Headers">'Field Analysis'!$D$12:$H$12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Analysis'!$D$10:$H$10</definedName>
    <definedName name="Percentiles">'Field Analysis'!$D$39:$D$48</definedName>
    <definedName name="RecordHashes">'Field Analysis'!$I$73:$I$136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<sst xmlns="http://schemas.openxmlformats.org/spreadsheetml/2006/main" count="311" uniqueCount="75">
  <si>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</si>
  <si>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</si>
  <si>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</si>
  <si>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</si>
  <si>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</si>
  <si>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</si>
  <si>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</si>
  <si>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</si>
  <si>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</si>
  <si>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</si>
  <si>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</si>
  <si>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</si>
  <si>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</si>
  <si>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</si>
  <si>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</si>
  <si>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</si>
  <si>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</si>
  <si>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</si>
  <si>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</si>
  <si>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</si>
  <si>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</si>
  <si>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</si>
  <si>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</si>
  <si>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</si>
  <si>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</si>
  <si>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</si>
  <si>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</si>
  <si>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</si>
  <si>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</si>
  <si>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</si>
  <si>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</si>
  <si>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</si>
  <si>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</si>
  <si>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</si>
  <si>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</si>
  <si>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</si>
  <si>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</si>
  <si>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</si>
  <si>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</si>
  <si>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</si>
  <si>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</si>
  <si>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</si>
  <si>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</si>
  <si>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</si>
  <si>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</si>
  <si>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</si>
  <si>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glue</t>
  </si>
  <si>
    <t>rows = 64, columns = 5</t>
  </si>
  <si>
    <t>Model</t>
  </si>
  <si>
    <t>Year</t>
  </si>
  <si>
    <t>Encoder</t>
  </si>
  <si>
    <t>Task</t>
  </si>
  <si>
    <t>Score</t>
  </si>
  <si>
    <t>3,884 bytes</t>
  </si>
  <si>
    <t>str</t>
  </si>
  <si>
    <t>BERT</t>
  </si>
  <si>
    <t>int64</t>
  </si>
  <si>
    <t>LSTM</t>
  </si>
  <si>
    <t>CoLA</t>
  </si>
  <si>
    <t>float64</t>
  </si>
  <si>
    <t>ERNIE</t>
  </si>
  <si>
    <t>Transformer</t>
  </si>
  <si>
    <t>T5</t>
  </si>
  <si>
    <t>RoBERTa</t>
  </si>
  <si>
    <t>BiLSTM+ELMo</t>
  </si>
  <si>
    <t>BiLSTM+CoVe</t>
  </si>
  <si>
    <t>BiLSTM+Attn</t>
  </si>
  <si>
    <t>BiLSTM</t>
  </si>
  <si>
    <t>SST-2</t>
  </si>
  <si>
    <t>MRPC</t>
  </si>
  <si>
    <t>STS-B</t>
  </si>
  <si>
    <t>QQP</t>
  </si>
  <si>
    <t>MNLI</t>
  </si>
  <si>
    <t>QNLI</t>
  </si>
  <si>
    <t>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</si>
</sst>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B146AE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4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B146A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3"/>
      <tableStyleElement type="headerRow" dxfId="62"/>
      <tableStyleElement type="totalRow" dxfId="61"/>
      <tableStyleElement type="firstColumn" dxfId="60"/>
      <tableStyleElement type="lastColumn" dxfId="59"/>
      <tableStyleElement type="firstRowStripe" dxfId="58"/>
      <tableStyleElement type="secondRowStripe" dxfId="57"/>
      <tableStyleElement type="firstColumnStripe" dxfId="56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0702CCB-09CF-D92C-44D4-A903F7EF8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6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9D426826-BBF1-B780-2F8A-D76F40C61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566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9E07B7A-39D4-E61C-CF5E-89947753B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5661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78DCE663-352F-1526-E344-60ED0DD5A8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616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19F45A1-0C14-282E-10AD-4D57B49F1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1666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FD8FBE1D-5F7F-9446-5FB3-ACEB54A77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716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4E8BA24-5AC5-7854-73C3-B4BDA75EE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071610" y="74180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3" headerRowBorderDxfId="54" headerRowCellStyle="Normal 2">
  <autoFilter ref="B10:AA15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I136" totalsRowShown="0" dataDxfId="17">
  <autoFilter ref="C72:I136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Model" dataDxfId="16"/>
    <tableColumn id="8" xr3:uid="{5CEA6B82-08F7-4BBF-BE74-DD211F1E2384}" name="Year" dataDxfId="15" dataCellStyle="Normal 2"/>
    <tableColumn id="3" xr3:uid="{DB20AD69-A985-4208-AF73-2B107E6D389A}" name="Encoder" dataDxfId="5"/>
    <tableColumn id="4" xr3:uid="{99EA1A60-42F3-427E-963D-745297246F01}" name="Task" dataDxfId="4"/>
    <tableColumn id="5" xr3:uid="{92B14030-75BC-44B3-BA2B-2CD3D3C2B880}" name="Score" dataDxfId="3"/>
    <tableColumn id="6" xr3:uid="{AF871CBE-9908-45CE-A6C0-ABDE5F90E8AE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glue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64</v>
      </c>
    </row>
    <row r="5" spans="2:27" x14ac:dyDescent="0.3">
      <c r="B5" s="13" t="s">
        <v>27</v>
      </c>
      <c r="C5" s="63">
        <v>5</v>
      </c>
    </row>
    <row r="6" spans="2:27" x14ac:dyDescent="0.3">
      <c r="B6" s="30" t="s">
        <v>4</v>
      </c>
      <c r="C6" s="63" t="s">
        <v>53</v>
      </c>
      <c r="F6" s="58"/>
    </row>
    <row r="7" spans="2:27" x14ac:dyDescent="0.3">
      <c r="B7" s="16" t="s">
        <v>7</v>
      </c>
      <c r="C7" s="57">
        <v>1</v>
      </c>
    </row>
    <row r="8" spans="2:27" x14ac:dyDescent="0.3">
      <c r="B8" s="30" t="s">
        <v>10</v>
      </c>
      <c r="C8" s="60">
        <v>0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54</v>
      </c>
      <c r="F11" s="68">
        <v>0.125</v>
      </c>
      <c r="G11" s="69">
        <v>0</v>
      </c>
      <c r="H11" s="68">
        <v>0.22761194029850701</v>
      </c>
      <c r="I11" s="70">
        <v>976</v>
      </c>
      <c r="J11" s="70">
        <v>8</v>
      </c>
      <c r="K11" s="70">
        <v>64</v>
      </c>
      <c r="L11" s="71">
        <v>1</v>
      </c>
      <c r="M11" s="70">
        <v>0</v>
      </c>
      <c r="N11" s="72"/>
      <c r="O11" s="72"/>
      <c r="P11" s="72" t="s">
        <v>55</v>
      </c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56</v>
      </c>
      <c r="F12" s="71">
        <v>4.6875E-2</v>
      </c>
      <c r="G12" s="73">
        <v>0</v>
      </c>
      <c r="H12" s="74">
        <v>0.119402985074626</v>
      </c>
      <c r="I12" s="70">
        <v>512</v>
      </c>
      <c r="J12" s="70">
        <v>3</v>
      </c>
      <c r="K12" s="70">
        <v>64</v>
      </c>
      <c r="L12" s="71">
        <v>1</v>
      </c>
      <c r="M12" s="70">
        <v>0</v>
      </c>
      <c r="N12" s="72">
        <v>2018</v>
      </c>
      <c r="O12" s="72">
        <v>2018</v>
      </c>
      <c r="P12" s="72">
        <v>2017</v>
      </c>
      <c r="Q12" s="72">
        <v>0.872871560943969</v>
      </c>
      <c r="R12" s="72">
        <v>0.76190476190476097</v>
      </c>
      <c r="S12" s="72">
        <v>2017</v>
      </c>
      <c r="T12" s="72">
        <v>2017</v>
      </c>
      <c r="U12" s="72">
        <v>2017</v>
      </c>
      <c r="V12" s="72">
        <v>2018</v>
      </c>
      <c r="W12" s="72">
        <v>2019</v>
      </c>
      <c r="X12" s="72">
        <v>2019</v>
      </c>
      <c r="Y12" s="72">
        <v>2019</v>
      </c>
      <c r="Z12" s="72">
        <v>2</v>
      </c>
      <c r="AA12" s="72">
        <v>2</v>
      </c>
    </row>
    <row r="13" spans="2:27" x14ac:dyDescent="0.3">
      <c r="B13" s="84" t="s">
        <v>50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54</v>
      </c>
      <c r="F13" s="71">
        <v>3.125E-2</v>
      </c>
      <c r="G13" s="73">
        <v>0</v>
      </c>
      <c r="H13" s="74">
        <v>0.23320895522387999</v>
      </c>
      <c r="I13" s="70">
        <v>1000</v>
      </c>
      <c r="J13" s="70">
        <v>2</v>
      </c>
      <c r="K13" s="70">
        <v>64</v>
      </c>
      <c r="L13" s="71">
        <v>1</v>
      </c>
      <c r="M13" s="70">
        <v>0</v>
      </c>
      <c r="N13" s="72"/>
      <c r="O13" s="72"/>
      <c r="P13" s="72" t="s">
        <v>57</v>
      </c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4" spans="2:27" x14ac:dyDescent="0.3">
      <c r="B14" s="84" t="s">
        <v>51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54</v>
      </c>
      <c r="F14" s="71">
        <v>0.125</v>
      </c>
      <c r="G14" s="73">
        <v>0</v>
      </c>
      <c r="H14" s="74">
        <v>0.18097014925373101</v>
      </c>
      <c r="I14" s="70">
        <v>776</v>
      </c>
      <c r="J14" s="70">
        <v>8</v>
      </c>
      <c r="K14" s="70">
        <v>64</v>
      </c>
      <c r="L14" s="71">
        <v>1</v>
      </c>
      <c r="M14" s="70">
        <v>0</v>
      </c>
      <c r="N14" s="72"/>
      <c r="O14" s="72"/>
      <c r="P14" s="72" t="s">
        <v>58</v>
      </c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</row>
    <row r="15" spans="2:27" x14ac:dyDescent="0.3">
      <c r="B15" s="104" t="s">
        <v>52</v>
      </c>
      <c r="C15" s="105" t="str">
        <f>IF(INDEX(Definitions,1,MATCH(tbl_Overview[[#This Row],[Field]],Headers,0))="Definition","",INDEX(Definitions,1,MATCH(tbl_Overview[[#This Row],[Field]],Headers,0)))</f>
        <v/>
      </c>
      <c r="D15" s="106" t="str">
        <f>IF(INDEX(Notes,1,MATCH(tbl_Overview[[#This Row],[Field]],Headers,0))="Notes","",INDEX(Notes,1,MATCH(tbl_Overview[[#This Row],[Field]],Headers,0)))</f>
        <v/>
      </c>
      <c r="E15" s="107" t="s">
        <v>59</v>
      </c>
      <c r="F15" s="108">
        <v>0.875</v>
      </c>
      <c r="G15" s="109">
        <v>0</v>
      </c>
      <c r="H15" s="110">
        <v>0.119402985074626</v>
      </c>
      <c r="I15" s="111">
        <v>512</v>
      </c>
      <c r="J15" s="111">
        <v>56</v>
      </c>
      <c r="K15" s="111">
        <v>64</v>
      </c>
      <c r="L15" s="108">
        <v>1</v>
      </c>
      <c r="M15" s="111">
        <v>0</v>
      </c>
      <c r="N15" s="112">
        <v>75.579687500000006</v>
      </c>
      <c r="O15" s="112">
        <v>75.5</v>
      </c>
      <c r="P15" s="112">
        <v>57.4</v>
      </c>
      <c r="Q15" s="112">
        <v>19.289697716553999</v>
      </c>
      <c r="R15" s="112">
        <v>372.09243799603098</v>
      </c>
      <c r="S15" s="112">
        <v>11.6</v>
      </c>
      <c r="T15" s="112">
        <v>35.19</v>
      </c>
      <c r="U15" s="112">
        <v>66.8</v>
      </c>
      <c r="V15" s="112">
        <v>75.5</v>
      </c>
      <c r="W15" s="112">
        <v>92.224999999999994</v>
      </c>
      <c r="X15" s="112">
        <v>96.87</v>
      </c>
      <c r="Y15" s="112">
        <v>97.8</v>
      </c>
      <c r="Z15" s="112">
        <v>86.2</v>
      </c>
      <c r="AA15" s="112">
        <v>25.424999999999901</v>
      </c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5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I136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14" style="8" bestFit="1" customWidth="1"/>
    <col min="4" max="8" width="27.77734375" style="1" customWidth="1"/>
    <col min="9" max="9" width="15.88671875" bestFit="1" customWidth="1"/>
  </cols>
  <sheetData>
    <row r="1" spans="1:9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</row>
    <row r="2" spans="1:9" ht="10.050000000000001" customHeight="1" x14ac:dyDescent="0.3">
      <c r="A2"/>
      <c r="B2"/>
      <c r="C2"/>
      <c r="D2"/>
      <c r="E2"/>
      <c r="F2"/>
      <c r="G2"/>
      <c r="H2"/>
    </row>
    <row r="3" spans="1:9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</row>
    <row r="4" spans="1:9" ht="10.050000000000001" customHeight="1" x14ac:dyDescent="0.3">
      <c r="C4" s="79" t="s">
        <v>47</v>
      </c>
      <c r="D4" s="88"/>
      <c r="E4" s="88"/>
      <c r="F4"/>
      <c r="G4"/>
      <c r="H4"/>
    </row>
    <row r="5" spans="1:9" ht="10.050000000000001" customHeight="1" x14ac:dyDescent="0.3">
      <c r="C5" s="79"/>
      <c r="D5" s="88"/>
      <c r="E5" s="88"/>
      <c r="F5"/>
      <c r="G5"/>
      <c r="H5"/>
    </row>
    <row r="6" spans="1:9" ht="19.95" customHeight="1" x14ac:dyDescent="0.3">
      <c r="B6" s="9" t="s">
        <v>0</v>
      </c>
      <c r="C6" s="79"/>
    </row>
    <row r="7" spans="1:9" ht="10.050000000000001" customHeight="1" x14ac:dyDescent="0.3">
      <c r="B7" s="40"/>
      <c r="C7" s="79"/>
    </row>
    <row r="8" spans="1:9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</row>
    <row r="9" spans="1:9" ht="10.050000000000001" hidden="1" customHeight="1" outlineLevel="1" x14ac:dyDescent="0.3">
      <c r="A9"/>
      <c r="B9" s="75"/>
      <c r="C9"/>
      <c r="D9"/>
      <c r="E9"/>
      <c r="F9"/>
      <c r="G9"/>
      <c r="H9"/>
    </row>
    <row r="10" spans="1:9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</row>
    <row r="11" spans="1:9" ht="10.050000000000001" hidden="1" customHeight="1" outlineLevel="1" x14ac:dyDescent="0.3">
      <c r="C11" s="4"/>
      <c r="D11" s="76"/>
      <c r="E11" s="76"/>
      <c r="F11" s="76"/>
      <c r="G11" s="76"/>
      <c r="H11" s="76"/>
    </row>
    <row r="12" spans="1:9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96" t="s">
        <v>51</v>
      </c>
      <c r="H12" s="96" t="s">
        <v>52</v>
      </c>
      <c r="I12" s="85" t="s">
        <v>20</v>
      </c>
    </row>
    <row r="13" spans="1:9" ht="10.050000000000001" customHeight="1" outlineLevel="1" x14ac:dyDescent="0.3">
      <c r="A13"/>
      <c r="B13"/>
      <c r="C13"/>
      <c r="D13"/>
      <c r="E13"/>
      <c r="F13"/>
      <c r="G13"/>
      <c r="H13"/>
    </row>
    <row r="14" spans="1:9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</row>
    <row r="15" spans="1:9" ht="10.050000000000001" customHeight="1" outlineLevel="1" x14ac:dyDescent="0.3">
      <c r="B15" s="11"/>
      <c r="C15" s="46"/>
      <c r="D15" s="46"/>
      <c r="E15" s="46"/>
      <c r="F15" s="46"/>
      <c r="G15" s="46"/>
      <c r="H15" s="46"/>
    </row>
    <row r="16" spans="1:9" ht="14.4" hidden="1" customHeight="1" outlineLevel="2" x14ac:dyDescent="0.3">
      <c r="A16" s="47"/>
      <c r="B16" s="48"/>
      <c r="C16" s="13" t="s">
        <v>3</v>
      </c>
      <c r="D16" s="14" t="s">
        <v>54</v>
      </c>
      <c r="E16" s="14" t="s">
        <v>56</v>
      </c>
      <c r="F16" s="14" t="s">
        <v>54</v>
      </c>
      <c r="G16" s="14" t="s">
        <v>54</v>
      </c>
      <c r="H16" s="14" t="s">
        <v>59</v>
      </c>
    </row>
    <row r="17" spans="1:8" ht="14.4" hidden="1" customHeight="1" outlineLevel="2" x14ac:dyDescent="0.3">
      <c r="A17" s="47"/>
      <c r="B17" s="49"/>
      <c r="C17" s="16" t="s">
        <v>7</v>
      </c>
      <c r="D17" s="50">
        <v>0.125</v>
      </c>
      <c r="E17" s="50">
        <v>4.6875E-2</v>
      </c>
      <c r="F17" s="50">
        <v>3.125E-2</v>
      </c>
      <c r="G17" s="50">
        <v>0.125</v>
      </c>
      <c r="H17" s="50">
        <v>0.875</v>
      </c>
    </row>
    <row r="18" spans="1:8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0</v>
      </c>
      <c r="G18" s="50">
        <v>0</v>
      </c>
      <c r="H18" s="50">
        <v>0</v>
      </c>
    </row>
    <row r="19" spans="1:8" ht="14.4" hidden="1" customHeight="1" outlineLevel="2" x14ac:dyDescent="0.3">
      <c r="B19" s="15"/>
      <c r="C19" s="30" t="s">
        <v>5</v>
      </c>
      <c r="D19" s="50">
        <v>0.22761194029850701</v>
      </c>
      <c r="E19" s="50">
        <v>0.119402985074626</v>
      </c>
      <c r="F19" s="50">
        <v>0.23320895522387999</v>
      </c>
      <c r="G19" s="50">
        <v>0.18097014925373101</v>
      </c>
      <c r="H19" s="50">
        <v>0.119402985074626</v>
      </c>
    </row>
    <row r="20" spans="1:8" ht="14.4" hidden="1" customHeight="1" outlineLevel="2" x14ac:dyDescent="0.3">
      <c r="B20" s="15"/>
      <c r="C20" s="16" t="s">
        <v>4</v>
      </c>
      <c r="D20" s="14">
        <v>976</v>
      </c>
      <c r="E20" s="14">
        <v>512</v>
      </c>
      <c r="F20" s="14">
        <v>1000</v>
      </c>
      <c r="G20" s="14">
        <v>776</v>
      </c>
      <c r="H20" s="14">
        <v>512</v>
      </c>
    </row>
    <row r="21" spans="1:8" ht="14.4" hidden="1" customHeight="1" outlineLevel="2" x14ac:dyDescent="0.3">
      <c r="B21" s="15"/>
      <c r="C21" s="16" t="s">
        <v>6</v>
      </c>
      <c r="D21" s="14">
        <v>8</v>
      </c>
      <c r="E21" s="14">
        <v>3</v>
      </c>
      <c r="F21" s="14">
        <v>2</v>
      </c>
      <c r="G21" s="14">
        <v>8</v>
      </c>
      <c r="H21" s="14">
        <v>56</v>
      </c>
    </row>
    <row r="22" spans="1:8" ht="14.4" hidden="1" customHeight="1" outlineLevel="2" x14ac:dyDescent="0.3">
      <c r="B22" s="15"/>
      <c r="C22" s="16" t="s">
        <v>8</v>
      </c>
      <c r="D22" s="14">
        <v>64</v>
      </c>
      <c r="E22" s="14">
        <v>64</v>
      </c>
      <c r="F22" s="14">
        <v>64</v>
      </c>
      <c r="G22" s="14">
        <v>64</v>
      </c>
      <c r="H22" s="14">
        <v>64</v>
      </c>
    </row>
    <row r="23" spans="1:8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0</v>
      </c>
      <c r="G23" s="18">
        <v>0</v>
      </c>
      <c r="H23" s="18">
        <v>0</v>
      </c>
    </row>
    <row r="24" spans="1:8" ht="10.050000000000001" hidden="1" customHeight="1" outlineLevel="2" x14ac:dyDescent="0.3">
      <c r="B24" s="11"/>
      <c r="D24" s="8"/>
      <c r="E24" s="8"/>
      <c r="F24" s="8"/>
      <c r="G24" s="8"/>
      <c r="H24" s="8"/>
    </row>
    <row r="25" spans="1:8" ht="150" hidden="1" customHeight="1" outlineLevel="2" x14ac:dyDescent="0.3">
      <c r="B25" s="20"/>
      <c r="C25" s="21"/>
      <c r="D25" s="22"/>
      <c r="E25" s="22"/>
      <c r="F25" s="22"/>
      <c r="G25" s="22"/>
      <c r="H25" s="22"/>
    </row>
    <row r="26" spans="1:8" ht="10.050000000000001" hidden="1" customHeight="1" outlineLevel="2" x14ac:dyDescent="0.3">
      <c r="B26" s="23"/>
      <c r="D26" s="8"/>
      <c r="E26" s="8"/>
      <c r="F26" s="8"/>
      <c r="G26" s="8"/>
      <c r="H26" s="8"/>
    </row>
    <row r="27" spans="1:8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</row>
    <row r="28" spans="1:8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</row>
    <row r="29" spans="1:8" ht="14.4" hidden="1" customHeight="1" outlineLevel="2" x14ac:dyDescent="0.35">
      <c r="B29" s="12"/>
      <c r="C29" s="13" t="s">
        <v>11</v>
      </c>
      <c r="D29" s="27"/>
      <c r="E29" s="27">
        <v>2018</v>
      </c>
      <c r="F29" s="27"/>
      <c r="G29" s="27"/>
      <c r="H29" s="27">
        <v>75.579687500000006</v>
      </c>
    </row>
    <row r="30" spans="1:8" ht="14.4" hidden="1" customHeight="1" outlineLevel="2" x14ac:dyDescent="0.3">
      <c r="B30" s="15"/>
      <c r="C30" s="17" t="s">
        <v>12</v>
      </c>
      <c r="D30" s="28"/>
      <c r="E30" s="28">
        <v>2018</v>
      </c>
      <c r="F30" s="28"/>
      <c r="G30" s="28"/>
      <c r="H30" s="28">
        <v>75.5</v>
      </c>
    </row>
    <row r="31" spans="1:8" ht="14.4" hidden="1" customHeight="1" outlineLevel="2" x14ac:dyDescent="0.3">
      <c r="B31" s="15"/>
      <c r="C31" s="16" t="s">
        <v>13</v>
      </c>
      <c r="D31" s="18" t="s">
        <v>55</v>
      </c>
      <c r="E31" s="18">
        <v>2017</v>
      </c>
      <c r="F31" s="18" t="s">
        <v>57</v>
      </c>
      <c r="G31" s="18" t="s">
        <v>58</v>
      </c>
      <c r="H31" s="18">
        <v>57.4</v>
      </c>
    </row>
    <row r="32" spans="1:8" ht="14.4" hidden="1" customHeight="1" outlineLevel="2" x14ac:dyDescent="0.3">
      <c r="B32" s="15"/>
      <c r="C32" s="17" t="s">
        <v>14</v>
      </c>
      <c r="D32" s="29"/>
      <c r="E32" s="29">
        <v>0.872871560943969</v>
      </c>
      <c r="F32" s="29"/>
      <c r="G32" s="29"/>
      <c r="H32" s="29">
        <v>19.289697716553999</v>
      </c>
    </row>
    <row r="33" spans="1:8" ht="14.4" hidden="1" customHeight="1" outlineLevel="2" x14ac:dyDescent="0.3">
      <c r="B33" s="15"/>
      <c r="C33" s="30" t="s">
        <v>15</v>
      </c>
      <c r="D33" s="27"/>
      <c r="E33" s="27">
        <v>0.76190476190476097</v>
      </c>
      <c r="F33" s="27"/>
      <c r="G33" s="27"/>
      <c r="H33" s="27">
        <v>372.09243799603098</v>
      </c>
    </row>
    <row r="34" spans="1:8" ht="10.050000000000001" hidden="1" customHeight="1" outlineLevel="2" x14ac:dyDescent="0.3">
      <c r="B34" s="11"/>
      <c r="D34" s="8"/>
      <c r="E34" s="8"/>
      <c r="F34" s="8"/>
      <c r="G34" s="8"/>
      <c r="H34" s="8"/>
    </row>
    <row r="35" spans="1:8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</row>
    <row r="36" spans="1:8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</row>
    <row r="37" spans="1:8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</row>
    <row r="38" spans="1:8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</row>
    <row r="39" spans="1:8" ht="14.4" hidden="1" customHeight="1" outlineLevel="2" x14ac:dyDescent="0.35">
      <c r="B39" s="12"/>
      <c r="C39" s="32" t="s">
        <v>16</v>
      </c>
      <c r="D39" s="29"/>
      <c r="E39" s="29">
        <v>2017</v>
      </c>
      <c r="F39" s="29"/>
      <c r="G39" s="29"/>
      <c r="H39" s="29">
        <v>11.6</v>
      </c>
    </row>
    <row r="40" spans="1:8" ht="14.4" hidden="1" customHeight="1" outlineLevel="2" x14ac:dyDescent="0.3">
      <c r="B40" s="11"/>
      <c r="C40" s="33">
        <v>0.05</v>
      </c>
      <c r="D40" s="27"/>
      <c r="E40" s="27">
        <v>2017</v>
      </c>
      <c r="F40" s="27"/>
      <c r="G40" s="27"/>
      <c r="H40" s="27">
        <v>35.19</v>
      </c>
    </row>
    <row r="41" spans="1:8" ht="14.4" hidden="1" customHeight="1" outlineLevel="2" x14ac:dyDescent="0.3">
      <c r="B41" s="11"/>
      <c r="C41" s="34">
        <v>0.25</v>
      </c>
      <c r="D41" s="29"/>
      <c r="E41" s="29">
        <v>2017</v>
      </c>
      <c r="F41" s="29"/>
      <c r="G41" s="29"/>
      <c r="H41" s="29">
        <v>66.8</v>
      </c>
    </row>
    <row r="42" spans="1:8" ht="14.4" hidden="1" customHeight="1" outlineLevel="2" x14ac:dyDescent="0.3">
      <c r="B42" s="11"/>
      <c r="C42" s="33">
        <v>0.5</v>
      </c>
      <c r="D42" s="27"/>
      <c r="E42" s="27">
        <v>2018</v>
      </c>
      <c r="F42" s="27"/>
      <c r="G42" s="27"/>
      <c r="H42" s="27">
        <v>75.5</v>
      </c>
    </row>
    <row r="43" spans="1:8" ht="14.4" hidden="1" customHeight="1" outlineLevel="2" x14ac:dyDescent="0.3">
      <c r="B43" s="11"/>
      <c r="C43" s="34">
        <v>0.75</v>
      </c>
      <c r="D43" s="29"/>
      <c r="E43" s="29">
        <v>2019</v>
      </c>
      <c r="F43" s="29"/>
      <c r="G43" s="29"/>
      <c r="H43" s="29">
        <v>92.224999999999994</v>
      </c>
    </row>
    <row r="44" spans="1:8" ht="14.4" hidden="1" customHeight="1" outlineLevel="2" x14ac:dyDescent="0.3">
      <c r="B44" s="11"/>
      <c r="C44" s="33">
        <v>0.95</v>
      </c>
      <c r="D44" s="27"/>
      <c r="E44" s="27">
        <v>2019</v>
      </c>
      <c r="F44" s="27"/>
      <c r="G44" s="27"/>
      <c r="H44" s="27">
        <v>96.87</v>
      </c>
    </row>
    <row r="45" spans="1:8" ht="14.4" hidden="1" customHeight="1" outlineLevel="2" x14ac:dyDescent="0.3">
      <c r="B45" s="11"/>
      <c r="C45" s="34" t="s">
        <v>17</v>
      </c>
      <c r="D45" s="29"/>
      <c r="E45" s="29">
        <v>2019</v>
      </c>
      <c r="F45" s="29"/>
      <c r="G45" s="29"/>
      <c r="H45" s="29">
        <v>97.8</v>
      </c>
    </row>
    <row r="46" spans="1:8" ht="14.4" hidden="1" customHeight="1" outlineLevel="2" x14ac:dyDescent="0.3">
      <c r="B46" s="11"/>
      <c r="C46" s="16" t="s">
        <v>18</v>
      </c>
      <c r="D46" s="27"/>
      <c r="E46" s="27">
        <v>2</v>
      </c>
      <c r="F46" s="27"/>
      <c r="G46" s="27"/>
      <c r="H46" s="27">
        <v>86.2</v>
      </c>
    </row>
    <row r="47" spans="1:8" ht="14.4" hidden="1" customHeight="1" outlineLevel="2" x14ac:dyDescent="0.3">
      <c r="B47" s="23"/>
      <c r="C47" s="19" t="s">
        <v>19</v>
      </c>
      <c r="D47" s="29"/>
      <c r="E47" s="29">
        <v>2</v>
      </c>
      <c r="F47" s="29"/>
      <c r="G47" s="29"/>
      <c r="H47" s="29">
        <v>25.424999999999901</v>
      </c>
    </row>
    <row r="48" spans="1:8" ht="10.050000000000001" hidden="1" customHeight="1" outlineLevel="2" x14ac:dyDescent="0.3">
      <c r="B48" s="23"/>
      <c r="D48" s="8"/>
      <c r="E48" s="8"/>
      <c r="F48" s="8"/>
      <c r="G48" s="8"/>
      <c r="H48" s="8"/>
    </row>
    <row r="49" spans="1:8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</row>
    <row r="50" spans="1:8" ht="10.050000000000001" customHeight="1" outlineLevel="1" x14ac:dyDescent="0.3">
      <c r="A50" s="40"/>
      <c r="B50" s="25"/>
      <c r="D50" s="8"/>
      <c r="E50" s="8"/>
      <c r="F50" s="8"/>
      <c r="G50" s="8"/>
      <c r="H50" s="8"/>
    </row>
    <row r="51" spans="1:8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</row>
    <row r="52" spans="1:8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</row>
    <row r="53" spans="1:8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</row>
    <row r="54" spans="1:8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</row>
    <row r="55" spans="1:8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</row>
    <row r="56" spans="1:8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</row>
    <row r="57" spans="1:8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</row>
    <row r="58" spans="1:8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</row>
    <row r="59" spans="1:8" ht="10.050000000000001" hidden="1" customHeight="1" outlineLevel="2" x14ac:dyDescent="0.3">
      <c r="B59" s="20"/>
      <c r="D59" s="8"/>
      <c r="E59" s="8"/>
      <c r="F59" s="8"/>
      <c r="G59" s="8"/>
      <c r="H59" s="8"/>
    </row>
    <row r="60" spans="1:8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</row>
    <row r="61" spans="1:8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</row>
    <row r="62" spans="1:8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8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8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9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9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9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9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9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9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9" ht="10.050000000000001" customHeight="1" outlineLevel="2" x14ac:dyDescent="0.3">
      <c r="B71" s="20"/>
      <c r="C71" s="37"/>
      <c r="D71" s="38"/>
      <c r="E71" s="38"/>
      <c r="F71" s="38"/>
      <c r="G71" s="38"/>
      <c r="H71" s="38"/>
    </row>
    <row r="72" spans="1:9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97" t="s">
        <v>20</v>
      </c>
    </row>
    <row r="73" spans="1:9" x14ac:dyDescent="0.3">
      <c r="C73" s="41" t="b">
        <v>0</v>
      </c>
      <c r="D73" s="42" t="s">
        <v>60</v>
      </c>
      <c r="E73" s="42">
        <v>2019</v>
      </c>
      <c r="F73" s="42" t="s">
        <v>61</v>
      </c>
      <c r="G73" s="42" t="s">
        <v>58</v>
      </c>
      <c r="H73" s="42">
        <v>75.5</v>
      </c>
      <c r="I73" s="113">
        <v>9.9929727234931692E+18</v>
      </c>
    </row>
    <row r="74" spans="1:9" x14ac:dyDescent="0.3">
      <c r="C74" s="41" t="b">
        <v>0</v>
      </c>
      <c r="D74" s="42" t="s">
        <v>62</v>
      </c>
      <c r="E74" s="42">
        <v>2019</v>
      </c>
      <c r="F74" s="42" t="s">
        <v>61</v>
      </c>
      <c r="G74" s="42" t="s">
        <v>58</v>
      </c>
      <c r="H74" s="42">
        <v>71.599999999999994</v>
      </c>
      <c r="I74" s="113">
        <v>1.52416519661709E+19</v>
      </c>
    </row>
    <row r="75" spans="1:9" x14ac:dyDescent="0.3">
      <c r="C75" s="41" t="b">
        <v>0</v>
      </c>
      <c r="D75" s="42" t="s">
        <v>63</v>
      </c>
      <c r="E75" s="42">
        <v>2019</v>
      </c>
      <c r="F75" s="42" t="s">
        <v>61</v>
      </c>
      <c r="G75" s="42" t="s">
        <v>58</v>
      </c>
      <c r="H75" s="42">
        <v>67.8</v>
      </c>
      <c r="I75" s="113">
        <v>1.0235907331821001E+19</v>
      </c>
    </row>
    <row r="76" spans="1:9" x14ac:dyDescent="0.3">
      <c r="C76" s="41" t="b">
        <v>0</v>
      </c>
      <c r="D76" s="42" t="s">
        <v>55</v>
      </c>
      <c r="E76" s="42">
        <v>2018</v>
      </c>
      <c r="F76" s="42" t="s">
        <v>61</v>
      </c>
      <c r="G76" s="42" t="s">
        <v>58</v>
      </c>
      <c r="H76" s="42">
        <v>60.5</v>
      </c>
      <c r="I76" s="113">
        <v>3.6627695907256704E+16</v>
      </c>
    </row>
    <row r="77" spans="1:9" x14ac:dyDescent="0.3">
      <c r="C77" s="41" t="b">
        <v>0</v>
      </c>
      <c r="D77" s="42" t="s">
        <v>64</v>
      </c>
      <c r="E77" s="42">
        <v>2018</v>
      </c>
      <c r="F77" s="42" t="s">
        <v>57</v>
      </c>
      <c r="G77" s="42" t="s">
        <v>58</v>
      </c>
      <c r="H77" s="42">
        <v>32.1</v>
      </c>
      <c r="I77" s="113">
        <v>1.1400003188746899E+19</v>
      </c>
    </row>
    <row r="78" spans="1:9" x14ac:dyDescent="0.3">
      <c r="C78" s="41" t="b">
        <v>0</v>
      </c>
      <c r="D78" s="42" t="s">
        <v>65</v>
      </c>
      <c r="E78" s="42">
        <v>2017</v>
      </c>
      <c r="F78" s="42" t="s">
        <v>57</v>
      </c>
      <c r="G78" s="42" t="s">
        <v>58</v>
      </c>
      <c r="H78" s="42">
        <v>18.5</v>
      </c>
      <c r="I78" s="113">
        <v>1.7460847306294301E+19</v>
      </c>
    </row>
    <row r="79" spans="1:9" x14ac:dyDescent="0.3">
      <c r="C79" s="41" t="b">
        <v>0</v>
      </c>
      <c r="D79" s="42" t="s">
        <v>66</v>
      </c>
      <c r="E79" s="42">
        <v>2017</v>
      </c>
      <c r="F79" s="42" t="s">
        <v>57</v>
      </c>
      <c r="G79" s="42" t="s">
        <v>58</v>
      </c>
      <c r="H79" s="42">
        <v>18.600000000000001</v>
      </c>
      <c r="I79" s="113">
        <v>2.1123329517199099E+18</v>
      </c>
    </row>
    <row r="80" spans="1:9" x14ac:dyDescent="0.3">
      <c r="C80" s="41" t="b">
        <v>0</v>
      </c>
      <c r="D80" s="42" t="s">
        <v>67</v>
      </c>
      <c r="E80" s="42">
        <v>2017</v>
      </c>
      <c r="F80" s="42" t="s">
        <v>57</v>
      </c>
      <c r="G80" s="42" t="s">
        <v>58</v>
      </c>
      <c r="H80" s="42">
        <v>11.6</v>
      </c>
      <c r="I80" s="113">
        <v>9.4149813681477402E+17</v>
      </c>
    </row>
    <row r="81" spans="3:9" x14ac:dyDescent="0.3">
      <c r="C81" s="41" t="b">
        <v>0</v>
      </c>
      <c r="D81" s="42" t="s">
        <v>60</v>
      </c>
      <c r="E81" s="42">
        <v>2019</v>
      </c>
      <c r="F81" s="42" t="s">
        <v>61</v>
      </c>
      <c r="G81" s="42" t="s">
        <v>68</v>
      </c>
      <c r="H81" s="42">
        <v>97.8</v>
      </c>
      <c r="I81" s="113">
        <v>9.6263497362670899E+18</v>
      </c>
    </row>
    <row r="82" spans="3:9" x14ac:dyDescent="0.3">
      <c r="C82" s="41" t="b">
        <v>0</v>
      </c>
      <c r="D82" s="42" t="s">
        <v>62</v>
      </c>
      <c r="E82" s="42">
        <v>2019</v>
      </c>
      <c r="F82" s="42" t="s">
        <v>61</v>
      </c>
      <c r="G82" s="42" t="s">
        <v>68</v>
      </c>
      <c r="H82" s="42">
        <v>97.5</v>
      </c>
      <c r="I82" s="113">
        <v>1.43583285109916E+19</v>
      </c>
    </row>
    <row r="83" spans="3:9" x14ac:dyDescent="0.3">
      <c r="C83" s="41" t="b">
        <v>0</v>
      </c>
      <c r="D83" s="42" t="s">
        <v>63</v>
      </c>
      <c r="E83" s="42">
        <v>2019</v>
      </c>
      <c r="F83" s="42" t="s">
        <v>61</v>
      </c>
      <c r="G83" s="42" t="s">
        <v>68</v>
      </c>
      <c r="H83" s="42">
        <v>96.7</v>
      </c>
      <c r="I83" s="113">
        <v>4.4553798895175398E+18</v>
      </c>
    </row>
    <row r="84" spans="3:9" x14ac:dyDescent="0.3">
      <c r="C84" s="41" t="b">
        <v>0</v>
      </c>
      <c r="D84" s="42" t="s">
        <v>55</v>
      </c>
      <c r="E84" s="42">
        <v>2018</v>
      </c>
      <c r="F84" s="42" t="s">
        <v>61</v>
      </c>
      <c r="G84" s="42" t="s">
        <v>68</v>
      </c>
      <c r="H84" s="42">
        <v>94.9</v>
      </c>
      <c r="I84" s="113">
        <v>1.01302104699058E+18</v>
      </c>
    </row>
    <row r="85" spans="3:9" x14ac:dyDescent="0.3">
      <c r="C85" s="41" t="b">
        <v>0</v>
      </c>
      <c r="D85" s="42" t="s">
        <v>64</v>
      </c>
      <c r="E85" s="42">
        <v>2018</v>
      </c>
      <c r="F85" s="42" t="s">
        <v>57</v>
      </c>
      <c r="G85" s="42" t="s">
        <v>68</v>
      </c>
      <c r="H85" s="42">
        <v>89.3</v>
      </c>
      <c r="I85" s="113">
        <v>1.48677903123077E+19</v>
      </c>
    </row>
    <row r="86" spans="3:9" x14ac:dyDescent="0.3">
      <c r="C86" s="41" t="b">
        <v>0</v>
      </c>
      <c r="D86" s="42" t="s">
        <v>65</v>
      </c>
      <c r="E86" s="42">
        <v>2017</v>
      </c>
      <c r="F86" s="42" t="s">
        <v>57</v>
      </c>
      <c r="G86" s="42" t="s">
        <v>68</v>
      </c>
      <c r="H86" s="42">
        <v>81.900000000000006</v>
      </c>
      <c r="I86" s="113">
        <v>4.3150242423210199E+18</v>
      </c>
    </row>
    <row r="87" spans="3:9" x14ac:dyDescent="0.3">
      <c r="C87" s="41" t="b">
        <v>0</v>
      </c>
      <c r="D87" s="42" t="s">
        <v>66</v>
      </c>
      <c r="E87" s="42">
        <v>2017</v>
      </c>
      <c r="F87" s="42" t="s">
        <v>57</v>
      </c>
      <c r="G87" s="42" t="s">
        <v>68</v>
      </c>
      <c r="H87" s="42">
        <v>83</v>
      </c>
      <c r="I87" s="113">
        <v>8.0665310569967196E+18</v>
      </c>
    </row>
    <row r="88" spans="3:9" x14ac:dyDescent="0.3">
      <c r="C88" s="41" t="b">
        <v>0</v>
      </c>
      <c r="D88" s="42" t="s">
        <v>67</v>
      </c>
      <c r="E88" s="42">
        <v>2017</v>
      </c>
      <c r="F88" s="42" t="s">
        <v>57</v>
      </c>
      <c r="G88" s="42" t="s">
        <v>68</v>
      </c>
      <c r="H88" s="42">
        <v>82.8</v>
      </c>
      <c r="I88" s="113">
        <v>2.7156363132571899E+18</v>
      </c>
    </row>
    <row r="89" spans="3:9" x14ac:dyDescent="0.3">
      <c r="C89" s="41" t="b">
        <v>0</v>
      </c>
      <c r="D89" s="42" t="s">
        <v>60</v>
      </c>
      <c r="E89" s="42">
        <v>2019</v>
      </c>
      <c r="F89" s="42" t="s">
        <v>61</v>
      </c>
      <c r="G89" s="42" t="s">
        <v>69</v>
      </c>
      <c r="H89" s="42">
        <v>93.9</v>
      </c>
      <c r="I89" s="113">
        <v>1.9499654540918799E+18</v>
      </c>
    </row>
    <row r="90" spans="3:9" x14ac:dyDescent="0.3">
      <c r="C90" s="41" t="b">
        <v>0</v>
      </c>
      <c r="D90" s="42" t="s">
        <v>62</v>
      </c>
      <c r="E90" s="42">
        <v>2019</v>
      </c>
      <c r="F90" s="42" t="s">
        <v>61</v>
      </c>
      <c r="G90" s="42" t="s">
        <v>69</v>
      </c>
      <c r="H90" s="42">
        <v>92.8</v>
      </c>
      <c r="I90" s="113">
        <v>1.1618223535330099E+19</v>
      </c>
    </row>
    <row r="91" spans="3:9" x14ac:dyDescent="0.3">
      <c r="C91" s="41" t="b">
        <v>0</v>
      </c>
      <c r="D91" s="42" t="s">
        <v>63</v>
      </c>
      <c r="E91" s="42">
        <v>2019</v>
      </c>
      <c r="F91" s="42" t="s">
        <v>61</v>
      </c>
      <c r="G91" s="42" t="s">
        <v>69</v>
      </c>
      <c r="H91" s="42">
        <v>92.3</v>
      </c>
      <c r="I91" s="113">
        <v>1.43637620066734E+18</v>
      </c>
    </row>
    <row r="92" spans="3:9" x14ac:dyDescent="0.3">
      <c r="C92" s="41" t="b">
        <v>0</v>
      </c>
      <c r="D92" s="42" t="s">
        <v>55</v>
      </c>
      <c r="E92" s="42">
        <v>2018</v>
      </c>
      <c r="F92" s="42" t="s">
        <v>61</v>
      </c>
      <c r="G92" s="42" t="s">
        <v>69</v>
      </c>
      <c r="H92" s="42">
        <v>89.3</v>
      </c>
      <c r="I92" s="113">
        <v>9.6903564563254006E+18</v>
      </c>
    </row>
    <row r="93" spans="3:9" x14ac:dyDescent="0.3">
      <c r="C93" s="41" t="b">
        <v>0</v>
      </c>
      <c r="D93" s="42" t="s">
        <v>64</v>
      </c>
      <c r="E93" s="42">
        <v>2018</v>
      </c>
      <c r="F93" s="42" t="s">
        <v>57</v>
      </c>
      <c r="G93" s="42" t="s">
        <v>69</v>
      </c>
      <c r="H93" s="42">
        <v>84.7</v>
      </c>
      <c r="I93" s="113">
        <v>5.1687048004657104E+16</v>
      </c>
    </row>
    <row r="94" spans="3:9" x14ac:dyDescent="0.3">
      <c r="C94" s="41" t="b">
        <v>0</v>
      </c>
      <c r="D94" s="42" t="s">
        <v>65</v>
      </c>
      <c r="E94" s="42">
        <v>2017</v>
      </c>
      <c r="F94" s="42" t="s">
        <v>57</v>
      </c>
      <c r="G94" s="42" t="s">
        <v>69</v>
      </c>
      <c r="H94" s="42">
        <v>78.7</v>
      </c>
      <c r="I94" s="113">
        <v>8.0220361763618396E+18</v>
      </c>
    </row>
    <row r="95" spans="3:9" x14ac:dyDescent="0.3">
      <c r="C95" s="41" t="b">
        <v>0</v>
      </c>
      <c r="D95" s="42" t="s">
        <v>66</v>
      </c>
      <c r="E95" s="42">
        <v>2017</v>
      </c>
      <c r="F95" s="42" t="s">
        <v>57</v>
      </c>
      <c r="G95" s="42" t="s">
        <v>69</v>
      </c>
      <c r="H95" s="42">
        <v>83.9</v>
      </c>
      <c r="I95" s="113">
        <v>1.41824365362105E+19</v>
      </c>
    </row>
    <row r="96" spans="3:9" x14ac:dyDescent="0.3">
      <c r="C96" s="41" t="b">
        <v>0</v>
      </c>
      <c r="D96" s="42" t="s">
        <v>67</v>
      </c>
      <c r="E96" s="42">
        <v>2017</v>
      </c>
      <c r="F96" s="42" t="s">
        <v>57</v>
      </c>
      <c r="G96" s="42" t="s">
        <v>69</v>
      </c>
      <c r="H96" s="42">
        <v>81.8</v>
      </c>
      <c r="I96" s="113">
        <v>1.0541376851723999E+19</v>
      </c>
    </row>
    <row r="97" spans="3:9" x14ac:dyDescent="0.3">
      <c r="C97" s="41" t="b">
        <v>0</v>
      </c>
      <c r="D97" s="42" t="s">
        <v>60</v>
      </c>
      <c r="E97" s="42">
        <v>2019</v>
      </c>
      <c r="F97" s="42" t="s">
        <v>61</v>
      </c>
      <c r="G97" s="42" t="s">
        <v>70</v>
      </c>
      <c r="H97" s="42">
        <v>93</v>
      </c>
      <c r="I97" s="113">
        <v>1.0356692192628401E+18</v>
      </c>
    </row>
    <row r="98" spans="3:9" x14ac:dyDescent="0.3">
      <c r="C98" s="41" t="b">
        <v>0</v>
      </c>
      <c r="D98" s="42" t="s">
        <v>62</v>
      </c>
      <c r="E98" s="42">
        <v>2019</v>
      </c>
      <c r="F98" s="42" t="s">
        <v>61</v>
      </c>
      <c r="G98" s="42" t="s">
        <v>70</v>
      </c>
      <c r="H98" s="42">
        <v>93.1</v>
      </c>
      <c r="I98" s="113">
        <v>1.1274259262237999E+19</v>
      </c>
    </row>
    <row r="99" spans="3:9" x14ac:dyDescent="0.3">
      <c r="C99" s="41" t="b">
        <v>0</v>
      </c>
      <c r="D99" s="42" t="s">
        <v>63</v>
      </c>
      <c r="E99" s="42">
        <v>2019</v>
      </c>
      <c r="F99" s="42" t="s">
        <v>61</v>
      </c>
      <c r="G99" s="42" t="s">
        <v>70</v>
      </c>
      <c r="H99" s="42">
        <v>92.2</v>
      </c>
      <c r="I99" s="113">
        <v>1.7078438466850501E+19</v>
      </c>
    </row>
    <row r="100" spans="3:9" x14ac:dyDescent="0.3">
      <c r="C100" s="41" t="b">
        <v>0</v>
      </c>
      <c r="D100" s="42" t="s">
        <v>55</v>
      </c>
      <c r="E100" s="42">
        <v>2018</v>
      </c>
      <c r="F100" s="42" t="s">
        <v>61</v>
      </c>
      <c r="G100" s="42" t="s">
        <v>70</v>
      </c>
      <c r="H100" s="42">
        <v>87.6</v>
      </c>
      <c r="I100" s="113">
        <v>9.2285928963688202E+18</v>
      </c>
    </row>
    <row r="101" spans="3:9" x14ac:dyDescent="0.3">
      <c r="C101" s="41" t="b">
        <v>0</v>
      </c>
      <c r="D101" s="42" t="s">
        <v>64</v>
      </c>
      <c r="E101" s="42">
        <v>2018</v>
      </c>
      <c r="F101" s="42" t="s">
        <v>57</v>
      </c>
      <c r="G101" s="42" t="s">
        <v>70</v>
      </c>
      <c r="H101" s="42">
        <v>70.3</v>
      </c>
      <c r="I101" s="113">
        <v>1.5775309000715E+19</v>
      </c>
    </row>
    <row r="102" spans="3:9" x14ac:dyDescent="0.3">
      <c r="C102" s="41" t="b">
        <v>0</v>
      </c>
      <c r="D102" s="42" t="s">
        <v>65</v>
      </c>
      <c r="E102" s="42">
        <v>2017</v>
      </c>
      <c r="F102" s="42" t="s">
        <v>57</v>
      </c>
      <c r="G102" s="42" t="s">
        <v>70</v>
      </c>
      <c r="H102" s="42">
        <v>64.400000000000006</v>
      </c>
      <c r="I102" s="113">
        <v>1.2393686424224E+19</v>
      </c>
    </row>
    <row r="103" spans="3:9" x14ac:dyDescent="0.3">
      <c r="C103" s="41" t="b">
        <v>0</v>
      </c>
      <c r="D103" s="42" t="s">
        <v>66</v>
      </c>
      <c r="E103" s="42">
        <v>2017</v>
      </c>
      <c r="F103" s="42" t="s">
        <v>57</v>
      </c>
      <c r="G103" s="42" t="s">
        <v>70</v>
      </c>
      <c r="H103" s="42">
        <v>72.8</v>
      </c>
      <c r="I103" s="113">
        <v>6.5434710748987597E+18</v>
      </c>
    </row>
    <row r="104" spans="3:9" x14ac:dyDescent="0.3">
      <c r="C104" s="41" t="b">
        <v>0</v>
      </c>
      <c r="D104" s="42" t="s">
        <v>67</v>
      </c>
      <c r="E104" s="42">
        <v>2017</v>
      </c>
      <c r="F104" s="42" t="s">
        <v>57</v>
      </c>
      <c r="G104" s="42" t="s">
        <v>70</v>
      </c>
      <c r="H104" s="42">
        <v>70.3</v>
      </c>
      <c r="I104" s="113">
        <v>1.76192985538235E+19</v>
      </c>
    </row>
    <row r="105" spans="3:9" x14ac:dyDescent="0.3">
      <c r="C105" s="41" t="b">
        <v>0</v>
      </c>
      <c r="D105" s="42" t="s">
        <v>60</v>
      </c>
      <c r="E105" s="42">
        <v>2019</v>
      </c>
      <c r="F105" s="42" t="s">
        <v>61</v>
      </c>
      <c r="G105" s="42" t="s">
        <v>71</v>
      </c>
      <c r="H105" s="42">
        <v>75.2</v>
      </c>
      <c r="I105" s="113">
        <v>1.8269344613130199E+19</v>
      </c>
    </row>
    <row r="106" spans="3:9" x14ac:dyDescent="0.3">
      <c r="C106" s="41" t="b">
        <v>0</v>
      </c>
      <c r="D106" s="42" t="s">
        <v>62</v>
      </c>
      <c r="E106" s="42">
        <v>2019</v>
      </c>
      <c r="F106" s="42" t="s">
        <v>61</v>
      </c>
      <c r="G106" s="42" t="s">
        <v>71</v>
      </c>
      <c r="H106" s="42">
        <v>75.099999999999994</v>
      </c>
      <c r="I106" s="113">
        <v>1.7553506572495401E+19</v>
      </c>
    </row>
    <row r="107" spans="3:9" x14ac:dyDescent="0.3">
      <c r="C107" s="41" t="b">
        <v>0</v>
      </c>
      <c r="D107" s="42" t="s">
        <v>63</v>
      </c>
      <c r="E107" s="42">
        <v>2019</v>
      </c>
      <c r="F107" s="42" t="s">
        <v>61</v>
      </c>
      <c r="G107" s="42" t="s">
        <v>71</v>
      </c>
      <c r="H107" s="42">
        <v>74.3</v>
      </c>
      <c r="I107" s="113">
        <v>1.6820731306607301E+19</v>
      </c>
    </row>
    <row r="108" spans="3:9" x14ac:dyDescent="0.3">
      <c r="C108" s="41" t="b">
        <v>0</v>
      </c>
      <c r="D108" s="42" t="s">
        <v>55</v>
      </c>
      <c r="E108" s="42">
        <v>2018</v>
      </c>
      <c r="F108" s="42" t="s">
        <v>61</v>
      </c>
      <c r="G108" s="42" t="s">
        <v>71</v>
      </c>
      <c r="H108" s="42">
        <v>72.099999999999994</v>
      </c>
      <c r="I108" s="113">
        <v>1.7108691470129701E+19</v>
      </c>
    </row>
    <row r="109" spans="3:9" x14ac:dyDescent="0.3">
      <c r="C109" s="41" t="b">
        <v>0</v>
      </c>
      <c r="D109" s="42" t="s">
        <v>64</v>
      </c>
      <c r="E109" s="42">
        <v>2018</v>
      </c>
      <c r="F109" s="42" t="s">
        <v>57</v>
      </c>
      <c r="G109" s="42" t="s">
        <v>71</v>
      </c>
      <c r="H109" s="42">
        <v>61.1</v>
      </c>
      <c r="I109" s="113">
        <v>9.4716502457397699E+18</v>
      </c>
    </row>
    <row r="110" spans="3:9" x14ac:dyDescent="0.3">
      <c r="C110" s="41" t="b">
        <v>0</v>
      </c>
      <c r="D110" s="42" t="s">
        <v>65</v>
      </c>
      <c r="E110" s="42">
        <v>2017</v>
      </c>
      <c r="F110" s="42" t="s">
        <v>57</v>
      </c>
      <c r="G110" s="42" t="s">
        <v>71</v>
      </c>
      <c r="H110" s="42">
        <v>60.6</v>
      </c>
      <c r="I110" s="113">
        <v>1.18675430624146E+19</v>
      </c>
    </row>
    <row r="111" spans="3:9" x14ac:dyDescent="0.3">
      <c r="C111" s="41" t="b">
        <v>0</v>
      </c>
      <c r="D111" s="42" t="s">
        <v>66</v>
      </c>
      <c r="E111" s="42">
        <v>2017</v>
      </c>
      <c r="F111" s="42" t="s">
        <v>57</v>
      </c>
      <c r="G111" s="42" t="s">
        <v>71</v>
      </c>
      <c r="H111" s="42">
        <v>60.1</v>
      </c>
      <c r="I111" s="113">
        <v>1.02047216872733E+19</v>
      </c>
    </row>
    <row r="112" spans="3:9" x14ac:dyDescent="0.3">
      <c r="C112" s="41" t="b">
        <v>0</v>
      </c>
      <c r="D112" s="42" t="s">
        <v>67</v>
      </c>
      <c r="E112" s="42">
        <v>2017</v>
      </c>
      <c r="F112" s="42" t="s">
        <v>57</v>
      </c>
      <c r="G112" s="42" t="s">
        <v>71</v>
      </c>
      <c r="H112" s="42">
        <v>62.5</v>
      </c>
      <c r="I112" s="113">
        <v>5.4933697044270705E+18</v>
      </c>
    </row>
    <row r="113" spans="3:9" x14ac:dyDescent="0.3">
      <c r="C113" s="41" t="b">
        <v>0</v>
      </c>
      <c r="D113" s="42" t="s">
        <v>60</v>
      </c>
      <c r="E113" s="42">
        <v>2019</v>
      </c>
      <c r="F113" s="42" t="s">
        <v>61</v>
      </c>
      <c r="G113" s="42" t="s">
        <v>72</v>
      </c>
      <c r="H113" s="42">
        <v>92.3</v>
      </c>
      <c r="I113" s="113">
        <v>1.39380561396235E+19</v>
      </c>
    </row>
    <row r="114" spans="3:9" x14ac:dyDescent="0.3">
      <c r="C114" s="41" t="b">
        <v>0</v>
      </c>
      <c r="D114" s="42" t="s">
        <v>62</v>
      </c>
      <c r="E114" s="42">
        <v>2019</v>
      </c>
      <c r="F114" s="42" t="s">
        <v>61</v>
      </c>
      <c r="G114" s="42" t="s">
        <v>72</v>
      </c>
      <c r="H114" s="42">
        <v>92.2</v>
      </c>
      <c r="I114" s="113">
        <v>5.7253599513179402E+18</v>
      </c>
    </row>
    <row r="115" spans="3:9" x14ac:dyDescent="0.3">
      <c r="C115" s="41" t="b">
        <v>0</v>
      </c>
      <c r="D115" s="42" t="s">
        <v>63</v>
      </c>
      <c r="E115" s="42">
        <v>2019</v>
      </c>
      <c r="F115" s="42" t="s">
        <v>61</v>
      </c>
      <c r="G115" s="42" t="s">
        <v>72</v>
      </c>
      <c r="H115" s="42">
        <v>90.8</v>
      </c>
      <c r="I115" s="113">
        <v>4.3326849718639898E+18</v>
      </c>
    </row>
    <row r="116" spans="3:9" x14ac:dyDescent="0.3">
      <c r="C116" s="41" t="b">
        <v>0</v>
      </c>
      <c r="D116" s="42" t="s">
        <v>55</v>
      </c>
      <c r="E116" s="42">
        <v>2018</v>
      </c>
      <c r="F116" s="42" t="s">
        <v>61</v>
      </c>
      <c r="G116" s="42" t="s">
        <v>72</v>
      </c>
      <c r="H116" s="42">
        <v>86.7</v>
      </c>
      <c r="I116" s="113">
        <v>1.2796277502226901E+19</v>
      </c>
    </row>
    <row r="117" spans="3:9" x14ac:dyDescent="0.3">
      <c r="C117" s="41" t="b">
        <v>0</v>
      </c>
      <c r="D117" s="42" t="s">
        <v>64</v>
      </c>
      <c r="E117" s="42">
        <v>2018</v>
      </c>
      <c r="F117" s="42" t="s">
        <v>57</v>
      </c>
      <c r="G117" s="42" t="s">
        <v>72</v>
      </c>
      <c r="H117" s="42">
        <v>67.2</v>
      </c>
      <c r="I117" s="113">
        <v>5.0802116163073905E+18</v>
      </c>
    </row>
    <row r="118" spans="3:9" x14ac:dyDescent="0.3">
      <c r="C118" s="41" t="b">
        <v>0</v>
      </c>
      <c r="D118" s="42" t="s">
        <v>65</v>
      </c>
      <c r="E118" s="42">
        <v>2017</v>
      </c>
      <c r="F118" s="42" t="s">
        <v>57</v>
      </c>
      <c r="G118" s="42" t="s">
        <v>72</v>
      </c>
      <c r="H118" s="42">
        <v>65.400000000000006</v>
      </c>
      <c r="I118" s="113">
        <v>9.8838283255593206E+18</v>
      </c>
    </row>
    <row r="119" spans="3:9" x14ac:dyDescent="0.3">
      <c r="C119" s="41" t="b">
        <v>0</v>
      </c>
      <c r="D119" s="42" t="s">
        <v>66</v>
      </c>
      <c r="E119" s="42">
        <v>2017</v>
      </c>
      <c r="F119" s="42" t="s">
        <v>57</v>
      </c>
      <c r="G119" s="42" t="s">
        <v>72</v>
      </c>
      <c r="H119" s="42">
        <v>67.599999999999994</v>
      </c>
      <c r="I119" s="113">
        <v>1.0981386942819799E+19</v>
      </c>
    </row>
    <row r="120" spans="3:9" x14ac:dyDescent="0.3">
      <c r="C120" s="41" t="b">
        <v>0</v>
      </c>
      <c r="D120" s="42" t="s">
        <v>67</v>
      </c>
      <c r="E120" s="42">
        <v>2017</v>
      </c>
      <c r="F120" s="42" t="s">
        <v>57</v>
      </c>
      <c r="G120" s="42" t="s">
        <v>72</v>
      </c>
      <c r="H120" s="42">
        <v>65.599999999999994</v>
      </c>
      <c r="I120" s="113">
        <v>9.0382482465152604E+18</v>
      </c>
    </row>
    <row r="121" spans="3:9" x14ac:dyDescent="0.3">
      <c r="C121" s="41" t="b">
        <v>0</v>
      </c>
      <c r="D121" s="42" t="s">
        <v>60</v>
      </c>
      <c r="E121" s="42">
        <v>2019</v>
      </c>
      <c r="F121" s="42" t="s">
        <v>61</v>
      </c>
      <c r="G121" s="42" t="s">
        <v>73</v>
      </c>
      <c r="H121" s="42">
        <v>97.3</v>
      </c>
      <c r="I121" s="113">
        <v>6.1691038947429601E+18</v>
      </c>
    </row>
    <row r="122" spans="3:9" x14ac:dyDescent="0.3">
      <c r="C122" s="41" t="b">
        <v>0</v>
      </c>
      <c r="D122" s="42" t="s">
        <v>62</v>
      </c>
      <c r="E122" s="42">
        <v>2019</v>
      </c>
      <c r="F122" s="42" t="s">
        <v>61</v>
      </c>
      <c r="G122" s="42" t="s">
        <v>73</v>
      </c>
      <c r="H122" s="42">
        <v>96.9</v>
      </c>
      <c r="I122" s="113">
        <v>1.08209449927861E+19</v>
      </c>
    </row>
    <row r="123" spans="3:9" x14ac:dyDescent="0.3">
      <c r="C123" s="41" t="b">
        <v>0</v>
      </c>
      <c r="D123" s="42" t="s">
        <v>63</v>
      </c>
      <c r="E123" s="42">
        <v>2019</v>
      </c>
      <c r="F123" s="42" t="s">
        <v>61</v>
      </c>
      <c r="G123" s="42" t="s">
        <v>73</v>
      </c>
      <c r="H123" s="42">
        <v>95.4</v>
      </c>
      <c r="I123" s="113">
        <v>1.3601989183877501E+19</v>
      </c>
    </row>
    <row r="124" spans="3:9" x14ac:dyDescent="0.3">
      <c r="C124" s="41" t="b">
        <v>0</v>
      </c>
      <c r="D124" s="42" t="s">
        <v>55</v>
      </c>
      <c r="E124" s="42">
        <v>2018</v>
      </c>
      <c r="F124" s="42" t="s">
        <v>61</v>
      </c>
      <c r="G124" s="42" t="s">
        <v>73</v>
      </c>
      <c r="H124" s="42">
        <v>92.7</v>
      </c>
      <c r="I124" s="113">
        <v>4.1115077632115799E+18</v>
      </c>
    </row>
    <row r="125" spans="3:9" x14ac:dyDescent="0.3">
      <c r="C125" s="41" t="b">
        <v>0</v>
      </c>
      <c r="D125" s="42" t="s">
        <v>64</v>
      </c>
      <c r="E125" s="42">
        <v>2018</v>
      </c>
      <c r="F125" s="42" t="s">
        <v>57</v>
      </c>
      <c r="G125" s="42" t="s">
        <v>73</v>
      </c>
      <c r="H125" s="42">
        <v>75.5</v>
      </c>
      <c r="I125" s="113">
        <v>8.3349481964263803E+18</v>
      </c>
    </row>
    <row r="126" spans="3:9" x14ac:dyDescent="0.3">
      <c r="C126" s="41" t="b">
        <v>0</v>
      </c>
      <c r="D126" s="42" t="s">
        <v>65</v>
      </c>
      <c r="E126" s="42">
        <v>2017</v>
      </c>
      <c r="F126" s="42" t="s">
        <v>57</v>
      </c>
      <c r="G126" s="42" t="s">
        <v>73</v>
      </c>
      <c r="H126" s="42">
        <v>70.8</v>
      </c>
      <c r="I126" s="113">
        <v>9.7329425081643192E+18</v>
      </c>
    </row>
    <row r="127" spans="3:9" x14ac:dyDescent="0.3">
      <c r="C127" s="41" t="b">
        <v>0</v>
      </c>
      <c r="D127" s="42" t="s">
        <v>66</v>
      </c>
      <c r="E127" s="42">
        <v>2017</v>
      </c>
      <c r="F127" s="42" t="s">
        <v>57</v>
      </c>
      <c r="G127" s="42" t="s">
        <v>73</v>
      </c>
      <c r="H127" s="42">
        <v>74.3</v>
      </c>
      <c r="I127" s="113">
        <v>9.1293945915137096E+18</v>
      </c>
    </row>
    <row r="128" spans="3:9" x14ac:dyDescent="0.3">
      <c r="C128" s="41" t="b">
        <v>0</v>
      </c>
      <c r="D128" s="42" t="s">
        <v>67</v>
      </c>
      <c r="E128" s="42">
        <v>2017</v>
      </c>
      <c r="F128" s="42" t="s">
        <v>57</v>
      </c>
      <c r="G128" s="42" t="s">
        <v>73</v>
      </c>
      <c r="H128" s="42">
        <v>74.599999999999994</v>
      </c>
      <c r="I128" s="113">
        <v>2.0266813815504399E+18</v>
      </c>
    </row>
    <row r="129" spans="3:9" x14ac:dyDescent="0.3">
      <c r="C129" s="41" t="b">
        <v>0</v>
      </c>
      <c r="D129" s="42" t="s">
        <v>60</v>
      </c>
      <c r="E129" s="42">
        <v>2019</v>
      </c>
      <c r="F129" s="42" t="s">
        <v>61</v>
      </c>
      <c r="G129" s="42" t="s">
        <v>74</v>
      </c>
      <c r="H129" s="42">
        <v>92.6</v>
      </c>
      <c r="I129" s="113">
        <v>9.8697975938676593E+18</v>
      </c>
    </row>
    <row r="130" spans="3:9" x14ac:dyDescent="0.3">
      <c r="C130" s="41" t="b">
        <v>0</v>
      </c>
      <c r="D130" s="42" t="s">
        <v>62</v>
      </c>
      <c r="E130" s="42">
        <v>2019</v>
      </c>
      <c r="F130" s="42" t="s">
        <v>61</v>
      </c>
      <c r="G130" s="42" t="s">
        <v>74</v>
      </c>
      <c r="H130" s="42">
        <v>92.8</v>
      </c>
      <c r="I130" s="113">
        <v>7.9435431653785702E+18</v>
      </c>
    </row>
    <row r="131" spans="3:9" x14ac:dyDescent="0.3">
      <c r="C131" s="41" t="b">
        <v>0</v>
      </c>
      <c r="D131" s="42" t="s">
        <v>63</v>
      </c>
      <c r="E131" s="42">
        <v>2019</v>
      </c>
      <c r="F131" s="42" t="s">
        <v>61</v>
      </c>
      <c r="G131" s="42" t="s">
        <v>74</v>
      </c>
      <c r="H131" s="42">
        <v>88.2</v>
      </c>
      <c r="I131" s="113">
        <v>1.5864547078008001E+19</v>
      </c>
    </row>
    <row r="132" spans="3:9" x14ac:dyDescent="0.3">
      <c r="C132" s="41" t="b">
        <v>0</v>
      </c>
      <c r="D132" s="42" t="s">
        <v>55</v>
      </c>
      <c r="E132" s="42">
        <v>2018</v>
      </c>
      <c r="F132" s="42" t="s">
        <v>61</v>
      </c>
      <c r="G132" s="42" t="s">
        <v>74</v>
      </c>
      <c r="H132" s="42">
        <v>70.099999999999994</v>
      </c>
      <c r="I132" s="113">
        <v>1.5977479936981701E+19</v>
      </c>
    </row>
    <row r="133" spans="3:9" x14ac:dyDescent="0.3">
      <c r="C133" s="41" t="b">
        <v>0</v>
      </c>
      <c r="D133" s="42" t="s">
        <v>64</v>
      </c>
      <c r="E133" s="42">
        <v>2018</v>
      </c>
      <c r="F133" s="42" t="s">
        <v>57</v>
      </c>
      <c r="G133" s="42" t="s">
        <v>74</v>
      </c>
      <c r="H133" s="42">
        <v>57.4</v>
      </c>
      <c r="I133" s="113">
        <v>1.2019487233758501E+19</v>
      </c>
    </row>
    <row r="134" spans="3:9" x14ac:dyDescent="0.3">
      <c r="C134" s="41" t="b">
        <v>0</v>
      </c>
      <c r="D134" s="42" t="s">
        <v>65</v>
      </c>
      <c r="E134" s="42">
        <v>2017</v>
      </c>
      <c r="F134" s="42" t="s">
        <v>57</v>
      </c>
      <c r="G134" s="42" t="s">
        <v>74</v>
      </c>
      <c r="H134" s="42">
        <v>52.7</v>
      </c>
      <c r="I134" s="113">
        <v>5.7055596176279798E+18</v>
      </c>
    </row>
    <row r="135" spans="3:9" x14ac:dyDescent="0.3">
      <c r="C135" s="41" t="b">
        <v>0</v>
      </c>
      <c r="D135" s="42" t="s">
        <v>66</v>
      </c>
      <c r="E135" s="42">
        <v>2017</v>
      </c>
      <c r="F135" s="42" t="s">
        <v>57</v>
      </c>
      <c r="G135" s="42" t="s">
        <v>74</v>
      </c>
      <c r="H135" s="42">
        <v>58.4</v>
      </c>
      <c r="I135" s="113">
        <v>1.01740775565106E+18</v>
      </c>
    </row>
    <row r="136" spans="3:9" x14ac:dyDescent="0.3">
      <c r="C136" s="41" t="b">
        <v>0</v>
      </c>
      <c r="D136" s="42" t="s">
        <v>67</v>
      </c>
      <c r="E136" s="42">
        <v>2017</v>
      </c>
      <c r="F136" s="42" t="s">
        <v>57</v>
      </c>
      <c r="G136" s="42" t="s">
        <v>74</v>
      </c>
      <c r="H136" s="42">
        <v>57.4</v>
      </c>
      <c r="I136" s="113">
        <v>1.1998182671641899E+19</v>
      </c>
    </row>
  </sheetData>
  <mergeCells count="1">
    <mergeCell ref="D3:E5"/>
  </mergeCells>
  <phoneticPr fontId="15" type="noConversion"/>
  <conditionalFormatting sqref="D25:H25 D71:H71">
    <cfRule type="cellIs" dxfId="28" priority="40" operator="equal">
      <formula>"Notes"</formula>
    </cfRule>
  </conditionalFormatting>
  <conditionalFormatting sqref="D29:H33 D39:H47 D16:H16 D20:H25">
    <cfRule type="cellIs" dxfId="27" priority="41" operator="equal">
      <formula>0</formula>
    </cfRule>
  </conditionalFormatting>
  <conditionalFormatting sqref="D35:H35">
    <cfRule type="cellIs" dxfId="26" priority="39" operator="equal">
      <formula>"Notes"</formula>
    </cfRule>
  </conditionalFormatting>
  <conditionalFormatting sqref="C73:C136">
    <cfRule type="cellIs" dxfId="25" priority="37" operator="equal">
      <formula>FALSE</formula>
    </cfRule>
    <cfRule type="cellIs" dxfId="24" priority="38" operator="notEqual">
      <formula>FALSE</formula>
    </cfRule>
  </conditionalFormatting>
  <conditionalFormatting sqref="D51:E58">
    <cfRule type="cellIs" dxfId="23" priority="35" operator="equal">
      <formula>FALSE</formula>
    </cfRule>
    <cfRule type="cellIs" dxfId="22" priority="36" operator="notEqual">
      <formula>FALSE</formula>
    </cfRule>
  </conditionalFormatting>
  <conditionalFormatting sqref="D10:H10">
    <cfRule type="cellIs" dxfId="21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0" priority="11"/>
  </conditionalFormatting>
  <conditionalFormatting sqref="D3">
    <cfRule type="cellIs" dxfId="19" priority="6" operator="notEqual">
      <formula>"Description"</formula>
    </cfRule>
  </conditionalFormatting>
  <conditionalFormatting sqref="D8:H8">
    <cfRule type="cellIs" dxfId="18" priority="5" operator="notEqual">
      <formula>"Definition"</formula>
    </cfRule>
  </conditionalFormatting>
  <conditionalFormatting sqref="F51:H58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F17:H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I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4" priority="3" operator="equal">
      <formula>"Notes"</formula>
    </cfRule>
  </conditionalFormatting>
  <conditionalFormatting sqref="E6:E7">
    <cfRule type="cellIs" dxfId="13" priority="4" operator="equal">
      <formula>0</formula>
    </cfRule>
  </conditionalFormatting>
  <conditionalFormatting sqref="E2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2026-05-18T19:42:41Z</dcterms:modified>
</cp:coreProperties>
</file>