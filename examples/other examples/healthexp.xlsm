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7D292755-0785-46B4-94D5-41B7836B3DF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Analysis'!$D$57:$G$57</definedName>
    <definedName name="FieldList2" localSheetId="3">#REF!</definedName>
    <definedName name="FieldList2" localSheetId="2">#REF!</definedName>
    <definedName name="FieldList2">'Field Analysis'!$D$58:$G$58</definedName>
    <definedName name="FieldList3" localSheetId="3">#REF!</definedName>
    <definedName name="FieldList3" localSheetId="2">#REF!</definedName>
    <definedName name="FieldList3">'Field Analysis'!$D$59:$G$59</definedName>
    <definedName name="FieldList4" localSheetId="3">#REF!</definedName>
    <definedName name="FieldList4" localSheetId="2">#REF!</definedName>
    <definedName name="FieldList4">'Field Analysis'!$D$60:$G$60</definedName>
    <definedName name="FieldList5" localSheetId="3">#REF!</definedName>
    <definedName name="FieldList5" localSheetId="2">#REF!</definedName>
    <definedName name="FieldList5">'Field Analysis'!$D$61:$G$61</definedName>
    <definedName name="FieldList6" localSheetId="3">#REF!</definedName>
    <definedName name="FieldList6" localSheetId="2">#REF!</definedName>
    <definedName name="FieldList6">'Field Analysis'!$D$62:$G$62</definedName>
    <definedName name="FieldList7">'Field Analysis'!$D$63:$G$63</definedName>
    <definedName name="FieldList8">'Field Analysis'!$D$64:$G$64</definedName>
    <definedName name="FieldRange" localSheetId="3">#REF!</definedName>
    <definedName name="FieldRange" localSheetId="2">#REF!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Analysis'!$D$9:$G$9</definedName>
    <definedName name="Percentiles">'Field Analysis'!$D$45:$D$54</definedName>
    <definedName name="RecordHashes">'Field Analysis'!$H$79:$H$352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<sst xmlns="http://schemas.openxmlformats.org/spreadsheetml/2006/main" count="391" uniqueCount="68">
  <si>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</si>
  <si>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</si>
  <si>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</si>
  <si>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</si>
  <si>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</si>
  <si>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</si>
  <si>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</si>
  <si>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</si>
  <si>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</si>
  <si>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</si>
  <si>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</si>
  <si>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</si>
  <si>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</si>
  <si>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</si>
  <si>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</si>
  <si>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</si>
  <si>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</si>
  <si>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</si>
  <si>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</si>
  <si>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</si>
  <si>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</si>
  <si>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</si>
  <si>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</si>
  <si>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</si>
  <si>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</si>
  <si>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</si>
  <si>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</si>
  <si>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</si>
  <si>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</si>
  <si>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</si>
  <si>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</si>
  <si>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</si>
  <si>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</si>
  <si>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</si>
  <si>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</si>
  <si>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</si>
  <si>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</si>
  <si>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</si>
  <si>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</si>
  <si>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</si>
  <si>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</si>
  <si>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</si>
  <si>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</si>
  <si>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</si>
  <si>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</si>
  <si>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</si>
  <si>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</si>
  <si>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</si>
  <si>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</si>
  <si>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</si>
  <si>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</si>
  <si>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</si>
  <si>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</si>
  <si>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healthexp</t>
  </si>
  <si>
    <t>Year</t>
  </si>
  <si>
    <t>Country</t>
  </si>
  <si>
    <t>Spending_USD</t>
  </si>
  <si>
    <t>Life_Expectancy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</si>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</sst>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9609D"/>
        <bgColor indexed="64"/>
      </patternFill>
    </fill>
  </fills>
  <borders count="21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0" fontId="2" fillId="2" borderId="0" xfId="1" applyBorder="1" applyAlignment="1">
      <alignment horizontal="left" vertical="top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A9609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9E89FA8-51DD-933A-3B82-08F1383E1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7EB5077-5CC7-6021-47F9-A99B5D134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4B5BEB4-0CCD-69ED-FDF9-AE42C3FAE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855516E-E973-3332-C021-314C0EADC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A75AA1B-2932-804F-8F5B-37FEFE199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DBEB1E9-B3F9-D095-EC23-3066E9E61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2FC8BB4-DCD4-307A-21CE-99A7BEEC1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9" dataDxfId="52" headerRowBorderDxfId="53" headerRowCellStyle="Normal 2">
  <autoFilter ref="B10:AA14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2" totalsRowShown="0" headerRowDxfId="18" dataDxfId="17">
  <autoFilter ref="C78:H352" xr:uid="{DB263373-2B4F-4302-9CF6-5012CE3F1A47}"/>
  <tableColumns count="6">
    <tableColumn id="1" xr3:uid="{B87F6371-B38F-4AA9-8A9B-F1D62600E38F}" name="Record List" dataDxfId="1" dataCellStyle="Normal 2"/>
    <tableColumn id="2" xr3:uid="{55547D6A-0C4F-44F3-8DA7-D9918F9ECA79}" name="Year" dataDxfId="16"/>
    <tableColumn id="8" xr3:uid="{5CEA6B82-08F7-4BBF-BE74-DD211F1E2384}" name="Country" dataDxfId="15"/>
    <tableColumn id="3" xr3:uid="{6C0B3232-D5C0-4185-AF99-A47484E561D2}" name="Spending_USD" dataDxfId="14"/>
    <tableColumn id="4" xr3:uid="{B93AEB6E-3BB7-4A44-972F-0B1925CC3B6D}" name="Life_Expectancy" dataDxfId="3"/>
    <tableColumn id="5" xr3:uid="{0919354E-6038-49A0-B4EE-D0BECB7519F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healthexp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274</v>
      </c>
    </row>
    <row r="5" spans="2:27">
      <c r="B5" s="92" t="s">
        <v>27</v>
      </c>
      <c r="C5" s="50">
        <v>4</v>
      </c>
    </row>
    <row r="6" spans="2:27">
      <c r="B6" s="94" t="s">
        <v>4</v>
      </c>
      <c r="C6" s="50" t="s">
        <v>58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59</v>
      </c>
      <c r="F11" s="53">
        <v>0.186131386861313</v>
      </c>
      <c r="G11" s="54">
        <v>0</v>
      </c>
      <c r="H11" s="53">
        <v>0.171437509776317</v>
      </c>
      <c r="I11" s="55">
        <v>2192</v>
      </c>
      <c r="J11" s="55">
        <v>51</v>
      </c>
      <c r="K11" s="55">
        <v>274</v>
      </c>
      <c r="L11" s="56">
        <v>1</v>
      </c>
      <c r="M11" s="55">
        <v>0</v>
      </c>
      <c r="N11" s="57">
        <v>1996.99270072992</v>
      </c>
      <c r="O11" s="57">
        <v>1998</v>
      </c>
      <c r="P11" s="57">
        <v>1980</v>
      </c>
      <c r="Q11" s="57">
        <v>14.180932537192099</v>
      </c>
      <c r="R11" s="57">
        <v>201.09884762439501</v>
      </c>
      <c r="S11" s="57">
        <v>1970</v>
      </c>
      <c r="T11" s="57">
        <v>1973</v>
      </c>
      <c r="U11" s="57">
        <v>1985.25</v>
      </c>
      <c r="V11" s="57">
        <v>1998</v>
      </c>
      <c r="W11" s="57">
        <v>2009</v>
      </c>
      <c r="X11" s="57">
        <v>2018</v>
      </c>
      <c r="Y11" s="57">
        <v>2020</v>
      </c>
      <c r="Z11" s="57">
        <v>50</v>
      </c>
      <c r="AA11" s="57">
        <v>23.75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2.18978102189781E-2</v>
      </c>
      <c r="G12" s="58">
        <v>0</v>
      </c>
      <c r="H12" s="59">
        <v>0.31424996089472801</v>
      </c>
      <c r="I12" s="55">
        <v>4018</v>
      </c>
      <c r="J12" s="55">
        <v>6</v>
      </c>
      <c r="K12" s="55">
        <v>274</v>
      </c>
      <c r="L12" s="56">
        <v>1</v>
      </c>
      <c r="M12" s="55">
        <v>0</v>
      </c>
      <c r="N12" s="57"/>
      <c r="O12" s="57"/>
      <c r="P12" s="57" t="s">
        <v>61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62</v>
      </c>
      <c r="F13" s="56">
        <v>1</v>
      </c>
      <c r="G13" s="58">
        <v>0</v>
      </c>
      <c r="H13" s="59">
        <v>0.171437509776317</v>
      </c>
      <c r="I13" s="55">
        <v>2192</v>
      </c>
      <c r="J13" s="55">
        <v>274</v>
      </c>
      <c r="K13" s="55">
        <v>274</v>
      </c>
      <c r="L13" s="56">
        <v>1</v>
      </c>
      <c r="M13" s="55">
        <v>0</v>
      </c>
      <c r="N13" s="57">
        <v>2789.33890510948</v>
      </c>
      <c r="O13" s="57">
        <v>2295.578</v>
      </c>
      <c r="P13" s="57">
        <v>123.99299999999999</v>
      </c>
      <c r="Q13" s="57">
        <v>2194.9397848395702</v>
      </c>
      <c r="R13" s="57">
        <v>4817760.6590715796</v>
      </c>
      <c r="S13" s="57">
        <v>123.99299999999999</v>
      </c>
      <c r="T13" s="57">
        <v>333.722949999999</v>
      </c>
      <c r="U13" s="57">
        <v>1038.357</v>
      </c>
      <c r="V13" s="57">
        <v>2295.578</v>
      </c>
      <c r="W13" s="57">
        <v>4055.61</v>
      </c>
      <c r="X13" s="57">
        <v>7018.6184999999896</v>
      </c>
      <c r="Y13" s="57">
        <v>11859.179</v>
      </c>
      <c r="Z13" s="57">
        <v>11735.186</v>
      </c>
      <c r="AA13" s="57">
        <v>3017.2530000000002</v>
      </c>
    </row>
    <row r="14" spans="2:27">
      <c r="B14" s="116" t="s">
        <v>57</v>
      </c>
      <c r="C14" s="117" t="str">
        <f>IF(INDEX(Definitions,1,MATCH(tbl_Overview[[#This Row],[Field]],Headers,0))="Definition","",INDEX(Definitions,1,MATCH(tbl_Overview[[#This Row],[Field]],Headers,0)))</f>
        <v/>
      </c>
      <c r="D14" s="118" t="str">
        <f>IF(INDEX(Notes,1,MATCH(tbl_Overview[[#This Row],[Field]],Headers,0))="Notes","",INDEX(Notes,1,MATCH(tbl_Overview[[#This Row],[Field]],Headers,0)))</f>
        <v/>
      </c>
      <c r="E14" s="119" t="s">
        <v>62</v>
      </c>
      <c r="F14" s="120">
        <v>0.43065693430656898</v>
      </c>
      <c r="G14" s="121">
        <v>0</v>
      </c>
      <c r="H14" s="122">
        <v>0.171437509776317</v>
      </c>
      <c r="I14" s="123">
        <v>2192</v>
      </c>
      <c r="J14" s="123">
        <v>118</v>
      </c>
      <c r="K14" s="123">
        <v>274</v>
      </c>
      <c r="L14" s="120">
        <v>1</v>
      </c>
      <c r="M14" s="123">
        <v>0</v>
      </c>
      <c r="N14" s="124">
        <v>77.909489051094795</v>
      </c>
      <c r="O14" s="124">
        <v>78.099999999999994</v>
      </c>
      <c r="P14" s="124">
        <v>78.8</v>
      </c>
      <c r="Q14" s="124">
        <v>3.2762634665236301</v>
      </c>
      <c r="R14" s="124">
        <v>10.7339023020774</v>
      </c>
      <c r="S14" s="124">
        <v>70.599999999999994</v>
      </c>
      <c r="T14" s="124">
        <v>72</v>
      </c>
      <c r="U14" s="124">
        <v>75.525000000000006</v>
      </c>
      <c r="V14" s="124">
        <v>78.099999999999994</v>
      </c>
      <c r="W14" s="124">
        <v>80.574999999999903</v>
      </c>
      <c r="X14" s="124">
        <v>82.734999999999999</v>
      </c>
      <c r="Y14" s="124">
        <v>84.7</v>
      </c>
      <c r="Z14" s="124">
        <v>14.1</v>
      </c>
      <c r="AA14" s="124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7" width="27.77734375" style="1" customWidth="1"/>
    <col min="8" max="8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</row>
    <row r="4" spans="1:14" ht="4.95" customHeight="1">
      <c r="A4" s="68"/>
      <c r="B4" s="68"/>
      <c r="C4" s="68"/>
      <c r="D4"/>
      <c r="E4"/>
      <c r="F4"/>
      <c r="G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</row>
    <row r="6" spans="1:14" ht="4.95" customHeight="1">
      <c r="A6" s="32"/>
      <c r="B6" s="77"/>
      <c r="C6" s="78"/>
      <c r="D6" s="70"/>
      <c r="E6" s="70"/>
      <c r="F6" s="70"/>
      <c r="G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</row>
    <row r="10" spans="1:14" ht="4.95" hidden="1" customHeight="1" outlineLevel="1">
      <c r="C10" s="3"/>
      <c r="D10" s="60"/>
      <c r="E10" s="60"/>
      <c r="F10" s="60"/>
      <c r="G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99" t="s">
        <v>20</v>
      </c>
    </row>
    <row r="12" spans="1:14" ht="4.95" customHeight="1">
      <c r="A12"/>
      <c r="B12"/>
      <c r="C12"/>
      <c r="D12"/>
      <c r="E12"/>
      <c r="F12"/>
      <c r="G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</row>
    <row r="17" spans="1:7" hidden="1" outlineLevel="2">
      <c r="A17" s="70"/>
      <c r="B17" s="72"/>
      <c r="C17" s="95" t="s">
        <v>26</v>
      </c>
      <c r="D17" s="98">
        <v>274</v>
      </c>
      <c r="E17" s="47"/>
      <c r="F17" s="47"/>
      <c r="G17" s="47"/>
    </row>
    <row r="18" spans="1:7" hidden="1" outlineLevel="2">
      <c r="A18" s="70"/>
      <c r="B18" s="72"/>
      <c r="C18" s="95" t="s">
        <v>46</v>
      </c>
      <c r="D18" s="98">
        <v>4</v>
      </c>
      <c r="E18" s="47"/>
      <c r="F18" s="47"/>
      <c r="G18" s="47"/>
    </row>
    <row r="19" spans="1:7" ht="4.95" hidden="1" customHeight="1" outlineLevel="2">
      <c r="A19" s="70"/>
      <c r="B19" s="72"/>
      <c r="C19" s="74"/>
      <c r="D19" s="71"/>
      <c r="E19"/>
      <c r="F19"/>
      <c r="G19"/>
    </row>
    <row r="20" spans="1:7" ht="19.95" customHeight="1" outlineLevel="1" collapsed="1">
      <c r="B20" s="82" t="s">
        <v>0</v>
      </c>
      <c r="C20" s="84" t="s">
        <v>51</v>
      </c>
      <c r="D20" s="96"/>
      <c r="E20"/>
      <c r="F20"/>
      <c r="G20"/>
    </row>
    <row r="21" spans="1:7" ht="4.95" customHeight="1" outlineLevel="1">
      <c r="B21" s="10"/>
      <c r="C21" s="35"/>
      <c r="D21" s="35"/>
      <c r="E21" s="35"/>
      <c r="F21" s="35"/>
      <c r="G21" s="35"/>
    </row>
    <row r="22" spans="1:7" ht="14.4" hidden="1" customHeight="1" outlineLevel="2">
      <c r="A22" s="36"/>
      <c r="B22" s="37"/>
      <c r="C22" s="92" t="s">
        <v>3</v>
      </c>
      <c r="D22" s="12" t="s">
        <v>59</v>
      </c>
      <c r="E22" s="12" t="s">
        <v>60</v>
      </c>
      <c r="F22" s="12" t="s">
        <v>62</v>
      </c>
      <c r="G22" s="12" t="s">
        <v>62</v>
      </c>
    </row>
    <row r="23" spans="1:7" ht="14.4" hidden="1" customHeight="1" outlineLevel="2">
      <c r="A23" s="36"/>
      <c r="B23" s="38"/>
      <c r="C23" s="90" t="s">
        <v>7</v>
      </c>
      <c r="D23" s="39">
        <v>0.186131386861313</v>
      </c>
      <c r="E23" s="39">
        <v>2.18978102189781E-2</v>
      </c>
      <c r="F23" s="39">
        <v>1</v>
      </c>
      <c r="G23" s="39">
        <v>0.43065693430656898</v>
      </c>
    </row>
    <row r="24" spans="1:7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</row>
    <row r="25" spans="1:7" ht="14.4" hidden="1" customHeight="1" outlineLevel="2">
      <c r="B25" s="13"/>
      <c r="C25" s="94" t="s">
        <v>5</v>
      </c>
      <c r="D25" s="39">
        <v>0.171437509776317</v>
      </c>
      <c r="E25" s="39">
        <v>0.31424996089472801</v>
      </c>
      <c r="F25" s="39">
        <v>0.171437509776317</v>
      </c>
      <c r="G25" s="39">
        <v>0.171437509776317</v>
      </c>
    </row>
    <row r="26" spans="1:7" ht="14.4" hidden="1" customHeight="1" outlineLevel="2">
      <c r="B26" s="13"/>
      <c r="C26" s="90" t="s">
        <v>4</v>
      </c>
      <c r="D26" s="12">
        <v>2192</v>
      </c>
      <c r="E26" s="12">
        <v>4018</v>
      </c>
      <c r="F26" s="12">
        <v>2192</v>
      </c>
      <c r="G26" s="12">
        <v>2192</v>
      </c>
    </row>
    <row r="27" spans="1:7" ht="14.4" hidden="1" customHeight="1" outlineLevel="2">
      <c r="B27" s="13"/>
      <c r="C27" s="90" t="s">
        <v>6</v>
      </c>
      <c r="D27" s="12">
        <v>51</v>
      </c>
      <c r="E27" s="12">
        <v>6</v>
      </c>
      <c r="F27" s="12">
        <v>274</v>
      </c>
      <c r="G27" s="12">
        <v>118</v>
      </c>
    </row>
    <row r="28" spans="1:7" ht="14.4" hidden="1" customHeight="1" outlineLevel="2">
      <c r="B28" s="13"/>
      <c r="C28" s="90" t="s">
        <v>8</v>
      </c>
      <c r="D28" s="12">
        <v>274</v>
      </c>
      <c r="E28" s="12">
        <v>274</v>
      </c>
      <c r="F28" s="12">
        <v>274</v>
      </c>
      <c r="G28" s="12">
        <v>274</v>
      </c>
    </row>
    <row r="29" spans="1:7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</row>
    <row r="30" spans="1:7" ht="4.95" hidden="1" customHeight="1" outlineLevel="2">
      <c r="B30" s="10"/>
      <c r="D30" s="7"/>
      <c r="E30" s="7"/>
      <c r="F30" s="7"/>
      <c r="G30" s="7"/>
    </row>
    <row r="31" spans="1:7" ht="150" hidden="1" customHeight="1" outlineLevel="2">
      <c r="B31" s="15"/>
      <c r="C31" s="16"/>
      <c r="D31" s="17"/>
      <c r="E31" s="17"/>
      <c r="F31" s="17"/>
      <c r="G31" s="17"/>
    </row>
    <row r="32" spans="1:7" ht="4.95" hidden="1" customHeight="1" outlineLevel="2">
      <c r="B32" s="18"/>
      <c r="D32" s="7"/>
      <c r="E32" s="7"/>
      <c r="F32" s="7"/>
      <c r="G32" s="7"/>
    </row>
    <row r="33" spans="1:7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</row>
    <row r="34" spans="1:7" ht="4.95" customHeight="1" outlineLevel="1">
      <c r="A34" s="19"/>
      <c r="B34" s="20"/>
      <c r="C34" s="21"/>
      <c r="D34" s="7"/>
      <c r="E34" s="7"/>
      <c r="F34" s="7"/>
      <c r="G34" s="7"/>
    </row>
    <row r="35" spans="1:7" ht="14.4" hidden="1" customHeight="1" outlineLevel="2">
      <c r="B35" s="11"/>
      <c r="C35" s="92" t="s">
        <v>11</v>
      </c>
      <c r="D35" s="22">
        <v>1996.99270072992</v>
      </c>
      <c r="E35" s="22"/>
      <c r="F35" s="22">
        <v>2789.33890510948</v>
      </c>
      <c r="G35" s="22">
        <v>77.909489051094795</v>
      </c>
    </row>
    <row r="36" spans="1:7" ht="14.4" hidden="1" customHeight="1" outlineLevel="2">
      <c r="B36" s="13"/>
      <c r="C36" s="93" t="s">
        <v>12</v>
      </c>
      <c r="D36" s="23">
        <v>1998</v>
      </c>
      <c r="E36" s="23"/>
      <c r="F36" s="23">
        <v>2295.578</v>
      </c>
      <c r="G36" s="23">
        <v>78.099999999999994</v>
      </c>
    </row>
    <row r="37" spans="1:7" ht="14.4" hidden="1" customHeight="1" outlineLevel="2">
      <c r="B37" s="13"/>
      <c r="C37" s="90" t="s">
        <v>13</v>
      </c>
      <c r="D37" s="14">
        <v>1980</v>
      </c>
      <c r="E37" s="14" t="s">
        <v>61</v>
      </c>
      <c r="F37" s="14">
        <v>123.99299999999999</v>
      </c>
      <c r="G37" s="14">
        <v>78.8</v>
      </c>
    </row>
    <row r="38" spans="1:7" ht="14.4" hidden="1" customHeight="1" outlineLevel="2">
      <c r="B38" s="13"/>
      <c r="C38" s="93" t="s">
        <v>14</v>
      </c>
      <c r="D38" s="24">
        <v>14.180932537192099</v>
      </c>
      <c r="E38" s="24"/>
      <c r="F38" s="24">
        <v>2194.9397848395702</v>
      </c>
      <c r="G38" s="24">
        <v>3.2762634665236301</v>
      </c>
    </row>
    <row r="39" spans="1:7" ht="14.4" hidden="1" customHeight="1" outlineLevel="2">
      <c r="B39" s="13"/>
      <c r="C39" s="94" t="s">
        <v>15</v>
      </c>
      <c r="D39" s="22">
        <v>201.09884762439501</v>
      </c>
      <c r="E39" s="22"/>
      <c r="F39" s="22">
        <v>4817760.6590715796</v>
      </c>
      <c r="G39" s="22">
        <v>10.7339023020774</v>
      </c>
    </row>
    <row r="40" spans="1:7" ht="4.95" hidden="1" customHeight="1" outlineLevel="2">
      <c r="B40" s="10"/>
      <c r="D40" s="7"/>
      <c r="E40" s="7"/>
      <c r="F40" s="7"/>
      <c r="G40" s="7"/>
    </row>
    <row r="41" spans="1:7" ht="150" hidden="1" customHeight="1" outlineLevel="2">
      <c r="A41" s="19"/>
      <c r="B41" s="15"/>
      <c r="C41" s="16"/>
      <c r="D41" s="17"/>
      <c r="E41" s="17"/>
      <c r="F41" s="17"/>
      <c r="G41" s="17"/>
    </row>
    <row r="42" spans="1:7" ht="4.95" hidden="1" customHeight="1" outlineLevel="2">
      <c r="A42" s="19"/>
      <c r="B42" s="15"/>
      <c r="C42" s="25"/>
      <c r="D42" s="7"/>
      <c r="E42" s="7"/>
      <c r="F42" s="7"/>
      <c r="G42" s="7"/>
    </row>
    <row r="43" spans="1:7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</row>
    <row r="44" spans="1:7" ht="4.95" customHeight="1" outlineLevel="1">
      <c r="A44" s="19"/>
      <c r="B44" s="20"/>
      <c r="C44" s="21"/>
      <c r="D44" s="7"/>
      <c r="E44" s="7"/>
      <c r="F44" s="7"/>
      <c r="G44" s="7"/>
    </row>
    <row r="45" spans="1:7" ht="14.4" hidden="1" customHeight="1" outlineLevel="2">
      <c r="B45" s="11"/>
      <c r="C45" s="87" t="s">
        <v>16</v>
      </c>
      <c r="D45" s="24">
        <v>1970</v>
      </c>
      <c r="E45" s="24"/>
      <c r="F45" s="24">
        <v>123.99299999999999</v>
      </c>
      <c r="G45" s="24">
        <v>70.599999999999994</v>
      </c>
    </row>
    <row r="46" spans="1:7" ht="14.4" hidden="1" customHeight="1" outlineLevel="2">
      <c r="B46" s="10"/>
      <c r="C46" s="88">
        <v>0.05</v>
      </c>
      <c r="D46" s="22">
        <v>1973</v>
      </c>
      <c r="E46" s="22"/>
      <c r="F46" s="22">
        <v>333.722949999999</v>
      </c>
      <c r="G46" s="22">
        <v>72</v>
      </c>
    </row>
    <row r="47" spans="1:7" ht="14.4" hidden="1" customHeight="1" outlineLevel="2">
      <c r="B47" s="10"/>
      <c r="C47" s="89">
        <v>0.25</v>
      </c>
      <c r="D47" s="24">
        <v>1985.25</v>
      </c>
      <c r="E47" s="24"/>
      <c r="F47" s="24">
        <v>1038.357</v>
      </c>
      <c r="G47" s="24">
        <v>75.525000000000006</v>
      </c>
    </row>
    <row r="48" spans="1:7" ht="14.4" hidden="1" customHeight="1" outlineLevel="2">
      <c r="B48" s="10"/>
      <c r="C48" s="88">
        <v>0.5</v>
      </c>
      <c r="D48" s="22">
        <v>1998</v>
      </c>
      <c r="E48" s="22"/>
      <c r="F48" s="22">
        <v>2295.578</v>
      </c>
      <c r="G48" s="22">
        <v>78.099999999999994</v>
      </c>
    </row>
    <row r="49" spans="1:7" ht="14.4" hidden="1" customHeight="1" outlineLevel="2">
      <c r="B49" s="10"/>
      <c r="C49" s="89">
        <v>0.75</v>
      </c>
      <c r="D49" s="24">
        <v>2009</v>
      </c>
      <c r="E49" s="24"/>
      <c r="F49" s="24">
        <v>4055.61</v>
      </c>
      <c r="G49" s="24">
        <v>80.574999999999903</v>
      </c>
    </row>
    <row r="50" spans="1:7" ht="14.4" hidden="1" customHeight="1" outlineLevel="2">
      <c r="B50" s="10"/>
      <c r="C50" s="88">
        <v>0.95</v>
      </c>
      <c r="D50" s="22">
        <v>2018</v>
      </c>
      <c r="E50" s="22"/>
      <c r="F50" s="22">
        <v>7018.6184999999896</v>
      </c>
      <c r="G50" s="22">
        <v>82.734999999999999</v>
      </c>
    </row>
    <row r="51" spans="1:7" ht="14.4" hidden="1" customHeight="1" outlineLevel="2">
      <c r="B51" s="10"/>
      <c r="C51" s="89" t="s">
        <v>17</v>
      </c>
      <c r="D51" s="24">
        <v>2020</v>
      </c>
      <c r="E51" s="24"/>
      <c r="F51" s="24">
        <v>11859.179</v>
      </c>
      <c r="G51" s="24">
        <v>84.7</v>
      </c>
    </row>
    <row r="52" spans="1:7" ht="14.4" hidden="1" customHeight="1" outlineLevel="2">
      <c r="B52" s="10"/>
      <c r="C52" s="90" t="s">
        <v>18</v>
      </c>
      <c r="D52" s="22">
        <v>50</v>
      </c>
      <c r="E52" s="22"/>
      <c r="F52" s="22">
        <v>11735.186</v>
      </c>
      <c r="G52" s="22">
        <v>14.1</v>
      </c>
    </row>
    <row r="53" spans="1:7" ht="14.4" hidden="1" customHeight="1" outlineLevel="2">
      <c r="B53" s="18"/>
      <c r="C53" s="91" t="s">
        <v>19</v>
      </c>
      <c r="D53" s="24">
        <v>23.75</v>
      </c>
      <c r="E53" s="24"/>
      <c r="F53" s="24">
        <v>3017.2530000000002</v>
      </c>
      <c r="G53" s="24">
        <v>5.0499999999999803</v>
      </c>
    </row>
    <row r="54" spans="1:7" ht="4.95" hidden="1" customHeight="1" outlineLevel="2">
      <c r="B54" s="18"/>
      <c r="D54" s="7"/>
      <c r="E54" s="7"/>
      <c r="F54" s="7"/>
      <c r="G54" s="7"/>
    </row>
    <row r="55" spans="1:7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</row>
    <row r="56" spans="1:7" ht="4.95" customHeight="1" outlineLevel="1">
      <c r="A56" s="30"/>
      <c r="B56" s="20"/>
      <c r="D56" s="7"/>
      <c r="E56" s="7"/>
      <c r="F56" s="7"/>
      <c r="G56" s="7"/>
    </row>
    <row r="57" spans="1:7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</row>
    <row r="58" spans="1:7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</row>
    <row r="59" spans="1:7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</row>
    <row r="60" spans="1:7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</row>
    <row r="61" spans="1:7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</row>
    <row r="62" spans="1:7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</row>
    <row r="63" spans="1:7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</row>
    <row r="64" spans="1:7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</row>
    <row r="65" spans="1:8" ht="4.95" hidden="1" customHeight="1" outlineLevel="2">
      <c r="B65" s="15"/>
      <c r="D65" s="7"/>
      <c r="E65" s="7"/>
      <c r="F65" s="7"/>
      <c r="G65" s="7"/>
    </row>
    <row r="66" spans="1:8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</row>
    <row r="67" spans="1:8" ht="4.95" customHeight="1">
      <c r="A67" s="30"/>
      <c r="B67" s="8"/>
      <c r="C67" s="9"/>
      <c r="D67" s="7"/>
      <c r="E67" s="7"/>
      <c r="F67" s="7"/>
      <c r="G67" s="7"/>
    </row>
    <row r="68" spans="1:8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5"/>
      <c r="C77" s="27"/>
      <c r="D77" s="28"/>
      <c r="E77" s="28"/>
      <c r="F77" s="28"/>
      <c r="G77" s="28"/>
    </row>
    <row r="78" spans="1:8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111" t="s">
        <v>20</v>
      </c>
    </row>
    <row r="79" spans="1:8">
      <c r="C79" s="31" t="b">
        <v>0</v>
      </c>
      <c r="D79" s="32">
        <v>1970</v>
      </c>
      <c r="E79" s="32" t="s">
        <v>63</v>
      </c>
      <c r="F79" s="32">
        <v>252.31100000000001</v>
      </c>
      <c r="G79" s="32">
        <v>70.599999999999994</v>
      </c>
      <c r="H79" s="67">
        <v>3.58896988562701E+18</v>
      </c>
    </row>
    <row r="80" spans="1:8">
      <c r="C80" s="31" t="b">
        <v>0</v>
      </c>
      <c r="D80" s="32">
        <v>1970</v>
      </c>
      <c r="E80" s="32" t="s">
        <v>64</v>
      </c>
      <c r="F80" s="32">
        <v>192.143</v>
      </c>
      <c r="G80" s="32">
        <v>72.2</v>
      </c>
      <c r="H80" s="67">
        <v>1.03735211023388E+19</v>
      </c>
    </row>
    <row r="81" spans="3:8">
      <c r="C81" s="31" t="b">
        <v>0</v>
      </c>
      <c r="D81" s="32">
        <v>1970</v>
      </c>
      <c r="E81" s="32" t="s">
        <v>65</v>
      </c>
      <c r="F81" s="32">
        <v>123.99299999999999</v>
      </c>
      <c r="G81" s="32">
        <v>71.900000000000006</v>
      </c>
      <c r="H81" s="67">
        <v>9.9027192939310797E+18</v>
      </c>
    </row>
    <row r="82" spans="3:8">
      <c r="C82" s="31" t="b">
        <v>0</v>
      </c>
      <c r="D82" s="32">
        <v>1970</v>
      </c>
      <c r="E82" s="32" t="s">
        <v>61</v>
      </c>
      <c r="F82" s="32">
        <v>150.43700000000001</v>
      </c>
      <c r="G82" s="32">
        <v>72</v>
      </c>
      <c r="H82" s="67">
        <v>8.9088863289189396E+18</v>
      </c>
    </row>
    <row r="83" spans="3:8">
      <c r="C83" s="31" t="b">
        <v>0</v>
      </c>
      <c r="D83" s="32">
        <v>1970</v>
      </c>
      <c r="E83" s="32" t="s">
        <v>66</v>
      </c>
      <c r="F83" s="32">
        <v>326.96100000000001</v>
      </c>
      <c r="G83" s="32">
        <v>70.900000000000006</v>
      </c>
      <c r="H83" s="67">
        <v>5.8861976968540303E+18</v>
      </c>
    </row>
    <row r="84" spans="3:8">
      <c r="C84" s="31" t="b">
        <v>0</v>
      </c>
      <c r="D84" s="32">
        <v>1971</v>
      </c>
      <c r="E84" s="32" t="s">
        <v>67</v>
      </c>
      <c r="F84" s="32">
        <v>313.39100000000002</v>
      </c>
      <c r="G84" s="32">
        <v>72.8</v>
      </c>
      <c r="H84" s="67">
        <v>1.12449185885283E+19</v>
      </c>
    </row>
    <row r="85" spans="3:8">
      <c r="C85" s="31" t="b">
        <v>0</v>
      </c>
      <c r="D85" s="32">
        <v>1971</v>
      </c>
      <c r="E85" s="32" t="s">
        <v>63</v>
      </c>
      <c r="F85" s="32">
        <v>298.25099999999998</v>
      </c>
      <c r="G85" s="32">
        <v>70.8</v>
      </c>
      <c r="H85" s="67">
        <v>1.54248992083951E+19</v>
      </c>
    </row>
    <row r="86" spans="3:8">
      <c r="C86" s="31" t="b">
        <v>0</v>
      </c>
      <c r="D86" s="32">
        <v>1971</v>
      </c>
      <c r="E86" s="32" t="s">
        <v>65</v>
      </c>
      <c r="F86" s="32">
        <v>134.172</v>
      </c>
      <c r="G86" s="32">
        <v>71.900000000000006</v>
      </c>
      <c r="H86" s="67">
        <v>1.0820562811498101E+19</v>
      </c>
    </row>
    <row r="87" spans="3:8">
      <c r="C87" s="31" t="b">
        <v>0</v>
      </c>
      <c r="D87" s="32">
        <v>1971</v>
      </c>
      <c r="E87" s="32" t="s">
        <v>61</v>
      </c>
      <c r="F87" s="32">
        <v>163.85400000000001</v>
      </c>
      <c r="G87" s="32">
        <v>72.900000000000006</v>
      </c>
      <c r="H87" s="67">
        <v>2.8792274012047601E+18</v>
      </c>
    </row>
    <row r="88" spans="3:8">
      <c r="C88" s="31" t="b">
        <v>0</v>
      </c>
      <c r="D88" s="32">
        <v>1971</v>
      </c>
      <c r="E88" s="32" t="s">
        <v>66</v>
      </c>
      <c r="F88" s="32">
        <v>357.988</v>
      </c>
      <c r="G88" s="32">
        <v>71.2</v>
      </c>
      <c r="H88" s="67">
        <v>2.6366280786390001E+18</v>
      </c>
    </row>
    <row r="89" spans="3:8">
      <c r="C89" s="31" t="b">
        <v>0</v>
      </c>
      <c r="D89" s="32">
        <v>1972</v>
      </c>
      <c r="E89" s="32" t="s">
        <v>63</v>
      </c>
      <c r="F89" s="32">
        <v>337.36399999999998</v>
      </c>
      <c r="G89" s="32">
        <v>71</v>
      </c>
      <c r="H89" s="67">
        <v>6.6506719628192205E+18</v>
      </c>
    </row>
    <row r="90" spans="3:8">
      <c r="C90" s="31" t="b">
        <v>0</v>
      </c>
      <c r="D90" s="32">
        <v>1972</v>
      </c>
      <c r="E90" s="32" t="s">
        <v>61</v>
      </c>
      <c r="F90" s="32">
        <v>185.39</v>
      </c>
      <c r="G90" s="32">
        <v>73.2</v>
      </c>
      <c r="H90" s="67">
        <v>1.4784737285361601E+19</v>
      </c>
    </row>
    <row r="91" spans="3:8">
      <c r="C91" s="31" t="b">
        <v>0</v>
      </c>
      <c r="D91" s="32">
        <v>1972</v>
      </c>
      <c r="E91" s="32" t="s">
        <v>66</v>
      </c>
      <c r="F91" s="32">
        <v>397.09699999999998</v>
      </c>
      <c r="G91" s="32">
        <v>71.2</v>
      </c>
      <c r="H91" s="67">
        <v>1.7475165259473101E+19</v>
      </c>
    </row>
    <row r="92" spans="3:8">
      <c r="C92" s="31" t="b">
        <v>0</v>
      </c>
      <c r="D92" s="32">
        <v>1973</v>
      </c>
      <c r="E92" s="32" t="s">
        <v>63</v>
      </c>
      <c r="F92" s="32">
        <v>384.541</v>
      </c>
      <c r="G92" s="32">
        <v>71.3</v>
      </c>
      <c r="H92" s="67">
        <v>2.8892058955490601E+18</v>
      </c>
    </row>
    <row r="93" spans="3:8">
      <c r="C93" s="31" t="b">
        <v>0</v>
      </c>
      <c r="D93" s="32">
        <v>1973</v>
      </c>
      <c r="E93" s="32" t="s">
        <v>61</v>
      </c>
      <c r="F93" s="32">
        <v>205.77799999999999</v>
      </c>
      <c r="G93" s="32">
        <v>73.400000000000006</v>
      </c>
      <c r="H93" s="67">
        <v>1.78110098992854E+19</v>
      </c>
    </row>
    <row r="94" spans="3:8">
      <c r="C94" s="31" t="b">
        <v>0</v>
      </c>
      <c r="D94" s="32">
        <v>1973</v>
      </c>
      <c r="E94" s="32" t="s">
        <v>66</v>
      </c>
      <c r="F94" s="32">
        <v>439.30200000000002</v>
      </c>
      <c r="G94" s="32">
        <v>71.400000000000006</v>
      </c>
      <c r="H94" s="67">
        <v>3.3972702781399199E+18</v>
      </c>
    </row>
    <row r="95" spans="3:8">
      <c r="C95" s="31" t="b">
        <v>0</v>
      </c>
      <c r="D95" s="32">
        <v>1974</v>
      </c>
      <c r="E95" s="32" t="s">
        <v>63</v>
      </c>
      <c r="F95" s="32">
        <v>452.74400000000003</v>
      </c>
      <c r="G95" s="32">
        <v>71.5</v>
      </c>
      <c r="H95" s="67">
        <v>1.72837409292394E+19</v>
      </c>
    </row>
    <row r="96" spans="3:8">
      <c r="C96" s="31" t="b">
        <v>0</v>
      </c>
      <c r="D96" s="32">
        <v>1974</v>
      </c>
      <c r="E96" s="32" t="s">
        <v>61</v>
      </c>
      <c r="F96" s="32">
        <v>242.018</v>
      </c>
      <c r="G96" s="32">
        <v>73.7</v>
      </c>
      <c r="H96" s="67">
        <v>1.3303150969589201E+19</v>
      </c>
    </row>
    <row r="97" spans="3:8">
      <c r="C97" s="31" t="b">
        <v>0</v>
      </c>
      <c r="D97" s="32">
        <v>1974</v>
      </c>
      <c r="E97" s="32" t="s">
        <v>66</v>
      </c>
      <c r="F97" s="32">
        <v>495.11399999999998</v>
      </c>
      <c r="G97" s="32">
        <v>72</v>
      </c>
      <c r="H97" s="67">
        <v>1.6893057821715599E+19</v>
      </c>
    </row>
    <row r="98" spans="3:8">
      <c r="C98" s="31" t="b">
        <v>0</v>
      </c>
      <c r="D98" s="32">
        <v>1975</v>
      </c>
      <c r="E98" s="32" t="s">
        <v>63</v>
      </c>
      <c r="F98" s="32">
        <v>532.48099999999999</v>
      </c>
      <c r="G98" s="32">
        <v>71.400000000000006</v>
      </c>
      <c r="H98" s="67">
        <v>6.2963288674792305E+18</v>
      </c>
    </row>
    <row r="99" spans="3:8">
      <c r="C99" s="31" t="b">
        <v>0</v>
      </c>
      <c r="D99" s="32">
        <v>1975</v>
      </c>
      <c r="E99" s="32" t="s">
        <v>64</v>
      </c>
      <c r="F99" s="32">
        <v>363.61</v>
      </c>
      <c r="G99" s="32">
        <v>73</v>
      </c>
      <c r="H99" s="67">
        <v>1.44751952187724E+19</v>
      </c>
    </row>
    <row r="100" spans="3:8">
      <c r="C100" s="31" t="b">
        <v>0</v>
      </c>
      <c r="D100" s="32">
        <v>1975</v>
      </c>
      <c r="E100" s="32" t="s">
        <v>61</v>
      </c>
      <c r="F100" s="32">
        <v>284.26900000000001</v>
      </c>
      <c r="G100" s="32">
        <v>74.3</v>
      </c>
      <c r="H100" s="67">
        <v>8.4843121897661901E+17</v>
      </c>
    </row>
    <row r="101" spans="3:8">
      <c r="C101" s="31" t="b">
        <v>0</v>
      </c>
      <c r="D101" s="32">
        <v>1975</v>
      </c>
      <c r="E101" s="32" t="s">
        <v>66</v>
      </c>
      <c r="F101" s="32">
        <v>560.75</v>
      </c>
      <c r="G101" s="32">
        <v>72.7</v>
      </c>
      <c r="H101" s="67">
        <v>1.0898301373076601E+19</v>
      </c>
    </row>
    <row r="102" spans="3:8">
      <c r="C102" s="31" t="b">
        <v>0</v>
      </c>
      <c r="D102" s="32">
        <v>1976</v>
      </c>
      <c r="E102" s="32" t="s">
        <v>67</v>
      </c>
      <c r="F102" s="32">
        <v>543.33699999999999</v>
      </c>
      <c r="G102" s="32">
        <v>73.8</v>
      </c>
      <c r="H102" s="67">
        <v>1.60751509366411E+19</v>
      </c>
    </row>
    <row r="103" spans="3:8">
      <c r="C103" s="31" t="b">
        <v>0</v>
      </c>
      <c r="D103" s="32">
        <v>1976</v>
      </c>
      <c r="E103" s="32" t="s">
        <v>63</v>
      </c>
      <c r="F103" s="32">
        <v>591.09799999999996</v>
      </c>
      <c r="G103" s="32">
        <v>71.8</v>
      </c>
      <c r="H103" s="67">
        <v>6.8998874259074099E+18</v>
      </c>
    </row>
    <row r="104" spans="3:8">
      <c r="C104" s="31" t="b">
        <v>0</v>
      </c>
      <c r="D104" s="32">
        <v>1976</v>
      </c>
      <c r="E104" s="32" t="s">
        <v>61</v>
      </c>
      <c r="F104" s="32">
        <v>303.72500000000002</v>
      </c>
      <c r="G104" s="32">
        <v>74.8</v>
      </c>
      <c r="H104" s="67">
        <v>8.0154498260711004E+18</v>
      </c>
    </row>
    <row r="105" spans="3:8">
      <c r="C105" s="31" t="b">
        <v>0</v>
      </c>
      <c r="D105" s="32">
        <v>1976</v>
      </c>
      <c r="E105" s="32" t="s">
        <v>66</v>
      </c>
      <c r="F105" s="32">
        <v>638.851</v>
      </c>
      <c r="G105" s="32">
        <v>72.900000000000006</v>
      </c>
      <c r="H105" s="67">
        <v>1.1850914545038E+19</v>
      </c>
    </row>
    <row r="106" spans="3:8">
      <c r="C106" s="31" t="b">
        <v>0</v>
      </c>
      <c r="D106" s="32">
        <v>1977</v>
      </c>
      <c r="E106" s="32" t="s">
        <v>63</v>
      </c>
      <c r="F106" s="32">
        <v>647.35199999999998</v>
      </c>
      <c r="G106" s="32">
        <v>72.5</v>
      </c>
      <c r="H106" s="67">
        <v>1.5464627789224499E+18</v>
      </c>
    </row>
    <row r="107" spans="3:8">
      <c r="C107" s="31" t="b">
        <v>0</v>
      </c>
      <c r="D107" s="32">
        <v>1977</v>
      </c>
      <c r="E107" s="32" t="s">
        <v>61</v>
      </c>
      <c r="F107" s="32">
        <v>340.62799999999999</v>
      </c>
      <c r="G107" s="32">
        <v>75.3</v>
      </c>
      <c r="H107" s="67">
        <v>1.6998449003383599E+19</v>
      </c>
    </row>
    <row r="108" spans="3:8">
      <c r="C108" s="31" t="b">
        <v>0</v>
      </c>
      <c r="D108" s="32">
        <v>1977</v>
      </c>
      <c r="E108" s="32" t="s">
        <v>66</v>
      </c>
      <c r="F108" s="32">
        <v>726.24099999999999</v>
      </c>
      <c r="G108" s="32">
        <v>73.3</v>
      </c>
      <c r="H108" s="67">
        <v>2.10010567705933E+18</v>
      </c>
    </row>
    <row r="109" spans="3:8">
      <c r="C109" s="31" t="b">
        <v>0</v>
      </c>
      <c r="D109" s="32">
        <v>1978</v>
      </c>
      <c r="E109" s="32" t="s">
        <v>63</v>
      </c>
      <c r="F109" s="32">
        <v>729.45699999999999</v>
      </c>
      <c r="G109" s="32">
        <v>72.400000000000006</v>
      </c>
      <c r="H109" s="67">
        <v>8.4330628217379205E+18</v>
      </c>
    </row>
    <row r="110" spans="3:8">
      <c r="C110" s="31" t="b">
        <v>0</v>
      </c>
      <c r="D110" s="32">
        <v>1978</v>
      </c>
      <c r="E110" s="32" t="s">
        <v>61</v>
      </c>
      <c r="F110" s="32">
        <v>392.577</v>
      </c>
      <c r="G110" s="32">
        <v>75.7</v>
      </c>
      <c r="H110" s="67">
        <v>7.2028860631299901E+18</v>
      </c>
    </row>
    <row r="111" spans="3:8">
      <c r="C111" s="31" t="b">
        <v>0</v>
      </c>
      <c r="D111" s="32">
        <v>1978</v>
      </c>
      <c r="E111" s="32" t="s">
        <v>66</v>
      </c>
      <c r="F111" s="32">
        <v>808.88400000000001</v>
      </c>
      <c r="G111" s="32">
        <v>73.5</v>
      </c>
      <c r="H111" s="67">
        <v>1.0457844199012399E+19</v>
      </c>
    </row>
    <row r="112" spans="3:8">
      <c r="C112" s="31" t="b">
        <v>0</v>
      </c>
      <c r="D112" s="32">
        <v>1979</v>
      </c>
      <c r="E112" s="32" t="s">
        <v>67</v>
      </c>
      <c r="F112" s="32">
        <v>692.26900000000001</v>
      </c>
      <c r="G112" s="32">
        <v>75.099999999999994</v>
      </c>
      <c r="H112" s="67">
        <v>7.47092500620625E+18</v>
      </c>
    </row>
    <row r="113" spans="3:8">
      <c r="C113" s="31" t="b">
        <v>0</v>
      </c>
      <c r="D113" s="32">
        <v>1979</v>
      </c>
      <c r="E113" s="32" t="s">
        <v>63</v>
      </c>
      <c r="F113" s="32">
        <v>800.70299999999997</v>
      </c>
      <c r="G113" s="32">
        <v>72.8</v>
      </c>
      <c r="H113" s="67">
        <v>1.7809636198047199E+19</v>
      </c>
    </row>
    <row r="114" spans="3:8">
      <c r="C114" s="31" t="b">
        <v>0</v>
      </c>
      <c r="D114" s="32">
        <v>1979</v>
      </c>
      <c r="E114" s="32" t="s">
        <v>61</v>
      </c>
      <c r="F114" s="32">
        <v>452.93099999999998</v>
      </c>
      <c r="G114" s="32">
        <v>76.2</v>
      </c>
      <c r="H114" s="67">
        <v>1.0732442831826999E+19</v>
      </c>
    </row>
    <row r="115" spans="3:8">
      <c r="C115" s="31" t="b">
        <v>0</v>
      </c>
      <c r="D115" s="32">
        <v>1979</v>
      </c>
      <c r="E115" s="32" t="s">
        <v>66</v>
      </c>
      <c r="F115" s="32">
        <v>908.96299999999997</v>
      </c>
      <c r="G115" s="32">
        <v>73.900000000000006</v>
      </c>
      <c r="H115" s="67">
        <v>1.5702278542296101E+19</v>
      </c>
    </row>
    <row r="116" spans="3:8">
      <c r="C116" s="31" t="b">
        <v>0</v>
      </c>
      <c r="D116" s="32">
        <v>1980</v>
      </c>
      <c r="E116" s="32" t="s">
        <v>67</v>
      </c>
      <c r="F116" s="32">
        <v>791.81200000000001</v>
      </c>
      <c r="G116" s="32">
        <v>75.2</v>
      </c>
      <c r="H116" s="67">
        <v>9.7169110477748198E+17</v>
      </c>
    </row>
    <row r="117" spans="3:8">
      <c r="C117" s="31" t="b">
        <v>0</v>
      </c>
      <c r="D117" s="32">
        <v>1980</v>
      </c>
      <c r="E117" s="32" t="s">
        <v>63</v>
      </c>
      <c r="F117" s="32">
        <v>908.16600000000005</v>
      </c>
      <c r="G117" s="32">
        <v>72.900000000000006</v>
      </c>
      <c r="H117" s="67">
        <v>1.0967637055923401E+19</v>
      </c>
    </row>
    <row r="118" spans="3:8">
      <c r="C118" s="31" t="b">
        <v>0</v>
      </c>
      <c r="D118" s="32">
        <v>1980</v>
      </c>
      <c r="E118" s="32" t="s">
        <v>64</v>
      </c>
      <c r="F118" s="32">
        <v>659.82600000000002</v>
      </c>
      <c r="G118" s="32">
        <v>74.3</v>
      </c>
      <c r="H118" s="67">
        <v>4.7904618482768998E+18</v>
      </c>
    </row>
    <row r="119" spans="3:8">
      <c r="C119" s="31" t="b">
        <v>0</v>
      </c>
      <c r="D119" s="32">
        <v>1980</v>
      </c>
      <c r="E119" s="32" t="s">
        <v>65</v>
      </c>
      <c r="F119" s="32">
        <v>385.09899999999999</v>
      </c>
      <c r="G119" s="32">
        <v>73.2</v>
      </c>
      <c r="H119" s="67">
        <v>3.9714969727436201E+18</v>
      </c>
    </row>
    <row r="120" spans="3:8">
      <c r="C120" s="31" t="b">
        <v>0</v>
      </c>
      <c r="D120" s="32">
        <v>1980</v>
      </c>
      <c r="E120" s="32" t="s">
        <v>61</v>
      </c>
      <c r="F120" s="32">
        <v>535.01599999999996</v>
      </c>
      <c r="G120" s="32">
        <v>76.099999999999994</v>
      </c>
      <c r="H120" s="67">
        <v>5.2992248693453998E+18</v>
      </c>
    </row>
    <row r="121" spans="3:8">
      <c r="C121" s="31" t="b">
        <v>0</v>
      </c>
      <c r="D121" s="32">
        <v>1980</v>
      </c>
      <c r="E121" s="32" t="s">
        <v>66</v>
      </c>
      <c r="F121" s="32">
        <v>1036.3</v>
      </c>
      <c r="G121" s="32">
        <v>73.7</v>
      </c>
      <c r="H121" s="67">
        <v>1.82248012905413E+19</v>
      </c>
    </row>
    <row r="122" spans="3:8">
      <c r="C122" s="31" t="b">
        <v>0</v>
      </c>
      <c r="D122" s="32">
        <v>1981</v>
      </c>
      <c r="E122" s="32" t="s">
        <v>67</v>
      </c>
      <c r="F122" s="32">
        <v>898.80700000000002</v>
      </c>
      <c r="G122" s="32">
        <v>75.5</v>
      </c>
      <c r="H122" s="67">
        <v>1.4796960874959901E+19</v>
      </c>
    </row>
    <row r="123" spans="3:8">
      <c r="C123" s="31" t="b">
        <v>0</v>
      </c>
      <c r="D123" s="32">
        <v>1981</v>
      </c>
      <c r="E123" s="32" t="s">
        <v>63</v>
      </c>
      <c r="F123" s="32">
        <v>1014.713</v>
      </c>
      <c r="G123" s="32">
        <v>73.2</v>
      </c>
      <c r="H123" s="67">
        <v>1.6371099077557701E+19</v>
      </c>
    </row>
    <row r="124" spans="3:8">
      <c r="C124" s="31" t="b">
        <v>0</v>
      </c>
      <c r="D124" s="32">
        <v>1981</v>
      </c>
      <c r="E124" s="32" t="s">
        <v>65</v>
      </c>
      <c r="F124" s="32">
        <v>433.95699999999999</v>
      </c>
      <c r="G124" s="32">
        <v>73.8</v>
      </c>
      <c r="H124" s="67">
        <v>9.7032908383811502E+18</v>
      </c>
    </row>
    <row r="125" spans="3:8">
      <c r="C125" s="31" t="b">
        <v>0</v>
      </c>
      <c r="D125" s="32">
        <v>1981</v>
      </c>
      <c r="E125" s="32" t="s">
        <v>61</v>
      </c>
      <c r="F125" s="32">
        <v>603.96500000000003</v>
      </c>
      <c r="G125" s="32">
        <v>76.5</v>
      </c>
      <c r="H125" s="67">
        <v>4.7188874661853696E+18</v>
      </c>
    </row>
    <row r="126" spans="3:8">
      <c r="C126" s="31" t="b">
        <v>0</v>
      </c>
      <c r="D126" s="32">
        <v>1981</v>
      </c>
      <c r="E126" s="32" t="s">
        <v>66</v>
      </c>
      <c r="F126" s="32">
        <v>1191.537</v>
      </c>
      <c r="G126" s="32">
        <v>74.099999999999994</v>
      </c>
      <c r="H126" s="67">
        <v>3.4247622345872901E+18</v>
      </c>
    </row>
    <row r="127" spans="3:8">
      <c r="C127" s="31" t="b">
        <v>0</v>
      </c>
      <c r="D127" s="32">
        <v>1982</v>
      </c>
      <c r="E127" s="32" t="s">
        <v>67</v>
      </c>
      <c r="F127" s="32">
        <v>996.08600000000001</v>
      </c>
      <c r="G127" s="32">
        <v>75.599999999999994</v>
      </c>
      <c r="H127" s="67">
        <v>4.4051620736205901E+18</v>
      </c>
    </row>
    <row r="128" spans="3:8">
      <c r="C128" s="31" t="b">
        <v>0</v>
      </c>
      <c r="D128" s="32">
        <v>1982</v>
      </c>
      <c r="E128" s="32" t="s">
        <v>63</v>
      </c>
      <c r="F128" s="32">
        <v>1044.528</v>
      </c>
      <c r="G128" s="32">
        <v>73.5</v>
      </c>
      <c r="H128" s="67">
        <v>1.48316736501387E+19</v>
      </c>
    </row>
    <row r="129" spans="3:8">
      <c r="C129" s="31" t="b">
        <v>0</v>
      </c>
      <c r="D129" s="32">
        <v>1982</v>
      </c>
      <c r="E129" s="32" t="s">
        <v>65</v>
      </c>
      <c r="F129" s="32">
        <v>448.47699999999998</v>
      </c>
      <c r="G129" s="32">
        <v>74.099999999999994</v>
      </c>
      <c r="H129" s="67">
        <v>9.5664436374962606E+18</v>
      </c>
    </row>
    <row r="130" spans="3:8">
      <c r="C130" s="31" t="b">
        <v>0</v>
      </c>
      <c r="D130" s="32">
        <v>1982</v>
      </c>
      <c r="E130" s="32" t="s">
        <v>61</v>
      </c>
      <c r="F130" s="32">
        <v>664.77700000000004</v>
      </c>
      <c r="G130" s="32">
        <v>76.900000000000006</v>
      </c>
      <c r="H130" s="67">
        <v>3.56207907173329E+18</v>
      </c>
    </row>
    <row r="131" spans="3:8">
      <c r="C131" s="31" t="b">
        <v>0</v>
      </c>
      <c r="D131" s="32">
        <v>1982</v>
      </c>
      <c r="E131" s="32" t="s">
        <v>66</v>
      </c>
      <c r="F131" s="32">
        <v>1329.6690000000001</v>
      </c>
      <c r="G131" s="32">
        <v>74.5</v>
      </c>
      <c r="H131" s="67">
        <v>3.8140470100906998E+18</v>
      </c>
    </row>
    <row r="132" spans="3:8">
      <c r="C132" s="31" t="b">
        <v>0</v>
      </c>
      <c r="D132" s="32">
        <v>1983</v>
      </c>
      <c r="E132" s="32" t="s">
        <v>67</v>
      </c>
      <c r="F132" s="32">
        <v>1066.7460000000001</v>
      </c>
      <c r="G132" s="32">
        <v>75.900000000000006</v>
      </c>
      <c r="H132" s="67">
        <v>6.8885706866232699E+18</v>
      </c>
    </row>
    <row r="133" spans="3:8">
      <c r="C133" s="31" t="b">
        <v>0</v>
      </c>
      <c r="D133" s="32">
        <v>1983</v>
      </c>
      <c r="E133" s="32" t="s">
        <v>63</v>
      </c>
      <c r="F133" s="32">
        <v>1104.5940000000001</v>
      </c>
      <c r="G133" s="32">
        <v>73.8</v>
      </c>
      <c r="H133" s="67">
        <v>1.1785581144874101E+19</v>
      </c>
    </row>
    <row r="134" spans="3:8">
      <c r="C134" s="31" t="b">
        <v>0</v>
      </c>
      <c r="D134" s="32">
        <v>1983</v>
      </c>
      <c r="E134" s="32" t="s">
        <v>65</v>
      </c>
      <c r="F134" s="32">
        <v>501.92399999999998</v>
      </c>
      <c r="G134" s="32">
        <v>74.3</v>
      </c>
      <c r="H134" s="67">
        <v>8.1750499067804099E+18</v>
      </c>
    </row>
    <row r="135" spans="3:8">
      <c r="C135" s="31" t="b">
        <v>0</v>
      </c>
      <c r="D135" s="32">
        <v>1983</v>
      </c>
      <c r="E135" s="32" t="s">
        <v>61</v>
      </c>
      <c r="F135" s="32">
        <v>714.85699999999997</v>
      </c>
      <c r="G135" s="32">
        <v>77</v>
      </c>
      <c r="H135" s="67">
        <v>1.00586412395271E+19</v>
      </c>
    </row>
    <row r="136" spans="3:8">
      <c r="C136" s="31" t="b">
        <v>0</v>
      </c>
      <c r="D136" s="32">
        <v>1983</v>
      </c>
      <c r="E136" s="32" t="s">
        <v>66</v>
      </c>
      <c r="F136" s="32">
        <v>1451.9449999999999</v>
      </c>
      <c r="G136" s="32">
        <v>74.599999999999994</v>
      </c>
      <c r="H136" s="67">
        <v>1.2558988622861099E+19</v>
      </c>
    </row>
    <row r="137" spans="3:8">
      <c r="C137" s="31" t="b">
        <v>0</v>
      </c>
      <c r="D137" s="32">
        <v>1984</v>
      </c>
      <c r="E137" s="32" t="s">
        <v>67</v>
      </c>
      <c r="F137" s="32">
        <v>1135.02</v>
      </c>
      <c r="G137" s="32">
        <v>76.2</v>
      </c>
      <c r="H137" s="67">
        <v>1.1919987813019699E+19</v>
      </c>
    </row>
    <row r="138" spans="3:8">
      <c r="C138" s="31" t="b">
        <v>0</v>
      </c>
      <c r="D138" s="32">
        <v>1984</v>
      </c>
      <c r="E138" s="32" t="s">
        <v>63</v>
      </c>
      <c r="F138" s="32">
        <v>1196.56</v>
      </c>
      <c r="G138" s="32">
        <v>74.3</v>
      </c>
      <c r="H138" s="67">
        <v>1.1746832966836799E+19</v>
      </c>
    </row>
    <row r="139" spans="3:8">
      <c r="C139" s="31" t="b">
        <v>0</v>
      </c>
      <c r="D139" s="32">
        <v>1984</v>
      </c>
      <c r="E139" s="32" t="s">
        <v>65</v>
      </c>
      <c r="F139" s="32">
        <v>521.52200000000005</v>
      </c>
      <c r="G139" s="32">
        <v>74.5</v>
      </c>
      <c r="H139" s="67">
        <v>1.7123920002198301E+19</v>
      </c>
    </row>
    <row r="140" spans="3:8">
      <c r="C140" s="31" t="b">
        <v>0</v>
      </c>
      <c r="D140" s="32">
        <v>1984</v>
      </c>
      <c r="E140" s="32" t="s">
        <v>61</v>
      </c>
      <c r="F140" s="32">
        <v>745.98099999999999</v>
      </c>
      <c r="G140" s="32">
        <v>77.400000000000006</v>
      </c>
      <c r="H140" s="67">
        <v>1.2906436547854201E+19</v>
      </c>
    </row>
    <row r="141" spans="3:8">
      <c r="C141" s="31" t="b">
        <v>0</v>
      </c>
      <c r="D141" s="32">
        <v>1984</v>
      </c>
      <c r="E141" s="32" t="s">
        <v>66</v>
      </c>
      <c r="F141" s="32">
        <v>1590.6669999999999</v>
      </c>
      <c r="G141" s="32">
        <v>74.7</v>
      </c>
      <c r="H141" s="67">
        <v>1.6253888416707E+19</v>
      </c>
    </row>
    <row r="142" spans="3:8">
      <c r="C142" s="31" t="b">
        <v>0</v>
      </c>
      <c r="D142" s="32">
        <v>1985</v>
      </c>
      <c r="E142" s="32" t="s">
        <v>67</v>
      </c>
      <c r="F142" s="32">
        <v>1212.8499999999999</v>
      </c>
      <c r="G142" s="32">
        <v>76.3</v>
      </c>
      <c r="H142" s="67">
        <v>8.3574448353586401E+18</v>
      </c>
    </row>
    <row r="143" spans="3:8">
      <c r="C143" s="31" t="b">
        <v>0</v>
      </c>
      <c r="D143" s="32">
        <v>1985</v>
      </c>
      <c r="E143" s="32" t="s">
        <v>63</v>
      </c>
      <c r="F143" s="32">
        <v>1298.5550000000001</v>
      </c>
      <c r="G143" s="32">
        <v>75</v>
      </c>
      <c r="H143" s="67">
        <v>6.6891732537973699E+18</v>
      </c>
    </row>
    <row r="144" spans="3:8">
      <c r="C144" s="31" t="b">
        <v>0</v>
      </c>
      <c r="D144" s="32">
        <v>1985</v>
      </c>
      <c r="E144" s="32" t="s">
        <v>64</v>
      </c>
      <c r="F144" s="32">
        <v>1001.145</v>
      </c>
      <c r="G144" s="32">
        <v>75.400000000000006</v>
      </c>
      <c r="H144" s="67">
        <v>2.3076000455213998E+18</v>
      </c>
    </row>
    <row r="145" spans="3:8">
      <c r="C145" s="31" t="b">
        <v>0</v>
      </c>
      <c r="D145" s="32">
        <v>1985</v>
      </c>
      <c r="E145" s="32" t="s">
        <v>65</v>
      </c>
      <c r="F145" s="32">
        <v>549.60799999999995</v>
      </c>
      <c r="G145" s="32">
        <v>74.7</v>
      </c>
      <c r="H145" s="67">
        <v>1.0310963050480001E+19</v>
      </c>
    </row>
    <row r="146" spans="3:8">
      <c r="C146" s="31" t="b">
        <v>0</v>
      </c>
      <c r="D146" s="32">
        <v>1985</v>
      </c>
      <c r="E146" s="32" t="s">
        <v>61</v>
      </c>
      <c r="F146" s="32">
        <v>818.38199999999995</v>
      </c>
      <c r="G146" s="32">
        <v>77.599999999999994</v>
      </c>
      <c r="H146" s="67">
        <v>1.4056855889971499E+19</v>
      </c>
    </row>
    <row r="147" spans="3:8">
      <c r="C147" s="31" t="b">
        <v>0</v>
      </c>
      <c r="D147" s="32">
        <v>1985</v>
      </c>
      <c r="E147" s="32" t="s">
        <v>66</v>
      </c>
      <c r="F147" s="32">
        <v>1735.1559999999999</v>
      </c>
      <c r="G147" s="32">
        <v>74.7</v>
      </c>
      <c r="H147" s="67">
        <v>9.0634721017060803E+18</v>
      </c>
    </row>
    <row r="148" spans="3:8">
      <c r="C148" s="31" t="b">
        <v>0</v>
      </c>
      <c r="D148" s="32">
        <v>1986</v>
      </c>
      <c r="E148" s="32" t="s">
        <v>67</v>
      </c>
      <c r="F148" s="32">
        <v>1278.816</v>
      </c>
      <c r="G148" s="32">
        <v>76.5</v>
      </c>
      <c r="H148" s="67">
        <v>1.43309866579199E+19</v>
      </c>
    </row>
    <row r="149" spans="3:8">
      <c r="C149" s="31" t="b">
        <v>0</v>
      </c>
      <c r="D149" s="32">
        <v>1986</v>
      </c>
      <c r="E149" s="32" t="s">
        <v>63</v>
      </c>
      <c r="F149" s="32">
        <v>1386.51</v>
      </c>
      <c r="G149" s="32">
        <v>75.2</v>
      </c>
      <c r="H149" s="67">
        <v>1.27333359239657E+19</v>
      </c>
    </row>
    <row r="150" spans="3:8">
      <c r="C150" s="31" t="b">
        <v>0</v>
      </c>
      <c r="D150" s="32">
        <v>1986</v>
      </c>
      <c r="E150" s="32" t="s">
        <v>65</v>
      </c>
      <c r="F150" s="32">
        <v>578.61</v>
      </c>
      <c r="G150" s="32">
        <v>74.8</v>
      </c>
      <c r="H150" s="67">
        <v>1.2605829861972199E+19</v>
      </c>
    </row>
    <row r="151" spans="3:8">
      <c r="C151" s="31" t="b">
        <v>0</v>
      </c>
      <c r="D151" s="32">
        <v>1986</v>
      </c>
      <c r="E151" s="32" t="s">
        <v>61</v>
      </c>
      <c r="F151" s="32">
        <v>859.85500000000002</v>
      </c>
      <c r="G151" s="32">
        <v>78.099999999999994</v>
      </c>
      <c r="H151" s="67">
        <v>1.14458878000616E+19</v>
      </c>
    </row>
    <row r="152" spans="3:8">
      <c r="C152" s="31" t="b">
        <v>0</v>
      </c>
      <c r="D152" s="32">
        <v>1986</v>
      </c>
      <c r="E152" s="32" t="s">
        <v>66</v>
      </c>
      <c r="F152" s="32">
        <v>1847.7729999999999</v>
      </c>
      <c r="G152" s="32">
        <v>74.7</v>
      </c>
      <c r="H152" s="67">
        <v>5.1309537962389699E+18</v>
      </c>
    </row>
    <row r="153" spans="3:8">
      <c r="C153" s="31" t="b">
        <v>0</v>
      </c>
      <c r="D153" s="32">
        <v>1987</v>
      </c>
      <c r="E153" s="32" t="s">
        <v>67</v>
      </c>
      <c r="F153" s="32">
        <v>1357.453</v>
      </c>
      <c r="G153" s="32">
        <v>76.7</v>
      </c>
      <c r="H153" s="67">
        <v>1.7350317686080399E+19</v>
      </c>
    </row>
    <row r="154" spans="3:8">
      <c r="C154" s="31" t="b">
        <v>0</v>
      </c>
      <c r="D154" s="32">
        <v>1987</v>
      </c>
      <c r="E154" s="32" t="s">
        <v>63</v>
      </c>
      <c r="F154" s="32">
        <v>1480.096</v>
      </c>
      <c r="G154" s="32">
        <v>75.599999999999994</v>
      </c>
      <c r="H154" s="67">
        <v>7.1052344942025103E+18</v>
      </c>
    </row>
    <row r="155" spans="3:8">
      <c r="C155" s="31" t="b">
        <v>0</v>
      </c>
      <c r="D155" s="32">
        <v>1987</v>
      </c>
      <c r="E155" s="32" t="s">
        <v>65</v>
      </c>
      <c r="F155" s="32">
        <v>634.95600000000002</v>
      </c>
      <c r="G155" s="32">
        <v>75.2</v>
      </c>
      <c r="H155" s="67">
        <v>6.7012852552972104E+18</v>
      </c>
    </row>
    <row r="156" spans="3:8">
      <c r="C156" s="31" t="b">
        <v>0</v>
      </c>
      <c r="D156" s="32">
        <v>1987</v>
      </c>
      <c r="E156" s="32" t="s">
        <v>61</v>
      </c>
      <c r="F156" s="32">
        <v>916.70299999999997</v>
      </c>
      <c r="G156" s="32">
        <v>78.5</v>
      </c>
      <c r="H156" s="67">
        <v>1.1612299504464599E+18</v>
      </c>
    </row>
    <row r="157" spans="3:8">
      <c r="C157" s="31" t="b">
        <v>0</v>
      </c>
      <c r="D157" s="32">
        <v>1987</v>
      </c>
      <c r="E157" s="32" t="s">
        <v>66</v>
      </c>
      <c r="F157" s="32">
        <v>1976.1659999999999</v>
      </c>
      <c r="G157" s="32">
        <v>74.900000000000006</v>
      </c>
      <c r="H157" s="67">
        <v>1.73909241659044E+19</v>
      </c>
    </row>
    <row r="158" spans="3:8">
      <c r="C158" s="31" t="b">
        <v>0</v>
      </c>
      <c r="D158" s="32">
        <v>1988</v>
      </c>
      <c r="E158" s="32" t="s">
        <v>67</v>
      </c>
      <c r="F158" s="32">
        <v>1461.3</v>
      </c>
      <c r="G158" s="32">
        <v>76.8</v>
      </c>
      <c r="H158" s="67">
        <v>4.8244712277040998E+18</v>
      </c>
    </row>
    <row r="159" spans="3:8">
      <c r="C159" s="31" t="b">
        <v>0</v>
      </c>
      <c r="D159" s="32">
        <v>1988</v>
      </c>
      <c r="E159" s="32" t="s">
        <v>63</v>
      </c>
      <c r="F159" s="32">
        <v>1616.3489999999999</v>
      </c>
      <c r="G159" s="32">
        <v>75.900000000000006</v>
      </c>
      <c r="H159" s="67">
        <v>3.2036836349182899E+18</v>
      </c>
    </row>
    <row r="160" spans="3:8">
      <c r="C160" s="31" t="b">
        <v>0</v>
      </c>
      <c r="D160" s="32">
        <v>1988</v>
      </c>
      <c r="E160" s="32" t="s">
        <v>65</v>
      </c>
      <c r="F160" s="32">
        <v>688.04899999999998</v>
      </c>
      <c r="G160" s="32">
        <v>75.3</v>
      </c>
      <c r="H160" s="67">
        <v>1.4299080724456401E+19</v>
      </c>
    </row>
    <row r="161" spans="3:8">
      <c r="C161" s="31" t="b">
        <v>0</v>
      </c>
      <c r="D161" s="32">
        <v>1988</v>
      </c>
      <c r="E161" s="32" t="s">
        <v>61</v>
      </c>
      <c r="F161" s="32">
        <v>969.25099999999998</v>
      </c>
      <c r="G161" s="32">
        <v>78.400000000000006</v>
      </c>
      <c r="H161" s="67">
        <v>2.9493533883067699E+18</v>
      </c>
    </row>
    <row r="162" spans="3:8">
      <c r="C162" s="31" t="b">
        <v>0</v>
      </c>
      <c r="D162" s="32">
        <v>1988</v>
      </c>
      <c r="E162" s="32" t="s">
        <v>66</v>
      </c>
      <c r="F162" s="32">
        <v>2195.3919999999998</v>
      </c>
      <c r="G162" s="32">
        <v>74.900000000000006</v>
      </c>
      <c r="H162" s="67">
        <v>1.6314092684136901E+18</v>
      </c>
    </row>
    <row r="163" spans="3:8">
      <c r="C163" s="31" t="b">
        <v>0</v>
      </c>
      <c r="D163" s="32">
        <v>1989</v>
      </c>
      <c r="E163" s="32" t="s">
        <v>67</v>
      </c>
      <c r="F163" s="32">
        <v>1579.5429999999999</v>
      </c>
      <c r="G163" s="32">
        <v>77.099999999999994</v>
      </c>
      <c r="H163" s="67">
        <v>1.70325509816086E+19</v>
      </c>
    </row>
    <row r="164" spans="3:8">
      <c r="C164" s="31" t="b">
        <v>0</v>
      </c>
      <c r="D164" s="32">
        <v>1989</v>
      </c>
      <c r="E164" s="32" t="s">
        <v>63</v>
      </c>
      <c r="F164" s="32">
        <v>1596.16</v>
      </c>
      <c r="G164" s="32">
        <v>76</v>
      </c>
      <c r="H164" s="67">
        <v>1.04092827881629E+19</v>
      </c>
    </row>
    <row r="165" spans="3:8">
      <c r="C165" s="31" t="b">
        <v>0</v>
      </c>
      <c r="D165" s="32">
        <v>1989</v>
      </c>
      <c r="E165" s="32" t="s">
        <v>65</v>
      </c>
      <c r="F165" s="32">
        <v>739.71400000000006</v>
      </c>
      <c r="G165" s="32">
        <v>75.400000000000006</v>
      </c>
      <c r="H165" s="67">
        <v>1.83817867439033E+19</v>
      </c>
    </row>
    <row r="166" spans="3:8">
      <c r="C166" s="31" t="b">
        <v>0</v>
      </c>
      <c r="D166" s="32">
        <v>1989</v>
      </c>
      <c r="E166" s="32" t="s">
        <v>61</v>
      </c>
      <c r="F166" s="32">
        <v>1021.247</v>
      </c>
      <c r="G166" s="32">
        <v>78.8</v>
      </c>
      <c r="H166" s="67">
        <v>9.5311519371223409E+18</v>
      </c>
    </row>
    <row r="167" spans="3:8">
      <c r="C167" s="31" t="b">
        <v>0</v>
      </c>
      <c r="D167" s="32">
        <v>1989</v>
      </c>
      <c r="E167" s="32" t="s">
        <v>66</v>
      </c>
      <c r="F167" s="32">
        <v>2424.654</v>
      </c>
      <c r="G167" s="32">
        <v>75.099999999999994</v>
      </c>
      <c r="H167" s="67">
        <v>5.6827538407480998E+17</v>
      </c>
    </row>
    <row r="168" spans="3:8">
      <c r="C168" s="31" t="b">
        <v>0</v>
      </c>
      <c r="D168" s="32">
        <v>1990</v>
      </c>
      <c r="E168" s="32" t="s">
        <v>67</v>
      </c>
      <c r="F168" s="32">
        <v>1699.7739999999999</v>
      </c>
      <c r="G168" s="32">
        <v>77.3</v>
      </c>
      <c r="H168" s="67">
        <v>2.1055377930574999E+18</v>
      </c>
    </row>
    <row r="169" spans="3:8">
      <c r="C169" s="31" t="b">
        <v>0</v>
      </c>
      <c r="D169" s="32">
        <v>1990</v>
      </c>
      <c r="E169" s="32" t="s">
        <v>63</v>
      </c>
      <c r="F169" s="32">
        <v>1724.3320000000001</v>
      </c>
      <c r="G169" s="32">
        <v>77.3</v>
      </c>
      <c r="H169" s="67">
        <v>5.0261148881329398E+18</v>
      </c>
    </row>
    <row r="170" spans="3:8">
      <c r="C170" s="31" t="b">
        <v>0</v>
      </c>
      <c r="D170" s="32">
        <v>1990</v>
      </c>
      <c r="E170" s="32" t="s">
        <v>64</v>
      </c>
      <c r="F170" s="32">
        <v>1459.11</v>
      </c>
      <c r="G170" s="32">
        <v>77</v>
      </c>
      <c r="H170" s="67">
        <v>1.25887638627828E+19</v>
      </c>
    </row>
    <row r="171" spans="3:8">
      <c r="C171" s="31" t="b">
        <v>0</v>
      </c>
      <c r="D171" s="32">
        <v>1990</v>
      </c>
      <c r="E171" s="32" t="s">
        <v>65</v>
      </c>
      <c r="F171" s="32">
        <v>782.61199999999997</v>
      </c>
      <c r="G171" s="32">
        <v>75.7</v>
      </c>
      <c r="H171" s="67">
        <v>1.57447174542237E+19</v>
      </c>
    </row>
    <row r="172" spans="3:8">
      <c r="C172" s="31" t="b">
        <v>0</v>
      </c>
      <c r="D172" s="32">
        <v>1990</v>
      </c>
      <c r="E172" s="32" t="s">
        <v>61</v>
      </c>
      <c r="F172" s="32">
        <v>1088.9590000000001</v>
      </c>
      <c r="G172" s="32">
        <v>78.900000000000006</v>
      </c>
      <c r="H172" s="67">
        <v>3.2814084983732101E+18</v>
      </c>
    </row>
    <row r="173" spans="3:8">
      <c r="C173" s="31" t="b">
        <v>0</v>
      </c>
      <c r="D173" s="32">
        <v>1990</v>
      </c>
      <c r="E173" s="32" t="s">
        <v>66</v>
      </c>
      <c r="F173" s="32">
        <v>2684.9839999999999</v>
      </c>
      <c r="G173" s="32">
        <v>75.3</v>
      </c>
      <c r="H173" s="67">
        <v>4.7025104278974996E+18</v>
      </c>
    </row>
    <row r="174" spans="3:8">
      <c r="C174" s="31" t="b">
        <v>0</v>
      </c>
      <c r="D174" s="32">
        <v>1991</v>
      </c>
      <c r="E174" s="32" t="s">
        <v>67</v>
      </c>
      <c r="F174" s="32">
        <v>1805.2090000000001</v>
      </c>
      <c r="G174" s="32">
        <v>77.599999999999994</v>
      </c>
      <c r="H174" s="67">
        <v>1.53738834394799E+19</v>
      </c>
    </row>
    <row r="175" spans="3:8">
      <c r="C175" s="31" t="b">
        <v>0</v>
      </c>
      <c r="D175" s="32">
        <v>1991</v>
      </c>
      <c r="E175" s="32" t="s">
        <v>64</v>
      </c>
      <c r="F175" s="32">
        <v>1558.0329999999999</v>
      </c>
      <c r="G175" s="32">
        <v>77.2</v>
      </c>
      <c r="H175" s="67">
        <v>1.2572203572397099E+19</v>
      </c>
    </row>
    <row r="176" spans="3:8">
      <c r="C176" s="31" t="b">
        <v>0</v>
      </c>
      <c r="D176" s="32">
        <v>1991</v>
      </c>
      <c r="E176" s="32" t="s">
        <v>65</v>
      </c>
      <c r="F176" s="32">
        <v>842.79700000000003</v>
      </c>
      <c r="G176" s="32">
        <v>75.900000000000006</v>
      </c>
      <c r="H176" s="67">
        <v>1.77986047409185E+18</v>
      </c>
    </row>
    <row r="177" spans="3:8">
      <c r="C177" s="31" t="b">
        <v>0</v>
      </c>
      <c r="D177" s="32">
        <v>1991</v>
      </c>
      <c r="E177" s="32" t="s">
        <v>61</v>
      </c>
      <c r="F177" s="32">
        <v>1166.43</v>
      </c>
      <c r="G177" s="32">
        <v>79.099999999999994</v>
      </c>
      <c r="H177" s="67">
        <v>5.9976166027222098E+18</v>
      </c>
    </row>
    <row r="178" spans="3:8">
      <c r="C178" s="31" t="b">
        <v>0</v>
      </c>
      <c r="D178" s="32">
        <v>1991</v>
      </c>
      <c r="E178" s="32" t="s">
        <v>66</v>
      </c>
      <c r="F178" s="32">
        <v>2901.5889999999999</v>
      </c>
      <c r="G178" s="32">
        <v>75.5</v>
      </c>
      <c r="H178" s="67">
        <v>4.4654885383798001E+18</v>
      </c>
    </row>
    <row r="179" spans="3:8">
      <c r="C179" s="31" t="b">
        <v>0</v>
      </c>
      <c r="D179" s="32">
        <v>1992</v>
      </c>
      <c r="E179" s="32" t="s">
        <v>67</v>
      </c>
      <c r="F179" s="32">
        <v>1897.4559999999999</v>
      </c>
      <c r="G179" s="32">
        <v>77.8</v>
      </c>
      <c r="H179" s="67">
        <v>1.6710956102612799E+19</v>
      </c>
    </row>
    <row r="180" spans="3:8">
      <c r="C180" s="31" t="b">
        <v>0</v>
      </c>
      <c r="D180" s="32">
        <v>1992</v>
      </c>
      <c r="E180" s="32" t="s">
        <v>63</v>
      </c>
      <c r="F180" s="32">
        <v>2019.308</v>
      </c>
      <c r="G180" s="32">
        <v>76.099999999999994</v>
      </c>
      <c r="H180" s="67">
        <v>7.55689805930799E+18</v>
      </c>
    </row>
    <row r="181" spans="3:8">
      <c r="C181" s="31" t="b">
        <v>0</v>
      </c>
      <c r="D181" s="32">
        <v>1992</v>
      </c>
      <c r="E181" s="32" t="s">
        <v>64</v>
      </c>
      <c r="F181" s="32">
        <v>1651.1389999999999</v>
      </c>
      <c r="G181" s="32">
        <v>77.5</v>
      </c>
      <c r="H181" s="67">
        <v>1.2057274626702201E+19</v>
      </c>
    </row>
    <row r="182" spans="3:8">
      <c r="C182" s="31" t="b">
        <v>0</v>
      </c>
      <c r="D182" s="32">
        <v>1992</v>
      </c>
      <c r="E182" s="32" t="s">
        <v>65</v>
      </c>
      <c r="F182" s="32">
        <v>930.70100000000002</v>
      </c>
      <c r="G182" s="32">
        <v>76.3</v>
      </c>
      <c r="H182" s="67">
        <v>1.0770129044422699E+19</v>
      </c>
    </row>
    <row r="183" spans="3:8">
      <c r="C183" s="31" t="b">
        <v>0</v>
      </c>
      <c r="D183" s="32">
        <v>1992</v>
      </c>
      <c r="E183" s="32" t="s">
        <v>61</v>
      </c>
      <c r="F183" s="32">
        <v>1253.415</v>
      </c>
      <c r="G183" s="32">
        <v>79.2</v>
      </c>
      <c r="H183" s="67">
        <v>6.9975793984258796E+18</v>
      </c>
    </row>
    <row r="184" spans="3:8">
      <c r="C184" s="31" t="b">
        <v>0</v>
      </c>
      <c r="D184" s="32">
        <v>1992</v>
      </c>
      <c r="E184" s="32" t="s">
        <v>66</v>
      </c>
      <c r="F184" s="32">
        <v>3100.3429999999998</v>
      </c>
      <c r="G184" s="32">
        <v>75.7</v>
      </c>
      <c r="H184" s="67">
        <v>1.4005197941895801E+19</v>
      </c>
    </row>
    <row r="185" spans="3:8">
      <c r="C185" s="31" t="b">
        <v>0</v>
      </c>
      <c r="D185" s="32">
        <v>1993</v>
      </c>
      <c r="E185" s="32" t="s">
        <v>67</v>
      </c>
      <c r="F185" s="32">
        <v>1930.8889999999999</v>
      </c>
      <c r="G185" s="32">
        <v>77.8</v>
      </c>
      <c r="H185" s="67">
        <v>6.7353687015645E+18</v>
      </c>
    </row>
    <row r="186" spans="3:8">
      <c r="C186" s="31" t="b">
        <v>0</v>
      </c>
      <c r="D186" s="32">
        <v>1993</v>
      </c>
      <c r="E186" s="32" t="s">
        <v>63</v>
      </c>
      <c r="F186" s="32">
        <v>2040.3130000000001</v>
      </c>
      <c r="G186" s="32">
        <v>76.099999999999994</v>
      </c>
      <c r="H186" s="67">
        <v>7.6883584753240699E+18</v>
      </c>
    </row>
    <row r="187" spans="3:8">
      <c r="C187" s="31" t="b">
        <v>0</v>
      </c>
      <c r="D187" s="32">
        <v>1993</v>
      </c>
      <c r="E187" s="32" t="s">
        <v>64</v>
      </c>
      <c r="F187" s="32">
        <v>1753.4849999999999</v>
      </c>
      <c r="G187" s="32">
        <v>77.5</v>
      </c>
      <c r="H187" s="67">
        <v>4.3779004145946798E+18</v>
      </c>
    </row>
    <row r="188" spans="3:8">
      <c r="C188" s="31" t="b">
        <v>0</v>
      </c>
      <c r="D188" s="32">
        <v>1993</v>
      </c>
      <c r="E188" s="32" t="s">
        <v>65</v>
      </c>
      <c r="F188" s="32">
        <v>995.72799999999995</v>
      </c>
      <c r="G188" s="32">
        <v>76.2</v>
      </c>
      <c r="H188" s="67">
        <v>8.3153387730677105E+18</v>
      </c>
    </row>
    <row r="189" spans="3:8">
      <c r="C189" s="31" t="b">
        <v>0</v>
      </c>
      <c r="D189" s="32">
        <v>1993</v>
      </c>
      <c r="E189" s="32" t="s">
        <v>61</v>
      </c>
      <c r="F189" s="32">
        <v>1332.213</v>
      </c>
      <c r="G189" s="32">
        <v>79.400000000000006</v>
      </c>
      <c r="H189" s="67">
        <v>1.03877016940749E+19</v>
      </c>
    </row>
    <row r="190" spans="3:8">
      <c r="C190" s="31" t="b">
        <v>0</v>
      </c>
      <c r="D190" s="32">
        <v>1993</v>
      </c>
      <c r="E190" s="32" t="s">
        <v>66</v>
      </c>
      <c r="F190" s="32">
        <v>3286.558</v>
      </c>
      <c r="G190" s="32">
        <v>75.5</v>
      </c>
      <c r="H190" s="67">
        <v>4.4865714639618099E+18</v>
      </c>
    </row>
    <row r="191" spans="3:8">
      <c r="C191" s="31" t="b">
        <v>0</v>
      </c>
      <c r="D191" s="32">
        <v>1994</v>
      </c>
      <c r="E191" s="32" t="s">
        <v>67</v>
      </c>
      <c r="F191" s="32">
        <v>1962.1959999999999</v>
      </c>
      <c r="G191" s="32">
        <v>77.900000000000006</v>
      </c>
      <c r="H191" s="67">
        <v>1.41168056494859E+19</v>
      </c>
    </row>
    <row r="192" spans="3:8">
      <c r="C192" s="31" t="b">
        <v>0</v>
      </c>
      <c r="D192" s="32">
        <v>1994</v>
      </c>
      <c r="E192" s="32" t="s">
        <v>63</v>
      </c>
      <c r="F192" s="32">
        <v>2188.6759999999999</v>
      </c>
      <c r="G192" s="32">
        <v>76.5</v>
      </c>
      <c r="H192" s="67">
        <v>8.1244908226183997E+18</v>
      </c>
    </row>
    <row r="193" spans="3:8">
      <c r="C193" s="31" t="b">
        <v>0</v>
      </c>
      <c r="D193" s="32">
        <v>1994</v>
      </c>
      <c r="E193" s="32" t="s">
        <v>64</v>
      </c>
      <c r="F193" s="32">
        <v>1817.0419999999999</v>
      </c>
      <c r="G193" s="32">
        <v>78</v>
      </c>
      <c r="H193" s="67">
        <v>7.0579853386424596E+18</v>
      </c>
    </row>
    <row r="194" spans="3:8">
      <c r="C194" s="31" t="b">
        <v>0</v>
      </c>
      <c r="D194" s="32">
        <v>1994</v>
      </c>
      <c r="E194" s="32" t="s">
        <v>65</v>
      </c>
      <c r="F194" s="32">
        <v>1058.68</v>
      </c>
      <c r="G194" s="32">
        <v>76.8</v>
      </c>
      <c r="H194" s="67">
        <v>5.3840467860463196E+18</v>
      </c>
    </row>
    <row r="195" spans="3:8">
      <c r="C195" s="31" t="b">
        <v>0</v>
      </c>
      <c r="D195" s="32">
        <v>1994</v>
      </c>
      <c r="E195" s="32" t="s">
        <v>61</v>
      </c>
      <c r="F195" s="32">
        <v>1420.271</v>
      </c>
      <c r="G195" s="32">
        <v>79.8</v>
      </c>
      <c r="H195" s="67">
        <v>6.1483052793510502E+18</v>
      </c>
    </row>
    <row r="196" spans="3:8">
      <c r="C196" s="31" t="b">
        <v>0</v>
      </c>
      <c r="D196" s="32">
        <v>1994</v>
      </c>
      <c r="E196" s="32" t="s">
        <v>66</v>
      </c>
      <c r="F196" s="32">
        <v>3432.1010000000001</v>
      </c>
      <c r="G196" s="32">
        <v>75.7</v>
      </c>
      <c r="H196" s="67">
        <v>4.7103023494192497E+18</v>
      </c>
    </row>
    <row r="197" spans="3:8">
      <c r="C197" s="31" t="b">
        <v>0</v>
      </c>
      <c r="D197" s="32">
        <v>1995</v>
      </c>
      <c r="E197" s="32" t="s">
        <v>67</v>
      </c>
      <c r="F197" s="32">
        <v>1984.944</v>
      </c>
      <c r="G197" s="32">
        <v>78</v>
      </c>
      <c r="H197" s="67">
        <v>2.7893120253730002E+18</v>
      </c>
    </row>
    <row r="198" spans="3:8">
      <c r="C198" s="31" t="b">
        <v>0</v>
      </c>
      <c r="D198" s="32">
        <v>1995</v>
      </c>
      <c r="E198" s="32" t="s">
        <v>63</v>
      </c>
      <c r="F198" s="32">
        <v>2349.145</v>
      </c>
      <c r="G198" s="32">
        <v>76.599999999999994</v>
      </c>
      <c r="H198" s="67">
        <v>8.2948212179843195E+18</v>
      </c>
    </row>
    <row r="199" spans="3:8">
      <c r="C199" s="31" t="b">
        <v>0</v>
      </c>
      <c r="D199" s="32">
        <v>1995</v>
      </c>
      <c r="E199" s="32" t="s">
        <v>64</v>
      </c>
      <c r="F199" s="32">
        <v>2100.9180000000001</v>
      </c>
      <c r="G199" s="32">
        <v>78.099999999999994</v>
      </c>
      <c r="H199" s="67">
        <v>1.8200912103270699E+19</v>
      </c>
    </row>
    <row r="200" spans="3:8">
      <c r="C200" s="31" t="b">
        <v>0</v>
      </c>
      <c r="D200" s="32">
        <v>1995</v>
      </c>
      <c r="E200" s="32" t="s">
        <v>65</v>
      </c>
      <c r="F200" s="32">
        <v>1094.0340000000001</v>
      </c>
      <c r="G200" s="32">
        <v>76.7</v>
      </c>
      <c r="H200" s="67">
        <v>7.9772778490459197E+18</v>
      </c>
    </row>
    <row r="201" spans="3:8">
      <c r="C201" s="31" t="b">
        <v>0</v>
      </c>
      <c r="D201" s="32">
        <v>1995</v>
      </c>
      <c r="E201" s="32" t="s">
        <v>61</v>
      </c>
      <c r="F201" s="32">
        <v>1413.4449999999999</v>
      </c>
      <c r="G201" s="32">
        <v>79.599999999999994</v>
      </c>
      <c r="H201" s="67">
        <v>1.1398688362653999E+19</v>
      </c>
    </row>
    <row r="202" spans="3:8">
      <c r="C202" s="31" t="b">
        <v>0</v>
      </c>
      <c r="D202" s="32">
        <v>1995</v>
      </c>
      <c r="E202" s="32" t="s">
        <v>66</v>
      </c>
      <c r="F202" s="32">
        <v>3586.7449999999999</v>
      </c>
      <c r="G202" s="32">
        <v>75.7</v>
      </c>
      <c r="H202" s="67">
        <v>3.2722913638375798E+18</v>
      </c>
    </row>
    <row r="203" spans="3:8">
      <c r="C203" s="31" t="b">
        <v>0</v>
      </c>
      <c r="D203" s="32">
        <v>1996</v>
      </c>
      <c r="E203" s="32" t="s">
        <v>67</v>
      </c>
      <c r="F203" s="32">
        <v>1999.778</v>
      </c>
      <c r="G203" s="32">
        <v>78.2</v>
      </c>
      <c r="H203" s="67">
        <v>6.3516499897624801E+18</v>
      </c>
    </row>
    <row r="204" spans="3:8">
      <c r="C204" s="31" t="b">
        <v>0</v>
      </c>
      <c r="D204" s="32">
        <v>1996</v>
      </c>
      <c r="E204" s="32" t="s">
        <v>63</v>
      </c>
      <c r="F204" s="32">
        <v>2480.2170000000001</v>
      </c>
      <c r="G204" s="32">
        <v>76.900000000000006</v>
      </c>
      <c r="H204" s="67">
        <v>7.7471363847975598E+18</v>
      </c>
    </row>
    <row r="205" spans="3:8">
      <c r="C205" s="31" t="b">
        <v>0</v>
      </c>
      <c r="D205" s="32">
        <v>1996</v>
      </c>
      <c r="E205" s="32" t="s">
        <v>64</v>
      </c>
      <c r="F205" s="32">
        <v>2169.451</v>
      </c>
      <c r="G205" s="32">
        <v>78.2</v>
      </c>
      <c r="H205" s="67">
        <v>8.2819407257152696E+18</v>
      </c>
    </row>
    <row r="206" spans="3:8">
      <c r="C206" s="31" t="b">
        <v>0</v>
      </c>
      <c r="D206" s="32">
        <v>1996</v>
      </c>
      <c r="E206" s="32" t="s">
        <v>65</v>
      </c>
      <c r="F206" s="32">
        <v>1171.5909999999999</v>
      </c>
      <c r="G206" s="32">
        <v>76.900000000000006</v>
      </c>
      <c r="H206" s="67">
        <v>1.5713157572785701E+19</v>
      </c>
    </row>
    <row r="207" spans="3:8">
      <c r="C207" s="31" t="b">
        <v>0</v>
      </c>
      <c r="D207" s="32">
        <v>1996</v>
      </c>
      <c r="E207" s="32" t="s">
        <v>61</v>
      </c>
      <c r="F207" s="32">
        <v>1436.3720000000001</v>
      </c>
      <c r="G207" s="32">
        <v>80.3</v>
      </c>
      <c r="H207" s="67">
        <v>1.1566990566704699E+19</v>
      </c>
    </row>
    <row r="208" spans="3:8">
      <c r="C208" s="31" t="b">
        <v>0</v>
      </c>
      <c r="D208" s="32">
        <v>1996</v>
      </c>
      <c r="E208" s="32" t="s">
        <v>66</v>
      </c>
      <c r="F208" s="32">
        <v>4158.9279999999999</v>
      </c>
      <c r="G208" s="32">
        <v>76.099999999999994</v>
      </c>
      <c r="H208" s="67">
        <v>2.8432376184444401E+18</v>
      </c>
    </row>
    <row r="209" spans="3:8">
      <c r="C209" s="31" t="b">
        <v>0</v>
      </c>
      <c r="D209" s="32">
        <v>1997</v>
      </c>
      <c r="E209" s="32" t="s">
        <v>67</v>
      </c>
      <c r="F209" s="32">
        <v>2091.9969999999998</v>
      </c>
      <c r="G209" s="32">
        <v>78.3</v>
      </c>
      <c r="H209" s="67">
        <v>1.08667813407388E+19</v>
      </c>
    </row>
    <row r="210" spans="3:8">
      <c r="C210" s="31" t="b">
        <v>0</v>
      </c>
      <c r="D210" s="32">
        <v>1997</v>
      </c>
      <c r="E210" s="32" t="s">
        <v>63</v>
      </c>
      <c r="F210" s="32">
        <v>2496.201</v>
      </c>
      <c r="G210" s="32">
        <v>77.3</v>
      </c>
      <c r="H210" s="67">
        <v>1.47546778477806E+18</v>
      </c>
    </row>
    <row r="211" spans="3:8">
      <c r="C211" s="31" t="b">
        <v>0</v>
      </c>
      <c r="D211" s="32">
        <v>1997</v>
      </c>
      <c r="E211" s="32" t="s">
        <v>64</v>
      </c>
      <c r="F211" s="32">
        <v>2236.5949999999998</v>
      </c>
      <c r="G211" s="32">
        <v>78.599999999999994</v>
      </c>
      <c r="H211" s="67">
        <v>1.57588758581713E+19</v>
      </c>
    </row>
    <row r="212" spans="3:8">
      <c r="C212" s="31" t="b">
        <v>0</v>
      </c>
      <c r="D212" s="32">
        <v>1997</v>
      </c>
      <c r="E212" s="32" t="s">
        <v>65</v>
      </c>
      <c r="F212" s="32">
        <v>1507.3520000000001</v>
      </c>
      <c r="G212" s="32">
        <v>77.2</v>
      </c>
      <c r="H212" s="67">
        <v>1.54301239229517E+19</v>
      </c>
    </row>
    <row r="213" spans="3:8">
      <c r="C213" s="31" t="b">
        <v>0</v>
      </c>
      <c r="D213" s="32">
        <v>1997</v>
      </c>
      <c r="E213" s="32" t="s">
        <v>61</v>
      </c>
      <c r="F213" s="32">
        <v>1529.586</v>
      </c>
      <c r="G213" s="32">
        <v>80.5</v>
      </c>
      <c r="H213" s="67">
        <v>9.0556812727415101E+18</v>
      </c>
    </row>
    <row r="214" spans="3:8">
      <c r="C214" s="31" t="b">
        <v>0</v>
      </c>
      <c r="D214" s="32">
        <v>1997</v>
      </c>
      <c r="E214" s="32" t="s">
        <v>66</v>
      </c>
      <c r="F214" s="32">
        <v>3894.2820000000002</v>
      </c>
      <c r="G214" s="32">
        <v>76.5</v>
      </c>
      <c r="H214" s="67">
        <v>6.9053650569592904E+18</v>
      </c>
    </row>
    <row r="215" spans="3:8">
      <c r="C215" s="31" t="b">
        <v>0</v>
      </c>
      <c r="D215" s="32">
        <v>1998</v>
      </c>
      <c r="E215" s="32" t="s">
        <v>67</v>
      </c>
      <c r="F215" s="32">
        <v>2200.4679999999998</v>
      </c>
      <c r="G215" s="32">
        <v>78.599999999999994</v>
      </c>
      <c r="H215" s="67">
        <v>1.84172311955071E+19</v>
      </c>
    </row>
    <row r="216" spans="3:8">
      <c r="C216" s="31" t="b">
        <v>0</v>
      </c>
      <c r="D216" s="32">
        <v>1998</v>
      </c>
      <c r="E216" s="32" t="s">
        <v>63</v>
      </c>
      <c r="F216" s="32">
        <v>2566.0030000000002</v>
      </c>
      <c r="G216" s="32">
        <v>77.7</v>
      </c>
      <c r="H216" s="67">
        <v>7.4546503367781601E+18</v>
      </c>
    </row>
    <row r="217" spans="3:8">
      <c r="C217" s="31" t="b">
        <v>0</v>
      </c>
      <c r="D217" s="32">
        <v>1998</v>
      </c>
      <c r="E217" s="32" t="s">
        <v>64</v>
      </c>
      <c r="F217" s="32">
        <v>2321.931</v>
      </c>
      <c r="G217" s="32">
        <v>78.8</v>
      </c>
      <c r="H217" s="67">
        <v>1.24941229316631E+19</v>
      </c>
    </row>
    <row r="218" spans="3:8">
      <c r="C218" s="31" t="b">
        <v>0</v>
      </c>
      <c r="D218" s="32">
        <v>1998</v>
      </c>
      <c r="E218" s="32" t="s">
        <v>65</v>
      </c>
      <c r="F218" s="32">
        <v>1572.097</v>
      </c>
      <c r="G218" s="32">
        <v>77.3</v>
      </c>
      <c r="H218" s="67">
        <v>1.64975496470267E+19</v>
      </c>
    </row>
    <row r="219" spans="3:8">
      <c r="C219" s="31" t="b">
        <v>0</v>
      </c>
      <c r="D219" s="32">
        <v>1998</v>
      </c>
      <c r="E219" s="32" t="s">
        <v>61</v>
      </c>
      <c r="F219" s="32">
        <v>1571.107</v>
      </c>
      <c r="G219" s="32">
        <v>80.599999999999994</v>
      </c>
      <c r="H219" s="67">
        <v>1.4589949175053299E+18</v>
      </c>
    </row>
    <row r="220" spans="3:8">
      <c r="C220" s="31" t="b">
        <v>0</v>
      </c>
      <c r="D220" s="32">
        <v>1998</v>
      </c>
      <c r="E220" s="32" t="s">
        <v>66</v>
      </c>
      <c r="F220" s="32">
        <v>4061.5360000000001</v>
      </c>
      <c r="G220" s="32">
        <v>76.7</v>
      </c>
      <c r="H220" s="67">
        <v>1.8106523312853899E+19</v>
      </c>
    </row>
    <row r="221" spans="3:8">
      <c r="C221" s="31" t="b">
        <v>0</v>
      </c>
      <c r="D221" s="32">
        <v>1999</v>
      </c>
      <c r="E221" s="32" t="s">
        <v>67</v>
      </c>
      <c r="F221" s="32">
        <v>2278.2539999999999</v>
      </c>
      <c r="G221" s="32">
        <v>78.8</v>
      </c>
      <c r="H221" s="67">
        <v>1.5645797018037899E+19</v>
      </c>
    </row>
    <row r="222" spans="3:8">
      <c r="C222" s="31" t="b">
        <v>0</v>
      </c>
      <c r="D222" s="32">
        <v>1999</v>
      </c>
      <c r="E222" s="32" t="s">
        <v>63</v>
      </c>
      <c r="F222" s="32">
        <v>2697.8780000000002</v>
      </c>
      <c r="G222" s="32">
        <v>77.900000000000006</v>
      </c>
      <c r="H222" s="67">
        <v>1.32682131710186E+19</v>
      </c>
    </row>
    <row r="223" spans="3:8">
      <c r="C223" s="31" t="b">
        <v>0</v>
      </c>
      <c r="D223" s="32">
        <v>1999</v>
      </c>
      <c r="E223" s="32" t="s">
        <v>64</v>
      </c>
      <c r="F223" s="32">
        <v>2431.3029999999999</v>
      </c>
      <c r="G223" s="32">
        <v>78.900000000000006</v>
      </c>
      <c r="H223" s="67">
        <v>7.5730204574417705E+18</v>
      </c>
    </row>
    <row r="224" spans="3:8">
      <c r="C224" s="31" t="b">
        <v>0</v>
      </c>
      <c r="D224" s="32">
        <v>1999</v>
      </c>
      <c r="E224" s="32" t="s">
        <v>65</v>
      </c>
      <c r="F224" s="32">
        <v>1683.905</v>
      </c>
      <c r="G224" s="32">
        <v>77.5</v>
      </c>
      <c r="H224" s="67">
        <v>1.49427608801675E+19</v>
      </c>
    </row>
    <row r="225" spans="3:8">
      <c r="C225" s="31" t="b">
        <v>0</v>
      </c>
      <c r="D225" s="32">
        <v>1999</v>
      </c>
      <c r="E225" s="32" t="s">
        <v>61</v>
      </c>
      <c r="F225" s="32">
        <v>1667.922</v>
      </c>
      <c r="G225" s="32">
        <v>80.5</v>
      </c>
      <c r="H225" s="67">
        <v>6.9110355634446295E+18</v>
      </c>
    </row>
    <row r="226" spans="3:8">
      <c r="C226" s="31" t="b">
        <v>0</v>
      </c>
      <c r="D226" s="32">
        <v>1999</v>
      </c>
      <c r="E226" s="32" t="s">
        <v>66</v>
      </c>
      <c r="F226" s="32">
        <v>4261.9960000000001</v>
      </c>
      <c r="G226" s="32">
        <v>76.7</v>
      </c>
      <c r="H226" s="67">
        <v>1.31401128866253E+19</v>
      </c>
    </row>
    <row r="227" spans="3:8">
      <c r="C227" s="31" t="b">
        <v>0</v>
      </c>
      <c r="D227" s="32">
        <v>2000</v>
      </c>
      <c r="E227" s="32" t="s">
        <v>67</v>
      </c>
      <c r="F227" s="32">
        <v>2450.5929999999998</v>
      </c>
      <c r="G227" s="32">
        <v>79.099999999999994</v>
      </c>
      <c r="H227" s="67">
        <v>4.5849751766043602E+18</v>
      </c>
    </row>
    <row r="228" spans="3:8">
      <c r="C228" s="31" t="b">
        <v>0</v>
      </c>
      <c r="D228" s="32">
        <v>2000</v>
      </c>
      <c r="E228" s="32" t="s">
        <v>63</v>
      </c>
      <c r="F228" s="32">
        <v>2895.5329999999999</v>
      </c>
      <c r="G228" s="32">
        <v>78.2</v>
      </c>
      <c r="H228" s="67">
        <v>1.5426026870361801E+19</v>
      </c>
    </row>
    <row r="229" spans="3:8">
      <c r="C229" s="31" t="b">
        <v>0</v>
      </c>
      <c r="D229" s="32">
        <v>2000</v>
      </c>
      <c r="E229" s="32" t="s">
        <v>64</v>
      </c>
      <c r="F229" s="32">
        <v>2687.53</v>
      </c>
      <c r="G229" s="32">
        <v>79.2</v>
      </c>
      <c r="H229" s="67">
        <v>1.12964219623716E+19</v>
      </c>
    </row>
    <row r="230" spans="3:8">
      <c r="C230" s="31" t="b">
        <v>0</v>
      </c>
      <c r="D230" s="32">
        <v>2000</v>
      </c>
      <c r="E230" s="32" t="s">
        <v>65</v>
      </c>
      <c r="F230" s="32">
        <v>1897.202</v>
      </c>
      <c r="G230" s="32">
        <v>77.900000000000006</v>
      </c>
      <c r="H230" s="67">
        <v>1.1468208281034199E+19</v>
      </c>
    </row>
    <row r="231" spans="3:8">
      <c r="C231" s="31" t="b">
        <v>0</v>
      </c>
      <c r="D231" s="32">
        <v>2000</v>
      </c>
      <c r="E231" s="32" t="s">
        <v>61</v>
      </c>
      <c r="F231" s="32">
        <v>1847.7860000000001</v>
      </c>
      <c r="G231" s="32">
        <v>81.2</v>
      </c>
      <c r="H231" s="67">
        <v>2.99712224844081E+18</v>
      </c>
    </row>
    <row r="232" spans="3:8">
      <c r="C232" s="31" t="b">
        <v>0</v>
      </c>
      <c r="D232" s="32">
        <v>2000</v>
      </c>
      <c r="E232" s="32" t="s">
        <v>66</v>
      </c>
      <c r="F232" s="32">
        <v>4536.5609999999997</v>
      </c>
      <c r="G232" s="32">
        <v>76.7</v>
      </c>
      <c r="H232" s="67">
        <v>7.4361892193566996E+18</v>
      </c>
    </row>
    <row r="233" spans="3:8">
      <c r="C233" s="31" t="b">
        <v>0</v>
      </c>
      <c r="D233" s="32">
        <v>2001</v>
      </c>
      <c r="E233" s="32" t="s">
        <v>67</v>
      </c>
      <c r="F233" s="32">
        <v>2624.2930000000001</v>
      </c>
      <c r="G233" s="32">
        <v>79.3</v>
      </c>
      <c r="H233" s="67">
        <v>1.1849888925955799E+19</v>
      </c>
    </row>
    <row r="234" spans="3:8">
      <c r="C234" s="31" t="b">
        <v>0</v>
      </c>
      <c r="D234" s="32">
        <v>2001</v>
      </c>
      <c r="E234" s="32" t="s">
        <v>63</v>
      </c>
      <c r="F234" s="32">
        <v>3009.3679999999999</v>
      </c>
      <c r="G234" s="32">
        <v>78.5</v>
      </c>
      <c r="H234" s="67">
        <v>4.6332934906251397E+18</v>
      </c>
    </row>
    <row r="235" spans="3:8">
      <c r="C235" s="31" t="b">
        <v>0</v>
      </c>
      <c r="D235" s="32">
        <v>2001</v>
      </c>
      <c r="E235" s="32" t="s">
        <v>64</v>
      </c>
      <c r="F235" s="32">
        <v>2875.2939999999999</v>
      </c>
      <c r="G235" s="32">
        <v>79.3</v>
      </c>
      <c r="H235" s="67">
        <v>1.76924252394624E+19</v>
      </c>
    </row>
    <row r="236" spans="3:8">
      <c r="C236" s="31" t="b">
        <v>0</v>
      </c>
      <c r="D236" s="32">
        <v>2001</v>
      </c>
      <c r="E236" s="32" t="s">
        <v>65</v>
      </c>
      <c r="F236" s="32">
        <v>2067.1669999999999</v>
      </c>
      <c r="G236" s="32">
        <v>78.2</v>
      </c>
      <c r="H236" s="67">
        <v>8.6530356517785498E+18</v>
      </c>
    </row>
    <row r="237" spans="3:8">
      <c r="C237" s="31" t="b">
        <v>0</v>
      </c>
      <c r="D237" s="32">
        <v>2001</v>
      </c>
      <c r="E237" s="32" t="s">
        <v>61</v>
      </c>
      <c r="F237" s="32">
        <v>1945.556</v>
      </c>
      <c r="G237" s="32">
        <v>81.5</v>
      </c>
      <c r="H237" s="67">
        <v>1.63166046143483E+19</v>
      </c>
    </row>
    <row r="238" spans="3:8">
      <c r="C238" s="31" t="b">
        <v>0</v>
      </c>
      <c r="D238" s="32">
        <v>2001</v>
      </c>
      <c r="E238" s="32" t="s">
        <v>66</v>
      </c>
      <c r="F238" s="32">
        <v>4888.518</v>
      </c>
      <c r="G238" s="32">
        <v>76.900000000000006</v>
      </c>
      <c r="H238" s="67">
        <v>4.1634932222467502E+18</v>
      </c>
    </row>
    <row r="239" spans="3:8">
      <c r="C239" s="31" t="b">
        <v>0</v>
      </c>
      <c r="D239" s="32">
        <v>2002</v>
      </c>
      <c r="E239" s="32" t="s">
        <v>67</v>
      </c>
      <c r="F239" s="32">
        <v>2758.0650000000001</v>
      </c>
      <c r="G239" s="32">
        <v>79.5</v>
      </c>
      <c r="H239" s="67">
        <v>1.4859895294261E+19</v>
      </c>
    </row>
    <row r="240" spans="3:8">
      <c r="C240" s="31" t="b">
        <v>0</v>
      </c>
      <c r="D240" s="32">
        <v>2002</v>
      </c>
      <c r="E240" s="32" t="s">
        <v>63</v>
      </c>
      <c r="F240" s="32">
        <v>3239.77</v>
      </c>
      <c r="G240" s="32">
        <v>78.5</v>
      </c>
      <c r="H240" s="67">
        <v>1.4001670795472501E+19</v>
      </c>
    </row>
    <row r="241" spans="3:8">
      <c r="C241" s="31" t="b">
        <v>0</v>
      </c>
      <c r="D241" s="32">
        <v>2002</v>
      </c>
      <c r="E241" s="32" t="s">
        <v>64</v>
      </c>
      <c r="F241" s="32">
        <v>3152.0160000000001</v>
      </c>
      <c r="G241" s="32">
        <v>79.400000000000006</v>
      </c>
      <c r="H241" s="67">
        <v>9.1543952616595497E+18</v>
      </c>
    </row>
    <row r="242" spans="3:8">
      <c r="C242" s="31" t="b">
        <v>0</v>
      </c>
      <c r="D242" s="32">
        <v>2002</v>
      </c>
      <c r="E242" s="32" t="s">
        <v>65</v>
      </c>
      <c r="F242" s="32">
        <v>2287.4760000000001</v>
      </c>
      <c r="G242" s="32">
        <v>78.3</v>
      </c>
      <c r="H242" s="67">
        <v>1.3623720884472101E+19</v>
      </c>
    </row>
    <row r="243" spans="3:8">
      <c r="C243" s="31" t="b">
        <v>0</v>
      </c>
      <c r="D243" s="32">
        <v>2002</v>
      </c>
      <c r="E243" s="32" t="s">
        <v>61</v>
      </c>
      <c r="F243" s="32">
        <v>2065.1329999999998</v>
      </c>
      <c r="G243" s="32">
        <v>81.8</v>
      </c>
      <c r="H243" s="67">
        <v>1.52813596491201E+19</v>
      </c>
    </row>
    <row r="244" spans="3:8">
      <c r="C244" s="31" t="b">
        <v>0</v>
      </c>
      <c r="D244" s="32">
        <v>2002</v>
      </c>
      <c r="E244" s="32" t="s">
        <v>66</v>
      </c>
      <c r="F244" s="32">
        <v>5316.5219999999999</v>
      </c>
      <c r="G244" s="32">
        <v>77</v>
      </c>
      <c r="H244" s="67">
        <v>1.82867161328075E+19</v>
      </c>
    </row>
    <row r="245" spans="3:8">
      <c r="C245" s="31" t="b">
        <v>0</v>
      </c>
      <c r="D245" s="32">
        <v>2003</v>
      </c>
      <c r="E245" s="32" t="s">
        <v>67</v>
      </c>
      <c r="F245" s="32">
        <v>2914.2060000000001</v>
      </c>
      <c r="G245" s="32">
        <v>79.599999999999994</v>
      </c>
      <c r="H245" s="67">
        <v>1.65835031342277E+19</v>
      </c>
    </row>
    <row r="246" spans="3:8">
      <c r="C246" s="31" t="b">
        <v>0</v>
      </c>
      <c r="D246" s="32">
        <v>2003</v>
      </c>
      <c r="E246" s="32" t="s">
        <v>63</v>
      </c>
      <c r="F246" s="32">
        <v>3329.3739999999998</v>
      </c>
      <c r="G246" s="32">
        <v>78.599999999999994</v>
      </c>
      <c r="H246" s="67">
        <v>1.3179438677259801E+19</v>
      </c>
    </row>
    <row r="247" spans="3:8">
      <c r="C247" s="31" t="b">
        <v>0</v>
      </c>
      <c r="D247" s="32">
        <v>2003</v>
      </c>
      <c r="E247" s="32" t="s">
        <v>64</v>
      </c>
      <c r="F247" s="32">
        <v>3056.2649999999999</v>
      </c>
      <c r="G247" s="32">
        <v>79.3</v>
      </c>
      <c r="H247" s="67">
        <v>6.9624149784054395E+18</v>
      </c>
    </row>
    <row r="248" spans="3:8">
      <c r="C248" s="31" t="b">
        <v>0</v>
      </c>
      <c r="D248" s="32">
        <v>2003</v>
      </c>
      <c r="E248" s="32" t="s">
        <v>65</v>
      </c>
      <c r="F248" s="32">
        <v>2469.1590000000001</v>
      </c>
      <c r="G248" s="32">
        <v>78.400000000000006</v>
      </c>
      <c r="H248" s="67">
        <v>7.1058563970689004E+18</v>
      </c>
    </row>
    <row r="249" spans="3:8">
      <c r="C249" s="31" t="b">
        <v>0</v>
      </c>
      <c r="D249" s="32">
        <v>2003</v>
      </c>
      <c r="E249" s="32" t="s">
        <v>61</v>
      </c>
      <c r="F249" s="32">
        <v>2194.4369999999999</v>
      </c>
      <c r="G249" s="32">
        <v>81.8</v>
      </c>
      <c r="H249" s="67">
        <v>8.7595680925248E+18</v>
      </c>
    </row>
    <row r="250" spans="3:8">
      <c r="C250" s="31" t="b">
        <v>0</v>
      </c>
      <c r="D250" s="32">
        <v>2003</v>
      </c>
      <c r="E250" s="32" t="s">
        <v>66</v>
      </c>
      <c r="F250" s="32">
        <v>5726.5379999999996</v>
      </c>
      <c r="G250" s="32">
        <v>77.099999999999994</v>
      </c>
      <c r="H250" s="67">
        <v>7.6932474714389699E+18</v>
      </c>
    </row>
    <row r="251" spans="3:8">
      <c r="C251" s="31" t="b">
        <v>0</v>
      </c>
      <c r="D251" s="32">
        <v>2004</v>
      </c>
      <c r="E251" s="32" t="s">
        <v>67</v>
      </c>
      <c r="F251" s="32">
        <v>3122.3960000000002</v>
      </c>
      <c r="G251" s="32">
        <v>79.900000000000006</v>
      </c>
      <c r="H251" s="67">
        <v>4.0821699587656602E+18</v>
      </c>
    </row>
    <row r="252" spans="3:8">
      <c r="C252" s="31" t="b">
        <v>0</v>
      </c>
      <c r="D252" s="32">
        <v>2004</v>
      </c>
      <c r="E252" s="32" t="s">
        <v>63</v>
      </c>
      <c r="F252" s="32">
        <v>3391.5210000000002</v>
      </c>
      <c r="G252" s="32">
        <v>79.2</v>
      </c>
      <c r="H252" s="67">
        <v>3.37436440160371E+18</v>
      </c>
    </row>
    <row r="253" spans="3:8">
      <c r="C253" s="31" t="b">
        <v>0</v>
      </c>
      <c r="D253" s="32">
        <v>2004</v>
      </c>
      <c r="E253" s="32" t="s">
        <v>64</v>
      </c>
      <c r="F253" s="32">
        <v>3170.9470000000001</v>
      </c>
      <c r="G253" s="32">
        <v>80.3</v>
      </c>
      <c r="H253" s="67">
        <v>2.4880383411424499E+17</v>
      </c>
    </row>
    <row r="254" spans="3:8">
      <c r="C254" s="31" t="b">
        <v>0</v>
      </c>
      <c r="D254" s="32">
        <v>2004</v>
      </c>
      <c r="E254" s="32" t="s">
        <v>65</v>
      </c>
      <c r="F254" s="32">
        <v>2724.8690000000001</v>
      </c>
      <c r="G254" s="32">
        <v>79</v>
      </c>
      <c r="H254" s="67">
        <v>3.07109481645005E+18</v>
      </c>
    </row>
    <row r="255" spans="3:8">
      <c r="C255" s="31" t="b">
        <v>0</v>
      </c>
      <c r="D255" s="32">
        <v>2004</v>
      </c>
      <c r="E255" s="32" t="s">
        <v>61</v>
      </c>
      <c r="F255" s="32">
        <v>2303.6799999999998</v>
      </c>
      <c r="G255" s="32">
        <v>82.1</v>
      </c>
      <c r="H255" s="67">
        <v>2.62291989736463E+18</v>
      </c>
    </row>
    <row r="256" spans="3:8">
      <c r="C256" s="31" t="b">
        <v>0</v>
      </c>
      <c r="D256" s="32">
        <v>2004</v>
      </c>
      <c r="E256" s="32" t="s">
        <v>66</v>
      </c>
      <c r="F256" s="32">
        <v>6069.53</v>
      </c>
      <c r="G256" s="32">
        <v>77.599999999999994</v>
      </c>
      <c r="H256" s="67">
        <v>1.29752960938426E+19</v>
      </c>
    </row>
    <row r="257" spans="3:8">
      <c r="C257" s="31" t="b">
        <v>0</v>
      </c>
      <c r="D257" s="32">
        <v>2005</v>
      </c>
      <c r="E257" s="32" t="s">
        <v>67</v>
      </c>
      <c r="F257" s="32">
        <v>3291.9119999999998</v>
      </c>
      <c r="G257" s="32">
        <v>80</v>
      </c>
      <c r="H257" s="67">
        <v>9.4941735313549292E+18</v>
      </c>
    </row>
    <row r="258" spans="3:8">
      <c r="C258" s="31" t="b">
        <v>0</v>
      </c>
      <c r="D258" s="32">
        <v>2005</v>
      </c>
      <c r="E258" s="32" t="s">
        <v>63</v>
      </c>
      <c r="F258" s="32">
        <v>3429.9549999999999</v>
      </c>
      <c r="G258" s="32">
        <v>79.400000000000006</v>
      </c>
      <c r="H258" s="67">
        <v>9.7409423918757007E+18</v>
      </c>
    </row>
    <row r="259" spans="3:8">
      <c r="C259" s="31" t="b">
        <v>0</v>
      </c>
      <c r="D259" s="32">
        <v>2005</v>
      </c>
      <c r="E259" s="32" t="s">
        <v>64</v>
      </c>
      <c r="F259" s="32">
        <v>3264.5740000000001</v>
      </c>
      <c r="G259" s="32">
        <v>80.400000000000006</v>
      </c>
      <c r="H259" s="67">
        <v>8.0006906268651397E+18</v>
      </c>
    </row>
    <row r="260" spans="3:8">
      <c r="C260" s="31" t="b">
        <v>0</v>
      </c>
      <c r="D260" s="32">
        <v>2005</v>
      </c>
      <c r="E260" s="32" t="s">
        <v>65</v>
      </c>
      <c r="F260" s="32">
        <v>2731.4450000000002</v>
      </c>
      <c r="G260" s="32">
        <v>79.2</v>
      </c>
      <c r="H260" s="67">
        <v>1.5312453828685699E+19</v>
      </c>
    </row>
    <row r="261" spans="3:8">
      <c r="C261" s="31" t="b">
        <v>0</v>
      </c>
      <c r="D261" s="32">
        <v>2005</v>
      </c>
      <c r="E261" s="32" t="s">
        <v>61</v>
      </c>
      <c r="F261" s="32">
        <v>2471.1860000000001</v>
      </c>
      <c r="G261" s="32">
        <v>82</v>
      </c>
      <c r="H261" s="67">
        <v>6.1235227968342804E+18</v>
      </c>
    </row>
    <row r="262" spans="3:8">
      <c r="C262" s="31" t="b">
        <v>0</v>
      </c>
      <c r="D262" s="32">
        <v>2005</v>
      </c>
      <c r="E262" s="32" t="s">
        <v>66</v>
      </c>
      <c r="F262" s="32">
        <v>6430.7569999999996</v>
      </c>
      <c r="G262" s="32">
        <v>77.599999999999994</v>
      </c>
      <c r="H262" s="67">
        <v>9.54224697374684E+16</v>
      </c>
    </row>
    <row r="263" spans="3:8">
      <c r="C263" s="31" t="b">
        <v>0</v>
      </c>
      <c r="D263" s="32">
        <v>2006</v>
      </c>
      <c r="E263" s="32" t="s">
        <v>67</v>
      </c>
      <c r="F263" s="32">
        <v>3486.6210000000001</v>
      </c>
      <c r="G263" s="32">
        <v>80.400000000000006</v>
      </c>
      <c r="H263" s="67">
        <v>1.76885603590254E+19</v>
      </c>
    </row>
    <row r="264" spans="3:8">
      <c r="C264" s="31" t="b">
        <v>0</v>
      </c>
      <c r="D264" s="32">
        <v>2006</v>
      </c>
      <c r="E264" s="32" t="s">
        <v>63</v>
      </c>
      <c r="F264" s="32">
        <v>3567.0610000000001</v>
      </c>
      <c r="G264" s="32">
        <v>79.8</v>
      </c>
      <c r="H264" s="67">
        <v>1.1620324156189301E+19</v>
      </c>
    </row>
    <row r="265" spans="3:8">
      <c r="C265" s="31" t="b">
        <v>0</v>
      </c>
      <c r="D265" s="32">
        <v>2006</v>
      </c>
      <c r="E265" s="32" t="s">
        <v>64</v>
      </c>
      <c r="F265" s="32">
        <v>3444.855</v>
      </c>
      <c r="G265" s="32">
        <v>81</v>
      </c>
      <c r="H265" s="67">
        <v>5.5496323261961498E+17</v>
      </c>
    </row>
    <row r="266" spans="3:8">
      <c r="C266" s="31" t="b">
        <v>0</v>
      </c>
      <c r="D266" s="32">
        <v>2006</v>
      </c>
      <c r="E266" s="32" t="s">
        <v>65</v>
      </c>
      <c r="F266" s="32">
        <v>2952.3290000000002</v>
      </c>
      <c r="G266" s="32">
        <v>79.5</v>
      </c>
      <c r="H266" s="67">
        <v>7.2162592750847498E+18</v>
      </c>
    </row>
    <row r="267" spans="3:8">
      <c r="C267" s="31" t="b">
        <v>0</v>
      </c>
      <c r="D267" s="32">
        <v>2006</v>
      </c>
      <c r="E267" s="32" t="s">
        <v>61</v>
      </c>
      <c r="F267" s="32">
        <v>2561.2190000000001</v>
      </c>
      <c r="G267" s="32">
        <v>82.4</v>
      </c>
      <c r="H267" s="67">
        <v>6.9126898754005402E+18</v>
      </c>
    </row>
    <row r="268" spans="3:8">
      <c r="C268" s="31" t="b">
        <v>0</v>
      </c>
      <c r="D268" s="32">
        <v>2006</v>
      </c>
      <c r="E268" s="32" t="s">
        <v>66</v>
      </c>
      <c r="F268" s="32">
        <v>6808.0540000000001</v>
      </c>
      <c r="G268" s="32">
        <v>77.8</v>
      </c>
      <c r="H268" s="67">
        <v>3.0864390677830298E+18</v>
      </c>
    </row>
    <row r="269" spans="3:8">
      <c r="C269" s="31" t="b">
        <v>0</v>
      </c>
      <c r="D269" s="32">
        <v>2007</v>
      </c>
      <c r="E269" s="32" t="s">
        <v>67</v>
      </c>
      <c r="F269" s="32">
        <v>3709.6149999999998</v>
      </c>
      <c r="G269" s="32">
        <v>80.5</v>
      </c>
      <c r="H269" s="67">
        <v>1.4174019600919599E+19</v>
      </c>
    </row>
    <row r="270" spans="3:8">
      <c r="C270" s="31" t="b">
        <v>0</v>
      </c>
      <c r="D270" s="32">
        <v>2007</v>
      </c>
      <c r="E270" s="32" t="s">
        <v>63</v>
      </c>
      <c r="F270" s="32">
        <v>3750.7869999999998</v>
      </c>
      <c r="G270" s="32">
        <v>80.099999999999994</v>
      </c>
      <c r="H270" s="67">
        <v>1.4576507312007899E+19</v>
      </c>
    </row>
    <row r="271" spans="3:8">
      <c r="C271" s="31" t="b">
        <v>0</v>
      </c>
      <c r="D271" s="32">
        <v>2007</v>
      </c>
      <c r="E271" s="32" t="s">
        <v>64</v>
      </c>
      <c r="F271" s="32">
        <v>3588.2269999999999</v>
      </c>
      <c r="G271" s="32">
        <v>81.2</v>
      </c>
      <c r="H271" s="67">
        <v>1.0142395335300499E+19</v>
      </c>
    </row>
    <row r="272" spans="3:8">
      <c r="C272" s="31" t="b">
        <v>0</v>
      </c>
      <c r="D272" s="32">
        <v>2007</v>
      </c>
      <c r="E272" s="32" t="s">
        <v>65</v>
      </c>
      <c r="F272" s="32">
        <v>3021.6709999999998</v>
      </c>
      <c r="G272" s="32">
        <v>79.7</v>
      </c>
      <c r="H272" s="67">
        <v>1.29445981192058E+19</v>
      </c>
    </row>
    <row r="273" spans="3:8">
      <c r="C273" s="31" t="b">
        <v>0</v>
      </c>
      <c r="D273" s="32">
        <v>2007</v>
      </c>
      <c r="E273" s="32" t="s">
        <v>61</v>
      </c>
      <c r="F273" s="32">
        <v>2689.9160000000002</v>
      </c>
      <c r="G273" s="32">
        <v>82.6</v>
      </c>
      <c r="H273" s="67">
        <v>4.6328442990784399E+18</v>
      </c>
    </row>
    <row r="274" spans="3:8">
      <c r="C274" s="31" t="b">
        <v>0</v>
      </c>
      <c r="D274" s="32">
        <v>2007</v>
      </c>
      <c r="E274" s="32" t="s">
        <v>66</v>
      </c>
      <c r="F274" s="32">
        <v>7166.5129999999999</v>
      </c>
      <c r="G274" s="32">
        <v>78.099999999999994</v>
      </c>
      <c r="H274" s="67">
        <v>1.50919562111953E+19</v>
      </c>
    </row>
    <row r="275" spans="3:8">
      <c r="C275" s="31" t="b">
        <v>0</v>
      </c>
      <c r="D275" s="32">
        <v>2008</v>
      </c>
      <c r="E275" s="32" t="s">
        <v>67</v>
      </c>
      <c r="F275" s="32">
        <v>3849.5439999999999</v>
      </c>
      <c r="G275" s="32">
        <v>80.7</v>
      </c>
      <c r="H275" s="67">
        <v>1.06245613321333E+19</v>
      </c>
    </row>
    <row r="276" spans="3:8">
      <c r="C276" s="31" t="b">
        <v>0</v>
      </c>
      <c r="D276" s="32">
        <v>2008</v>
      </c>
      <c r="E276" s="32" t="s">
        <v>63</v>
      </c>
      <c r="F276" s="32">
        <v>3955.136</v>
      </c>
      <c r="G276" s="32">
        <v>80.2</v>
      </c>
      <c r="H276" s="67">
        <v>1.71358833771443E+19</v>
      </c>
    </row>
    <row r="277" spans="3:8">
      <c r="C277" s="31" t="b">
        <v>0</v>
      </c>
      <c r="D277" s="32">
        <v>2008</v>
      </c>
      <c r="E277" s="32" t="s">
        <v>64</v>
      </c>
      <c r="F277" s="32">
        <v>3729.3530000000001</v>
      </c>
      <c r="G277" s="32">
        <v>81.400000000000006</v>
      </c>
      <c r="H277" s="67">
        <v>2.2416903074981901E+18</v>
      </c>
    </row>
    <row r="278" spans="3:8">
      <c r="C278" s="31" t="b">
        <v>0</v>
      </c>
      <c r="D278" s="32">
        <v>2008</v>
      </c>
      <c r="E278" s="32" t="s">
        <v>65</v>
      </c>
      <c r="F278" s="32">
        <v>3207.8530000000001</v>
      </c>
      <c r="G278" s="32">
        <v>79.8</v>
      </c>
      <c r="H278" s="67">
        <v>5.6769887283618898E+18</v>
      </c>
    </row>
    <row r="279" spans="3:8">
      <c r="C279" s="31" t="b">
        <v>0</v>
      </c>
      <c r="D279" s="32">
        <v>2008</v>
      </c>
      <c r="E279" s="32" t="s">
        <v>61</v>
      </c>
      <c r="F279" s="32">
        <v>2799.1979999999999</v>
      </c>
      <c r="G279" s="32">
        <v>82.7</v>
      </c>
      <c r="H279" s="67">
        <v>4.0224251306531999E+18</v>
      </c>
    </row>
    <row r="280" spans="3:8">
      <c r="C280" s="31" t="b">
        <v>0</v>
      </c>
      <c r="D280" s="32">
        <v>2008</v>
      </c>
      <c r="E280" s="32" t="s">
        <v>66</v>
      </c>
      <c r="F280" s="32">
        <v>7385.0259999999998</v>
      </c>
      <c r="G280" s="32">
        <v>78.099999999999994</v>
      </c>
      <c r="H280" s="67">
        <v>2.3405080828885202E+18</v>
      </c>
    </row>
    <row r="281" spans="3:8">
      <c r="C281" s="31" t="b">
        <v>0</v>
      </c>
      <c r="D281" s="32">
        <v>2009</v>
      </c>
      <c r="E281" s="32" t="s">
        <v>67</v>
      </c>
      <c r="F281" s="32">
        <v>3945.873</v>
      </c>
      <c r="G281" s="32">
        <v>80.900000000000006</v>
      </c>
      <c r="H281" s="67">
        <v>7.2680708586611098E+18</v>
      </c>
    </row>
    <row r="282" spans="3:8">
      <c r="C282" s="31" t="b">
        <v>0</v>
      </c>
      <c r="D282" s="32">
        <v>2009</v>
      </c>
      <c r="E282" s="32" t="s">
        <v>63</v>
      </c>
      <c r="F282" s="32">
        <v>4158.2659999999996</v>
      </c>
      <c r="G282" s="32">
        <v>80.3</v>
      </c>
      <c r="H282" s="67">
        <v>7.9850745211843297E+18</v>
      </c>
    </row>
    <row r="283" spans="3:8">
      <c r="C283" s="31" t="b">
        <v>0</v>
      </c>
      <c r="D283" s="32">
        <v>2009</v>
      </c>
      <c r="E283" s="32" t="s">
        <v>64</v>
      </c>
      <c r="F283" s="32">
        <v>3880.8420000000001</v>
      </c>
      <c r="G283" s="32">
        <v>81.5</v>
      </c>
      <c r="H283" s="67">
        <v>1.01105128399149E+18</v>
      </c>
    </row>
    <row r="284" spans="3:8">
      <c r="C284" s="31" t="b">
        <v>0</v>
      </c>
      <c r="D284" s="32">
        <v>2009</v>
      </c>
      <c r="E284" s="32" t="s">
        <v>65</v>
      </c>
      <c r="F284" s="32">
        <v>3334.5059999999999</v>
      </c>
      <c r="G284" s="32">
        <v>80.400000000000006</v>
      </c>
      <c r="H284" s="67">
        <v>1.0393721861449601E+19</v>
      </c>
    </row>
    <row r="285" spans="3:8">
      <c r="C285" s="31" t="b">
        <v>0</v>
      </c>
      <c r="D285" s="32">
        <v>2009</v>
      </c>
      <c r="E285" s="32" t="s">
        <v>61</v>
      </c>
      <c r="F285" s="32">
        <v>2971.377</v>
      </c>
      <c r="G285" s="32">
        <v>83</v>
      </c>
      <c r="H285" s="67">
        <v>1.0000216180806001E+19</v>
      </c>
    </row>
    <row r="286" spans="3:8">
      <c r="C286" s="31" t="b">
        <v>0</v>
      </c>
      <c r="D286" s="32">
        <v>2009</v>
      </c>
      <c r="E286" s="32" t="s">
        <v>66</v>
      </c>
      <c r="F286" s="32">
        <v>7645.0020000000004</v>
      </c>
      <c r="G286" s="32">
        <v>78.5</v>
      </c>
      <c r="H286" s="67">
        <v>2.4196126448538099E+17</v>
      </c>
    </row>
    <row r="287" spans="3:8">
      <c r="C287" s="31" t="b">
        <v>0</v>
      </c>
      <c r="D287" s="32">
        <v>2010</v>
      </c>
      <c r="E287" s="32" t="s">
        <v>67</v>
      </c>
      <c r="F287" s="32">
        <v>4155.5290000000005</v>
      </c>
      <c r="G287" s="32">
        <v>81.2</v>
      </c>
      <c r="H287" s="67">
        <v>2.4245549938992701E+17</v>
      </c>
    </row>
    <row r="288" spans="3:8">
      <c r="C288" s="31" t="b">
        <v>0</v>
      </c>
      <c r="D288" s="32">
        <v>2010</v>
      </c>
      <c r="E288" s="32" t="s">
        <v>63</v>
      </c>
      <c r="F288" s="32">
        <v>4423.07</v>
      </c>
      <c r="G288" s="32">
        <v>80.5</v>
      </c>
      <c r="H288" s="67">
        <v>1.08602327478115E+19</v>
      </c>
    </row>
    <row r="289" spans="3:8">
      <c r="C289" s="31" t="b">
        <v>0</v>
      </c>
      <c r="D289" s="32">
        <v>2010</v>
      </c>
      <c r="E289" s="32" t="s">
        <v>64</v>
      </c>
      <c r="F289" s="32">
        <v>4045.0650000000001</v>
      </c>
      <c r="G289" s="32">
        <v>81.8</v>
      </c>
      <c r="H289" s="67">
        <v>1.20103310420281E+19</v>
      </c>
    </row>
    <row r="290" spans="3:8">
      <c r="C290" s="31" t="b">
        <v>0</v>
      </c>
      <c r="D290" s="32">
        <v>2010</v>
      </c>
      <c r="E290" s="32" t="s">
        <v>65</v>
      </c>
      <c r="F290" s="32">
        <v>3441.71</v>
      </c>
      <c r="G290" s="32">
        <v>80.599999999999994</v>
      </c>
      <c r="H290" s="67">
        <v>8.9364279523409797E+18</v>
      </c>
    </row>
    <row r="291" spans="3:8">
      <c r="C291" s="31" t="b">
        <v>0</v>
      </c>
      <c r="D291" s="32">
        <v>2010</v>
      </c>
      <c r="E291" s="32" t="s">
        <v>61</v>
      </c>
      <c r="F291" s="32">
        <v>3169.19</v>
      </c>
      <c r="G291" s="32">
        <v>82.9</v>
      </c>
      <c r="H291" s="67">
        <v>7.36731189312977E+18</v>
      </c>
    </row>
    <row r="292" spans="3:8">
      <c r="C292" s="31" t="b">
        <v>0</v>
      </c>
      <c r="D292" s="32">
        <v>2010</v>
      </c>
      <c r="E292" s="32" t="s">
        <v>66</v>
      </c>
      <c r="F292" s="32">
        <v>7879.2529999999997</v>
      </c>
      <c r="G292" s="32">
        <v>78.599999999999994</v>
      </c>
      <c r="H292" s="67">
        <v>1.0128488633908099E+19</v>
      </c>
    </row>
    <row r="293" spans="3:8">
      <c r="C293" s="31" t="b">
        <v>0</v>
      </c>
      <c r="D293" s="32">
        <v>2011</v>
      </c>
      <c r="E293" s="32" t="s">
        <v>67</v>
      </c>
      <c r="F293" s="32">
        <v>4228.9620000000004</v>
      </c>
      <c r="G293" s="32">
        <v>81.400000000000006</v>
      </c>
      <c r="H293" s="67">
        <v>7.11060315709777E+18</v>
      </c>
    </row>
    <row r="294" spans="3:8">
      <c r="C294" s="31" t="b">
        <v>0</v>
      </c>
      <c r="D294" s="32">
        <v>2011</v>
      </c>
      <c r="E294" s="32" t="s">
        <v>63</v>
      </c>
      <c r="F294" s="32">
        <v>4566.6779999999999</v>
      </c>
      <c r="G294" s="32">
        <v>80.5</v>
      </c>
      <c r="H294" s="67">
        <v>1.72955531511925E+19</v>
      </c>
    </row>
    <row r="295" spans="3:8">
      <c r="C295" s="31" t="b">
        <v>0</v>
      </c>
      <c r="D295" s="32">
        <v>2011</v>
      </c>
      <c r="E295" s="32" t="s">
        <v>64</v>
      </c>
      <c r="F295" s="32">
        <v>4161.6980000000003</v>
      </c>
      <c r="G295" s="32">
        <v>82.3</v>
      </c>
      <c r="H295" s="67">
        <v>1.0180999746466601E+19</v>
      </c>
    </row>
    <row r="296" spans="3:8">
      <c r="C296" s="31" t="b">
        <v>0</v>
      </c>
      <c r="D296" s="32">
        <v>2011</v>
      </c>
      <c r="E296" s="32" t="s">
        <v>65</v>
      </c>
      <c r="F296" s="32">
        <v>3495.652</v>
      </c>
      <c r="G296" s="32">
        <v>81</v>
      </c>
      <c r="H296" s="67">
        <v>1.48464322679743E+19</v>
      </c>
    </row>
    <row r="297" spans="3:8">
      <c r="C297" s="31" t="b">
        <v>0</v>
      </c>
      <c r="D297" s="32">
        <v>2011</v>
      </c>
      <c r="E297" s="32" t="s">
        <v>61</v>
      </c>
      <c r="F297" s="32">
        <v>3740.7559999999999</v>
      </c>
      <c r="G297" s="32">
        <v>82.7</v>
      </c>
      <c r="H297" s="67">
        <v>1.45022502808128E+19</v>
      </c>
    </row>
    <row r="298" spans="3:8">
      <c r="C298" s="31" t="b">
        <v>0</v>
      </c>
      <c r="D298" s="32">
        <v>2011</v>
      </c>
      <c r="E298" s="32" t="s">
        <v>66</v>
      </c>
      <c r="F298" s="32">
        <v>8079.4669999999996</v>
      </c>
      <c r="G298" s="32">
        <v>78.7</v>
      </c>
      <c r="H298" s="67">
        <v>1.6880684979145001E+19</v>
      </c>
    </row>
    <row r="299" spans="3:8">
      <c r="C299" s="31" t="b">
        <v>0</v>
      </c>
      <c r="D299" s="32">
        <v>2012</v>
      </c>
      <c r="E299" s="32" t="s">
        <v>67</v>
      </c>
      <c r="F299" s="32">
        <v>4336.2489999999998</v>
      </c>
      <c r="G299" s="32">
        <v>81.599999999999994</v>
      </c>
      <c r="H299" s="67">
        <v>9.75306452208947E+18</v>
      </c>
    </row>
    <row r="300" spans="3:8">
      <c r="C300" s="31" t="b">
        <v>0</v>
      </c>
      <c r="D300" s="32">
        <v>2012</v>
      </c>
      <c r="E300" s="32" t="s">
        <v>63</v>
      </c>
      <c r="F300" s="32">
        <v>4745.5460000000003</v>
      </c>
      <c r="G300" s="32">
        <v>80.599999999999994</v>
      </c>
      <c r="H300" s="67">
        <v>1.22077234235298E+19</v>
      </c>
    </row>
    <row r="301" spans="3:8">
      <c r="C301" s="31" t="b">
        <v>0</v>
      </c>
      <c r="D301" s="32">
        <v>2012</v>
      </c>
      <c r="E301" s="32" t="s">
        <v>64</v>
      </c>
      <c r="F301" s="32">
        <v>4299.4340000000002</v>
      </c>
      <c r="G301" s="32">
        <v>82.1</v>
      </c>
      <c r="H301" s="67">
        <v>1.5988075000728601E+19</v>
      </c>
    </row>
    <row r="302" spans="3:8">
      <c r="C302" s="31" t="b">
        <v>0</v>
      </c>
      <c r="D302" s="32">
        <v>2012</v>
      </c>
      <c r="E302" s="32" t="s">
        <v>65</v>
      </c>
      <c r="F302" s="32">
        <v>3614.1309999999999</v>
      </c>
      <c r="G302" s="32">
        <v>81</v>
      </c>
      <c r="H302" s="67">
        <v>1.71643700018612E+19</v>
      </c>
    </row>
    <row r="303" spans="3:8">
      <c r="C303" s="31" t="b">
        <v>0</v>
      </c>
      <c r="D303" s="32">
        <v>2012</v>
      </c>
      <c r="E303" s="32" t="s">
        <v>61</v>
      </c>
      <c r="F303" s="32">
        <v>3970.7649999999999</v>
      </c>
      <c r="G303" s="32">
        <v>83.2</v>
      </c>
      <c r="H303" s="67">
        <v>4.9854628364080896E+18</v>
      </c>
    </row>
    <row r="304" spans="3:8">
      <c r="C304" s="31" t="b">
        <v>0</v>
      </c>
      <c r="D304" s="32">
        <v>2012</v>
      </c>
      <c r="E304" s="32" t="s">
        <v>66</v>
      </c>
      <c r="F304" s="32">
        <v>8346.0640000000003</v>
      </c>
      <c r="G304" s="32">
        <v>78.8</v>
      </c>
      <c r="H304" s="67">
        <v>1.41384961999598E+19</v>
      </c>
    </row>
    <row r="305" spans="3:8">
      <c r="C305" s="31" t="b">
        <v>0</v>
      </c>
      <c r="D305" s="32">
        <v>2013</v>
      </c>
      <c r="E305" s="32" t="s">
        <v>67</v>
      </c>
      <c r="F305" s="32">
        <v>4428.7529999999997</v>
      </c>
      <c r="G305" s="32">
        <v>81.7</v>
      </c>
      <c r="H305" s="67">
        <v>1.5122607637468299E+19</v>
      </c>
    </row>
    <row r="306" spans="3:8">
      <c r="C306" s="31" t="b">
        <v>0</v>
      </c>
      <c r="D306" s="32">
        <v>2013</v>
      </c>
      <c r="E306" s="32" t="s">
        <v>63</v>
      </c>
      <c r="F306" s="32">
        <v>4951.6769999999997</v>
      </c>
      <c r="G306" s="32">
        <v>80.599999999999994</v>
      </c>
      <c r="H306" s="67">
        <v>2.25274622477859E+18</v>
      </c>
    </row>
    <row r="307" spans="3:8">
      <c r="C307" s="31" t="b">
        <v>0</v>
      </c>
      <c r="D307" s="32">
        <v>2013</v>
      </c>
      <c r="E307" s="32" t="s">
        <v>64</v>
      </c>
      <c r="F307" s="32">
        <v>4544.9639999999999</v>
      </c>
      <c r="G307" s="32">
        <v>82.3</v>
      </c>
      <c r="H307" s="67">
        <v>1.3547323104845001E+19</v>
      </c>
    </row>
    <row r="308" spans="3:8">
      <c r="C308" s="31" t="b">
        <v>0</v>
      </c>
      <c r="D308" s="32">
        <v>2013</v>
      </c>
      <c r="E308" s="32" t="s">
        <v>65</v>
      </c>
      <c r="F308" s="32">
        <v>3667.636</v>
      </c>
      <c r="G308" s="32">
        <v>81.099999999999994</v>
      </c>
      <c r="H308" s="67">
        <v>2.8182004420516198E+18</v>
      </c>
    </row>
    <row r="309" spans="3:8">
      <c r="C309" s="31" t="b">
        <v>0</v>
      </c>
      <c r="D309" s="32">
        <v>2013</v>
      </c>
      <c r="E309" s="32" t="s">
        <v>61</v>
      </c>
      <c r="F309" s="32">
        <v>4308.2520000000004</v>
      </c>
      <c r="G309" s="32">
        <v>83.4</v>
      </c>
      <c r="H309" s="67">
        <v>1.5787095793906801E+18</v>
      </c>
    </row>
    <row r="310" spans="3:8">
      <c r="C310" s="31" t="b">
        <v>0</v>
      </c>
      <c r="D310" s="32">
        <v>2013</v>
      </c>
      <c r="E310" s="32" t="s">
        <v>66</v>
      </c>
      <c r="F310" s="32">
        <v>8519.6200000000008</v>
      </c>
      <c r="G310" s="32">
        <v>78.8</v>
      </c>
      <c r="H310" s="67">
        <v>1.45105926434979E+19</v>
      </c>
    </row>
    <row r="311" spans="3:8">
      <c r="C311" s="31" t="b">
        <v>0</v>
      </c>
      <c r="D311" s="32">
        <v>2014</v>
      </c>
      <c r="E311" s="32" t="s">
        <v>67</v>
      </c>
      <c r="F311" s="32">
        <v>4536.8100000000004</v>
      </c>
      <c r="G311" s="32">
        <v>81.8</v>
      </c>
      <c r="H311" s="67">
        <v>6.4415245482086902E+18</v>
      </c>
    </row>
    <row r="312" spans="3:8">
      <c r="C312" s="31" t="b">
        <v>0</v>
      </c>
      <c r="D312" s="32">
        <v>2014</v>
      </c>
      <c r="E312" s="32" t="s">
        <v>63</v>
      </c>
      <c r="F312" s="32">
        <v>5151.7089999999998</v>
      </c>
      <c r="G312" s="32">
        <v>81.2</v>
      </c>
      <c r="H312" s="67">
        <v>7.4057639833588797E+18</v>
      </c>
    </row>
    <row r="313" spans="3:8">
      <c r="C313" s="31" t="b">
        <v>0</v>
      </c>
      <c r="D313" s="32">
        <v>2014</v>
      </c>
      <c r="E313" s="32" t="s">
        <v>64</v>
      </c>
      <c r="F313" s="32">
        <v>4626.6790000000001</v>
      </c>
      <c r="G313" s="32">
        <v>82.8</v>
      </c>
      <c r="H313" s="67">
        <v>1.05265276047012E+19</v>
      </c>
    </row>
    <row r="314" spans="3:8">
      <c r="C314" s="31" t="b">
        <v>0</v>
      </c>
      <c r="D314" s="32">
        <v>2014</v>
      </c>
      <c r="E314" s="32" t="s">
        <v>65</v>
      </c>
      <c r="F314" s="32">
        <v>3758.9349999999999</v>
      </c>
      <c r="G314" s="32">
        <v>81.400000000000006</v>
      </c>
      <c r="H314" s="67">
        <v>1.4851600190676401E+18</v>
      </c>
    </row>
    <row r="315" spans="3:8">
      <c r="C315" s="31" t="b">
        <v>0</v>
      </c>
      <c r="D315" s="32">
        <v>2014</v>
      </c>
      <c r="E315" s="32" t="s">
        <v>61</v>
      </c>
      <c r="F315" s="32">
        <v>4328.3639999999996</v>
      </c>
      <c r="G315" s="32">
        <v>83.7</v>
      </c>
      <c r="H315" s="67">
        <v>1.2237222951576799E+19</v>
      </c>
    </row>
    <row r="316" spans="3:8">
      <c r="C316" s="31" t="b">
        <v>0</v>
      </c>
      <c r="D316" s="32">
        <v>2014</v>
      </c>
      <c r="E316" s="32" t="s">
        <v>66</v>
      </c>
      <c r="F316" s="32">
        <v>8925.8790000000008</v>
      </c>
      <c r="G316" s="32">
        <v>78.900000000000006</v>
      </c>
      <c r="H316" s="67">
        <v>6.6929334275964099E+18</v>
      </c>
    </row>
    <row r="317" spans="3:8">
      <c r="C317" s="31" t="b">
        <v>0</v>
      </c>
      <c r="D317" s="32">
        <v>2015</v>
      </c>
      <c r="E317" s="32" t="s">
        <v>67</v>
      </c>
      <c r="F317" s="32">
        <v>4635.2849999999999</v>
      </c>
      <c r="G317" s="32">
        <v>81.900000000000006</v>
      </c>
      <c r="H317" s="67">
        <v>6.3072534844016404E+18</v>
      </c>
    </row>
    <row r="318" spans="3:8">
      <c r="C318" s="31" t="b">
        <v>0</v>
      </c>
      <c r="D318" s="32">
        <v>2015</v>
      </c>
      <c r="E318" s="32" t="s">
        <v>63</v>
      </c>
      <c r="F318" s="32">
        <v>5295.9750000000004</v>
      </c>
      <c r="G318" s="32">
        <v>80.7</v>
      </c>
      <c r="H318" s="67">
        <v>1.4863026342916801E+19</v>
      </c>
    </row>
    <row r="319" spans="3:8">
      <c r="C319" s="31" t="b">
        <v>0</v>
      </c>
      <c r="D319" s="32">
        <v>2015</v>
      </c>
      <c r="E319" s="32" t="s">
        <v>64</v>
      </c>
      <c r="F319" s="32">
        <v>4667.1559999999999</v>
      </c>
      <c r="G319" s="32">
        <v>82.4</v>
      </c>
      <c r="H319" s="67">
        <v>7.0886715241595197E+18</v>
      </c>
    </row>
    <row r="320" spans="3:8">
      <c r="C320" s="31" t="b">
        <v>0</v>
      </c>
      <c r="D320" s="32">
        <v>2015</v>
      </c>
      <c r="E320" s="32" t="s">
        <v>65</v>
      </c>
      <c r="F320" s="32">
        <v>3805.82</v>
      </c>
      <c r="G320" s="32">
        <v>81</v>
      </c>
      <c r="H320" s="67">
        <v>1.44372964837458E+19</v>
      </c>
    </row>
    <row r="321" spans="3:8">
      <c r="C321" s="31" t="b">
        <v>0</v>
      </c>
      <c r="D321" s="32">
        <v>2015</v>
      </c>
      <c r="E321" s="32" t="s">
        <v>61</v>
      </c>
      <c r="F321" s="32">
        <v>4515.5559999999996</v>
      </c>
      <c r="G321" s="32">
        <v>83.9</v>
      </c>
      <c r="H321" s="67">
        <v>4.08957339236706E+18</v>
      </c>
    </row>
    <row r="322" spans="3:8">
      <c r="C322" s="31" t="b">
        <v>0</v>
      </c>
      <c r="D322" s="32">
        <v>2015</v>
      </c>
      <c r="E322" s="32" t="s">
        <v>66</v>
      </c>
      <c r="F322" s="32">
        <v>9355.1180000000004</v>
      </c>
      <c r="G322" s="32">
        <v>78.7</v>
      </c>
      <c r="H322" s="67">
        <v>2.1802618907368499E+18</v>
      </c>
    </row>
    <row r="323" spans="3:8">
      <c r="C323" s="31" t="b">
        <v>0</v>
      </c>
      <c r="D323" s="32">
        <v>2016</v>
      </c>
      <c r="E323" s="32" t="s">
        <v>67</v>
      </c>
      <c r="F323" s="32">
        <v>5044.2749999999996</v>
      </c>
      <c r="G323" s="32">
        <v>82</v>
      </c>
      <c r="H323" s="67">
        <v>1.6816069390637199E+19</v>
      </c>
    </row>
    <row r="324" spans="3:8">
      <c r="C324" s="31" t="b">
        <v>0</v>
      </c>
      <c r="D324" s="32">
        <v>2016</v>
      </c>
      <c r="E324" s="32" t="s">
        <v>63</v>
      </c>
      <c r="F324" s="32">
        <v>5669.0640000000003</v>
      </c>
      <c r="G324" s="32">
        <v>81</v>
      </c>
      <c r="H324" s="67">
        <v>1.50033214811968E+19</v>
      </c>
    </row>
    <row r="325" spans="3:8">
      <c r="C325" s="31" t="b">
        <v>0</v>
      </c>
      <c r="D325" s="32">
        <v>2016</v>
      </c>
      <c r="E325" s="32" t="s">
        <v>64</v>
      </c>
      <c r="F325" s="32">
        <v>4928.1279999999997</v>
      </c>
      <c r="G325" s="32">
        <v>82.7</v>
      </c>
      <c r="H325" s="67">
        <v>8.6660650986967398E+18</v>
      </c>
    </row>
    <row r="326" spans="3:8">
      <c r="C326" s="31" t="b">
        <v>0</v>
      </c>
      <c r="D326" s="32">
        <v>2016</v>
      </c>
      <c r="E326" s="32" t="s">
        <v>65</v>
      </c>
      <c r="F326" s="32">
        <v>3960.1410000000001</v>
      </c>
      <c r="G326" s="32">
        <v>81.2</v>
      </c>
      <c r="H326" s="67">
        <v>1.6277505312469E+19</v>
      </c>
    </row>
    <row r="327" spans="3:8">
      <c r="C327" s="31" t="b">
        <v>0</v>
      </c>
      <c r="D327" s="32">
        <v>2016</v>
      </c>
      <c r="E327" s="32" t="s">
        <v>61</v>
      </c>
      <c r="F327" s="32">
        <v>4295.8580000000002</v>
      </c>
      <c r="G327" s="32">
        <v>84.1</v>
      </c>
      <c r="H327" s="67">
        <v>1.16471897487157E+19</v>
      </c>
    </row>
    <row r="328" spans="3:8">
      <c r="C328" s="31" t="b">
        <v>0</v>
      </c>
      <c r="D328" s="32">
        <v>2016</v>
      </c>
      <c r="E328" s="32" t="s">
        <v>66</v>
      </c>
      <c r="F328" s="32">
        <v>9717.6489999999994</v>
      </c>
      <c r="G328" s="32">
        <v>78.7</v>
      </c>
      <c r="H328" s="67">
        <v>5.6717142511789199E+18</v>
      </c>
    </row>
    <row r="329" spans="3:8">
      <c r="C329" s="31" t="b">
        <v>0</v>
      </c>
      <c r="D329" s="32">
        <v>2017</v>
      </c>
      <c r="E329" s="32" t="s">
        <v>67</v>
      </c>
      <c r="F329" s="32">
        <v>5150.47</v>
      </c>
      <c r="G329" s="32">
        <v>81.900000000000006</v>
      </c>
      <c r="H329" s="67">
        <v>1.1162911729340101E+19</v>
      </c>
    </row>
    <row r="330" spans="3:8">
      <c r="C330" s="31" t="b">
        <v>0</v>
      </c>
      <c r="D330" s="32">
        <v>2017</v>
      </c>
      <c r="E330" s="32" t="s">
        <v>63</v>
      </c>
      <c r="F330" s="32">
        <v>5970.1629999999996</v>
      </c>
      <c r="G330" s="32">
        <v>81.099999999999994</v>
      </c>
      <c r="H330" s="67">
        <v>1.68678834501638E+19</v>
      </c>
    </row>
    <row r="331" spans="3:8">
      <c r="C331" s="31" t="b">
        <v>0</v>
      </c>
      <c r="D331" s="32">
        <v>2017</v>
      </c>
      <c r="E331" s="32" t="s">
        <v>64</v>
      </c>
      <c r="F331" s="32">
        <v>5005.7560000000003</v>
      </c>
      <c r="G331" s="32">
        <v>82.7</v>
      </c>
      <c r="H331" s="67">
        <v>1.6852297500510501E+19</v>
      </c>
    </row>
    <row r="332" spans="3:8">
      <c r="C332" s="31" t="b">
        <v>0</v>
      </c>
      <c r="D332" s="32">
        <v>2017</v>
      </c>
      <c r="E332" s="32" t="s">
        <v>65</v>
      </c>
      <c r="F332" s="32">
        <v>4059.125</v>
      </c>
      <c r="G332" s="32">
        <v>81.3</v>
      </c>
      <c r="H332" s="67">
        <v>8.9489851654692403E+18</v>
      </c>
    </row>
    <row r="333" spans="3:8">
      <c r="C333" s="31" t="b">
        <v>0</v>
      </c>
      <c r="D333" s="32">
        <v>2017</v>
      </c>
      <c r="E333" s="32" t="s">
        <v>61</v>
      </c>
      <c r="F333" s="32">
        <v>4412.8519999999999</v>
      </c>
      <c r="G333" s="32">
        <v>84.2</v>
      </c>
      <c r="H333" s="67">
        <v>1.4321128727441101E+19</v>
      </c>
    </row>
    <row r="334" spans="3:8">
      <c r="C334" s="31" t="b">
        <v>0</v>
      </c>
      <c r="D334" s="32">
        <v>2017</v>
      </c>
      <c r="E334" s="32" t="s">
        <v>66</v>
      </c>
      <c r="F334" s="32">
        <v>10046.472</v>
      </c>
      <c r="G334" s="32">
        <v>78.599999999999994</v>
      </c>
      <c r="H334" s="67">
        <v>1.46342702126359E+19</v>
      </c>
    </row>
    <row r="335" spans="3:8">
      <c r="C335" s="31" t="b">
        <v>0</v>
      </c>
      <c r="D335" s="32">
        <v>2018</v>
      </c>
      <c r="E335" s="32" t="s">
        <v>67</v>
      </c>
      <c r="F335" s="32">
        <v>5308.3559999999998</v>
      </c>
      <c r="G335" s="32">
        <v>82</v>
      </c>
      <c r="H335" s="67">
        <v>1.0605990456877501E+17</v>
      </c>
    </row>
    <row r="336" spans="3:8">
      <c r="C336" s="31" t="b">
        <v>0</v>
      </c>
      <c r="D336" s="32">
        <v>2018</v>
      </c>
      <c r="E336" s="32" t="s">
        <v>63</v>
      </c>
      <c r="F336" s="32">
        <v>6281.84</v>
      </c>
      <c r="G336" s="32">
        <v>81</v>
      </c>
      <c r="H336" s="67">
        <v>8.5182858968250102E+18</v>
      </c>
    </row>
    <row r="337" spans="3:8">
      <c r="C337" s="31" t="b">
        <v>0</v>
      </c>
      <c r="D337" s="32">
        <v>2018</v>
      </c>
      <c r="E337" s="32" t="s">
        <v>64</v>
      </c>
      <c r="F337" s="32">
        <v>5099.3059999999996</v>
      </c>
      <c r="G337" s="32">
        <v>82.8</v>
      </c>
      <c r="H337" s="67">
        <v>2.4549784143031199E+18</v>
      </c>
    </row>
    <row r="338" spans="3:8">
      <c r="C338" s="31" t="b">
        <v>0</v>
      </c>
      <c r="D338" s="32">
        <v>2018</v>
      </c>
      <c r="E338" s="32" t="s">
        <v>65</v>
      </c>
      <c r="F338" s="32">
        <v>4189.7079999999996</v>
      </c>
      <c r="G338" s="32">
        <v>81.3</v>
      </c>
      <c r="H338" s="67">
        <v>1.4924690376117101E+19</v>
      </c>
    </row>
    <row r="339" spans="3:8">
      <c r="C339" s="31" t="b">
        <v>0</v>
      </c>
      <c r="D339" s="32">
        <v>2018</v>
      </c>
      <c r="E339" s="32" t="s">
        <v>61</v>
      </c>
      <c r="F339" s="32">
        <v>4554.2759999999998</v>
      </c>
      <c r="G339" s="32">
        <v>84.3</v>
      </c>
      <c r="H339" s="67">
        <v>1.6760478290000599E+18</v>
      </c>
    </row>
    <row r="340" spans="3:8">
      <c r="C340" s="31" t="b">
        <v>0</v>
      </c>
      <c r="D340" s="32">
        <v>2018</v>
      </c>
      <c r="E340" s="32" t="s">
        <v>66</v>
      </c>
      <c r="F340" s="32">
        <v>10451.386</v>
      </c>
      <c r="G340" s="32">
        <v>78.7</v>
      </c>
      <c r="H340" s="67">
        <v>1.28320018962868E+19</v>
      </c>
    </row>
    <row r="341" spans="3:8">
      <c r="C341" s="31" t="b">
        <v>0</v>
      </c>
      <c r="D341" s="32">
        <v>2019</v>
      </c>
      <c r="E341" s="32" t="s">
        <v>67</v>
      </c>
      <c r="F341" s="32">
        <v>5189.7209999999995</v>
      </c>
      <c r="G341" s="32">
        <v>82.2</v>
      </c>
      <c r="H341" s="67">
        <v>1.7846617015645999E+19</v>
      </c>
    </row>
    <row r="342" spans="3:8">
      <c r="C342" s="31" t="b">
        <v>0</v>
      </c>
      <c r="D342" s="32">
        <v>2019</v>
      </c>
      <c r="E342" s="32" t="s">
        <v>63</v>
      </c>
      <c r="F342" s="32">
        <v>6407.9279999999999</v>
      </c>
      <c r="G342" s="32">
        <v>81.3</v>
      </c>
      <c r="H342" s="67">
        <v>2.7231255486429E+18</v>
      </c>
    </row>
    <row r="343" spans="3:8">
      <c r="C343" s="31" t="b">
        <v>0</v>
      </c>
      <c r="D343" s="32">
        <v>2019</v>
      </c>
      <c r="E343" s="32" t="s">
        <v>64</v>
      </c>
      <c r="F343" s="32">
        <v>5167.8389999999999</v>
      </c>
      <c r="G343" s="32">
        <v>82.9</v>
      </c>
      <c r="H343" s="67">
        <v>5.1120751696530196E+18</v>
      </c>
    </row>
    <row r="344" spans="3:8">
      <c r="C344" s="31" t="b">
        <v>0</v>
      </c>
      <c r="D344" s="32">
        <v>2019</v>
      </c>
      <c r="E344" s="32" t="s">
        <v>65</v>
      </c>
      <c r="F344" s="32">
        <v>4385.4629999999997</v>
      </c>
      <c r="G344" s="32">
        <v>81.400000000000006</v>
      </c>
      <c r="H344" s="67">
        <v>8.1327633361409905E+18</v>
      </c>
    </row>
    <row r="345" spans="3:8">
      <c r="C345" s="31" t="b">
        <v>0</v>
      </c>
      <c r="D345" s="32">
        <v>2019</v>
      </c>
      <c r="E345" s="32" t="s">
        <v>61</v>
      </c>
      <c r="F345" s="32">
        <v>4610.7939999999999</v>
      </c>
      <c r="G345" s="32">
        <v>84.4</v>
      </c>
      <c r="H345" s="67">
        <v>8.7849631547805399E+18</v>
      </c>
    </row>
    <row r="346" spans="3:8">
      <c r="C346" s="31" t="b">
        <v>0</v>
      </c>
      <c r="D346" s="32">
        <v>2019</v>
      </c>
      <c r="E346" s="32" t="s">
        <v>66</v>
      </c>
      <c r="F346" s="32">
        <v>10855.517</v>
      </c>
      <c r="G346" s="32">
        <v>78.8</v>
      </c>
      <c r="H346" s="67">
        <v>2.91050356169809E+18</v>
      </c>
    </row>
    <row r="347" spans="3:8">
      <c r="C347" s="31" t="b">
        <v>0</v>
      </c>
      <c r="D347" s="32">
        <v>2020</v>
      </c>
      <c r="E347" s="32" t="s">
        <v>67</v>
      </c>
      <c r="F347" s="32">
        <v>5828.3239999999996</v>
      </c>
      <c r="G347" s="32">
        <v>81.7</v>
      </c>
      <c r="H347" s="67">
        <v>1.0814049797672301E+19</v>
      </c>
    </row>
    <row r="348" spans="3:8">
      <c r="C348" s="31" t="b">
        <v>0</v>
      </c>
      <c r="D348" s="32">
        <v>2020</v>
      </c>
      <c r="E348" s="32" t="s">
        <v>63</v>
      </c>
      <c r="F348" s="32">
        <v>6938.9830000000002</v>
      </c>
      <c r="G348" s="32">
        <v>81.099999999999994</v>
      </c>
      <c r="H348" s="67">
        <v>1.46553643269848E+19</v>
      </c>
    </row>
    <row r="349" spans="3:8">
      <c r="C349" s="31" t="b">
        <v>0</v>
      </c>
      <c r="D349" s="32">
        <v>2020</v>
      </c>
      <c r="E349" s="32" t="s">
        <v>64</v>
      </c>
      <c r="F349" s="32">
        <v>5468.4179999999997</v>
      </c>
      <c r="G349" s="32">
        <v>82.3</v>
      </c>
      <c r="H349" s="67">
        <v>1.6588531795004801E+19</v>
      </c>
    </row>
    <row r="350" spans="3:8">
      <c r="C350" s="31" t="b">
        <v>0</v>
      </c>
      <c r="D350" s="32">
        <v>2020</v>
      </c>
      <c r="E350" s="32" t="s">
        <v>65</v>
      </c>
      <c r="F350" s="32">
        <v>5018.7</v>
      </c>
      <c r="G350" s="32">
        <v>80.400000000000006</v>
      </c>
      <c r="H350" s="67">
        <v>6.8085391842849997E+17</v>
      </c>
    </row>
    <row r="351" spans="3:8">
      <c r="C351" s="31" t="b">
        <v>0</v>
      </c>
      <c r="D351" s="32">
        <v>2020</v>
      </c>
      <c r="E351" s="32" t="s">
        <v>61</v>
      </c>
      <c r="F351" s="32">
        <v>4665.6409999999996</v>
      </c>
      <c r="G351" s="32">
        <v>84.7</v>
      </c>
      <c r="H351" s="67">
        <v>1.0082141408691499E+19</v>
      </c>
    </row>
    <row r="352" spans="3:8">
      <c r="C352" s="31" t="b">
        <v>0</v>
      </c>
      <c r="D352" s="32">
        <v>2020</v>
      </c>
      <c r="E352" s="32" t="s">
        <v>66</v>
      </c>
      <c r="F352" s="32">
        <v>11859.179</v>
      </c>
      <c r="G352" s="32">
        <v>77</v>
      </c>
      <c r="H352" s="67">
        <v>1.51175073118225E+19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35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G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G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G29 G35:G39 G45:G53">
    <cfRule type="cellIs" dxfId="8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3" priority="3" operator="equal">
      <formula>"Notes"</formula>
    </cfRule>
  </conditionalFormatting>
  <conditionalFormatting sqref="E6:E7">
    <cfRule type="cellIs" dxfId="12" priority="4" operator="equal">
      <formula>0</formula>
    </cfRule>
  </conditionalFormatting>
  <conditionalFormatting sqref="E2">
    <cfRule type="cellIs" dxfId="11" priority="1" operator="equal">
      <formula>"Notes"</formula>
    </cfRule>
    <cfRule type="cellIs" dxfId="1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2026-05-19T06:12:02Z</dcterms:modified>
</cp:coreProperties>
</file>