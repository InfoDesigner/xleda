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"/>
    </mc:Choice>
  </mc:AlternateContent>
  <xr:revisionPtr revIDLastSave="0" documentId="8_{FD89464A-0EBB-4AC8-B5AB-8453C8137052}" xr6:coauthVersionLast="47" xr6:coauthVersionMax="47" xr10:uidLastSave="{00000000-0000-0000-0000-000000000000}"/>
  <bookViews>
    <workbookView xWindow="3000" yWindow="3000" windowWidth="17280" windowHeight="8880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Analysis'!$C$62:$C$70</definedName>
    <definedName name="Composition">'Field Analysis'!$D$16:$D$26</definedName>
    <definedName name="CompositionTable">'Field Analysis'!$D$25</definedName>
    <definedName name="DarkHeader">'Field Analysis'!$D$72</definedName>
    <definedName name="Definitions">'Field Analysis'!$D$8:$I$8</definedName>
    <definedName name="Description">'Field Analysis'!$D$3</definedName>
    <definedName name="Dimensions">'Field Analysis'!$C$4</definedName>
    <definedName name="Field_Analysis">'Field Analysis'!$D$13:$D$71</definedName>
    <definedName name="Field_Lists">'Field Analysis'!$C$51:$D$59</definedName>
    <definedName name="Field_Notes">'Field Analysis'!$D$8:$D$11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Analysis'!$D$51:$I$51</definedName>
    <definedName name="FieldList2" localSheetId="3">#REF!</definedName>
    <definedName name="FieldList2" localSheetId="2">#REF!</definedName>
    <definedName name="FieldList2">'Field Analysis'!$D$52:$I$52</definedName>
    <definedName name="FieldList3" localSheetId="3">#REF!</definedName>
    <definedName name="FieldList3" localSheetId="2">#REF!</definedName>
    <definedName name="FieldList3">'Field Analysis'!$D$53:$I$53</definedName>
    <definedName name="FieldList4" localSheetId="3">#REF!</definedName>
    <definedName name="FieldList4" localSheetId="2">#REF!</definedName>
    <definedName name="FieldList4">'Field Analysis'!$D$54:$I$54</definedName>
    <definedName name="FieldList5" localSheetId="3">#REF!</definedName>
    <definedName name="FieldList5" localSheetId="2">#REF!</definedName>
    <definedName name="FieldList5">'Field Analysis'!$D$55:$I$55</definedName>
    <definedName name="FieldList6" localSheetId="3">#REF!</definedName>
    <definedName name="FieldList6" localSheetId="2">#REF!</definedName>
    <definedName name="FieldList6">'Field Analysis'!$D$56:$I$56</definedName>
    <definedName name="FieldList7">'Field Analysis'!$D$57:$I$57</definedName>
    <definedName name="FieldList8">'Field Analysis'!$D$58:$I$58</definedName>
    <definedName name="FieldRange" localSheetId="3">#REF!</definedName>
    <definedName name="FieldRange" localSheetId="2">#REF!</definedName>
    <definedName name="FieldRange">'Field Analysis'!$D$72:$I$72</definedName>
    <definedName name="FormatRange">'Field Analysis'!$E:$E</definedName>
    <definedName name="Headers">'Field Analysis'!$D$12:$I$12</definedName>
    <definedName name="Headers_Start">'Field Analysis'!$D$12</definedName>
    <definedName name="Histogram">'Field Analysis'!$D$35</definedName>
    <definedName name="LightHeader" localSheetId="3">#REF!</definedName>
    <definedName name="LightHeader" localSheetId="2">#REF!</definedName>
    <definedName name="LightHeader">'Field Analysis'!$C$72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Analysis'!$D$10:$I$10</definedName>
    <definedName name="Percentiles">'Field Analysis'!$D$39:$D$48</definedName>
    <definedName name="RecordHashes">'Field Analysis'!$J$73:$J$1107</definedName>
    <definedName name="SerializedLists">'Field Analysis'!$D$62:$D$71</definedName>
    <definedName name="SinglePlot">SinglePlot!$C$6</definedName>
    <definedName name="SinglePlotTitle">SinglePlot!$C$2</definedName>
    <definedName name="Summary_Stats">'Field Analysis'!$D$29:$D$36</definedName>
    <definedName name="Theme" localSheetId="1">'Field Analysis'!$B$12:$E$12,LightHeader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C2" i="9"/>
  <c r="D69" i="3" l="1" a="1"/>
  <c r="D69" i="3" s="1"/>
  <c r="D68" i="3" a="1"/>
  <c r="D68" i="3" s="1"/>
  <c r="C67" i="3"/>
  <c r="C68" i="3"/>
  <c r="C69" i="3"/>
  <c r="D62" i="3"/>
  <c r="C70" i="3"/>
  <c r="C66" i="3"/>
  <c r="C65" i="3"/>
  <c r="C64" i="3"/>
  <c r="C63" i="3"/>
  <c r="C62" i="3"/>
  <c r="D66" i="3"/>
  <c r="D65" i="3"/>
  <c r="D64" i="3"/>
  <c r="D63" i="3"/>
  <c r="D67" i="3"/>
  <c r="D70" i="3" a="1"/>
  <c r="D70" i="3" s="1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<sst xmlns="http://schemas.openxmlformats.org/spreadsheetml/2006/main" count="1157" uniqueCount="68">
  <si>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</si>
  <si>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</si>
  <si>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</si>
  <si>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</si>
  <si>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</si>
  <si>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</si>
  <si>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</si>
  <si>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</si>
  <si>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</si>
  <si>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</si>
  <si>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</si>
  <si>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</si>
  <si>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</si>
  <si>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</si>
  <si>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</si>
  <si>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</si>
  <si>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</si>
  <si>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</si>
  <si>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</si>
  <si>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</si>
  <si>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</si>
  <si>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</si>
  <si>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</si>
  <si>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</si>
  <si>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</si>
  <si>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</si>
  <si>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</si>
  <si>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</si>
  <si>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</si>
  <si>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</si>
  <si>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</si>
  <si>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</si>
  <si>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</si>
  <si>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</si>
  <si>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</si>
  <si>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</si>
  <si>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</si>
  <si>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</si>
  <si>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</si>
  <si>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</si>
  <si>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</si>
  <si>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</si>
  <si>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</si>
  <si>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</si>
  <si>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</si>
  <si>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</si>
  <si>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planets</t>
  </si>
  <si>
    <t>rows = 1035, columns = 6</t>
  </si>
  <si>
    <t>method</t>
  </si>
  <si>
    <t>number</t>
  </si>
  <si>
    <t>orbital_period</t>
  </si>
  <si>
    <t>mass</t>
  </si>
  <si>
    <t>distance</t>
  </si>
  <si>
    <t>year</t>
  </si>
  <si>
    <t>61,952 bytes</t>
  </si>
  <si>
    <t>str</t>
  </si>
  <si>
    <t>Radial Velocity</t>
  </si>
  <si>
    <t>int64</t>
  </si>
  <si>
    <t>float64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</si>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</sst>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24" x14ac:knownFonts="1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B20D6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4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4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2" fillId="2" borderId="0" xfId="1" applyAlignment="1">
      <alignment horizontal="center" vertical="center"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0" fontId="10" fillId="4" borderId="3" xfId="1" applyFont="1" applyFill="1" applyBorder="1" applyAlignment="1">
      <alignment horizontal="right" wrapText="1"/>
    </xf>
    <xf numFmtId="3" fontId="6" fillId="4" borderId="4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10" fillId="4" borderId="5" xfId="1" applyFont="1" applyFill="1" applyBorder="1" applyAlignment="1">
      <alignment horizontal="right" wrapText="1"/>
    </xf>
    <xf numFmtId="0" fontId="10" fillId="5" borderId="5" xfId="1" applyFont="1" applyFill="1" applyBorder="1" applyAlignment="1">
      <alignment horizontal="right" wrapText="1"/>
    </xf>
    <xf numFmtId="0" fontId="6" fillId="4" borderId="4" xfId="1" applyFont="1" applyFill="1" applyBorder="1" applyAlignment="1">
      <alignment horizontal="center" wrapText="1"/>
    </xf>
    <xf numFmtId="0" fontId="10" fillId="5" borderId="6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4" xfId="1" applyNumberFormat="1" applyFont="1" applyFill="1" applyBorder="1" applyAlignment="1">
      <alignment horizontal="center" wrapText="1"/>
    </xf>
    <xf numFmtId="0" fontId="6" fillId="5" borderId="4" xfId="1" applyFont="1" applyFill="1" applyBorder="1" applyAlignment="1">
      <alignment horizontal="center" wrapText="1"/>
    </xf>
    <xf numFmtId="2" fontId="6" fillId="5" borderId="4" xfId="1" applyNumberFormat="1" applyFont="1" applyFill="1" applyBorder="1" applyAlignment="1">
      <alignment horizontal="center" wrapText="1"/>
    </xf>
    <xf numFmtId="0" fontId="10" fillId="4" borderId="6" xfId="1" applyFont="1" applyFill="1" applyBorder="1" applyAlignment="1">
      <alignment horizontal="right" wrapText="1"/>
    </xf>
    <xf numFmtId="0" fontId="3" fillId="2" borderId="0" xfId="1" applyFont="1" applyAlignment="1">
      <alignment vertical="top"/>
    </xf>
    <xf numFmtId="0" fontId="10" fillId="5" borderId="3" xfId="1" applyFont="1" applyFill="1" applyBorder="1" applyAlignment="1">
      <alignment horizontal="right" wrapText="1"/>
    </xf>
    <xf numFmtId="9" fontId="10" fillId="4" borderId="5" xfId="1" applyNumberFormat="1" applyFont="1" applyFill="1" applyBorder="1" applyAlignment="1">
      <alignment horizontal="right" wrapText="1"/>
    </xf>
    <xf numFmtId="9" fontId="10" fillId="5" borderId="5" xfId="1" applyNumberFormat="1" applyFont="1" applyFill="1" applyBorder="1" applyAlignment="1">
      <alignment horizontal="right" wrapText="1"/>
    </xf>
    <xf numFmtId="0" fontId="10" fillId="5" borderId="7" xfId="1" applyFont="1" applyFill="1" applyBorder="1" applyAlignment="1">
      <alignment horizontal="right" wrapText="1"/>
    </xf>
    <xf numFmtId="0" fontId="9" fillId="2" borderId="0" xfId="1" applyFont="1" applyAlignment="1">
      <alignment horizontal="right" vertical="center" textRotation="180"/>
    </xf>
    <xf numFmtId="0" fontId="10" fillId="2" borderId="9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1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8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7" xfId="1" applyFont="1" applyFill="1" applyBorder="1" applyAlignment="1">
      <alignment horizontal="right"/>
    </xf>
    <xf numFmtId="0" fontId="17" fillId="2" borderId="0" xfId="1" applyFont="1" applyAlignment="1">
      <alignment horizontal="center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4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3" xfId="3" applyFont="1" applyFill="1" applyBorder="1" applyAlignment="1">
      <alignment horizontal="center" vertical="center" wrapText="1"/>
    </xf>
    <xf numFmtId="0" fontId="0" fillId="2" borderId="0" xfId="0" applyBorder="1"/>
    <xf numFmtId="0" fontId="2" fillId="2" borderId="0" xfId="1" applyBorder="1"/>
    <xf numFmtId="9" fontId="6" fillId="5" borderId="15" xfId="3" applyFont="1" applyFill="1" applyBorder="1" applyAlignment="1">
      <alignment horizontal="center" vertical="center" wrapText="1"/>
    </xf>
    <xf numFmtId="0" fontId="3" fillId="2" borderId="0" xfId="1" applyFont="1" applyBorder="1" applyAlignment="1">
      <alignment vertical="center"/>
    </xf>
    <xf numFmtId="3" fontId="2" fillId="2" borderId="14" xfId="1" applyNumberFormat="1" applyBorder="1" applyAlignment="1">
      <alignment horizontal="center"/>
    </xf>
    <xf numFmtId="3" fontId="3" fillId="2" borderId="13" xfId="1" applyNumberFormat="1" applyFont="1" applyBorder="1" applyAlignment="1">
      <alignment horizontal="center" vertical="center"/>
    </xf>
    <xf numFmtId="0" fontId="0" fillId="2" borderId="12" xfId="0" applyBorder="1"/>
    <xf numFmtId="0" fontId="3" fillId="8" borderId="16" xfId="1" applyFont="1" applyFill="1" applyBorder="1" applyAlignment="1">
      <alignment horizontal="left" vertical="center" wrapText="1" indent="1"/>
    </xf>
    <xf numFmtId="0" fontId="3" fillId="8" borderId="16" xfId="1" applyNumberFormat="1" applyFont="1" applyFill="1" applyBorder="1" applyAlignment="1">
      <alignment horizontal="left" vertical="center" wrapText="1" indent="1"/>
    </xf>
    <xf numFmtId="0" fontId="0" fillId="2" borderId="0" xfId="0" applyAlignment="1">
      <alignment vertical="top"/>
    </xf>
    <xf numFmtId="9" fontId="6" fillId="5" borderId="13" xfId="3" applyFont="1" applyFill="1" applyBorder="1" applyAlignment="1">
      <alignment horizontal="center" vertical="top" wrapText="1"/>
    </xf>
    <xf numFmtId="164" fontId="6" fillId="5" borderId="13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3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0" fillId="2" borderId="0" xfId="0" applyAlignment="1"/>
    <xf numFmtId="0" fontId="20" fillId="2" borderId="0" xfId="1" applyNumberFormat="1" applyFont="1" applyBorder="1" applyAlignment="1">
      <alignment horizontal="center" vertical="center" wrapText="1"/>
    </xf>
    <xf numFmtId="0" fontId="23" fillId="2" borderId="0" xfId="1" applyFont="1" applyAlignment="1">
      <alignment horizontal="right" vertical="center" indent="1"/>
    </xf>
    <xf numFmtId="0" fontId="22" fillId="2" borderId="9" xfId="1" applyFont="1" applyBorder="1" applyAlignment="1">
      <alignment horizontal="left" vertical="center"/>
    </xf>
    <xf numFmtId="0" fontId="21" fillId="2" borderId="0" xfId="1" applyFont="1" applyAlignment="1">
      <alignment horizontal="left" vertical="center" indent="2"/>
    </xf>
    <xf numFmtId="0" fontId="23" fillId="2" borderId="1" xfId="1" applyNumberFormat="1" applyFont="1" applyBorder="1" applyAlignment="1">
      <alignment horizontal="center" vertical="center" wrapText="1"/>
    </xf>
    <xf numFmtId="0" fontId="6" fillId="6" borderId="4" xfId="1" applyFont="1" applyFill="1" applyBorder="1" applyAlignment="1">
      <alignment horizontal="center"/>
    </xf>
    <xf numFmtId="0" fontId="10" fillId="5" borderId="17" xfId="1" applyFont="1" applyFill="1" applyBorder="1" applyAlignment="1">
      <alignment horizontal="right" wrapText="1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7" fillId="3" borderId="0" xfId="1" applyFont="1" applyFill="1" applyBorder="1" applyAlignment="1">
      <alignment horizontal="center" vertical="center" wrapText="1"/>
    </xf>
    <xf numFmtId="0" fontId="23" fillId="2" borderId="12" xfId="1" applyFont="1" applyBorder="1" applyAlignment="1">
      <alignment horizontal="left" vertical="center" wrapText="1" indent="1"/>
    </xf>
    <xf numFmtId="0" fontId="23" fillId="2" borderId="0" xfId="1" applyFont="1" applyAlignment="1">
      <alignment horizontal="left" vertical="center" wrapText="1" indent="1"/>
    </xf>
    <xf numFmtId="0" fontId="23" fillId="2" borderId="0" xfId="1" applyFont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left" vertical="center" wrapText="1" indent="1"/>
    </xf>
    <xf numFmtId="0" fontId="10" fillId="9" borderId="8" xfId="1" applyFont="1" applyFill="1" applyBorder="1" applyAlignment="1">
      <alignment horizontal="left" vertical="center" wrapText="1" indent="1"/>
    </xf>
    <xf numFmtId="0" fontId="10" fillId="9" borderId="4" xfId="1" applyFont="1" applyFill="1" applyBorder="1" applyAlignment="1">
      <alignment horizontal="center" vertical="center" wrapText="1"/>
    </xf>
    <xf numFmtId="9" fontId="10" fillId="9" borderId="4" xfId="1" applyNumberFormat="1" applyFont="1" applyFill="1" applyBorder="1" applyAlignment="1">
      <alignment horizontal="center" vertical="center" wrapText="1"/>
    </xf>
    <xf numFmtId="0" fontId="2" fillId="9" borderId="13" xfId="1" applyFill="1" applyBorder="1" applyAlignment="1"/>
    <xf numFmtId="0" fontId="3" fillId="9" borderId="5" xfId="1" applyFont="1" applyFill="1" applyBorder="1" applyAlignment="1">
      <alignment wrapText="1"/>
    </xf>
    <xf numFmtId="0" fontId="7" fillId="9" borderId="4" xfId="1" applyFont="1" applyFill="1" applyBorder="1" applyAlignment="1">
      <alignment horizontal="center" vertical="center" wrapText="1"/>
    </xf>
    <xf numFmtId="0" fontId="7" fillId="9" borderId="13" xfId="1" applyFont="1" applyFill="1" applyBorder="1" applyAlignment="1">
      <alignment horizontal="center" vertical="center" wrapText="1"/>
    </xf>
    <xf numFmtId="0" fontId="10" fillId="9" borderId="10" xfId="1" applyFont="1" applyFill="1" applyBorder="1" applyAlignment="1">
      <alignment horizontal="center" vertical="center"/>
    </xf>
    <xf numFmtId="0" fontId="3" fillId="9" borderId="2" xfId="1" applyFont="1" applyFill="1" applyBorder="1" applyAlignment="1">
      <alignment wrapText="1"/>
    </xf>
    <xf numFmtId="0" fontId="19" fillId="9" borderId="2" xfId="1" applyFont="1" applyFill="1" applyBorder="1" applyAlignment="1">
      <alignment vertical="center" wrapText="1"/>
    </xf>
    <xf numFmtId="0" fontId="2" fillId="9" borderId="4" xfId="1" applyFill="1" applyBorder="1"/>
    <xf numFmtId="0" fontId="3" fillId="9" borderId="4" xfId="1" applyFont="1" applyFill="1" applyBorder="1" applyAlignment="1">
      <alignment wrapTex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3" fillId="8" borderId="19" xfId="1" applyNumberFormat="1" applyFont="1" applyFill="1" applyBorder="1" applyAlignment="1">
      <alignment horizontal="left" vertical="center" wrapText="1" inden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vertical="top"/>
    </xf>
    <xf numFmtId="164" fontId="0" fillId="2" borderId="0" xfId="0" applyNumberFormat="1" applyBorder="1" applyAlignment="1">
      <alignment horizontal="center" vertical="top"/>
    </xf>
    <xf numFmtId="164" fontId="3" fillId="5" borderId="15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3" borderId="0" xfId="0" applyFill="1"/>
  </cellXfs>
  <cellStyles count="4"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2B20D6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34998626667073579"/>
      </font>
      <fill>
        <patternFill>
          <bgColor theme="1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theme="1" tint="0.249977111117893"/>
        </left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color theme="0"/>
      </font>
      <fill>
        <patternFill>
          <bgColor theme="1" tint="4.9989318521683403E-2"/>
        </patternFill>
      </fill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firstRowStripe" dxfId="59"/>
      <tableStyleElement type="secondRowStripe" dxfId="58"/>
      <tableStyleElement type="firstColumnStripe" dxfId="57"/>
    </tableStyle>
  </tableStyles>
  <colors>
    <mruColors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112776</xdr:colOff>
      <xdr:row>2</xdr:row>
      <xdr:rowOff>31242</xdr:rowOff>
    </xdr:from>
    <xdr:to>
      <xdr:col>2</xdr:col>
      <xdr:colOff>2142744</xdr:colOff>
      <xdr:row>2</xdr:row>
      <xdr:rowOff>593598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9016" y="153162"/>
          <a:ext cx="2029968" cy="56235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124968</xdr:colOff>
      <xdr:row>13</xdr:row>
      <xdr:rowOff>19050</xdr:rowOff>
    </xdr:from>
    <xdr:to>
      <xdr:col>2</xdr:col>
      <xdr:colOff>2374392</xdr:colOff>
      <xdr:row>13</xdr:row>
      <xdr:rowOff>361950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742188" y="16497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Composition</a:t>
          </a:r>
        </a:p>
      </xdr:txBody>
    </xdr:sp>
    <xdr:clientData/>
  </xdr:twoCellAnchor>
  <xdr:twoCellAnchor>
    <xdr:from>
      <xdr:col>2</xdr:col>
      <xdr:colOff>124968</xdr:colOff>
      <xdr:row>26</xdr:row>
      <xdr:rowOff>19050</xdr:rowOff>
    </xdr:from>
    <xdr:to>
      <xdr:col>2</xdr:col>
      <xdr:colOff>2374392</xdr:colOff>
      <xdr:row>26</xdr:row>
      <xdr:rowOff>361950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742188" y="613029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Summary Stats</a:t>
          </a:r>
        </a:p>
      </xdr:txBody>
    </xdr:sp>
    <xdr:clientData/>
  </xdr:twoCellAnchor>
  <xdr:twoCellAnchor>
    <xdr:from>
      <xdr:col>2</xdr:col>
      <xdr:colOff>124968</xdr:colOff>
      <xdr:row>36</xdr:row>
      <xdr:rowOff>19050</xdr:rowOff>
    </xdr:from>
    <xdr:to>
      <xdr:col>2</xdr:col>
      <xdr:colOff>2374392</xdr:colOff>
      <xdr:row>36</xdr:row>
      <xdr:rowOff>361950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742188" y="987933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Percentiles</a:t>
          </a:r>
        </a:p>
      </xdr:txBody>
    </xdr:sp>
    <xdr:clientData/>
  </xdr:twoCellAnchor>
  <xdr:twoCellAnchor>
    <xdr:from>
      <xdr:col>2</xdr:col>
      <xdr:colOff>124968</xdr:colOff>
      <xdr:row>48</xdr:row>
      <xdr:rowOff>19050</xdr:rowOff>
    </xdr:from>
    <xdr:to>
      <xdr:col>2</xdr:col>
      <xdr:colOff>2374392</xdr:colOff>
      <xdr:row>48</xdr:row>
      <xdr:rowOff>361950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742188" y="120205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 Lists</a:t>
          </a:r>
        </a:p>
      </xdr:txBody>
    </xdr:sp>
    <xdr:clientData/>
  </xdr:twoCellAnchor>
  <xdr:twoCellAnchor>
    <xdr:from>
      <xdr:col>2</xdr:col>
      <xdr:colOff>124968</xdr:colOff>
      <xdr:row>59</xdr:row>
      <xdr:rowOff>19050</xdr:rowOff>
    </xdr:from>
    <xdr:to>
      <xdr:col>2</xdr:col>
      <xdr:colOff>2374392</xdr:colOff>
      <xdr:row>59</xdr:row>
      <xdr:rowOff>361950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742188" y="13735050"/>
          <a:ext cx="224942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Compiled Lists</a:t>
          </a: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2</xdr:col>
      <xdr:colOff>2127504</xdr:colOff>
      <xdr:row>5</xdr:row>
      <xdr:rowOff>228600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394447" y="1004047"/>
          <a:ext cx="2127504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r>
            <a:rPr lang="en-US" sz="1200" b="1">
              <a:solidFill>
                <a:schemeClr val="accent1">
                  <a:lumMod val="20000"/>
                  <a:lumOff val="80000"/>
                </a:schemeClr>
              </a:solidFill>
            </a:rPr>
            <a:t>Field</a:t>
          </a:r>
          <a:r>
            <a:rPr lang="en-US" sz="1200" b="1" baseline="0">
              <a:solidFill>
                <a:schemeClr val="accent1">
                  <a:lumMod val="20000"/>
                  <a:lumOff val="80000"/>
                </a:schemeClr>
              </a:solidFill>
            </a:rPr>
            <a:t> Notes</a:t>
          </a:r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24</xdr:row>
      <xdr:rowOff>95250</xdr:rowOff>
    </xdr:from>
    <xdr:to>
      <xdr:col>3</xdr:col>
      <xdr:colOff>1809750</xdr:colOff>
      <xdr:row>24</xdr:row>
      <xdr:rowOff>1809750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D2870563-3224-3435-8449-EF6F5A872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24</xdr:row>
      <xdr:rowOff>95250</xdr:rowOff>
    </xdr:from>
    <xdr:to>
      <xdr:col>4</xdr:col>
      <xdr:colOff>1809750</xdr:colOff>
      <xdr:row>24</xdr:row>
      <xdr:rowOff>1809750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605A16C8-6328-E2D5-8E21-F42BAB137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966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34</xdr:row>
      <xdr:rowOff>95250</xdr:rowOff>
    </xdr:from>
    <xdr:to>
      <xdr:col>4</xdr:col>
      <xdr:colOff>1809750</xdr:colOff>
      <xdr:row>34</xdr:row>
      <xdr:rowOff>1809750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6C49837-C94C-3CC8-98C1-05B4970D18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662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24</xdr:row>
      <xdr:rowOff>95250</xdr:rowOff>
    </xdr:from>
    <xdr:to>
      <xdr:col>5</xdr:col>
      <xdr:colOff>1809750</xdr:colOff>
      <xdr:row>24</xdr:row>
      <xdr:rowOff>1809750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13B57F00-F321-93B2-810B-96E161B0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1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34</xdr:row>
      <xdr:rowOff>95250</xdr:rowOff>
    </xdr:from>
    <xdr:to>
      <xdr:col>5</xdr:col>
      <xdr:colOff>1809750</xdr:colOff>
      <xdr:row>34</xdr:row>
      <xdr:rowOff>1809750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ED882627-96D5-0B8D-E4AC-174FE46003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712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24</xdr:row>
      <xdr:rowOff>95250</xdr:rowOff>
    </xdr:from>
    <xdr:to>
      <xdr:col>6</xdr:col>
      <xdr:colOff>1809750</xdr:colOff>
      <xdr:row>24</xdr:row>
      <xdr:rowOff>1809750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ACE15871-2210-705C-E7A0-F6BFD1AF8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776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34</xdr:row>
      <xdr:rowOff>95250</xdr:rowOff>
    </xdr:from>
    <xdr:to>
      <xdr:col>6</xdr:col>
      <xdr:colOff>1809750</xdr:colOff>
      <xdr:row>34</xdr:row>
      <xdr:rowOff>1809750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356369D9-10FF-A16F-D256-EC50C66B2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7762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24</xdr:row>
      <xdr:rowOff>95250</xdr:rowOff>
    </xdr:from>
    <xdr:to>
      <xdr:col>7</xdr:col>
      <xdr:colOff>1809750</xdr:colOff>
      <xdr:row>24</xdr:row>
      <xdr:rowOff>1809750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FB94694C-302A-B9A9-AC64-7501DCCBD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681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34</xdr:row>
      <xdr:rowOff>95250</xdr:rowOff>
    </xdr:from>
    <xdr:to>
      <xdr:col>7</xdr:col>
      <xdr:colOff>1809750</xdr:colOff>
      <xdr:row>34</xdr:row>
      <xdr:rowOff>1809750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61EA6A2F-3302-26FC-355B-3AA7B1C7C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681210" y="74180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24</xdr:row>
      <xdr:rowOff>95250</xdr:rowOff>
    </xdr:from>
    <xdr:to>
      <xdr:col>8</xdr:col>
      <xdr:colOff>1809750</xdr:colOff>
      <xdr:row>24</xdr:row>
      <xdr:rowOff>1809750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65145B48-3327-4516-083E-EB8E61DB61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586210" y="398145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34</xdr:row>
      <xdr:rowOff>95250</xdr:rowOff>
    </xdr:from>
    <xdr:to>
      <xdr:col>8</xdr:col>
      <xdr:colOff>1809750</xdr:colOff>
      <xdr:row>34</xdr:row>
      <xdr:rowOff>1809750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2772B478-0CBC-FCB6-B90E-BFD647A15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586210" y="741807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4" headerRowBorderDxfId="55" headerRowCellStyle="Normal 2">
  <autoFilter ref="B10:AA16" xr:uid="{7EC467B7-DE9E-48DF-95B5-2995F1F6DE8F}"/>
  <tableColumns count="26">
    <tableColumn id="1" xr3:uid="{CDAE6949-9186-42E8-AEBE-1928381A0155}" name="Field" dataDxfId="53" dataCellStyle="Normal 2"/>
    <tableColumn id="2" xr3:uid="{24D139B7-BFC8-4DD9-8DE4-2245810E04F3}" name="Definition" dataDxfId="8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7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2"/>
    <tableColumn id="8" xr3:uid="{30CDB1E0-924C-48B4-82F4-9B3E3228BE95}" name="Distinct %" dataDxfId="51"/>
    <tableColumn id="12" xr3:uid="{03824906-BEA5-4B63-A981-21F959B6439E}" name="Missing %" dataDxfId="50" dataCellStyle="Percent 2"/>
    <tableColumn id="6" xr3:uid="{8DFFE5A0-8676-4576-AB4D-97E8B31EC097}" name="Memory Usage %" dataDxfId="49" dataCellStyle="Percent 2"/>
    <tableColumn id="5" xr3:uid="{DD50C3DA-F4A8-40F0-AFBD-DBF916650F7E}" name="Memory Usage" dataDxfId="48"/>
    <tableColumn id="7" xr3:uid="{A0CD56D0-07EF-46CA-BC46-D54CD5E746C7}" name="Distinct" dataDxfId="47"/>
    <tableColumn id="9" xr3:uid="{1C848176-6AC1-44A6-9B3B-F1C9E8BC32EA}" name="Count" dataDxfId="46"/>
    <tableColumn id="10" xr3:uid="{6C6E6A37-4969-459F-AC39-2193366810E2}" name="Count %" dataDxfId="45"/>
    <tableColumn id="11" xr3:uid="{CD47252D-0307-4513-AF7C-13CC4AA1FCD9}" name="Missing" dataDxfId="44"/>
    <tableColumn id="13" xr3:uid="{2B45F7F8-CE35-48A6-BB27-9684B5D7936D}" name="Mean" dataDxfId="43"/>
    <tableColumn id="14" xr3:uid="{293386E4-1FA6-4340-9DC6-54CC26209C0A}" name="Median" dataDxfId="42"/>
    <tableColumn id="15" xr3:uid="{29252F5E-4163-4D62-89FC-FF85F6C4755C}" name="Mode" dataDxfId="41"/>
    <tableColumn id="16" xr3:uid="{69FFA3C1-FD1E-4395-AF2E-177FDFCDE62A}" name="Standard Deviation" dataDxfId="40"/>
    <tableColumn id="17" xr3:uid="{2AAB37E9-8AE2-4771-B92B-C04BFABA0B4E}" name="Variance" dataDxfId="39"/>
    <tableColumn id="18" xr3:uid="{07151E41-6633-4A65-A7E1-091F027DEF95}" name="Min" dataDxfId="38"/>
    <tableColumn id="19" xr3:uid="{41A1FD5D-4E5C-45B3-A0C7-1820F89F417F}" name="5%" dataDxfId="37"/>
    <tableColumn id="20" xr3:uid="{50D70984-5A2E-4A19-9F2B-5DA0502339BC}" name="25%" dataDxfId="36"/>
    <tableColumn id="21" xr3:uid="{75FF5489-8FC0-4894-83BC-802076BF1066}" name="50%" dataDxfId="35"/>
    <tableColumn id="22" xr3:uid="{B7FA20A8-EE17-470E-93AD-54011230C113}" name="75%" dataDxfId="34"/>
    <tableColumn id="23" xr3:uid="{378BE758-7A3F-4C04-A75B-FE899B1B0BAD}" name="95%" dataDxfId="33"/>
    <tableColumn id="24" xr3:uid="{818594E7-DC84-4229-81F6-97C1E2E93633}" name="Max" dataDxfId="32"/>
    <tableColumn id="25" xr3:uid="{D8116583-A886-47C1-85E2-D28AD96194AD}" name="Range" dataDxfId="31"/>
    <tableColumn id="26" xr3:uid="{D061AC6A-EAB2-461F-8AB8-E743DC68E666}" name="IQR" dataDxfId="30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2:J1107" totalsRowShown="0" dataDxfId="18">
  <autoFilter ref="C72:J1107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method" dataDxfId="17"/>
    <tableColumn id="8" xr3:uid="{5CEA6B82-08F7-4BBF-BE74-DD211F1E2384}" name="number" dataDxfId="16" dataCellStyle="Normal 2"/>
    <tableColumn id="3" xr3:uid="{4BE68FD5-9B93-4DF9-962F-424A88E954B6}" name="orbital_period" dataDxfId="6"/>
    <tableColumn id="4" xr3:uid="{3C1B628B-6676-4070-9C98-F2E0F1F4F699}" name="mass" dataDxfId="5"/>
    <tableColumn id="5" xr3:uid="{DB72E142-E837-438B-9861-47769B428C41}" name="distance" dataDxfId="4"/>
    <tableColumn id="6" xr3:uid="{F7B260E2-0EFD-4DA1-A6B3-5E401BD2E152}" name="year" dataDxfId="3"/>
    <tableColumn id="7" xr3:uid="{FCB2432E-DCBA-43C1-BE6B-58EA90DC0AC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B10" sqref="B10"/>
    </sheetView>
  </sheetViews>
  <sheetFormatPr defaultRowHeight="14.4" x14ac:dyDescent="0.3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96" customHeight="1" x14ac:dyDescent="0.3">
      <c r="B2" s="78" t="str">
        <f>Name</f>
        <v>planets</v>
      </c>
      <c r="C2" s="86" t="str">
        <f>Description</f>
        <v>Description</v>
      </c>
      <c r="D2" s="87"/>
      <c r="E2" s="87"/>
      <c r="F2" s="64"/>
    </row>
    <row r="3" spans="2:27" ht="10.050000000000001" customHeight="1" x14ac:dyDescent="0.3">
      <c r="C3" s="59"/>
    </row>
    <row r="4" spans="2:27" x14ac:dyDescent="0.3">
      <c r="B4" s="13" t="s">
        <v>26</v>
      </c>
      <c r="C4" s="62">
        <v>1035</v>
      </c>
    </row>
    <row r="5" spans="2:27" x14ac:dyDescent="0.3">
      <c r="B5" s="13" t="s">
        <v>27</v>
      </c>
      <c r="C5" s="63">
        <v>6</v>
      </c>
    </row>
    <row r="6" spans="2:27" x14ac:dyDescent="0.3">
      <c r="B6" s="30" t="s">
        <v>4</v>
      </c>
      <c r="C6" s="63" t="s">
        <v>54</v>
      </c>
      <c r="F6" s="58"/>
    </row>
    <row r="7" spans="2:27" x14ac:dyDescent="0.3">
      <c r="B7" s="16" t="s">
        <v>7</v>
      </c>
      <c r="C7" s="57">
        <v>0.99613526570048305</v>
      </c>
    </row>
    <row r="8" spans="2:27" x14ac:dyDescent="0.3">
      <c r="B8" s="30" t="s">
        <v>10</v>
      </c>
      <c r="C8" s="60">
        <v>0.12753623188405797</v>
      </c>
      <c r="D8" s="56"/>
    </row>
    <row r="9" spans="2:27" ht="24" customHeight="1" x14ac:dyDescent="0.3">
      <c r="B9" s="47"/>
      <c r="C9" s="61"/>
      <c r="D9" s="56"/>
    </row>
    <row r="10" spans="2:27" ht="34.950000000000003" customHeight="1" x14ac:dyDescent="0.3">
      <c r="B10" s="89" t="s">
        <v>28</v>
      </c>
      <c r="C10" s="90" t="s">
        <v>29</v>
      </c>
      <c r="D10" s="90" t="s">
        <v>30</v>
      </c>
      <c r="E10" s="91" t="s">
        <v>3</v>
      </c>
      <c r="F10" s="91" t="s">
        <v>7</v>
      </c>
      <c r="G10" s="91" t="s">
        <v>10</v>
      </c>
      <c r="H10" s="91" t="s">
        <v>5</v>
      </c>
      <c r="I10" s="91" t="s">
        <v>4</v>
      </c>
      <c r="J10" s="91" t="s">
        <v>6</v>
      </c>
      <c r="K10" s="91" t="s">
        <v>8</v>
      </c>
      <c r="L10" s="91" t="s">
        <v>32</v>
      </c>
      <c r="M10" s="91" t="s">
        <v>9</v>
      </c>
      <c r="N10" s="91" t="s">
        <v>11</v>
      </c>
      <c r="O10" s="91" t="s">
        <v>12</v>
      </c>
      <c r="P10" s="91" t="s">
        <v>13</v>
      </c>
      <c r="Q10" s="91" t="s">
        <v>14</v>
      </c>
      <c r="R10" s="91" t="s">
        <v>15</v>
      </c>
      <c r="S10" s="91" t="s">
        <v>16</v>
      </c>
      <c r="T10" s="92" t="s">
        <v>33</v>
      </c>
      <c r="U10" s="92" t="s">
        <v>34</v>
      </c>
      <c r="V10" s="92" t="s">
        <v>35</v>
      </c>
      <c r="W10" s="92" t="s">
        <v>36</v>
      </c>
      <c r="X10" s="92" t="s">
        <v>37</v>
      </c>
      <c r="Y10" s="91" t="s">
        <v>17</v>
      </c>
      <c r="Z10" s="91" t="s">
        <v>18</v>
      </c>
      <c r="AA10" s="91" t="s">
        <v>19</v>
      </c>
    </row>
    <row r="11" spans="2:27" x14ac:dyDescent="0.3">
      <c r="B11" s="83" t="s">
        <v>48</v>
      </c>
      <c r="C11" s="65" t="str">
        <f>IF(INDEX(Definitions,1,MATCH(tbl_Overview[[#This Row],[Field]],Headers,0))="Definition","",INDEX(Definitions,1,MATCH(tbl_Overview[[#This Row],[Field]],Headers,0)))</f>
        <v/>
      </c>
      <c r="D11" s="65" t="str">
        <f>IF(INDEX(Notes,1,MATCH(tbl_Overview[[#This Row],[Field]],Headers,0))="Notes","",INDEX(Notes,1,MATCH(tbl_Overview[[#This Row],[Field]],Headers,0)))</f>
        <v/>
      </c>
      <c r="E11" s="67" t="s">
        <v>55</v>
      </c>
      <c r="F11" s="68">
        <v>9.6618357487922701E-3</v>
      </c>
      <c r="G11" s="69">
        <v>0</v>
      </c>
      <c r="H11" s="68">
        <v>0.29260999572832103</v>
      </c>
      <c r="I11" s="70">
        <v>20550</v>
      </c>
      <c r="J11" s="70">
        <v>10</v>
      </c>
      <c r="K11" s="70">
        <v>1035</v>
      </c>
      <c r="L11" s="71">
        <v>1</v>
      </c>
      <c r="M11" s="70">
        <v>0</v>
      </c>
      <c r="N11" s="72"/>
      <c r="O11" s="72"/>
      <c r="P11" s="72" t="s">
        <v>56</v>
      </c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</row>
    <row r="12" spans="2:27" x14ac:dyDescent="0.3">
      <c r="B12" s="84" t="s">
        <v>49</v>
      </c>
      <c r="C12" s="66" t="str">
        <f>IF(INDEX(Definitions,1,MATCH(tbl_Overview[[#This Row],[Field]],Headers,0))="Definition","",INDEX(Definitions,1,MATCH(tbl_Overview[[#This Row],[Field]],Headers,0)))</f>
        <v/>
      </c>
      <c r="D12" s="66" t="str">
        <f>IF(INDEX(Notes,1,MATCH(tbl_Overview[[#This Row],[Field]],Headers,0))="Notes","",INDEX(Notes,1,MATCH(tbl_Overview[[#This Row],[Field]],Headers,0)))</f>
        <v/>
      </c>
      <c r="E12" s="67" t="s">
        <v>57</v>
      </c>
      <c r="F12" s="71">
        <v>6.7632850241545897E-3</v>
      </c>
      <c r="G12" s="73">
        <v>0</v>
      </c>
      <c r="H12" s="74">
        <v>0.117898334045279</v>
      </c>
      <c r="I12" s="70">
        <v>8280</v>
      </c>
      <c r="J12" s="70">
        <v>7</v>
      </c>
      <c r="K12" s="70">
        <v>1035</v>
      </c>
      <c r="L12" s="71">
        <v>1</v>
      </c>
      <c r="M12" s="70">
        <v>0</v>
      </c>
      <c r="N12" s="72">
        <v>1.78550724637681</v>
      </c>
      <c r="O12" s="72">
        <v>1</v>
      </c>
      <c r="P12" s="72">
        <v>1</v>
      </c>
      <c r="Q12" s="72">
        <v>1.24097617433867</v>
      </c>
      <c r="R12" s="72">
        <v>1.5400218652762501</v>
      </c>
      <c r="S12" s="72">
        <v>1</v>
      </c>
      <c r="T12" s="72">
        <v>1</v>
      </c>
      <c r="U12" s="72">
        <v>1</v>
      </c>
      <c r="V12" s="72">
        <v>1</v>
      </c>
      <c r="W12" s="72">
        <v>2</v>
      </c>
      <c r="X12" s="72">
        <v>5</v>
      </c>
      <c r="Y12" s="72">
        <v>7</v>
      </c>
      <c r="Z12" s="72">
        <v>6</v>
      </c>
      <c r="AA12" s="72">
        <v>1</v>
      </c>
    </row>
    <row r="13" spans="2:27" x14ac:dyDescent="0.3">
      <c r="B13" s="84" t="s">
        <v>50</v>
      </c>
      <c r="C13" s="102" t="str">
        <f>IF(INDEX(Definitions,1,MATCH(tbl_Overview[[#This Row],[Field]],Headers,0))="Definition","",INDEX(Definitions,1,MATCH(tbl_Overview[[#This Row],[Field]],Headers,0)))</f>
        <v/>
      </c>
      <c r="D13" s="103" t="str">
        <f>IF(INDEX(Notes,1,MATCH(tbl_Overview[[#This Row],[Field]],Headers,0))="Notes","",INDEX(Notes,1,MATCH(tbl_Overview[[#This Row],[Field]],Headers,0)))</f>
        <v/>
      </c>
      <c r="E13" s="67" t="s">
        <v>58</v>
      </c>
      <c r="F13" s="71">
        <v>0.95458937198067595</v>
      </c>
      <c r="G13" s="73">
        <v>4.1545893719806701E-2</v>
      </c>
      <c r="H13" s="74">
        <v>0.117898334045279</v>
      </c>
      <c r="I13" s="70">
        <v>8280</v>
      </c>
      <c r="J13" s="70">
        <v>988</v>
      </c>
      <c r="K13" s="70">
        <v>992</v>
      </c>
      <c r="L13" s="71">
        <v>0.95845410628019301</v>
      </c>
      <c r="M13" s="70">
        <v>43</v>
      </c>
      <c r="N13" s="72">
        <v>2002.91759609475</v>
      </c>
      <c r="O13" s="72">
        <v>39.979500000000002</v>
      </c>
      <c r="P13" s="72">
        <v>123</v>
      </c>
      <c r="Q13" s="72">
        <v>26014.728304062501</v>
      </c>
      <c r="R13" s="72">
        <v>676766088.73419094</v>
      </c>
      <c r="S13" s="72">
        <v>9.0706289999999995E-2</v>
      </c>
      <c r="T13" s="72">
        <v>1.884364165</v>
      </c>
      <c r="U13" s="72">
        <v>5.4425404999999998</v>
      </c>
      <c r="V13" s="72">
        <v>39.979500000000002</v>
      </c>
      <c r="W13" s="72">
        <v>526.005</v>
      </c>
      <c r="X13" s="72">
        <v>3360.4499999999898</v>
      </c>
      <c r="Y13" s="72">
        <v>730000</v>
      </c>
      <c r="Z13" s="72">
        <v>729999.90929371002</v>
      </c>
      <c r="AA13" s="72">
        <v>520.56245950000005</v>
      </c>
    </row>
    <row r="14" spans="2:27" x14ac:dyDescent="0.3">
      <c r="B14" s="84" t="s">
        <v>51</v>
      </c>
      <c r="C14" s="102" t="str">
        <f>IF(INDEX(Definitions,1,MATCH(tbl_Overview[[#This Row],[Field]],Headers,0))="Definition","",INDEX(Definitions,1,MATCH(tbl_Overview[[#This Row],[Field]],Headers,0)))</f>
        <v/>
      </c>
      <c r="D14" s="103" t="str">
        <f>IF(INDEX(Notes,1,MATCH(tbl_Overview[[#This Row],[Field]],Headers,0))="Notes","",INDEX(Notes,1,MATCH(tbl_Overview[[#This Row],[Field]],Headers,0)))</f>
        <v/>
      </c>
      <c r="E14" s="67" t="s">
        <v>58</v>
      </c>
      <c r="F14" s="71">
        <v>0.36811594202898501</v>
      </c>
      <c r="G14" s="73">
        <v>0.50434782608695605</v>
      </c>
      <c r="H14" s="74">
        <v>0.117898334045279</v>
      </c>
      <c r="I14" s="70">
        <v>8280</v>
      </c>
      <c r="J14" s="70">
        <v>381</v>
      </c>
      <c r="K14" s="70">
        <v>513</v>
      </c>
      <c r="L14" s="71">
        <v>0.495652173913043</v>
      </c>
      <c r="M14" s="70">
        <v>522</v>
      </c>
      <c r="N14" s="72">
        <v>2.6381605847953198</v>
      </c>
      <c r="O14" s="72">
        <v>1.26</v>
      </c>
      <c r="P14" s="72">
        <v>1.8</v>
      </c>
      <c r="Q14" s="72">
        <v>3.8186166509616002</v>
      </c>
      <c r="R14" s="72">
        <v>14.5818331270012</v>
      </c>
      <c r="S14" s="72">
        <v>3.5999999999999999E-3</v>
      </c>
      <c r="T14" s="72">
        <v>1.8359999999999901E-2</v>
      </c>
      <c r="U14" s="72">
        <v>0.22900000000000001</v>
      </c>
      <c r="V14" s="72">
        <v>1.26</v>
      </c>
      <c r="W14" s="72">
        <v>3.04</v>
      </c>
      <c r="X14" s="72">
        <v>10.527999999999899</v>
      </c>
      <c r="Y14" s="72">
        <v>25</v>
      </c>
      <c r="Z14" s="72">
        <v>24.996400000000001</v>
      </c>
      <c r="AA14" s="72">
        <v>2.8109999999999999</v>
      </c>
    </row>
    <row r="15" spans="2:27" x14ac:dyDescent="0.3">
      <c r="B15" s="84" t="s">
        <v>52</v>
      </c>
      <c r="C15" s="102" t="str">
        <f>IF(INDEX(Definitions,1,MATCH(tbl_Overview[[#This Row],[Field]],Headers,0))="Definition","",INDEX(Definitions,1,MATCH(tbl_Overview[[#This Row],[Field]],Headers,0)))</f>
        <v/>
      </c>
      <c r="D15" s="103" t="str">
        <f>IF(INDEX(Notes,1,MATCH(tbl_Overview[[#This Row],[Field]],Headers,0))="Notes","",INDEX(Notes,1,MATCH(tbl_Overview[[#This Row],[Field]],Headers,0)))</f>
        <v/>
      </c>
      <c r="E15" s="67" t="s">
        <v>58</v>
      </c>
      <c r="F15" s="71">
        <v>0.53333333333333299</v>
      </c>
      <c r="G15" s="73">
        <v>0.219323671497584</v>
      </c>
      <c r="H15" s="74">
        <v>0.117898334045279</v>
      </c>
      <c r="I15" s="70">
        <v>8280</v>
      </c>
      <c r="J15" s="70">
        <v>552</v>
      </c>
      <c r="K15" s="70">
        <v>808</v>
      </c>
      <c r="L15" s="71">
        <v>0.78067632850241497</v>
      </c>
      <c r="M15" s="70">
        <v>227</v>
      </c>
      <c r="N15" s="72">
        <v>264.06928217821701</v>
      </c>
      <c r="O15" s="72">
        <v>55.25</v>
      </c>
      <c r="P15" s="72">
        <v>780</v>
      </c>
      <c r="Q15" s="72">
        <v>733.11649294044196</v>
      </c>
      <c r="R15" s="72">
        <v>537459.79222129297</v>
      </c>
      <c r="S15" s="72">
        <v>1.35</v>
      </c>
      <c r="T15" s="72">
        <v>11.6715</v>
      </c>
      <c r="U15" s="72">
        <v>32.56</v>
      </c>
      <c r="V15" s="72">
        <v>55.25</v>
      </c>
      <c r="W15" s="72">
        <v>178.5</v>
      </c>
      <c r="X15" s="72">
        <v>1180</v>
      </c>
      <c r="Y15" s="72">
        <v>8500</v>
      </c>
      <c r="Z15" s="72">
        <v>8498.65</v>
      </c>
      <c r="AA15" s="72">
        <v>145.94</v>
      </c>
    </row>
    <row r="16" spans="2:27" x14ac:dyDescent="0.3">
      <c r="B16" s="104" t="s">
        <v>53</v>
      </c>
      <c r="C16" s="105" t="str">
        <f>IF(INDEX(Definitions,1,MATCH(tbl_Overview[[#This Row],[Field]],Headers,0))="Definition","",INDEX(Definitions,1,MATCH(tbl_Overview[[#This Row],[Field]],Headers,0)))</f>
        <v/>
      </c>
      <c r="D16" s="106" t="str">
        <f>IF(INDEX(Notes,1,MATCH(tbl_Overview[[#This Row],[Field]],Headers,0))="Notes","",INDEX(Notes,1,MATCH(tbl_Overview[[#This Row],[Field]],Headers,0)))</f>
        <v/>
      </c>
      <c r="E16" s="107" t="s">
        <v>57</v>
      </c>
      <c r="F16" s="108">
        <v>2.2222222222222199E-2</v>
      </c>
      <c r="G16" s="109">
        <v>0</v>
      </c>
      <c r="H16" s="110">
        <v>0.117898334045279</v>
      </c>
      <c r="I16" s="111">
        <v>8280</v>
      </c>
      <c r="J16" s="111">
        <v>23</v>
      </c>
      <c r="K16" s="111">
        <v>1035</v>
      </c>
      <c r="L16" s="108">
        <v>1</v>
      </c>
      <c r="M16" s="111">
        <v>0</v>
      </c>
      <c r="N16" s="112">
        <v>2009.0705314009599</v>
      </c>
      <c r="O16" s="112">
        <v>2010</v>
      </c>
      <c r="P16" s="112">
        <v>2011</v>
      </c>
      <c r="Q16" s="112">
        <v>3.9725668572022101</v>
      </c>
      <c r="R16" s="112">
        <v>15.781287434941399</v>
      </c>
      <c r="S16" s="112">
        <v>1989</v>
      </c>
      <c r="T16" s="112">
        <v>2001</v>
      </c>
      <c r="U16" s="112">
        <v>2007</v>
      </c>
      <c r="V16" s="112">
        <v>2010</v>
      </c>
      <c r="W16" s="112">
        <v>2012</v>
      </c>
      <c r="X16" s="112">
        <v>2013.3</v>
      </c>
      <c r="Y16" s="112">
        <v>2014</v>
      </c>
      <c r="Z16" s="112">
        <v>25</v>
      </c>
      <c r="AA16" s="112">
        <v>5</v>
      </c>
    </row>
  </sheetData>
  <mergeCells count="1">
    <mergeCell ref="C2:E2"/>
  </mergeCells>
  <conditionalFormatting sqref="C7:C8">
    <cfRule type="colorScale" priority="7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4">
      <colorScale>
        <cfvo type="num" val="0"/>
        <cfvo type="num" val="0.2"/>
        <color theme="1"/>
        <color rgb="FF7A0000"/>
      </colorScale>
    </cfRule>
  </conditionalFormatting>
  <conditionalFormatting sqref="C2:E2">
    <cfRule type="cellIs" dxfId="56" priority="1" operator="notEqual">
      <formula>"Description"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J1107"/>
  <sheetViews>
    <sheetView tabSelected="1" zoomScale="85" zoomScaleNormal="85" workbookViewId="0">
      <pane xSplit="3" ySplit="12" topLeftCell="D13" activePane="bottomRight" state="frozen"/>
      <selection activeCell="B1" sqref="B1"/>
      <selection pane="topRight" activeCell="F1" sqref="F1"/>
      <selection pane="bottomLeft" activeCell="B5" sqref="B5"/>
      <selection pane="bottomRight" activeCell="D12" sqref="D12"/>
    </sheetView>
  </sheetViews>
  <sheetFormatPr defaultRowHeight="14.4" outlineLevelRow="2" x14ac:dyDescent="0.3"/>
  <cols>
    <col min="1" max="1" width="3" style="1" customWidth="1"/>
    <col min="2" max="2" width="2.77734375" style="2" customWidth="1"/>
    <col min="3" max="3" width="22.88671875" style="8" bestFit="1" customWidth="1"/>
    <col min="4" max="9" width="27.77734375" style="1" customWidth="1"/>
    <col min="10" max="10" width="15.88671875" bestFit="1" customWidth="1"/>
  </cols>
  <sheetData>
    <row r="1" spans="1:10" ht="31.8" hidden="1" customHeight="1" x14ac:dyDescent="0.3">
      <c r="A1" s="51"/>
      <c r="B1" s="52"/>
      <c r="C1" s="53" t="s">
        <v>39</v>
      </c>
      <c r="D1" s="51"/>
      <c r="E1" s="51"/>
      <c r="F1" s="51"/>
      <c r="G1" s="51"/>
      <c r="H1" s="51"/>
      <c r="I1" s="51"/>
    </row>
    <row r="2" spans="1:10" ht="10.050000000000001" customHeight="1" x14ac:dyDescent="0.3">
      <c r="A2"/>
      <c r="B2"/>
      <c r="C2"/>
      <c r="D2"/>
      <c r="E2"/>
      <c r="F2"/>
      <c r="G2"/>
      <c r="H2"/>
      <c r="I2"/>
    </row>
    <row r="3" spans="1:10" ht="49.2" customHeight="1" x14ac:dyDescent="0.3">
      <c r="B3" s="3" t="s">
        <v>0</v>
      </c>
      <c r="C3" s="78" t="s">
        <v>46</v>
      </c>
      <c r="D3" s="88" t="s">
        <v>25</v>
      </c>
      <c r="E3" s="88"/>
      <c r="F3"/>
      <c r="G3"/>
      <c r="H3"/>
      <c r="I3"/>
    </row>
    <row r="4" spans="1:10" ht="10.050000000000001" customHeight="1" x14ac:dyDescent="0.3">
      <c r="C4" s="79" t="s">
        <v>47</v>
      </c>
      <c r="D4" s="88"/>
      <c r="E4" s="88"/>
      <c r="F4"/>
      <c r="G4"/>
      <c r="H4"/>
      <c r="I4"/>
    </row>
    <row r="5" spans="1:10" ht="10.050000000000001" customHeight="1" x14ac:dyDescent="0.3">
      <c r="C5" s="79"/>
      <c r="D5" s="88"/>
      <c r="E5" s="88"/>
      <c r="F5"/>
      <c r="G5"/>
      <c r="H5"/>
      <c r="I5"/>
    </row>
    <row r="6" spans="1:10" ht="19.95" customHeight="1" x14ac:dyDescent="0.3">
      <c r="B6" s="9" t="s">
        <v>0</v>
      </c>
      <c r="C6" s="79"/>
    </row>
    <row r="7" spans="1:10" ht="10.050000000000001" customHeight="1" x14ac:dyDescent="0.3">
      <c r="B7" s="40"/>
      <c r="C7" s="79"/>
    </row>
    <row r="8" spans="1:10" ht="37.799999999999997" hidden="1" customHeight="1" outlineLevel="1" x14ac:dyDescent="0.3">
      <c r="B8" s="40"/>
      <c r="C8" s="77" t="s">
        <v>38</v>
      </c>
      <c r="D8" s="80" t="s">
        <v>29</v>
      </c>
      <c r="E8" s="80" t="s">
        <v>29</v>
      </c>
      <c r="F8" s="80" t="s">
        <v>29</v>
      </c>
      <c r="G8" s="80" t="s">
        <v>29</v>
      </c>
      <c r="H8" s="80" t="s">
        <v>29</v>
      </c>
      <c r="I8" s="80" t="s">
        <v>29</v>
      </c>
    </row>
    <row r="9" spans="1:10" ht="10.050000000000001" hidden="1" customHeight="1" outlineLevel="1" x14ac:dyDescent="0.3">
      <c r="A9"/>
      <c r="B9" s="75"/>
      <c r="C9"/>
      <c r="D9"/>
      <c r="E9"/>
      <c r="F9"/>
      <c r="G9"/>
      <c r="H9"/>
      <c r="I9"/>
    </row>
    <row r="10" spans="1:10" ht="37.799999999999997" hidden="1" customHeight="1" outlineLevel="1" x14ac:dyDescent="0.3">
      <c r="B10" s="3"/>
      <c r="C10" s="77" t="s">
        <v>1</v>
      </c>
      <c r="D10" s="80" t="s">
        <v>1</v>
      </c>
      <c r="E10" s="80" t="s">
        <v>1</v>
      </c>
      <c r="F10" s="80" t="s">
        <v>1</v>
      </c>
      <c r="G10" s="80" t="s">
        <v>1</v>
      </c>
      <c r="H10" s="80" t="s">
        <v>1</v>
      </c>
      <c r="I10" s="80" t="s">
        <v>1</v>
      </c>
    </row>
    <row r="11" spans="1:10" ht="10.050000000000001" hidden="1" customHeight="1" outlineLevel="1" x14ac:dyDescent="0.3">
      <c r="C11" s="4"/>
      <c r="D11" s="76"/>
      <c r="E11" s="76"/>
      <c r="F11" s="76"/>
      <c r="G11" s="76"/>
      <c r="H11" s="76"/>
      <c r="I11" s="76"/>
    </row>
    <row r="12" spans="1:10" s="85" customFormat="1" ht="34.950000000000003" customHeight="1" collapsed="1" x14ac:dyDescent="0.3">
      <c r="A12" s="7"/>
      <c r="B12" s="93"/>
      <c r="C12" s="94" t="s">
        <v>2</v>
      </c>
      <c r="D12" s="95" t="s">
        <v>48</v>
      </c>
      <c r="E12" s="96" t="s">
        <v>49</v>
      </c>
      <c r="F12" s="96" t="s">
        <v>50</v>
      </c>
      <c r="G12" s="96" t="s">
        <v>51</v>
      </c>
      <c r="H12" s="96" t="s">
        <v>52</v>
      </c>
      <c r="I12" s="96" t="s">
        <v>53</v>
      </c>
      <c r="J12" s="85" t="s">
        <v>20</v>
      </c>
    </row>
    <row r="13" spans="1:10" ht="10.050000000000001" customHeight="1" outlineLevel="1" x14ac:dyDescent="0.3">
      <c r="A13"/>
      <c r="B13"/>
      <c r="C13"/>
      <c r="D13"/>
      <c r="E13"/>
      <c r="F13"/>
      <c r="G13"/>
      <c r="H13"/>
      <c r="I13"/>
    </row>
    <row r="14" spans="1:10" ht="19.95" customHeight="1" outlineLevel="1" x14ac:dyDescent="0.35">
      <c r="B14" s="9" t="s">
        <v>0</v>
      </c>
      <c r="C14" s="10"/>
      <c r="D14" s="45"/>
      <c r="E14" s="8"/>
      <c r="F14" s="8"/>
      <c r="G14" s="8"/>
      <c r="H14" s="8"/>
      <c r="I14" s="8"/>
    </row>
    <row r="15" spans="1:10" ht="10.050000000000001" customHeight="1" outlineLevel="1" x14ac:dyDescent="0.3">
      <c r="B15" s="11"/>
      <c r="C15" s="46"/>
      <c r="D15" s="46"/>
      <c r="E15" s="46"/>
      <c r="F15" s="46"/>
      <c r="G15" s="46"/>
      <c r="H15" s="46"/>
      <c r="I15" s="46"/>
    </row>
    <row r="16" spans="1:10" ht="14.4" hidden="1" customHeight="1" outlineLevel="2" x14ac:dyDescent="0.3">
      <c r="A16" s="47"/>
      <c r="B16" s="48"/>
      <c r="C16" s="13" t="s">
        <v>3</v>
      </c>
      <c r="D16" s="14" t="s">
        <v>55</v>
      </c>
      <c r="E16" s="14" t="s">
        <v>57</v>
      </c>
      <c r="F16" s="14" t="s">
        <v>58</v>
      </c>
      <c r="G16" s="14" t="s">
        <v>58</v>
      </c>
      <c r="H16" s="14" t="s">
        <v>58</v>
      </c>
      <c r="I16" s="14" t="s">
        <v>57</v>
      </c>
    </row>
    <row r="17" spans="1:9" ht="14.4" hidden="1" customHeight="1" outlineLevel="2" x14ac:dyDescent="0.3">
      <c r="A17" s="47"/>
      <c r="B17" s="49"/>
      <c r="C17" s="16" t="s">
        <v>7</v>
      </c>
      <c r="D17" s="50">
        <v>9.6618357487922701E-3</v>
      </c>
      <c r="E17" s="50">
        <v>6.7632850241545897E-3</v>
      </c>
      <c r="F17" s="50">
        <v>0.95458937198067595</v>
      </c>
      <c r="G17" s="50">
        <v>0.36811594202898501</v>
      </c>
      <c r="H17" s="50">
        <v>0.53333333333333299</v>
      </c>
      <c r="I17" s="50">
        <v>2.2222222222222199E-2</v>
      </c>
    </row>
    <row r="18" spans="1:9" ht="14.4" hidden="1" customHeight="1" outlineLevel="2" x14ac:dyDescent="0.3">
      <c r="A18" s="47"/>
      <c r="B18" s="49"/>
      <c r="C18" s="16" t="s">
        <v>10</v>
      </c>
      <c r="D18" s="50">
        <v>0</v>
      </c>
      <c r="E18" s="50">
        <v>0</v>
      </c>
      <c r="F18" s="50">
        <v>4.1545893719806701E-2</v>
      </c>
      <c r="G18" s="50">
        <v>0.50434782608695605</v>
      </c>
      <c r="H18" s="50">
        <v>0.219323671497584</v>
      </c>
      <c r="I18" s="50">
        <v>0</v>
      </c>
    </row>
    <row r="19" spans="1:9" ht="14.4" hidden="1" customHeight="1" outlineLevel="2" x14ac:dyDescent="0.3">
      <c r="B19" s="15"/>
      <c r="C19" s="30" t="s">
        <v>5</v>
      </c>
      <c r="D19" s="50">
        <v>0.29260999572832103</v>
      </c>
      <c r="E19" s="50">
        <v>0.117898334045279</v>
      </c>
      <c r="F19" s="50">
        <v>0.117898334045279</v>
      </c>
      <c r="G19" s="50">
        <v>0.117898334045279</v>
      </c>
      <c r="H19" s="50">
        <v>0.117898334045279</v>
      </c>
      <c r="I19" s="50">
        <v>0.117898334045279</v>
      </c>
    </row>
    <row r="20" spans="1:9" ht="14.4" hidden="1" customHeight="1" outlineLevel="2" x14ac:dyDescent="0.3">
      <c r="B20" s="15"/>
      <c r="C20" s="16" t="s">
        <v>4</v>
      </c>
      <c r="D20" s="14">
        <v>20550</v>
      </c>
      <c r="E20" s="14">
        <v>8280</v>
      </c>
      <c r="F20" s="14">
        <v>8280</v>
      </c>
      <c r="G20" s="14">
        <v>8280</v>
      </c>
      <c r="H20" s="14">
        <v>8280</v>
      </c>
      <c r="I20" s="14">
        <v>8280</v>
      </c>
    </row>
    <row r="21" spans="1:9" ht="14.4" hidden="1" customHeight="1" outlineLevel="2" x14ac:dyDescent="0.3">
      <c r="B21" s="15"/>
      <c r="C21" s="16" t="s">
        <v>6</v>
      </c>
      <c r="D21" s="14">
        <v>10</v>
      </c>
      <c r="E21" s="14">
        <v>7</v>
      </c>
      <c r="F21" s="14">
        <v>988</v>
      </c>
      <c r="G21" s="14">
        <v>381</v>
      </c>
      <c r="H21" s="14">
        <v>552</v>
      </c>
      <c r="I21" s="14">
        <v>23</v>
      </c>
    </row>
    <row r="22" spans="1:9" ht="14.4" hidden="1" customHeight="1" outlineLevel="2" x14ac:dyDescent="0.3">
      <c r="B22" s="15"/>
      <c r="C22" s="16" t="s">
        <v>8</v>
      </c>
      <c r="D22" s="14">
        <v>1035</v>
      </c>
      <c r="E22" s="14">
        <v>1035</v>
      </c>
      <c r="F22" s="14">
        <v>992</v>
      </c>
      <c r="G22" s="14">
        <v>513</v>
      </c>
      <c r="H22" s="14">
        <v>808</v>
      </c>
      <c r="I22" s="14">
        <v>1035</v>
      </c>
    </row>
    <row r="23" spans="1:9" ht="14.4" hidden="1" customHeight="1" outlineLevel="2" x14ac:dyDescent="0.3">
      <c r="B23" s="15"/>
      <c r="C23" s="30" t="s">
        <v>9</v>
      </c>
      <c r="D23" s="18">
        <v>0</v>
      </c>
      <c r="E23" s="18">
        <v>0</v>
      </c>
      <c r="F23" s="18">
        <v>43</v>
      </c>
      <c r="G23" s="18">
        <v>522</v>
      </c>
      <c r="H23" s="18">
        <v>227</v>
      </c>
      <c r="I23" s="18">
        <v>0</v>
      </c>
    </row>
    <row r="24" spans="1:9" ht="10.050000000000001" hidden="1" customHeight="1" outlineLevel="2" x14ac:dyDescent="0.3">
      <c r="B24" s="11"/>
      <c r="D24" s="8"/>
      <c r="E24" s="8"/>
      <c r="F24" s="8"/>
      <c r="G24" s="8"/>
      <c r="H24" s="8"/>
      <c r="I24" s="8"/>
    </row>
    <row r="25" spans="1:9" ht="150" hidden="1" customHeight="1" outlineLevel="2" x14ac:dyDescent="0.3">
      <c r="B25" s="20"/>
      <c r="C25" s="21"/>
      <c r="D25" s="22"/>
      <c r="E25" s="22"/>
      <c r="F25" s="22"/>
      <c r="G25" s="22"/>
      <c r="H25" s="22"/>
      <c r="I25" s="22"/>
    </row>
    <row r="26" spans="1:9" ht="10.050000000000001" hidden="1" customHeight="1" outlineLevel="2" x14ac:dyDescent="0.3">
      <c r="B26" s="23"/>
      <c r="D26" s="8"/>
      <c r="E26" s="8"/>
      <c r="F26" s="8"/>
      <c r="G26" s="8"/>
      <c r="H26" s="8"/>
      <c r="I26" s="8"/>
    </row>
    <row r="27" spans="1:9" ht="19.95" customHeight="1" outlineLevel="1" collapsed="1" x14ac:dyDescent="0.3">
      <c r="B27" s="9" t="s">
        <v>0</v>
      </c>
      <c r="C27" s="10"/>
      <c r="D27" s="8"/>
      <c r="E27" s="8"/>
      <c r="F27" s="8"/>
      <c r="G27" s="8"/>
      <c r="H27" s="8"/>
      <c r="I27" s="8"/>
    </row>
    <row r="28" spans="1:9" ht="10.050000000000001" customHeight="1" outlineLevel="1" x14ac:dyDescent="0.3">
      <c r="A28" s="24"/>
      <c r="B28" s="25"/>
      <c r="C28" s="26"/>
      <c r="D28" s="8"/>
      <c r="E28" s="8"/>
      <c r="F28" s="8"/>
      <c r="G28" s="8"/>
      <c r="H28" s="8"/>
      <c r="I28" s="8"/>
    </row>
    <row r="29" spans="1:9" ht="14.4" hidden="1" customHeight="1" outlineLevel="2" x14ac:dyDescent="0.35">
      <c r="B29" s="12"/>
      <c r="C29" s="13" t="s">
        <v>11</v>
      </c>
      <c r="D29" s="27"/>
      <c r="E29" s="27">
        <v>1.78550724637681</v>
      </c>
      <c r="F29" s="27">
        <v>2002.91759609475</v>
      </c>
      <c r="G29" s="27">
        <v>2.6381605847953198</v>
      </c>
      <c r="H29" s="27">
        <v>264.06928217821701</v>
      </c>
      <c r="I29" s="27">
        <v>2009.0705314009599</v>
      </c>
    </row>
    <row r="30" spans="1:9" ht="14.4" hidden="1" customHeight="1" outlineLevel="2" x14ac:dyDescent="0.3">
      <c r="B30" s="15"/>
      <c r="C30" s="17" t="s">
        <v>12</v>
      </c>
      <c r="D30" s="28"/>
      <c r="E30" s="28">
        <v>1</v>
      </c>
      <c r="F30" s="28">
        <v>39.979500000000002</v>
      </c>
      <c r="G30" s="28">
        <v>1.26</v>
      </c>
      <c r="H30" s="28">
        <v>55.25</v>
      </c>
      <c r="I30" s="28">
        <v>2010</v>
      </c>
    </row>
    <row r="31" spans="1:9" ht="14.4" hidden="1" customHeight="1" outlineLevel="2" x14ac:dyDescent="0.3">
      <c r="B31" s="15"/>
      <c r="C31" s="16" t="s">
        <v>13</v>
      </c>
      <c r="D31" s="18" t="s">
        <v>56</v>
      </c>
      <c r="E31" s="18">
        <v>1</v>
      </c>
      <c r="F31" s="18">
        <v>123</v>
      </c>
      <c r="G31" s="18">
        <v>1.8</v>
      </c>
      <c r="H31" s="18">
        <v>780</v>
      </c>
      <c r="I31" s="18">
        <v>2011</v>
      </c>
    </row>
    <row r="32" spans="1:9" ht="14.4" hidden="1" customHeight="1" outlineLevel="2" x14ac:dyDescent="0.3">
      <c r="B32" s="15"/>
      <c r="C32" s="17" t="s">
        <v>14</v>
      </c>
      <c r="D32" s="29"/>
      <c r="E32" s="29">
        <v>1.24097617433867</v>
      </c>
      <c r="F32" s="29">
        <v>26014.728304062501</v>
      </c>
      <c r="G32" s="29">
        <v>3.8186166509616002</v>
      </c>
      <c r="H32" s="29">
        <v>733.11649294044196</v>
      </c>
      <c r="I32" s="29">
        <v>3.9725668572022101</v>
      </c>
    </row>
    <row r="33" spans="1:9" ht="14.4" hidden="1" customHeight="1" outlineLevel="2" x14ac:dyDescent="0.3">
      <c r="B33" s="15"/>
      <c r="C33" s="30" t="s">
        <v>15</v>
      </c>
      <c r="D33" s="27"/>
      <c r="E33" s="27">
        <v>1.5400218652762501</v>
      </c>
      <c r="F33" s="27">
        <v>676766088.73419094</v>
      </c>
      <c r="G33" s="27">
        <v>14.5818331270012</v>
      </c>
      <c r="H33" s="27">
        <v>537459.79222129297</v>
      </c>
      <c r="I33" s="27">
        <v>15.781287434941399</v>
      </c>
    </row>
    <row r="34" spans="1:9" ht="10.050000000000001" hidden="1" customHeight="1" outlineLevel="2" x14ac:dyDescent="0.3">
      <c r="B34" s="11"/>
      <c r="D34" s="8"/>
      <c r="E34" s="8"/>
      <c r="F34" s="8"/>
      <c r="G34" s="8"/>
      <c r="H34" s="8"/>
      <c r="I34" s="8"/>
    </row>
    <row r="35" spans="1:9" ht="150" hidden="1" customHeight="1" outlineLevel="2" x14ac:dyDescent="0.3">
      <c r="A35" s="24"/>
      <c r="B35" s="20"/>
      <c r="C35" s="21"/>
      <c r="D35" s="22"/>
      <c r="E35" s="22"/>
      <c r="F35" s="22"/>
      <c r="G35" s="22"/>
      <c r="H35" s="22"/>
      <c r="I35" s="22"/>
    </row>
    <row r="36" spans="1:9" ht="10.050000000000001" hidden="1" customHeight="1" outlineLevel="2" x14ac:dyDescent="0.3">
      <c r="A36" s="24"/>
      <c r="B36" s="20"/>
      <c r="C36" s="31"/>
      <c r="D36" s="8"/>
      <c r="E36" s="8"/>
      <c r="F36" s="8"/>
      <c r="G36" s="8"/>
      <c r="H36" s="8"/>
      <c r="I36" s="8"/>
    </row>
    <row r="37" spans="1:9" ht="19.95" customHeight="1" outlineLevel="1" collapsed="1" x14ac:dyDescent="0.3">
      <c r="B37" s="9" t="s">
        <v>0</v>
      </c>
      <c r="C37" s="10"/>
      <c r="D37" s="8"/>
      <c r="E37" s="8"/>
      <c r="F37" s="8"/>
      <c r="G37" s="8"/>
      <c r="H37" s="8"/>
      <c r="I37" s="8"/>
    </row>
    <row r="38" spans="1:9" ht="10.050000000000001" customHeight="1" outlineLevel="1" x14ac:dyDescent="0.3">
      <c r="A38" s="24"/>
      <c r="B38" s="25"/>
      <c r="C38" s="26"/>
      <c r="D38" s="8"/>
      <c r="E38" s="8"/>
      <c r="F38" s="8"/>
      <c r="G38" s="8"/>
      <c r="H38" s="8"/>
      <c r="I38" s="8"/>
    </row>
    <row r="39" spans="1:9" ht="14.4" hidden="1" customHeight="1" outlineLevel="2" x14ac:dyDescent="0.35">
      <c r="B39" s="12"/>
      <c r="C39" s="32" t="s">
        <v>16</v>
      </c>
      <c r="D39" s="29"/>
      <c r="E39" s="29">
        <v>1</v>
      </c>
      <c r="F39" s="29">
        <v>9.0706289999999995E-2</v>
      </c>
      <c r="G39" s="29">
        <v>3.5999999999999999E-3</v>
      </c>
      <c r="H39" s="29">
        <v>1.35</v>
      </c>
      <c r="I39" s="29">
        <v>1989</v>
      </c>
    </row>
    <row r="40" spans="1:9" ht="14.4" hidden="1" customHeight="1" outlineLevel="2" x14ac:dyDescent="0.3">
      <c r="B40" s="11"/>
      <c r="C40" s="33">
        <v>0.05</v>
      </c>
      <c r="D40" s="27"/>
      <c r="E40" s="27">
        <v>1</v>
      </c>
      <c r="F40" s="27">
        <v>1.884364165</v>
      </c>
      <c r="G40" s="27">
        <v>1.8359999999999901E-2</v>
      </c>
      <c r="H40" s="27">
        <v>11.6715</v>
      </c>
      <c r="I40" s="27">
        <v>2001</v>
      </c>
    </row>
    <row r="41" spans="1:9" ht="14.4" hidden="1" customHeight="1" outlineLevel="2" x14ac:dyDescent="0.3">
      <c r="B41" s="11"/>
      <c r="C41" s="34">
        <v>0.25</v>
      </c>
      <c r="D41" s="29"/>
      <c r="E41" s="29">
        <v>1</v>
      </c>
      <c r="F41" s="29">
        <v>5.4425404999999998</v>
      </c>
      <c r="G41" s="29">
        <v>0.22900000000000001</v>
      </c>
      <c r="H41" s="29">
        <v>32.56</v>
      </c>
      <c r="I41" s="29">
        <v>2007</v>
      </c>
    </row>
    <row r="42" spans="1:9" ht="14.4" hidden="1" customHeight="1" outlineLevel="2" x14ac:dyDescent="0.3">
      <c r="B42" s="11"/>
      <c r="C42" s="33">
        <v>0.5</v>
      </c>
      <c r="D42" s="27"/>
      <c r="E42" s="27">
        <v>1</v>
      </c>
      <c r="F42" s="27">
        <v>39.979500000000002</v>
      </c>
      <c r="G42" s="27">
        <v>1.26</v>
      </c>
      <c r="H42" s="27">
        <v>55.25</v>
      </c>
      <c r="I42" s="27">
        <v>2010</v>
      </c>
    </row>
    <row r="43" spans="1:9" ht="14.4" hidden="1" customHeight="1" outlineLevel="2" x14ac:dyDescent="0.3">
      <c r="B43" s="11"/>
      <c r="C43" s="34">
        <v>0.75</v>
      </c>
      <c r="D43" s="29"/>
      <c r="E43" s="29">
        <v>2</v>
      </c>
      <c r="F43" s="29">
        <v>526.005</v>
      </c>
      <c r="G43" s="29">
        <v>3.04</v>
      </c>
      <c r="H43" s="29">
        <v>178.5</v>
      </c>
      <c r="I43" s="29">
        <v>2012</v>
      </c>
    </row>
    <row r="44" spans="1:9" ht="14.4" hidden="1" customHeight="1" outlineLevel="2" x14ac:dyDescent="0.3">
      <c r="B44" s="11"/>
      <c r="C44" s="33">
        <v>0.95</v>
      </c>
      <c r="D44" s="27"/>
      <c r="E44" s="27">
        <v>5</v>
      </c>
      <c r="F44" s="27">
        <v>3360.4499999999898</v>
      </c>
      <c r="G44" s="27">
        <v>10.527999999999899</v>
      </c>
      <c r="H44" s="27">
        <v>1180</v>
      </c>
      <c r="I44" s="27">
        <v>2013.3</v>
      </c>
    </row>
    <row r="45" spans="1:9" ht="14.4" hidden="1" customHeight="1" outlineLevel="2" x14ac:dyDescent="0.3">
      <c r="B45" s="11"/>
      <c r="C45" s="34" t="s">
        <v>17</v>
      </c>
      <c r="D45" s="29"/>
      <c r="E45" s="29">
        <v>7</v>
      </c>
      <c r="F45" s="29">
        <v>730000</v>
      </c>
      <c r="G45" s="29">
        <v>25</v>
      </c>
      <c r="H45" s="29">
        <v>8500</v>
      </c>
      <c r="I45" s="29">
        <v>2014</v>
      </c>
    </row>
    <row r="46" spans="1:9" ht="14.4" hidden="1" customHeight="1" outlineLevel="2" x14ac:dyDescent="0.3">
      <c r="B46" s="11"/>
      <c r="C46" s="16" t="s">
        <v>18</v>
      </c>
      <c r="D46" s="27"/>
      <c r="E46" s="27">
        <v>6</v>
      </c>
      <c r="F46" s="27">
        <v>729999.90929371002</v>
      </c>
      <c r="G46" s="27">
        <v>24.996400000000001</v>
      </c>
      <c r="H46" s="27">
        <v>8498.65</v>
      </c>
      <c r="I46" s="27">
        <v>25</v>
      </c>
    </row>
    <row r="47" spans="1:9" ht="14.4" hidden="1" customHeight="1" outlineLevel="2" x14ac:dyDescent="0.3">
      <c r="B47" s="23"/>
      <c r="C47" s="19" t="s">
        <v>19</v>
      </c>
      <c r="D47" s="29"/>
      <c r="E47" s="29">
        <v>1</v>
      </c>
      <c r="F47" s="29">
        <v>520.56245950000005</v>
      </c>
      <c r="G47" s="29">
        <v>2.8109999999999999</v>
      </c>
      <c r="H47" s="29">
        <v>145.94</v>
      </c>
      <c r="I47" s="29">
        <v>5</v>
      </c>
    </row>
    <row r="48" spans="1:9" ht="10.050000000000001" hidden="1" customHeight="1" outlineLevel="2" x14ac:dyDescent="0.3">
      <c r="B48" s="23"/>
      <c r="D48" s="8"/>
      <c r="E48" s="8"/>
      <c r="F48" s="8"/>
      <c r="G48" s="8"/>
      <c r="H48" s="8"/>
      <c r="I48" s="8"/>
    </row>
    <row r="49" spans="1:9" ht="19.95" customHeight="1" outlineLevel="1" collapsed="1" x14ac:dyDescent="0.3">
      <c r="A49" s="40"/>
      <c r="B49" s="9" t="s">
        <v>0</v>
      </c>
      <c r="C49" s="10"/>
      <c r="D49" s="8"/>
      <c r="E49" s="8"/>
      <c r="F49" s="8"/>
      <c r="G49" s="8"/>
      <c r="H49" s="8"/>
      <c r="I49" s="8"/>
    </row>
    <row r="50" spans="1:9" ht="10.050000000000001" customHeight="1" outlineLevel="1" x14ac:dyDescent="0.3">
      <c r="A50" s="40"/>
      <c r="B50" s="25"/>
      <c r="D50" s="8"/>
      <c r="E50" s="8"/>
      <c r="F50" s="8"/>
      <c r="G50" s="8"/>
      <c r="H50" s="8"/>
      <c r="I50" s="8"/>
    </row>
    <row r="51" spans="1:9" ht="14.4" hidden="1" customHeight="1" outlineLevel="2" x14ac:dyDescent="0.3">
      <c r="A51" s="40"/>
      <c r="B51" s="40"/>
      <c r="C51" s="35" t="s">
        <v>40</v>
      </c>
      <c r="D51" s="81" t="b">
        <v>0</v>
      </c>
      <c r="E51" s="81" t="b">
        <v>0</v>
      </c>
      <c r="F51" s="81" t="b">
        <v>0</v>
      </c>
      <c r="G51" s="81" t="b">
        <v>0</v>
      </c>
      <c r="H51" s="81" t="b">
        <v>0</v>
      </c>
      <c r="I51" s="81" t="b">
        <v>0</v>
      </c>
    </row>
    <row r="52" spans="1:9" ht="14.4" hidden="1" customHeight="1" outlineLevel="2" x14ac:dyDescent="0.3">
      <c r="A52" s="40"/>
      <c r="B52" s="40"/>
      <c r="C52" s="35" t="s">
        <v>41</v>
      </c>
      <c r="D52" s="81" t="b">
        <v>0</v>
      </c>
      <c r="E52" s="81" t="b">
        <v>0</v>
      </c>
      <c r="F52" s="81" t="b">
        <v>0</v>
      </c>
      <c r="G52" s="81" t="b">
        <v>0</v>
      </c>
      <c r="H52" s="81" t="b">
        <v>0</v>
      </c>
      <c r="I52" s="81" t="b">
        <v>0</v>
      </c>
    </row>
    <row r="53" spans="1:9" ht="14.4" hidden="1" customHeight="1" outlineLevel="2" x14ac:dyDescent="0.3">
      <c r="A53" s="40"/>
      <c r="B53" s="40"/>
      <c r="C53" s="35" t="s">
        <v>42</v>
      </c>
      <c r="D53" s="81" t="b">
        <v>0</v>
      </c>
      <c r="E53" s="81" t="b">
        <v>0</v>
      </c>
      <c r="F53" s="81" t="b">
        <v>0</v>
      </c>
      <c r="G53" s="81" t="b">
        <v>0</v>
      </c>
      <c r="H53" s="81" t="b">
        <v>0</v>
      </c>
      <c r="I53" s="81" t="b">
        <v>0</v>
      </c>
    </row>
    <row r="54" spans="1:9" ht="14.4" hidden="1" customHeight="1" outlineLevel="2" x14ac:dyDescent="0.3">
      <c r="A54" s="40"/>
      <c r="B54" s="40"/>
      <c r="C54" s="35" t="s">
        <v>43</v>
      </c>
      <c r="D54" s="81" t="b">
        <v>0</v>
      </c>
      <c r="E54" s="81" t="b">
        <v>0</v>
      </c>
      <c r="F54" s="81" t="b">
        <v>0</v>
      </c>
      <c r="G54" s="81" t="b">
        <v>0</v>
      </c>
      <c r="H54" s="81" t="b">
        <v>0</v>
      </c>
      <c r="I54" s="81" t="b">
        <v>0</v>
      </c>
    </row>
    <row r="55" spans="1:9" ht="14.4" hidden="1" customHeight="1" outlineLevel="2" x14ac:dyDescent="0.3">
      <c r="A55" s="40"/>
      <c r="B55" s="40"/>
      <c r="C55" s="35" t="s">
        <v>44</v>
      </c>
      <c r="D55" s="81" t="b">
        <v>0</v>
      </c>
      <c r="E55" s="81" t="b">
        <v>0</v>
      </c>
      <c r="F55" s="81" t="b">
        <v>0</v>
      </c>
      <c r="G55" s="81" t="b">
        <v>0</v>
      </c>
      <c r="H55" s="81" t="b">
        <v>0</v>
      </c>
      <c r="I55" s="81" t="b">
        <v>0</v>
      </c>
    </row>
    <row r="56" spans="1:9" ht="14.4" hidden="1" customHeight="1" outlineLevel="2" x14ac:dyDescent="0.3">
      <c r="A56" s="40"/>
      <c r="B56" s="40"/>
      <c r="C56" s="35" t="s">
        <v>45</v>
      </c>
      <c r="D56" s="81" t="b">
        <v>0</v>
      </c>
      <c r="E56" s="81" t="b">
        <v>0</v>
      </c>
      <c r="F56" s="81" t="b">
        <v>0</v>
      </c>
      <c r="G56" s="81" t="b">
        <v>0</v>
      </c>
      <c r="H56" s="81" t="b">
        <v>0</v>
      </c>
      <c r="I56" s="81" t="b">
        <v>0</v>
      </c>
    </row>
    <row r="57" spans="1:9" ht="14.4" hidden="1" customHeight="1" outlineLevel="2" x14ac:dyDescent="0.3">
      <c r="A57" s="40"/>
      <c r="B57" s="40"/>
      <c r="C57" s="35" t="s">
        <v>22</v>
      </c>
      <c r="D57" s="81" t="b">
        <v>0</v>
      </c>
      <c r="E57" s="81" t="b">
        <v>0</v>
      </c>
      <c r="F57" s="81" t="b">
        <v>0</v>
      </c>
      <c r="G57" s="81" t="b">
        <v>0</v>
      </c>
      <c r="H57" s="81" t="b">
        <v>0</v>
      </c>
      <c r="I57" s="81" t="b">
        <v>0</v>
      </c>
    </row>
    <row r="58" spans="1:9" ht="14.4" hidden="1" customHeight="1" outlineLevel="2" x14ac:dyDescent="0.3">
      <c r="B58" s="1"/>
      <c r="C58" s="82" t="s">
        <v>23</v>
      </c>
      <c r="D58" s="81" t="b">
        <v>0</v>
      </c>
      <c r="E58" s="81" t="b">
        <v>0</v>
      </c>
      <c r="F58" s="81" t="b">
        <v>0</v>
      </c>
      <c r="G58" s="81" t="b">
        <v>0</v>
      </c>
      <c r="H58" s="81" t="b">
        <v>0</v>
      </c>
      <c r="I58" s="81" t="b">
        <v>0</v>
      </c>
    </row>
    <row r="59" spans="1:9" ht="10.050000000000001" hidden="1" customHeight="1" outlineLevel="2" x14ac:dyDescent="0.3">
      <c r="B59" s="20"/>
      <c r="D59" s="8"/>
      <c r="E59" s="8"/>
      <c r="F59" s="8"/>
      <c r="G59" s="8"/>
      <c r="H59" s="8"/>
      <c r="I59" s="8"/>
    </row>
    <row r="60" spans="1:9" ht="19.95" customHeight="1" outlineLevel="1" collapsed="1" x14ac:dyDescent="0.3">
      <c r="A60" s="40"/>
      <c r="B60" s="9" t="s">
        <v>0</v>
      </c>
      <c r="C60" s="10"/>
      <c r="D60" s="8"/>
      <c r="E60" s="8"/>
      <c r="F60" s="8"/>
      <c r="G60" s="8"/>
      <c r="H60" s="8"/>
      <c r="I60" s="8"/>
    </row>
    <row r="61" spans="1:9" ht="10.050000000000001" customHeight="1" outlineLevel="1" x14ac:dyDescent="0.3">
      <c r="A61" s="40"/>
      <c r="B61" s="9"/>
      <c r="C61" s="10"/>
      <c r="D61" s="8"/>
      <c r="E61" s="8"/>
      <c r="F61" s="8"/>
      <c r="G61" s="8"/>
      <c r="H61" s="8"/>
      <c r="I61" s="8"/>
    </row>
    <row r="62" spans="1:9" ht="14.4" hidden="1" customHeight="1" outlineLevel="2" x14ac:dyDescent="0.3">
      <c r="A62" s="40"/>
      <c r="B62" s="40"/>
      <c r="C62" s="44" t="str">
        <f>IF(COUNTIF(FieldList1, "&lt;&gt;FALSE") = 0,"",SUBSTITUTE(LOWER(C51)," ","_") &amp;" = ")</f>
        <v/>
      </c>
      <c r="D62" s="43" t="str">
        <f>IF(COUNTIF(FieldList1, "&lt;&gt;FALSE") = 0,"","['"&amp;_xlfn.TEXTJOIN("', '", TRUE, _xlfn._xlws.FILTER(FieldRange,FieldList1&lt;&gt; FALSE, ""))&amp;"']")</f>
        <v/>
      </c>
    </row>
    <row r="63" spans="1:9" ht="14.4" hidden="1" customHeight="1" outlineLevel="2" x14ac:dyDescent="0.3">
      <c r="A63" s="40"/>
      <c r="B63" s="40"/>
      <c r="C63" s="44" t="str">
        <f>IF(COUNTIF(FieldList2, "&lt;&gt;FALSE") = 0,"",SUBSTITUTE(LOWER(C52)," ","_")&amp;" = ")</f>
        <v/>
      </c>
      <c r="D63" s="43" t="str">
        <f>IF(COUNTIF(FieldList2, "&lt;&gt;FALSE") = 0,"","['"&amp;_xlfn.TEXTJOIN("', '", TRUE, _xlfn._xlws.FILTER(FieldRange,FieldList2&lt;&gt; FALSE, ""))&amp;"']")</f>
        <v/>
      </c>
    </row>
    <row r="64" spans="1:9" ht="14.4" hidden="1" customHeight="1" outlineLevel="2" x14ac:dyDescent="0.3">
      <c r="A64" s="40"/>
      <c r="B64" s="40"/>
      <c r="C64" s="44" t="str">
        <f>IF(COUNTIF(FieldList3, "&lt;&gt;FALSE") = 0,"",SUBSTITUTE(LOWER(C53)," ","_")&amp;" = ")</f>
        <v/>
      </c>
      <c r="D64" s="43" t="str">
        <f>IF(COUNTIF(FieldList3, "&lt;&gt;FALSE") = 0,"","['"&amp;_xlfn.TEXTJOIN("', '", TRUE, _xlfn._xlws.FILTER(FieldRange,FieldList3&lt;&gt; FALSE, ""))&amp;"']")</f>
        <v/>
      </c>
    </row>
    <row r="65" spans="1:10" ht="14.4" hidden="1" customHeight="1" outlineLevel="2" x14ac:dyDescent="0.3">
      <c r="A65" s="40"/>
      <c r="B65" s="40"/>
      <c r="C65" s="44" t="str">
        <f>IF(COUNTIF(FieldList4, "&lt;&gt;FALSE") = 0,"",SUBSTITUTE(LOWER(C54)," ","_")&amp;" = ")</f>
        <v/>
      </c>
      <c r="D65" s="43" t="str">
        <f>IF(COUNTIF(FieldList4, "&lt;&gt;FALSE") = 0,"","['"&amp;_xlfn.TEXTJOIN("', '", TRUE, _xlfn._xlws.FILTER(FieldRange,FieldList4&lt;&gt; FALSE, ""))&amp;"']")</f>
        <v/>
      </c>
    </row>
    <row r="66" spans="1:10" ht="14.4" hidden="1" customHeight="1" outlineLevel="2" x14ac:dyDescent="0.3">
      <c r="A66" s="40"/>
      <c r="B66" s="40"/>
      <c r="C66" s="44" t="str">
        <f>IF(COUNTIF(FieldList5, "&lt;&gt;FALSE") = 0,"",SUBSTITUTE(LOWER(C55)," ","_")&amp;" = ")</f>
        <v/>
      </c>
      <c r="D66" s="43" t="str">
        <f>IF(COUNTIF(FieldList5, "&lt;&gt;FALSE") = 0,"","['"&amp;_xlfn.TEXTJOIN("', '", TRUE, _xlfn._xlws.FILTER(FieldRange,FieldList5&lt;&gt; FALSE, ""))&amp;"']")</f>
        <v/>
      </c>
    </row>
    <row r="67" spans="1:10" ht="13.8" hidden="1" customHeight="1" outlineLevel="2" x14ac:dyDescent="0.3">
      <c r="A67" s="40"/>
      <c r="B67" s="40"/>
      <c r="C67" s="44" t="str">
        <f>IF(COUNTIF(FieldList6, "&lt;&gt;FALSE") = 0,"",SUBSTITUTE(LOWER(C56)," ","_")&amp;" = ")</f>
        <v/>
      </c>
      <c r="D67" s="43" t="str">
        <f>IF(COUNTIF(FieldList6, "&lt;&gt;FALSE") = 0,"","['"&amp;_xlfn.TEXTJOIN("', '", TRUE, _xlfn._xlws.FILTER(FieldRange,FieldList6&lt;&gt; FALSE, ""))&amp;"']")</f>
        <v/>
      </c>
    </row>
    <row r="68" spans="1:10" ht="13.8" hidden="1" customHeight="1" outlineLevel="2" x14ac:dyDescent="0.3">
      <c r="A68" s="40"/>
      <c r="B68" s="40"/>
      <c r="C68" s="44" t="str">
        <f>IF(COUNTIF(FieldList7, "&lt;&gt;FALSE") = 0,"",SUBSTITUTE(LOWER(C57)," ","_")&amp;" = ")</f>
        <v/>
      </c>
      <c r="D68" s="43" t="str" cm="1">
        <f t="array" ref="D68">IF(COUNTIF(FieldList7, "&lt;&gt;FALSE") = 0,"","['"&amp;_xlfn.TEXTJOIN("', '", TRUE, _xlfn._xlws.FILTER(FieldRange,FieldList7&lt;&gt; FALSE, ""))&amp;"']")</f>
        <v/>
      </c>
    </row>
    <row r="69" spans="1:10" ht="13.8" hidden="1" customHeight="1" outlineLevel="2" x14ac:dyDescent="0.3">
      <c r="B69" s="40"/>
      <c r="C69" s="44" t="str">
        <f>IF(COUNTIF(FieldList8, "&lt;&gt;FALSE") = 0,"",SUBSTITUTE(LOWER(C58)," ","_")&amp;" = ")</f>
        <v/>
      </c>
      <c r="D69" s="43" t="str" cm="1">
        <f t="array" ref="D69">IF(COUNTIF(FieldList8, "&lt;&gt;FALSE") = 0,"","['"&amp;_xlfn.TEXTJOIN("', '", TRUE, _xlfn._xlws.FILTER(FieldRange,FieldList8&lt;&gt; FALSE, ""))&amp;"']")</f>
        <v/>
      </c>
    </row>
    <row r="70" spans="1:10" ht="14.4" hidden="1" customHeight="1" outlineLevel="2" x14ac:dyDescent="0.3">
      <c r="B70" s="36"/>
      <c r="C70" s="55" t="str">
        <f>IF(COUNTIF(tbl_SourceData[Record List], "&lt;&gt;FALSE") = 0,"",SUBSTITUTE(LOWER(LightHeader)," ", "_") &amp;" = ")</f>
        <v/>
      </c>
      <c r="D70" s="43" t="str" cm="1">
        <f t="array" ref="D70">IF(COUNTIF(tbl_SourceData[Record List], "&lt;&gt;FALSE") = 0,"","['"&amp;_xlfn.TEXTJOIN("', '", TRUE, _xlfn._xlws.FILTER(_xlfn.TAKE(tbl_SourceData[],,-1), tbl_SourceData[Record List] &lt;&gt; FALSE, ""))&amp;"']")</f>
        <v/>
      </c>
    </row>
    <row r="71" spans="1:10" ht="10.050000000000001" customHeight="1" outlineLevel="2" x14ac:dyDescent="0.3">
      <c r="B71" s="20"/>
      <c r="C71" s="37"/>
      <c r="D71" s="38"/>
      <c r="E71" s="38"/>
      <c r="F71" s="38"/>
      <c r="G71" s="38"/>
      <c r="H71" s="38"/>
      <c r="I71" s="38"/>
    </row>
    <row r="72" spans="1:10" ht="30" customHeight="1" x14ac:dyDescent="0.3">
      <c r="C72" s="97" t="s">
        <v>21</v>
      </c>
      <c r="D72" s="39" t="s">
        <v>48</v>
      </c>
      <c r="E72" s="39" t="s">
        <v>49</v>
      </c>
      <c r="F72" s="39" t="s">
        <v>50</v>
      </c>
      <c r="G72" s="39" t="s">
        <v>51</v>
      </c>
      <c r="H72" s="39" t="s">
        <v>52</v>
      </c>
      <c r="I72" s="39" t="s">
        <v>53</v>
      </c>
      <c r="J72" s="97" t="s">
        <v>20</v>
      </c>
    </row>
    <row r="73" spans="1:10" x14ac:dyDescent="0.3">
      <c r="C73" s="41" t="b">
        <v>0</v>
      </c>
      <c r="D73" s="42" t="s">
        <v>56</v>
      </c>
      <c r="E73" s="42">
        <v>1</v>
      </c>
      <c r="F73" s="42">
        <v>269.3</v>
      </c>
      <c r="G73" s="42">
        <v>7.1</v>
      </c>
      <c r="H73" s="42">
        <v>77.400000000000006</v>
      </c>
      <c r="I73" s="42">
        <v>2006</v>
      </c>
      <c r="J73" s="113">
        <v>5.2976716975448699E+18</v>
      </c>
    </row>
    <row r="74" spans="1:10" x14ac:dyDescent="0.3">
      <c r="C74" s="41" t="b">
        <v>0</v>
      </c>
      <c r="D74" s="42" t="s">
        <v>56</v>
      </c>
      <c r="E74" s="42">
        <v>1</v>
      </c>
      <c r="F74" s="42">
        <v>874.774</v>
      </c>
      <c r="G74" s="42">
        <v>2.21</v>
      </c>
      <c r="H74" s="42">
        <v>56.95</v>
      </c>
      <c r="I74" s="42">
        <v>2008</v>
      </c>
      <c r="J74" s="113">
        <v>2.1144392991558899E+18</v>
      </c>
    </row>
    <row r="75" spans="1:10" x14ac:dyDescent="0.3">
      <c r="C75" s="41" t="b">
        <v>0</v>
      </c>
      <c r="D75" s="42" t="s">
        <v>56</v>
      </c>
      <c r="E75" s="42">
        <v>1</v>
      </c>
      <c r="F75" s="42">
        <v>763</v>
      </c>
      <c r="G75" s="42">
        <v>2.6</v>
      </c>
      <c r="H75" s="42">
        <v>19.84</v>
      </c>
      <c r="I75" s="42">
        <v>2011</v>
      </c>
      <c r="J75" s="113">
        <v>1.67004777839762E+19</v>
      </c>
    </row>
    <row r="76" spans="1:10" x14ac:dyDescent="0.3">
      <c r="C76" s="41" t="b">
        <v>0</v>
      </c>
      <c r="D76" s="42" t="s">
        <v>56</v>
      </c>
      <c r="E76" s="42">
        <v>1</v>
      </c>
      <c r="F76" s="42">
        <v>326.02999999999997</v>
      </c>
      <c r="G76" s="42">
        <v>19.399999999999999</v>
      </c>
      <c r="H76" s="42">
        <v>110.62</v>
      </c>
      <c r="I76" s="42">
        <v>2007</v>
      </c>
      <c r="J76" s="113">
        <v>7.7531029011527096E+18</v>
      </c>
    </row>
    <row r="77" spans="1:10" x14ac:dyDescent="0.3">
      <c r="C77" s="41" t="b">
        <v>0</v>
      </c>
      <c r="D77" s="42" t="s">
        <v>56</v>
      </c>
      <c r="E77" s="42">
        <v>1</v>
      </c>
      <c r="F77" s="42">
        <v>516.22</v>
      </c>
      <c r="G77" s="42">
        <v>10.5</v>
      </c>
      <c r="H77" s="42">
        <v>119.47</v>
      </c>
      <c r="I77" s="42">
        <v>2009</v>
      </c>
      <c r="J77" s="113">
        <v>1.45731479006004E+19</v>
      </c>
    </row>
    <row r="78" spans="1:10" x14ac:dyDescent="0.3">
      <c r="C78" s="41" t="b">
        <v>0</v>
      </c>
      <c r="D78" s="42" t="s">
        <v>56</v>
      </c>
      <c r="E78" s="42">
        <v>1</v>
      </c>
      <c r="F78" s="42">
        <v>185.84</v>
      </c>
      <c r="G78" s="42">
        <v>4.8</v>
      </c>
      <c r="H78" s="42">
        <v>76.39</v>
      </c>
      <c r="I78" s="42">
        <v>2008</v>
      </c>
      <c r="J78" s="113">
        <v>1.35292730574707E+19</v>
      </c>
    </row>
    <row r="79" spans="1:10" x14ac:dyDescent="0.3">
      <c r="C79" s="41" t="b">
        <v>0</v>
      </c>
      <c r="D79" s="42" t="s">
        <v>56</v>
      </c>
      <c r="E79" s="42">
        <v>1</v>
      </c>
      <c r="F79" s="42">
        <v>1773.4</v>
      </c>
      <c r="G79" s="42">
        <v>4.6399999999999997</v>
      </c>
      <c r="H79" s="42">
        <v>18.149999999999999</v>
      </c>
      <c r="I79" s="42">
        <v>2002</v>
      </c>
      <c r="J79" s="113">
        <v>8.2209393186823895E+18</v>
      </c>
    </row>
    <row r="80" spans="1:10" x14ac:dyDescent="0.3">
      <c r="C80" s="41" t="b">
        <v>0</v>
      </c>
      <c r="D80" s="42" t="s">
        <v>56</v>
      </c>
      <c r="E80" s="42">
        <v>1</v>
      </c>
      <c r="F80" s="42">
        <v>798.5</v>
      </c>
      <c r="G80" s="42"/>
      <c r="H80" s="42">
        <v>21.41</v>
      </c>
      <c r="I80" s="42">
        <v>1996</v>
      </c>
      <c r="J80" s="113">
        <v>7.40734957142319E+18</v>
      </c>
    </row>
    <row r="81" spans="3:10" x14ac:dyDescent="0.3">
      <c r="C81" s="41" t="b">
        <v>0</v>
      </c>
      <c r="D81" s="42" t="s">
        <v>56</v>
      </c>
      <c r="E81" s="42">
        <v>1</v>
      </c>
      <c r="F81" s="42">
        <v>993.3</v>
      </c>
      <c r="G81" s="42">
        <v>10.3</v>
      </c>
      <c r="H81" s="42">
        <v>73.099999999999994</v>
      </c>
      <c r="I81" s="42">
        <v>2008</v>
      </c>
      <c r="J81" s="113">
        <v>1.5350633997154501E+18</v>
      </c>
    </row>
    <row r="82" spans="3:10" x14ac:dyDescent="0.3">
      <c r="C82" s="41" t="b">
        <v>0</v>
      </c>
      <c r="D82" s="42" t="s">
        <v>56</v>
      </c>
      <c r="E82" s="42">
        <v>2</v>
      </c>
      <c r="F82" s="42">
        <v>452.8</v>
      </c>
      <c r="G82" s="42">
        <v>1.99</v>
      </c>
      <c r="H82" s="42">
        <v>74.790000000000006</v>
      </c>
      <c r="I82" s="42">
        <v>2010</v>
      </c>
      <c r="J82" s="113">
        <v>1.02742208733681E+18</v>
      </c>
    </row>
    <row r="83" spans="3:10" x14ac:dyDescent="0.3">
      <c r="C83" s="41" t="b">
        <v>0</v>
      </c>
      <c r="D83" s="42" t="s">
        <v>56</v>
      </c>
      <c r="E83" s="42">
        <v>2</v>
      </c>
      <c r="F83" s="42">
        <v>883</v>
      </c>
      <c r="G83" s="42">
        <v>0.86</v>
      </c>
      <c r="H83" s="42">
        <v>74.790000000000006</v>
      </c>
      <c r="I83" s="42">
        <v>2010</v>
      </c>
      <c r="J83" s="113">
        <v>1.76777317285346E+19</v>
      </c>
    </row>
    <row r="84" spans="3:10" x14ac:dyDescent="0.3">
      <c r="C84" s="41" t="b">
        <v>0</v>
      </c>
      <c r="D84" s="42" t="s">
        <v>56</v>
      </c>
      <c r="E84" s="42">
        <v>1</v>
      </c>
      <c r="F84" s="42">
        <v>335.1</v>
      </c>
      <c r="G84" s="42">
        <v>9.8800000000000008</v>
      </c>
      <c r="H84" s="42">
        <v>39.43</v>
      </c>
      <c r="I84" s="42">
        <v>2009</v>
      </c>
      <c r="J84" s="113">
        <v>1.1597805296014701E+19</v>
      </c>
    </row>
    <row r="85" spans="3:10" x14ac:dyDescent="0.3">
      <c r="C85" s="41" t="b">
        <v>0</v>
      </c>
      <c r="D85" s="42" t="s">
        <v>56</v>
      </c>
      <c r="E85" s="42">
        <v>1</v>
      </c>
      <c r="F85" s="42">
        <v>479.1</v>
      </c>
      <c r="G85" s="42">
        <v>3.88</v>
      </c>
      <c r="H85" s="42">
        <v>97.28</v>
      </c>
      <c r="I85" s="42">
        <v>2008</v>
      </c>
      <c r="J85" s="113">
        <v>4.6959510077699297E+18</v>
      </c>
    </row>
    <row r="86" spans="3:10" x14ac:dyDescent="0.3">
      <c r="C86" s="41" t="b">
        <v>0</v>
      </c>
      <c r="D86" s="42" t="s">
        <v>56</v>
      </c>
      <c r="E86" s="42">
        <v>3</v>
      </c>
      <c r="F86" s="42">
        <v>1078</v>
      </c>
      <c r="G86" s="42">
        <v>2.5299999999999998</v>
      </c>
      <c r="H86" s="42">
        <v>14.08</v>
      </c>
      <c r="I86" s="42">
        <v>1996</v>
      </c>
      <c r="J86" s="113">
        <v>1.8255387682397999E+19</v>
      </c>
    </row>
    <row r="87" spans="3:10" x14ac:dyDescent="0.3">
      <c r="C87" s="41" t="b">
        <v>0</v>
      </c>
      <c r="D87" s="42" t="s">
        <v>56</v>
      </c>
      <c r="E87" s="42">
        <v>3</v>
      </c>
      <c r="F87" s="42">
        <v>2391</v>
      </c>
      <c r="G87" s="42">
        <v>0.54</v>
      </c>
      <c r="H87" s="42">
        <v>14.08</v>
      </c>
      <c r="I87" s="42">
        <v>2001</v>
      </c>
      <c r="J87" s="113">
        <v>1.7739097830898201E+19</v>
      </c>
    </row>
    <row r="88" spans="3:10" x14ac:dyDescent="0.3">
      <c r="C88" s="41" t="b">
        <v>0</v>
      </c>
      <c r="D88" s="42" t="s">
        <v>56</v>
      </c>
      <c r="E88" s="42">
        <v>3</v>
      </c>
      <c r="F88" s="42">
        <v>14002</v>
      </c>
      <c r="G88" s="42">
        <v>1.64</v>
      </c>
      <c r="H88" s="42">
        <v>14.08</v>
      </c>
      <c r="I88" s="42">
        <v>2009</v>
      </c>
      <c r="J88" s="113">
        <v>7.7148541016903997E+18</v>
      </c>
    </row>
    <row r="89" spans="3:10" x14ac:dyDescent="0.3">
      <c r="C89" s="41" t="b">
        <v>0</v>
      </c>
      <c r="D89" s="42" t="s">
        <v>56</v>
      </c>
      <c r="E89" s="42">
        <v>1</v>
      </c>
      <c r="F89" s="42">
        <v>4.230785</v>
      </c>
      <c r="G89" s="42">
        <v>0.47199999999999998</v>
      </c>
      <c r="H89" s="42">
        <v>15.36</v>
      </c>
      <c r="I89" s="42">
        <v>1995</v>
      </c>
      <c r="J89" s="113">
        <v>2.46222131826718E+18</v>
      </c>
    </row>
    <row r="90" spans="3:10" x14ac:dyDescent="0.3">
      <c r="C90" s="41" t="b">
        <v>0</v>
      </c>
      <c r="D90" s="42" t="s">
        <v>56</v>
      </c>
      <c r="E90" s="42">
        <v>5</v>
      </c>
      <c r="F90" s="42">
        <v>14.651</v>
      </c>
      <c r="G90" s="42">
        <v>0.8</v>
      </c>
      <c r="H90" s="42">
        <v>12.53</v>
      </c>
      <c r="I90" s="42">
        <v>1996</v>
      </c>
      <c r="J90" s="113">
        <v>1.8204578578427699E+19</v>
      </c>
    </row>
    <row r="91" spans="3:10" x14ac:dyDescent="0.3">
      <c r="C91" s="41" t="b">
        <v>0</v>
      </c>
      <c r="D91" s="42" t="s">
        <v>56</v>
      </c>
      <c r="E91" s="42">
        <v>5</v>
      </c>
      <c r="F91" s="42">
        <v>44.38</v>
      </c>
      <c r="G91" s="42">
        <v>0.16500000000000001</v>
      </c>
      <c r="H91" s="42">
        <v>12.53</v>
      </c>
      <c r="I91" s="42">
        <v>2004</v>
      </c>
      <c r="J91" s="113">
        <v>7.0264968414637005E+18</v>
      </c>
    </row>
    <row r="92" spans="3:10" x14ac:dyDescent="0.3">
      <c r="C92" s="41" t="b">
        <v>0</v>
      </c>
      <c r="D92" s="42" t="s">
        <v>56</v>
      </c>
      <c r="E92" s="42">
        <v>5</v>
      </c>
      <c r="F92" s="42">
        <v>4909</v>
      </c>
      <c r="G92" s="42">
        <v>3.53</v>
      </c>
      <c r="H92" s="42">
        <v>12.53</v>
      </c>
      <c r="I92" s="42">
        <v>2002</v>
      </c>
      <c r="J92" s="113">
        <v>1.13502699907701E+19</v>
      </c>
    </row>
    <row r="93" spans="3:10" x14ac:dyDescent="0.3">
      <c r="C93" s="41" t="b">
        <v>0</v>
      </c>
      <c r="D93" s="42" t="s">
        <v>56</v>
      </c>
      <c r="E93" s="42">
        <v>5</v>
      </c>
      <c r="F93" s="42">
        <v>0.73653999999999997</v>
      </c>
      <c r="G93" s="42"/>
      <c r="H93" s="42">
        <v>12.53</v>
      </c>
      <c r="I93" s="42">
        <v>2011</v>
      </c>
      <c r="J93" s="113">
        <v>1.2790394973260599E+19</v>
      </c>
    </row>
    <row r="94" spans="3:10" x14ac:dyDescent="0.3">
      <c r="C94" s="41" t="b">
        <v>0</v>
      </c>
      <c r="D94" s="42" t="s">
        <v>56</v>
      </c>
      <c r="E94" s="42">
        <v>5</v>
      </c>
      <c r="F94" s="42">
        <v>261.2</v>
      </c>
      <c r="G94" s="42">
        <v>0.17199999999999999</v>
      </c>
      <c r="H94" s="42">
        <v>12.53</v>
      </c>
      <c r="I94" s="42">
        <v>2007</v>
      </c>
      <c r="J94" s="113">
        <v>1.05749852199303E+19</v>
      </c>
    </row>
    <row r="95" spans="3:10" x14ac:dyDescent="0.3">
      <c r="C95" s="41" t="b">
        <v>0</v>
      </c>
      <c r="D95" s="42" t="s">
        <v>56</v>
      </c>
      <c r="E95" s="42">
        <v>3</v>
      </c>
      <c r="F95" s="42">
        <v>4.2149999999999999</v>
      </c>
      <c r="G95" s="42">
        <v>1.6E-2</v>
      </c>
      <c r="H95" s="42">
        <v>8.52</v>
      </c>
      <c r="I95" s="42">
        <v>2009</v>
      </c>
      <c r="J95" s="113">
        <v>1.6928878636310901E+19</v>
      </c>
    </row>
    <row r="96" spans="3:10" x14ac:dyDescent="0.3">
      <c r="C96" s="41" t="b">
        <v>0</v>
      </c>
      <c r="D96" s="42" t="s">
        <v>56</v>
      </c>
      <c r="E96" s="42">
        <v>3</v>
      </c>
      <c r="F96" s="42">
        <v>38.021000000000001</v>
      </c>
      <c r="G96" s="42">
        <v>5.7000000000000002E-2</v>
      </c>
      <c r="H96" s="42">
        <v>8.52</v>
      </c>
      <c r="I96" s="42">
        <v>2009</v>
      </c>
      <c r="J96" s="113">
        <v>1.32883930186612E+19</v>
      </c>
    </row>
    <row r="97" spans="3:10" x14ac:dyDescent="0.3">
      <c r="C97" s="41" t="b">
        <v>0</v>
      </c>
      <c r="D97" s="42" t="s">
        <v>56</v>
      </c>
      <c r="E97" s="42">
        <v>3</v>
      </c>
      <c r="F97" s="42">
        <v>123.01</v>
      </c>
      <c r="G97" s="42">
        <v>7.1999999999999995E-2</v>
      </c>
      <c r="H97" s="42">
        <v>8.52</v>
      </c>
      <c r="I97" s="42">
        <v>2009</v>
      </c>
      <c r="J97" s="113">
        <v>1.2721951806125799E+19</v>
      </c>
    </row>
    <row r="98" spans="3:10" x14ac:dyDescent="0.3">
      <c r="C98" s="41" t="b">
        <v>0</v>
      </c>
      <c r="D98" s="42" t="s">
        <v>56</v>
      </c>
      <c r="E98" s="42">
        <v>1</v>
      </c>
      <c r="F98" s="42">
        <v>116.6884</v>
      </c>
      <c r="G98" s="42"/>
      <c r="H98" s="42">
        <v>18.11</v>
      </c>
      <c r="I98" s="42">
        <v>1996</v>
      </c>
      <c r="J98" s="113">
        <v>1.49206503605709E+19</v>
      </c>
    </row>
    <row r="99" spans="3:10" x14ac:dyDescent="0.3">
      <c r="C99" s="41" t="b">
        <v>0</v>
      </c>
      <c r="D99" s="42" t="s">
        <v>56</v>
      </c>
      <c r="E99" s="42">
        <v>1</v>
      </c>
      <c r="F99" s="42">
        <v>691.9</v>
      </c>
      <c r="G99" s="42"/>
      <c r="H99" s="42">
        <v>81.5</v>
      </c>
      <c r="I99" s="42">
        <v>2012</v>
      </c>
      <c r="J99" s="113">
        <v>1.3710065504898601E+19</v>
      </c>
    </row>
    <row r="100" spans="3:10" x14ac:dyDescent="0.3">
      <c r="C100" s="41" t="b">
        <v>0</v>
      </c>
      <c r="D100" s="42" t="s">
        <v>56</v>
      </c>
      <c r="E100" s="42">
        <v>1</v>
      </c>
      <c r="F100" s="42">
        <v>952.7</v>
      </c>
      <c r="G100" s="42">
        <v>5.3</v>
      </c>
      <c r="H100" s="42">
        <v>97.18</v>
      </c>
      <c r="I100" s="42">
        <v>2008</v>
      </c>
      <c r="J100" s="113">
        <v>2.7261169481241902E+18</v>
      </c>
    </row>
    <row r="101" spans="3:10" x14ac:dyDescent="0.3">
      <c r="C101" s="41" t="b">
        <v>0</v>
      </c>
      <c r="D101" s="42" t="s">
        <v>56</v>
      </c>
      <c r="E101" s="42">
        <v>1</v>
      </c>
      <c r="F101" s="42">
        <v>181.4</v>
      </c>
      <c r="G101" s="42">
        <v>3.2</v>
      </c>
      <c r="H101" s="42">
        <v>45.52</v>
      </c>
      <c r="I101" s="42">
        <v>2013</v>
      </c>
      <c r="J101" s="113">
        <v>6.1462588526832497E+18</v>
      </c>
    </row>
    <row r="102" spans="3:10" x14ac:dyDescent="0.3">
      <c r="C102" s="41" t="b">
        <v>0</v>
      </c>
      <c r="D102" s="42" t="s">
        <v>59</v>
      </c>
      <c r="E102" s="42">
        <v>1</v>
      </c>
      <c r="F102" s="42"/>
      <c r="G102" s="42"/>
      <c r="H102" s="42">
        <v>45.52</v>
      </c>
      <c r="I102" s="42">
        <v>2005</v>
      </c>
      <c r="J102" s="113">
        <v>3.4198418248603197E+18</v>
      </c>
    </row>
    <row r="103" spans="3:10" x14ac:dyDescent="0.3">
      <c r="C103" s="41" t="b">
        <v>0</v>
      </c>
      <c r="D103" s="42" t="s">
        <v>59</v>
      </c>
      <c r="E103" s="42">
        <v>1</v>
      </c>
      <c r="F103" s="42"/>
      <c r="G103" s="42"/>
      <c r="H103" s="42">
        <v>165</v>
      </c>
      <c r="I103" s="42">
        <v>2007</v>
      </c>
      <c r="J103" s="113">
        <v>1.84286401163224E+19</v>
      </c>
    </row>
    <row r="104" spans="3:10" x14ac:dyDescent="0.3">
      <c r="C104" s="41" t="b">
        <v>0</v>
      </c>
      <c r="D104" s="42" t="s">
        <v>59</v>
      </c>
      <c r="E104" s="42">
        <v>1</v>
      </c>
      <c r="F104" s="42"/>
      <c r="G104" s="42"/>
      <c r="H104" s="42">
        <v>140</v>
      </c>
      <c r="I104" s="42">
        <v>2004</v>
      </c>
      <c r="J104" s="113">
        <v>1.6508914987173401E+19</v>
      </c>
    </row>
    <row r="105" spans="3:10" x14ac:dyDescent="0.3">
      <c r="C105" s="41" t="b">
        <v>0</v>
      </c>
      <c r="D105" s="42" t="s">
        <v>60</v>
      </c>
      <c r="E105" s="42">
        <v>1</v>
      </c>
      <c r="F105" s="42">
        <v>10220</v>
      </c>
      <c r="G105" s="42">
        <v>6.05</v>
      </c>
      <c r="H105" s="42"/>
      <c r="I105" s="42">
        <v>2009</v>
      </c>
      <c r="J105" s="113">
        <v>1.7954937702987801E+19</v>
      </c>
    </row>
    <row r="106" spans="3:10" x14ac:dyDescent="0.3">
      <c r="C106" s="41" t="b">
        <v>0</v>
      </c>
      <c r="D106" s="42" t="s">
        <v>59</v>
      </c>
      <c r="E106" s="42">
        <v>1</v>
      </c>
      <c r="F106" s="42"/>
      <c r="G106" s="42"/>
      <c r="H106" s="42"/>
      <c r="I106" s="42">
        <v>2008</v>
      </c>
      <c r="J106" s="113">
        <v>1.4084685566169999E+19</v>
      </c>
    </row>
    <row r="107" spans="3:10" x14ac:dyDescent="0.3">
      <c r="C107" s="41" t="b">
        <v>0</v>
      </c>
      <c r="D107" s="42" t="s">
        <v>59</v>
      </c>
      <c r="E107" s="42">
        <v>1</v>
      </c>
      <c r="F107" s="42"/>
      <c r="G107" s="42"/>
      <c r="H107" s="42">
        <v>145</v>
      </c>
      <c r="I107" s="42">
        <v>2013</v>
      </c>
      <c r="J107" s="113">
        <v>5.29448900114415E+18</v>
      </c>
    </row>
    <row r="108" spans="3:10" x14ac:dyDescent="0.3">
      <c r="C108" s="41" t="b">
        <v>0</v>
      </c>
      <c r="D108" s="42" t="s">
        <v>59</v>
      </c>
      <c r="E108" s="42">
        <v>1</v>
      </c>
      <c r="F108" s="42"/>
      <c r="G108" s="42"/>
      <c r="H108" s="42">
        <v>139</v>
      </c>
      <c r="I108" s="42">
        <v>2004</v>
      </c>
      <c r="J108" s="113">
        <v>2.1300632559133701E+18</v>
      </c>
    </row>
    <row r="109" spans="3:10" x14ac:dyDescent="0.3">
      <c r="C109" s="41" t="b">
        <v>0</v>
      </c>
      <c r="D109" s="42" t="s">
        <v>59</v>
      </c>
      <c r="E109" s="42">
        <v>1</v>
      </c>
      <c r="F109" s="42"/>
      <c r="G109" s="42"/>
      <c r="H109" s="42">
        <v>18.39</v>
      </c>
      <c r="I109" s="42">
        <v>2006</v>
      </c>
      <c r="J109" s="113">
        <v>5.3378627696001403E+18</v>
      </c>
    </row>
    <row r="110" spans="3:10" x14ac:dyDescent="0.3">
      <c r="C110" s="41" t="b">
        <v>0</v>
      </c>
      <c r="D110" s="42" t="s">
        <v>60</v>
      </c>
      <c r="E110" s="42">
        <v>2</v>
      </c>
      <c r="F110" s="42">
        <v>5767</v>
      </c>
      <c r="G110" s="42"/>
      <c r="H110" s="42">
        <v>130.72</v>
      </c>
      <c r="I110" s="42">
        <v>2008</v>
      </c>
      <c r="J110" s="113">
        <v>1.2615117072373201E+19</v>
      </c>
    </row>
    <row r="111" spans="3:10" x14ac:dyDescent="0.3">
      <c r="C111" s="41" t="b">
        <v>0</v>
      </c>
      <c r="D111" s="42" t="s">
        <v>60</v>
      </c>
      <c r="E111" s="42">
        <v>2</v>
      </c>
      <c r="F111" s="42">
        <v>3321</v>
      </c>
      <c r="G111" s="42"/>
      <c r="H111" s="42">
        <v>130.72</v>
      </c>
      <c r="I111" s="42">
        <v>2008</v>
      </c>
      <c r="J111" s="113">
        <v>1.0431604651183901E+19</v>
      </c>
    </row>
    <row r="112" spans="3:10" x14ac:dyDescent="0.3">
      <c r="C112" s="41" t="b">
        <v>0</v>
      </c>
      <c r="D112" s="42" t="s">
        <v>60</v>
      </c>
      <c r="E112" s="42">
        <v>2</v>
      </c>
      <c r="F112" s="42">
        <v>5573.55</v>
      </c>
      <c r="G112" s="42"/>
      <c r="H112" s="42">
        <v>500</v>
      </c>
      <c r="I112" s="42">
        <v>2010</v>
      </c>
      <c r="J112" s="113">
        <v>5.89920250912352E+17</v>
      </c>
    </row>
    <row r="113" spans="3:10" x14ac:dyDescent="0.3">
      <c r="C113" s="41" t="b">
        <v>0</v>
      </c>
      <c r="D113" s="42" t="s">
        <v>60</v>
      </c>
      <c r="E113" s="42">
        <v>2</v>
      </c>
      <c r="F113" s="42">
        <v>2883.5</v>
      </c>
      <c r="G113" s="42"/>
      <c r="H113" s="42">
        <v>500</v>
      </c>
      <c r="I113" s="42">
        <v>2010</v>
      </c>
      <c r="J113" s="113">
        <v>1.2005147985799999E+19</v>
      </c>
    </row>
    <row r="114" spans="3:10" x14ac:dyDescent="0.3">
      <c r="C114" s="41" t="b">
        <v>0</v>
      </c>
      <c r="D114" s="42" t="s">
        <v>60</v>
      </c>
      <c r="E114" s="42">
        <v>1</v>
      </c>
      <c r="F114" s="42">
        <v>2900</v>
      </c>
      <c r="G114" s="42"/>
      <c r="H114" s="42"/>
      <c r="I114" s="42">
        <v>2011</v>
      </c>
      <c r="J114" s="113">
        <v>1.83215905001357E+19</v>
      </c>
    </row>
    <row r="115" spans="3:10" x14ac:dyDescent="0.3">
      <c r="C115" s="41" t="b">
        <v>0</v>
      </c>
      <c r="D115" s="42" t="s">
        <v>60</v>
      </c>
      <c r="E115" s="42">
        <v>1</v>
      </c>
      <c r="F115" s="42">
        <v>4343.5</v>
      </c>
      <c r="G115" s="42">
        <v>4.2</v>
      </c>
      <c r="H115" s="42"/>
      <c r="I115" s="42">
        <v>2012</v>
      </c>
      <c r="J115" s="113">
        <v>8.1027078094454098E+18</v>
      </c>
    </row>
    <row r="116" spans="3:10" x14ac:dyDescent="0.3">
      <c r="C116" s="41" t="b">
        <v>0</v>
      </c>
      <c r="D116" s="42" t="s">
        <v>60</v>
      </c>
      <c r="E116" s="42">
        <v>2</v>
      </c>
      <c r="F116" s="42">
        <v>5840</v>
      </c>
      <c r="G116" s="42"/>
      <c r="H116" s="42"/>
      <c r="I116" s="42">
        <v>2011</v>
      </c>
      <c r="J116" s="113">
        <v>2.4551612373404498E+18</v>
      </c>
    </row>
    <row r="117" spans="3:10" x14ac:dyDescent="0.3">
      <c r="C117" s="41" t="b">
        <v>0</v>
      </c>
      <c r="D117" s="42" t="s">
        <v>60</v>
      </c>
      <c r="E117" s="42">
        <v>2</v>
      </c>
      <c r="F117" s="42">
        <v>1916.25</v>
      </c>
      <c r="G117" s="42"/>
      <c r="H117" s="42"/>
      <c r="I117" s="42">
        <v>2011</v>
      </c>
      <c r="J117" s="113">
        <v>1.6629838796517501E+19</v>
      </c>
    </row>
    <row r="118" spans="3:10" x14ac:dyDescent="0.3">
      <c r="C118" s="41" t="b">
        <v>0</v>
      </c>
      <c r="D118" s="42" t="s">
        <v>56</v>
      </c>
      <c r="E118" s="42">
        <v>1</v>
      </c>
      <c r="F118" s="42">
        <v>380.8</v>
      </c>
      <c r="G118" s="42">
        <v>1.8</v>
      </c>
      <c r="H118" s="42">
        <v>20.21</v>
      </c>
      <c r="I118" s="42">
        <v>2010</v>
      </c>
      <c r="J118" s="113">
        <v>3.5142659064615101E+18</v>
      </c>
    </row>
    <row r="119" spans="3:10" x14ac:dyDescent="0.3">
      <c r="C119" s="41" t="b">
        <v>0</v>
      </c>
      <c r="D119" s="42" t="s">
        <v>56</v>
      </c>
      <c r="E119" s="42">
        <v>1</v>
      </c>
      <c r="F119" s="42">
        <v>3.2357</v>
      </c>
      <c r="G119" s="42">
        <v>3.5999999999999999E-3</v>
      </c>
      <c r="H119" s="42">
        <v>1.35</v>
      </c>
      <c r="I119" s="42">
        <v>2012</v>
      </c>
      <c r="J119" s="113">
        <v>1.72398131642291E+19</v>
      </c>
    </row>
    <row r="120" spans="3:10" x14ac:dyDescent="0.3">
      <c r="C120" s="41" t="b">
        <v>0</v>
      </c>
      <c r="D120" s="42" t="s">
        <v>59</v>
      </c>
      <c r="E120" s="42">
        <v>1</v>
      </c>
      <c r="F120" s="42">
        <v>6000</v>
      </c>
      <c r="G120" s="42"/>
      <c r="H120" s="42">
        <v>19.28</v>
      </c>
      <c r="I120" s="42">
        <v>2008</v>
      </c>
      <c r="J120" s="113">
        <v>3.3616152939369201E+18</v>
      </c>
    </row>
    <row r="121" spans="3:10" x14ac:dyDescent="0.3">
      <c r="C121" s="41" t="b">
        <v>0</v>
      </c>
      <c r="D121" s="42" t="s">
        <v>56</v>
      </c>
      <c r="E121" s="42">
        <v>1</v>
      </c>
      <c r="F121" s="42">
        <v>2502</v>
      </c>
      <c r="G121" s="42">
        <v>1.55</v>
      </c>
      <c r="H121" s="42">
        <v>3.22</v>
      </c>
      <c r="I121" s="42">
        <v>2000</v>
      </c>
      <c r="J121" s="113">
        <v>1.13361787896878E+19</v>
      </c>
    </row>
    <row r="122" spans="3:10" x14ac:dyDescent="0.3">
      <c r="C122" s="41" t="b">
        <v>0</v>
      </c>
      <c r="D122" s="42" t="s">
        <v>56</v>
      </c>
      <c r="E122" s="42">
        <v>1</v>
      </c>
      <c r="F122" s="42">
        <v>417.9</v>
      </c>
      <c r="G122" s="42"/>
      <c r="H122" s="42">
        <v>70.42</v>
      </c>
      <c r="I122" s="42">
        <v>2012</v>
      </c>
      <c r="J122" s="113">
        <v>5.5184582850036102E+17</v>
      </c>
    </row>
    <row r="123" spans="3:10" x14ac:dyDescent="0.3">
      <c r="C123" s="41" t="b">
        <v>0</v>
      </c>
      <c r="D123" s="42" t="s">
        <v>56</v>
      </c>
      <c r="E123" s="42">
        <v>1</v>
      </c>
      <c r="F123" s="42">
        <v>594.9</v>
      </c>
      <c r="G123" s="42">
        <v>7.6</v>
      </c>
      <c r="H123" s="42">
        <v>47.53</v>
      </c>
      <c r="I123" s="42">
        <v>2006</v>
      </c>
      <c r="J123" s="113">
        <v>1.42585748586801E+18</v>
      </c>
    </row>
    <row r="124" spans="3:10" x14ac:dyDescent="0.3">
      <c r="C124" s="41" t="b">
        <v>0</v>
      </c>
      <c r="D124" s="42" t="s">
        <v>56</v>
      </c>
      <c r="E124" s="42">
        <v>1</v>
      </c>
      <c r="F124" s="42">
        <v>428.5</v>
      </c>
      <c r="G124" s="42">
        <v>8.7799999999999994</v>
      </c>
      <c r="H124" s="42">
        <v>38.520000000000003</v>
      </c>
      <c r="I124" s="42">
        <v>2009</v>
      </c>
      <c r="J124" s="113">
        <v>1.76160525501359E+19</v>
      </c>
    </row>
    <row r="125" spans="3:10" x14ac:dyDescent="0.3">
      <c r="C125" s="41" t="b">
        <v>0</v>
      </c>
      <c r="D125" s="42" t="s">
        <v>56</v>
      </c>
      <c r="E125" s="42">
        <v>1</v>
      </c>
      <c r="F125" s="42">
        <v>903.3</v>
      </c>
      <c r="G125" s="42">
        <v>1.85</v>
      </c>
      <c r="H125" s="42">
        <v>13.79</v>
      </c>
      <c r="I125" s="42">
        <v>2003</v>
      </c>
      <c r="J125" s="113">
        <v>6.6271513392141998E+18</v>
      </c>
    </row>
    <row r="126" spans="3:10" x14ac:dyDescent="0.3">
      <c r="C126" s="41" t="b">
        <v>0</v>
      </c>
      <c r="D126" s="42" t="s">
        <v>56</v>
      </c>
      <c r="E126" s="42">
        <v>1</v>
      </c>
      <c r="F126" s="42">
        <v>1251</v>
      </c>
      <c r="G126" s="42"/>
      <c r="H126" s="42">
        <v>31.12</v>
      </c>
      <c r="I126" s="42">
        <v>2007</v>
      </c>
      <c r="J126" s="113">
        <v>1.2153139029923701E+19</v>
      </c>
    </row>
    <row r="127" spans="3:10" x14ac:dyDescent="0.3">
      <c r="C127" s="41" t="b">
        <v>0</v>
      </c>
      <c r="D127" s="42" t="s">
        <v>59</v>
      </c>
      <c r="E127" s="42">
        <v>1</v>
      </c>
      <c r="F127" s="42"/>
      <c r="G127" s="42"/>
      <c r="H127" s="42">
        <v>52.03</v>
      </c>
      <c r="I127" s="42">
        <v>2012</v>
      </c>
      <c r="J127" s="113">
        <v>5.0017628626721101E+17</v>
      </c>
    </row>
    <row r="128" spans="3:10" x14ac:dyDescent="0.3">
      <c r="C128" s="41" t="b">
        <v>0</v>
      </c>
      <c r="D128" s="42" t="s">
        <v>56</v>
      </c>
      <c r="E128" s="42">
        <v>1</v>
      </c>
      <c r="F128" s="42">
        <v>136.75</v>
      </c>
      <c r="G128" s="42">
        <v>2.8</v>
      </c>
      <c r="H128" s="42">
        <v>62.66</v>
      </c>
      <c r="I128" s="42">
        <v>2007</v>
      </c>
      <c r="J128" s="113">
        <v>5.9246543206273403E+18</v>
      </c>
    </row>
    <row r="129" spans="3:10" x14ac:dyDescent="0.3">
      <c r="C129" s="41" t="b">
        <v>0</v>
      </c>
      <c r="D129" s="42" t="s">
        <v>56</v>
      </c>
      <c r="E129" s="42">
        <v>2</v>
      </c>
      <c r="F129" s="42">
        <v>530.32000000000005</v>
      </c>
      <c r="G129" s="42"/>
      <c r="H129" s="42">
        <v>46.84</v>
      </c>
      <c r="I129" s="42">
        <v>2012</v>
      </c>
      <c r="J129" s="113">
        <v>1.4188149070554499E+19</v>
      </c>
    </row>
    <row r="130" spans="3:10" x14ac:dyDescent="0.3">
      <c r="C130" s="41" t="b">
        <v>0</v>
      </c>
      <c r="D130" s="42" t="s">
        <v>56</v>
      </c>
      <c r="E130" s="42">
        <v>2</v>
      </c>
      <c r="F130" s="42">
        <v>3186</v>
      </c>
      <c r="G130" s="42"/>
      <c r="H130" s="42">
        <v>46.84</v>
      </c>
      <c r="I130" s="42">
        <v>2012</v>
      </c>
      <c r="J130" s="113">
        <v>2.5736104771622702E+18</v>
      </c>
    </row>
    <row r="131" spans="3:10" x14ac:dyDescent="0.3">
      <c r="C131" s="41" t="b">
        <v>0</v>
      </c>
      <c r="D131" s="42" t="s">
        <v>56</v>
      </c>
      <c r="E131" s="42">
        <v>1</v>
      </c>
      <c r="F131" s="42">
        <v>277.02</v>
      </c>
      <c r="G131" s="42">
        <v>1.7</v>
      </c>
      <c r="H131" s="42">
        <v>80.64</v>
      </c>
      <c r="I131" s="42">
        <v>2013</v>
      </c>
      <c r="J131" s="113">
        <v>7.2457152592462203E+18</v>
      </c>
    </row>
    <row r="132" spans="3:10" x14ac:dyDescent="0.3">
      <c r="C132" s="41" t="b">
        <v>0</v>
      </c>
      <c r="D132" s="42" t="s">
        <v>56</v>
      </c>
      <c r="E132" s="42">
        <v>1</v>
      </c>
      <c r="F132" s="42">
        <v>187.83</v>
      </c>
      <c r="G132" s="42"/>
      <c r="H132" s="42">
        <v>84.03</v>
      </c>
      <c r="I132" s="42">
        <v>2012</v>
      </c>
      <c r="J132" s="113">
        <v>3.3677925127780198E+17</v>
      </c>
    </row>
    <row r="133" spans="3:10" x14ac:dyDescent="0.3">
      <c r="C133" s="41" t="b">
        <v>0</v>
      </c>
      <c r="D133" s="42" t="s">
        <v>56</v>
      </c>
      <c r="E133" s="42">
        <v>1</v>
      </c>
      <c r="F133" s="42">
        <v>1630</v>
      </c>
      <c r="G133" s="42"/>
      <c r="H133" s="42">
        <v>56.31</v>
      </c>
      <c r="I133" s="42">
        <v>2012</v>
      </c>
      <c r="J133" s="113">
        <v>7.6336460185152901E+18</v>
      </c>
    </row>
    <row r="134" spans="3:10" x14ac:dyDescent="0.3">
      <c r="C134" s="41" t="b">
        <v>0</v>
      </c>
      <c r="D134" s="42" t="s">
        <v>56</v>
      </c>
      <c r="E134" s="42">
        <v>1</v>
      </c>
      <c r="F134" s="42">
        <v>39.844999999999999</v>
      </c>
      <c r="G134" s="42">
        <v>1.04</v>
      </c>
      <c r="H134" s="42">
        <v>17.43</v>
      </c>
      <c r="I134" s="42">
        <v>1997</v>
      </c>
      <c r="J134" s="113">
        <v>1.54106043968949E+19</v>
      </c>
    </row>
    <row r="135" spans="3:10" x14ac:dyDescent="0.3">
      <c r="C135" s="41" t="b">
        <v>0</v>
      </c>
      <c r="D135" s="42" t="s">
        <v>56</v>
      </c>
      <c r="E135" s="42">
        <v>1</v>
      </c>
      <c r="F135" s="42">
        <v>3.3134999999999999</v>
      </c>
      <c r="G135" s="42">
        <v>3.9</v>
      </c>
      <c r="H135" s="42">
        <v>15.6</v>
      </c>
      <c r="I135" s="42">
        <v>1996</v>
      </c>
      <c r="J135" s="113">
        <v>8.5162157462107003E+18</v>
      </c>
    </row>
    <row r="136" spans="3:10" x14ac:dyDescent="0.3">
      <c r="C136" s="41" t="b">
        <v>0</v>
      </c>
      <c r="D136" s="42" t="s">
        <v>56</v>
      </c>
      <c r="E136" s="42">
        <v>1</v>
      </c>
      <c r="F136" s="42">
        <v>305.5</v>
      </c>
      <c r="G136" s="42">
        <v>20.6</v>
      </c>
      <c r="H136" s="42">
        <v>92.51</v>
      </c>
      <c r="I136" s="42">
        <v>2013</v>
      </c>
      <c r="J136" s="113">
        <v>1.2509641653521E+19</v>
      </c>
    </row>
    <row r="137" spans="3:10" x14ac:dyDescent="0.3">
      <c r="C137" s="41" t="b">
        <v>0</v>
      </c>
      <c r="D137" s="42" t="s">
        <v>56</v>
      </c>
      <c r="E137" s="42">
        <v>4</v>
      </c>
      <c r="F137" s="42">
        <v>4.6170330000000002</v>
      </c>
      <c r="G137" s="42">
        <v>0.68759999999999999</v>
      </c>
      <c r="H137" s="42">
        <v>13.47</v>
      </c>
      <c r="I137" s="42">
        <v>1996</v>
      </c>
      <c r="J137" s="113">
        <v>5.8147260022988698E+18</v>
      </c>
    </row>
    <row r="138" spans="3:10" x14ac:dyDescent="0.3">
      <c r="C138" s="41" t="b">
        <v>0</v>
      </c>
      <c r="D138" s="42" t="s">
        <v>56</v>
      </c>
      <c r="E138" s="42">
        <v>4</v>
      </c>
      <c r="F138" s="42">
        <v>241.25800000000001</v>
      </c>
      <c r="G138" s="42">
        <v>1.9810000000000001</v>
      </c>
      <c r="H138" s="42">
        <v>13.47</v>
      </c>
      <c r="I138" s="42">
        <v>1999</v>
      </c>
      <c r="J138" s="113">
        <v>5.3433035102719601E+18</v>
      </c>
    </row>
    <row r="139" spans="3:10" x14ac:dyDescent="0.3">
      <c r="C139" s="41" t="b">
        <v>0</v>
      </c>
      <c r="D139" s="42" t="s">
        <v>56</v>
      </c>
      <c r="E139" s="42">
        <v>4</v>
      </c>
      <c r="F139" s="42">
        <v>1276.46</v>
      </c>
      <c r="G139" s="42">
        <v>4.1319999999999997</v>
      </c>
      <c r="H139" s="42">
        <v>13.47</v>
      </c>
      <c r="I139" s="42">
        <v>1999</v>
      </c>
      <c r="J139" s="113">
        <v>2.0040033561257201E+18</v>
      </c>
    </row>
    <row r="140" spans="3:10" x14ac:dyDescent="0.3">
      <c r="C140" s="41" t="b">
        <v>0</v>
      </c>
      <c r="D140" s="42" t="s">
        <v>56</v>
      </c>
      <c r="E140" s="42">
        <v>4</v>
      </c>
      <c r="F140" s="42">
        <v>3848.86</v>
      </c>
      <c r="G140" s="42">
        <v>1.0589999999999999</v>
      </c>
      <c r="H140" s="42">
        <v>13.47</v>
      </c>
      <c r="I140" s="42">
        <v>2010</v>
      </c>
      <c r="J140" s="113">
        <v>1.39222443573771E+19</v>
      </c>
    </row>
    <row r="141" spans="3:10" x14ac:dyDescent="0.3">
      <c r="C141" s="41" t="b">
        <v>0</v>
      </c>
      <c r="D141" s="42" t="s">
        <v>59</v>
      </c>
      <c r="E141" s="42">
        <v>1</v>
      </c>
      <c r="F141" s="42">
        <v>318280</v>
      </c>
      <c r="G141" s="42"/>
      <c r="H141" s="42">
        <v>7.69</v>
      </c>
      <c r="I141" s="42">
        <v>2008</v>
      </c>
      <c r="J141" s="113">
        <v>7.6733609303341599E+18</v>
      </c>
    </row>
    <row r="142" spans="3:10" x14ac:dyDescent="0.3">
      <c r="C142" s="41" t="b">
        <v>0</v>
      </c>
      <c r="D142" s="42" t="s">
        <v>59</v>
      </c>
      <c r="E142" s="42">
        <v>1</v>
      </c>
      <c r="F142" s="42"/>
      <c r="G142" s="42"/>
      <c r="H142" s="42">
        <v>145</v>
      </c>
      <c r="I142" s="42">
        <v>2008</v>
      </c>
      <c r="J142" s="113">
        <v>9.7004688531431404E+18</v>
      </c>
    </row>
    <row r="143" spans="3:10" x14ac:dyDescent="0.3">
      <c r="C143" s="41" t="b">
        <v>0</v>
      </c>
      <c r="D143" s="42" t="s">
        <v>59</v>
      </c>
      <c r="E143" s="42">
        <v>1</v>
      </c>
      <c r="F143" s="42"/>
      <c r="G143" s="42"/>
      <c r="H143" s="42">
        <v>36</v>
      </c>
      <c r="I143" s="42">
        <v>2013</v>
      </c>
      <c r="J143" s="113">
        <v>3.5889868046047601E+18</v>
      </c>
    </row>
    <row r="144" spans="3:10" x14ac:dyDescent="0.3">
      <c r="C144" s="41" t="b">
        <v>0</v>
      </c>
      <c r="D144" s="42" t="s">
        <v>59</v>
      </c>
      <c r="E144" s="42">
        <v>1</v>
      </c>
      <c r="F144" s="42"/>
      <c r="G144" s="42"/>
      <c r="H144" s="42">
        <v>140</v>
      </c>
      <c r="I144" s="42">
        <v>2010</v>
      </c>
      <c r="J144" s="113">
        <v>1.0199731532493001E+19</v>
      </c>
    </row>
    <row r="145" spans="3:10" x14ac:dyDescent="0.3">
      <c r="C145" s="41" t="b">
        <v>0</v>
      </c>
      <c r="D145" s="42" t="s">
        <v>59</v>
      </c>
      <c r="E145" s="42">
        <v>1</v>
      </c>
      <c r="F145" s="42">
        <v>4639.1499999999996</v>
      </c>
      <c r="G145" s="42"/>
      <c r="H145" s="42">
        <v>12.21</v>
      </c>
      <c r="I145" s="42">
        <v>2009</v>
      </c>
      <c r="J145" s="113">
        <v>1.18137551677216E+18</v>
      </c>
    </row>
    <row r="146" spans="3:10" x14ac:dyDescent="0.3">
      <c r="C146" s="41" t="b">
        <v>0</v>
      </c>
      <c r="D146" s="42" t="s">
        <v>59</v>
      </c>
      <c r="E146" s="42">
        <v>1</v>
      </c>
      <c r="F146" s="42"/>
      <c r="G146" s="42"/>
      <c r="H146" s="42">
        <v>52.4</v>
      </c>
      <c r="I146" s="42">
        <v>2004</v>
      </c>
      <c r="J146" s="113">
        <v>1.27760395369187E+19</v>
      </c>
    </row>
    <row r="147" spans="3:10" x14ac:dyDescent="0.3">
      <c r="C147" s="41" t="b">
        <v>0</v>
      </c>
      <c r="D147" s="42" t="s">
        <v>59</v>
      </c>
      <c r="E147" s="42">
        <v>1</v>
      </c>
      <c r="F147" s="42">
        <v>7336.5</v>
      </c>
      <c r="G147" s="42"/>
      <c r="H147" s="42">
        <v>25</v>
      </c>
      <c r="I147" s="42">
        <v>2009</v>
      </c>
      <c r="J147" s="113">
        <v>1.63675857135448E+19</v>
      </c>
    </row>
    <row r="148" spans="3:10" x14ac:dyDescent="0.3">
      <c r="C148" s="41" t="b">
        <v>0</v>
      </c>
      <c r="D148" s="42" t="s">
        <v>59</v>
      </c>
      <c r="E148" s="42">
        <v>1</v>
      </c>
      <c r="F148" s="42">
        <v>8679.7000000000007</v>
      </c>
      <c r="G148" s="42"/>
      <c r="H148" s="42">
        <v>26.67</v>
      </c>
      <c r="I148" s="42">
        <v>2009</v>
      </c>
      <c r="J148" s="113">
        <v>1.2395246837749E+19</v>
      </c>
    </row>
    <row r="149" spans="3:10" x14ac:dyDescent="0.3">
      <c r="C149" s="41" t="b">
        <v>0</v>
      </c>
      <c r="D149" s="42" t="s">
        <v>56</v>
      </c>
      <c r="E149" s="42">
        <v>1</v>
      </c>
      <c r="F149" s="42">
        <v>655.6</v>
      </c>
      <c r="G149" s="42">
        <v>5.0999999999999996</v>
      </c>
      <c r="H149" s="42">
        <v>37.54</v>
      </c>
      <c r="I149" s="42">
        <v>2008</v>
      </c>
      <c r="J149" s="113">
        <v>1.49344606081905E+18</v>
      </c>
    </row>
    <row r="150" spans="3:10" x14ac:dyDescent="0.3">
      <c r="C150" s="41" t="b">
        <v>0</v>
      </c>
      <c r="D150" s="42" t="s">
        <v>56</v>
      </c>
      <c r="E150" s="42">
        <v>1</v>
      </c>
      <c r="F150" s="42">
        <v>714.3</v>
      </c>
      <c r="G150" s="42">
        <v>10.6</v>
      </c>
      <c r="H150" s="42"/>
      <c r="I150" s="42">
        <v>2007</v>
      </c>
      <c r="J150" s="113">
        <v>1.5371617843812801E+19</v>
      </c>
    </row>
    <row r="151" spans="3:10" x14ac:dyDescent="0.3">
      <c r="C151" s="41" t="b">
        <v>0</v>
      </c>
      <c r="D151" s="42" t="s">
        <v>56</v>
      </c>
      <c r="E151" s="42">
        <v>1</v>
      </c>
      <c r="F151" s="42">
        <v>3.4877699999999998</v>
      </c>
      <c r="G151" s="42"/>
      <c r="H151" s="42">
        <v>80</v>
      </c>
      <c r="I151" s="42">
        <v>2000</v>
      </c>
      <c r="J151" s="113">
        <v>1.35724091336419E+19</v>
      </c>
    </row>
    <row r="152" spans="3:10" x14ac:dyDescent="0.3">
      <c r="C152" s="41" t="b">
        <v>0</v>
      </c>
      <c r="D152" s="42" t="s">
        <v>56</v>
      </c>
      <c r="E152" s="42">
        <v>2</v>
      </c>
      <c r="F152" s="42">
        <v>5.6</v>
      </c>
      <c r="G152" s="42">
        <v>4.4999999999999998E-2</v>
      </c>
      <c r="H152" s="42">
        <v>42.09</v>
      </c>
      <c r="I152" s="42">
        <v>2009</v>
      </c>
      <c r="J152" s="113">
        <v>1.2069593942318E+19</v>
      </c>
    </row>
    <row r="153" spans="3:10" x14ac:dyDescent="0.3">
      <c r="C153" s="41" t="b">
        <v>0</v>
      </c>
      <c r="D153" s="42" t="s">
        <v>56</v>
      </c>
      <c r="E153" s="42">
        <v>2</v>
      </c>
      <c r="F153" s="42">
        <v>237.6</v>
      </c>
      <c r="G153" s="42">
        <v>0.33</v>
      </c>
      <c r="H153" s="42">
        <v>42.09</v>
      </c>
      <c r="I153" s="42">
        <v>2009</v>
      </c>
      <c r="J153" s="113">
        <v>2.25101494054317E+18</v>
      </c>
    </row>
    <row r="154" spans="3:10" x14ac:dyDescent="0.3">
      <c r="C154" s="41" t="b">
        <v>0</v>
      </c>
      <c r="D154" s="42" t="s">
        <v>56</v>
      </c>
      <c r="E154" s="42">
        <v>2</v>
      </c>
      <c r="F154" s="42">
        <v>3.8727999999999998</v>
      </c>
      <c r="G154" s="42">
        <v>2.7E-2</v>
      </c>
      <c r="H154" s="42">
        <v>20.100000000000001</v>
      </c>
      <c r="I154" s="42">
        <v>2013</v>
      </c>
      <c r="J154" s="113">
        <v>1.0514251424263999E+19</v>
      </c>
    </row>
    <row r="155" spans="3:10" x14ac:dyDescent="0.3">
      <c r="C155" s="41" t="b">
        <v>0</v>
      </c>
      <c r="D155" s="42" t="s">
        <v>56</v>
      </c>
      <c r="E155" s="42">
        <v>2</v>
      </c>
      <c r="F155" s="42">
        <v>125.94</v>
      </c>
      <c r="G155" s="42">
        <v>0.17</v>
      </c>
      <c r="H155" s="42">
        <v>20.100000000000001</v>
      </c>
      <c r="I155" s="42">
        <v>2013</v>
      </c>
      <c r="J155" s="113">
        <v>1.5299506724175999E+19</v>
      </c>
    </row>
    <row r="156" spans="3:10" x14ac:dyDescent="0.3">
      <c r="C156" s="41" t="b">
        <v>0</v>
      </c>
      <c r="D156" s="42" t="s">
        <v>56</v>
      </c>
      <c r="E156" s="42">
        <v>1</v>
      </c>
      <c r="F156" s="42">
        <v>268.94</v>
      </c>
      <c r="G156" s="42">
        <v>1.47</v>
      </c>
      <c r="H156" s="42">
        <v>50.03</v>
      </c>
      <c r="I156" s="42">
        <v>2009</v>
      </c>
      <c r="J156" s="113">
        <v>3.5083851076268698E+18</v>
      </c>
    </row>
    <row r="157" spans="3:10" x14ac:dyDescent="0.3">
      <c r="C157" s="41" t="b">
        <v>0</v>
      </c>
      <c r="D157" s="42" t="s">
        <v>56</v>
      </c>
      <c r="E157" s="42">
        <v>1</v>
      </c>
      <c r="F157" s="42">
        <v>137.47999999999999</v>
      </c>
      <c r="G157" s="42">
        <v>1.1100000000000001</v>
      </c>
      <c r="H157" s="42">
        <v>175.44</v>
      </c>
      <c r="I157" s="42">
        <v>2013</v>
      </c>
      <c r="J157" s="113">
        <v>1.2960055667545201E+19</v>
      </c>
    </row>
    <row r="158" spans="3:10" x14ac:dyDescent="0.3">
      <c r="C158" s="41" t="b">
        <v>0</v>
      </c>
      <c r="D158" s="42" t="s">
        <v>56</v>
      </c>
      <c r="E158" s="42">
        <v>2</v>
      </c>
      <c r="F158" s="42">
        <v>379.63</v>
      </c>
      <c r="G158" s="42">
        <v>21.42</v>
      </c>
      <c r="H158" s="42"/>
      <c r="I158" s="42">
        <v>2009</v>
      </c>
      <c r="J158" s="113">
        <v>1.44634627738794E+19</v>
      </c>
    </row>
    <row r="159" spans="3:10" x14ac:dyDescent="0.3">
      <c r="C159" s="41" t="b">
        <v>0</v>
      </c>
      <c r="D159" s="42" t="s">
        <v>56</v>
      </c>
      <c r="E159" s="42">
        <v>2</v>
      </c>
      <c r="F159" s="42">
        <v>621.99</v>
      </c>
      <c r="G159" s="42">
        <v>12.47</v>
      </c>
      <c r="H159" s="42"/>
      <c r="I159" s="42">
        <v>2009</v>
      </c>
      <c r="J159" s="113">
        <v>1.5421081046626501E+19</v>
      </c>
    </row>
    <row r="160" spans="3:10" x14ac:dyDescent="0.3">
      <c r="C160" s="41" t="b">
        <v>0</v>
      </c>
      <c r="D160" s="42" t="s">
        <v>56</v>
      </c>
      <c r="E160" s="42">
        <v>1</v>
      </c>
      <c r="F160" s="42">
        <v>578.20000000000005</v>
      </c>
      <c r="G160" s="42"/>
      <c r="H160" s="42"/>
      <c r="I160" s="42">
        <v>2012</v>
      </c>
      <c r="J160" s="113">
        <v>2.0698867658498701E+18</v>
      </c>
    </row>
    <row r="161" spans="3:10" x14ac:dyDescent="0.3">
      <c r="C161" s="41" t="b">
        <v>0</v>
      </c>
      <c r="D161" s="42" t="s">
        <v>56</v>
      </c>
      <c r="E161" s="42">
        <v>1</v>
      </c>
      <c r="F161" s="42">
        <v>392.6</v>
      </c>
      <c r="G161" s="42">
        <v>0.91</v>
      </c>
      <c r="H161" s="42"/>
      <c r="I161" s="42">
        <v>2011</v>
      </c>
      <c r="J161" s="113">
        <v>1.05827723899969E+19</v>
      </c>
    </row>
    <row r="162" spans="3:10" x14ac:dyDescent="0.3">
      <c r="C162" s="41" t="b">
        <v>0</v>
      </c>
      <c r="D162" s="42" t="s">
        <v>59</v>
      </c>
      <c r="E162" s="42">
        <v>1</v>
      </c>
      <c r="F162" s="42">
        <v>10037.5</v>
      </c>
      <c r="G162" s="42"/>
      <c r="H162" s="42">
        <v>23.1</v>
      </c>
      <c r="I162" s="42">
        <v>2011</v>
      </c>
      <c r="J162" s="113">
        <v>1.47300177243391E+19</v>
      </c>
    </row>
    <row r="163" spans="3:10" x14ac:dyDescent="0.3">
      <c r="C163" s="41" t="b">
        <v>0</v>
      </c>
      <c r="D163" s="42" t="s">
        <v>59</v>
      </c>
      <c r="E163" s="42">
        <v>1</v>
      </c>
      <c r="F163" s="42"/>
      <c r="G163" s="42"/>
      <c r="H163" s="42"/>
      <c r="I163" s="42">
        <v>2006</v>
      </c>
      <c r="J163" s="113">
        <v>1.4199889023346301E+19</v>
      </c>
    </row>
    <row r="164" spans="3:10" x14ac:dyDescent="0.3">
      <c r="C164" s="41" t="b">
        <v>0</v>
      </c>
      <c r="D164" s="42" t="s">
        <v>61</v>
      </c>
      <c r="E164" s="42">
        <v>1</v>
      </c>
      <c r="F164" s="42">
        <v>1.5089557</v>
      </c>
      <c r="G164" s="42"/>
      <c r="H164" s="42"/>
      <c r="I164" s="42">
        <v>2008</v>
      </c>
      <c r="J164" s="113">
        <v>1.6205671233931201E+19</v>
      </c>
    </row>
    <row r="165" spans="3:10" x14ac:dyDescent="0.3">
      <c r="C165" s="41" t="b">
        <v>0</v>
      </c>
      <c r="D165" s="42" t="s">
        <v>61</v>
      </c>
      <c r="E165" s="42">
        <v>1</v>
      </c>
      <c r="F165" s="42">
        <v>1.7429935000000001</v>
      </c>
      <c r="G165" s="42"/>
      <c r="H165" s="42">
        <v>200</v>
      </c>
      <c r="I165" s="42">
        <v>2008</v>
      </c>
      <c r="J165" s="113">
        <v>1.5921562295656301E+19</v>
      </c>
    </row>
    <row r="166" spans="3:10" x14ac:dyDescent="0.3">
      <c r="C166" s="41" t="b">
        <v>0</v>
      </c>
      <c r="D166" s="42" t="s">
        <v>61</v>
      </c>
      <c r="E166" s="42">
        <v>1</v>
      </c>
      <c r="F166" s="42">
        <v>4.2568000000000001</v>
      </c>
      <c r="G166" s="42"/>
      <c r="H166" s="42">
        <v>680</v>
      </c>
      <c r="I166" s="42">
        <v>2008</v>
      </c>
      <c r="J166" s="113">
        <v>3.3119267624527099E+18</v>
      </c>
    </row>
    <row r="167" spans="3:10" x14ac:dyDescent="0.3">
      <c r="C167" s="41" t="b">
        <v>0</v>
      </c>
      <c r="D167" s="42" t="s">
        <v>61</v>
      </c>
      <c r="E167" s="42">
        <v>1</v>
      </c>
      <c r="F167" s="42">
        <v>9.2020499999999998</v>
      </c>
      <c r="G167" s="42"/>
      <c r="H167" s="42"/>
      <c r="I167" s="42">
        <v>2008</v>
      </c>
      <c r="J167" s="113">
        <v>7.7788449899379804E+18</v>
      </c>
    </row>
    <row r="168" spans="3:10" x14ac:dyDescent="0.3">
      <c r="C168" s="41" t="b">
        <v>0</v>
      </c>
      <c r="D168" s="42" t="s">
        <v>61</v>
      </c>
      <c r="E168" s="42">
        <v>1</v>
      </c>
      <c r="F168" s="42">
        <v>4.0378961999999996</v>
      </c>
      <c r="G168" s="42"/>
      <c r="H168" s="42"/>
      <c r="I168" s="42">
        <v>2009</v>
      </c>
      <c r="J168" s="113">
        <v>5.5594084195990804E+18</v>
      </c>
    </row>
    <row r="169" spans="3:10" x14ac:dyDescent="0.3">
      <c r="C169" s="41" t="b">
        <v>0</v>
      </c>
      <c r="D169" s="42" t="s">
        <v>61</v>
      </c>
      <c r="E169" s="42">
        <v>1</v>
      </c>
      <c r="F169" s="42">
        <v>8.8865929999999995</v>
      </c>
      <c r="G169" s="42"/>
      <c r="H169" s="42"/>
      <c r="I169" s="42">
        <v>2009</v>
      </c>
      <c r="J169" s="113">
        <v>1.6250477462655601E+19</v>
      </c>
    </row>
    <row r="170" spans="3:10" x14ac:dyDescent="0.3">
      <c r="C170" s="41" t="b">
        <v>0</v>
      </c>
      <c r="D170" s="42" t="s">
        <v>61</v>
      </c>
      <c r="E170" s="42">
        <v>2</v>
      </c>
      <c r="F170" s="42">
        <v>0.85358500000000004</v>
      </c>
      <c r="G170" s="42"/>
      <c r="H170" s="42">
        <v>150</v>
      </c>
      <c r="I170" s="42">
        <v>2009</v>
      </c>
      <c r="J170" s="113">
        <v>1.0779715447468501E+19</v>
      </c>
    </row>
    <row r="171" spans="3:10" x14ac:dyDescent="0.3">
      <c r="C171" s="41" t="b">
        <v>0</v>
      </c>
      <c r="D171" s="42" t="s">
        <v>56</v>
      </c>
      <c r="E171" s="42">
        <v>2</v>
      </c>
      <c r="F171" s="42">
        <v>3.698</v>
      </c>
      <c r="G171" s="42"/>
      <c r="H171" s="42">
        <v>150</v>
      </c>
      <c r="I171" s="42">
        <v>2009</v>
      </c>
      <c r="J171" s="113">
        <v>1.9458761964527201E+18</v>
      </c>
    </row>
    <row r="172" spans="3:10" x14ac:dyDescent="0.3">
      <c r="C172" s="41" t="b">
        <v>0</v>
      </c>
      <c r="D172" s="42" t="s">
        <v>61</v>
      </c>
      <c r="E172" s="42">
        <v>1</v>
      </c>
      <c r="F172" s="42">
        <v>6.2122900000000003</v>
      </c>
      <c r="G172" s="42"/>
      <c r="H172" s="42">
        <v>380</v>
      </c>
      <c r="I172" s="42">
        <v>2010</v>
      </c>
      <c r="J172" s="113">
        <v>1.07601389101325E+19</v>
      </c>
    </row>
    <row r="173" spans="3:10" x14ac:dyDescent="0.3">
      <c r="C173" s="41" t="b">
        <v>0</v>
      </c>
      <c r="D173" s="42" t="s">
        <v>61</v>
      </c>
      <c r="E173" s="42">
        <v>1</v>
      </c>
      <c r="F173" s="42">
        <v>95.273799999999994</v>
      </c>
      <c r="G173" s="42"/>
      <c r="H173" s="42">
        <v>460</v>
      </c>
      <c r="I173" s="42">
        <v>2009</v>
      </c>
      <c r="J173" s="113">
        <v>1.88010264579298E+18</v>
      </c>
    </row>
    <row r="174" spans="3:10" x14ac:dyDescent="0.3">
      <c r="C174" s="41" t="b">
        <v>0</v>
      </c>
      <c r="D174" s="42" t="s">
        <v>61</v>
      </c>
      <c r="E174" s="42">
        <v>1</v>
      </c>
      <c r="F174" s="42">
        <v>13.240600000000001</v>
      </c>
      <c r="G174" s="42"/>
      <c r="H174" s="42">
        <v>345</v>
      </c>
      <c r="I174" s="42">
        <v>2010</v>
      </c>
      <c r="J174" s="113">
        <v>6.75617154872128E+18</v>
      </c>
    </row>
    <row r="175" spans="3:10" x14ac:dyDescent="0.3">
      <c r="C175" s="41" t="b">
        <v>0</v>
      </c>
      <c r="D175" s="42" t="s">
        <v>61</v>
      </c>
      <c r="E175" s="42">
        <v>1</v>
      </c>
      <c r="F175" s="42">
        <v>2.9943300000000002</v>
      </c>
      <c r="G175" s="42"/>
      <c r="H175" s="42">
        <v>560</v>
      </c>
      <c r="I175" s="42">
        <v>2010</v>
      </c>
      <c r="J175" s="113">
        <v>1.3503687958424799E+19</v>
      </c>
    </row>
    <row r="176" spans="3:10" x14ac:dyDescent="0.3">
      <c r="C176" s="41" t="b">
        <v>0</v>
      </c>
      <c r="D176" s="42" t="s">
        <v>61</v>
      </c>
      <c r="E176" s="42">
        <v>1</v>
      </c>
      <c r="F176" s="42">
        <v>2.8280419999999999</v>
      </c>
      <c r="G176" s="42"/>
      <c r="H176" s="42">
        <v>1150</v>
      </c>
      <c r="I176" s="42">
        <v>2010</v>
      </c>
      <c r="J176" s="113">
        <v>2.6836237115440399E+18</v>
      </c>
    </row>
    <row r="177" spans="3:10" x14ac:dyDescent="0.3">
      <c r="C177" s="41" t="b">
        <v>0</v>
      </c>
      <c r="D177" s="42" t="s">
        <v>61</v>
      </c>
      <c r="E177" s="42">
        <v>1</v>
      </c>
      <c r="F177" s="42">
        <v>4.0351900000000001</v>
      </c>
      <c r="G177" s="42"/>
      <c r="H177" s="42">
        <v>1060</v>
      </c>
      <c r="I177" s="42">
        <v>2010</v>
      </c>
      <c r="J177" s="113">
        <v>1.5588978928315099E+19</v>
      </c>
    </row>
    <row r="178" spans="3:10" x14ac:dyDescent="0.3">
      <c r="C178" s="41" t="b">
        <v>0</v>
      </c>
      <c r="D178" s="42" t="s">
        <v>61</v>
      </c>
      <c r="E178" s="42">
        <v>1</v>
      </c>
      <c r="F178" s="42">
        <v>1.51214</v>
      </c>
      <c r="G178" s="42"/>
      <c r="H178" s="42">
        <v>1340</v>
      </c>
      <c r="I178" s="42">
        <v>2010</v>
      </c>
      <c r="J178" s="113">
        <v>1.35622470554206E+19</v>
      </c>
    </row>
    <row r="179" spans="3:10" x14ac:dyDescent="0.3">
      <c r="C179" s="41" t="b">
        <v>0</v>
      </c>
      <c r="D179" s="42" t="s">
        <v>61</v>
      </c>
      <c r="E179" s="42">
        <v>1</v>
      </c>
      <c r="F179" s="42">
        <v>5.3522699999999999</v>
      </c>
      <c r="G179" s="42"/>
      <c r="H179" s="42">
        <v>840</v>
      </c>
      <c r="I179" s="42">
        <v>2011</v>
      </c>
      <c r="J179" s="113">
        <v>5.2255819602043597E+17</v>
      </c>
    </row>
    <row r="180" spans="3:10" x14ac:dyDescent="0.3">
      <c r="C180" s="41" t="b">
        <v>0</v>
      </c>
      <c r="D180" s="42" t="s">
        <v>61</v>
      </c>
      <c r="E180" s="42">
        <v>1</v>
      </c>
      <c r="F180" s="42">
        <v>3.7681</v>
      </c>
      <c r="G180" s="42"/>
      <c r="H180" s="42">
        <v>920</v>
      </c>
      <c r="I180" s="42">
        <v>2011</v>
      </c>
      <c r="J180" s="113">
        <v>2.6980947507253299E+18</v>
      </c>
    </row>
    <row r="181" spans="3:10" x14ac:dyDescent="0.3">
      <c r="C181" s="41" t="b">
        <v>0</v>
      </c>
      <c r="D181" s="42" t="s">
        <v>61</v>
      </c>
      <c r="E181" s="42">
        <v>1</v>
      </c>
      <c r="F181" s="42">
        <v>1.9000693</v>
      </c>
      <c r="G181" s="42"/>
      <c r="H181" s="42">
        <v>870</v>
      </c>
      <c r="I181" s="42">
        <v>2011</v>
      </c>
      <c r="J181" s="113">
        <v>6.8545373127515197E+18</v>
      </c>
    </row>
    <row r="182" spans="3:10" x14ac:dyDescent="0.3">
      <c r="C182" s="41" t="b">
        <v>0</v>
      </c>
      <c r="D182" s="42" t="s">
        <v>61</v>
      </c>
      <c r="E182" s="42">
        <v>1</v>
      </c>
      <c r="F182" s="42">
        <v>3.8971300000000002</v>
      </c>
      <c r="G182" s="42"/>
      <c r="H182" s="42">
        <v>770</v>
      </c>
      <c r="I182" s="42">
        <v>2011</v>
      </c>
      <c r="J182" s="113">
        <v>1.11457479385919E+19</v>
      </c>
    </row>
    <row r="183" spans="3:10" x14ac:dyDescent="0.3">
      <c r="C183" s="41" t="b">
        <v>0</v>
      </c>
      <c r="D183" s="42" t="s">
        <v>61</v>
      </c>
      <c r="E183" s="42">
        <v>1</v>
      </c>
      <c r="F183" s="42">
        <v>9.2428500000000007</v>
      </c>
      <c r="G183" s="42"/>
      <c r="H183" s="42">
        <v>1230</v>
      </c>
      <c r="I183" s="42">
        <v>2011</v>
      </c>
      <c r="J183" s="113">
        <v>1.37951735354547E+19</v>
      </c>
    </row>
    <row r="184" spans="3:10" x14ac:dyDescent="0.3">
      <c r="C184" s="41" t="b">
        <v>0</v>
      </c>
      <c r="D184" s="42" t="s">
        <v>61</v>
      </c>
      <c r="E184" s="42">
        <v>1</v>
      </c>
      <c r="F184" s="42">
        <v>3.6313</v>
      </c>
      <c r="G184" s="42"/>
      <c r="H184" s="42">
        <v>600</v>
      </c>
      <c r="I184" s="42">
        <v>2011</v>
      </c>
      <c r="J184" s="113">
        <v>1.6860693875718101E+19</v>
      </c>
    </row>
    <row r="185" spans="3:10" x14ac:dyDescent="0.3">
      <c r="C185" s="41" t="b">
        <v>0</v>
      </c>
      <c r="D185" s="42" t="s">
        <v>61</v>
      </c>
      <c r="E185" s="42">
        <v>1</v>
      </c>
      <c r="F185" s="42">
        <v>3.5753200000000001</v>
      </c>
      <c r="G185" s="42"/>
      <c r="H185" s="42"/>
      <c r="I185" s="42">
        <v>2014</v>
      </c>
      <c r="J185" s="113">
        <v>1.8318824736003799E+19</v>
      </c>
    </row>
    <row r="186" spans="3:10" x14ac:dyDescent="0.3">
      <c r="C186" s="41" t="b">
        <v>0</v>
      </c>
      <c r="D186" s="42" t="s">
        <v>62</v>
      </c>
      <c r="E186" s="42">
        <v>1</v>
      </c>
      <c r="F186" s="42">
        <v>246.36</v>
      </c>
      <c r="G186" s="42"/>
      <c r="H186" s="42">
        <v>20.77</v>
      </c>
      <c r="I186" s="42">
        <v>2013</v>
      </c>
      <c r="J186" s="113">
        <v>4.5886263831759498E+18</v>
      </c>
    </row>
    <row r="187" spans="3:10" x14ac:dyDescent="0.3">
      <c r="C187" s="41" t="b">
        <v>0</v>
      </c>
      <c r="D187" s="42" t="s">
        <v>56</v>
      </c>
      <c r="E187" s="42">
        <v>1</v>
      </c>
      <c r="F187" s="42">
        <v>15.76491</v>
      </c>
      <c r="G187" s="42">
        <v>3.91</v>
      </c>
      <c r="H187" s="42">
        <v>10.91</v>
      </c>
      <c r="I187" s="42">
        <v>1999</v>
      </c>
      <c r="J187" s="113">
        <v>7.6635309935018598E+18</v>
      </c>
    </row>
    <row r="188" spans="3:10" x14ac:dyDescent="0.3">
      <c r="C188" s="41" t="b">
        <v>0</v>
      </c>
      <c r="D188" s="42" t="s">
        <v>56</v>
      </c>
      <c r="E188" s="42">
        <v>3</v>
      </c>
      <c r="F188" s="42">
        <v>8.6310000000000002</v>
      </c>
      <c r="G188" s="42">
        <v>3.5000000000000003E-2</v>
      </c>
      <c r="H188" s="42">
        <v>14.97</v>
      </c>
      <c r="I188" s="42">
        <v>2013</v>
      </c>
      <c r="J188" s="113">
        <v>1.4950891065984E+19</v>
      </c>
    </row>
    <row r="189" spans="3:10" x14ac:dyDescent="0.3">
      <c r="C189" s="41" t="b">
        <v>0</v>
      </c>
      <c r="D189" s="42" t="s">
        <v>56</v>
      </c>
      <c r="E189" s="42">
        <v>3</v>
      </c>
      <c r="F189" s="42">
        <v>25.6</v>
      </c>
      <c r="G189" s="42">
        <v>2.4E-2</v>
      </c>
      <c r="H189" s="42">
        <v>14.97</v>
      </c>
      <c r="I189" s="42">
        <v>2013</v>
      </c>
      <c r="J189" s="113">
        <v>7.8367080978678304E+16</v>
      </c>
    </row>
    <row r="190" spans="3:10" x14ac:dyDescent="0.3">
      <c r="C190" s="41" t="b">
        <v>0</v>
      </c>
      <c r="D190" s="42" t="s">
        <v>56</v>
      </c>
      <c r="E190" s="42">
        <v>3</v>
      </c>
      <c r="F190" s="42">
        <v>603</v>
      </c>
      <c r="G190" s="42">
        <v>7.9000000000000001E-2</v>
      </c>
      <c r="H190" s="42">
        <v>14.97</v>
      </c>
      <c r="I190" s="42">
        <v>2013</v>
      </c>
      <c r="J190" s="113">
        <v>5.2273146064466596E+18</v>
      </c>
    </row>
    <row r="191" spans="3:10" x14ac:dyDescent="0.3">
      <c r="C191" s="41" t="b">
        <v>0</v>
      </c>
      <c r="D191" s="42" t="s">
        <v>56</v>
      </c>
      <c r="E191" s="42">
        <v>1</v>
      </c>
      <c r="F191" s="42">
        <v>2288</v>
      </c>
      <c r="G191" s="42">
        <v>0.82</v>
      </c>
      <c r="H191" s="42">
        <v>12.12</v>
      </c>
      <c r="I191" s="42">
        <v>2009</v>
      </c>
      <c r="J191" s="113">
        <v>1.59865147824576E+19</v>
      </c>
    </row>
    <row r="192" spans="3:10" x14ac:dyDescent="0.3">
      <c r="C192" s="41" t="b">
        <v>0</v>
      </c>
      <c r="D192" s="42" t="s">
        <v>56</v>
      </c>
      <c r="E192" s="42">
        <v>2</v>
      </c>
      <c r="F192" s="42">
        <v>692</v>
      </c>
      <c r="G192" s="42">
        <v>1.8939999999999999</v>
      </c>
      <c r="H192" s="42">
        <v>15.1</v>
      </c>
      <c r="I192" s="42">
        <v>2007</v>
      </c>
      <c r="J192" s="113">
        <v>8.6838047183490898E+18</v>
      </c>
    </row>
    <row r="193" spans="3:10" x14ac:dyDescent="0.3">
      <c r="C193" s="41" t="b">
        <v>0</v>
      </c>
      <c r="D193" s="42" t="s">
        <v>56</v>
      </c>
      <c r="E193" s="42">
        <v>2</v>
      </c>
      <c r="F193" s="42">
        <v>7100</v>
      </c>
      <c r="G193" s="42">
        <v>1.6</v>
      </c>
      <c r="H193" s="42">
        <v>15.1</v>
      </c>
      <c r="I193" s="42">
        <v>2011</v>
      </c>
      <c r="J193" s="113">
        <v>5.51004625460847E+18</v>
      </c>
    </row>
    <row r="194" spans="3:10" x14ac:dyDescent="0.3">
      <c r="C194" s="41" t="b">
        <v>0</v>
      </c>
      <c r="D194" s="42" t="s">
        <v>56</v>
      </c>
      <c r="E194" s="42">
        <v>1</v>
      </c>
      <c r="F194" s="42">
        <v>4100</v>
      </c>
      <c r="G194" s="42">
        <v>2.2999999999999998</v>
      </c>
      <c r="H194" s="42">
        <v>20.03</v>
      </c>
      <c r="I194" s="42">
        <v>2013</v>
      </c>
      <c r="J194" s="113">
        <v>1.4672302414159901E+19</v>
      </c>
    </row>
    <row r="195" spans="3:10" x14ac:dyDescent="0.3">
      <c r="C195" s="41" t="b">
        <v>0</v>
      </c>
      <c r="D195" s="42" t="s">
        <v>56</v>
      </c>
      <c r="E195" s="42">
        <v>1</v>
      </c>
      <c r="F195" s="42">
        <v>7.3708999999999998</v>
      </c>
      <c r="G195" s="42">
        <v>1.7999999999999999E-2</v>
      </c>
      <c r="H195" s="42">
        <v>9.0399999999999991</v>
      </c>
      <c r="I195" s="42">
        <v>2011</v>
      </c>
      <c r="J195" s="113">
        <v>4.8855282997674895E+18</v>
      </c>
    </row>
    <row r="196" spans="3:10" x14ac:dyDescent="0.3">
      <c r="C196" s="41" t="b">
        <v>0</v>
      </c>
      <c r="D196" s="42" t="s">
        <v>56</v>
      </c>
      <c r="E196" s="42">
        <v>1</v>
      </c>
      <c r="F196" s="42">
        <v>2.64385</v>
      </c>
      <c r="G196" s="42"/>
      <c r="H196" s="42">
        <v>10.23</v>
      </c>
      <c r="I196" s="42">
        <v>2004</v>
      </c>
      <c r="J196" s="113">
        <v>7.51770956595264E+18</v>
      </c>
    </row>
    <row r="197" spans="3:10" x14ac:dyDescent="0.3">
      <c r="C197" s="41" t="b">
        <v>0</v>
      </c>
      <c r="D197" s="42" t="s">
        <v>59</v>
      </c>
      <c r="E197" s="42">
        <v>1</v>
      </c>
      <c r="F197" s="42"/>
      <c r="G197" s="42"/>
      <c r="H197" s="42">
        <v>17.95</v>
      </c>
      <c r="I197" s="42">
        <v>2013</v>
      </c>
      <c r="J197" s="113">
        <v>2.6520998848845399E+18</v>
      </c>
    </row>
    <row r="198" spans="3:10" x14ac:dyDescent="0.3">
      <c r="C198" s="41" t="b">
        <v>0</v>
      </c>
      <c r="D198" s="42" t="s">
        <v>56</v>
      </c>
      <c r="E198" s="42">
        <v>4</v>
      </c>
      <c r="F198" s="42">
        <v>5.3687399999999998</v>
      </c>
      <c r="G198" s="42">
        <v>4.9000000000000002E-2</v>
      </c>
      <c r="H198" s="42">
        <v>6.27</v>
      </c>
      <c r="I198" s="42">
        <v>2005</v>
      </c>
      <c r="J198" s="113">
        <v>4.6250991738504602E+18</v>
      </c>
    </row>
    <row r="199" spans="3:10" x14ac:dyDescent="0.3">
      <c r="C199" s="41" t="b">
        <v>0</v>
      </c>
      <c r="D199" s="42" t="s">
        <v>56</v>
      </c>
      <c r="E199" s="42">
        <v>4</v>
      </c>
      <c r="F199" s="42">
        <v>12.9292</v>
      </c>
      <c r="G199" s="42">
        <v>1.7000000000000001E-2</v>
      </c>
      <c r="H199" s="42">
        <v>6.27</v>
      </c>
      <c r="I199" s="42">
        <v>2005</v>
      </c>
      <c r="J199" s="113">
        <v>1.1210156897257501E+19</v>
      </c>
    </row>
    <row r="200" spans="3:10" x14ac:dyDescent="0.3">
      <c r="C200" s="41" t="b">
        <v>0</v>
      </c>
      <c r="D200" s="42" t="s">
        <v>56</v>
      </c>
      <c r="E200" s="42">
        <v>4</v>
      </c>
      <c r="F200" s="42">
        <v>66.8</v>
      </c>
      <c r="G200" s="42">
        <v>2.1999999999999999E-2</v>
      </c>
      <c r="H200" s="42">
        <v>6.27</v>
      </c>
      <c r="I200" s="42">
        <v>2005</v>
      </c>
      <c r="J200" s="113">
        <v>1.49908980779666E+19</v>
      </c>
    </row>
    <row r="201" spans="3:10" x14ac:dyDescent="0.3">
      <c r="C201" s="41" t="b">
        <v>0</v>
      </c>
      <c r="D201" s="42" t="s">
        <v>56</v>
      </c>
      <c r="E201" s="42">
        <v>4</v>
      </c>
      <c r="F201" s="42">
        <v>3.1494200000000001</v>
      </c>
      <c r="G201" s="42">
        <v>6.0000000000000001E-3</v>
      </c>
      <c r="H201" s="42">
        <v>6.27</v>
      </c>
      <c r="I201" s="42">
        <v>2005</v>
      </c>
      <c r="J201" s="113">
        <v>1.55469232104325E+19</v>
      </c>
    </row>
    <row r="202" spans="3:10" x14ac:dyDescent="0.3">
      <c r="C202" s="41" t="b">
        <v>0</v>
      </c>
      <c r="D202" s="42" t="s">
        <v>56</v>
      </c>
      <c r="E202" s="42">
        <v>1</v>
      </c>
      <c r="F202" s="42">
        <v>598.29999999999995</v>
      </c>
      <c r="G202" s="42">
        <v>0.32800000000000001</v>
      </c>
      <c r="H202" s="42">
        <v>10.32</v>
      </c>
      <c r="I202" s="42">
        <v>2009</v>
      </c>
      <c r="J202" s="113">
        <v>1.21974454421325E+19</v>
      </c>
    </row>
    <row r="203" spans="3:10" x14ac:dyDescent="0.3">
      <c r="C203" s="41" t="b">
        <v>0</v>
      </c>
      <c r="D203" s="42" t="s">
        <v>56</v>
      </c>
      <c r="E203" s="42">
        <v>6</v>
      </c>
      <c r="F203" s="42">
        <v>7.2004000000000001</v>
      </c>
      <c r="G203" s="42">
        <v>1.7999999999999999E-2</v>
      </c>
      <c r="H203" s="42">
        <v>6.8</v>
      </c>
      <c r="I203" s="42">
        <v>2011</v>
      </c>
      <c r="J203" s="113">
        <v>8.3874201019725896E+18</v>
      </c>
    </row>
    <row r="204" spans="3:10" x14ac:dyDescent="0.3">
      <c r="C204" s="41" t="b">
        <v>0</v>
      </c>
      <c r="D204" s="42" t="s">
        <v>56</v>
      </c>
      <c r="E204" s="42">
        <v>6</v>
      </c>
      <c r="F204" s="42">
        <v>28.14</v>
      </c>
      <c r="G204" s="42">
        <v>1.2E-2</v>
      </c>
      <c r="H204" s="42">
        <v>6.8</v>
      </c>
      <c r="I204" s="42">
        <v>2011</v>
      </c>
      <c r="J204" s="113">
        <v>1.6549044486676099E+19</v>
      </c>
    </row>
    <row r="205" spans="3:10" x14ac:dyDescent="0.3">
      <c r="C205" s="41" t="b">
        <v>0</v>
      </c>
      <c r="D205" s="42" t="s">
        <v>56</v>
      </c>
      <c r="E205" s="42">
        <v>6</v>
      </c>
      <c r="F205" s="42">
        <v>91.61</v>
      </c>
      <c r="G205" s="42">
        <v>1.6E-2</v>
      </c>
      <c r="H205" s="42">
        <v>6.8</v>
      </c>
      <c r="I205" s="42">
        <v>2013</v>
      </c>
      <c r="J205" s="113">
        <v>1.78716592784204E+19</v>
      </c>
    </row>
    <row r="206" spans="3:10" x14ac:dyDescent="0.3">
      <c r="C206" s="41" t="b">
        <v>0</v>
      </c>
      <c r="D206" s="42" t="s">
        <v>56</v>
      </c>
      <c r="E206" s="42">
        <v>6</v>
      </c>
      <c r="F206" s="42">
        <v>62.24</v>
      </c>
      <c r="G206" s="42">
        <v>8.0000000000000002E-3</v>
      </c>
      <c r="H206" s="42">
        <v>6.8</v>
      </c>
      <c r="I206" s="42">
        <v>2013</v>
      </c>
      <c r="J206" s="113">
        <v>1.17348261665017E+19</v>
      </c>
    </row>
    <row r="207" spans="3:10" x14ac:dyDescent="0.3">
      <c r="C207" s="41" t="b">
        <v>0</v>
      </c>
      <c r="D207" s="42" t="s">
        <v>56</v>
      </c>
      <c r="E207" s="42">
        <v>6</v>
      </c>
      <c r="F207" s="42">
        <v>39.026000000000003</v>
      </c>
      <c r="G207" s="42">
        <v>8.0000000000000002E-3</v>
      </c>
      <c r="H207" s="42">
        <v>6.8</v>
      </c>
      <c r="I207" s="42">
        <v>2013</v>
      </c>
      <c r="J207" s="113">
        <v>1.1990214973668301E+19</v>
      </c>
    </row>
    <row r="208" spans="3:10" x14ac:dyDescent="0.3">
      <c r="C208" s="41" t="b">
        <v>0</v>
      </c>
      <c r="D208" s="42" t="s">
        <v>56</v>
      </c>
      <c r="E208" s="42">
        <v>6</v>
      </c>
      <c r="F208" s="42">
        <v>256.2</v>
      </c>
      <c r="G208" s="42">
        <v>1.4E-2</v>
      </c>
      <c r="H208" s="42">
        <v>6.8</v>
      </c>
      <c r="I208" s="42">
        <v>2013</v>
      </c>
      <c r="J208" s="113">
        <v>1.6476553231602201E+19</v>
      </c>
    </row>
    <row r="209" spans="3:10" x14ac:dyDescent="0.3">
      <c r="C209" s="41" t="b">
        <v>0</v>
      </c>
      <c r="D209" s="42" t="s">
        <v>56</v>
      </c>
      <c r="E209" s="42">
        <v>1</v>
      </c>
      <c r="F209" s="42">
        <v>4.6938000000000004</v>
      </c>
      <c r="G209" s="42">
        <v>3.5000000000000003E-2</v>
      </c>
      <c r="H209" s="42">
        <v>4.54</v>
      </c>
      <c r="I209" s="42">
        <v>2007</v>
      </c>
      <c r="J209" s="113">
        <v>8.13562250140941E+18</v>
      </c>
    </row>
    <row r="210" spans="3:10" x14ac:dyDescent="0.3">
      <c r="C210" s="41" t="b">
        <v>0</v>
      </c>
      <c r="D210" s="42" t="s">
        <v>56</v>
      </c>
      <c r="E210" s="42">
        <v>3</v>
      </c>
      <c r="F210" s="42">
        <v>1050.3</v>
      </c>
      <c r="G210" s="42">
        <v>4.95</v>
      </c>
      <c r="H210" s="42">
        <v>16.13</v>
      </c>
      <c r="I210" s="42">
        <v>2010</v>
      </c>
      <c r="J210" s="113">
        <v>1.7768025857233799E+19</v>
      </c>
    </row>
    <row r="211" spans="3:10" x14ac:dyDescent="0.3">
      <c r="C211" s="41" t="b">
        <v>0</v>
      </c>
      <c r="D211" s="42" t="s">
        <v>56</v>
      </c>
      <c r="E211" s="42">
        <v>3</v>
      </c>
      <c r="F211" s="42">
        <v>3.6</v>
      </c>
      <c r="G211" s="42">
        <v>1.4E-2</v>
      </c>
      <c r="H211" s="42">
        <v>16.13</v>
      </c>
      <c r="I211" s="42">
        <v>2012</v>
      </c>
      <c r="J211" s="113">
        <v>3.8939926516601902E+18</v>
      </c>
    </row>
    <row r="212" spans="3:10" x14ac:dyDescent="0.3">
      <c r="C212" s="41" t="b">
        <v>0</v>
      </c>
      <c r="D212" s="42" t="s">
        <v>56</v>
      </c>
      <c r="E212" s="42">
        <v>3</v>
      </c>
      <c r="F212" s="42">
        <v>35.369999999999997</v>
      </c>
      <c r="G212" s="42">
        <v>3.5999999999999997E-2</v>
      </c>
      <c r="H212" s="42">
        <v>16.13</v>
      </c>
      <c r="I212" s="42">
        <v>2012</v>
      </c>
      <c r="J212" s="113">
        <v>1.84466477730014E+19</v>
      </c>
    </row>
    <row r="213" spans="3:10" x14ac:dyDescent="0.3">
      <c r="C213" s="41" t="b">
        <v>0</v>
      </c>
      <c r="D213" s="42" t="s">
        <v>56</v>
      </c>
      <c r="E213" s="42">
        <v>1</v>
      </c>
      <c r="F213" s="42">
        <v>3416</v>
      </c>
      <c r="G213" s="42">
        <v>0.64</v>
      </c>
      <c r="H213" s="42">
        <v>4.9400000000000004</v>
      </c>
      <c r="I213" s="42">
        <v>2008</v>
      </c>
      <c r="J213" s="113">
        <v>1.3323166416074E+19</v>
      </c>
    </row>
    <row r="214" spans="3:10" x14ac:dyDescent="0.3">
      <c r="C214" s="41" t="b">
        <v>0</v>
      </c>
      <c r="D214" s="42" t="s">
        <v>56</v>
      </c>
      <c r="E214" s="42">
        <v>1</v>
      </c>
      <c r="F214" s="42">
        <v>1845</v>
      </c>
      <c r="G214" s="42">
        <v>0.91</v>
      </c>
      <c r="H214" s="42">
        <v>8.77</v>
      </c>
      <c r="I214" s="42">
        <v>2006</v>
      </c>
      <c r="J214" s="113">
        <v>9.5843745605915197E+18</v>
      </c>
    </row>
    <row r="215" spans="3:10" x14ac:dyDescent="0.3">
      <c r="C215" s="41" t="b">
        <v>0</v>
      </c>
      <c r="D215" s="42" t="s">
        <v>56</v>
      </c>
      <c r="E215" s="42">
        <v>4</v>
      </c>
      <c r="F215" s="42">
        <v>61.116599999999998</v>
      </c>
      <c r="G215" s="42">
        <v>2.2755999999999998</v>
      </c>
      <c r="H215" s="42">
        <v>4.7</v>
      </c>
      <c r="I215" s="42">
        <v>1998</v>
      </c>
      <c r="J215" s="113">
        <v>1.5309642289260501E+19</v>
      </c>
    </row>
    <row r="216" spans="3:10" x14ac:dyDescent="0.3">
      <c r="C216" s="41" t="b">
        <v>0</v>
      </c>
      <c r="D216" s="42" t="s">
        <v>56</v>
      </c>
      <c r="E216" s="42">
        <v>4</v>
      </c>
      <c r="F216" s="42">
        <v>30.088100000000001</v>
      </c>
      <c r="G216" s="42">
        <v>0.71419999999999995</v>
      </c>
      <c r="H216" s="42">
        <v>4.7</v>
      </c>
      <c r="I216" s="42">
        <v>2000</v>
      </c>
      <c r="J216" s="113">
        <v>9.8727103257257206E+18</v>
      </c>
    </row>
    <row r="217" spans="3:10" x14ac:dyDescent="0.3">
      <c r="C217" s="41" t="b">
        <v>0</v>
      </c>
      <c r="D217" s="42" t="s">
        <v>56</v>
      </c>
      <c r="E217" s="42">
        <v>4</v>
      </c>
      <c r="F217" s="42">
        <v>1.9377800000000001</v>
      </c>
      <c r="G217" s="42">
        <v>2.1000000000000001E-2</v>
      </c>
      <c r="H217" s="42">
        <v>4.7</v>
      </c>
      <c r="I217" s="42">
        <v>2005</v>
      </c>
      <c r="J217" s="113">
        <v>1.45308818468602E+19</v>
      </c>
    </row>
    <row r="218" spans="3:10" x14ac:dyDescent="0.3">
      <c r="C218" s="41" t="b">
        <v>0</v>
      </c>
      <c r="D218" s="42" t="s">
        <v>56</v>
      </c>
      <c r="E218" s="42">
        <v>4</v>
      </c>
      <c r="F218" s="42">
        <v>124.26</v>
      </c>
      <c r="G218" s="42">
        <v>4.5999999999999999E-2</v>
      </c>
      <c r="H218" s="42">
        <v>4.7</v>
      </c>
      <c r="I218" s="42">
        <v>2010</v>
      </c>
      <c r="J218" s="113">
        <v>2.0893404051637E+18</v>
      </c>
    </row>
    <row r="219" spans="3:10" x14ac:dyDescent="0.3">
      <c r="C219" s="41" t="b">
        <v>0</v>
      </c>
      <c r="D219" s="42" t="s">
        <v>61</v>
      </c>
      <c r="E219" s="42">
        <v>1</v>
      </c>
      <c r="F219" s="42">
        <v>1.58040482</v>
      </c>
      <c r="G219" s="42"/>
      <c r="H219" s="42"/>
      <c r="I219" s="42">
        <v>2009</v>
      </c>
      <c r="J219" s="113">
        <v>5.9231939342994596E+18</v>
      </c>
    </row>
    <row r="220" spans="3:10" x14ac:dyDescent="0.3">
      <c r="C220" s="41" t="b">
        <v>0</v>
      </c>
      <c r="D220" s="42" t="s">
        <v>56</v>
      </c>
      <c r="E220" s="42">
        <v>1</v>
      </c>
      <c r="F220" s="42">
        <v>133.71</v>
      </c>
      <c r="G220" s="42">
        <v>3.37</v>
      </c>
      <c r="H220" s="42">
        <v>17.62</v>
      </c>
      <c r="I220" s="42">
        <v>2000</v>
      </c>
      <c r="J220" s="113">
        <v>1.8396565352192399E+19</v>
      </c>
    </row>
    <row r="221" spans="3:10" x14ac:dyDescent="0.3">
      <c r="C221" s="41" t="b">
        <v>0</v>
      </c>
      <c r="D221" s="42" t="s">
        <v>56</v>
      </c>
      <c r="E221" s="42">
        <v>1</v>
      </c>
      <c r="F221" s="42">
        <v>3.3371400000000002</v>
      </c>
      <c r="G221" s="42"/>
      <c r="H221" s="42">
        <v>25.2</v>
      </c>
      <c r="I221" s="42">
        <v>2012</v>
      </c>
      <c r="J221" s="113">
        <v>1.5439128559423601E+19</v>
      </c>
    </row>
    <row r="222" spans="3:10" x14ac:dyDescent="0.3">
      <c r="C222" s="41" t="b">
        <v>0</v>
      </c>
      <c r="D222" s="42" t="s">
        <v>56</v>
      </c>
      <c r="E222" s="42">
        <v>1</v>
      </c>
      <c r="F222" s="42">
        <v>2.64561</v>
      </c>
      <c r="G222" s="42">
        <v>2.1999999999999999E-2</v>
      </c>
      <c r="H222" s="42">
        <v>19.8</v>
      </c>
      <c r="I222" s="42">
        <v>2010</v>
      </c>
      <c r="J222" s="113">
        <v>1.62372785097803E+19</v>
      </c>
    </row>
    <row r="223" spans="3:10" x14ac:dyDescent="0.3">
      <c r="C223" s="41" t="b">
        <v>0</v>
      </c>
      <c r="D223" s="42" t="s">
        <v>59</v>
      </c>
      <c r="E223" s="42">
        <v>1</v>
      </c>
      <c r="F223" s="42"/>
      <c r="G223" s="42"/>
      <c r="H223" s="42">
        <v>145</v>
      </c>
      <c r="I223" s="42">
        <v>2010</v>
      </c>
      <c r="J223" s="113">
        <v>3.4595161245282698E+18</v>
      </c>
    </row>
    <row r="224" spans="3:10" x14ac:dyDescent="0.3">
      <c r="C224" s="41" t="b">
        <v>0</v>
      </c>
      <c r="D224" s="42" t="s">
        <v>61</v>
      </c>
      <c r="E224" s="42">
        <v>1</v>
      </c>
      <c r="F224" s="42">
        <v>4.4652934000000002</v>
      </c>
      <c r="G224" s="42"/>
      <c r="H224" s="42">
        <v>139</v>
      </c>
      <c r="I224" s="42">
        <v>2006</v>
      </c>
      <c r="J224" s="113">
        <v>5.0525994472659999E+18</v>
      </c>
    </row>
    <row r="225" spans="3:10" x14ac:dyDescent="0.3">
      <c r="C225" s="41" t="b">
        <v>0</v>
      </c>
      <c r="D225" s="42" t="s">
        <v>61</v>
      </c>
      <c r="E225" s="42">
        <v>1</v>
      </c>
      <c r="F225" s="42">
        <v>5.6334729000000001</v>
      </c>
      <c r="G225" s="42"/>
      <c r="H225" s="42">
        <v>135.32</v>
      </c>
      <c r="I225" s="42">
        <v>2007</v>
      </c>
      <c r="J225" s="113">
        <v>1.6732829731648299E+19</v>
      </c>
    </row>
    <row r="226" spans="3:10" x14ac:dyDescent="0.3">
      <c r="C226" s="41" t="b">
        <v>0</v>
      </c>
      <c r="D226" s="42" t="s">
        <v>61</v>
      </c>
      <c r="E226" s="42">
        <v>1</v>
      </c>
      <c r="F226" s="42">
        <v>2.8997359999999999</v>
      </c>
      <c r="G226" s="42"/>
      <c r="H226" s="42">
        <v>138</v>
      </c>
      <c r="I226" s="42">
        <v>2007</v>
      </c>
      <c r="J226" s="113">
        <v>1.1910939325294E+19</v>
      </c>
    </row>
    <row r="227" spans="3:10" x14ac:dyDescent="0.3">
      <c r="C227" s="41" t="b">
        <v>0</v>
      </c>
      <c r="D227" s="42" t="s">
        <v>61</v>
      </c>
      <c r="E227" s="42">
        <v>1</v>
      </c>
      <c r="F227" s="42">
        <v>3.0565359999999999</v>
      </c>
      <c r="G227" s="42"/>
      <c r="H227" s="42">
        <v>314</v>
      </c>
      <c r="I227" s="42">
        <v>2007</v>
      </c>
      <c r="J227" s="113">
        <v>6.81278667355362E+18</v>
      </c>
    </row>
    <row r="228" spans="3:10" x14ac:dyDescent="0.3">
      <c r="C228" s="41" t="b">
        <v>0</v>
      </c>
      <c r="D228" s="42" t="s">
        <v>61</v>
      </c>
      <c r="E228" s="42">
        <v>1</v>
      </c>
      <c r="F228" s="42">
        <v>2.7884910000000001</v>
      </c>
      <c r="G228" s="42"/>
      <c r="H228" s="42">
        <v>342</v>
      </c>
      <c r="I228" s="42">
        <v>2007</v>
      </c>
      <c r="J228" s="113">
        <v>1.33942334390841E+19</v>
      </c>
    </row>
    <row r="229" spans="3:10" x14ac:dyDescent="0.3">
      <c r="C229" s="41" t="b">
        <v>0</v>
      </c>
      <c r="D229" s="42" t="s">
        <v>61</v>
      </c>
      <c r="E229" s="42">
        <v>1</v>
      </c>
      <c r="F229" s="42">
        <v>3.8529849999999999</v>
      </c>
      <c r="G229" s="42"/>
      <c r="H229" s="42">
        <v>261</v>
      </c>
      <c r="I229" s="42">
        <v>2007</v>
      </c>
      <c r="J229" s="113">
        <v>1.77068135538589E+19</v>
      </c>
    </row>
    <row r="230" spans="3:10" x14ac:dyDescent="0.3">
      <c r="C230" s="41" t="b">
        <v>0</v>
      </c>
      <c r="D230" s="42" t="s">
        <v>61</v>
      </c>
      <c r="E230" s="42">
        <v>1</v>
      </c>
      <c r="F230" s="42">
        <v>3.0763775999999998</v>
      </c>
      <c r="G230" s="42"/>
      <c r="H230" s="42">
        <v>230</v>
      </c>
      <c r="I230" s="42">
        <v>2008</v>
      </c>
      <c r="J230" s="113">
        <v>4.5906106117037102E+18</v>
      </c>
    </row>
    <row r="231" spans="3:10" x14ac:dyDescent="0.3">
      <c r="C231" s="41" t="b">
        <v>0</v>
      </c>
      <c r="D231" s="42" t="s">
        <v>61</v>
      </c>
      <c r="E231" s="42">
        <v>1</v>
      </c>
      <c r="F231" s="42">
        <v>3.9228900000000002</v>
      </c>
      <c r="G231" s="42"/>
      <c r="H231" s="42">
        <v>480</v>
      </c>
      <c r="I231" s="42">
        <v>2008</v>
      </c>
      <c r="J231" s="113">
        <v>1.40131059451284E+17</v>
      </c>
    </row>
    <row r="232" spans="3:10" x14ac:dyDescent="0.3">
      <c r="C232" s="41" t="b">
        <v>0</v>
      </c>
      <c r="D232" s="42" t="s">
        <v>61</v>
      </c>
      <c r="E232" s="42">
        <v>1</v>
      </c>
      <c r="F232" s="42">
        <v>3.2130597999999999</v>
      </c>
      <c r="G232" s="42"/>
      <c r="H232" s="42">
        <v>142.5</v>
      </c>
      <c r="I232" s="42">
        <v>2009</v>
      </c>
      <c r="J232" s="113">
        <v>1.8265020737383299E+19</v>
      </c>
    </row>
    <row r="233" spans="3:10" x14ac:dyDescent="0.3">
      <c r="C233" s="41" t="b">
        <v>0</v>
      </c>
      <c r="D233" s="42" t="s">
        <v>61</v>
      </c>
      <c r="E233" s="42">
        <v>2</v>
      </c>
      <c r="F233" s="42">
        <v>2.9162599999999999</v>
      </c>
      <c r="G233" s="42"/>
      <c r="H233" s="42">
        <v>214</v>
      </c>
      <c r="I233" s="42">
        <v>2009</v>
      </c>
      <c r="J233" s="113">
        <v>1.02379080255751E+19</v>
      </c>
    </row>
    <row r="234" spans="3:10" x14ac:dyDescent="0.3">
      <c r="C234" s="41" t="b">
        <v>0</v>
      </c>
      <c r="D234" s="42" t="s">
        <v>56</v>
      </c>
      <c r="E234" s="42">
        <v>2</v>
      </c>
      <c r="F234" s="42">
        <v>428.5</v>
      </c>
      <c r="G234" s="42">
        <v>15.2</v>
      </c>
      <c r="H234" s="42">
        <v>214</v>
      </c>
      <c r="I234" s="42">
        <v>2009</v>
      </c>
      <c r="J234" s="113">
        <v>6.4316127101949297E+18</v>
      </c>
    </row>
    <row r="235" spans="3:10" x14ac:dyDescent="0.3">
      <c r="C235" s="41" t="b">
        <v>0</v>
      </c>
      <c r="D235" s="42" t="s">
        <v>61</v>
      </c>
      <c r="E235" s="42">
        <v>1</v>
      </c>
      <c r="F235" s="42">
        <v>4.627669</v>
      </c>
      <c r="G235" s="42"/>
      <c r="H235" s="42">
        <v>205</v>
      </c>
      <c r="I235" s="42">
        <v>2010</v>
      </c>
      <c r="J235" s="113">
        <v>4.4555711021245599E+18</v>
      </c>
    </row>
    <row r="236" spans="3:10" x14ac:dyDescent="0.3">
      <c r="C236" s="41" t="b">
        <v>0</v>
      </c>
      <c r="D236" s="42" t="s">
        <v>61</v>
      </c>
      <c r="E236" s="42">
        <v>1</v>
      </c>
      <c r="F236" s="42">
        <v>10.863502</v>
      </c>
      <c r="G236" s="42"/>
      <c r="H236" s="42">
        <v>190</v>
      </c>
      <c r="I236" s="42">
        <v>2010</v>
      </c>
      <c r="J236" s="113">
        <v>1.63053237779626E+19</v>
      </c>
    </row>
    <row r="237" spans="3:10" x14ac:dyDescent="0.3">
      <c r="C237" s="41" t="b">
        <v>0</v>
      </c>
      <c r="D237" s="42" t="s">
        <v>61</v>
      </c>
      <c r="E237" s="42">
        <v>1</v>
      </c>
      <c r="F237" s="42">
        <v>2.77596</v>
      </c>
      <c r="G237" s="42"/>
      <c r="H237" s="42">
        <v>235</v>
      </c>
      <c r="I237" s="42">
        <v>2010</v>
      </c>
      <c r="J237" s="113">
        <v>3.1040384862480102E+18</v>
      </c>
    </row>
    <row r="238" spans="3:10" x14ac:dyDescent="0.3">
      <c r="C238" s="41" t="b">
        <v>0</v>
      </c>
      <c r="D238" s="42" t="s">
        <v>61</v>
      </c>
      <c r="E238" s="42">
        <v>2</v>
      </c>
      <c r="F238" s="42">
        <v>10.338523</v>
      </c>
      <c r="G238" s="42"/>
      <c r="H238" s="42">
        <v>90</v>
      </c>
      <c r="I238" s="42">
        <v>2010</v>
      </c>
      <c r="J238" s="113">
        <v>1.41369869868502E+19</v>
      </c>
    </row>
    <row r="239" spans="3:10" x14ac:dyDescent="0.3">
      <c r="C239" s="41" t="b">
        <v>0</v>
      </c>
      <c r="D239" s="42" t="s">
        <v>56</v>
      </c>
      <c r="E239" s="42">
        <v>2</v>
      </c>
      <c r="F239" s="42">
        <v>5584</v>
      </c>
      <c r="G239" s="42">
        <v>3.4</v>
      </c>
      <c r="H239" s="42">
        <v>90</v>
      </c>
      <c r="I239" s="42">
        <v>2010</v>
      </c>
      <c r="J239" s="113">
        <v>5.8705168326368604E+18</v>
      </c>
    </row>
    <row r="240" spans="3:10" x14ac:dyDescent="0.3">
      <c r="C240" s="41" t="b">
        <v>0</v>
      </c>
      <c r="D240" s="42" t="s">
        <v>61</v>
      </c>
      <c r="E240" s="42">
        <v>1</v>
      </c>
      <c r="F240" s="42">
        <v>5.5080229999999997</v>
      </c>
      <c r="G240" s="42"/>
      <c r="H240" s="42">
        <v>166</v>
      </c>
      <c r="I240" s="42">
        <v>2010</v>
      </c>
      <c r="J240" s="113">
        <v>1.1331194486187E+19</v>
      </c>
    </row>
    <row r="241" spans="3:10" x14ac:dyDescent="0.3">
      <c r="C241" s="41" t="b">
        <v>0</v>
      </c>
      <c r="D241" s="42" t="s">
        <v>61</v>
      </c>
      <c r="E241" s="42">
        <v>1</v>
      </c>
      <c r="F241" s="42">
        <v>4.0087780000000004</v>
      </c>
      <c r="G241" s="42"/>
      <c r="H241" s="42">
        <v>215</v>
      </c>
      <c r="I241" s="42">
        <v>2010</v>
      </c>
      <c r="J241" s="113">
        <v>4.6611335019813796E+18</v>
      </c>
    </row>
    <row r="242" spans="3:10" x14ac:dyDescent="0.3">
      <c r="C242" s="41" t="b">
        <v>0</v>
      </c>
      <c r="D242" s="42" t="s">
        <v>61</v>
      </c>
      <c r="E242" s="42">
        <v>1</v>
      </c>
      <c r="F242" s="42">
        <v>2.8753169999999999</v>
      </c>
      <c r="G242" s="42"/>
      <c r="H242" s="42">
        <v>70</v>
      </c>
      <c r="I242" s="42">
        <v>2010</v>
      </c>
      <c r="J242" s="113">
        <v>1.3375818240656099E+19</v>
      </c>
    </row>
    <row r="243" spans="3:10" x14ac:dyDescent="0.3">
      <c r="C243" s="41" t="b">
        <v>0</v>
      </c>
      <c r="D243" s="42" t="s">
        <v>61</v>
      </c>
      <c r="E243" s="42">
        <v>1</v>
      </c>
      <c r="F243" s="42">
        <v>4.1244810000000003</v>
      </c>
      <c r="G243" s="42"/>
      <c r="H243" s="42">
        <v>254</v>
      </c>
      <c r="I243" s="42">
        <v>2010</v>
      </c>
      <c r="J243" s="113">
        <v>2.55432770575345E+18</v>
      </c>
    </row>
    <row r="244" spans="3:10" x14ac:dyDescent="0.3">
      <c r="C244" s="41" t="b">
        <v>0</v>
      </c>
      <c r="D244" s="42" t="s">
        <v>61</v>
      </c>
      <c r="E244" s="42">
        <v>1</v>
      </c>
      <c r="F244" s="42">
        <v>3.2122199999999999</v>
      </c>
      <c r="G244" s="42"/>
      <c r="H244" s="42">
        <v>82</v>
      </c>
      <c r="I244" s="42">
        <v>2010</v>
      </c>
      <c r="J244" s="113">
        <v>6.07957446332399E+18</v>
      </c>
    </row>
    <row r="245" spans="3:10" x14ac:dyDescent="0.3">
      <c r="C245" s="41" t="b">
        <v>0</v>
      </c>
      <c r="D245" s="42" t="s">
        <v>61</v>
      </c>
      <c r="E245" s="42">
        <v>1</v>
      </c>
      <c r="F245" s="42">
        <v>1.2128840000000001</v>
      </c>
      <c r="G245" s="42"/>
      <c r="H245" s="42">
        <v>393</v>
      </c>
      <c r="I245" s="42">
        <v>2010</v>
      </c>
      <c r="J245" s="113">
        <v>6.88737908913408E+18</v>
      </c>
    </row>
    <row r="246" spans="3:10" x14ac:dyDescent="0.3">
      <c r="C246" s="41" t="b">
        <v>0</v>
      </c>
      <c r="D246" s="42" t="s">
        <v>61</v>
      </c>
      <c r="E246" s="42">
        <v>1</v>
      </c>
      <c r="F246" s="42">
        <v>3.3552399999999998</v>
      </c>
      <c r="G246" s="42"/>
      <c r="H246" s="42">
        <v>396</v>
      </c>
      <c r="I246" s="42">
        <v>2010</v>
      </c>
      <c r="J246" s="113">
        <v>1.7187139026749E+19</v>
      </c>
    </row>
    <row r="247" spans="3:10" x14ac:dyDescent="0.3">
      <c r="C247" s="41" t="b">
        <v>0</v>
      </c>
      <c r="D247" s="42" t="s">
        <v>61</v>
      </c>
      <c r="E247" s="42">
        <v>1</v>
      </c>
      <c r="F247" s="42">
        <v>3.6528360000000002</v>
      </c>
      <c r="G247" s="42"/>
      <c r="H247" s="42">
        <v>297</v>
      </c>
      <c r="I247" s="42">
        <v>2010</v>
      </c>
      <c r="J247" s="113">
        <v>2.75538778588384E+18</v>
      </c>
    </row>
    <row r="248" spans="3:10" x14ac:dyDescent="0.3">
      <c r="C248" s="41" t="b">
        <v>0</v>
      </c>
      <c r="D248" s="42" t="s">
        <v>61</v>
      </c>
      <c r="E248" s="42">
        <v>1</v>
      </c>
      <c r="F248" s="42">
        <v>4.2345160000000002</v>
      </c>
      <c r="G248" s="42"/>
      <c r="H248" s="42">
        <v>134</v>
      </c>
      <c r="I248" s="42">
        <v>2010</v>
      </c>
      <c r="J248" s="113">
        <v>1.0291052143941401E+19</v>
      </c>
    </row>
    <row r="249" spans="3:10" x14ac:dyDescent="0.3">
      <c r="C249" s="41" t="b">
        <v>0</v>
      </c>
      <c r="D249" s="42" t="s">
        <v>61</v>
      </c>
      <c r="E249" s="42">
        <v>1</v>
      </c>
      <c r="F249" s="42">
        <v>3.039577</v>
      </c>
      <c r="G249" s="42"/>
      <c r="H249" s="42">
        <v>204</v>
      </c>
      <c r="I249" s="42">
        <v>2011</v>
      </c>
      <c r="J249" s="113">
        <v>1.37525270327999E+19</v>
      </c>
    </row>
    <row r="250" spans="3:10" x14ac:dyDescent="0.3">
      <c r="C250" s="41" t="b">
        <v>0</v>
      </c>
      <c r="D250" s="42" t="s">
        <v>61</v>
      </c>
      <c r="E250" s="42">
        <v>1</v>
      </c>
      <c r="F250" s="42">
        <v>3.257215</v>
      </c>
      <c r="G250" s="42"/>
      <c r="H250" s="42">
        <v>395</v>
      </c>
      <c r="I250" s="42">
        <v>2011</v>
      </c>
      <c r="J250" s="113">
        <v>3.4007948873034701E+18</v>
      </c>
    </row>
    <row r="251" spans="3:10" x14ac:dyDescent="0.3">
      <c r="C251" s="41" t="b">
        <v>0</v>
      </c>
      <c r="D251" s="42" t="s">
        <v>61</v>
      </c>
      <c r="E251" s="42">
        <v>1</v>
      </c>
      <c r="F251" s="42">
        <v>5.7231860000000001</v>
      </c>
      <c r="G251" s="42"/>
      <c r="H251" s="42">
        <v>322</v>
      </c>
      <c r="I251" s="42">
        <v>2011</v>
      </c>
      <c r="J251" s="113">
        <v>1.2906892160115499E+19</v>
      </c>
    </row>
    <row r="252" spans="3:10" x14ac:dyDescent="0.3">
      <c r="C252" s="41" t="b">
        <v>0</v>
      </c>
      <c r="D252" s="42" t="s">
        <v>61</v>
      </c>
      <c r="E252" s="42">
        <v>1</v>
      </c>
      <c r="F252" s="42">
        <v>2.8105950000000002</v>
      </c>
      <c r="G252" s="42"/>
      <c r="H252" s="42">
        <v>193</v>
      </c>
      <c r="I252" s="42">
        <v>2011</v>
      </c>
      <c r="J252" s="113">
        <v>1.4765664075107799E+19</v>
      </c>
    </row>
    <row r="253" spans="3:10" x14ac:dyDescent="0.3">
      <c r="C253" s="41" t="b">
        <v>0</v>
      </c>
      <c r="D253" s="42" t="s">
        <v>61</v>
      </c>
      <c r="E253" s="42">
        <v>2</v>
      </c>
      <c r="F253" s="42">
        <v>5.0054249999999998</v>
      </c>
      <c r="G253" s="42"/>
      <c r="H253" s="42">
        <v>354</v>
      </c>
      <c r="I253" s="42">
        <v>2011</v>
      </c>
      <c r="J253" s="113">
        <v>1.3242349647964799E+19</v>
      </c>
    </row>
    <row r="254" spans="3:10" x14ac:dyDescent="0.3">
      <c r="C254" s="41" t="b">
        <v>0</v>
      </c>
      <c r="D254" s="42" t="s">
        <v>56</v>
      </c>
      <c r="E254" s="42">
        <v>2</v>
      </c>
      <c r="F254" s="42">
        <v>1022</v>
      </c>
      <c r="G254" s="42">
        <v>3.4</v>
      </c>
      <c r="H254" s="42">
        <v>354</v>
      </c>
      <c r="I254" s="42">
        <v>2011</v>
      </c>
      <c r="J254" s="113">
        <v>1.2014529138929701E+19</v>
      </c>
    </row>
    <row r="255" spans="3:10" x14ac:dyDescent="0.3">
      <c r="C255" s="41" t="b">
        <v>0</v>
      </c>
      <c r="D255" s="42" t="s">
        <v>61</v>
      </c>
      <c r="E255" s="42">
        <v>1</v>
      </c>
      <c r="F255" s="42">
        <v>2.1500080000000001</v>
      </c>
      <c r="G255" s="42"/>
      <c r="H255" s="42">
        <v>283</v>
      </c>
      <c r="I255" s="42">
        <v>2011</v>
      </c>
      <c r="J255" s="113">
        <v>2.48005061511345E+18</v>
      </c>
    </row>
    <row r="256" spans="3:10" x14ac:dyDescent="0.3">
      <c r="C256" s="41" t="b">
        <v>0</v>
      </c>
      <c r="D256" s="42" t="s">
        <v>61</v>
      </c>
      <c r="E256" s="42">
        <v>1</v>
      </c>
      <c r="F256" s="42">
        <v>3.4744739999999998</v>
      </c>
      <c r="G256" s="42"/>
      <c r="H256" s="42">
        <v>387</v>
      </c>
      <c r="I256" s="42">
        <v>2011</v>
      </c>
      <c r="J256" s="113">
        <v>1.54940549870401E+19</v>
      </c>
    </row>
    <row r="257" spans="3:10" x14ac:dyDescent="0.3">
      <c r="C257" s="41" t="b">
        <v>0</v>
      </c>
      <c r="D257" s="42" t="s">
        <v>61</v>
      </c>
      <c r="E257" s="42">
        <v>1</v>
      </c>
      <c r="F257" s="42">
        <v>5.4526539999999999</v>
      </c>
      <c r="G257" s="42"/>
      <c r="H257" s="42">
        <v>257</v>
      </c>
      <c r="I257" s="42">
        <v>2011</v>
      </c>
      <c r="J257" s="113">
        <v>1.70140686360273E+19</v>
      </c>
    </row>
    <row r="258" spans="3:10" x14ac:dyDescent="0.3">
      <c r="C258" s="41" t="b">
        <v>0</v>
      </c>
      <c r="D258" s="42" t="s">
        <v>61</v>
      </c>
      <c r="E258" s="42">
        <v>1</v>
      </c>
      <c r="F258" s="42">
        <v>3.646706</v>
      </c>
      <c r="G258" s="42"/>
      <c r="H258" s="42">
        <v>535</v>
      </c>
      <c r="I258" s="42">
        <v>2011</v>
      </c>
      <c r="J258" s="113">
        <v>1.9211528520220101E+18</v>
      </c>
    </row>
    <row r="259" spans="3:10" x14ac:dyDescent="0.3">
      <c r="C259" s="41" t="b">
        <v>0</v>
      </c>
      <c r="D259" s="42" t="s">
        <v>61</v>
      </c>
      <c r="E259" s="42">
        <v>1</v>
      </c>
      <c r="F259" s="42">
        <v>1.3273470000000001</v>
      </c>
      <c r="G259" s="42"/>
      <c r="H259" s="42">
        <v>317</v>
      </c>
      <c r="I259" s="42">
        <v>2011</v>
      </c>
      <c r="J259" s="113">
        <v>1.05351869345037E+19</v>
      </c>
    </row>
    <row r="260" spans="3:10" x14ac:dyDescent="0.3">
      <c r="C260" s="41" t="b">
        <v>0</v>
      </c>
      <c r="D260" s="42" t="s">
        <v>61</v>
      </c>
      <c r="E260" s="42">
        <v>1</v>
      </c>
      <c r="F260" s="42">
        <v>2.7974359999999998</v>
      </c>
      <c r="G260" s="42"/>
      <c r="H260" s="42">
        <v>411</v>
      </c>
      <c r="I260" s="42">
        <v>2011</v>
      </c>
      <c r="J260" s="113">
        <v>5.1762441760548403E+18</v>
      </c>
    </row>
    <row r="261" spans="3:10" x14ac:dyDescent="0.3">
      <c r="C261" s="41" t="b">
        <v>0</v>
      </c>
      <c r="D261" s="42" t="s">
        <v>61</v>
      </c>
      <c r="E261" s="42">
        <v>1</v>
      </c>
      <c r="F261" s="42">
        <v>4.6403819999999998</v>
      </c>
      <c r="G261" s="42"/>
      <c r="H261" s="42">
        <v>249</v>
      </c>
      <c r="I261" s="42">
        <v>2012</v>
      </c>
      <c r="J261" s="113">
        <v>9.89346364663006E+18</v>
      </c>
    </row>
    <row r="262" spans="3:10" x14ac:dyDescent="0.3">
      <c r="C262" s="41" t="b">
        <v>0</v>
      </c>
      <c r="D262" s="42" t="s">
        <v>61</v>
      </c>
      <c r="E262" s="42">
        <v>1</v>
      </c>
      <c r="F262" s="42">
        <v>3.5438700000000001</v>
      </c>
      <c r="G262" s="42"/>
      <c r="H262" s="42">
        <v>642</v>
      </c>
      <c r="I262" s="42">
        <v>2012</v>
      </c>
      <c r="J262" s="113">
        <v>9.1490726641931704E+18</v>
      </c>
    </row>
    <row r="263" spans="3:10" x14ac:dyDescent="0.3">
      <c r="C263" s="41" t="b">
        <v>0</v>
      </c>
      <c r="D263" s="42" t="s">
        <v>61</v>
      </c>
      <c r="E263" s="42">
        <v>1</v>
      </c>
      <c r="F263" s="42">
        <v>4.4572430000000001</v>
      </c>
      <c r="G263" s="42"/>
      <c r="H263" s="42">
        <v>501</v>
      </c>
      <c r="I263" s="42">
        <v>2012</v>
      </c>
      <c r="J263" s="113">
        <v>1.0880630649935999E+19</v>
      </c>
    </row>
    <row r="264" spans="3:10" x14ac:dyDescent="0.3">
      <c r="C264" s="41" t="b">
        <v>0</v>
      </c>
      <c r="D264" s="42" t="s">
        <v>61</v>
      </c>
      <c r="E264" s="42">
        <v>1</v>
      </c>
      <c r="F264" s="42">
        <v>2.6940469999999999</v>
      </c>
      <c r="G264" s="42"/>
      <c r="H264" s="42">
        <v>344</v>
      </c>
      <c r="I264" s="42">
        <v>2012</v>
      </c>
      <c r="J264" s="113">
        <v>7.9286720967523697E+18</v>
      </c>
    </row>
    <row r="265" spans="3:10" x14ac:dyDescent="0.3">
      <c r="C265" s="41" t="b">
        <v>0</v>
      </c>
      <c r="D265" s="42" t="s">
        <v>61</v>
      </c>
      <c r="E265" s="42">
        <v>1</v>
      </c>
      <c r="F265" s="42">
        <v>4.6418780000000002</v>
      </c>
      <c r="G265" s="42"/>
      <c r="H265" s="42">
        <v>447</v>
      </c>
      <c r="I265" s="42">
        <v>2012</v>
      </c>
      <c r="J265" s="113">
        <v>5.4881374182304205E+18</v>
      </c>
    </row>
    <row r="266" spans="3:10" x14ac:dyDescent="0.3">
      <c r="C266" s="41" t="b">
        <v>0</v>
      </c>
      <c r="D266" s="42" t="s">
        <v>61</v>
      </c>
      <c r="E266" s="42">
        <v>1</v>
      </c>
      <c r="F266" s="42">
        <v>3.332687</v>
      </c>
      <c r="G266" s="42"/>
      <c r="H266" s="42">
        <v>542</v>
      </c>
      <c r="I266" s="42">
        <v>2012</v>
      </c>
      <c r="J266" s="113">
        <v>1.45185948637969E+19</v>
      </c>
    </row>
    <row r="267" spans="3:10" x14ac:dyDescent="0.3">
      <c r="C267" s="41" t="b">
        <v>0</v>
      </c>
      <c r="D267" s="42" t="s">
        <v>61</v>
      </c>
      <c r="E267" s="42">
        <v>1</v>
      </c>
      <c r="F267" s="42">
        <v>2.6915480000000001</v>
      </c>
      <c r="G267" s="42"/>
      <c r="H267" s="42">
        <v>322</v>
      </c>
      <c r="I267" s="42">
        <v>2014</v>
      </c>
      <c r="J267" s="113">
        <v>3.8304493790210299E+18</v>
      </c>
    </row>
    <row r="268" spans="3:10" x14ac:dyDescent="0.3">
      <c r="C268" s="41" t="b">
        <v>0</v>
      </c>
      <c r="D268" s="42" t="s">
        <v>61</v>
      </c>
      <c r="E268" s="42">
        <v>1</v>
      </c>
      <c r="F268" s="42">
        <v>3.4464589999999999</v>
      </c>
      <c r="G268" s="42"/>
      <c r="H268" s="42">
        <v>303</v>
      </c>
      <c r="I268" s="42">
        <v>2012</v>
      </c>
      <c r="J268" s="113">
        <v>5.8683718459079301E+18</v>
      </c>
    </row>
    <row r="269" spans="3:10" x14ac:dyDescent="0.3">
      <c r="C269" s="41" t="b">
        <v>0</v>
      </c>
      <c r="D269" s="42" t="s">
        <v>61</v>
      </c>
      <c r="E269" s="42">
        <v>1</v>
      </c>
      <c r="F269" s="42">
        <v>1.354133</v>
      </c>
      <c r="G269" s="42"/>
      <c r="H269" s="42">
        <v>360</v>
      </c>
      <c r="I269" s="42">
        <v>2013</v>
      </c>
      <c r="J269" s="113">
        <v>1.23648786733975E+19</v>
      </c>
    </row>
    <row r="270" spans="3:10" x14ac:dyDescent="0.3">
      <c r="C270" s="41" t="b">
        <v>0</v>
      </c>
      <c r="D270" s="42" t="s">
        <v>61</v>
      </c>
      <c r="E270" s="42">
        <v>1</v>
      </c>
      <c r="F270" s="42">
        <v>3.5478510000000001</v>
      </c>
      <c r="G270" s="42"/>
      <c r="H270" s="42">
        <v>453</v>
      </c>
      <c r="I270" s="42">
        <v>2013</v>
      </c>
      <c r="J270" s="113">
        <v>6.6835789573599396E+18</v>
      </c>
    </row>
    <row r="271" spans="3:10" x14ac:dyDescent="0.3">
      <c r="C271" s="41" t="b">
        <v>0</v>
      </c>
      <c r="D271" s="42" t="s">
        <v>56</v>
      </c>
      <c r="E271" s="42">
        <v>2</v>
      </c>
      <c r="F271" s="42">
        <v>349.7</v>
      </c>
      <c r="G271" s="42">
        <v>1.25</v>
      </c>
      <c r="H271" s="42">
        <v>25.64</v>
      </c>
      <c r="I271" s="42">
        <v>2001</v>
      </c>
      <c r="J271" s="113">
        <v>7.9054608422308096E+18</v>
      </c>
    </row>
    <row r="272" spans="3:10" x14ac:dyDescent="0.3">
      <c r="C272" s="41" t="b">
        <v>0</v>
      </c>
      <c r="D272" s="42" t="s">
        <v>56</v>
      </c>
      <c r="E272" s="42">
        <v>2</v>
      </c>
      <c r="F272" s="42">
        <v>6005</v>
      </c>
      <c r="G272" s="42">
        <v>5.3</v>
      </c>
      <c r="H272" s="42">
        <v>25.64</v>
      </c>
      <c r="I272" s="42">
        <v>2012</v>
      </c>
      <c r="J272" s="113">
        <v>8.0098360349477304E+18</v>
      </c>
    </row>
    <row r="273" spans="3:10" x14ac:dyDescent="0.3">
      <c r="C273" s="41" t="b">
        <v>0</v>
      </c>
      <c r="D273" s="42" t="s">
        <v>56</v>
      </c>
      <c r="E273" s="42">
        <v>2</v>
      </c>
      <c r="F273" s="42">
        <v>5.7727000000000004</v>
      </c>
      <c r="G273" s="42">
        <v>2.4E-2</v>
      </c>
      <c r="H273" s="42">
        <v>23.44</v>
      </c>
      <c r="I273" s="42">
        <v>2009</v>
      </c>
      <c r="J273" s="113">
        <v>1.1203488626307299E+19</v>
      </c>
    </row>
    <row r="274" spans="3:10" x14ac:dyDescent="0.3">
      <c r="C274" s="41" t="b">
        <v>0</v>
      </c>
      <c r="D274" s="42" t="s">
        <v>56</v>
      </c>
      <c r="E274" s="42">
        <v>2</v>
      </c>
      <c r="F274" s="42">
        <v>13.505000000000001</v>
      </c>
      <c r="G274" s="42">
        <v>1.8599999999999998E-2</v>
      </c>
      <c r="H274" s="42">
        <v>23.44</v>
      </c>
      <c r="I274" s="42">
        <v>2011</v>
      </c>
      <c r="J274" s="113">
        <v>1.28791077602456E+19</v>
      </c>
    </row>
    <row r="275" spans="3:10" x14ac:dyDescent="0.3">
      <c r="C275" s="41" t="b">
        <v>0</v>
      </c>
      <c r="D275" s="42" t="s">
        <v>56</v>
      </c>
      <c r="E275" s="42">
        <v>1</v>
      </c>
      <c r="F275" s="42">
        <v>431.8</v>
      </c>
      <c r="G275" s="42">
        <v>3.1</v>
      </c>
      <c r="H275" s="42">
        <v>167.5</v>
      </c>
      <c r="I275" s="42">
        <v>2011</v>
      </c>
      <c r="J275" s="113">
        <v>1.1237780464346499E+19</v>
      </c>
    </row>
    <row r="276" spans="3:10" x14ac:dyDescent="0.3">
      <c r="C276" s="41" t="b">
        <v>0</v>
      </c>
      <c r="D276" s="42" t="s">
        <v>56</v>
      </c>
      <c r="E276" s="42">
        <v>1</v>
      </c>
      <c r="F276" s="42">
        <v>533</v>
      </c>
      <c r="G276" s="42">
        <v>6.1</v>
      </c>
      <c r="H276" s="42">
        <v>7.01</v>
      </c>
      <c r="I276" s="42">
        <v>2010</v>
      </c>
      <c r="J276" s="113">
        <v>6.8966005805090406E+17</v>
      </c>
    </row>
    <row r="277" spans="3:10" x14ac:dyDescent="0.3">
      <c r="C277" s="41" t="b">
        <v>0</v>
      </c>
      <c r="D277" s="42" t="s">
        <v>56</v>
      </c>
      <c r="E277" s="42">
        <v>1</v>
      </c>
      <c r="F277" s="42">
        <v>1183</v>
      </c>
      <c r="G277" s="42">
        <v>4.9000000000000004</v>
      </c>
      <c r="H277" s="42">
        <v>89.85</v>
      </c>
      <c r="I277" s="42">
        <v>2002</v>
      </c>
      <c r="J277" s="113">
        <v>1.2308585166814799E+18</v>
      </c>
    </row>
    <row r="278" spans="3:10" x14ac:dyDescent="0.3">
      <c r="C278" s="41" t="b">
        <v>0</v>
      </c>
      <c r="D278" s="42" t="s">
        <v>56</v>
      </c>
      <c r="E278" s="42">
        <v>1</v>
      </c>
      <c r="F278" s="42">
        <v>3.4441999999999999</v>
      </c>
      <c r="G278" s="42">
        <v>0.48</v>
      </c>
      <c r="H278" s="42">
        <v>53.71</v>
      </c>
      <c r="I278" s="42">
        <v>2005</v>
      </c>
      <c r="J278" s="113">
        <v>1.73194037783999E+19</v>
      </c>
    </row>
    <row r="279" spans="3:10" x14ac:dyDescent="0.3">
      <c r="C279" s="41" t="b">
        <v>0</v>
      </c>
      <c r="D279" s="42" t="s">
        <v>56</v>
      </c>
      <c r="E279" s="42">
        <v>1</v>
      </c>
      <c r="F279" s="42">
        <v>311.60000000000002</v>
      </c>
      <c r="G279" s="42">
        <v>1.6</v>
      </c>
      <c r="H279" s="42">
        <v>115.21</v>
      </c>
      <c r="I279" s="42">
        <v>2013</v>
      </c>
      <c r="J279" s="113">
        <v>1.7738628399583001E+19</v>
      </c>
    </row>
    <row r="280" spans="3:10" x14ac:dyDescent="0.3">
      <c r="C280" s="41" t="b">
        <v>0</v>
      </c>
      <c r="D280" s="42" t="s">
        <v>56</v>
      </c>
      <c r="E280" s="42">
        <v>1</v>
      </c>
      <c r="F280" s="42">
        <v>62.218000000000004</v>
      </c>
      <c r="G280" s="42">
        <v>0.22900000000000001</v>
      </c>
      <c r="H280" s="42">
        <v>11.11</v>
      </c>
      <c r="I280" s="42">
        <v>2003</v>
      </c>
      <c r="J280" s="113">
        <v>1.30134094601187E+19</v>
      </c>
    </row>
    <row r="281" spans="3:10" x14ac:dyDescent="0.3">
      <c r="C281" s="41" t="b">
        <v>0</v>
      </c>
      <c r="D281" s="42" t="s">
        <v>56</v>
      </c>
      <c r="E281" s="42">
        <v>1</v>
      </c>
      <c r="F281" s="42">
        <v>526.62</v>
      </c>
      <c r="G281" s="42">
        <v>1.56</v>
      </c>
      <c r="H281" s="42">
        <v>44.05</v>
      </c>
      <c r="I281" s="42">
        <v>2007</v>
      </c>
      <c r="J281" s="113">
        <v>1.6571185432411001E+19</v>
      </c>
    </row>
    <row r="282" spans="3:10" x14ac:dyDescent="0.3">
      <c r="C282" s="41" t="b">
        <v>0</v>
      </c>
      <c r="D282" s="42" t="s">
        <v>56</v>
      </c>
      <c r="E282" s="42">
        <v>1</v>
      </c>
      <c r="F282" s="42">
        <v>829</v>
      </c>
      <c r="G282" s="42">
        <v>0.8</v>
      </c>
      <c r="H282" s="42">
        <v>32.700000000000003</v>
      </c>
      <c r="I282" s="42">
        <v>2001</v>
      </c>
      <c r="J282" s="113">
        <v>2.2103148532882501E+18</v>
      </c>
    </row>
    <row r="283" spans="3:10" x14ac:dyDescent="0.3">
      <c r="C283" s="41" t="b">
        <v>0</v>
      </c>
      <c r="D283" s="42" t="s">
        <v>56</v>
      </c>
      <c r="E283" s="42">
        <v>1</v>
      </c>
      <c r="F283" s="42">
        <v>15.609</v>
      </c>
      <c r="G283" s="42">
        <v>4.0500000000000001E-2</v>
      </c>
      <c r="H283" s="42">
        <v>21.85</v>
      </c>
      <c r="I283" s="42">
        <v>2005</v>
      </c>
      <c r="J283" s="113">
        <v>1.6226635270881901E+19</v>
      </c>
    </row>
    <row r="284" spans="3:10" x14ac:dyDescent="0.3">
      <c r="C284" s="41" t="b">
        <v>0</v>
      </c>
      <c r="D284" s="42" t="s">
        <v>56</v>
      </c>
      <c r="E284" s="42">
        <v>1</v>
      </c>
      <c r="F284" s="42">
        <v>431.88</v>
      </c>
      <c r="G284" s="42">
        <v>2.0699999999999998</v>
      </c>
      <c r="H284" s="42">
        <v>77.819999999999993</v>
      </c>
      <c r="I284" s="42">
        <v>2001</v>
      </c>
      <c r="J284" s="113">
        <v>1.36543797936151E+19</v>
      </c>
    </row>
    <row r="285" spans="3:10" x14ac:dyDescent="0.3">
      <c r="C285" s="41" t="b">
        <v>0</v>
      </c>
      <c r="D285" s="42" t="s">
        <v>56</v>
      </c>
      <c r="E285" s="42">
        <v>1</v>
      </c>
      <c r="F285" s="42">
        <v>356</v>
      </c>
      <c r="G285" s="42">
        <v>2.2999999999999998</v>
      </c>
      <c r="H285" s="42">
        <v>131.41</v>
      </c>
      <c r="I285" s="42">
        <v>2009</v>
      </c>
      <c r="J285" s="113">
        <v>9.1806592731533302E+18</v>
      </c>
    </row>
    <row r="286" spans="3:10" x14ac:dyDescent="0.3">
      <c r="C286" s="41" t="b">
        <v>0</v>
      </c>
      <c r="D286" s="42" t="s">
        <v>56</v>
      </c>
      <c r="E286" s="42">
        <v>2</v>
      </c>
      <c r="F286" s="42">
        <v>360.2</v>
      </c>
      <c r="G286" s="42">
        <v>2.37</v>
      </c>
      <c r="H286" s="42">
        <v>56.5</v>
      </c>
      <c r="I286" s="42">
        <v>2012</v>
      </c>
      <c r="J286" s="113">
        <v>2.6284416476989599E+18</v>
      </c>
    </row>
    <row r="287" spans="3:10" x14ac:dyDescent="0.3">
      <c r="C287" s="41" t="b">
        <v>0</v>
      </c>
      <c r="D287" s="42" t="s">
        <v>56</v>
      </c>
      <c r="E287" s="42">
        <v>2</v>
      </c>
      <c r="F287" s="42">
        <v>2732</v>
      </c>
      <c r="G287" s="42">
        <v>2.37</v>
      </c>
      <c r="H287" s="42">
        <v>56.5</v>
      </c>
      <c r="I287" s="42">
        <v>2012</v>
      </c>
      <c r="J287" s="113">
        <v>2.0656141156256901E+18</v>
      </c>
    </row>
    <row r="288" spans="3:10" x14ac:dyDescent="0.3">
      <c r="C288" s="41" t="b">
        <v>0</v>
      </c>
      <c r="D288" s="42" t="s">
        <v>56</v>
      </c>
      <c r="E288" s="42">
        <v>1</v>
      </c>
      <c r="F288" s="42">
        <v>675</v>
      </c>
      <c r="G288" s="42">
        <v>1.94</v>
      </c>
      <c r="H288" s="42">
        <v>100</v>
      </c>
      <c r="I288" s="42">
        <v>2007</v>
      </c>
      <c r="J288" s="113">
        <v>1.31711204885185E+19</v>
      </c>
    </row>
    <row r="289" spans="3:10" x14ac:dyDescent="0.3">
      <c r="C289" s="41" t="b">
        <v>0</v>
      </c>
      <c r="D289" s="42" t="s">
        <v>56</v>
      </c>
      <c r="E289" s="42">
        <v>1</v>
      </c>
      <c r="F289" s="42">
        <v>777</v>
      </c>
      <c r="G289" s="42">
        <v>1.96</v>
      </c>
      <c r="H289" s="42">
        <v>53.28</v>
      </c>
      <c r="I289" s="42">
        <v>2009</v>
      </c>
      <c r="J289" s="113">
        <v>1.25009564303809E+19</v>
      </c>
    </row>
    <row r="290" spans="3:10" x14ac:dyDescent="0.3">
      <c r="C290" s="41" t="b">
        <v>0</v>
      </c>
      <c r="D290" s="42" t="s">
        <v>56</v>
      </c>
      <c r="E290" s="42">
        <v>1</v>
      </c>
      <c r="F290" s="42">
        <v>792.6</v>
      </c>
      <c r="G290" s="42"/>
      <c r="H290" s="42">
        <v>58.17</v>
      </c>
      <c r="I290" s="42">
        <v>2012</v>
      </c>
      <c r="J290" s="113">
        <v>3.8362644402068403E+17</v>
      </c>
    </row>
    <row r="291" spans="3:10" x14ac:dyDescent="0.3">
      <c r="C291" s="41" t="b">
        <v>0</v>
      </c>
      <c r="D291" s="42" t="s">
        <v>56</v>
      </c>
      <c r="E291" s="42">
        <v>1</v>
      </c>
      <c r="F291" s="42">
        <v>177.11</v>
      </c>
      <c r="G291" s="42">
        <v>7.6</v>
      </c>
      <c r="H291" s="42">
        <v>150.6</v>
      </c>
      <c r="I291" s="42">
        <v>2011</v>
      </c>
      <c r="J291" s="113">
        <v>1.4783023812183099E+19</v>
      </c>
    </row>
    <row r="292" spans="3:10" x14ac:dyDescent="0.3">
      <c r="C292" s="41" t="b">
        <v>0</v>
      </c>
      <c r="D292" s="42" t="s">
        <v>56</v>
      </c>
      <c r="E292" s="42">
        <v>1</v>
      </c>
      <c r="F292" s="42">
        <v>22.09</v>
      </c>
      <c r="G292" s="42">
        <v>0.48</v>
      </c>
      <c r="H292" s="42">
        <v>40.32</v>
      </c>
      <c r="I292" s="42">
        <v>2003</v>
      </c>
      <c r="J292" s="113">
        <v>1.5808644241929601E+19</v>
      </c>
    </row>
    <row r="293" spans="3:10" x14ac:dyDescent="0.3">
      <c r="C293" s="41" t="b">
        <v>0</v>
      </c>
      <c r="D293" s="42" t="s">
        <v>56</v>
      </c>
      <c r="E293" s="42">
        <v>1</v>
      </c>
      <c r="F293" s="42">
        <v>2496</v>
      </c>
      <c r="G293" s="42">
        <v>1.65</v>
      </c>
      <c r="H293" s="42">
        <v>55.01</v>
      </c>
      <c r="I293" s="42">
        <v>2009</v>
      </c>
      <c r="J293" s="113">
        <v>3.46519397997615E+18</v>
      </c>
    </row>
    <row r="294" spans="3:10" x14ac:dyDescent="0.3">
      <c r="C294" s="41" t="b">
        <v>0</v>
      </c>
      <c r="D294" s="42" t="s">
        <v>56</v>
      </c>
      <c r="E294" s="42">
        <v>1</v>
      </c>
      <c r="F294" s="42">
        <v>615</v>
      </c>
      <c r="G294" s="42">
        <v>0.28999999999999998</v>
      </c>
      <c r="H294" s="42">
        <v>35.880000000000003</v>
      </c>
      <c r="I294" s="42">
        <v>2011</v>
      </c>
      <c r="J294" s="113">
        <v>5.7359130647727903E+18</v>
      </c>
    </row>
    <row r="295" spans="3:10" x14ac:dyDescent="0.3">
      <c r="C295" s="41" t="b">
        <v>0</v>
      </c>
      <c r="D295" s="42" t="s">
        <v>56</v>
      </c>
      <c r="E295" s="42">
        <v>2</v>
      </c>
      <c r="F295" s="42">
        <v>1275</v>
      </c>
      <c r="G295" s="42">
        <v>1.1100000000000001</v>
      </c>
      <c r="H295" s="42">
        <v>38.520000000000003</v>
      </c>
      <c r="I295" s="42">
        <v>2011</v>
      </c>
      <c r="J295" s="113">
        <v>1.0617102640772301E+19</v>
      </c>
    </row>
    <row r="296" spans="3:10" x14ac:dyDescent="0.3">
      <c r="C296" s="41" t="b">
        <v>0</v>
      </c>
      <c r="D296" s="42" t="s">
        <v>56</v>
      </c>
      <c r="E296" s="42">
        <v>2</v>
      </c>
      <c r="F296" s="42">
        <v>4046</v>
      </c>
      <c r="G296" s="42">
        <v>2</v>
      </c>
      <c r="H296" s="42">
        <v>38.520000000000003</v>
      </c>
      <c r="I296" s="42">
        <v>2011</v>
      </c>
      <c r="J296" s="113">
        <v>1.5203502382139501E+19</v>
      </c>
    </row>
    <row r="297" spans="3:10" x14ac:dyDescent="0.3">
      <c r="C297" s="41" t="b">
        <v>0</v>
      </c>
      <c r="D297" s="42" t="s">
        <v>56</v>
      </c>
      <c r="E297" s="42">
        <v>1</v>
      </c>
      <c r="F297" s="42">
        <v>5.3978000000000002</v>
      </c>
      <c r="G297" s="42">
        <v>2.9000000000000001E-2</v>
      </c>
      <c r="H297" s="42">
        <v>16.82</v>
      </c>
      <c r="I297" s="42">
        <v>2008</v>
      </c>
      <c r="J297" s="113">
        <v>1.0456858050606299E+19</v>
      </c>
    </row>
    <row r="298" spans="3:10" x14ac:dyDescent="0.3">
      <c r="C298" s="41" t="b">
        <v>0</v>
      </c>
      <c r="D298" s="42" t="s">
        <v>56</v>
      </c>
      <c r="E298" s="42">
        <v>1</v>
      </c>
      <c r="F298" s="42">
        <v>1313</v>
      </c>
      <c r="G298" s="42">
        <v>0.63</v>
      </c>
      <c r="H298" s="42">
        <v>56.34</v>
      </c>
      <c r="I298" s="42">
        <v>2010</v>
      </c>
      <c r="J298" s="113">
        <v>9.6049891171491697E+18</v>
      </c>
    </row>
    <row r="299" spans="3:10" x14ac:dyDescent="0.3">
      <c r="C299" s="41" t="b">
        <v>0</v>
      </c>
      <c r="D299" s="42" t="s">
        <v>56</v>
      </c>
      <c r="E299" s="42">
        <v>1</v>
      </c>
      <c r="F299" s="42">
        <v>227</v>
      </c>
      <c r="G299" s="42">
        <v>1.8</v>
      </c>
      <c r="H299" s="42">
        <v>44.15</v>
      </c>
      <c r="I299" s="42">
        <v>2002</v>
      </c>
      <c r="J299" s="113">
        <v>4.34773754478462E+18</v>
      </c>
    </row>
    <row r="300" spans="3:10" x14ac:dyDescent="0.3">
      <c r="C300" s="41" t="b">
        <v>0</v>
      </c>
      <c r="D300" s="42" t="s">
        <v>56</v>
      </c>
      <c r="E300" s="42">
        <v>1</v>
      </c>
      <c r="F300" s="42">
        <v>1634</v>
      </c>
      <c r="G300" s="42">
        <v>14.2</v>
      </c>
      <c r="H300" s="42">
        <v>38.26</v>
      </c>
      <c r="I300" s="42">
        <v>2009</v>
      </c>
      <c r="J300" s="113">
        <v>1.1770109538580601E+19</v>
      </c>
    </row>
    <row r="301" spans="3:10" x14ac:dyDescent="0.3">
      <c r="C301" s="41" t="b">
        <v>0</v>
      </c>
      <c r="D301" s="42" t="s">
        <v>56</v>
      </c>
      <c r="E301" s="42">
        <v>2</v>
      </c>
      <c r="F301" s="42">
        <v>30.052</v>
      </c>
      <c r="G301" s="42">
        <v>0.7</v>
      </c>
      <c r="H301" s="42">
        <v>52.85</v>
      </c>
      <c r="I301" s="42">
        <v>2009</v>
      </c>
      <c r="J301" s="113">
        <v>2.8731146447703798E+18</v>
      </c>
    </row>
    <row r="302" spans="3:10" x14ac:dyDescent="0.3">
      <c r="C302" s="41" t="b">
        <v>0</v>
      </c>
      <c r="D302" s="42" t="s">
        <v>56</v>
      </c>
      <c r="E302" s="42">
        <v>2</v>
      </c>
      <c r="F302" s="42">
        <v>192.9</v>
      </c>
      <c r="G302" s="42">
        <v>1.82</v>
      </c>
      <c r="H302" s="42">
        <v>52.85</v>
      </c>
      <c r="I302" s="42">
        <v>2009</v>
      </c>
      <c r="J302" s="113">
        <v>1.6178564140381E+19</v>
      </c>
    </row>
    <row r="303" spans="3:10" x14ac:dyDescent="0.3">
      <c r="C303" s="41" t="b">
        <v>0</v>
      </c>
      <c r="D303" s="42" t="s">
        <v>56</v>
      </c>
      <c r="E303" s="42">
        <v>6</v>
      </c>
      <c r="F303" s="42">
        <v>5.75962</v>
      </c>
      <c r="G303" s="42">
        <v>4.1000000000000002E-2</v>
      </c>
      <c r="H303" s="42">
        <v>39.39</v>
      </c>
      <c r="I303" s="42">
        <v>2010</v>
      </c>
      <c r="J303" s="113">
        <v>2.7176713013715299E+17</v>
      </c>
    </row>
    <row r="304" spans="3:10" x14ac:dyDescent="0.3">
      <c r="C304" s="41" t="b">
        <v>0</v>
      </c>
      <c r="D304" s="42" t="s">
        <v>56</v>
      </c>
      <c r="E304" s="42">
        <v>6</v>
      </c>
      <c r="F304" s="42">
        <v>16.3567</v>
      </c>
      <c r="G304" s="42">
        <v>3.7999999999999999E-2</v>
      </c>
      <c r="H304" s="42">
        <v>39.39</v>
      </c>
      <c r="I304" s="42">
        <v>2010</v>
      </c>
      <c r="J304" s="113">
        <v>7.0656074507867699E+18</v>
      </c>
    </row>
    <row r="305" spans="3:10" x14ac:dyDescent="0.3">
      <c r="C305" s="41" t="b">
        <v>0</v>
      </c>
      <c r="D305" s="42" t="s">
        <v>56</v>
      </c>
      <c r="E305" s="42">
        <v>6</v>
      </c>
      <c r="F305" s="42">
        <v>49.747</v>
      </c>
      <c r="G305" s="42">
        <v>0.08</v>
      </c>
      <c r="H305" s="42">
        <v>39.39</v>
      </c>
      <c r="I305" s="42">
        <v>2010</v>
      </c>
      <c r="J305" s="113">
        <v>2.18396800634542E+18</v>
      </c>
    </row>
    <row r="306" spans="3:10" x14ac:dyDescent="0.3">
      <c r="C306" s="41" t="b">
        <v>0</v>
      </c>
      <c r="D306" s="42" t="s">
        <v>56</v>
      </c>
      <c r="E306" s="42">
        <v>6</v>
      </c>
      <c r="F306" s="42">
        <v>122.72</v>
      </c>
      <c r="G306" s="42">
        <v>7.3999999999999996E-2</v>
      </c>
      <c r="H306" s="42">
        <v>39.39</v>
      </c>
      <c r="I306" s="42">
        <v>2010</v>
      </c>
      <c r="J306" s="113">
        <v>5.0377150579172803E+18</v>
      </c>
    </row>
    <row r="307" spans="3:10" x14ac:dyDescent="0.3">
      <c r="C307" s="41" t="b">
        <v>0</v>
      </c>
      <c r="D307" s="42" t="s">
        <v>56</v>
      </c>
      <c r="E307" s="42">
        <v>6</v>
      </c>
      <c r="F307" s="42">
        <v>602</v>
      </c>
      <c r="G307" s="42">
        <v>6.7000000000000004E-2</v>
      </c>
      <c r="H307" s="42">
        <v>39.39</v>
      </c>
      <c r="I307" s="42">
        <v>2010</v>
      </c>
      <c r="J307" s="113">
        <v>1.57272549375162E+19</v>
      </c>
    </row>
    <row r="308" spans="3:10" x14ac:dyDescent="0.3">
      <c r="C308" s="41" t="b">
        <v>0</v>
      </c>
      <c r="D308" s="42" t="s">
        <v>56</v>
      </c>
      <c r="E308" s="42">
        <v>6</v>
      </c>
      <c r="F308" s="42">
        <v>2248</v>
      </c>
      <c r="G308" s="42">
        <v>0.20499999999999999</v>
      </c>
      <c r="H308" s="42">
        <v>39.39</v>
      </c>
      <c r="I308" s="42">
        <v>2010</v>
      </c>
      <c r="J308" s="113">
        <v>3.6586589545733299E+18</v>
      </c>
    </row>
    <row r="309" spans="3:10" x14ac:dyDescent="0.3">
      <c r="C309" s="41" t="b">
        <v>0</v>
      </c>
      <c r="D309" s="42" t="s">
        <v>56</v>
      </c>
      <c r="E309" s="42">
        <v>1</v>
      </c>
      <c r="F309" s="42">
        <v>989.2</v>
      </c>
      <c r="G309" s="42">
        <v>0.94</v>
      </c>
      <c r="H309" s="42">
        <v>17.350000000000001</v>
      </c>
      <c r="I309" s="42">
        <v>2006</v>
      </c>
      <c r="J309" s="113">
        <v>1.5888185496661E+19</v>
      </c>
    </row>
    <row r="310" spans="3:10" x14ac:dyDescent="0.3">
      <c r="C310" s="41" t="b">
        <v>0</v>
      </c>
      <c r="D310" s="42" t="s">
        <v>56</v>
      </c>
      <c r="E310" s="42">
        <v>1</v>
      </c>
      <c r="F310" s="42">
        <v>1075.2</v>
      </c>
      <c r="G310" s="42">
        <v>6.21</v>
      </c>
      <c r="H310" s="42">
        <v>32.56</v>
      </c>
      <c r="I310" s="42">
        <v>1999</v>
      </c>
      <c r="J310" s="113">
        <v>4.51159124707181E+18</v>
      </c>
    </row>
    <row r="311" spans="3:10" x14ac:dyDescent="0.3">
      <c r="C311" s="41" t="b">
        <v>0</v>
      </c>
      <c r="D311" s="42" t="s">
        <v>56</v>
      </c>
      <c r="E311" s="42">
        <v>2</v>
      </c>
      <c r="F311" s="42">
        <v>1270.2</v>
      </c>
      <c r="G311" s="42">
        <v>3.44</v>
      </c>
      <c r="H311" s="42">
        <v>53.82</v>
      </c>
      <c r="I311" s="42">
        <v>2007</v>
      </c>
      <c r="J311" s="113">
        <v>1.2329638227634999E+19</v>
      </c>
    </row>
    <row r="312" spans="3:10" x14ac:dyDescent="0.3">
      <c r="C312" s="41" t="b">
        <v>0</v>
      </c>
      <c r="D312" s="42" t="s">
        <v>56</v>
      </c>
      <c r="E312" s="42">
        <v>2</v>
      </c>
      <c r="F312" s="42">
        <v>170.45500000000001</v>
      </c>
      <c r="G312" s="42">
        <v>0.82</v>
      </c>
      <c r="H312" s="42">
        <v>53.82</v>
      </c>
      <c r="I312" s="42">
        <v>2008</v>
      </c>
      <c r="J312" s="113">
        <v>5.9130352738114499E+18</v>
      </c>
    </row>
    <row r="313" spans="3:10" x14ac:dyDescent="0.3">
      <c r="C313" s="41" t="b">
        <v>0</v>
      </c>
      <c r="D313" s="42" t="s">
        <v>56</v>
      </c>
      <c r="E313" s="42">
        <v>1</v>
      </c>
      <c r="F313" s="42">
        <v>711</v>
      </c>
      <c r="G313" s="42">
        <v>6.54</v>
      </c>
      <c r="H313" s="42">
        <v>66.489999999999995</v>
      </c>
      <c r="I313" s="42">
        <v>2005</v>
      </c>
      <c r="J313" s="113">
        <v>8.4256680210156001E+18</v>
      </c>
    </row>
    <row r="314" spans="3:10" x14ac:dyDescent="0.3">
      <c r="C314" s="41" t="b">
        <v>0</v>
      </c>
      <c r="D314" s="42" t="s">
        <v>56</v>
      </c>
      <c r="E314" s="42">
        <v>2</v>
      </c>
      <c r="F314" s="42">
        <v>1945</v>
      </c>
      <c r="G314" s="42">
        <v>0.622</v>
      </c>
      <c r="H314" s="42">
        <v>33.979999999999997</v>
      </c>
      <c r="I314" s="42">
        <v>2005</v>
      </c>
      <c r="J314" s="113">
        <v>2.77943633585839E+16</v>
      </c>
    </row>
    <row r="315" spans="3:10" x14ac:dyDescent="0.3">
      <c r="C315" s="41" t="b">
        <v>0</v>
      </c>
      <c r="D315" s="42" t="s">
        <v>56</v>
      </c>
      <c r="E315" s="42">
        <v>2</v>
      </c>
      <c r="F315" s="42">
        <v>37.909999999999997</v>
      </c>
      <c r="G315" s="42">
        <v>7.8799999999999995E-2</v>
      </c>
      <c r="H315" s="42">
        <v>33.979999999999997</v>
      </c>
      <c r="I315" s="42">
        <v>2008</v>
      </c>
      <c r="J315" s="113">
        <v>1.4409795825387399E+19</v>
      </c>
    </row>
    <row r="316" spans="3:10" x14ac:dyDescent="0.3">
      <c r="C316" s="41" t="b">
        <v>0</v>
      </c>
      <c r="D316" s="42" t="s">
        <v>56</v>
      </c>
      <c r="E316" s="42">
        <v>2</v>
      </c>
      <c r="F316" s="42">
        <v>262.709</v>
      </c>
      <c r="G316" s="42">
        <v>2.2999999999999998</v>
      </c>
      <c r="H316" s="42">
        <v>37.159999999999997</v>
      </c>
      <c r="I316" s="42">
        <v>2000</v>
      </c>
      <c r="J316" s="113">
        <v>1.7091034252566E+19</v>
      </c>
    </row>
    <row r="317" spans="3:10" x14ac:dyDescent="0.3">
      <c r="C317" s="41" t="b">
        <v>0</v>
      </c>
      <c r="D317" s="42" t="s">
        <v>56</v>
      </c>
      <c r="E317" s="42">
        <v>2</v>
      </c>
      <c r="F317" s="42">
        <v>1708</v>
      </c>
      <c r="G317" s="42">
        <v>1.92</v>
      </c>
      <c r="H317" s="42">
        <v>37.159999999999997</v>
      </c>
      <c r="I317" s="42">
        <v>2002</v>
      </c>
      <c r="J317" s="113">
        <v>2.86632416788689E+18</v>
      </c>
    </row>
    <row r="318" spans="3:10" x14ac:dyDescent="0.3">
      <c r="C318" s="41" t="b">
        <v>0</v>
      </c>
      <c r="D318" s="42" t="s">
        <v>56</v>
      </c>
      <c r="E318" s="42">
        <v>1</v>
      </c>
      <c r="F318" s="42">
        <v>471.6</v>
      </c>
      <c r="G318" s="42">
        <v>14</v>
      </c>
      <c r="H318" s="42">
        <v>300.3</v>
      </c>
      <c r="I318" s="42">
        <v>2005</v>
      </c>
      <c r="J318" s="113">
        <v>1.15409762895185E+18</v>
      </c>
    </row>
    <row r="319" spans="3:10" x14ac:dyDescent="0.3">
      <c r="C319" s="41" t="b">
        <v>0</v>
      </c>
      <c r="D319" s="42" t="s">
        <v>56</v>
      </c>
      <c r="E319" s="42">
        <v>2</v>
      </c>
      <c r="F319" s="42">
        <v>14.182</v>
      </c>
      <c r="G319" s="42">
        <v>3.2500000000000001E-2</v>
      </c>
      <c r="H319" s="42">
        <v>28.6</v>
      </c>
      <c r="I319" s="42">
        <v>2011</v>
      </c>
      <c r="J319" s="113">
        <v>7.1241951644719401E+18</v>
      </c>
    </row>
    <row r="320" spans="3:10" x14ac:dyDescent="0.3">
      <c r="C320" s="41" t="b">
        <v>0</v>
      </c>
      <c r="D320" s="42" t="s">
        <v>56</v>
      </c>
      <c r="E320" s="42">
        <v>2</v>
      </c>
      <c r="F320" s="42">
        <v>53.832000000000001</v>
      </c>
      <c r="G320" s="42">
        <v>3.5999999999999997E-2</v>
      </c>
      <c r="H320" s="42">
        <v>28.6</v>
      </c>
      <c r="I320" s="42">
        <v>2011</v>
      </c>
      <c r="J320" s="113">
        <v>1.6087655501725499E+19</v>
      </c>
    </row>
    <row r="321" spans="3:10" x14ac:dyDescent="0.3">
      <c r="C321" s="41" t="b">
        <v>0</v>
      </c>
      <c r="D321" s="42" t="s">
        <v>56</v>
      </c>
      <c r="E321" s="42">
        <v>2</v>
      </c>
      <c r="F321" s="42">
        <v>19.382000000000001</v>
      </c>
      <c r="G321" s="42">
        <v>0.86499999999999999</v>
      </c>
      <c r="H321" s="42">
        <v>66.89</v>
      </c>
      <c r="I321" s="42">
        <v>2013</v>
      </c>
      <c r="J321" s="113">
        <v>1.5231873194039699E+19</v>
      </c>
    </row>
    <row r="322" spans="3:10" x14ac:dyDescent="0.3">
      <c r="C322" s="41" t="b">
        <v>0</v>
      </c>
      <c r="D322" s="42" t="s">
        <v>56</v>
      </c>
      <c r="E322" s="42">
        <v>2</v>
      </c>
      <c r="F322" s="42">
        <v>931</v>
      </c>
      <c r="G322" s="42">
        <v>5.13</v>
      </c>
      <c r="H322" s="42">
        <v>66.89</v>
      </c>
      <c r="I322" s="42">
        <v>2013</v>
      </c>
      <c r="J322" s="113">
        <v>1.74321107384577E+19</v>
      </c>
    </row>
    <row r="323" spans="3:10" x14ac:dyDescent="0.3">
      <c r="C323" s="41" t="b">
        <v>0</v>
      </c>
      <c r="D323" s="42" t="s">
        <v>56</v>
      </c>
      <c r="E323" s="42">
        <v>1</v>
      </c>
      <c r="F323" s="42">
        <v>4218</v>
      </c>
      <c r="G323" s="42">
        <v>1.88</v>
      </c>
      <c r="H323" s="42">
        <v>45.52</v>
      </c>
      <c r="I323" s="42">
        <v>2009</v>
      </c>
      <c r="J323" s="113">
        <v>7.8241235692477501E+18</v>
      </c>
    </row>
    <row r="324" spans="3:10" x14ac:dyDescent="0.3">
      <c r="C324" s="41" t="b">
        <v>0</v>
      </c>
      <c r="D324" s="42" t="s">
        <v>56</v>
      </c>
      <c r="E324" s="42">
        <v>1</v>
      </c>
      <c r="F324" s="42">
        <v>75.522999999999996</v>
      </c>
      <c r="G324" s="42">
        <v>0.26</v>
      </c>
      <c r="H324" s="42">
        <v>35.909999999999997</v>
      </c>
      <c r="I324" s="42">
        <v>2000</v>
      </c>
      <c r="J324" s="113">
        <v>1.33566193715067E+19</v>
      </c>
    </row>
    <row r="325" spans="3:10" x14ac:dyDescent="0.3">
      <c r="C325" s="41" t="b">
        <v>0</v>
      </c>
      <c r="D325" s="42" t="s">
        <v>56</v>
      </c>
      <c r="E325" s="42">
        <v>1</v>
      </c>
      <c r="F325" s="42">
        <v>17.239999999999998</v>
      </c>
      <c r="G325" s="42">
        <v>6.9599999999999995E-2</v>
      </c>
      <c r="H325" s="42">
        <v>25.54</v>
      </c>
      <c r="I325" s="42">
        <v>2008</v>
      </c>
      <c r="J325" s="113">
        <v>6.6772323536899901E+18</v>
      </c>
    </row>
    <row r="326" spans="3:10" x14ac:dyDescent="0.3">
      <c r="C326" s="41" t="b">
        <v>0</v>
      </c>
      <c r="D326" s="42" t="s">
        <v>56</v>
      </c>
      <c r="E326" s="42">
        <v>1</v>
      </c>
      <c r="F326" s="42">
        <v>990</v>
      </c>
      <c r="G326" s="42">
        <v>4.4000000000000004</v>
      </c>
      <c r="H326" s="42">
        <v>59.84</v>
      </c>
      <c r="I326" s="42">
        <v>2009</v>
      </c>
      <c r="J326" s="113">
        <v>1.15877783635193E+19</v>
      </c>
    </row>
    <row r="327" spans="3:10" x14ac:dyDescent="0.3">
      <c r="C327" s="41" t="b">
        <v>0</v>
      </c>
      <c r="D327" s="42" t="s">
        <v>56</v>
      </c>
      <c r="E327" s="42">
        <v>1</v>
      </c>
      <c r="F327" s="42">
        <v>465.1</v>
      </c>
      <c r="G327" s="42">
        <v>14.3</v>
      </c>
      <c r="H327" s="42">
        <v>50.18</v>
      </c>
      <c r="I327" s="42">
        <v>2009</v>
      </c>
      <c r="J327" s="113">
        <v>3.21618310808136E+17</v>
      </c>
    </row>
    <row r="328" spans="3:10" x14ac:dyDescent="0.3">
      <c r="C328" s="41" t="b">
        <v>0</v>
      </c>
      <c r="D328" s="42" t="s">
        <v>56</v>
      </c>
      <c r="E328" s="42">
        <v>1</v>
      </c>
      <c r="F328" s="42">
        <v>359.9</v>
      </c>
      <c r="G328" s="42">
        <v>4.5999999999999996</v>
      </c>
      <c r="H328" s="42"/>
      <c r="I328" s="42">
        <v>2007</v>
      </c>
      <c r="J328" s="113">
        <v>1.5575850480201601E+19</v>
      </c>
    </row>
    <row r="329" spans="3:10" x14ac:dyDescent="0.3">
      <c r="C329" s="41" t="b">
        <v>0</v>
      </c>
      <c r="D329" s="42" t="s">
        <v>56</v>
      </c>
      <c r="E329" s="42">
        <v>1</v>
      </c>
      <c r="F329" s="42">
        <v>21.216629999999999</v>
      </c>
      <c r="G329" s="42"/>
      <c r="H329" s="42">
        <v>78.25</v>
      </c>
      <c r="I329" s="42">
        <v>2007</v>
      </c>
      <c r="J329" s="113">
        <v>5.3521386346337495E+18</v>
      </c>
    </row>
    <row r="330" spans="3:10" x14ac:dyDescent="0.3">
      <c r="C330" s="41" t="b">
        <v>0</v>
      </c>
      <c r="D330" s="42" t="s">
        <v>56</v>
      </c>
      <c r="E330" s="42">
        <v>1</v>
      </c>
      <c r="F330" s="42">
        <v>772</v>
      </c>
      <c r="G330" s="42">
        <v>2.7</v>
      </c>
      <c r="H330" s="42">
        <v>127.88</v>
      </c>
      <c r="I330" s="42">
        <v>2011</v>
      </c>
      <c r="J330" s="113">
        <v>1.1944286952359501E+18</v>
      </c>
    </row>
    <row r="331" spans="3:10" x14ac:dyDescent="0.3">
      <c r="C331" s="41" t="b">
        <v>0</v>
      </c>
      <c r="D331" s="42" t="s">
        <v>56</v>
      </c>
      <c r="E331" s="42">
        <v>1</v>
      </c>
      <c r="F331" s="42">
        <v>466.2</v>
      </c>
      <c r="G331" s="42">
        <v>1.37</v>
      </c>
      <c r="H331" s="42">
        <v>22.38</v>
      </c>
      <c r="I331" s="42">
        <v>2003</v>
      </c>
      <c r="J331" s="113">
        <v>1.4592890600562901E+19</v>
      </c>
    </row>
    <row r="332" spans="3:10" x14ac:dyDescent="0.3">
      <c r="C332" s="41" t="b">
        <v>0</v>
      </c>
      <c r="D332" s="42" t="s">
        <v>56</v>
      </c>
      <c r="E332" s="42">
        <v>2</v>
      </c>
      <c r="F332" s="42">
        <v>11.849</v>
      </c>
      <c r="G332" s="42">
        <v>3.78E-2</v>
      </c>
      <c r="H332" s="42">
        <v>43.08</v>
      </c>
      <c r="I332" s="42">
        <v>2011</v>
      </c>
      <c r="J332" s="113">
        <v>1.7762932270189799E+19</v>
      </c>
    </row>
    <row r="333" spans="3:10" x14ac:dyDescent="0.3">
      <c r="C333" s="41" t="b">
        <v>0</v>
      </c>
      <c r="D333" s="42" t="s">
        <v>56</v>
      </c>
      <c r="E333" s="42">
        <v>2</v>
      </c>
      <c r="F333" s="42">
        <v>33.823</v>
      </c>
      <c r="G333" s="42">
        <v>4.2200000000000001E-2</v>
      </c>
      <c r="H333" s="42">
        <v>43.08</v>
      </c>
      <c r="I333" s="42">
        <v>2011</v>
      </c>
      <c r="J333" s="113">
        <v>1.21344544150574E+19</v>
      </c>
    </row>
    <row r="334" spans="3:10" x14ac:dyDescent="0.3">
      <c r="C334" s="41" t="b">
        <v>0</v>
      </c>
      <c r="D334" s="42" t="s">
        <v>56</v>
      </c>
      <c r="E334" s="42">
        <v>1</v>
      </c>
      <c r="F334" s="42">
        <v>500</v>
      </c>
      <c r="G334" s="42">
        <v>1.07</v>
      </c>
      <c r="H334" s="42">
        <v>27.13</v>
      </c>
      <c r="I334" s="42">
        <v>2002</v>
      </c>
      <c r="J334" s="113">
        <v>4.72942564351151E+18</v>
      </c>
    </row>
    <row r="335" spans="3:10" x14ac:dyDescent="0.3">
      <c r="C335" s="41" t="b">
        <v>0</v>
      </c>
      <c r="D335" s="42" t="s">
        <v>56</v>
      </c>
      <c r="E335" s="42">
        <v>3</v>
      </c>
      <c r="F335" s="42">
        <v>18.315000000000001</v>
      </c>
      <c r="G335" s="42">
        <v>8.5000000000000006E-3</v>
      </c>
      <c r="H335" s="42">
        <v>6.06</v>
      </c>
      <c r="I335" s="42">
        <v>2011</v>
      </c>
      <c r="J335" s="113">
        <v>1.0437689895928799E+19</v>
      </c>
    </row>
    <row r="336" spans="3:10" x14ac:dyDescent="0.3">
      <c r="C336" s="41" t="b">
        <v>0</v>
      </c>
      <c r="D336" s="42" t="s">
        <v>56</v>
      </c>
      <c r="E336" s="42">
        <v>3</v>
      </c>
      <c r="F336" s="42">
        <v>40.113999999999997</v>
      </c>
      <c r="G336" s="42">
        <v>7.5500000000000003E-3</v>
      </c>
      <c r="H336" s="42">
        <v>6.06</v>
      </c>
      <c r="I336" s="42">
        <v>2011</v>
      </c>
      <c r="J336" s="113">
        <v>1.04986142768309E+19</v>
      </c>
    </row>
    <row r="337" spans="3:10" x14ac:dyDescent="0.3">
      <c r="C337" s="41" t="b">
        <v>0</v>
      </c>
      <c r="D337" s="42" t="s">
        <v>56</v>
      </c>
      <c r="E337" s="42">
        <v>3</v>
      </c>
      <c r="F337" s="42">
        <v>90.308999999999997</v>
      </c>
      <c r="G337" s="42">
        <v>1.5100000000000001E-2</v>
      </c>
      <c r="H337" s="42">
        <v>6.06</v>
      </c>
      <c r="I337" s="42">
        <v>2011</v>
      </c>
      <c r="J337" s="113">
        <v>8.5530668151289098E+18</v>
      </c>
    </row>
    <row r="338" spans="3:10" x14ac:dyDescent="0.3">
      <c r="C338" s="41" t="b">
        <v>0</v>
      </c>
      <c r="D338" s="42" t="s">
        <v>56</v>
      </c>
      <c r="E338" s="42">
        <v>2</v>
      </c>
      <c r="F338" s="42">
        <v>29.15</v>
      </c>
      <c r="G338" s="42">
        <v>3.7900000000000003E-2</v>
      </c>
      <c r="H338" s="42">
        <v>35.89</v>
      </c>
      <c r="I338" s="42">
        <v>2011</v>
      </c>
      <c r="J338" s="113">
        <v>9.4454059829465006E+18</v>
      </c>
    </row>
    <row r="339" spans="3:10" x14ac:dyDescent="0.3">
      <c r="C339" s="41" t="b">
        <v>0</v>
      </c>
      <c r="D339" s="42" t="s">
        <v>56</v>
      </c>
      <c r="E339" s="42">
        <v>2</v>
      </c>
      <c r="F339" s="42">
        <v>85.131</v>
      </c>
      <c r="G339" s="42">
        <v>4.9599999999999998E-2</v>
      </c>
      <c r="H339" s="42">
        <v>35.89</v>
      </c>
      <c r="I339" s="42">
        <v>2011</v>
      </c>
      <c r="J339" s="113">
        <v>9.2548156553706209E+18</v>
      </c>
    </row>
    <row r="340" spans="3:10" x14ac:dyDescent="0.3">
      <c r="C340" s="41" t="b">
        <v>0</v>
      </c>
      <c r="D340" s="42" t="s">
        <v>56</v>
      </c>
      <c r="E340" s="42">
        <v>1</v>
      </c>
      <c r="F340" s="42">
        <v>591.9</v>
      </c>
      <c r="G340" s="42">
        <v>1.9</v>
      </c>
      <c r="H340" s="42">
        <v>36.020000000000003</v>
      </c>
      <c r="I340" s="42">
        <v>2006</v>
      </c>
      <c r="J340" s="113">
        <v>1.1489449504041099E+19</v>
      </c>
    </row>
    <row r="341" spans="3:10" x14ac:dyDescent="0.3">
      <c r="C341" s="41" t="b">
        <v>0</v>
      </c>
      <c r="D341" s="42" t="s">
        <v>56</v>
      </c>
      <c r="E341" s="42">
        <v>1</v>
      </c>
      <c r="F341" s="42">
        <v>380.85</v>
      </c>
      <c r="G341" s="42">
        <v>1.99</v>
      </c>
      <c r="H341" s="42">
        <v>44.5</v>
      </c>
      <c r="I341" s="42">
        <v>2008</v>
      </c>
      <c r="J341" s="113">
        <v>1.43650727135354E+19</v>
      </c>
    </row>
    <row r="342" spans="3:10" x14ac:dyDescent="0.3">
      <c r="C342" s="41" t="b">
        <v>0</v>
      </c>
      <c r="D342" s="42" t="s">
        <v>56</v>
      </c>
      <c r="E342" s="42">
        <v>2</v>
      </c>
      <c r="F342" s="42">
        <v>22.655999999999999</v>
      </c>
      <c r="G342" s="42">
        <v>3.2199999999999999E-2</v>
      </c>
      <c r="H342" s="42">
        <v>32.31</v>
      </c>
      <c r="I342" s="42">
        <v>2011</v>
      </c>
      <c r="J342" s="113">
        <v>1.8190937927526699E+19</v>
      </c>
    </row>
    <row r="343" spans="3:10" x14ac:dyDescent="0.3">
      <c r="C343" s="41" t="b">
        <v>0</v>
      </c>
      <c r="D343" s="42" t="s">
        <v>56</v>
      </c>
      <c r="E343" s="42">
        <v>2</v>
      </c>
      <c r="F343" s="42">
        <v>53.881</v>
      </c>
      <c r="G343" s="42">
        <v>6.472E-2</v>
      </c>
      <c r="H343" s="42">
        <v>32.31</v>
      </c>
      <c r="I343" s="42">
        <v>2011</v>
      </c>
      <c r="J343" s="113">
        <v>1.3053472564966101E+19</v>
      </c>
    </row>
    <row r="344" spans="3:10" x14ac:dyDescent="0.3">
      <c r="C344" s="41" t="b">
        <v>0</v>
      </c>
      <c r="D344" s="42" t="s">
        <v>56</v>
      </c>
      <c r="E344" s="42">
        <v>1</v>
      </c>
      <c r="F344" s="42">
        <v>1214</v>
      </c>
      <c r="G344" s="42">
        <v>1.5</v>
      </c>
      <c r="H344" s="42">
        <v>89.13</v>
      </c>
      <c r="I344" s="42">
        <v>2006</v>
      </c>
      <c r="J344" s="113">
        <v>1.80615064805074E+19</v>
      </c>
    </row>
    <row r="345" spans="3:10" x14ac:dyDescent="0.3">
      <c r="C345" s="41" t="b">
        <v>0</v>
      </c>
      <c r="D345" s="42" t="s">
        <v>56</v>
      </c>
      <c r="E345" s="42">
        <v>1</v>
      </c>
      <c r="F345" s="42">
        <v>738.45899999999995</v>
      </c>
      <c r="G345" s="42">
        <v>2.61</v>
      </c>
      <c r="H345" s="42">
        <v>34.6</v>
      </c>
      <c r="I345" s="42">
        <v>2001</v>
      </c>
      <c r="J345" s="113">
        <v>1.6760678888662301E+19</v>
      </c>
    </row>
    <row r="346" spans="3:10" x14ac:dyDescent="0.3">
      <c r="C346" s="41" t="b">
        <v>0</v>
      </c>
      <c r="D346" s="42" t="s">
        <v>56</v>
      </c>
      <c r="E346" s="42">
        <v>1</v>
      </c>
      <c r="F346" s="42">
        <v>528.07000000000005</v>
      </c>
      <c r="G346" s="42">
        <v>13.65</v>
      </c>
      <c r="H346" s="42">
        <v>31.79</v>
      </c>
      <c r="I346" s="42">
        <v>2011</v>
      </c>
      <c r="J346" s="113">
        <v>1.4914427187048499E+19</v>
      </c>
    </row>
    <row r="347" spans="3:10" x14ac:dyDescent="0.3">
      <c r="C347" s="41" t="b">
        <v>0</v>
      </c>
      <c r="D347" s="42" t="s">
        <v>56</v>
      </c>
      <c r="E347" s="42">
        <v>1</v>
      </c>
      <c r="F347" s="42">
        <v>1561</v>
      </c>
      <c r="G347" s="42">
        <v>7.71</v>
      </c>
      <c r="H347" s="42">
        <v>51.97</v>
      </c>
      <c r="I347" s="42">
        <v>2003</v>
      </c>
      <c r="J347" s="113">
        <v>8.7284883103374397E+18</v>
      </c>
    </row>
    <row r="348" spans="3:10" x14ac:dyDescent="0.3">
      <c r="C348" s="41" t="b">
        <v>0</v>
      </c>
      <c r="D348" s="42" t="s">
        <v>56</v>
      </c>
      <c r="E348" s="42">
        <v>1</v>
      </c>
      <c r="F348" s="42">
        <v>3668</v>
      </c>
      <c r="G348" s="42">
        <v>4.01</v>
      </c>
      <c r="H348" s="42">
        <v>46.51</v>
      </c>
      <c r="I348" s="42">
        <v>2006</v>
      </c>
      <c r="J348" s="113">
        <v>1.38951026163723E+19</v>
      </c>
    </row>
    <row r="349" spans="3:10" x14ac:dyDescent="0.3">
      <c r="C349" s="41" t="b">
        <v>0</v>
      </c>
      <c r="D349" s="42" t="s">
        <v>56</v>
      </c>
      <c r="E349" s="42">
        <v>1</v>
      </c>
      <c r="F349" s="42">
        <v>1845</v>
      </c>
      <c r="G349" s="42">
        <v>0.95</v>
      </c>
      <c r="H349" s="42">
        <v>56.05</v>
      </c>
      <c r="I349" s="42">
        <v>2010</v>
      </c>
      <c r="J349" s="113">
        <v>3.8476920319240899E+18</v>
      </c>
    </row>
    <row r="350" spans="3:10" x14ac:dyDescent="0.3">
      <c r="C350" s="41" t="b">
        <v>0</v>
      </c>
      <c r="D350" s="42" t="s">
        <v>56</v>
      </c>
      <c r="E350" s="42">
        <v>1</v>
      </c>
      <c r="F350" s="42">
        <v>423.84100000000001</v>
      </c>
      <c r="G350" s="42">
        <v>1.28</v>
      </c>
      <c r="H350" s="42">
        <v>18.239999999999998</v>
      </c>
      <c r="I350" s="42">
        <v>2000</v>
      </c>
      <c r="J350" s="113">
        <v>6.2777499385418301E+18</v>
      </c>
    </row>
    <row r="351" spans="3:10" x14ac:dyDescent="0.3">
      <c r="C351" s="41" t="b">
        <v>0</v>
      </c>
      <c r="D351" s="42" t="s">
        <v>56</v>
      </c>
      <c r="E351" s="42">
        <v>1</v>
      </c>
      <c r="F351" s="42">
        <v>2208</v>
      </c>
      <c r="G351" s="42">
        <v>1.45</v>
      </c>
      <c r="H351" s="42">
        <v>44.54</v>
      </c>
      <c r="I351" s="42">
        <v>2012</v>
      </c>
      <c r="J351" s="113">
        <v>1.7415948363384001E+19</v>
      </c>
    </row>
    <row r="352" spans="3:10" x14ac:dyDescent="0.3">
      <c r="C352" s="41" t="b">
        <v>0</v>
      </c>
      <c r="D352" s="42" t="s">
        <v>56</v>
      </c>
      <c r="E352" s="42">
        <v>1</v>
      </c>
      <c r="F352" s="42">
        <v>17.991</v>
      </c>
      <c r="G352" s="42">
        <v>0.62</v>
      </c>
      <c r="H352" s="42">
        <v>42.37</v>
      </c>
      <c r="I352" s="42">
        <v>2005</v>
      </c>
      <c r="J352" s="113">
        <v>1.1115379521898101E+19</v>
      </c>
    </row>
    <row r="353" spans="3:10" x14ac:dyDescent="0.3">
      <c r="C353" s="41" t="b">
        <v>0</v>
      </c>
      <c r="D353" s="42" t="s">
        <v>56</v>
      </c>
      <c r="E353" s="42">
        <v>1</v>
      </c>
      <c r="F353" s="42">
        <v>1117</v>
      </c>
      <c r="G353" s="42">
        <v>1.1599999999999999</v>
      </c>
      <c r="H353" s="42">
        <v>56.18</v>
      </c>
      <c r="I353" s="42">
        <v>2010</v>
      </c>
      <c r="J353" s="113">
        <v>1.3177284434790601E+19</v>
      </c>
    </row>
    <row r="354" spans="3:10" x14ac:dyDescent="0.3">
      <c r="C354" s="41" t="b">
        <v>0</v>
      </c>
      <c r="D354" s="42" t="s">
        <v>56</v>
      </c>
      <c r="E354" s="42">
        <v>1</v>
      </c>
      <c r="F354" s="42">
        <v>385.9</v>
      </c>
      <c r="G354" s="42">
        <v>5.59</v>
      </c>
      <c r="H354" s="42">
        <v>39.56</v>
      </c>
      <c r="I354" s="42">
        <v>2001</v>
      </c>
      <c r="J354" s="113">
        <v>8.9779695901887099E+18</v>
      </c>
    </row>
    <row r="355" spans="3:10" x14ac:dyDescent="0.3">
      <c r="C355" s="41" t="b">
        <v>0</v>
      </c>
      <c r="D355" s="42" t="s">
        <v>56</v>
      </c>
      <c r="E355" s="42">
        <v>1</v>
      </c>
      <c r="F355" s="42">
        <v>387.1</v>
      </c>
      <c r="G355" s="42">
        <v>1.7</v>
      </c>
      <c r="H355" s="42">
        <v>168.92</v>
      </c>
      <c r="I355" s="42">
        <v>2011</v>
      </c>
      <c r="J355" s="113">
        <v>2.7348009693762401E+18</v>
      </c>
    </row>
    <row r="356" spans="3:10" x14ac:dyDescent="0.3">
      <c r="C356" s="41" t="b">
        <v>0</v>
      </c>
      <c r="D356" s="42" t="s">
        <v>56</v>
      </c>
      <c r="E356" s="42">
        <v>1</v>
      </c>
      <c r="F356" s="42">
        <v>2819.654</v>
      </c>
      <c r="G356" s="42">
        <v>9.17</v>
      </c>
      <c r="H356" s="42">
        <v>54.71</v>
      </c>
      <c r="I356" s="42">
        <v>2002</v>
      </c>
      <c r="J356" s="113">
        <v>7.4066135509392896E+18</v>
      </c>
    </row>
    <row r="357" spans="3:10" x14ac:dyDescent="0.3">
      <c r="C357" s="41" t="b">
        <v>0</v>
      </c>
      <c r="D357" s="42" t="s">
        <v>56</v>
      </c>
      <c r="E357" s="42">
        <v>1</v>
      </c>
      <c r="F357" s="42">
        <v>1159.2</v>
      </c>
      <c r="G357" s="42">
        <v>1.373</v>
      </c>
      <c r="H357" s="42">
        <v>26.5</v>
      </c>
      <c r="I357" s="42">
        <v>2009</v>
      </c>
      <c r="J357" s="113">
        <v>9.4082098343011308E+18</v>
      </c>
    </row>
    <row r="358" spans="3:10" x14ac:dyDescent="0.3">
      <c r="C358" s="41" t="b">
        <v>0</v>
      </c>
      <c r="D358" s="42" t="s">
        <v>56</v>
      </c>
      <c r="E358" s="42">
        <v>1</v>
      </c>
      <c r="F358" s="42">
        <v>912</v>
      </c>
      <c r="G358" s="42">
        <v>1.8</v>
      </c>
      <c r="H358" s="42">
        <v>121.07</v>
      </c>
      <c r="I358" s="42">
        <v>2011</v>
      </c>
      <c r="J358" s="113">
        <v>1.71665473145362E+19</v>
      </c>
    </row>
    <row r="359" spans="3:10" x14ac:dyDescent="0.3">
      <c r="C359" s="41" t="b">
        <v>0</v>
      </c>
      <c r="D359" s="42" t="s">
        <v>56</v>
      </c>
      <c r="E359" s="42">
        <v>1</v>
      </c>
      <c r="F359" s="42">
        <v>466</v>
      </c>
      <c r="G359" s="42">
        <v>0.5</v>
      </c>
      <c r="H359" s="42">
        <v>53.82</v>
      </c>
      <c r="I359" s="42">
        <v>2010</v>
      </c>
      <c r="J359" s="113">
        <v>1.17328937320704E+19</v>
      </c>
    </row>
    <row r="360" spans="3:10" x14ac:dyDescent="0.3">
      <c r="C360" s="41" t="b">
        <v>0</v>
      </c>
      <c r="D360" s="42" t="s">
        <v>56</v>
      </c>
      <c r="E360" s="42">
        <v>3</v>
      </c>
      <c r="F360" s="42">
        <v>16.545999999999999</v>
      </c>
      <c r="G360" s="42">
        <v>3.6299999999999999E-2</v>
      </c>
      <c r="H360" s="42">
        <v>38.01</v>
      </c>
      <c r="I360" s="42">
        <v>2011</v>
      </c>
      <c r="J360" s="113">
        <v>8.79895553486656E+17</v>
      </c>
    </row>
    <row r="361" spans="3:10" x14ac:dyDescent="0.3">
      <c r="C361" s="41" t="b">
        <v>0</v>
      </c>
      <c r="D361" s="42" t="s">
        <v>56</v>
      </c>
      <c r="E361" s="42">
        <v>3</v>
      </c>
      <c r="F361" s="42">
        <v>51.283999999999999</v>
      </c>
      <c r="G361" s="42">
        <v>4.9799999999999997E-2</v>
      </c>
      <c r="H361" s="42">
        <v>38.01</v>
      </c>
      <c r="I361" s="42">
        <v>2011</v>
      </c>
      <c r="J361" s="113">
        <v>7.1959319323739996E+18</v>
      </c>
    </row>
    <row r="362" spans="3:10" x14ac:dyDescent="0.3">
      <c r="C362" s="41" t="b">
        <v>0</v>
      </c>
      <c r="D362" s="42" t="s">
        <v>56</v>
      </c>
      <c r="E362" s="42">
        <v>3</v>
      </c>
      <c r="F362" s="42">
        <v>274.49</v>
      </c>
      <c r="G362" s="42">
        <v>5.1900000000000002E-2</v>
      </c>
      <c r="H362" s="42">
        <v>38.01</v>
      </c>
      <c r="I362" s="42">
        <v>2011</v>
      </c>
      <c r="J362" s="113">
        <v>9.71560863309474E+18</v>
      </c>
    </row>
    <row r="363" spans="3:10" x14ac:dyDescent="0.3">
      <c r="C363" s="41" t="b">
        <v>0</v>
      </c>
      <c r="D363" s="42" t="s">
        <v>56</v>
      </c>
      <c r="E363" s="42">
        <v>1</v>
      </c>
      <c r="F363" s="42">
        <v>326.60000000000002</v>
      </c>
      <c r="G363" s="42">
        <v>1.3</v>
      </c>
      <c r="H363" s="42">
        <v>136.80000000000001</v>
      </c>
      <c r="I363" s="42">
        <v>2011</v>
      </c>
      <c r="J363" s="113">
        <v>1.12415682739794E+19</v>
      </c>
    </row>
    <row r="364" spans="3:10" x14ac:dyDescent="0.3">
      <c r="C364" s="41" t="b">
        <v>0</v>
      </c>
      <c r="D364" s="42" t="s">
        <v>56</v>
      </c>
      <c r="E364" s="42">
        <v>1</v>
      </c>
      <c r="F364" s="42">
        <v>18.178999999999998</v>
      </c>
      <c r="G364" s="42">
        <v>0.33</v>
      </c>
      <c r="H364" s="42">
        <v>86.88</v>
      </c>
      <c r="I364" s="42">
        <v>2006</v>
      </c>
      <c r="J364" s="113">
        <v>1.00589028097665E+19</v>
      </c>
    </row>
    <row r="365" spans="3:10" x14ac:dyDescent="0.3">
      <c r="C365" s="41" t="b">
        <v>0</v>
      </c>
      <c r="D365" s="42" t="s">
        <v>56</v>
      </c>
      <c r="E365" s="42">
        <v>1</v>
      </c>
      <c r="F365" s="42">
        <v>157.54</v>
      </c>
      <c r="G365" s="42">
        <v>3.04</v>
      </c>
      <c r="H365" s="42">
        <v>117.37</v>
      </c>
      <c r="I365" s="42">
        <v>2009</v>
      </c>
      <c r="J365" s="113">
        <v>6.7771613971038003E+18</v>
      </c>
    </row>
    <row r="366" spans="3:10" x14ac:dyDescent="0.3">
      <c r="C366" s="41" t="b">
        <v>0</v>
      </c>
      <c r="D366" s="42" t="s">
        <v>56</v>
      </c>
      <c r="E366" s="42">
        <v>1</v>
      </c>
      <c r="F366" s="42">
        <v>1049</v>
      </c>
      <c r="G366" s="42">
        <v>0.79</v>
      </c>
      <c r="H366" s="42">
        <v>45.01</v>
      </c>
      <c r="I366" s="42">
        <v>2009</v>
      </c>
      <c r="J366" s="113">
        <v>1.5946449419636199E+19</v>
      </c>
    </row>
    <row r="367" spans="3:10" x14ac:dyDescent="0.3">
      <c r="C367" s="41" t="b">
        <v>0</v>
      </c>
      <c r="D367" s="42" t="s">
        <v>56</v>
      </c>
      <c r="E367" s="42">
        <v>1</v>
      </c>
      <c r="F367" s="42">
        <v>388</v>
      </c>
      <c r="G367" s="42">
        <v>9.1</v>
      </c>
      <c r="H367" s="42">
        <v>20.98</v>
      </c>
      <c r="I367" s="42">
        <v>2005</v>
      </c>
      <c r="J367" s="113">
        <v>1.1385930752882801E+19</v>
      </c>
    </row>
    <row r="368" spans="3:10" x14ac:dyDescent="0.3">
      <c r="C368" s="41" t="b">
        <v>0</v>
      </c>
      <c r="D368" s="42" t="s">
        <v>56</v>
      </c>
      <c r="E368" s="42">
        <v>1</v>
      </c>
      <c r="F368" s="42">
        <v>363.2</v>
      </c>
      <c r="G368" s="42"/>
      <c r="H368" s="42">
        <v>37.78</v>
      </c>
      <c r="I368" s="42">
        <v>2010</v>
      </c>
      <c r="J368" s="113">
        <v>3.9747779510103199E+18</v>
      </c>
    </row>
    <row r="369" spans="3:10" x14ac:dyDescent="0.3">
      <c r="C369" s="41" t="b">
        <v>0</v>
      </c>
      <c r="D369" s="42" t="s">
        <v>56</v>
      </c>
      <c r="E369" s="42">
        <v>3</v>
      </c>
      <c r="F369" s="42">
        <v>154.46</v>
      </c>
      <c r="G369" s="42">
        <v>0.61</v>
      </c>
      <c r="H369" s="42">
        <v>33.24</v>
      </c>
      <c r="I369" s="42">
        <v>2002</v>
      </c>
      <c r="J369" s="113">
        <v>7.1266700099650796E+18</v>
      </c>
    </row>
    <row r="370" spans="3:10" x14ac:dyDescent="0.3">
      <c r="C370" s="41" t="b">
        <v>0</v>
      </c>
      <c r="D370" s="42" t="s">
        <v>56</v>
      </c>
      <c r="E370" s="42">
        <v>3</v>
      </c>
      <c r="F370" s="42">
        <v>2295</v>
      </c>
      <c r="G370" s="42">
        <v>0.68300000000000005</v>
      </c>
      <c r="H370" s="42">
        <v>33.24</v>
      </c>
      <c r="I370" s="42">
        <v>2002</v>
      </c>
      <c r="J370" s="113">
        <v>1.2518394691227099E+19</v>
      </c>
    </row>
    <row r="371" spans="3:10" x14ac:dyDescent="0.3">
      <c r="C371" s="41" t="b">
        <v>0</v>
      </c>
      <c r="D371" s="42" t="s">
        <v>56</v>
      </c>
      <c r="E371" s="42">
        <v>3</v>
      </c>
      <c r="F371" s="42">
        <v>843.6</v>
      </c>
      <c r="G371" s="42">
        <v>0.624</v>
      </c>
      <c r="H371" s="42">
        <v>33.24</v>
      </c>
      <c r="I371" s="42">
        <v>2005</v>
      </c>
      <c r="J371" s="113">
        <v>1.11954429723008E+19</v>
      </c>
    </row>
    <row r="372" spans="3:10" x14ac:dyDescent="0.3">
      <c r="C372" s="41" t="b">
        <v>0</v>
      </c>
      <c r="D372" s="42" t="s">
        <v>56</v>
      </c>
      <c r="E372" s="42">
        <v>1</v>
      </c>
      <c r="F372" s="42">
        <v>2063.8180000000002</v>
      </c>
      <c r="G372" s="42">
        <v>10.35</v>
      </c>
      <c r="H372" s="42">
        <v>18.21</v>
      </c>
      <c r="I372" s="42">
        <v>2001</v>
      </c>
      <c r="J372" s="113">
        <v>8.7068558300542802E+18</v>
      </c>
    </row>
    <row r="373" spans="3:10" x14ac:dyDescent="0.3">
      <c r="C373" s="41" t="b">
        <v>0</v>
      </c>
      <c r="D373" s="42" t="s">
        <v>56</v>
      </c>
      <c r="E373" s="42">
        <v>2</v>
      </c>
      <c r="F373" s="42">
        <v>55</v>
      </c>
      <c r="G373" s="42">
        <v>2.2999999999999998</v>
      </c>
      <c r="H373" s="42">
        <v>42.88</v>
      </c>
      <c r="I373" s="42">
        <v>2004</v>
      </c>
      <c r="J373" s="113">
        <v>5.9681661482487603E+18</v>
      </c>
    </row>
    <row r="374" spans="3:10" x14ac:dyDescent="0.3">
      <c r="C374" s="41" t="b">
        <v>0</v>
      </c>
      <c r="D374" s="42" t="s">
        <v>56</v>
      </c>
      <c r="E374" s="42">
        <v>2</v>
      </c>
      <c r="F374" s="42">
        <v>2720</v>
      </c>
      <c r="G374" s="42">
        <v>3.3660000000000001</v>
      </c>
      <c r="H374" s="42">
        <v>42.88</v>
      </c>
      <c r="I374" s="42">
        <v>2012</v>
      </c>
      <c r="J374" s="113">
        <v>6.1981340440431401E+18</v>
      </c>
    </row>
    <row r="375" spans="3:10" x14ac:dyDescent="0.3">
      <c r="C375" s="41" t="b">
        <v>0</v>
      </c>
      <c r="D375" s="42" t="s">
        <v>56</v>
      </c>
      <c r="E375" s="42">
        <v>3</v>
      </c>
      <c r="F375" s="42">
        <v>5.6363000000000003</v>
      </c>
      <c r="G375" s="42">
        <v>1.17E-2</v>
      </c>
      <c r="H375" s="42">
        <v>25.59</v>
      </c>
      <c r="I375" s="42">
        <v>2011</v>
      </c>
      <c r="J375" s="113">
        <v>3.9876114723010299E+18</v>
      </c>
    </row>
    <row r="376" spans="3:10" x14ac:dyDescent="0.3">
      <c r="C376" s="41" t="b">
        <v>0</v>
      </c>
      <c r="D376" s="42" t="s">
        <v>56</v>
      </c>
      <c r="E376" s="42">
        <v>3</v>
      </c>
      <c r="F376" s="42">
        <v>14.025</v>
      </c>
      <c r="G376" s="42">
        <v>1.8700000000000001E-2</v>
      </c>
      <c r="H376" s="42">
        <v>25.59</v>
      </c>
      <c r="I376" s="42">
        <v>2011</v>
      </c>
      <c r="J376" s="113">
        <v>1.48122222573848E+19</v>
      </c>
    </row>
    <row r="377" spans="3:10" x14ac:dyDescent="0.3">
      <c r="C377" s="41" t="b">
        <v>0</v>
      </c>
      <c r="D377" s="42" t="s">
        <v>56</v>
      </c>
      <c r="E377" s="42">
        <v>3</v>
      </c>
      <c r="F377" s="42">
        <v>33.941000000000003</v>
      </c>
      <c r="G377" s="42">
        <v>1.6199999999999999E-2</v>
      </c>
      <c r="H377" s="42">
        <v>25.59</v>
      </c>
      <c r="I377" s="42">
        <v>2011</v>
      </c>
      <c r="J377" s="113">
        <v>1.5804897834821599E+19</v>
      </c>
    </row>
    <row r="378" spans="3:10" x14ac:dyDescent="0.3">
      <c r="C378" s="41" t="b">
        <v>0</v>
      </c>
      <c r="D378" s="42" t="s">
        <v>56</v>
      </c>
      <c r="E378" s="42">
        <v>2</v>
      </c>
      <c r="F378" s="42">
        <v>14.309799999999999</v>
      </c>
      <c r="G378" s="42">
        <v>0.83899999999999997</v>
      </c>
      <c r="H378" s="42">
        <v>42.43</v>
      </c>
      <c r="I378" s="42">
        <v>2000</v>
      </c>
      <c r="J378" s="113">
        <v>1.2305367748917299E+19</v>
      </c>
    </row>
    <row r="379" spans="3:10" x14ac:dyDescent="0.3">
      <c r="C379" s="41" t="b">
        <v>0</v>
      </c>
      <c r="D379" s="42" t="s">
        <v>56</v>
      </c>
      <c r="E379" s="42">
        <v>2</v>
      </c>
      <c r="F379" s="42">
        <v>2140.1999999999998</v>
      </c>
      <c r="G379" s="42">
        <v>13.38</v>
      </c>
      <c r="H379" s="42">
        <v>42.43</v>
      </c>
      <c r="I379" s="42">
        <v>2000</v>
      </c>
      <c r="J379" s="113">
        <v>9.58120809741278E+18</v>
      </c>
    </row>
    <row r="380" spans="3:10" x14ac:dyDescent="0.3">
      <c r="C380" s="41" t="b">
        <v>0</v>
      </c>
      <c r="D380" s="42" t="s">
        <v>56</v>
      </c>
      <c r="E380" s="42">
        <v>1</v>
      </c>
      <c r="F380" s="42">
        <v>696.3</v>
      </c>
      <c r="G380" s="42">
        <v>10.7</v>
      </c>
      <c r="H380" s="42">
        <v>99.4</v>
      </c>
      <c r="I380" s="42">
        <v>2009</v>
      </c>
      <c r="J380" s="113">
        <v>1.30164007934151E+19</v>
      </c>
    </row>
    <row r="381" spans="3:10" x14ac:dyDescent="0.3">
      <c r="C381" s="41" t="b">
        <v>0</v>
      </c>
      <c r="D381" s="42" t="s">
        <v>56</v>
      </c>
      <c r="E381" s="42">
        <v>1</v>
      </c>
      <c r="F381" s="42">
        <v>407.15</v>
      </c>
      <c r="G381" s="42">
        <v>9.6100000000000005E-2</v>
      </c>
      <c r="H381" s="42">
        <v>15.56</v>
      </c>
      <c r="I381" s="42">
        <v>2011</v>
      </c>
      <c r="J381" s="113">
        <v>1.0844492465386899E+19</v>
      </c>
    </row>
    <row r="382" spans="3:10" x14ac:dyDescent="0.3">
      <c r="C382" s="41" t="b">
        <v>0</v>
      </c>
      <c r="D382" s="42" t="s">
        <v>56</v>
      </c>
      <c r="E382" s="42">
        <v>6</v>
      </c>
      <c r="F382" s="42">
        <v>4.3122999999999996</v>
      </c>
      <c r="G382" s="42">
        <v>1.26E-2</v>
      </c>
      <c r="H382" s="42">
        <v>12.83</v>
      </c>
      <c r="I382" s="42">
        <v>2008</v>
      </c>
      <c r="J382" s="113">
        <v>1.2718355728424499E+19</v>
      </c>
    </row>
    <row r="383" spans="3:10" x14ac:dyDescent="0.3">
      <c r="C383" s="41" t="b">
        <v>0</v>
      </c>
      <c r="D383" s="42" t="s">
        <v>56</v>
      </c>
      <c r="E383" s="42">
        <v>6</v>
      </c>
      <c r="F383" s="42">
        <v>9.6183999999999994</v>
      </c>
      <c r="G383" s="42">
        <v>2.0799999999999999E-2</v>
      </c>
      <c r="H383" s="42">
        <v>12.83</v>
      </c>
      <c r="I383" s="42">
        <v>2008</v>
      </c>
      <c r="J383" s="113">
        <v>1.47773044720571E+19</v>
      </c>
    </row>
    <row r="384" spans="3:10" x14ac:dyDescent="0.3">
      <c r="C384" s="41" t="b">
        <v>0</v>
      </c>
      <c r="D384" s="42" t="s">
        <v>56</v>
      </c>
      <c r="E384" s="42">
        <v>6</v>
      </c>
      <c r="F384" s="42">
        <v>20.431999999999999</v>
      </c>
      <c r="G384" s="42">
        <v>2.9899999999999999E-2</v>
      </c>
      <c r="H384" s="42">
        <v>12.83</v>
      </c>
      <c r="I384" s="42">
        <v>2008</v>
      </c>
      <c r="J384" s="113">
        <v>1.33232288198709E+19</v>
      </c>
    </row>
    <row r="385" spans="3:10" x14ac:dyDescent="0.3">
      <c r="C385" s="41" t="b">
        <v>0</v>
      </c>
      <c r="D385" s="42" t="s">
        <v>56</v>
      </c>
      <c r="E385" s="42">
        <v>6</v>
      </c>
      <c r="F385" s="42">
        <v>34.619999999999997</v>
      </c>
      <c r="G385" s="42">
        <v>1.0999999999999999E-2</v>
      </c>
      <c r="H385" s="42">
        <v>12.83</v>
      </c>
      <c r="I385" s="42">
        <v>2012</v>
      </c>
      <c r="J385" s="113">
        <v>4.6464562545733396E+18</v>
      </c>
    </row>
    <row r="386" spans="3:10" x14ac:dyDescent="0.3">
      <c r="C386" s="41" t="b">
        <v>0</v>
      </c>
      <c r="D386" s="42" t="s">
        <v>56</v>
      </c>
      <c r="E386" s="42">
        <v>6</v>
      </c>
      <c r="F386" s="42">
        <v>51.76</v>
      </c>
      <c r="G386" s="42">
        <v>1.6400000000000001E-2</v>
      </c>
      <c r="H386" s="42">
        <v>12.83</v>
      </c>
      <c r="I386" s="42">
        <v>2012</v>
      </c>
      <c r="J386" s="113">
        <v>3.2590865360304102E+18</v>
      </c>
    </row>
    <row r="387" spans="3:10" x14ac:dyDescent="0.3">
      <c r="C387" s="41" t="b">
        <v>0</v>
      </c>
      <c r="D387" s="42" t="s">
        <v>56</v>
      </c>
      <c r="E387" s="42">
        <v>6</v>
      </c>
      <c r="F387" s="42">
        <v>197.8</v>
      </c>
      <c r="G387" s="42">
        <v>2.23E-2</v>
      </c>
      <c r="H387" s="42">
        <v>12.83</v>
      </c>
      <c r="I387" s="42">
        <v>2012</v>
      </c>
      <c r="J387" s="113">
        <v>1.71402784537095E+19</v>
      </c>
    </row>
    <row r="388" spans="3:10" x14ac:dyDescent="0.3">
      <c r="C388" s="41" t="b">
        <v>0</v>
      </c>
      <c r="D388" s="42" t="s">
        <v>56</v>
      </c>
      <c r="E388" s="42">
        <v>1</v>
      </c>
      <c r="F388" s="42">
        <v>264.14999999999998</v>
      </c>
      <c r="G388" s="42">
        <v>4.01</v>
      </c>
      <c r="H388" s="42">
        <v>33.33</v>
      </c>
      <c r="I388" s="42">
        <v>2002</v>
      </c>
      <c r="J388" s="113">
        <v>9.9792148673505096E+18</v>
      </c>
    </row>
    <row r="389" spans="3:10" x14ac:dyDescent="0.3">
      <c r="C389" s="41" t="b">
        <v>0</v>
      </c>
      <c r="D389" s="42" t="s">
        <v>56</v>
      </c>
      <c r="E389" s="42">
        <v>1</v>
      </c>
      <c r="F389" s="42">
        <v>963</v>
      </c>
      <c r="G389" s="42">
        <v>2.54</v>
      </c>
      <c r="H389" s="42">
        <v>43.03</v>
      </c>
      <c r="I389" s="42">
        <v>2004</v>
      </c>
      <c r="J389" s="113">
        <v>7.1549295742882202E+18</v>
      </c>
    </row>
    <row r="390" spans="3:10" x14ac:dyDescent="0.3">
      <c r="C390" s="41" t="b">
        <v>0</v>
      </c>
      <c r="D390" s="42" t="s">
        <v>56</v>
      </c>
      <c r="E390" s="42">
        <v>1</v>
      </c>
      <c r="F390" s="42">
        <v>1.3283</v>
      </c>
      <c r="G390" s="42">
        <v>18.37</v>
      </c>
      <c r="H390" s="42">
        <v>43.03</v>
      </c>
      <c r="I390" s="42">
        <v>2003</v>
      </c>
      <c r="J390" s="113">
        <v>1.3259993834328199E+19</v>
      </c>
    </row>
    <row r="391" spans="3:10" x14ac:dyDescent="0.3">
      <c r="C391" s="41" t="b">
        <v>0</v>
      </c>
      <c r="D391" s="42" t="s">
        <v>56</v>
      </c>
      <c r="E391" s="42">
        <v>2</v>
      </c>
      <c r="F391" s="42">
        <v>18.356999999999999</v>
      </c>
      <c r="G391" s="42">
        <v>3.9E-2</v>
      </c>
      <c r="H391" s="42">
        <v>52.03</v>
      </c>
      <c r="I391" s="42">
        <v>2013</v>
      </c>
      <c r="J391" s="113">
        <v>7.07383822187806E+18</v>
      </c>
    </row>
    <row r="392" spans="3:10" x14ac:dyDescent="0.3">
      <c r="C392" s="41" t="b">
        <v>0</v>
      </c>
      <c r="D392" s="42" t="s">
        <v>56</v>
      </c>
      <c r="E392" s="42">
        <v>2</v>
      </c>
      <c r="F392" s="42">
        <v>25.648</v>
      </c>
      <c r="G392" s="42">
        <v>2.7E-2</v>
      </c>
      <c r="H392" s="42">
        <v>52.03</v>
      </c>
      <c r="I392" s="42">
        <v>2013</v>
      </c>
      <c r="J392" s="113">
        <v>1.5292286624409201E+19</v>
      </c>
    </row>
    <row r="393" spans="3:10" x14ac:dyDescent="0.3">
      <c r="C393" s="41" t="b">
        <v>0</v>
      </c>
      <c r="D393" s="42" t="s">
        <v>56</v>
      </c>
      <c r="E393" s="42">
        <v>1</v>
      </c>
      <c r="F393" s="42">
        <v>327.8</v>
      </c>
      <c r="G393" s="42">
        <v>0.6</v>
      </c>
      <c r="H393" s="42">
        <v>54.94</v>
      </c>
      <c r="I393" s="42">
        <v>2010</v>
      </c>
      <c r="J393" s="113">
        <v>9.1396495403404196E+18</v>
      </c>
    </row>
    <row r="394" spans="3:10" x14ac:dyDescent="0.3">
      <c r="C394" s="41" t="b">
        <v>0</v>
      </c>
      <c r="D394" s="42" t="s">
        <v>56</v>
      </c>
      <c r="E394" s="42">
        <v>1</v>
      </c>
      <c r="F394" s="42">
        <v>2371</v>
      </c>
      <c r="G394" s="42">
        <v>25</v>
      </c>
      <c r="H394" s="42">
        <v>37.049999999999997</v>
      </c>
      <c r="I394" s="42">
        <v>2008</v>
      </c>
      <c r="J394" s="113">
        <v>1.0099221484554299E+19</v>
      </c>
    </row>
    <row r="395" spans="3:10" x14ac:dyDescent="0.3">
      <c r="C395" s="41" t="b">
        <v>0</v>
      </c>
      <c r="D395" s="42" t="s">
        <v>56</v>
      </c>
      <c r="E395" s="42">
        <v>1</v>
      </c>
      <c r="F395" s="42">
        <v>36.96</v>
      </c>
      <c r="G395" s="42">
        <v>2.4900000000000002</v>
      </c>
      <c r="H395" s="42">
        <v>93.2</v>
      </c>
      <c r="I395" s="42">
        <v>2007</v>
      </c>
      <c r="J395" s="113">
        <v>5.1838298431242803E+18</v>
      </c>
    </row>
    <row r="396" spans="3:10" x14ac:dyDescent="0.3">
      <c r="C396" s="41" t="b">
        <v>0</v>
      </c>
      <c r="D396" s="42" t="s">
        <v>56</v>
      </c>
      <c r="E396" s="42">
        <v>1</v>
      </c>
      <c r="F396" s="42">
        <v>472</v>
      </c>
      <c r="G396" s="42">
        <v>0.57999999999999996</v>
      </c>
      <c r="H396" s="42">
        <v>50.43</v>
      </c>
      <c r="I396" s="42">
        <v>2010</v>
      </c>
      <c r="J396" s="113">
        <v>9.6018585779607306E+18</v>
      </c>
    </row>
    <row r="397" spans="3:10" x14ac:dyDescent="0.3">
      <c r="C397" s="41" t="b">
        <v>0</v>
      </c>
      <c r="D397" s="42" t="s">
        <v>56</v>
      </c>
      <c r="E397" s="42">
        <v>1</v>
      </c>
      <c r="F397" s="42">
        <v>5.8872</v>
      </c>
      <c r="G397" s="42">
        <v>0.04</v>
      </c>
      <c r="H397" s="42">
        <v>22.04</v>
      </c>
      <c r="I397" s="42">
        <v>2011</v>
      </c>
      <c r="J397" s="113">
        <v>1.33463255351144E+19</v>
      </c>
    </row>
    <row r="398" spans="3:10" x14ac:dyDescent="0.3">
      <c r="C398" s="41" t="b">
        <v>0</v>
      </c>
      <c r="D398" s="42" t="s">
        <v>56</v>
      </c>
      <c r="E398" s="42">
        <v>2</v>
      </c>
      <c r="F398" s="42">
        <v>226.93</v>
      </c>
      <c r="G398" s="42">
        <v>0.18720000000000001</v>
      </c>
      <c r="H398" s="42">
        <v>32.58</v>
      </c>
      <c r="I398" s="42">
        <v>2008</v>
      </c>
      <c r="J398" s="113">
        <v>1.59307004186746E+19</v>
      </c>
    </row>
    <row r="399" spans="3:10" x14ac:dyDescent="0.3">
      <c r="C399" s="41" t="b">
        <v>0</v>
      </c>
      <c r="D399" s="42" t="s">
        <v>56</v>
      </c>
      <c r="E399" s="42">
        <v>2</v>
      </c>
      <c r="F399" s="42">
        <v>342.85</v>
      </c>
      <c r="G399" s="42">
        <v>0.65790000000000004</v>
      </c>
      <c r="H399" s="42">
        <v>32.58</v>
      </c>
      <c r="I399" s="42">
        <v>2008</v>
      </c>
      <c r="J399" s="113">
        <v>1.5702296224739701E+19</v>
      </c>
    </row>
    <row r="400" spans="3:10" x14ac:dyDescent="0.3">
      <c r="C400" s="41" t="b">
        <v>0</v>
      </c>
      <c r="D400" s="42" t="s">
        <v>56</v>
      </c>
      <c r="E400" s="42">
        <v>1</v>
      </c>
      <c r="F400" s="42">
        <v>890.76</v>
      </c>
      <c r="G400" s="42">
        <v>1.79</v>
      </c>
      <c r="H400" s="42">
        <v>48.95</v>
      </c>
      <c r="I400" s="42">
        <v>2004</v>
      </c>
      <c r="J400" s="113">
        <v>1.7623916068128801E+19</v>
      </c>
    </row>
    <row r="401" spans="3:10" x14ac:dyDescent="0.3">
      <c r="C401" s="41" t="b">
        <v>0</v>
      </c>
      <c r="D401" s="42" t="s">
        <v>56</v>
      </c>
      <c r="E401" s="42">
        <v>1</v>
      </c>
      <c r="F401" s="42">
        <v>43.6</v>
      </c>
      <c r="G401" s="42">
        <v>0.47</v>
      </c>
      <c r="H401" s="42">
        <v>36.14</v>
      </c>
      <c r="I401" s="42">
        <v>2008</v>
      </c>
      <c r="J401" s="113">
        <v>6.7884195368203305E+18</v>
      </c>
    </row>
    <row r="402" spans="3:10" x14ac:dyDescent="0.3">
      <c r="C402" s="41" t="b">
        <v>0</v>
      </c>
      <c r="D402" s="42" t="s">
        <v>56</v>
      </c>
      <c r="E402" s="42">
        <v>1</v>
      </c>
      <c r="F402" s="42">
        <v>3.024</v>
      </c>
      <c r="G402" s="42">
        <v>0.249</v>
      </c>
      <c r="H402" s="42">
        <v>33.409999999999997</v>
      </c>
      <c r="I402" s="42">
        <v>2000</v>
      </c>
      <c r="J402" s="113">
        <v>5.4166555135472896E+18</v>
      </c>
    </row>
    <row r="403" spans="3:10" x14ac:dyDescent="0.3">
      <c r="C403" s="41" t="b">
        <v>0</v>
      </c>
      <c r="D403" s="42" t="s">
        <v>56</v>
      </c>
      <c r="E403" s="42">
        <v>2</v>
      </c>
      <c r="F403" s="42">
        <v>4.0845000000000002</v>
      </c>
      <c r="G403" s="42">
        <v>7.1669999999999998E-2</v>
      </c>
      <c r="H403" s="42">
        <v>37.840000000000003</v>
      </c>
      <c r="I403" s="42">
        <v>2008</v>
      </c>
      <c r="J403" s="113">
        <v>1.4078954763855401E+18</v>
      </c>
    </row>
    <row r="404" spans="3:10" x14ac:dyDescent="0.3">
      <c r="C404" s="41" t="b">
        <v>0</v>
      </c>
      <c r="D404" s="42" t="s">
        <v>56</v>
      </c>
      <c r="E404" s="42">
        <v>2</v>
      </c>
      <c r="F404" s="42">
        <v>1353.6</v>
      </c>
      <c r="G404" s="42">
        <v>0.35060999999999998</v>
      </c>
      <c r="H404" s="42">
        <v>37.840000000000003</v>
      </c>
      <c r="I404" s="42">
        <v>2008</v>
      </c>
      <c r="J404" s="113">
        <v>1.7600378085852301E+18</v>
      </c>
    </row>
    <row r="405" spans="3:10" x14ac:dyDescent="0.3">
      <c r="C405" s="41" t="b">
        <v>0</v>
      </c>
      <c r="D405" s="42" t="s">
        <v>56</v>
      </c>
      <c r="E405" s="42">
        <v>2</v>
      </c>
      <c r="F405" s="42">
        <v>430</v>
      </c>
      <c r="G405" s="42">
        <v>5</v>
      </c>
      <c r="H405" s="42">
        <v>121.36</v>
      </c>
      <c r="I405" s="42">
        <v>2002</v>
      </c>
      <c r="J405" s="113">
        <v>2.7044106498917699E+18</v>
      </c>
    </row>
    <row r="406" spans="3:10" x14ac:dyDescent="0.3">
      <c r="C406" s="41" t="b">
        <v>0</v>
      </c>
      <c r="D406" s="42" t="s">
        <v>56</v>
      </c>
      <c r="E406" s="42">
        <v>2</v>
      </c>
      <c r="F406" s="42">
        <v>2500</v>
      </c>
      <c r="G406" s="42">
        <v>7</v>
      </c>
      <c r="H406" s="42">
        <v>121.36</v>
      </c>
      <c r="I406" s="42">
        <v>2008</v>
      </c>
      <c r="J406" s="113">
        <v>8.8146429872278303E+18</v>
      </c>
    </row>
    <row r="407" spans="3:10" x14ac:dyDescent="0.3">
      <c r="C407" s="41" t="b">
        <v>0</v>
      </c>
      <c r="D407" s="42" t="s">
        <v>56</v>
      </c>
      <c r="E407" s="42">
        <v>1</v>
      </c>
      <c r="F407" s="42">
        <v>700</v>
      </c>
      <c r="G407" s="42">
        <v>1.1599999999999999</v>
      </c>
      <c r="H407" s="42">
        <v>87.41</v>
      </c>
      <c r="I407" s="42">
        <v>2008</v>
      </c>
      <c r="J407" s="113">
        <v>1.13418986639883E+19</v>
      </c>
    </row>
    <row r="408" spans="3:10" x14ac:dyDescent="0.3">
      <c r="C408" s="41" t="b">
        <v>0</v>
      </c>
      <c r="D408" s="42" t="s">
        <v>56</v>
      </c>
      <c r="E408" s="42">
        <v>1</v>
      </c>
      <c r="F408" s="42">
        <v>4.9436999999999998</v>
      </c>
      <c r="G408" s="42">
        <v>0.115</v>
      </c>
      <c r="H408" s="42">
        <v>40.729999999999997</v>
      </c>
      <c r="I408" s="42">
        <v>2002</v>
      </c>
      <c r="J408" s="113">
        <v>1.18760148543633E+19</v>
      </c>
    </row>
    <row r="409" spans="3:10" x14ac:dyDescent="0.3">
      <c r="C409" s="41" t="b">
        <v>0</v>
      </c>
      <c r="D409" s="42" t="s">
        <v>56</v>
      </c>
      <c r="E409" s="42">
        <v>1</v>
      </c>
      <c r="F409" s="42">
        <v>2582.6999999999998</v>
      </c>
      <c r="G409" s="42">
        <v>1.71</v>
      </c>
      <c r="H409" s="42">
        <v>47.26</v>
      </c>
      <c r="I409" s="42">
        <v>2005</v>
      </c>
      <c r="J409" s="113">
        <v>1.1270339846890701E+19</v>
      </c>
    </row>
    <row r="410" spans="3:10" x14ac:dyDescent="0.3">
      <c r="C410" s="41" t="b">
        <v>0</v>
      </c>
      <c r="D410" s="42" t="s">
        <v>56</v>
      </c>
      <c r="E410" s="42">
        <v>1</v>
      </c>
      <c r="F410" s="42">
        <v>1279</v>
      </c>
      <c r="G410" s="42">
        <v>4.9000000000000004</v>
      </c>
      <c r="H410" s="42">
        <v>31.03</v>
      </c>
      <c r="I410" s="42">
        <v>2002</v>
      </c>
      <c r="J410" s="113">
        <v>1.6352127440424401E+19</v>
      </c>
    </row>
    <row r="411" spans="3:10" x14ac:dyDescent="0.3">
      <c r="C411" s="41" t="b">
        <v>0</v>
      </c>
      <c r="D411" s="42" t="s">
        <v>56</v>
      </c>
      <c r="E411" s="42">
        <v>2</v>
      </c>
      <c r="F411" s="42">
        <v>14.07</v>
      </c>
      <c r="G411" s="42">
        <v>4.1300000000000003E-2</v>
      </c>
      <c r="H411" s="42">
        <v>34.07</v>
      </c>
      <c r="I411" s="42">
        <v>2011</v>
      </c>
      <c r="J411" s="113">
        <v>9.6311856256136192E+18</v>
      </c>
    </row>
    <row r="412" spans="3:10" x14ac:dyDescent="0.3">
      <c r="C412" s="41" t="b">
        <v>0</v>
      </c>
      <c r="D412" s="42" t="s">
        <v>56</v>
      </c>
      <c r="E412" s="42">
        <v>2</v>
      </c>
      <c r="F412" s="42">
        <v>95.415000000000006</v>
      </c>
      <c r="G412" s="42">
        <v>5.6500000000000002E-2</v>
      </c>
      <c r="H412" s="42">
        <v>34.07</v>
      </c>
      <c r="I412" s="42">
        <v>2011</v>
      </c>
      <c r="J412" s="113">
        <v>1.45514165615039E+19</v>
      </c>
    </row>
    <row r="413" spans="3:10" x14ac:dyDescent="0.3">
      <c r="C413" s="41" t="b">
        <v>0</v>
      </c>
      <c r="D413" s="42" t="s">
        <v>56</v>
      </c>
      <c r="E413" s="42">
        <v>1</v>
      </c>
      <c r="F413" s="42">
        <v>118.96</v>
      </c>
      <c r="G413" s="42">
        <v>1.1299999999999999</v>
      </c>
      <c r="H413" s="42">
        <v>28.07</v>
      </c>
      <c r="I413" s="42">
        <v>2000</v>
      </c>
      <c r="J413" s="113">
        <v>2.7783677307792701E+18</v>
      </c>
    </row>
    <row r="414" spans="3:10" x14ac:dyDescent="0.3">
      <c r="C414" s="41" t="b">
        <v>0</v>
      </c>
      <c r="D414" s="42" t="s">
        <v>56</v>
      </c>
      <c r="E414" s="42">
        <v>1</v>
      </c>
      <c r="F414" s="42">
        <v>303</v>
      </c>
      <c r="G414" s="42">
        <v>5.25</v>
      </c>
      <c r="H414" s="42">
        <v>92.51</v>
      </c>
      <c r="I414" s="42">
        <v>2003</v>
      </c>
      <c r="J414" s="113">
        <v>1.0009617229518299E+19</v>
      </c>
    </row>
    <row r="415" spans="3:10" x14ac:dyDescent="0.3">
      <c r="C415" s="41" t="b">
        <v>0</v>
      </c>
      <c r="D415" s="42" t="s">
        <v>56</v>
      </c>
      <c r="E415" s="42">
        <v>2</v>
      </c>
      <c r="F415" s="42">
        <v>201.83</v>
      </c>
      <c r="G415" s="42">
        <v>3.1547999999999998</v>
      </c>
      <c r="H415" s="42">
        <v>25.7</v>
      </c>
      <c r="I415" s="42">
        <v>2008</v>
      </c>
      <c r="J415" s="113">
        <v>8.18183630027102E+18</v>
      </c>
    </row>
    <row r="416" spans="3:10" x14ac:dyDescent="0.3">
      <c r="C416" s="41" t="b">
        <v>0</v>
      </c>
      <c r="D416" s="42" t="s">
        <v>56</v>
      </c>
      <c r="E416" s="42">
        <v>2</v>
      </c>
      <c r="F416" s="42">
        <v>607.05999999999995</v>
      </c>
      <c r="G416" s="42">
        <v>7.4634</v>
      </c>
      <c r="H416" s="42">
        <v>25.7</v>
      </c>
      <c r="I416" s="42">
        <v>2008</v>
      </c>
      <c r="J416" s="113">
        <v>6.1466877007840102E+18</v>
      </c>
    </row>
    <row r="417" spans="3:10" x14ac:dyDescent="0.3">
      <c r="C417" s="41" t="b">
        <v>0</v>
      </c>
      <c r="D417" s="42" t="s">
        <v>56</v>
      </c>
      <c r="E417" s="42">
        <v>1</v>
      </c>
      <c r="F417" s="42">
        <v>2.817822</v>
      </c>
      <c r="G417" s="42">
        <v>0.38</v>
      </c>
      <c r="H417" s="42">
        <v>35.799999999999997</v>
      </c>
      <c r="I417" s="42">
        <v>2005</v>
      </c>
      <c r="J417" s="113">
        <v>3.5633011918588698E+18</v>
      </c>
    </row>
    <row r="418" spans="3:10" x14ac:dyDescent="0.3">
      <c r="C418" s="41" t="b">
        <v>0</v>
      </c>
      <c r="D418" s="42" t="s">
        <v>56</v>
      </c>
      <c r="E418" s="42">
        <v>1</v>
      </c>
      <c r="F418" s="42">
        <v>589.64</v>
      </c>
      <c r="G418" s="42">
        <v>2.9</v>
      </c>
      <c r="H418" s="42">
        <v>10.34</v>
      </c>
      <c r="I418" s="42">
        <v>2006</v>
      </c>
      <c r="J418" s="113">
        <v>1.1893036056711099E+18</v>
      </c>
    </row>
    <row r="419" spans="3:10" x14ac:dyDescent="0.3">
      <c r="C419" s="41" t="b">
        <v>0</v>
      </c>
      <c r="D419" s="42" t="s">
        <v>56</v>
      </c>
      <c r="E419" s="42">
        <v>1</v>
      </c>
      <c r="F419" s="42">
        <v>358</v>
      </c>
      <c r="G419" s="42">
        <v>0.64</v>
      </c>
      <c r="H419" s="42">
        <v>32.619999999999997</v>
      </c>
      <c r="I419" s="42">
        <v>2009</v>
      </c>
      <c r="J419" s="113">
        <v>3.5754730695347502E+18</v>
      </c>
    </row>
    <row r="420" spans="3:10" x14ac:dyDescent="0.3">
      <c r="C420" s="41" t="b">
        <v>0</v>
      </c>
      <c r="D420" s="42" t="s">
        <v>56</v>
      </c>
      <c r="E420" s="42">
        <v>2</v>
      </c>
      <c r="F420" s="42">
        <v>572.4</v>
      </c>
      <c r="G420" s="42">
        <v>1.26</v>
      </c>
      <c r="H420" s="42">
        <v>35.590000000000003</v>
      </c>
      <c r="I420" s="42">
        <v>2003</v>
      </c>
      <c r="J420" s="113">
        <v>1.19303650772904E+19</v>
      </c>
    </row>
    <row r="421" spans="3:10" x14ac:dyDescent="0.3">
      <c r="C421" s="41" t="b">
        <v>0</v>
      </c>
      <c r="D421" s="42" t="s">
        <v>56</v>
      </c>
      <c r="E421" s="42">
        <v>2</v>
      </c>
      <c r="F421" s="42">
        <v>152.6</v>
      </c>
      <c r="G421" s="42">
        <v>0.17</v>
      </c>
      <c r="H421" s="42">
        <v>35.590000000000003</v>
      </c>
      <c r="I421" s="42">
        <v>2011</v>
      </c>
      <c r="J421" s="113">
        <v>1.20263438028934E+19</v>
      </c>
    </row>
    <row r="422" spans="3:10" x14ac:dyDescent="0.3">
      <c r="C422" s="41" t="b">
        <v>0</v>
      </c>
      <c r="D422" s="42" t="s">
        <v>56</v>
      </c>
      <c r="E422" s="42">
        <v>1</v>
      </c>
      <c r="F422" s="42">
        <v>480.5</v>
      </c>
      <c r="G422" s="42">
        <v>6</v>
      </c>
      <c r="H422" s="42">
        <v>80.06</v>
      </c>
      <c r="I422" s="42">
        <v>2012</v>
      </c>
      <c r="J422" s="113">
        <v>7.2091406838953001E+18</v>
      </c>
    </row>
    <row r="423" spans="3:10" x14ac:dyDescent="0.3">
      <c r="C423" s="41" t="b">
        <v>0</v>
      </c>
      <c r="D423" s="42" t="s">
        <v>56</v>
      </c>
      <c r="E423" s="42">
        <v>1</v>
      </c>
      <c r="F423" s="42">
        <v>1973</v>
      </c>
      <c r="G423" s="42">
        <v>2.82</v>
      </c>
      <c r="H423" s="42">
        <v>55.04</v>
      </c>
      <c r="I423" s="42">
        <v>2005</v>
      </c>
      <c r="J423" s="113">
        <v>1.7910758938478201E+19</v>
      </c>
    </row>
    <row r="424" spans="3:10" x14ac:dyDescent="0.3">
      <c r="C424" s="41" t="b">
        <v>0</v>
      </c>
      <c r="D424" s="42" t="s">
        <v>56</v>
      </c>
      <c r="E424" s="42">
        <v>1</v>
      </c>
      <c r="F424" s="42">
        <v>6.2759999999999998</v>
      </c>
      <c r="G424" s="42">
        <v>1.9</v>
      </c>
      <c r="H424" s="42">
        <v>58.82</v>
      </c>
      <c r="I424" s="42">
        <v>2001</v>
      </c>
      <c r="J424" s="113">
        <v>5.8576769299043604E+18</v>
      </c>
    </row>
    <row r="425" spans="3:10" x14ac:dyDescent="0.3">
      <c r="C425" s="41" t="b">
        <v>0</v>
      </c>
      <c r="D425" s="42" t="s">
        <v>56</v>
      </c>
      <c r="E425" s="42">
        <v>3</v>
      </c>
      <c r="F425" s="42">
        <v>8.6669999999999998</v>
      </c>
      <c r="G425" s="42">
        <v>3.3000000000000002E-2</v>
      </c>
      <c r="H425" s="42">
        <v>12.58</v>
      </c>
      <c r="I425" s="42">
        <v>2006</v>
      </c>
      <c r="J425" s="113">
        <v>1.1194076607711199E+19</v>
      </c>
    </row>
    <row r="426" spans="3:10" x14ac:dyDescent="0.3">
      <c r="C426" s="41" t="b">
        <v>0</v>
      </c>
      <c r="D426" s="42" t="s">
        <v>56</v>
      </c>
      <c r="E426" s="42">
        <v>3</v>
      </c>
      <c r="F426" s="42">
        <v>31.56</v>
      </c>
      <c r="G426" s="42">
        <v>3.7999999999999999E-2</v>
      </c>
      <c r="H426" s="42">
        <v>12.58</v>
      </c>
      <c r="I426" s="42">
        <v>2006</v>
      </c>
      <c r="J426" s="113">
        <v>3.89984071394515E+18</v>
      </c>
    </row>
    <row r="427" spans="3:10" x14ac:dyDescent="0.3">
      <c r="C427" s="41" t="b">
        <v>0</v>
      </c>
      <c r="D427" s="42" t="s">
        <v>56</v>
      </c>
      <c r="E427" s="42">
        <v>3</v>
      </c>
      <c r="F427" s="42">
        <v>197</v>
      </c>
      <c r="G427" s="42">
        <v>5.8000000000000003E-2</v>
      </c>
      <c r="H427" s="42">
        <v>12.58</v>
      </c>
      <c r="I427" s="42">
        <v>2006</v>
      </c>
      <c r="J427" s="113">
        <v>5.20663344455347E+18</v>
      </c>
    </row>
    <row r="428" spans="3:10" x14ac:dyDescent="0.3">
      <c r="C428" s="41" t="b">
        <v>0</v>
      </c>
      <c r="D428" s="42" t="s">
        <v>56</v>
      </c>
      <c r="E428" s="42">
        <v>1</v>
      </c>
      <c r="F428" s="42">
        <v>851.8</v>
      </c>
      <c r="G428" s="42">
        <v>6.1</v>
      </c>
      <c r="H428" s="42"/>
      <c r="I428" s="42">
        <v>2007</v>
      </c>
      <c r="J428" s="113">
        <v>3.86077591686782E+18</v>
      </c>
    </row>
    <row r="429" spans="3:10" x14ac:dyDescent="0.3">
      <c r="C429" s="41" t="b">
        <v>0</v>
      </c>
      <c r="D429" s="42" t="s">
        <v>56</v>
      </c>
      <c r="E429" s="42">
        <v>1</v>
      </c>
      <c r="F429" s="42">
        <v>2231</v>
      </c>
      <c r="G429" s="42">
        <v>2</v>
      </c>
      <c r="H429" s="42">
        <v>28.76</v>
      </c>
      <c r="I429" s="42">
        <v>2003</v>
      </c>
      <c r="J429" s="113">
        <v>6.2409252568893204E+18</v>
      </c>
    </row>
    <row r="430" spans="3:10" x14ac:dyDescent="0.3">
      <c r="C430" s="41" t="b">
        <v>0</v>
      </c>
      <c r="D430" s="42" t="s">
        <v>56</v>
      </c>
      <c r="E430" s="42">
        <v>1</v>
      </c>
      <c r="F430" s="42">
        <v>3383</v>
      </c>
      <c r="G430" s="42">
        <v>3.15</v>
      </c>
      <c r="H430" s="42">
        <v>51.36</v>
      </c>
      <c r="I430" s="42">
        <v>2002</v>
      </c>
      <c r="J430" s="113">
        <v>1.03591641250084E+19</v>
      </c>
    </row>
    <row r="431" spans="3:10" x14ac:dyDescent="0.3">
      <c r="C431" s="41" t="b">
        <v>0</v>
      </c>
      <c r="D431" s="42" t="s">
        <v>56</v>
      </c>
      <c r="E431" s="42">
        <v>1</v>
      </c>
      <c r="F431" s="42">
        <v>1260</v>
      </c>
      <c r="G431" s="42">
        <v>3.06</v>
      </c>
      <c r="H431" s="42">
        <v>53.05</v>
      </c>
      <c r="I431" s="42">
        <v>2008</v>
      </c>
      <c r="J431" s="113">
        <v>1.8434450125251E+19</v>
      </c>
    </row>
    <row r="432" spans="3:10" x14ac:dyDescent="0.3">
      <c r="C432" s="41" t="b">
        <v>0</v>
      </c>
      <c r="D432" s="42" t="s">
        <v>56</v>
      </c>
      <c r="E432" s="42">
        <v>1</v>
      </c>
      <c r="F432" s="42">
        <v>2.5485799999999998</v>
      </c>
      <c r="G432" s="42">
        <v>1.87</v>
      </c>
      <c r="H432" s="42">
        <v>36.520000000000003</v>
      </c>
      <c r="I432" s="42">
        <v>2003</v>
      </c>
      <c r="J432" s="113">
        <v>4.0861972693257098E+18</v>
      </c>
    </row>
    <row r="433" spans="3:10" x14ac:dyDescent="0.3">
      <c r="C433" s="41" t="b">
        <v>0</v>
      </c>
      <c r="D433" s="42" t="s">
        <v>56</v>
      </c>
      <c r="E433" s="42">
        <v>2</v>
      </c>
      <c r="F433" s="42">
        <v>188.9</v>
      </c>
      <c r="G433" s="42">
        <v>2.25</v>
      </c>
      <c r="H433" s="42">
        <v>94.61</v>
      </c>
      <c r="I433" s="42">
        <v>2002</v>
      </c>
      <c r="J433" s="113">
        <v>6.8925987729470198E+18</v>
      </c>
    </row>
    <row r="434" spans="3:10" x14ac:dyDescent="0.3">
      <c r="C434" s="41" t="b">
        <v>0</v>
      </c>
      <c r="D434" s="42" t="s">
        <v>56</v>
      </c>
      <c r="E434" s="42">
        <v>2</v>
      </c>
      <c r="F434" s="42">
        <v>379.1</v>
      </c>
      <c r="G434" s="42">
        <v>2.25</v>
      </c>
      <c r="H434" s="42">
        <v>94.61</v>
      </c>
      <c r="I434" s="42">
        <v>2005</v>
      </c>
      <c r="J434" s="113">
        <v>7.8705637979286098E+18</v>
      </c>
    </row>
    <row r="435" spans="3:10" x14ac:dyDescent="0.3">
      <c r="C435" s="41" t="b">
        <v>0</v>
      </c>
      <c r="D435" s="42" t="s">
        <v>56</v>
      </c>
      <c r="E435" s="42">
        <v>1</v>
      </c>
      <c r="F435" s="42">
        <v>1800</v>
      </c>
      <c r="G435" s="42">
        <v>1.1499999999999999</v>
      </c>
      <c r="H435" s="42">
        <v>96.99</v>
      </c>
      <c r="I435" s="42">
        <v>2008</v>
      </c>
      <c r="J435" s="113">
        <v>9.1450942381752003E+18</v>
      </c>
    </row>
    <row r="436" spans="3:10" x14ac:dyDescent="0.3">
      <c r="C436" s="41" t="b">
        <v>0</v>
      </c>
      <c r="D436" s="42" t="s">
        <v>56</v>
      </c>
      <c r="E436" s="42">
        <v>3</v>
      </c>
      <c r="F436" s="42">
        <v>51.645000000000003</v>
      </c>
      <c r="G436" s="42">
        <v>1.8</v>
      </c>
      <c r="H436" s="42">
        <v>64.56</v>
      </c>
      <c r="I436" s="42">
        <v>2003</v>
      </c>
      <c r="J436" s="113">
        <v>1.51750466841902E+19</v>
      </c>
    </row>
    <row r="437" spans="3:10" x14ac:dyDescent="0.3">
      <c r="C437" s="41" t="b">
        <v>0</v>
      </c>
      <c r="D437" s="42" t="s">
        <v>56</v>
      </c>
      <c r="E437" s="42">
        <v>3</v>
      </c>
      <c r="F437" s="42">
        <v>2473</v>
      </c>
      <c r="G437" s="42">
        <v>8.06</v>
      </c>
      <c r="H437" s="42">
        <v>64.56</v>
      </c>
      <c r="I437" s="42">
        <v>2003</v>
      </c>
      <c r="J437" s="113">
        <v>1.3709193315811101E+19</v>
      </c>
    </row>
    <row r="438" spans="3:10" x14ac:dyDescent="0.3">
      <c r="C438" s="41" t="b">
        <v>0</v>
      </c>
      <c r="D438" s="42" t="s">
        <v>56</v>
      </c>
      <c r="E438" s="42">
        <v>3</v>
      </c>
      <c r="F438" s="42">
        <v>346.6</v>
      </c>
      <c r="G438" s="42">
        <v>0.39600000000000002</v>
      </c>
      <c r="H438" s="42">
        <v>64.56</v>
      </c>
      <c r="I438" s="42">
        <v>2007</v>
      </c>
      <c r="J438" s="113">
        <v>5.4278171186359798E+18</v>
      </c>
    </row>
    <row r="439" spans="3:10" x14ac:dyDescent="0.3">
      <c r="C439" s="41" t="b">
        <v>0</v>
      </c>
      <c r="D439" s="42" t="s">
        <v>56</v>
      </c>
      <c r="E439" s="42">
        <v>1</v>
      </c>
      <c r="F439" s="42">
        <v>3.51</v>
      </c>
      <c r="G439" s="42">
        <v>0.42</v>
      </c>
      <c r="H439" s="42">
        <v>28.94</v>
      </c>
      <c r="I439" s="42">
        <v>1999</v>
      </c>
      <c r="J439" s="113">
        <v>1.6118848230929601E+19</v>
      </c>
    </row>
    <row r="440" spans="3:10" x14ac:dyDescent="0.3">
      <c r="C440" s="41" t="b">
        <v>0</v>
      </c>
      <c r="D440" s="42" t="s">
        <v>56</v>
      </c>
      <c r="E440" s="42">
        <v>1</v>
      </c>
      <c r="F440" s="42">
        <v>418.2</v>
      </c>
      <c r="G440" s="42">
        <v>2.5099999999999998</v>
      </c>
      <c r="H440" s="42">
        <v>80.58</v>
      </c>
      <c r="I440" s="42">
        <v>2007</v>
      </c>
      <c r="J440" s="113">
        <v>8.9660929072175698E+18</v>
      </c>
    </row>
    <row r="441" spans="3:10" x14ac:dyDescent="0.3">
      <c r="C441" s="41" t="b">
        <v>0</v>
      </c>
      <c r="D441" s="42" t="s">
        <v>56</v>
      </c>
      <c r="E441" s="42">
        <v>1</v>
      </c>
      <c r="F441" s="42">
        <v>3.9710000000000001</v>
      </c>
      <c r="G441" s="42">
        <v>0.19700000000000001</v>
      </c>
      <c r="H441" s="42">
        <v>59.7</v>
      </c>
      <c r="I441" s="42">
        <v>2002</v>
      </c>
      <c r="J441" s="113">
        <v>6.9917897796292495E+18</v>
      </c>
    </row>
    <row r="442" spans="3:10" x14ac:dyDescent="0.3">
      <c r="C442" s="41" t="b">
        <v>0</v>
      </c>
      <c r="D442" s="42" t="s">
        <v>56</v>
      </c>
      <c r="E442" s="42">
        <v>1</v>
      </c>
      <c r="F442" s="42">
        <v>5.7361000000000004</v>
      </c>
      <c r="G442" s="42"/>
      <c r="H442" s="42">
        <v>41.27</v>
      </c>
      <c r="I442" s="42">
        <v>2012</v>
      </c>
      <c r="J442" s="113">
        <v>7.2498916742257295E+18</v>
      </c>
    </row>
    <row r="443" spans="3:10" x14ac:dyDescent="0.3">
      <c r="C443" s="41" t="b">
        <v>0</v>
      </c>
      <c r="D443" s="42" t="s">
        <v>56</v>
      </c>
      <c r="E443" s="42">
        <v>1</v>
      </c>
      <c r="F443" s="42">
        <v>1966.1</v>
      </c>
      <c r="G443" s="42">
        <v>1.34</v>
      </c>
      <c r="H443" s="42">
        <v>48.64</v>
      </c>
      <c r="I443" s="42">
        <v>2011</v>
      </c>
      <c r="J443" s="113">
        <v>1.3854345759897801E+19</v>
      </c>
    </row>
    <row r="444" spans="3:10" x14ac:dyDescent="0.3">
      <c r="C444" s="41" t="b">
        <v>0</v>
      </c>
      <c r="D444" s="42" t="s">
        <v>56</v>
      </c>
      <c r="E444" s="42">
        <v>1</v>
      </c>
      <c r="F444" s="42">
        <v>111.4357</v>
      </c>
      <c r="G444" s="42"/>
      <c r="H444" s="42">
        <v>29.04</v>
      </c>
      <c r="I444" s="42">
        <v>2001</v>
      </c>
      <c r="J444" s="113">
        <v>1.8350173493814799E+18</v>
      </c>
    </row>
    <row r="445" spans="3:10" x14ac:dyDescent="0.3">
      <c r="C445" s="41" t="b">
        <v>0</v>
      </c>
      <c r="D445" s="42" t="s">
        <v>56</v>
      </c>
      <c r="E445" s="42">
        <v>1</v>
      </c>
      <c r="F445" s="42">
        <v>1001.7</v>
      </c>
      <c r="G445" s="42">
        <v>6.86</v>
      </c>
      <c r="H445" s="42">
        <v>32.56</v>
      </c>
      <c r="I445" s="42">
        <v>2005</v>
      </c>
      <c r="J445" s="113">
        <v>2.71348591379874E+18</v>
      </c>
    </row>
    <row r="446" spans="3:10" x14ac:dyDescent="0.3">
      <c r="C446" s="41" t="b">
        <v>0</v>
      </c>
      <c r="D446" s="42" t="s">
        <v>56</v>
      </c>
      <c r="E446" s="42">
        <v>1</v>
      </c>
      <c r="F446" s="42">
        <v>184.02</v>
      </c>
      <c r="G446" s="42">
        <v>2.7</v>
      </c>
      <c r="H446" s="42">
        <v>88.26</v>
      </c>
      <c r="I446" s="42">
        <v>2007</v>
      </c>
      <c r="J446" s="113">
        <v>4.5603331087223598E+18</v>
      </c>
    </row>
    <row r="447" spans="3:10" x14ac:dyDescent="0.3">
      <c r="C447" s="41" t="b">
        <v>0</v>
      </c>
      <c r="D447" s="42" t="s">
        <v>56</v>
      </c>
      <c r="E447" s="42">
        <v>2</v>
      </c>
      <c r="F447" s="42">
        <v>441.47</v>
      </c>
      <c r="G447" s="42"/>
      <c r="H447" s="42">
        <v>27.46</v>
      </c>
      <c r="I447" s="42">
        <v>2003</v>
      </c>
      <c r="J447" s="113">
        <v>9.7896713810830797E+17</v>
      </c>
    </row>
    <row r="448" spans="3:10" x14ac:dyDescent="0.3">
      <c r="C448" s="41" t="b">
        <v>0</v>
      </c>
      <c r="D448" s="42" t="s">
        <v>56</v>
      </c>
      <c r="E448" s="42">
        <v>2</v>
      </c>
      <c r="F448" s="42">
        <v>220.078</v>
      </c>
      <c r="G448" s="42"/>
      <c r="H448" s="42">
        <v>27.46</v>
      </c>
      <c r="I448" s="42">
        <v>2003</v>
      </c>
      <c r="J448" s="113">
        <v>1.3141814695540199E+19</v>
      </c>
    </row>
    <row r="449" spans="3:10" x14ac:dyDescent="0.3">
      <c r="C449" s="41" t="b">
        <v>0</v>
      </c>
      <c r="D449" s="42" t="s">
        <v>56</v>
      </c>
      <c r="E449" s="42">
        <v>1</v>
      </c>
      <c r="F449" s="42">
        <v>705</v>
      </c>
      <c r="G449" s="42">
        <v>1.3</v>
      </c>
      <c r="H449" s="42">
        <v>112.23</v>
      </c>
      <c r="I449" s="42">
        <v>2011</v>
      </c>
      <c r="J449" s="113">
        <v>8.4850100471073495E+18</v>
      </c>
    </row>
    <row r="450" spans="3:10" x14ac:dyDescent="0.3">
      <c r="C450" s="41" t="b">
        <v>0</v>
      </c>
      <c r="D450" s="42" t="s">
        <v>56</v>
      </c>
      <c r="E450" s="42">
        <v>1</v>
      </c>
      <c r="F450" s="42">
        <v>2.9856250000000002</v>
      </c>
      <c r="G450" s="42">
        <v>0.4</v>
      </c>
      <c r="H450" s="42">
        <v>43.53</v>
      </c>
      <c r="I450" s="42">
        <v>2002</v>
      </c>
      <c r="J450" s="113">
        <v>1.4860903050109801E+18</v>
      </c>
    </row>
    <row r="451" spans="3:10" x14ac:dyDescent="0.3">
      <c r="C451" s="41" t="b">
        <v>0</v>
      </c>
      <c r="D451" s="42" t="s">
        <v>56</v>
      </c>
      <c r="E451" s="42">
        <v>1</v>
      </c>
      <c r="F451" s="42">
        <v>788</v>
      </c>
      <c r="G451" s="42">
        <v>0.13200000000000001</v>
      </c>
      <c r="H451" s="42">
        <v>33.96</v>
      </c>
      <c r="I451" s="42">
        <v>2009</v>
      </c>
      <c r="J451" s="113">
        <v>5.6118066265700698E+17</v>
      </c>
    </row>
    <row r="452" spans="3:10" x14ac:dyDescent="0.3">
      <c r="C452" s="41" t="b">
        <v>0</v>
      </c>
      <c r="D452" s="42" t="s">
        <v>56</v>
      </c>
      <c r="E452" s="42">
        <v>1</v>
      </c>
      <c r="F452" s="42">
        <v>58.43</v>
      </c>
      <c r="G452" s="42">
        <v>1.133E-2</v>
      </c>
      <c r="H452" s="42">
        <v>11.15</v>
      </c>
      <c r="I452" s="42">
        <v>2011</v>
      </c>
      <c r="J452" s="113">
        <v>1.1855367619684499E+19</v>
      </c>
    </row>
    <row r="453" spans="3:10" x14ac:dyDescent="0.3">
      <c r="C453" s="41" t="b">
        <v>0</v>
      </c>
      <c r="D453" s="42" t="s">
        <v>56</v>
      </c>
      <c r="E453" s="42">
        <v>1</v>
      </c>
      <c r="F453" s="42">
        <v>2.1375000000000002</v>
      </c>
      <c r="G453" s="42">
        <v>1.5</v>
      </c>
      <c r="H453" s="42">
        <v>91.16</v>
      </c>
      <c r="I453" s="42">
        <v>2006</v>
      </c>
      <c r="J453" s="113">
        <v>7.9977547638782095E+18</v>
      </c>
    </row>
    <row r="454" spans="3:10" x14ac:dyDescent="0.3">
      <c r="C454" s="41" t="b">
        <v>0</v>
      </c>
      <c r="D454" s="42" t="s">
        <v>56</v>
      </c>
      <c r="E454" s="42">
        <v>1</v>
      </c>
      <c r="F454" s="42">
        <v>1695</v>
      </c>
      <c r="G454" s="42">
        <v>0.92</v>
      </c>
      <c r="H454" s="42">
        <v>42.48</v>
      </c>
      <c r="I454" s="42">
        <v>2009</v>
      </c>
      <c r="J454" s="113">
        <v>1.66124394733603E+19</v>
      </c>
    </row>
    <row r="455" spans="3:10" x14ac:dyDescent="0.3">
      <c r="C455" s="41" t="b">
        <v>0</v>
      </c>
      <c r="D455" s="42" t="s">
        <v>56</v>
      </c>
      <c r="E455" s="42">
        <v>1</v>
      </c>
      <c r="F455" s="42">
        <v>1475</v>
      </c>
      <c r="G455" s="42">
        <v>7</v>
      </c>
      <c r="H455" s="42">
        <v>72.569999999999993</v>
      </c>
      <c r="I455" s="42">
        <v>2009</v>
      </c>
      <c r="J455" s="113">
        <v>3.4149333175965199E+18</v>
      </c>
    </row>
    <row r="456" spans="3:10" x14ac:dyDescent="0.3">
      <c r="C456" s="41" t="b">
        <v>0</v>
      </c>
      <c r="D456" s="42" t="s">
        <v>56</v>
      </c>
      <c r="E456" s="42">
        <v>1</v>
      </c>
      <c r="F456" s="42">
        <v>2754</v>
      </c>
      <c r="G456" s="42">
        <v>1.78</v>
      </c>
      <c r="H456" s="42">
        <v>18.059999999999999</v>
      </c>
      <c r="I456" s="42">
        <v>2009</v>
      </c>
      <c r="J456" s="113">
        <v>6.4208438965935002E+18</v>
      </c>
    </row>
    <row r="457" spans="3:10" x14ac:dyDescent="0.3">
      <c r="C457" s="41" t="b">
        <v>0</v>
      </c>
      <c r="D457" s="42" t="s">
        <v>56</v>
      </c>
      <c r="E457" s="42">
        <v>1</v>
      </c>
      <c r="F457" s="42">
        <v>3.4159999999999999</v>
      </c>
      <c r="G457" s="42">
        <v>0.22</v>
      </c>
      <c r="H457" s="42">
        <v>74.459999999999994</v>
      </c>
      <c r="I457" s="42">
        <v>2004</v>
      </c>
      <c r="J457" s="113">
        <v>1.69627172265111E+19</v>
      </c>
    </row>
    <row r="458" spans="3:10" x14ac:dyDescent="0.3">
      <c r="C458" s="41" t="b">
        <v>0</v>
      </c>
      <c r="D458" s="42" t="s">
        <v>56</v>
      </c>
      <c r="E458" s="42">
        <v>1</v>
      </c>
      <c r="F458" s="42">
        <v>2157</v>
      </c>
      <c r="G458" s="42">
        <v>1.78</v>
      </c>
      <c r="H458" s="42">
        <v>30.88</v>
      </c>
      <c r="I458" s="42">
        <v>2009</v>
      </c>
      <c r="J458" s="113">
        <v>1.81693099108875E+19</v>
      </c>
    </row>
    <row r="459" spans="3:10" x14ac:dyDescent="0.3">
      <c r="C459" s="41" t="b">
        <v>0</v>
      </c>
      <c r="D459" s="42" t="s">
        <v>56</v>
      </c>
      <c r="E459" s="42">
        <v>1</v>
      </c>
      <c r="F459" s="42">
        <v>256.77999999999997</v>
      </c>
      <c r="G459" s="42">
        <v>8.44</v>
      </c>
      <c r="H459" s="42">
        <v>38.99</v>
      </c>
      <c r="I459" s="42">
        <v>1999</v>
      </c>
      <c r="J459" s="113">
        <v>1.4392303703159599E+19</v>
      </c>
    </row>
    <row r="460" spans="3:10" x14ac:dyDescent="0.3">
      <c r="C460" s="41" t="b">
        <v>0</v>
      </c>
      <c r="D460" s="42" t="s">
        <v>56</v>
      </c>
      <c r="E460" s="42">
        <v>1</v>
      </c>
      <c r="F460" s="42">
        <v>49.77</v>
      </c>
      <c r="G460" s="42">
        <v>5.7000000000000002E-2</v>
      </c>
      <c r="H460" s="42">
        <v>22.09</v>
      </c>
      <c r="I460" s="42">
        <v>2009</v>
      </c>
      <c r="J460" s="113">
        <v>1.82055885532439E+19</v>
      </c>
    </row>
    <row r="461" spans="3:10" x14ac:dyDescent="0.3">
      <c r="C461" s="41" t="b">
        <v>0</v>
      </c>
      <c r="D461" s="42" t="s">
        <v>56</v>
      </c>
      <c r="E461" s="42">
        <v>1</v>
      </c>
      <c r="F461" s="42">
        <v>325.81</v>
      </c>
      <c r="G461" s="42">
        <v>3.86</v>
      </c>
      <c r="H461" s="42">
        <v>32.32</v>
      </c>
      <c r="I461" s="42">
        <v>2000</v>
      </c>
      <c r="J461" s="113">
        <v>1.40002982803229E+19</v>
      </c>
    </row>
    <row r="462" spans="3:10" x14ac:dyDescent="0.3">
      <c r="C462" s="41" t="b">
        <v>0</v>
      </c>
      <c r="D462" s="42" t="s">
        <v>56</v>
      </c>
      <c r="E462" s="42">
        <v>1</v>
      </c>
      <c r="F462" s="42">
        <v>143.58000000000001</v>
      </c>
      <c r="G462" s="42">
        <v>0.37</v>
      </c>
      <c r="H462" s="42">
        <v>28.9</v>
      </c>
      <c r="I462" s="42">
        <v>2005</v>
      </c>
      <c r="J462" s="113">
        <v>7.8934936581812603E+18</v>
      </c>
    </row>
    <row r="463" spans="3:10" x14ac:dyDescent="0.3">
      <c r="C463" s="41" t="b">
        <v>0</v>
      </c>
      <c r="D463" s="42" t="s">
        <v>56</v>
      </c>
      <c r="E463" s="42">
        <v>2</v>
      </c>
      <c r="F463" s="42">
        <v>13.186</v>
      </c>
      <c r="G463" s="42">
        <v>2.63E-2</v>
      </c>
      <c r="H463" s="42">
        <v>42.52</v>
      </c>
      <c r="I463" s="42">
        <v>2011</v>
      </c>
      <c r="J463" s="113">
        <v>1.60451303466799E+19</v>
      </c>
    </row>
    <row r="464" spans="3:10" x14ac:dyDescent="0.3">
      <c r="C464" s="41" t="b">
        <v>0</v>
      </c>
      <c r="D464" s="42" t="s">
        <v>56</v>
      </c>
      <c r="E464" s="42">
        <v>2</v>
      </c>
      <c r="F464" s="42">
        <v>46.024999999999999</v>
      </c>
      <c r="G464" s="42">
        <v>3.1800000000000002E-2</v>
      </c>
      <c r="H464" s="42">
        <v>42.52</v>
      </c>
      <c r="I464" s="42">
        <v>2011</v>
      </c>
      <c r="J464" s="113">
        <v>1.31016389356335E+19</v>
      </c>
    </row>
    <row r="465" spans="3:10" x14ac:dyDescent="0.3">
      <c r="C465" s="41" t="b">
        <v>0</v>
      </c>
      <c r="D465" s="42" t="s">
        <v>59</v>
      </c>
      <c r="E465" s="42">
        <v>1</v>
      </c>
      <c r="F465" s="42"/>
      <c r="G465" s="42"/>
      <c r="H465" s="42">
        <v>91.57</v>
      </c>
      <c r="I465" s="42">
        <v>2013</v>
      </c>
      <c r="J465" s="113">
        <v>4.9981982421496801E+18</v>
      </c>
    </row>
    <row r="466" spans="3:10" x14ac:dyDescent="0.3">
      <c r="C466" s="41" t="b">
        <v>0</v>
      </c>
      <c r="D466" s="42" t="s">
        <v>56</v>
      </c>
      <c r="E466" s="42">
        <v>1</v>
      </c>
      <c r="F466" s="42">
        <v>507</v>
      </c>
      <c r="G466" s="42">
        <v>1.2</v>
      </c>
      <c r="H466" s="42">
        <v>149.03</v>
      </c>
      <c r="I466" s="42">
        <v>2009</v>
      </c>
      <c r="J466" s="113">
        <v>1.82777494815296E+19</v>
      </c>
    </row>
    <row r="467" spans="3:10" x14ac:dyDescent="0.3">
      <c r="C467" s="41" t="b">
        <v>0</v>
      </c>
      <c r="D467" s="42" t="s">
        <v>56</v>
      </c>
      <c r="E467" s="42">
        <v>1</v>
      </c>
      <c r="F467" s="42">
        <v>361.1</v>
      </c>
      <c r="G467" s="42">
        <v>0.9</v>
      </c>
      <c r="H467" s="42">
        <v>132.80000000000001</v>
      </c>
      <c r="I467" s="42">
        <v>2011</v>
      </c>
      <c r="J467" s="113">
        <v>4.7167057533324401E+18</v>
      </c>
    </row>
    <row r="468" spans="3:10" x14ac:dyDescent="0.3">
      <c r="C468" s="41" t="b">
        <v>0</v>
      </c>
      <c r="D468" s="42" t="s">
        <v>56</v>
      </c>
      <c r="E468" s="42">
        <v>1</v>
      </c>
      <c r="F468" s="42">
        <v>498.9</v>
      </c>
      <c r="G468" s="42">
        <v>0.68</v>
      </c>
      <c r="H468" s="42">
        <v>84.03</v>
      </c>
      <c r="I468" s="42">
        <v>2009</v>
      </c>
      <c r="J468" s="113">
        <v>1.1269491931663999E+19</v>
      </c>
    </row>
    <row r="469" spans="3:10" x14ac:dyDescent="0.3">
      <c r="C469" s="41" t="b">
        <v>0</v>
      </c>
      <c r="D469" s="42" t="s">
        <v>56</v>
      </c>
      <c r="E469" s="42">
        <v>1</v>
      </c>
      <c r="F469" s="42">
        <v>647.29999999999995</v>
      </c>
      <c r="G469" s="42">
        <v>4</v>
      </c>
      <c r="H469" s="42">
        <v>221.24</v>
      </c>
      <c r="I469" s="42">
        <v>2011</v>
      </c>
      <c r="J469" s="113">
        <v>6.9085503872732795E+18</v>
      </c>
    </row>
    <row r="470" spans="3:10" x14ac:dyDescent="0.3">
      <c r="C470" s="41" t="b">
        <v>0</v>
      </c>
      <c r="D470" s="42" t="s">
        <v>56</v>
      </c>
      <c r="E470" s="42">
        <v>2</v>
      </c>
      <c r="F470" s="42">
        <v>8.1256000000000004</v>
      </c>
      <c r="G470" s="42">
        <v>2.8400000000000002E-2</v>
      </c>
      <c r="H470" s="42">
        <v>26.21</v>
      </c>
      <c r="I470" s="42">
        <v>2011</v>
      </c>
      <c r="J470" s="113">
        <v>1.4070480053652099E+19</v>
      </c>
    </row>
    <row r="471" spans="3:10" x14ac:dyDescent="0.3">
      <c r="C471" s="41" t="b">
        <v>0</v>
      </c>
      <c r="D471" s="42" t="s">
        <v>56</v>
      </c>
      <c r="E471" s="42">
        <v>2</v>
      </c>
      <c r="F471" s="42">
        <v>103.49</v>
      </c>
      <c r="G471" s="42">
        <v>0.04</v>
      </c>
      <c r="H471" s="42">
        <v>26.21</v>
      </c>
      <c r="I471" s="42">
        <v>2011</v>
      </c>
      <c r="J471" s="113">
        <v>2.15352271011266E+18</v>
      </c>
    </row>
    <row r="472" spans="3:10" x14ac:dyDescent="0.3">
      <c r="C472" s="41" t="b">
        <v>0</v>
      </c>
      <c r="D472" s="42" t="s">
        <v>56</v>
      </c>
      <c r="E472" s="42">
        <v>1</v>
      </c>
      <c r="F472" s="42">
        <v>9.4939999999999998</v>
      </c>
      <c r="G472" s="42">
        <v>2.5999999999999999E-2</v>
      </c>
      <c r="H472" s="42">
        <v>21.3</v>
      </c>
      <c r="I472" s="42">
        <v>2010</v>
      </c>
      <c r="J472" s="113">
        <v>1.27238892338507E+19</v>
      </c>
    </row>
    <row r="473" spans="3:10" x14ac:dyDescent="0.3">
      <c r="C473" s="41" t="b">
        <v>0</v>
      </c>
      <c r="D473" s="42" t="s">
        <v>56</v>
      </c>
      <c r="E473" s="42">
        <v>1</v>
      </c>
      <c r="F473" s="42">
        <v>436.9</v>
      </c>
      <c r="G473" s="42">
        <v>1.8</v>
      </c>
      <c r="H473" s="42">
        <v>150.38</v>
      </c>
      <c r="I473" s="42">
        <v>2011</v>
      </c>
      <c r="J473" s="113">
        <v>8.3896644644226703E+18</v>
      </c>
    </row>
    <row r="474" spans="3:10" x14ac:dyDescent="0.3">
      <c r="C474" s="41" t="b">
        <v>0</v>
      </c>
      <c r="D474" s="42" t="s">
        <v>56</v>
      </c>
      <c r="E474" s="42">
        <v>1</v>
      </c>
      <c r="F474" s="42">
        <v>4951</v>
      </c>
      <c r="G474" s="42">
        <v>6.8</v>
      </c>
      <c r="H474" s="42">
        <v>42.77</v>
      </c>
      <c r="I474" s="42">
        <v>2012</v>
      </c>
      <c r="J474" s="113">
        <v>1.74246481606591E+19</v>
      </c>
    </row>
    <row r="475" spans="3:10" x14ac:dyDescent="0.3">
      <c r="C475" s="41" t="b">
        <v>0</v>
      </c>
      <c r="D475" s="42" t="s">
        <v>56</v>
      </c>
      <c r="E475" s="42">
        <v>1</v>
      </c>
      <c r="F475" s="42">
        <v>439.3</v>
      </c>
      <c r="G475" s="42">
        <v>0.502</v>
      </c>
      <c r="H475" s="42">
        <v>60.46</v>
      </c>
      <c r="I475" s="42">
        <v>2005</v>
      </c>
      <c r="J475" s="113">
        <v>1.83765603185594E+19</v>
      </c>
    </row>
    <row r="476" spans="3:10" x14ac:dyDescent="0.3">
      <c r="C476" s="41" t="b">
        <v>0</v>
      </c>
      <c r="D476" s="42" t="s">
        <v>56</v>
      </c>
      <c r="E476" s="42">
        <v>2</v>
      </c>
      <c r="F476" s="42">
        <v>17.053999999999998</v>
      </c>
      <c r="G476" s="42">
        <v>8.6999999999999994E-2</v>
      </c>
      <c r="H476" s="42">
        <v>17.989999999999998</v>
      </c>
      <c r="I476" s="42">
        <v>2004</v>
      </c>
      <c r="J476" s="113">
        <v>7.1811747209556695E+18</v>
      </c>
    </row>
    <row r="477" spans="3:10" x14ac:dyDescent="0.3">
      <c r="C477" s="41" t="b">
        <v>0</v>
      </c>
      <c r="D477" s="42" t="s">
        <v>56</v>
      </c>
      <c r="E477" s="42">
        <v>2</v>
      </c>
      <c r="F477" s="42">
        <v>4970</v>
      </c>
      <c r="G477" s="42">
        <v>0.36</v>
      </c>
      <c r="H477" s="42">
        <v>17.989999999999998</v>
      </c>
      <c r="I477" s="42">
        <v>2010</v>
      </c>
      <c r="J477" s="113">
        <v>1.29422910037544E+19</v>
      </c>
    </row>
    <row r="478" spans="3:10" x14ac:dyDescent="0.3">
      <c r="C478" s="41" t="b">
        <v>0</v>
      </c>
      <c r="D478" s="42" t="s">
        <v>56</v>
      </c>
      <c r="E478" s="42">
        <v>1</v>
      </c>
      <c r="F478" s="42">
        <v>868</v>
      </c>
      <c r="G478" s="42">
        <v>1.4</v>
      </c>
      <c r="H478" s="42">
        <v>130.88999999999999</v>
      </c>
      <c r="I478" s="42">
        <v>2011</v>
      </c>
      <c r="J478" s="113">
        <v>1.20071229708526E+19</v>
      </c>
    </row>
    <row r="479" spans="3:10" x14ac:dyDescent="0.3">
      <c r="C479" s="41" t="b">
        <v>0</v>
      </c>
      <c r="D479" s="42" t="s">
        <v>56</v>
      </c>
      <c r="E479" s="42">
        <v>1</v>
      </c>
      <c r="F479" s="42">
        <v>157.57</v>
      </c>
      <c r="G479" s="42">
        <v>1.7</v>
      </c>
      <c r="H479" s="42">
        <v>140.85</v>
      </c>
      <c r="I479" s="42">
        <v>2011</v>
      </c>
      <c r="J479" s="113">
        <v>6.5467556640182804E+18</v>
      </c>
    </row>
    <row r="480" spans="3:10" x14ac:dyDescent="0.3">
      <c r="C480" s="41" t="b">
        <v>0</v>
      </c>
      <c r="D480" s="42" t="s">
        <v>56</v>
      </c>
      <c r="E480" s="42">
        <v>1</v>
      </c>
      <c r="F480" s="42">
        <v>383.7</v>
      </c>
      <c r="G480" s="42">
        <v>1.1599999999999999</v>
      </c>
      <c r="H480" s="42">
        <v>52.8</v>
      </c>
      <c r="I480" s="42">
        <v>2007</v>
      </c>
      <c r="J480" s="113">
        <v>9.05325760847215E+18</v>
      </c>
    </row>
    <row r="481" spans="3:10" x14ac:dyDescent="0.3">
      <c r="C481" s="41" t="b">
        <v>0</v>
      </c>
      <c r="D481" s="42" t="s">
        <v>56</v>
      </c>
      <c r="E481" s="42">
        <v>1</v>
      </c>
      <c r="F481" s="42">
        <v>70.459999999999994</v>
      </c>
      <c r="G481" s="42">
        <v>0.3</v>
      </c>
      <c r="H481" s="42">
        <v>30.5</v>
      </c>
      <c r="I481" s="42">
        <v>2005</v>
      </c>
      <c r="J481" s="113">
        <v>2.6026313069772498E+18</v>
      </c>
    </row>
    <row r="482" spans="3:10" x14ac:dyDescent="0.3">
      <c r="C482" s="41" t="b">
        <v>0</v>
      </c>
      <c r="D482" s="42" t="s">
        <v>56</v>
      </c>
      <c r="E482" s="42">
        <v>1</v>
      </c>
      <c r="F482" s="42">
        <v>20.813300000000002</v>
      </c>
      <c r="G482" s="42">
        <v>0.17199999999999999</v>
      </c>
      <c r="H482" s="42">
        <v>42</v>
      </c>
      <c r="I482" s="42">
        <v>2005</v>
      </c>
      <c r="J482" s="113">
        <v>3.7901373711456701E+18</v>
      </c>
    </row>
    <row r="483" spans="3:10" x14ac:dyDescent="0.3">
      <c r="C483" s="41" t="b">
        <v>0</v>
      </c>
      <c r="D483" s="42" t="s">
        <v>56</v>
      </c>
      <c r="E483" s="42">
        <v>1</v>
      </c>
      <c r="F483" s="42">
        <v>4.1137750000000004</v>
      </c>
      <c r="G483" s="42">
        <v>0.45</v>
      </c>
      <c r="H483" s="42">
        <v>28.98</v>
      </c>
      <c r="I483" s="42">
        <v>2006</v>
      </c>
      <c r="J483" s="113">
        <v>1.5792911428964E+19</v>
      </c>
    </row>
    <row r="484" spans="3:10" x14ac:dyDescent="0.3">
      <c r="C484" s="41" t="b">
        <v>0</v>
      </c>
      <c r="D484" s="42" t="s">
        <v>56</v>
      </c>
      <c r="E484" s="42">
        <v>2</v>
      </c>
      <c r="F484" s="42">
        <v>127.58</v>
      </c>
      <c r="G484" s="42">
        <v>5.9</v>
      </c>
      <c r="H484" s="42">
        <v>164.2</v>
      </c>
      <c r="I484" s="42">
        <v>2008</v>
      </c>
      <c r="J484" s="113">
        <v>9.0629980291057705E+18</v>
      </c>
    </row>
    <row r="485" spans="3:10" x14ac:dyDescent="0.3">
      <c r="C485" s="41" t="b">
        <v>0</v>
      </c>
      <c r="D485" s="42" t="s">
        <v>56</v>
      </c>
      <c r="E485" s="42">
        <v>2</v>
      </c>
      <c r="F485" s="42">
        <v>520</v>
      </c>
      <c r="G485" s="42">
        <v>2.6</v>
      </c>
      <c r="H485" s="42">
        <v>164.2</v>
      </c>
      <c r="I485" s="42">
        <v>2008</v>
      </c>
      <c r="J485" s="113">
        <v>1.3599984975382301E+19</v>
      </c>
    </row>
    <row r="486" spans="3:10" x14ac:dyDescent="0.3">
      <c r="C486" s="41" t="b">
        <v>0</v>
      </c>
      <c r="D486" s="42" t="s">
        <v>56</v>
      </c>
      <c r="E486" s="42">
        <v>1</v>
      </c>
      <c r="F486" s="42">
        <v>122.1</v>
      </c>
      <c r="G486" s="42">
        <v>0.05</v>
      </c>
      <c r="H486" s="42">
        <v>9.24</v>
      </c>
      <c r="I486" s="42">
        <v>2010</v>
      </c>
      <c r="J486" s="113">
        <v>1.2189607699516001E+18</v>
      </c>
    </row>
    <row r="487" spans="3:10" x14ac:dyDescent="0.3">
      <c r="C487" s="41" t="b">
        <v>0</v>
      </c>
      <c r="D487" s="42" t="s">
        <v>56</v>
      </c>
      <c r="E487" s="42">
        <v>1</v>
      </c>
      <c r="F487" s="42">
        <v>778.1</v>
      </c>
      <c r="G487" s="42">
        <v>5.9</v>
      </c>
      <c r="H487" s="42">
        <v>138.5</v>
      </c>
      <c r="I487" s="42">
        <v>2011</v>
      </c>
      <c r="J487" s="113">
        <v>1.1440472961631199E+19</v>
      </c>
    </row>
    <row r="488" spans="3:10" x14ac:dyDescent="0.3">
      <c r="C488" s="41" t="b">
        <v>0</v>
      </c>
      <c r="D488" s="42" t="s">
        <v>56</v>
      </c>
      <c r="E488" s="42">
        <v>1</v>
      </c>
      <c r="F488" s="42">
        <v>6.4950000000000001</v>
      </c>
      <c r="G488" s="42">
        <v>0.96</v>
      </c>
      <c r="H488" s="42">
        <v>121.07</v>
      </c>
      <c r="I488" s="42">
        <v>2010</v>
      </c>
      <c r="J488" s="113">
        <v>5.0827626670201098E+18</v>
      </c>
    </row>
    <row r="489" spans="3:10" x14ac:dyDescent="0.3">
      <c r="C489" s="41" t="b">
        <v>0</v>
      </c>
      <c r="D489" s="42" t="s">
        <v>56</v>
      </c>
      <c r="E489" s="42">
        <v>1</v>
      </c>
      <c r="F489" s="42">
        <v>47.84</v>
      </c>
      <c r="G489" s="42">
        <v>9.8000000000000004E-2</v>
      </c>
      <c r="H489" s="42">
        <v>49.33</v>
      </c>
      <c r="I489" s="42">
        <v>2009</v>
      </c>
      <c r="J489" s="113">
        <v>1.52918999267461E+19</v>
      </c>
    </row>
    <row r="490" spans="3:10" x14ac:dyDescent="0.3">
      <c r="C490" s="41" t="b">
        <v>0</v>
      </c>
      <c r="D490" s="42" t="s">
        <v>56</v>
      </c>
      <c r="E490" s="42">
        <v>1</v>
      </c>
      <c r="F490" s="42">
        <v>5.8880999999999997</v>
      </c>
      <c r="G490" s="42">
        <v>0.36699999999999999</v>
      </c>
      <c r="H490" s="42">
        <v>53.08</v>
      </c>
      <c r="I490" s="42">
        <v>2013</v>
      </c>
      <c r="J490" s="113">
        <v>9.3337963769047798E+18</v>
      </c>
    </row>
    <row r="491" spans="3:10" x14ac:dyDescent="0.3">
      <c r="C491" s="41" t="b">
        <v>0</v>
      </c>
      <c r="D491" s="42" t="s">
        <v>56</v>
      </c>
      <c r="E491" s="42">
        <v>1</v>
      </c>
      <c r="F491" s="42">
        <v>55.805999999999997</v>
      </c>
      <c r="G491" s="42">
        <v>0.186</v>
      </c>
      <c r="H491" s="42">
        <v>20.82</v>
      </c>
      <c r="I491" s="42">
        <v>2009</v>
      </c>
      <c r="J491" s="113">
        <v>3.5305119042084198E+18</v>
      </c>
    </row>
    <row r="492" spans="3:10" x14ac:dyDescent="0.3">
      <c r="C492" s="41" t="b">
        <v>0</v>
      </c>
      <c r="D492" s="42" t="s">
        <v>56</v>
      </c>
      <c r="E492" s="42">
        <v>1</v>
      </c>
      <c r="F492" s="42">
        <v>199.505</v>
      </c>
      <c r="G492" s="42">
        <v>8.3000000000000007</v>
      </c>
      <c r="H492" s="42">
        <v>102.04</v>
      </c>
      <c r="I492" s="42">
        <v>2003</v>
      </c>
      <c r="J492" s="113">
        <v>1.79139177151389E+19</v>
      </c>
    </row>
    <row r="493" spans="3:10" x14ac:dyDescent="0.3">
      <c r="C493" s="41" t="b">
        <v>0</v>
      </c>
      <c r="D493" s="42" t="s">
        <v>56</v>
      </c>
      <c r="E493" s="42">
        <v>1</v>
      </c>
      <c r="F493" s="42">
        <v>1531</v>
      </c>
      <c r="G493" s="42">
        <v>6.92</v>
      </c>
      <c r="H493" s="42">
        <v>37.44</v>
      </c>
      <c r="I493" s="42">
        <v>2002</v>
      </c>
      <c r="J493" s="113">
        <v>6.6310912351696404E+18</v>
      </c>
    </row>
    <row r="494" spans="3:10" x14ac:dyDescent="0.3">
      <c r="C494" s="41" t="b">
        <v>0</v>
      </c>
      <c r="D494" s="42" t="s">
        <v>56</v>
      </c>
      <c r="E494" s="42">
        <v>1</v>
      </c>
      <c r="F494" s="42">
        <v>2890</v>
      </c>
      <c r="G494" s="42">
        <v>11</v>
      </c>
      <c r="H494" s="42">
        <v>87.87</v>
      </c>
      <c r="I494" s="42">
        <v>2011</v>
      </c>
      <c r="J494" s="113">
        <v>7.2989321767175096E+18</v>
      </c>
    </row>
    <row r="495" spans="3:10" x14ac:dyDescent="0.3">
      <c r="C495" s="41" t="b">
        <v>0</v>
      </c>
      <c r="D495" s="42" t="s">
        <v>56</v>
      </c>
      <c r="E495" s="42">
        <v>1</v>
      </c>
      <c r="F495" s="42">
        <v>3630</v>
      </c>
      <c r="G495" s="42">
        <v>9.61</v>
      </c>
      <c r="H495" s="42">
        <v>36.36</v>
      </c>
      <c r="I495" s="42">
        <v>2012</v>
      </c>
      <c r="J495" s="113">
        <v>7.2654355331448699E+18</v>
      </c>
    </row>
    <row r="496" spans="3:10" x14ac:dyDescent="0.3">
      <c r="C496" s="41" t="b">
        <v>0</v>
      </c>
      <c r="D496" s="42" t="s">
        <v>59</v>
      </c>
      <c r="E496" s="42">
        <v>1</v>
      </c>
      <c r="F496" s="42"/>
      <c r="G496" s="42"/>
      <c r="H496" s="42">
        <v>91.83</v>
      </c>
      <c r="I496" s="42">
        <v>2013</v>
      </c>
      <c r="J496" s="113">
        <v>3.18895397329649E+18</v>
      </c>
    </row>
    <row r="497" spans="3:10" x14ac:dyDescent="0.3">
      <c r="C497" s="41" t="b">
        <v>0</v>
      </c>
      <c r="D497" s="42" t="s">
        <v>56</v>
      </c>
      <c r="E497" s="42">
        <v>1</v>
      </c>
      <c r="F497" s="42">
        <v>48.055999999999997</v>
      </c>
      <c r="G497" s="42">
        <v>0.21</v>
      </c>
      <c r="H497" s="42">
        <v>51.26</v>
      </c>
      <c r="I497" s="42">
        <v>2005</v>
      </c>
      <c r="J497" s="113">
        <v>2.35590209663456E+18</v>
      </c>
    </row>
    <row r="498" spans="3:10" x14ac:dyDescent="0.3">
      <c r="C498" s="41" t="b">
        <v>0</v>
      </c>
      <c r="D498" s="42" t="s">
        <v>56</v>
      </c>
      <c r="E498" s="42">
        <v>1</v>
      </c>
      <c r="F498" s="42">
        <v>10.8985</v>
      </c>
      <c r="G498" s="42">
        <v>0.26100000000000001</v>
      </c>
      <c r="H498" s="42">
        <v>38.56</v>
      </c>
      <c r="I498" s="42">
        <v>2002</v>
      </c>
      <c r="J498" s="113">
        <v>9.7743807581328499E+17</v>
      </c>
    </row>
    <row r="499" spans="3:10" x14ac:dyDescent="0.3">
      <c r="C499" s="41" t="b">
        <v>0</v>
      </c>
      <c r="D499" s="42" t="s">
        <v>56</v>
      </c>
      <c r="E499" s="42">
        <v>1</v>
      </c>
      <c r="F499" s="42">
        <v>443.4</v>
      </c>
      <c r="G499" s="42">
        <v>2.6</v>
      </c>
      <c r="H499" s="42">
        <v>138.5</v>
      </c>
      <c r="I499" s="42">
        <v>2011</v>
      </c>
      <c r="J499" s="113">
        <v>4.1928389088127498E+18</v>
      </c>
    </row>
    <row r="500" spans="3:10" x14ac:dyDescent="0.3">
      <c r="C500" s="41" t="b">
        <v>0</v>
      </c>
      <c r="D500" s="42" t="s">
        <v>56</v>
      </c>
      <c r="E500" s="42">
        <v>2</v>
      </c>
      <c r="F500" s="42">
        <v>395.8</v>
      </c>
      <c r="G500" s="42">
        <v>1.29</v>
      </c>
      <c r="H500" s="42">
        <v>68.540000000000006</v>
      </c>
      <c r="I500" s="42">
        <v>2002</v>
      </c>
      <c r="J500" s="113">
        <v>9.0882935661570304E+18</v>
      </c>
    </row>
    <row r="501" spans="3:10" x14ac:dyDescent="0.3">
      <c r="C501" s="41" t="b">
        <v>0</v>
      </c>
      <c r="D501" s="42" t="s">
        <v>56</v>
      </c>
      <c r="E501" s="42">
        <v>2</v>
      </c>
      <c r="F501" s="42">
        <v>1624</v>
      </c>
      <c r="G501" s="42">
        <v>0.99</v>
      </c>
      <c r="H501" s="42">
        <v>68.540000000000006</v>
      </c>
      <c r="I501" s="42">
        <v>2005</v>
      </c>
      <c r="J501" s="113">
        <v>9.4827568291938898E+18</v>
      </c>
    </row>
    <row r="502" spans="3:10" x14ac:dyDescent="0.3">
      <c r="C502" s="41" t="b">
        <v>0</v>
      </c>
      <c r="D502" s="42" t="s">
        <v>56</v>
      </c>
      <c r="E502" s="42">
        <v>1</v>
      </c>
      <c r="F502" s="42">
        <v>68.27</v>
      </c>
      <c r="G502" s="42">
        <v>0.77</v>
      </c>
      <c r="H502" s="42">
        <v>65.62</v>
      </c>
      <c r="I502" s="42">
        <v>2010</v>
      </c>
      <c r="J502" s="113">
        <v>9.5790913809447301E+18</v>
      </c>
    </row>
    <row r="503" spans="3:10" x14ac:dyDescent="0.3">
      <c r="C503" s="41" t="b">
        <v>0</v>
      </c>
      <c r="D503" s="42" t="s">
        <v>56</v>
      </c>
      <c r="E503" s="42">
        <v>2</v>
      </c>
      <c r="F503" s="42">
        <v>7.8543000000000003</v>
      </c>
      <c r="G503" s="42">
        <v>5.3999999999999999E-2</v>
      </c>
      <c r="H503" s="42">
        <v>56.92</v>
      </c>
      <c r="I503" s="42">
        <v>2013</v>
      </c>
      <c r="J503" s="113">
        <v>6.18748048122317E+18</v>
      </c>
    </row>
    <row r="504" spans="3:10" x14ac:dyDescent="0.3">
      <c r="C504" s="41" t="b">
        <v>0</v>
      </c>
      <c r="D504" s="42" t="s">
        <v>56</v>
      </c>
      <c r="E504" s="42">
        <v>2</v>
      </c>
      <c r="F504" s="42">
        <v>30.93</v>
      </c>
      <c r="G504" s="42">
        <v>7.5999999999999998E-2</v>
      </c>
      <c r="H504" s="42">
        <v>56.92</v>
      </c>
      <c r="I504" s="42">
        <v>2013</v>
      </c>
      <c r="J504" s="113">
        <v>1.8051656303494799E+19</v>
      </c>
    </row>
    <row r="505" spans="3:10" x14ac:dyDescent="0.3">
      <c r="C505" s="41" t="b">
        <v>0</v>
      </c>
      <c r="D505" s="42" t="s">
        <v>56</v>
      </c>
      <c r="E505" s="42">
        <v>1</v>
      </c>
      <c r="F505" s="42">
        <v>5.24</v>
      </c>
      <c r="G505" s="42">
        <v>0.28000000000000003</v>
      </c>
      <c r="H505" s="42">
        <v>59.03</v>
      </c>
      <c r="I505" s="42">
        <v>2005</v>
      </c>
      <c r="J505" s="113">
        <v>1.1508492670537099E+19</v>
      </c>
    </row>
    <row r="506" spans="3:10" x14ac:dyDescent="0.3">
      <c r="C506" s="41" t="b">
        <v>0</v>
      </c>
      <c r="D506" s="42" t="s">
        <v>56</v>
      </c>
      <c r="E506" s="42">
        <v>1</v>
      </c>
      <c r="F506" s="42">
        <v>835.47699999999998</v>
      </c>
      <c r="G506" s="42">
        <v>11.09</v>
      </c>
      <c r="H506" s="42">
        <v>97.66</v>
      </c>
      <c r="I506" s="42">
        <v>2009</v>
      </c>
      <c r="J506" s="113">
        <v>1.62217347119407E+19</v>
      </c>
    </row>
    <row r="507" spans="3:10" x14ac:dyDescent="0.3">
      <c r="C507" s="41" t="b">
        <v>0</v>
      </c>
      <c r="D507" s="42" t="s">
        <v>56</v>
      </c>
      <c r="E507" s="42">
        <v>1</v>
      </c>
      <c r="F507" s="42">
        <v>1143</v>
      </c>
      <c r="G507" s="42">
        <v>6.8</v>
      </c>
      <c r="H507" s="42">
        <v>28.88</v>
      </c>
      <c r="I507" s="42">
        <v>2003</v>
      </c>
      <c r="J507" s="113">
        <v>4.60467288315693E+18</v>
      </c>
    </row>
    <row r="508" spans="3:10" x14ac:dyDescent="0.3">
      <c r="C508" s="41" t="b">
        <v>0</v>
      </c>
      <c r="D508" s="42" t="s">
        <v>56</v>
      </c>
      <c r="E508" s="42">
        <v>1</v>
      </c>
      <c r="F508" s="42">
        <v>324</v>
      </c>
      <c r="G508" s="42">
        <v>2.83</v>
      </c>
      <c r="H508" s="42">
        <v>37.42</v>
      </c>
      <c r="I508" s="42">
        <v>2013</v>
      </c>
      <c r="J508" s="113">
        <v>4.5963295186726902E+18</v>
      </c>
    </row>
    <row r="509" spans="3:10" x14ac:dyDescent="0.3">
      <c r="C509" s="41" t="b">
        <v>0</v>
      </c>
      <c r="D509" s="42" t="s">
        <v>56</v>
      </c>
      <c r="E509" s="42">
        <v>2</v>
      </c>
      <c r="F509" s="42">
        <v>263.3</v>
      </c>
      <c r="G509" s="42">
        <v>0.27</v>
      </c>
      <c r="H509" s="42">
        <v>15.71</v>
      </c>
      <c r="I509" s="42">
        <v>2010</v>
      </c>
      <c r="J509" s="113">
        <v>1.5367130402277399E+18</v>
      </c>
    </row>
    <row r="510" spans="3:10" x14ac:dyDescent="0.3">
      <c r="C510" s="41" t="b">
        <v>0</v>
      </c>
      <c r="D510" s="42" t="s">
        <v>56</v>
      </c>
      <c r="E510" s="42">
        <v>2</v>
      </c>
      <c r="F510" s="42">
        <v>1657</v>
      </c>
      <c r="G510" s="42">
        <v>0.71</v>
      </c>
      <c r="H510" s="42">
        <v>15.71</v>
      </c>
      <c r="I510" s="42">
        <v>2010</v>
      </c>
      <c r="J510" s="113">
        <v>3.2270020621348301E+18</v>
      </c>
    </row>
    <row r="511" spans="3:10" x14ac:dyDescent="0.3">
      <c r="C511" s="41" t="b">
        <v>0</v>
      </c>
      <c r="D511" s="42" t="s">
        <v>56</v>
      </c>
      <c r="E511" s="42">
        <v>2</v>
      </c>
      <c r="F511" s="42">
        <v>937.7</v>
      </c>
      <c r="G511" s="42">
        <v>1.24</v>
      </c>
      <c r="H511" s="42">
        <v>28.04</v>
      </c>
      <c r="I511" s="42">
        <v>2003</v>
      </c>
      <c r="J511" s="113">
        <v>6.7934726818880297E+18</v>
      </c>
    </row>
    <row r="512" spans="3:10" x14ac:dyDescent="0.3">
      <c r="C512" s="41" t="b">
        <v>0</v>
      </c>
      <c r="D512" s="42" t="s">
        <v>56</v>
      </c>
      <c r="E512" s="42">
        <v>2</v>
      </c>
      <c r="F512" s="42">
        <v>1046</v>
      </c>
      <c r="G512" s="42"/>
      <c r="H512" s="42">
        <v>28.04</v>
      </c>
      <c r="I512" s="42">
        <v>2011</v>
      </c>
      <c r="J512" s="113">
        <v>1.36458105944884E+19</v>
      </c>
    </row>
    <row r="513" spans="3:10" x14ac:dyDescent="0.3">
      <c r="C513" s="41" t="b">
        <v>0</v>
      </c>
      <c r="D513" s="42" t="s">
        <v>56</v>
      </c>
      <c r="E513" s="42">
        <v>1</v>
      </c>
      <c r="F513" s="42">
        <v>3827</v>
      </c>
      <c r="G513" s="42">
        <v>0.48</v>
      </c>
      <c r="H513" s="42">
        <v>20.48</v>
      </c>
      <c r="I513" s="42">
        <v>2014</v>
      </c>
      <c r="J513" s="113">
        <v>1.74924812096484E+19</v>
      </c>
    </row>
    <row r="514" spans="3:10" x14ac:dyDescent="0.3">
      <c r="C514" s="41" t="b">
        <v>0</v>
      </c>
      <c r="D514" s="42" t="s">
        <v>56</v>
      </c>
      <c r="E514" s="42">
        <v>1</v>
      </c>
      <c r="F514" s="42">
        <v>83.888000000000005</v>
      </c>
      <c r="G514" s="42">
        <v>11.68</v>
      </c>
      <c r="H514" s="42">
        <v>40.57</v>
      </c>
      <c r="I514" s="42">
        <v>1989</v>
      </c>
      <c r="J514" s="113">
        <v>1.22691567328396E+19</v>
      </c>
    </row>
    <row r="515" spans="3:10" x14ac:dyDescent="0.3">
      <c r="C515" s="41" t="b">
        <v>0</v>
      </c>
      <c r="D515" s="42" t="s">
        <v>56</v>
      </c>
      <c r="E515" s="42">
        <v>1</v>
      </c>
      <c r="F515" s="42">
        <v>493.7</v>
      </c>
      <c r="G515" s="42">
        <v>1.1000000000000001</v>
      </c>
      <c r="H515" s="42">
        <v>20.43</v>
      </c>
      <c r="I515" s="42">
        <v>2001</v>
      </c>
      <c r="J515" s="113">
        <v>1.2169084814119999E+19</v>
      </c>
    </row>
    <row r="516" spans="3:10" x14ac:dyDescent="0.3">
      <c r="C516" s="41" t="b">
        <v>0</v>
      </c>
      <c r="D516" s="42" t="s">
        <v>56</v>
      </c>
      <c r="E516" s="42">
        <v>1</v>
      </c>
      <c r="F516" s="42">
        <v>1114</v>
      </c>
      <c r="G516" s="42">
        <v>0.95</v>
      </c>
      <c r="H516" s="42">
        <v>35</v>
      </c>
      <c r="I516" s="42">
        <v>2002</v>
      </c>
      <c r="J516" s="113">
        <v>1.05898860427015E+19</v>
      </c>
    </row>
    <row r="517" spans="3:10" x14ac:dyDescent="0.3">
      <c r="C517" s="41" t="b">
        <v>0</v>
      </c>
      <c r="D517" s="42" t="s">
        <v>56</v>
      </c>
      <c r="E517" s="42">
        <v>1</v>
      </c>
      <c r="F517" s="42">
        <v>670</v>
      </c>
      <c r="G517" s="42">
        <v>2.1</v>
      </c>
      <c r="H517" s="42">
        <v>110.62</v>
      </c>
      <c r="I517" s="42">
        <v>2011</v>
      </c>
      <c r="J517" s="113">
        <v>5.6795793476977203E+18</v>
      </c>
    </row>
    <row r="518" spans="3:10" x14ac:dyDescent="0.3">
      <c r="C518" s="41" t="b">
        <v>0</v>
      </c>
      <c r="D518" s="42" t="s">
        <v>56</v>
      </c>
      <c r="E518" s="42">
        <v>1</v>
      </c>
      <c r="F518" s="42">
        <v>2597</v>
      </c>
      <c r="G518" s="42">
        <v>1.88</v>
      </c>
      <c r="H518" s="42">
        <v>33.01</v>
      </c>
      <c r="I518" s="42">
        <v>2004</v>
      </c>
      <c r="J518" s="113">
        <v>2.7022400058189901E+18</v>
      </c>
    </row>
    <row r="519" spans="3:10" x14ac:dyDescent="0.3">
      <c r="C519" s="41" t="b">
        <v>0</v>
      </c>
      <c r="D519" s="42" t="s">
        <v>56</v>
      </c>
      <c r="E519" s="42">
        <v>1</v>
      </c>
      <c r="F519" s="42">
        <v>25.827000000000002</v>
      </c>
      <c r="G519" s="42">
        <v>0.17799999999999999</v>
      </c>
      <c r="H519" s="42">
        <v>38.020000000000003</v>
      </c>
      <c r="I519" s="42">
        <v>2004</v>
      </c>
      <c r="J519" s="113">
        <v>5.0967521562307799E+18</v>
      </c>
    </row>
    <row r="520" spans="3:10" x14ac:dyDescent="0.3">
      <c r="C520" s="41" t="b">
        <v>0</v>
      </c>
      <c r="D520" s="42" t="s">
        <v>56</v>
      </c>
      <c r="E520" s="42">
        <v>1</v>
      </c>
      <c r="F520" s="42">
        <v>6.1334999999999997</v>
      </c>
      <c r="G520" s="42">
        <v>2.13</v>
      </c>
      <c r="H520" s="42">
        <v>88.57</v>
      </c>
      <c r="I520" s="42">
        <v>2005</v>
      </c>
      <c r="J520" s="113">
        <v>2.1966662350691699E+18</v>
      </c>
    </row>
    <row r="521" spans="3:10" x14ac:dyDescent="0.3">
      <c r="C521" s="41" t="b">
        <v>0</v>
      </c>
      <c r="D521" s="42" t="s">
        <v>56</v>
      </c>
      <c r="E521" s="42">
        <v>1</v>
      </c>
      <c r="F521" s="42">
        <v>2082</v>
      </c>
      <c r="G521" s="42">
        <v>4.5</v>
      </c>
      <c r="H521" s="42">
        <v>97.66</v>
      </c>
      <c r="I521" s="42">
        <v>2013</v>
      </c>
      <c r="J521" s="113">
        <v>1.3333118349847699E+19</v>
      </c>
    </row>
    <row r="522" spans="3:10" x14ac:dyDescent="0.3">
      <c r="C522" s="41" t="b">
        <v>0</v>
      </c>
      <c r="D522" s="42" t="s">
        <v>56</v>
      </c>
      <c r="E522" s="42">
        <v>1</v>
      </c>
      <c r="F522" s="42">
        <v>63.33</v>
      </c>
      <c r="G522" s="42">
        <v>1.22</v>
      </c>
      <c r="H522" s="42">
        <v>44.37</v>
      </c>
      <c r="I522" s="42">
        <v>2003</v>
      </c>
      <c r="J522" s="113">
        <v>6.95611845902387E+18</v>
      </c>
    </row>
    <row r="523" spans="3:10" x14ac:dyDescent="0.3">
      <c r="C523" s="41" t="b">
        <v>0</v>
      </c>
      <c r="D523" s="42" t="s">
        <v>56</v>
      </c>
      <c r="E523" s="42">
        <v>1</v>
      </c>
      <c r="F523" s="42">
        <v>344.95</v>
      </c>
      <c r="G523" s="42">
        <v>3.71</v>
      </c>
      <c r="H523" s="42">
        <v>133.16</v>
      </c>
      <c r="I523" s="42">
        <v>2003</v>
      </c>
      <c r="J523" s="113">
        <v>2.8889625511454602E+18</v>
      </c>
    </row>
    <row r="524" spans="3:10" x14ac:dyDescent="0.3">
      <c r="C524" s="41" t="b">
        <v>0</v>
      </c>
      <c r="D524" s="42" t="s">
        <v>56</v>
      </c>
      <c r="E524" s="42">
        <v>3</v>
      </c>
      <c r="F524" s="42">
        <v>559.4</v>
      </c>
      <c r="G524" s="42">
        <v>3</v>
      </c>
      <c r="H524" s="42">
        <v>52.83</v>
      </c>
      <c r="I524" s="42">
        <v>2007</v>
      </c>
      <c r="J524" s="113">
        <v>9.0373997436659999E+18</v>
      </c>
    </row>
    <row r="525" spans="3:10" x14ac:dyDescent="0.3">
      <c r="C525" s="41" t="b">
        <v>0</v>
      </c>
      <c r="D525" s="42" t="s">
        <v>56</v>
      </c>
      <c r="E525" s="42">
        <v>3</v>
      </c>
      <c r="F525" s="42">
        <v>4.1547000000000001</v>
      </c>
      <c r="G525" s="42">
        <v>5.8000000000000003E-2</v>
      </c>
      <c r="H525" s="42">
        <v>52.83</v>
      </c>
      <c r="I525" s="42">
        <v>2009</v>
      </c>
      <c r="J525" s="113">
        <v>1.7976329919603401E+19</v>
      </c>
    </row>
    <row r="526" spans="3:10" x14ac:dyDescent="0.3">
      <c r="C526" s="41" t="b">
        <v>0</v>
      </c>
      <c r="D526" s="42" t="s">
        <v>56</v>
      </c>
      <c r="E526" s="42">
        <v>3</v>
      </c>
      <c r="F526" s="42">
        <v>3008</v>
      </c>
      <c r="G526" s="42">
        <v>7.2</v>
      </c>
      <c r="H526" s="42">
        <v>52.83</v>
      </c>
      <c r="I526" s="42">
        <v>2009</v>
      </c>
      <c r="J526" s="113">
        <v>4.8550837897662996E+18</v>
      </c>
    </row>
    <row r="527" spans="3:10" x14ac:dyDescent="0.3">
      <c r="C527" s="41" t="b">
        <v>0</v>
      </c>
      <c r="D527" s="42" t="s">
        <v>56</v>
      </c>
      <c r="E527" s="42">
        <v>1</v>
      </c>
      <c r="F527" s="42">
        <v>9.6737000000000002</v>
      </c>
      <c r="G527" s="42">
        <v>4.1000000000000002E-2</v>
      </c>
      <c r="H527" s="42">
        <v>27.45</v>
      </c>
      <c r="I527" s="42">
        <v>2009</v>
      </c>
      <c r="J527" s="113">
        <v>1.9555666949706399E+18</v>
      </c>
    </row>
    <row r="528" spans="3:10" x14ac:dyDescent="0.3">
      <c r="C528" s="41" t="b">
        <v>0</v>
      </c>
      <c r="D528" s="42" t="s">
        <v>56</v>
      </c>
      <c r="E528" s="42">
        <v>1</v>
      </c>
      <c r="F528" s="42">
        <v>1244</v>
      </c>
      <c r="G528" s="42">
        <v>0.38</v>
      </c>
      <c r="H528" s="42">
        <v>68.349999999999994</v>
      </c>
      <c r="I528" s="42">
        <v>2009</v>
      </c>
      <c r="J528" s="113">
        <v>1.7992619362400201E+19</v>
      </c>
    </row>
    <row r="529" spans="3:10" x14ac:dyDescent="0.3">
      <c r="C529" s="41" t="b">
        <v>0</v>
      </c>
      <c r="D529" s="42" t="s">
        <v>56</v>
      </c>
      <c r="E529" s="42">
        <v>1</v>
      </c>
      <c r="F529" s="42">
        <v>948.12</v>
      </c>
      <c r="G529" s="42">
        <v>0.224</v>
      </c>
      <c r="H529" s="42">
        <v>38.049999999999997</v>
      </c>
      <c r="I529" s="42">
        <v>2011</v>
      </c>
      <c r="J529" s="113">
        <v>1.6952085560725801E+19</v>
      </c>
    </row>
    <row r="530" spans="3:10" x14ac:dyDescent="0.3">
      <c r="C530" s="41" t="b">
        <v>0</v>
      </c>
      <c r="D530" s="42" t="s">
        <v>56</v>
      </c>
      <c r="E530" s="42">
        <v>2</v>
      </c>
      <c r="F530" s="42">
        <v>454.2</v>
      </c>
      <c r="G530" s="42">
        <v>1.45</v>
      </c>
      <c r="H530" s="42">
        <v>16.57</v>
      </c>
      <c r="I530" s="42">
        <v>2002</v>
      </c>
      <c r="J530" s="113">
        <v>1.7300990862975799E+19</v>
      </c>
    </row>
    <row r="531" spans="3:10" x14ac:dyDescent="0.3">
      <c r="C531" s="41" t="b">
        <v>0</v>
      </c>
      <c r="D531" s="42" t="s">
        <v>56</v>
      </c>
      <c r="E531" s="42">
        <v>2</v>
      </c>
      <c r="F531" s="42">
        <v>923.8</v>
      </c>
      <c r="G531" s="42">
        <v>3.24</v>
      </c>
      <c r="H531" s="42">
        <v>16.57</v>
      </c>
      <c r="I531" s="42">
        <v>2005</v>
      </c>
      <c r="J531" s="113">
        <v>6.5768917628132495E+18</v>
      </c>
    </row>
    <row r="532" spans="3:10" x14ac:dyDescent="0.3">
      <c r="C532" s="41" t="b">
        <v>0</v>
      </c>
      <c r="D532" s="42" t="s">
        <v>56</v>
      </c>
      <c r="E532" s="42">
        <v>1</v>
      </c>
      <c r="F532" s="42">
        <v>1840</v>
      </c>
      <c r="G532" s="42">
        <v>1.6</v>
      </c>
      <c r="H532" s="42">
        <v>67.61</v>
      </c>
      <c r="I532" s="42">
        <v>2009</v>
      </c>
      <c r="J532" s="113">
        <v>4.47031934611102E+18</v>
      </c>
    </row>
    <row r="533" spans="3:10" x14ac:dyDescent="0.3">
      <c r="C533" s="41" t="b">
        <v>0</v>
      </c>
      <c r="D533" s="42" t="s">
        <v>56</v>
      </c>
      <c r="E533" s="42">
        <v>1</v>
      </c>
      <c r="F533" s="42">
        <v>10.708500000000001</v>
      </c>
      <c r="G533" s="42">
        <v>1.04</v>
      </c>
      <c r="H533" s="42">
        <v>29.76</v>
      </c>
      <c r="I533" s="42">
        <v>1999</v>
      </c>
      <c r="J533" s="113">
        <v>6.9411029892733399E+18</v>
      </c>
    </row>
    <row r="534" spans="3:10" x14ac:dyDescent="0.3">
      <c r="C534" s="41" t="b">
        <v>0</v>
      </c>
      <c r="D534" s="42" t="s">
        <v>56</v>
      </c>
      <c r="E534" s="42">
        <v>1</v>
      </c>
      <c r="F534" s="42">
        <v>883</v>
      </c>
      <c r="G534" s="42">
        <v>2.2000000000000002</v>
      </c>
      <c r="H534" s="42">
        <v>121.36</v>
      </c>
      <c r="I534" s="42">
        <v>2011</v>
      </c>
      <c r="J534" s="113">
        <v>9.9907378230392709E+18</v>
      </c>
    </row>
    <row r="535" spans="3:10" x14ac:dyDescent="0.3">
      <c r="C535" s="41" t="b">
        <v>0</v>
      </c>
      <c r="D535" s="42" t="s">
        <v>56</v>
      </c>
      <c r="E535" s="42">
        <v>1</v>
      </c>
      <c r="F535" s="42">
        <v>1951</v>
      </c>
      <c r="G535" s="42">
        <v>18.149999999999999</v>
      </c>
      <c r="H535" s="42">
        <v>57.21</v>
      </c>
      <c r="I535" s="42">
        <v>2008</v>
      </c>
      <c r="J535" s="113">
        <v>7.2714810085305999E+18</v>
      </c>
    </row>
    <row r="536" spans="3:10" x14ac:dyDescent="0.3">
      <c r="C536" s="41" t="b">
        <v>0</v>
      </c>
      <c r="D536" s="42" t="s">
        <v>56</v>
      </c>
      <c r="E536" s="42">
        <v>1</v>
      </c>
      <c r="F536" s="42">
        <v>974</v>
      </c>
      <c r="G536" s="42">
        <v>5.61</v>
      </c>
      <c r="H536" s="42">
        <v>70.97</v>
      </c>
      <c r="I536" s="42">
        <v>2007</v>
      </c>
      <c r="J536" s="113">
        <v>2.23743984565774E+18</v>
      </c>
    </row>
    <row r="537" spans="3:10" x14ac:dyDescent="0.3">
      <c r="C537" s="41" t="b">
        <v>0</v>
      </c>
      <c r="D537" s="42" t="s">
        <v>56</v>
      </c>
      <c r="E537" s="42">
        <v>1</v>
      </c>
      <c r="F537" s="42">
        <v>1544</v>
      </c>
      <c r="G537" s="42">
        <v>1.49</v>
      </c>
      <c r="H537" s="42">
        <v>98.52</v>
      </c>
      <c r="I537" s="42">
        <v>2011</v>
      </c>
      <c r="J537" s="113">
        <v>1.7551034118463799E+19</v>
      </c>
    </row>
    <row r="538" spans="3:10" x14ac:dyDescent="0.3">
      <c r="C538" s="41" t="b">
        <v>0</v>
      </c>
      <c r="D538" s="42" t="s">
        <v>56</v>
      </c>
      <c r="E538" s="42">
        <v>2</v>
      </c>
      <c r="F538" s="42">
        <v>3.27</v>
      </c>
      <c r="G538" s="42">
        <v>3.5099999999999999E-2</v>
      </c>
      <c r="H538" s="42">
        <v>24.15</v>
      </c>
      <c r="I538" s="42">
        <v>2011</v>
      </c>
      <c r="J538" s="113">
        <v>1.4007859506301499E+19</v>
      </c>
    </row>
    <row r="539" spans="3:10" x14ac:dyDescent="0.3">
      <c r="C539" s="41" t="b">
        <v>0</v>
      </c>
      <c r="D539" s="42" t="s">
        <v>56</v>
      </c>
      <c r="E539" s="42">
        <v>2</v>
      </c>
      <c r="F539" s="42">
        <v>1160.9000000000001</v>
      </c>
      <c r="G539" s="42">
        <v>0.1507</v>
      </c>
      <c r="H539" s="42">
        <v>24.15</v>
      </c>
      <c r="I539" s="42">
        <v>2011</v>
      </c>
      <c r="J539" s="113">
        <v>1.1514847769666699E+19</v>
      </c>
    </row>
    <row r="540" spans="3:10" x14ac:dyDescent="0.3">
      <c r="C540" s="41" t="b">
        <v>0</v>
      </c>
      <c r="D540" s="42" t="s">
        <v>56</v>
      </c>
      <c r="E540" s="42">
        <v>2</v>
      </c>
      <c r="F540" s="42">
        <v>258.19</v>
      </c>
      <c r="G540" s="42">
        <v>1.59</v>
      </c>
      <c r="H540" s="42">
        <v>25.65</v>
      </c>
      <c r="I540" s="42">
        <v>1999</v>
      </c>
      <c r="J540" s="113">
        <v>7.8231286956803697E+18</v>
      </c>
    </row>
    <row r="541" spans="3:10" x14ac:dyDescent="0.3">
      <c r="C541" s="41" t="b">
        <v>0</v>
      </c>
      <c r="D541" s="42" t="s">
        <v>56</v>
      </c>
      <c r="E541" s="42">
        <v>2</v>
      </c>
      <c r="F541" s="42">
        <v>5000</v>
      </c>
      <c r="G541" s="42">
        <v>0.82</v>
      </c>
      <c r="H541" s="42">
        <v>25.65</v>
      </c>
      <c r="I541" s="42">
        <v>2009</v>
      </c>
      <c r="J541" s="113">
        <v>9.34129067894096E+16</v>
      </c>
    </row>
    <row r="542" spans="3:10" x14ac:dyDescent="0.3">
      <c r="C542" s="41" t="b">
        <v>0</v>
      </c>
      <c r="D542" s="42" t="s">
        <v>56</v>
      </c>
      <c r="E542" s="42">
        <v>3</v>
      </c>
      <c r="F542" s="42">
        <v>12.083</v>
      </c>
      <c r="G542" s="42">
        <v>2.92E-2</v>
      </c>
      <c r="H542" s="42">
        <v>26.91</v>
      </c>
      <c r="I542" s="42">
        <v>2011</v>
      </c>
      <c r="J542" s="113">
        <v>1.3049035035906099E+19</v>
      </c>
    </row>
    <row r="543" spans="3:10" x14ac:dyDescent="0.3">
      <c r="C543" s="41" t="b">
        <v>0</v>
      </c>
      <c r="D543" s="42" t="s">
        <v>56</v>
      </c>
      <c r="E543" s="42">
        <v>3</v>
      </c>
      <c r="F543" s="42">
        <v>59.518999999999998</v>
      </c>
      <c r="G543" s="42">
        <v>3.8199999999999998E-2</v>
      </c>
      <c r="H543" s="42">
        <v>26.91</v>
      </c>
      <c r="I543" s="42">
        <v>2011</v>
      </c>
      <c r="J543" s="113">
        <v>3.3190204644797798E+18</v>
      </c>
    </row>
    <row r="544" spans="3:10" x14ac:dyDescent="0.3">
      <c r="C544" s="41" t="b">
        <v>0</v>
      </c>
      <c r="D544" s="42" t="s">
        <v>56</v>
      </c>
      <c r="E544" s="42">
        <v>3</v>
      </c>
      <c r="F544" s="42">
        <v>459.26</v>
      </c>
      <c r="G544" s="42">
        <v>0.121</v>
      </c>
      <c r="H544" s="42">
        <v>26.91</v>
      </c>
      <c r="I544" s="42">
        <v>2011</v>
      </c>
      <c r="J544" s="113">
        <v>3.6686497939890002E+18</v>
      </c>
    </row>
    <row r="545" spans="3:10" x14ac:dyDescent="0.3">
      <c r="C545" s="41" t="b">
        <v>0</v>
      </c>
      <c r="D545" s="42" t="s">
        <v>56</v>
      </c>
      <c r="E545" s="42">
        <v>1</v>
      </c>
      <c r="F545" s="42">
        <v>464.3</v>
      </c>
      <c r="G545" s="42">
        <v>2</v>
      </c>
      <c r="H545" s="42">
        <v>106.38</v>
      </c>
      <c r="I545" s="42">
        <v>2009</v>
      </c>
      <c r="J545" s="113">
        <v>3.5294407458543898E+18</v>
      </c>
    </row>
    <row r="546" spans="3:10" x14ac:dyDescent="0.3">
      <c r="C546" s="41" t="b">
        <v>0</v>
      </c>
      <c r="D546" s="42" t="s">
        <v>56</v>
      </c>
      <c r="E546" s="42">
        <v>3</v>
      </c>
      <c r="F546" s="42">
        <v>11.577</v>
      </c>
      <c r="G546" s="42">
        <v>1.66E-2</v>
      </c>
      <c r="H546" s="42">
        <v>14.56</v>
      </c>
      <c r="I546" s="42">
        <v>2011</v>
      </c>
      <c r="J546" s="113">
        <v>5.1319676311202601E+18</v>
      </c>
    </row>
    <row r="547" spans="3:10" x14ac:dyDescent="0.3">
      <c r="C547" s="41" t="b">
        <v>0</v>
      </c>
      <c r="D547" s="42" t="s">
        <v>56</v>
      </c>
      <c r="E547" s="42">
        <v>3</v>
      </c>
      <c r="F547" s="42">
        <v>27.582000000000001</v>
      </c>
      <c r="G547" s="42">
        <v>3.5799999999999998E-2</v>
      </c>
      <c r="H547" s="42">
        <v>14.56</v>
      </c>
      <c r="I547" s="42">
        <v>2011</v>
      </c>
      <c r="J547" s="113">
        <v>5.9906045699722598E+18</v>
      </c>
    </row>
    <row r="548" spans="3:10" x14ac:dyDescent="0.3">
      <c r="C548" s="41" t="b">
        <v>0</v>
      </c>
      <c r="D548" s="42" t="s">
        <v>56</v>
      </c>
      <c r="E548" s="42">
        <v>3</v>
      </c>
      <c r="F548" s="42">
        <v>106.72</v>
      </c>
      <c r="G548" s="42">
        <v>0.03</v>
      </c>
      <c r="H548" s="42">
        <v>14.56</v>
      </c>
      <c r="I548" s="42">
        <v>2011</v>
      </c>
      <c r="J548" s="113">
        <v>3.1218776511052001E+18</v>
      </c>
    </row>
    <row r="549" spans="3:10" x14ac:dyDescent="0.3">
      <c r="C549" s="41" t="b">
        <v>0</v>
      </c>
      <c r="D549" s="42" t="s">
        <v>56</v>
      </c>
      <c r="E549" s="42">
        <v>1</v>
      </c>
      <c r="F549" s="42">
        <v>330</v>
      </c>
      <c r="G549" s="42">
        <v>0.223</v>
      </c>
      <c r="H549" s="42">
        <v>38.450000000000003</v>
      </c>
      <c r="I549" s="42">
        <v>2011</v>
      </c>
      <c r="J549" s="113">
        <v>1.32618496381049E+19</v>
      </c>
    </row>
    <row r="550" spans="3:10" x14ac:dyDescent="0.3">
      <c r="C550" s="41" t="b">
        <v>0</v>
      </c>
      <c r="D550" s="42" t="s">
        <v>56</v>
      </c>
      <c r="E550" s="42">
        <v>1</v>
      </c>
      <c r="F550" s="42">
        <v>1125.7</v>
      </c>
      <c r="G550" s="42">
        <v>9.76</v>
      </c>
      <c r="H550" s="42">
        <v>121.36</v>
      </c>
      <c r="I550" s="42">
        <v>2008</v>
      </c>
      <c r="J550" s="113">
        <v>5.6550473840457103E+18</v>
      </c>
    </row>
    <row r="551" spans="3:10" x14ac:dyDescent="0.3">
      <c r="C551" s="41" t="b">
        <v>0</v>
      </c>
      <c r="D551" s="42" t="s">
        <v>56</v>
      </c>
      <c r="E551" s="42">
        <v>1</v>
      </c>
      <c r="F551" s="42">
        <v>653.22</v>
      </c>
      <c r="G551" s="42">
        <v>9.6999999999999993</v>
      </c>
      <c r="H551" s="42">
        <v>33.46</v>
      </c>
      <c r="I551" s="42">
        <v>2002</v>
      </c>
      <c r="J551" s="113">
        <v>1.18160218807134E+19</v>
      </c>
    </row>
    <row r="552" spans="3:10" x14ac:dyDescent="0.3">
      <c r="C552" s="41" t="b">
        <v>0</v>
      </c>
      <c r="D552" s="42" t="s">
        <v>56</v>
      </c>
      <c r="E552" s="42">
        <v>1</v>
      </c>
      <c r="F552" s="42">
        <v>1928</v>
      </c>
      <c r="G552" s="42">
        <v>5.0999999999999996</v>
      </c>
      <c r="H552" s="42">
        <v>35.869999999999997</v>
      </c>
      <c r="I552" s="42">
        <v>2005</v>
      </c>
      <c r="J552" s="113">
        <v>8.6040437940362097E+18</v>
      </c>
    </row>
    <row r="553" spans="3:10" x14ac:dyDescent="0.3">
      <c r="C553" s="41" t="b">
        <v>0</v>
      </c>
      <c r="D553" s="42" t="s">
        <v>56</v>
      </c>
      <c r="E553" s="42">
        <v>1</v>
      </c>
      <c r="F553" s="42">
        <v>1299</v>
      </c>
      <c r="G553" s="42">
        <v>1.9</v>
      </c>
      <c r="H553" s="42">
        <v>106.38</v>
      </c>
      <c r="I553" s="42">
        <v>2011</v>
      </c>
      <c r="J553" s="113">
        <v>9.10910111406238E+18</v>
      </c>
    </row>
    <row r="554" spans="3:10" x14ac:dyDescent="0.3">
      <c r="C554" s="41" t="b">
        <v>0</v>
      </c>
      <c r="D554" s="42" t="s">
        <v>56</v>
      </c>
      <c r="E554" s="42">
        <v>1</v>
      </c>
      <c r="F554" s="42">
        <v>386.3</v>
      </c>
      <c r="G554" s="42">
        <v>1.62</v>
      </c>
      <c r="H554" s="42">
        <v>34.57</v>
      </c>
      <c r="I554" s="42">
        <v>2003</v>
      </c>
      <c r="J554" s="113">
        <v>1.25482770025902E+18</v>
      </c>
    </row>
    <row r="555" spans="3:10" x14ac:dyDescent="0.3">
      <c r="C555" s="41" t="b">
        <v>0</v>
      </c>
      <c r="D555" s="42" t="s">
        <v>56</v>
      </c>
      <c r="E555" s="42">
        <v>1</v>
      </c>
      <c r="F555" s="42">
        <v>1057</v>
      </c>
      <c r="G555" s="42">
        <v>3.12</v>
      </c>
      <c r="H555" s="42">
        <v>59.35</v>
      </c>
      <c r="I555" s="42">
        <v>2008</v>
      </c>
      <c r="J555" s="113">
        <v>4.5687297552073999E+18</v>
      </c>
    </row>
    <row r="556" spans="3:10" x14ac:dyDescent="0.3">
      <c r="C556" s="41" t="b">
        <v>0</v>
      </c>
      <c r="D556" s="42" t="s">
        <v>56</v>
      </c>
      <c r="E556" s="42">
        <v>1</v>
      </c>
      <c r="F556" s="42">
        <v>176.3</v>
      </c>
      <c r="G556" s="42">
        <v>2.9</v>
      </c>
      <c r="H556" s="42">
        <v>126.1</v>
      </c>
      <c r="I556" s="42">
        <v>2010</v>
      </c>
      <c r="J556" s="113">
        <v>1.6615102442107799E+18</v>
      </c>
    </row>
    <row r="557" spans="3:10" x14ac:dyDescent="0.3">
      <c r="C557" s="41" t="b">
        <v>0</v>
      </c>
      <c r="D557" s="42" t="s">
        <v>56</v>
      </c>
      <c r="E557" s="42">
        <v>1</v>
      </c>
      <c r="F557" s="42">
        <v>103.95</v>
      </c>
      <c r="G557" s="42">
        <v>5.76</v>
      </c>
      <c r="H557" s="42">
        <v>55.19</v>
      </c>
      <c r="I557" s="42">
        <v>2008</v>
      </c>
      <c r="J557" s="113">
        <v>1.17569352527966E+19</v>
      </c>
    </row>
    <row r="558" spans="3:10" x14ac:dyDescent="0.3">
      <c r="C558" s="41" t="b">
        <v>0</v>
      </c>
      <c r="D558" s="42" t="s">
        <v>56</v>
      </c>
      <c r="E558" s="42">
        <v>2</v>
      </c>
      <c r="F558" s="42">
        <v>44.235999999999997</v>
      </c>
      <c r="G558" s="42">
        <v>2.12</v>
      </c>
      <c r="H558" s="42">
        <v>42.68</v>
      </c>
      <c r="I558" s="42">
        <v>2009</v>
      </c>
      <c r="J558" s="113">
        <v>1.41353911134905E+19</v>
      </c>
    </row>
    <row r="559" spans="3:10" x14ac:dyDescent="0.3">
      <c r="C559" s="41" t="b">
        <v>0</v>
      </c>
      <c r="D559" s="42" t="s">
        <v>56</v>
      </c>
      <c r="E559" s="42">
        <v>2</v>
      </c>
      <c r="F559" s="42">
        <v>1008</v>
      </c>
      <c r="G559" s="42">
        <v>6.56</v>
      </c>
      <c r="H559" s="42">
        <v>42.68</v>
      </c>
      <c r="I559" s="42">
        <v>2009</v>
      </c>
      <c r="J559" s="113">
        <v>4.1442010298274698E+18</v>
      </c>
    </row>
    <row r="560" spans="3:10" x14ac:dyDescent="0.3">
      <c r="C560" s="41" t="b">
        <v>0</v>
      </c>
      <c r="D560" s="42" t="s">
        <v>56</v>
      </c>
      <c r="E560" s="42">
        <v>1</v>
      </c>
      <c r="F560" s="42">
        <v>528.4</v>
      </c>
      <c r="G560" s="42">
        <v>1.21</v>
      </c>
      <c r="H560" s="42">
        <v>12.87</v>
      </c>
      <c r="I560" s="42">
        <v>2003</v>
      </c>
      <c r="J560" s="113">
        <v>1.18967187905705E+19</v>
      </c>
    </row>
    <row r="561" spans="3:10" x14ac:dyDescent="0.3">
      <c r="C561" s="41" t="b">
        <v>0</v>
      </c>
      <c r="D561" s="42" t="s">
        <v>56</v>
      </c>
      <c r="E561" s="42">
        <v>1</v>
      </c>
      <c r="F561" s="42">
        <v>1027</v>
      </c>
      <c r="G561" s="42">
        <v>0.85</v>
      </c>
      <c r="H561" s="42">
        <v>53.05</v>
      </c>
      <c r="I561" s="42">
        <v>2009</v>
      </c>
      <c r="J561" s="113">
        <v>1.12654462105484E+17</v>
      </c>
    </row>
    <row r="562" spans="3:10" x14ac:dyDescent="0.3">
      <c r="C562" s="41" t="b">
        <v>0</v>
      </c>
      <c r="D562" s="42" t="s">
        <v>56</v>
      </c>
      <c r="E562" s="42">
        <v>1</v>
      </c>
      <c r="F562" s="42">
        <v>331.5</v>
      </c>
      <c r="G562" s="42">
        <v>0.96</v>
      </c>
      <c r="H562" s="42">
        <v>59.28</v>
      </c>
      <c r="I562" s="42">
        <v>2009</v>
      </c>
      <c r="J562" s="113">
        <v>1.4605675673929099E+19</v>
      </c>
    </row>
    <row r="563" spans="3:10" x14ac:dyDescent="0.3">
      <c r="C563" s="41" t="b">
        <v>0</v>
      </c>
      <c r="D563" s="42" t="s">
        <v>56</v>
      </c>
      <c r="E563" s="42">
        <v>1</v>
      </c>
      <c r="F563" s="42">
        <v>2.8758911</v>
      </c>
      <c r="G563" s="42"/>
      <c r="H563" s="42">
        <v>78.86</v>
      </c>
      <c r="I563" s="42">
        <v>2005</v>
      </c>
      <c r="J563" s="113">
        <v>6.4131490515203297E+18</v>
      </c>
    </row>
    <row r="564" spans="3:10" x14ac:dyDescent="0.3">
      <c r="C564" s="41" t="b">
        <v>0</v>
      </c>
      <c r="D564" s="42" t="s">
        <v>56</v>
      </c>
      <c r="E564" s="42">
        <v>1</v>
      </c>
      <c r="F564" s="42">
        <v>4.0720000000000001</v>
      </c>
      <c r="G564" s="42">
        <v>1.33</v>
      </c>
      <c r="H564" s="42">
        <v>63.49</v>
      </c>
      <c r="I564" s="42">
        <v>2005</v>
      </c>
      <c r="J564" s="113">
        <v>4.6674624620402002E+18</v>
      </c>
    </row>
    <row r="565" spans="3:10" x14ac:dyDescent="0.3">
      <c r="C565" s="41" t="b">
        <v>0</v>
      </c>
      <c r="D565" s="42" t="s">
        <v>56</v>
      </c>
      <c r="E565" s="42">
        <v>1</v>
      </c>
      <c r="F565" s="42">
        <v>2.391</v>
      </c>
      <c r="G565" s="42">
        <v>15.5</v>
      </c>
      <c r="H565" s="42">
        <v>76.510000000000005</v>
      </c>
      <c r="I565" s="42">
        <v>2009</v>
      </c>
      <c r="J565" s="113">
        <v>1.40729157246243E+18</v>
      </c>
    </row>
    <row r="566" spans="3:10" x14ac:dyDescent="0.3">
      <c r="C566" s="41" t="b">
        <v>0</v>
      </c>
      <c r="D566" s="42" t="s">
        <v>56</v>
      </c>
      <c r="E566" s="42">
        <v>1</v>
      </c>
      <c r="F566" s="42">
        <v>1096.2</v>
      </c>
      <c r="G566" s="42">
        <v>0.16800000000000001</v>
      </c>
      <c r="H566" s="42">
        <v>29.55</v>
      </c>
      <c r="I566" s="42">
        <v>2011</v>
      </c>
      <c r="J566" s="113">
        <v>4.28943708748546E+18</v>
      </c>
    </row>
    <row r="567" spans="3:10" x14ac:dyDescent="0.3">
      <c r="C567" s="41" t="b">
        <v>0</v>
      </c>
      <c r="D567" s="42" t="s">
        <v>56</v>
      </c>
      <c r="E567" s="42">
        <v>1</v>
      </c>
      <c r="F567" s="42">
        <v>2097</v>
      </c>
      <c r="G567" s="42">
        <v>3</v>
      </c>
      <c r="H567" s="42">
        <v>85.18</v>
      </c>
      <c r="I567" s="42">
        <v>2009</v>
      </c>
      <c r="J567" s="113">
        <v>3.32488192666547E+18</v>
      </c>
    </row>
    <row r="568" spans="3:10" x14ac:dyDescent="0.3">
      <c r="C568" s="41" t="b">
        <v>0</v>
      </c>
      <c r="D568" s="42" t="s">
        <v>56</v>
      </c>
      <c r="E568" s="42">
        <v>1</v>
      </c>
      <c r="F568" s="42">
        <v>689</v>
      </c>
      <c r="G568" s="42">
        <v>1.5</v>
      </c>
      <c r="H568" s="42">
        <v>182.82</v>
      </c>
      <c r="I568" s="42">
        <v>2011</v>
      </c>
      <c r="J568" s="113">
        <v>6.4771152852272404E+18</v>
      </c>
    </row>
    <row r="569" spans="3:10" x14ac:dyDescent="0.3">
      <c r="C569" s="41" t="b">
        <v>0</v>
      </c>
      <c r="D569" s="42" t="s">
        <v>56</v>
      </c>
      <c r="E569" s="42">
        <v>1</v>
      </c>
      <c r="F569" s="42">
        <v>499.4</v>
      </c>
      <c r="G569" s="42">
        <v>2.73</v>
      </c>
      <c r="H569" s="42">
        <v>51.87</v>
      </c>
      <c r="I569" s="42">
        <v>2008</v>
      </c>
      <c r="J569" s="113">
        <v>5.2679195164522895E+18</v>
      </c>
    </row>
    <row r="570" spans="3:10" x14ac:dyDescent="0.3">
      <c r="C570" s="41" t="b">
        <v>0</v>
      </c>
      <c r="D570" s="42" t="s">
        <v>56</v>
      </c>
      <c r="E570" s="42">
        <v>1</v>
      </c>
      <c r="F570" s="42">
        <v>18.596</v>
      </c>
      <c r="G570" s="42">
        <v>1.9300000000000001E-2</v>
      </c>
      <c r="H570" s="42">
        <v>18.079999999999998</v>
      </c>
      <c r="I570" s="42">
        <v>2011</v>
      </c>
      <c r="J570" s="113">
        <v>1.65458019342946E+19</v>
      </c>
    </row>
    <row r="571" spans="3:10" x14ac:dyDescent="0.3">
      <c r="C571" s="41" t="b">
        <v>0</v>
      </c>
      <c r="D571" s="42" t="s">
        <v>56</v>
      </c>
      <c r="E571" s="42">
        <v>1</v>
      </c>
      <c r="F571" s="42">
        <v>3342</v>
      </c>
      <c r="G571" s="42">
        <v>0.94699999999999995</v>
      </c>
      <c r="H571" s="42">
        <v>18.059999999999999</v>
      </c>
      <c r="I571" s="42">
        <v>2006</v>
      </c>
      <c r="J571" s="113">
        <v>1.45471291046737E+19</v>
      </c>
    </row>
    <row r="572" spans="3:10" x14ac:dyDescent="0.3">
      <c r="C572" s="41" t="b">
        <v>0</v>
      </c>
      <c r="D572" s="42" t="s">
        <v>56</v>
      </c>
      <c r="E572" s="42">
        <v>1</v>
      </c>
      <c r="F572" s="42">
        <v>163.9</v>
      </c>
      <c r="G572" s="42">
        <v>5.0199999999999996</v>
      </c>
      <c r="H572" s="42">
        <v>65.790000000000006</v>
      </c>
      <c r="I572" s="42">
        <v>2008</v>
      </c>
      <c r="J572" s="113">
        <v>1.6215010065693E+19</v>
      </c>
    </row>
    <row r="573" spans="3:10" x14ac:dyDescent="0.3">
      <c r="C573" s="41" t="b">
        <v>0</v>
      </c>
      <c r="D573" s="42" t="s">
        <v>56</v>
      </c>
      <c r="E573" s="42">
        <v>2</v>
      </c>
      <c r="F573" s="42">
        <v>408.6</v>
      </c>
      <c r="G573" s="42">
        <v>2.2400000000000002</v>
      </c>
      <c r="H573" s="42">
        <v>68.540000000000006</v>
      </c>
      <c r="I573" s="42">
        <v>2004</v>
      </c>
      <c r="J573" s="113">
        <v>6.56924520767842E+18</v>
      </c>
    </row>
    <row r="574" spans="3:10" x14ac:dyDescent="0.3">
      <c r="C574" s="41" t="b">
        <v>0</v>
      </c>
      <c r="D574" s="42" t="s">
        <v>56</v>
      </c>
      <c r="E574" s="42">
        <v>2</v>
      </c>
      <c r="F574" s="42">
        <v>3452</v>
      </c>
      <c r="G574" s="42">
        <v>2.58</v>
      </c>
      <c r="H574" s="42">
        <v>68.540000000000006</v>
      </c>
      <c r="I574" s="42">
        <v>2014</v>
      </c>
      <c r="J574" s="113">
        <v>1.6477887248193401E+19</v>
      </c>
    </row>
    <row r="575" spans="3:10" x14ac:dyDescent="0.3">
      <c r="C575" s="41" t="b">
        <v>0</v>
      </c>
      <c r="D575" s="42" t="s">
        <v>56</v>
      </c>
      <c r="E575" s="42">
        <v>2</v>
      </c>
      <c r="F575" s="42">
        <v>194.3</v>
      </c>
      <c r="G575" s="42">
        <v>0.85</v>
      </c>
      <c r="H575" s="42">
        <v>43.4</v>
      </c>
      <c r="I575" s="42">
        <v>2007</v>
      </c>
      <c r="J575" s="113">
        <v>8.4378398321066301E+18</v>
      </c>
    </row>
    <row r="576" spans="3:10" x14ac:dyDescent="0.3">
      <c r="C576" s="41" t="b">
        <v>0</v>
      </c>
      <c r="D576" s="42" t="s">
        <v>56</v>
      </c>
      <c r="E576" s="42">
        <v>2</v>
      </c>
      <c r="F576" s="42">
        <v>391.9</v>
      </c>
      <c r="G576" s="42">
        <v>0.82</v>
      </c>
      <c r="H576" s="42">
        <v>43.4</v>
      </c>
      <c r="I576" s="42">
        <v>2007</v>
      </c>
      <c r="J576" s="113">
        <v>5.0158901207626199E+18</v>
      </c>
    </row>
    <row r="577" spans="3:10" x14ac:dyDescent="0.3">
      <c r="C577" s="41" t="b">
        <v>0</v>
      </c>
      <c r="D577" s="42" t="s">
        <v>56</v>
      </c>
      <c r="E577" s="42">
        <v>1</v>
      </c>
      <c r="F577" s="42">
        <v>131.05000000000001</v>
      </c>
      <c r="G577" s="42">
        <v>9.7100000000000009</v>
      </c>
      <c r="H577" s="42">
        <v>35.369999999999997</v>
      </c>
      <c r="I577" s="42">
        <v>2011</v>
      </c>
      <c r="J577" s="113">
        <v>5.3114712522230099E+17</v>
      </c>
    </row>
    <row r="578" spans="3:10" x14ac:dyDescent="0.3">
      <c r="C578" s="41" t="b">
        <v>0</v>
      </c>
      <c r="D578" s="42" t="s">
        <v>56</v>
      </c>
      <c r="E578" s="42">
        <v>1</v>
      </c>
      <c r="F578" s="42">
        <v>842</v>
      </c>
      <c r="G578" s="42">
        <v>0.75</v>
      </c>
      <c r="H578" s="42">
        <v>55.1</v>
      </c>
      <c r="I578" s="42">
        <v>2009</v>
      </c>
      <c r="J578" s="113">
        <v>1.1455900199848401E+19</v>
      </c>
    </row>
    <row r="579" spans="3:10" x14ac:dyDescent="0.3">
      <c r="C579" s="41" t="b">
        <v>0</v>
      </c>
      <c r="D579" s="42" t="s">
        <v>56</v>
      </c>
      <c r="E579" s="42">
        <v>1</v>
      </c>
      <c r="F579" s="42">
        <v>4.6455000000000002</v>
      </c>
      <c r="G579" s="42">
        <v>1.2999999999999999E-2</v>
      </c>
      <c r="H579" s="42">
        <v>24.05</v>
      </c>
      <c r="I579" s="42">
        <v>2010</v>
      </c>
      <c r="J579" s="113">
        <v>1.16063814612702E+19</v>
      </c>
    </row>
    <row r="580" spans="3:10" x14ac:dyDescent="0.3">
      <c r="C580" s="41" t="b">
        <v>0</v>
      </c>
      <c r="D580" s="42" t="s">
        <v>56</v>
      </c>
      <c r="E580" s="42">
        <v>1</v>
      </c>
      <c r="F580" s="42">
        <v>359.55459999999999</v>
      </c>
      <c r="G580" s="42">
        <v>10.57</v>
      </c>
      <c r="H580" s="42">
        <v>49</v>
      </c>
      <c r="I580" s="42">
        <v>2007</v>
      </c>
      <c r="J580" s="113">
        <v>7.9271485435581102E+18</v>
      </c>
    </row>
    <row r="581" spans="3:10" x14ac:dyDescent="0.3">
      <c r="C581" s="41" t="b">
        <v>0</v>
      </c>
      <c r="D581" s="42" t="s">
        <v>56</v>
      </c>
      <c r="E581" s="42">
        <v>1</v>
      </c>
      <c r="F581" s="42">
        <v>104.84</v>
      </c>
      <c r="G581" s="42">
        <v>0.12</v>
      </c>
      <c r="H581" s="42">
        <v>33.479999999999997</v>
      </c>
      <c r="I581" s="42">
        <v>2011</v>
      </c>
      <c r="J581" s="113">
        <v>1.83255858489151E+19</v>
      </c>
    </row>
    <row r="582" spans="3:10" x14ac:dyDescent="0.3">
      <c r="C582" s="41" t="b">
        <v>0</v>
      </c>
      <c r="D582" s="42" t="s">
        <v>56</v>
      </c>
      <c r="E582" s="42">
        <v>1</v>
      </c>
      <c r="F582" s="42">
        <v>521</v>
      </c>
      <c r="G582" s="42">
        <v>1.8</v>
      </c>
      <c r="H582" s="42">
        <v>114.15</v>
      </c>
      <c r="I582" s="42">
        <v>2011</v>
      </c>
      <c r="J582" s="113">
        <v>4.7328850989912402E+18</v>
      </c>
    </row>
    <row r="583" spans="3:10" x14ac:dyDescent="0.3">
      <c r="C583" s="41" t="b">
        <v>0</v>
      </c>
      <c r="D583" s="42" t="s">
        <v>56</v>
      </c>
      <c r="E583" s="42">
        <v>2</v>
      </c>
      <c r="F583" s="42">
        <v>12.62</v>
      </c>
      <c r="G583" s="42">
        <v>1.1299999999999999</v>
      </c>
      <c r="H583" s="42">
        <v>68.59</v>
      </c>
      <c r="I583" s="42">
        <v>2013</v>
      </c>
      <c r="J583" s="113">
        <v>1.56015890878195E+19</v>
      </c>
    </row>
    <row r="584" spans="3:10" x14ac:dyDescent="0.3">
      <c r="C584" s="41" t="b">
        <v>0</v>
      </c>
      <c r="D584" s="42" t="s">
        <v>56</v>
      </c>
      <c r="E584" s="42">
        <v>2</v>
      </c>
      <c r="F584" s="42">
        <v>248.4</v>
      </c>
      <c r="G584" s="42">
        <v>1.9</v>
      </c>
      <c r="H584" s="42">
        <v>68.59</v>
      </c>
      <c r="I584" s="42">
        <v>2013</v>
      </c>
      <c r="J584" s="113">
        <v>9.7941923658730394E+18</v>
      </c>
    </row>
    <row r="585" spans="3:10" x14ac:dyDescent="0.3">
      <c r="C585" s="41" t="b">
        <v>0</v>
      </c>
      <c r="D585" s="42" t="s">
        <v>56</v>
      </c>
      <c r="E585" s="42">
        <v>2</v>
      </c>
      <c r="F585" s="42">
        <v>1178.4000000000001</v>
      </c>
      <c r="G585" s="42">
        <v>2.1</v>
      </c>
      <c r="H585" s="42">
        <v>52.72</v>
      </c>
      <c r="I585" s="42">
        <v>2006</v>
      </c>
      <c r="J585" s="113">
        <v>2.6290445137759401E+18</v>
      </c>
    </row>
    <row r="586" spans="3:10" x14ac:dyDescent="0.3">
      <c r="C586" s="41" t="b">
        <v>0</v>
      </c>
      <c r="D586" s="42" t="s">
        <v>56</v>
      </c>
      <c r="E586" s="42">
        <v>2</v>
      </c>
      <c r="F586" s="42">
        <v>352.3</v>
      </c>
      <c r="G586" s="42">
        <v>0.73</v>
      </c>
      <c r="H586" s="42">
        <v>52.72</v>
      </c>
      <c r="I586" s="42">
        <v>2012</v>
      </c>
      <c r="J586" s="113">
        <v>8.8168844922032497E+18</v>
      </c>
    </row>
    <row r="587" spans="3:10" x14ac:dyDescent="0.3">
      <c r="C587" s="41" t="b">
        <v>0</v>
      </c>
      <c r="D587" s="42" t="s">
        <v>56</v>
      </c>
      <c r="E587" s="42">
        <v>4</v>
      </c>
      <c r="F587" s="42">
        <v>643.25</v>
      </c>
      <c r="G587" s="42"/>
      <c r="H587" s="42">
        <v>15.28</v>
      </c>
      <c r="I587" s="42">
        <v>2000</v>
      </c>
      <c r="J587" s="113">
        <v>2.5420091093103401E+18</v>
      </c>
    </row>
    <row r="588" spans="3:10" x14ac:dyDescent="0.3">
      <c r="C588" s="41" t="b">
        <v>0</v>
      </c>
      <c r="D588" s="42" t="s">
        <v>56</v>
      </c>
      <c r="E588" s="42">
        <v>4</v>
      </c>
      <c r="F588" s="42">
        <v>4205.8</v>
      </c>
      <c r="G588" s="42">
        <v>1.8140000000000001</v>
      </c>
      <c r="H588" s="42">
        <v>15.28</v>
      </c>
      <c r="I588" s="42">
        <v>2004</v>
      </c>
      <c r="J588" s="113">
        <v>7.2812835399601603E+18</v>
      </c>
    </row>
    <row r="589" spans="3:10" x14ac:dyDescent="0.3">
      <c r="C589" s="41" t="b">
        <v>0</v>
      </c>
      <c r="D589" s="42" t="s">
        <v>56</v>
      </c>
      <c r="E589" s="42">
        <v>4</v>
      </c>
      <c r="F589" s="42">
        <v>9.6386000000000003</v>
      </c>
      <c r="G589" s="42"/>
      <c r="H589" s="42">
        <v>15.28</v>
      </c>
      <c r="I589" s="42">
        <v>2004</v>
      </c>
      <c r="J589" s="113">
        <v>1.80373975621184E+19</v>
      </c>
    </row>
    <row r="590" spans="3:10" x14ac:dyDescent="0.3">
      <c r="C590" s="41" t="b">
        <v>0</v>
      </c>
      <c r="D590" s="42" t="s">
        <v>56</v>
      </c>
      <c r="E590" s="42">
        <v>4</v>
      </c>
      <c r="F590" s="42">
        <v>310.55</v>
      </c>
      <c r="G590" s="42"/>
      <c r="H590" s="42">
        <v>15.28</v>
      </c>
      <c r="I590" s="42">
        <v>2006</v>
      </c>
      <c r="J590" s="113">
        <v>8.4095934318352701E+18</v>
      </c>
    </row>
    <row r="591" spans="3:10" x14ac:dyDescent="0.3">
      <c r="C591" s="41" t="b">
        <v>0</v>
      </c>
      <c r="D591" s="42" t="s">
        <v>56</v>
      </c>
      <c r="E591" s="42">
        <v>1</v>
      </c>
      <c r="F591" s="42">
        <v>8.4281980000000001</v>
      </c>
      <c r="G591" s="42">
        <v>14.4</v>
      </c>
      <c r="H591" s="42">
        <v>31.26</v>
      </c>
      <c r="I591" s="42">
        <v>2002</v>
      </c>
      <c r="J591" s="113">
        <v>1.2045509538930801E+19</v>
      </c>
    </row>
    <row r="592" spans="3:10" x14ac:dyDescent="0.3">
      <c r="C592" s="41" t="b">
        <v>0</v>
      </c>
      <c r="D592" s="42" t="s">
        <v>56</v>
      </c>
      <c r="E592" s="42">
        <v>2</v>
      </c>
      <c r="F592" s="42">
        <v>75.290000000000006</v>
      </c>
      <c r="G592" s="42">
        <v>0.77</v>
      </c>
      <c r="H592" s="42">
        <v>69.44</v>
      </c>
      <c r="I592" s="42">
        <v>2010</v>
      </c>
      <c r="J592" s="113">
        <v>1.44644333448895E+19</v>
      </c>
    </row>
    <row r="593" spans="3:10" x14ac:dyDescent="0.3">
      <c r="C593" s="41" t="b">
        <v>0</v>
      </c>
      <c r="D593" s="42" t="s">
        <v>56</v>
      </c>
      <c r="E593" s="42">
        <v>2</v>
      </c>
      <c r="F593" s="42">
        <v>1314</v>
      </c>
      <c r="G593" s="42">
        <v>2.29</v>
      </c>
      <c r="H593" s="42">
        <v>69.44</v>
      </c>
      <c r="I593" s="42">
        <v>2010</v>
      </c>
      <c r="J593" s="113">
        <v>1.15578376470447E+19</v>
      </c>
    </row>
    <row r="594" spans="3:10" x14ac:dyDescent="0.3">
      <c r="C594" s="41" t="b">
        <v>0</v>
      </c>
      <c r="D594" s="42" t="s">
        <v>56</v>
      </c>
      <c r="E594" s="42">
        <v>1</v>
      </c>
      <c r="F594" s="42">
        <v>282.39999999999998</v>
      </c>
      <c r="G594" s="42">
        <v>0.48</v>
      </c>
      <c r="H594" s="42">
        <v>51.81</v>
      </c>
      <c r="I594" s="42">
        <v>2010</v>
      </c>
      <c r="J594" s="113">
        <v>9.6323541285074698E+18</v>
      </c>
    </row>
    <row r="595" spans="3:10" x14ac:dyDescent="0.3">
      <c r="C595" s="41" t="b">
        <v>0</v>
      </c>
      <c r="D595" s="42" t="s">
        <v>56</v>
      </c>
      <c r="E595" s="42">
        <v>1</v>
      </c>
      <c r="F595" s="42">
        <v>606.4</v>
      </c>
      <c r="G595" s="42">
        <v>2.7</v>
      </c>
      <c r="H595" s="42">
        <v>37.979999999999997</v>
      </c>
      <c r="I595" s="42">
        <v>2009</v>
      </c>
      <c r="J595" s="113">
        <v>1.6823345382457801E+19</v>
      </c>
    </row>
    <row r="596" spans="3:10" x14ac:dyDescent="0.3">
      <c r="C596" s="41" t="b">
        <v>0</v>
      </c>
      <c r="D596" s="42" t="s">
        <v>56</v>
      </c>
      <c r="E596" s="42">
        <v>1</v>
      </c>
      <c r="F596" s="42">
        <v>1155</v>
      </c>
      <c r="G596" s="42">
        <v>0.36</v>
      </c>
      <c r="H596" s="42">
        <v>21.92</v>
      </c>
      <c r="I596" s="42">
        <v>2005</v>
      </c>
      <c r="J596" s="113">
        <v>2.7939638246776899E+18</v>
      </c>
    </row>
    <row r="597" spans="3:10" x14ac:dyDescent="0.3">
      <c r="C597" s="41" t="b">
        <v>0</v>
      </c>
      <c r="D597" s="42" t="s">
        <v>56</v>
      </c>
      <c r="E597" s="42">
        <v>1</v>
      </c>
      <c r="F597" s="42">
        <v>5144</v>
      </c>
      <c r="G597" s="42">
        <v>3.53</v>
      </c>
      <c r="H597" s="42">
        <v>42.99</v>
      </c>
      <c r="I597" s="42">
        <v>2012</v>
      </c>
      <c r="J597" s="113">
        <v>7.1403078200333005E+18</v>
      </c>
    </row>
    <row r="598" spans="3:10" x14ac:dyDescent="0.3">
      <c r="C598" s="41" t="b">
        <v>0</v>
      </c>
      <c r="D598" s="42" t="s">
        <v>56</v>
      </c>
      <c r="E598" s="42">
        <v>1</v>
      </c>
      <c r="F598" s="42">
        <v>420.77</v>
      </c>
      <c r="G598" s="42">
        <v>1.7</v>
      </c>
      <c r="H598" s="42">
        <v>50</v>
      </c>
      <c r="I598" s="42">
        <v>2007</v>
      </c>
      <c r="J598" s="113">
        <v>1.43883136278883E+19</v>
      </c>
    </row>
    <row r="599" spans="3:10" x14ac:dyDescent="0.3">
      <c r="C599" s="41" t="b">
        <v>0</v>
      </c>
      <c r="D599" s="42" t="s">
        <v>56</v>
      </c>
      <c r="E599" s="42">
        <v>2</v>
      </c>
      <c r="F599" s="42">
        <v>58.11289</v>
      </c>
      <c r="G599" s="42">
        <v>8.02</v>
      </c>
      <c r="H599" s="42">
        <v>37.880000000000003</v>
      </c>
      <c r="I599" s="42">
        <v>1998</v>
      </c>
      <c r="J599" s="113">
        <v>1.09569555529234E+18</v>
      </c>
    </row>
    <row r="600" spans="3:10" x14ac:dyDescent="0.3">
      <c r="C600" s="41" t="b">
        <v>0</v>
      </c>
      <c r="D600" s="42" t="s">
        <v>56</v>
      </c>
      <c r="E600" s="42">
        <v>2</v>
      </c>
      <c r="F600" s="42">
        <v>1749.5</v>
      </c>
      <c r="G600" s="42">
        <v>18.100000000000001</v>
      </c>
      <c r="H600" s="42">
        <v>37.880000000000003</v>
      </c>
      <c r="I600" s="42">
        <v>2000</v>
      </c>
      <c r="J600" s="113">
        <v>1.71160399397271E+19</v>
      </c>
    </row>
    <row r="601" spans="3:10" x14ac:dyDescent="0.3">
      <c r="C601" s="41" t="b">
        <v>0</v>
      </c>
      <c r="D601" s="42" t="s">
        <v>56</v>
      </c>
      <c r="E601" s="42">
        <v>1</v>
      </c>
      <c r="F601" s="42">
        <v>6.4029999999999996</v>
      </c>
      <c r="G601" s="42">
        <v>0.23</v>
      </c>
      <c r="H601" s="42">
        <v>43.12</v>
      </c>
      <c r="I601" s="42">
        <v>2002</v>
      </c>
      <c r="J601" s="113">
        <v>1.82672933400924E+19</v>
      </c>
    </row>
    <row r="602" spans="3:10" x14ac:dyDescent="0.3">
      <c r="C602" s="41" t="b">
        <v>0</v>
      </c>
      <c r="D602" s="42" t="s">
        <v>56</v>
      </c>
      <c r="E602" s="42">
        <v>2</v>
      </c>
      <c r="F602" s="42">
        <v>225.62</v>
      </c>
      <c r="G602" s="42">
        <v>2.88</v>
      </c>
      <c r="H602" s="42">
        <v>36.32</v>
      </c>
      <c r="I602" s="42">
        <v>2000</v>
      </c>
      <c r="J602" s="113">
        <v>1.77785226195246E+19</v>
      </c>
    </row>
    <row r="603" spans="3:10" x14ac:dyDescent="0.3">
      <c r="C603" s="41" t="b">
        <v>0</v>
      </c>
      <c r="D603" s="42" t="s">
        <v>56</v>
      </c>
      <c r="E603" s="42">
        <v>2</v>
      </c>
      <c r="F603" s="42">
        <v>2102</v>
      </c>
      <c r="G603" s="42">
        <v>4.04</v>
      </c>
      <c r="H603" s="42">
        <v>36.32</v>
      </c>
      <c r="I603" s="42">
        <v>2003</v>
      </c>
      <c r="J603" s="113">
        <v>8.4583632149667297E+18</v>
      </c>
    </row>
    <row r="604" spans="3:10" x14ac:dyDescent="0.3">
      <c r="C604" s="41" t="b">
        <v>0</v>
      </c>
      <c r="D604" s="42" t="s">
        <v>56</v>
      </c>
      <c r="E604" s="42">
        <v>1</v>
      </c>
      <c r="F604" s="42">
        <v>1145</v>
      </c>
      <c r="G604" s="42">
        <v>0.67</v>
      </c>
      <c r="H604" s="42">
        <v>64.98</v>
      </c>
      <c r="I604" s="42">
        <v>2007</v>
      </c>
      <c r="J604" s="113">
        <v>3.86900280092862E+18</v>
      </c>
    </row>
    <row r="605" spans="3:10" x14ac:dyDescent="0.3">
      <c r="C605" s="41" t="b">
        <v>0</v>
      </c>
      <c r="D605" s="42" t="s">
        <v>56</v>
      </c>
      <c r="E605" s="42">
        <v>1</v>
      </c>
      <c r="F605" s="42">
        <v>538</v>
      </c>
      <c r="G605" s="42">
        <v>1.83</v>
      </c>
      <c r="H605" s="42"/>
      <c r="I605" s="42">
        <v>2007</v>
      </c>
      <c r="J605" s="113">
        <v>1.2791189869711401E+19</v>
      </c>
    </row>
    <row r="606" spans="3:10" x14ac:dyDescent="0.3">
      <c r="C606" s="41" t="b">
        <v>0</v>
      </c>
      <c r="D606" s="42" t="s">
        <v>56</v>
      </c>
      <c r="E606" s="42">
        <v>1</v>
      </c>
      <c r="F606" s="42">
        <v>1523</v>
      </c>
      <c r="G606" s="42">
        <v>2.6</v>
      </c>
      <c r="H606" s="42">
        <v>44.05</v>
      </c>
      <c r="I606" s="42">
        <v>2009</v>
      </c>
      <c r="J606" s="113">
        <v>1.08668519131059E+19</v>
      </c>
    </row>
    <row r="607" spans="3:10" x14ac:dyDescent="0.3">
      <c r="C607" s="41" t="b">
        <v>0</v>
      </c>
      <c r="D607" s="42" t="s">
        <v>56</v>
      </c>
      <c r="E607" s="42">
        <v>1</v>
      </c>
      <c r="F607" s="42">
        <v>323.60000000000002</v>
      </c>
      <c r="G607" s="42">
        <v>2.7</v>
      </c>
      <c r="H607" s="42">
        <v>134.94999999999999</v>
      </c>
      <c r="I607" s="42">
        <v>2008</v>
      </c>
      <c r="J607" s="113">
        <v>3.3584564867788298E+18</v>
      </c>
    </row>
    <row r="608" spans="3:10" x14ac:dyDescent="0.3">
      <c r="C608" s="41" t="b">
        <v>0</v>
      </c>
      <c r="D608" s="42" t="s">
        <v>56</v>
      </c>
      <c r="E608" s="42">
        <v>1</v>
      </c>
      <c r="F608" s="42">
        <v>1290</v>
      </c>
      <c r="G608" s="42">
        <v>7.8</v>
      </c>
      <c r="H608" s="42">
        <v>67.02</v>
      </c>
      <c r="I608" s="42">
        <v>2009</v>
      </c>
      <c r="J608" s="113">
        <v>1.27126621041612E+19</v>
      </c>
    </row>
    <row r="609" spans="3:10" x14ac:dyDescent="0.3">
      <c r="C609" s="41" t="b">
        <v>0</v>
      </c>
      <c r="D609" s="42" t="s">
        <v>56</v>
      </c>
      <c r="E609" s="42">
        <v>1</v>
      </c>
      <c r="F609" s="42">
        <v>297.3</v>
      </c>
      <c r="G609" s="42">
        <v>0.61</v>
      </c>
      <c r="H609" s="42">
        <v>127.55</v>
      </c>
      <c r="I609" s="42">
        <v>2007</v>
      </c>
      <c r="J609" s="113">
        <v>2.6266100384707599E+18</v>
      </c>
    </row>
    <row r="610" spans="3:10" x14ac:dyDescent="0.3">
      <c r="C610" s="41" t="b">
        <v>0</v>
      </c>
      <c r="D610" s="42" t="s">
        <v>62</v>
      </c>
      <c r="E610" s="42">
        <v>1</v>
      </c>
      <c r="F610" s="42">
        <v>1016</v>
      </c>
      <c r="G610" s="42"/>
      <c r="H610" s="42">
        <v>14.98</v>
      </c>
      <c r="I610" s="42">
        <v>2010</v>
      </c>
      <c r="J610" s="113">
        <v>1.6284090429007999E+19</v>
      </c>
    </row>
    <row r="611" spans="3:10" x14ac:dyDescent="0.3">
      <c r="C611" s="41" t="b">
        <v>0</v>
      </c>
      <c r="D611" s="42" t="s">
        <v>56</v>
      </c>
      <c r="E611" s="42">
        <v>2</v>
      </c>
      <c r="F611" s="42">
        <v>406.6</v>
      </c>
      <c r="G611" s="42">
        <v>1.49</v>
      </c>
      <c r="H611" s="42">
        <v>59.03</v>
      </c>
      <c r="I611" s="42">
        <v>1999</v>
      </c>
      <c r="J611" s="113">
        <v>7.5136148284148204E+18</v>
      </c>
    </row>
    <row r="612" spans="3:10" x14ac:dyDescent="0.3">
      <c r="C612" s="41" t="b">
        <v>0</v>
      </c>
      <c r="D612" s="42" t="s">
        <v>56</v>
      </c>
      <c r="E612" s="42">
        <v>2</v>
      </c>
      <c r="F612" s="42">
        <v>110.9</v>
      </c>
      <c r="G612" s="42">
        <v>0.15</v>
      </c>
      <c r="H612" s="42">
        <v>59.03</v>
      </c>
      <c r="I612" s="42">
        <v>2010</v>
      </c>
      <c r="J612" s="113">
        <v>8.29725322732557E+18</v>
      </c>
    </row>
    <row r="613" spans="3:10" x14ac:dyDescent="0.3">
      <c r="C613" s="41" t="b">
        <v>0</v>
      </c>
      <c r="D613" s="42" t="s">
        <v>56</v>
      </c>
      <c r="E613" s="42">
        <v>1</v>
      </c>
      <c r="F613" s="42">
        <v>71.483999999999995</v>
      </c>
      <c r="G613" s="42">
        <v>7.03</v>
      </c>
      <c r="H613" s="42">
        <v>46.73</v>
      </c>
      <c r="I613" s="42">
        <v>2001</v>
      </c>
      <c r="J613" s="113">
        <v>1.53061348442572E+19</v>
      </c>
    </row>
    <row r="614" spans="3:10" x14ac:dyDescent="0.3">
      <c r="C614" s="41" t="b">
        <v>0</v>
      </c>
      <c r="D614" s="42" t="s">
        <v>56</v>
      </c>
      <c r="E614" s="42">
        <v>1</v>
      </c>
      <c r="F614" s="42">
        <v>14.476000000000001</v>
      </c>
      <c r="G614" s="42">
        <v>0.08</v>
      </c>
      <c r="H614" s="42">
        <v>63.69</v>
      </c>
      <c r="I614" s="42">
        <v>2008</v>
      </c>
      <c r="J614" s="113">
        <v>9.6699686191078707E+18</v>
      </c>
    </row>
    <row r="615" spans="3:10" x14ac:dyDescent="0.3">
      <c r="C615" s="41" t="b">
        <v>0</v>
      </c>
      <c r="D615" s="42" t="s">
        <v>56</v>
      </c>
      <c r="E615" s="42">
        <v>1</v>
      </c>
      <c r="F615" s="42">
        <v>3.0924999999999998</v>
      </c>
      <c r="G615" s="42">
        <v>0.95</v>
      </c>
      <c r="H615" s="42">
        <v>27.05</v>
      </c>
      <c r="I615" s="42">
        <v>2000</v>
      </c>
      <c r="J615" s="113">
        <v>6.5695200209986898E+18</v>
      </c>
    </row>
    <row r="616" spans="3:10" x14ac:dyDescent="0.3">
      <c r="C616" s="41" t="b">
        <v>0</v>
      </c>
      <c r="D616" s="42" t="s">
        <v>56</v>
      </c>
      <c r="E616" s="42">
        <v>1</v>
      </c>
      <c r="F616" s="42">
        <v>396.03</v>
      </c>
      <c r="G616" s="42"/>
      <c r="H616" s="42">
        <v>131.75</v>
      </c>
      <c r="I616" s="42">
        <v>2010</v>
      </c>
      <c r="J616" s="113">
        <v>5.1698894179983698E+18</v>
      </c>
    </row>
    <row r="617" spans="3:10" x14ac:dyDescent="0.3">
      <c r="C617" s="41" t="b">
        <v>0</v>
      </c>
      <c r="D617" s="42" t="s">
        <v>56</v>
      </c>
      <c r="E617" s="42">
        <v>1</v>
      </c>
      <c r="F617" s="42">
        <v>479</v>
      </c>
      <c r="G617" s="42">
        <v>1.6</v>
      </c>
      <c r="H617" s="42">
        <v>114.55</v>
      </c>
      <c r="I617" s="42">
        <v>2009</v>
      </c>
      <c r="J617" s="113">
        <v>2.9237248237574799E+18</v>
      </c>
    </row>
    <row r="618" spans="3:10" x14ac:dyDescent="0.3">
      <c r="C618" s="41" t="b">
        <v>0</v>
      </c>
      <c r="D618" s="42" t="s">
        <v>56</v>
      </c>
      <c r="E618" s="42">
        <v>1</v>
      </c>
      <c r="F618" s="42">
        <v>663</v>
      </c>
      <c r="G618" s="42">
        <v>3.3</v>
      </c>
      <c r="H618" s="42">
        <v>115.47</v>
      </c>
      <c r="I618" s="42">
        <v>2009</v>
      </c>
      <c r="J618" s="113">
        <v>2.7326242030160799E+18</v>
      </c>
    </row>
    <row r="619" spans="3:10" x14ac:dyDescent="0.3">
      <c r="C619" s="41" t="b">
        <v>0</v>
      </c>
      <c r="D619" s="42" t="s">
        <v>56</v>
      </c>
      <c r="E619" s="42">
        <v>3</v>
      </c>
      <c r="F619" s="42">
        <v>9.3742999999999999</v>
      </c>
      <c r="G619" s="42">
        <v>2.3800000000000002E-2</v>
      </c>
      <c r="H619" s="42">
        <v>26.15</v>
      </c>
      <c r="I619" s="42">
        <v>2008</v>
      </c>
      <c r="J619" s="113">
        <v>9.1485956503928699E+18</v>
      </c>
    </row>
    <row r="620" spans="3:10" x14ac:dyDescent="0.3">
      <c r="C620" s="41" t="b">
        <v>0</v>
      </c>
      <c r="D620" s="42" t="s">
        <v>56</v>
      </c>
      <c r="E620" s="42">
        <v>3</v>
      </c>
      <c r="F620" s="42">
        <v>962</v>
      </c>
      <c r="G620" s="42">
        <v>0.64</v>
      </c>
      <c r="H620" s="42">
        <v>26.15</v>
      </c>
      <c r="I620" s="42">
        <v>2008</v>
      </c>
      <c r="J620" s="113">
        <v>1.8683526494818202E+17</v>
      </c>
    </row>
    <row r="621" spans="3:10" x14ac:dyDescent="0.3">
      <c r="C621" s="41" t="b">
        <v>0</v>
      </c>
      <c r="D621" s="42" t="s">
        <v>56</v>
      </c>
      <c r="E621" s="42">
        <v>3</v>
      </c>
      <c r="F621" s="42">
        <v>2172</v>
      </c>
      <c r="G621" s="42">
        <v>0.54</v>
      </c>
      <c r="H621" s="42">
        <v>26.15</v>
      </c>
      <c r="I621" s="42">
        <v>2008</v>
      </c>
      <c r="J621" s="113">
        <v>2.6253763766853002E+18</v>
      </c>
    </row>
    <row r="622" spans="3:10" x14ac:dyDescent="0.3">
      <c r="C622" s="41" t="b">
        <v>0</v>
      </c>
      <c r="D622" s="42" t="s">
        <v>56</v>
      </c>
      <c r="E622" s="42">
        <v>1</v>
      </c>
      <c r="F622" s="42">
        <v>956</v>
      </c>
      <c r="G622" s="42">
        <v>0.37</v>
      </c>
      <c r="H622" s="42">
        <v>55.93</v>
      </c>
      <c r="I622" s="42">
        <v>2009</v>
      </c>
      <c r="J622" s="113">
        <v>7.2404601882391101E+18</v>
      </c>
    </row>
    <row r="623" spans="3:10" x14ac:dyDescent="0.3">
      <c r="C623" s="41" t="b">
        <v>0</v>
      </c>
      <c r="D623" s="42" t="s">
        <v>56</v>
      </c>
      <c r="E623" s="42">
        <v>2</v>
      </c>
      <c r="F623" s="42">
        <v>634.23</v>
      </c>
      <c r="G623" s="42">
        <v>3.69</v>
      </c>
      <c r="H623" s="42">
        <v>52.83</v>
      </c>
      <c r="I623" s="42">
        <v>2004</v>
      </c>
      <c r="J623" s="113">
        <v>1.4345958952924201E+19</v>
      </c>
    </row>
    <row r="624" spans="3:10" x14ac:dyDescent="0.3">
      <c r="C624" s="41" t="b">
        <v>0</v>
      </c>
      <c r="D624" s="42" t="s">
        <v>56</v>
      </c>
      <c r="E624" s="42">
        <v>2</v>
      </c>
      <c r="F624" s="42">
        <v>2950</v>
      </c>
      <c r="G624" s="42">
        <v>3.82</v>
      </c>
      <c r="H624" s="42">
        <v>52.83</v>
      </c>
      <c r="I624" s="42">
        <v>2008</v>
      </c>
      <c r="J624" s="113">
        <v>1.1567749896783E+19</v>
      </c>
    </row>
    <row r="625" spans="3:10" x14ac:dyDescent="0.3">
      <c r="C625" s="41" t="b">
        <v>0</v>
      </c>
      <c r="D625" s="42" t="s">
        <v>56</v>
      </c>
      <c r="E625" s="42">
        <v>1</v>
      </c>
      <c r="F625" s="42">
        <v>6.8380000000000001</v>
      </c>
      <c r="G625" s="42">
        <v>0.94</v>
      </c>
      <c r="H625" s="42">
        <v>47.37</v>
      </c>
      <c r="I625" s="42">
        <v>2006</v>
      </c>
      <c r="J625" s="113">
        <v>1.59842664959361E+19</v>
      </c>
    </row>
    <row r="626" spans="3:10" x14ac:dyDescent="0.3">
      <c r="C626" s="41" t="b">
        <v>0</v>
      </c>
      <c r="D626" s="42" t="s">
        <v>56</v>
      </c>
      <c r="E626" s="42">
        <v>1</v>
      </c>
      <c r="F626" s="42">
        <v>986</v>
      </c>
      <c r="G626" s="42">
        <v>0.75</v>
      </c>
      <c r="H626" s="42">
        <v>44.98</v>
      </c>
      <c r="I626" s="42">
        <v>2006</v>
      </c>
      <c r="J626" s="113">
        <v>1.0184055220782801E+19</v>
      </c>
    </row>
    <row r="627" spans="3:10" x14ac:dyDescent="0.3">
      <c r="C627" s="41" t="b">
        <v>0</v>
      </c>
      <c r="D627" s="42" t="s">
        <v>56</v>
      </c>
      <c r="E627" s="42">
        <v>2</v>
      </c>
      <c r="F627" s="42">
        <v>3.097</v>
      </c>
      <c r="G627" s="42">
        <v>0.52</v>
      </c>
      <c r="H627" s="42">
        <v>47.92</v>
      </c>
      <c r="I627" s="42">
        <v>1998</v>
      </c>
      <c r="J627" s="113">
        <v>1.0267327626532999E+19</v>
      </c>
    </row>
    <row r="628" spans="3:10" x14ac:dyDescent="0.3">
      <c r="C628" s="41" t="b">
        <v>0</v>
      </c>
      <c r="D628" s="42" t="s">
        <v>56</v>
      </c>
      <c r="E628" s="42">
        <v>2</v>
      </c>
      <c r="F628" s="42">
        <v>3810</v>
      </c>
      <c r="G628" s="42">
        <v>1.99</v>
      </c>
      <c r="H628" s="42">
        <v>47.92</v>
      </c>
      <c r="I628" s="42">
        <v>1999</v>
      </c>
      <c r="J628" s="113">
        <v>1.16084639893365E+19</v>
      </c>
    </row>
    <row r="629" spans="3:10" x14ac:dyDescent="0.3">
      <c r="C629" s="41" t="b">
        <v>0</v>
      </c>
      <c r="D629" s="42" t="s">
        <v>56</v>
      </c>
      <c r="E629" s="42">
        <v>1</v>
      </c>
      <c r="F629" s="42">
        <v>456.46</v>
      </c>
      <c r="G629" s="42">
        <v>1.26</v>
      </c>
      <c r="H629" s="42">
        <v>52.63</v>
      </c>
      <c r="I629" s="42">
        <v>2004</v>
      </c>
      <c r="J629" s="113">
        <v>4.0528966483100298E+18</v>
      </c>
    </row>
    <row r="630" spans="3:10" x14ac:dyDescent="0.3">
      <c r="C630" s="41" t="b">
        <v>0</v>
      </c>
      <c r="D630" s="42" t="s">
        <v>56</v>
      </c>
      <c r="E630" s="42">
        <v>1</v>
      </c>
      <c r="F630" s="42">
        <v>14.275</v>
      </c>
      <c r="G630" s="42">
        <v>3.1600000000000003E-2</v>
      </c>
      <c r="H630" s="42">
        <v>17.72</v>
      </c>
      <c r="I630" s="42">
        <v>2011</v>
      </c>
      <c r="J630" s="113">
        <v>6.7780929563428198E+17</v>
      </c>
    </row>
    <row r="631" spans="3:10" x14ac:dyDescent="0.3">
      <c r="C631" s="41" t="b">
        <v>0</v>
      </c>
      <c r="D631" s="42" t="s">
        <v>56</v>
      </c>
      <c r="E631" s="42">
        <v>1</v>
      </c>
      <c r="F631" s="42">
        <v>2.2185757800000001</v>
      </c>
      <c r="G631" s="42"/>
      <c r="H631" s="42">
        <v>19.25</v>
      </c>
      <c r="I631" s="42">
        <v>2005</v>
      </c>
      <c r="J631" s="113">
        <v>1.1549932411015999E+19</v>
      </c>
    </row>
    <row r="632" spans="3:10" x14ac:dyDescent="0.3">
      <c r="C632" s="41" t="b">
        <v>0</v>
      </c>
      <c r="D632" s="42" t="s">
        <v>56</v>
      </c>
      <c r="E632" s="42">
        <v>1</v>
      </c>
      <c r="F632" s="42">
        <v>1136.0999999999999</v>
      </c>
      <c r="G632" s="42">
        <v>5.93</v>
      </c>
      <c r="H632" s="42">
        <v>62.11</v>
      </c>
      <c r="I632" s="42">
        <v>2002</v>
      </c>
      <c r="J632" s="113">
        <v>7.2892206708799396E+18</v>
      </c>
    </row>
    <row r="633" spans="3:10" x14ac:dyDescent="0.3">
      <c r="C633" s="41" t="b">
        <v>0</v>
      </c>
      <c r="D633" s="42" t="s">
        <v>56</v>
      </c>
      <c r="E633" s="42">
        <v>2</v>
      </c>
      <c r="F633" s="42">
        <v>2891</v>
      </c>
      <c r="G633" s="42">
        <v>1.502</v>
      </c>
      <c r="H633" s="42">
        <v>15.89</v>
      </c>
      <c r="I633" s="42">
        <v>2003</v>
      </c>
      <c r="J633" s="113">
        <v>4.5174500872815498E+18</v>
      </c>
    </row>
    <row r="634" spans="3:10" x14ac:dyDescent="0.3">
      <c r="C634" s="41" t="b">
        <v>0</v>
      </c>
      <c r="D634" s="42" t="s">
        <v>56</v>
      </c>
      <c r="E634" s="42">
        <v>2</v>
      </c>
      <c r="F634" s="42">
        <v>17.100000000000001</v>
      </c>
      <c r="G634" s="42">
        <v>5.7000000000000002E-2</v>
      </c>
      <c r="H634" s="42">
        <v>15.89</v>
      </c>
      <c r="I634" s="42">
        <v>2005</v>
      </c>
      <c r="J634" s="113">
        <v>1.80193599678433E+18</v>
      </c>
    </row>
    <row r="635" spans="3:10" x14ac:dyDescent="0.3">
      <c r="C635" s="41" t="b">
        <v>0</v>
      </c>
      <c r="D635" s="42" t="s">
        <v>56</v>
      </c>
      <c r="E635" s="42">
        <v>1</v>
      </c>
      <c r="F635" s="42">
        <v>1038.0999999999999</v>
      </c>
      <c r="G635" s="42">
        <v>1.9</v>
      </c>
      <c r="H635" s="42">
        <v>54.23</v>
      </c>
      <c r="I635" s="42">
        <v>2007</v>
      </c>
      <c r="J635" s="113">
        <v>4.7977169436790098E+18</v>
      </c>
    </row>
    <row r="636" spans="3:10" x14ac:dyDescent="0.3">
      <c r="C636" s="41" t="b">
        <v>0</v>
      </c>
      <c r="D636" s="42" t="s">
        <v>56</v>
      </c>
      <c r="E636" s="42">
        <v>1</v>
      </c>
      <c r="F636" s="42">
        <v>4885</v>
      </c>
      <c r="G636" s="42">
        <v>3.1</v>
      </c>
      <c r="H636" s="42">
        <v>189.39</v>
      </c>
      <c r="I636" s="42">
        <v>2009</v>
      </c>
      <c r="J636" s="113">
        <v>1.64920429783791E+18</v>
      </c>
    </row>
    <row r="637" spans="3:10" x14ac:dyDescent="0.3">
      <c r="C637" s="41" t="b">
        <v>0</v>
      </c>
      <c r="D637" s="42" t="s">
        <v>56</v>
      </c>
      <c r="E637" s="42">
        <v>1</v>
      </c>
      <c r="F637" s="42">
        <v>24.347999999999999</v>
      </c>
      <c r="G637" s="42">
        <v>0.72</v>
      </c>
      <c r="H637" s="42">
        <v>19.89</v>
      </c>
      <c r="I637" s="42">
        <v>1999</v>
      </c>
      <c r="J637" s="113">
        <v>5.4790837498298102E+18</v>
      </c>
    </row>
    <row r="638" spans="3:10" x14ac:dyDescent="0.3">
      <c r="C638" s="41" t="b">
        <v>0</v>
      </c>
      <c r="D638" s="42" t="s">
        <v>56</v>
      </c>
      <c r="E638" s="42">
        <v>2</v>
      </c>
      <c r="F638" s="42">
        <v>74.72</v>
      </c>
      <c r="G638" s="42">
        <v>5.3179999999999998E-2</v>
      </c>
      <c r="H638" s="42">
        <v>8.82</v>
      </c>
      <c r="I638" s="42">
        <v>2011</v>
      </c>
      <c r="J638" s="113">
        <v>3.45606801546739E+18</v>
      </c>
    </row>
    <row r="639" spans="3:10" x14ac:dyDescent="0.3">
      <c r="C639" s="41" t="b">
        <v>0</v>
      </c>
      <c r="D639" s="42" t="s">
        <v>56</v>
      </c>
      <c r="E639" s="42">
        <v>2</v>
      </c>
      <c r="F639" s="42">
        <v>525.79999999999995</v>
      </c>
      <c r="G639" s="42">
        <v>7.5520000000000004E-2</v>
      </c>
      <c r="H639" s="42">
        <v>8.82</v>
      </c>
      <c r="I639" s="42">
        <v>2011</v>
      </c>
      <c r="J639" s="113">
        <v>9.0206272107461898E+18</v>
      </c>
    </row>
    <row r="640" spans="3:10" x14ac:dyDescent="0.3">
      <c r="C640" s="41" t="b">
        <v>0</v>
      </c>
      <c r="D640" s="42" t="s">
        <v>56</v>
      </c>
      <c r="E640" s="42">
        <v>1</v>
      </c>
      <c r="F640" s="42">
        <v>351.5</v>
      </c>
      <c r="G640" s="42">
        <v>2.5</v>
      </c>
      <c r="H640" s="42">
        <v>67.39</v>
      </c>
      <c r="I640" s="42">
        <v>2007</v>
      </c>
      <c r="J640" s="113">
        <v>4.4034944631719501E+18</v>
      </c>
    </row>
    <row r="641" spans="3:10" x14ac:dyDescent="0.3">
      <c r="C641" s="41" t="b">
        <v>0</v>
      </c>
      <c r="D641" s="42" t="s">
        <v>56</v>
      </c>
      <c r="E641" s="42">
        <v>1</v>
      </c>
      <c r="F641" s="42">
        <v>18.201630000000002</v>
      </c>
      <c r="G641" s="42">
        <v>3.7</v>
      </c>
      <c r="H641" s="42">
        <v>37.35</v>
      </c>
      <c r="I641" s="42">
        <v>1999</v>
      </c>
      <c r="J641" s="113">
        <v>1.24390606854853E+19</v>
      </c>
    </row>
    <row r="642" spans="3:10" x14ac:dyDescent="0.3">
      <c r="C642" s="41" t="b">
        <v>0</v>
      </c>
      <c r="D642" s="42" t="s">
        <v>56</v>
      </c>
      <c r="E642" s="42">
        <v>1</v>
      </c>
      <c r="F642" s="42">
        <v>1289</v>
      </c>
      <c r="G642" s="42">
        <v>3</v>
      </c>
      <c r="H642" s="42">
        <v>46.93</v>
      </c>
      <c r="I642" s="42">
        <v>2002</v>
      </c>
      <c r="J642" s="113">
        <v>2.3597570647805E+18</v>
      </c>
    </row>
    <row r="643" spans="3:10" x14ac:dyDescent="0.3">
      <c r="C643" s="41" t="b">
        <v>0</v>
      </c>
      <c r="D643" s="42" t="s">
        <v>56</v>
      </c>
      <c r="E643" s="42">
        <v>1</v>
      </c>
      <c r="F643" s="42">
        <v>3638</v>
      </c>
      <c r="G643" s="42">
        <v>6.9</v>
      </c>
      <c r="H643" s="42">
        <v>43.57</v>
      </c>
      <c r="I643" s="42">
        <v>2012</v>
      </c>
      <c r="J643" s="113">
        <v>1.9853640585585201E+18</v>
      </c>
    </row>
    <row r="644" spans="3:10" x14ac:dyDescent="0.3">
      <c r="C644" s="41" t="b">
        <v>0</v>
      </c>
      <c r="D644" s="42" t="s">
        <v>56</v>
      </c>
      <c r="E644" s="42">
        <v>1</v>
      </c>
      <c r="F644" s="42">
        <v>1333</v>
      </c>
      <c r="G644" s="42">
        <v>2.58</v>
      </c>
      <c r="H644" s="42">
        <v>32.99</v>
      </c>
      <c r="I644" s="42">
        <v>2007</v>
      </c>
      <c r="J644" s="113">
        <v>1.4136754728011201E+19</v>
      </c>
    </row>
    <row r="645" spans="3:10" x14ac:dyDescent="0.3">
      <c r="C645" s="41" t="b">
        <v>0</v>
      </c>
      <c r="D645" s="42" t="s">
        <v>56</v>
      </c>
      <c r="E645" s="42">
        <v>1</v>
      </c>
      <c r="F645" s="42">
        <v>1035.7</v>
      </c>
      <c r="G645" s="42">
        <v>0.79</v>
      </c>
      <c r="H645" s="42">
        <v>32.83</v>
      </c>
      <c r="I645" s="42">
        <v>2011</v>
      </c>
      <c r="J645" s="113">
        <v>1.5264015069017E+19</v>
      </c>
    </row>
    <row r="646" spans="3:10" x14ac:dyDescent="0.3">
      <c r="C646" s="41" t="b">
        <v>0</v>
      </c>
      <c r="D646" s="42" t="s">
        <v>56</v>
      </c>
      <c r="E646" s="42">
        <v>2</v>
      </c>
      <c r="F646" s="42">
        <v>613.79999999999995</v>
      </c>
      <c r="G646" s="42">
        <v>1.85</v>
      </c>
      <c r="H646" s="42">
        <v>68.349999999999994</v>
      </c>
      <c r="I646" s="42">
        <v>2010</v>
      </c>
      <c r="J646" s="113">
        <v>1.6511567581700399E+19</v>
      </c>
    </row>
    <row r="647" spans="3:10" x14ac:dyDescent="0.3">
      <c r="C647" s="41" t="b">
        <v>0</v>
      </c>
      <c r="D647" s="42" t="s">
        <v>56</v>
      </c>
      <c r="E647" s="42">
        <v>2</v>
      </c>
      <c r="F647" s="42">
        <v>825</v>
      </c>
      <c r="G647" s="42">
        <v>0.89500000000000002</v>
      </c>
      <c r="H647" s="42">
        <v>68.349999999999994</v>
      </c>
      <c r="I647" s="42">
        <v>2010</v>
      </c>
      <c r="J647" s="113">
        <v>1.04388690403907E+18</v>
      </c>
    </row>
    <row r="648" spans="3:10" x14ac:dyDescent="0.3">
      <c r="C648" s="41" t="b">
        <v>0</v>
      </c>
      <c r="D648" s="42" t="s">
        <v>56</v>
      </c>
      <c r="E648" s="42">
        <v>2</v>
      </c>
      <c r="F648" s="42">
        <v>255.87</v>
      </c>
      <c r="G648" s="42">
        <v>17.399999999999999</v>
      </c>
      <c r="H648" s="42">
        <v>46.34</v>
      </c>
      <c r="I648" s="42">
        <v>2002</v>
      </c>
      <c r="J648" s="113">
        <v>1.35692643743407E+19</v>
      </c>
    </row>
    <row r="649" spans="3:10" x14ac:dyDescent="0.3">
      <c r="C649" s="41" t="b">
        <v>0</v>
      </c>
      <c r="D649" s="42" t="s">
        <v>56</v>
      </c>
      <c r="E649" s="42">
        <v>2</v>
      </c>
      <c r="F649" s="42">
        <v>1383.4</v>
      </c>
      <c r="G649" s="42">
        <v>2.44</v>
      </c>
      <c r="H649" s="42">
        <v>46.34</v>
      </c>
      <c r="I649" s="42">
        <v>2004</v>
      </c>
      <c r="J649" s="113">
        <v>1.1648049323330501E+19</v>
      </c>
    </row>
    <row r="650" spans="3:10" x14ac:dyDescent="0.3">
      <c r="C650" s="41" t="b">
        <v>0</v>
      </c>
      <c r="D650" s="42" t="s">
        <v>59</v>
      </c>
      <c r="E650" s="42">
        <v>1</v>
      </c>
      <c r="F650" s="42"/>
      <c r="G650" s="42"/>
      <c r="H650" s="42">
        <v>40.85</v>
      </c>
      <c r="I650" s="42">
        <v>2006</v>
      </c>
      <c r="J650" s="113">
        <v>4.6617587658265498E+18</v>
      </c>
    </row>
    <row r="651" spans="3:10" x14ac:dyDescent="0.3">
      <c r="C651" s="41" t="b">
        <v>0</v>
      </c>
      <c r="D651" s="42" t="s">
        <v>56</v>
      </c>
      <c r="E651" s="42">
        <v>3</v>
      </c>
      <c r="F651" s="42">
        <v>1931</v>
      </c>
      <c r="G651" s="42">
        <v>4.05</v>
      </c>
      <c r="H651" s="42">
        <v>47.3</v>
      </c>
      <c r="I651" s="42">
        <v>2009</v>
      </c>
      <c r="J651" s="113">
        <v>1.5292638733984999E+19</v>
      </c>
    </row>
    <row r="652" spans="3:10" x14ac:dyDescent="0.3">
      <c r="C652" s="41" t="b">
        <v>0</v>
      </c>
      <c r="D652" s="42" t="s">
        <v>56</v>
      </c>
      <c r="E652" s="42">
        <v>3</v>
      </c>
      <c r="F652" s="42">
        <v>34.872999999999998</v>
      </c>
      <c r="G652" s="42">
        <v>5.3999999999999999E-2</v>
      </c>
      <c r="H652" s="42">
        <v>47.3</v>
      </c>
      <c r="I652" s="42">
        <v>2011</v>
      </c>
      <c r="J652" s="113">
        <v>2.1514239451948401E+18</v>
      </c>
    </row>
    <row r="653" spans="3:10" x14ac:dyDescent="0.3">
      <c r="C653" s="41" t="b">
        <v>0</v>
      </c>
      <c r="D653" s="42" t="s">
        <v>56</v>
      </c>
      <c r="E653" s="42">
        <v>3</v>
      </c>
      <c r="F653" s="42">
        <v>2831.6</v>
      </c>
      <c r="G653" s="42">
        <v>1.68</v>
      </c>
      <c r="H653" s="42">
        <v>47.3</v>
      </c>
      <c r="I653" s="42">
        <v>2012</v>
      </c>
      <c r="J653" s="113">
        <v>2.09368243482243E+18</v>
      </c>
    </row>
    <row r="654" spans="3:10" x14ac:dyDescent="0.3">
      <c r="C654" s="41" t="b">
        <v>0</v>
      </c>
      <c r="D654" s="42" t="s">
        <v>56</v>
      </c>
      <c r="E654" s="42">
        <v>1</v>
      </c>
      <c r="F654" s="42">
        <v>1733</v>
      </c>
      <c r="G654" s="42">
        <v>0.26600000000000001</v>
      </c>
      <c r="H654" s="42">
        <v>26.95</v>
      </c>
      <c r="I654" s="42">
        <v>2011</v>
      </c>
      <c r="J654" s="113">
        <v>1.84389546589708E+19</v>
      </c>
    </row>
    <row r="655" spans="3:10" x14ac:dyDescent="0.3">
      <c r="C655" s="41" t="b">
        <v>0</v>
      </c>
      <c r="D655" s="42" t="s">
        <v>56</v>
      </c>
      <c r="E655" s="42">
        <v>1</v>
      </c>
      <c r="F655" s="42">
        <v>279.8</v>
      </c>
      <c r="G655" s="42">
        <v>1.37</v>
      </c>
      <c r="H655" s="42">
        <v>90.33</v>
      </c>
      <c r="I655" s="42">
        <v>2008</v>
      </c>
      <c r="J655" s="113">
        <v>1.75527320662477E+19</v>
      </c>
    </row>
    <row r="656" spans="3:10" x14ac:dyDescent="0.3">
      <c r="C656" s="41" t="b">
        <v>0</v>
      </c>
      <c r="D656" s="42" t="s">
        <v>56</v>
      </c>
      <c r="E656" s="42">
        <v>1</v>
      </c>
      <c r="F656" s="42">
        <v>610</v>
      </c>
      <c r="G656" s="42">
        <v>2.2000000000000002</v>
      </c>
      <c r="H656" s="42">
        <v>170.07</v>
      </c>
      <c r="I656" s="42">
        <v>2009</v>
      </c>
      <c r="J656" s="113">
        <v>1.2457893262028599E+19</v>
      </c>
    </row>
    <row r="657" spans="3:10" x14ac:dyDescent="0.3">
      <c r="C657" s="41" t="b">
        <v>0</v>
      </c>
      <c r="D657" s="42" t="s">
        <v>56</v>
      </c>
      <c r="E657" s="42">
        <v>2</v>
      </c>
      <c r="F657" s="42">
        <v>161.97</v>
      </c>
      <c r="G657" s="42"/>
      <c r="H657" s="42">
        <v>55.31</v>
      </c>
      <c r="I657" s="42">
        <v>2012</v>
      </c>
      <c r="J657" s="113">
        <v>1.1810029903143099E+18</v>
      </c>
    </row>
    <row r="658" spans="3:10" x14ac:dyDescent="0.3">
      <c r="C658" s="41" t="b">
        <v>0</v>
      </c>
      <c r="D658" s="42" t="s">
        <v>56</v>
      </c>
      <c r="E658" s="42">
        <v>2</v>
      </c>
      <c r="F658" s="42">
        <v>1155.7</v>
      </c>
      <c r="G658" s="42"/>
      <c r="H658" s="42">
        <v>55.31</v>
      </c>
      <c r="I658" s="42">
        <v>2012</v>
      </c>
      <c r="J658" s="113">
        <v>7.6721569081567898E+18</v>
      </c>
    </row>
    <row r="659" spans="3:10" x14ac:dyDescent="0.3">
      <c r="C659" s="41" t="b">
        <v>0</v>
      </c>
      <c r="D659" s="42" t="s">
        <v>56</v>
      </c>
      <c r="E659" s="42">
        <v>1</v>
      </c>
      <c r="F659" s="42">
        <v>123</v>
      </c>
      <c r="G659" s="42">
        <v>0.45</v>
      </c>
      <c r="H659" s="42">
        <v>43.99</v>
      </c>
      <c r="I659" s="42">
        <v>2004</v>
      </c>
      <c r="J659" s="113">
        <v>3.1075063031886802E+18</v>
      </c>
    </row>
    <row r="660" spans="3:10" x14ac:dyDescent="0.3">
      <c r="C660" s="41" t="b">
        <v>0</v>
      </c>
      <c r="D660" s="42" t="s">
        <v>56</v>
      </c>
      <c r="E660" s="42">
        <v>1</v>
      </c>
      <c r="F660" s="42">
        <v>875.5</v>
      </c>
      <c r="G660" s="42">
        <v>9.9</v>
      </c>
      <c r="H660" s="42">
        <v>352.11</v>
      </c>
      <c r="I660" s="42">
        <v>2012</v>
      </c>
      <c r="J660" s="113">
        <v>1.17490383465729E+18</v>
      </c>
    </row>
    <row r="661" spans="3:10" x14ac:dyDescent="0.3">
      <c r="C661" s="41" t="b">
        <v>0</v>
      </c>
      <c r="D661" s="42" t="s">
        <v>56</v>
      </c>
      <c r="E661" s="42">
        <v>1</v>
      </c>
      <c r="F661" s="42">
        <v>3.5247485900000002</v>
      </c>
      <c r="G661" s="42"/>
      <c r="H661" s="42">
        <v>47.08</v>
      </c>
      <c r="I661" s="42">
        <v>1999</v>
      </c>
      <c r="J661" s="113">
        <v>1.3545507476252299E+19</v>
      </c>
    </row>
    <row r="662" spans="3:10" x14ac:dyDescent="0.3">
      <c r="C662" s="41" t="b">
        <v>0</v>
      </c>
      <c r="D662" s="42" t="s">
        <v>56</v>
      </c>
      <c r="E662" s="42">
        <v>1</v>
      </c>
      <c r="F662" s="42">
        <v>442.1</v>
      </c>
      <c r="G662" s="42">
        <v>1.23</v>
      </c>
      <c r="H662" s="42">
        <v>21.29</v>
      </c>
      <c r="I662" s="42">
        <v>1998</v>
      </c>
      <c r="J662" s="113">
        <v>7.54621171076271E+18</v>
      </c>
    </row>
    <row r="663" spans="3:10" x14ac:dyDescent="0.3">
      <c r="C663" s="41" t="b">
        <v>0</v>
      </c>
      <c r="D663" s="42" t="s">
        <v>56</v>
      </c>
      <c r="E663" s="42">
        <v>1</v>
      </c>
      <c r="F663" s="42">
        <v>354.8</v>
      </c>
      <c r="G663" s="42"/>
      <c r="H663" s="42">
        <v>55.93</v>
      </c>
      <c r="I663" s="42">
        <v>2007</v>
      </c>
      <c r="J663" s="113">
        <v>1.19732585835641E+19</v>
      </c>
    </row>
    <row r="664" spans="3:10" x14ac:dyDescent="0.3">
      <c r="C664" s="41" t="b">
        <v>0</v>
      </c>
      <c r="D664" s="42" t="s">
        <v>56</v>
      </c>
      <c r="E664" s="42">
        <v>1</v>
      </c>
      <c r="F664" s="42">
        <v>2.2457150000000001</v>
      </c>
      <c r="G664" s="42">
        <v>0.45</v>
      </c>
      <c r="H664" s="42">
        <v>52.72</v>
      </c>
      <c r="I664" s="42">
        <v>2005</v>
      </c>
      <c r="J664" s="113">
        <v>7.2017671808032E+18</v>
      </c>
    </row>
    <row r="665" spans="3:10" x14ac:dyDescent="0.3">
      <c r="C665" s="41" t="b">
        <v>0</v>
      </c>
      <c r="D665" s="42" t="s">
        <v>56</v>
      </c>
      <c r="E665" s="42">
        <v>1</v>
      </c>
      <c r="F665" s="42">
        <v>373.3</v>
      </c>
      <c r="G665" s="42">
        <v>2.2999999999999998</v>
      </c>
      <c r="H665" s="42">
        <v>121.8</v>
      </c>
      <c r="I665" s="42">
        <v>2009</v>
      </c>
      <c r="J665" s="113">
        <v>6.8090177404550103E+18</v>
      </c>
    </row>
    <row r="666" spans="3:10" x14ac:dyDescent="0.3">
      <c r="C666" s="41" t="b">
        <v>0</v>
      </c>
      <c r="D666" s="42" t="s">
        <v>56</v>
      </c>
      <c r="E666" s="42">
        <v>1</v>
      </c>
      <c r="F666" s="42">
        <v>951</v>
      </c>
      <c r="G666" s="42">
        <v>4.5</v>
      </c>
      <c r="H666" s="42">
        <v>40.75</v>
      </c>
      <c r="I666" s="42">
        <v>2001</v>
      </c>
      <c r="J666" s="113">
        <v>1.09419853875776E+19</v>
      </c>
    </row>
    <row r="667" spans="3:10" x14ac:dyDescent="0.3">
      <c r="C667" s="41" t="b">
        <v>0</v>
      </c>
      <c r="D667" s="42" t="s">
        <v>56</v>
      </c>
      <c r="E667" s="42">
        <v>2</v>
      </c>
      <c r="F667" s="42">
        <v>7.2824999999999998</v>
      </c>
      <c r="G667" s="42">
        <v>8.6999999999999994E-3</v>
      </c>
      <c r="H667" s="42">
        <v>21.52</v>
      </c>
      <c r="I667" s="42">
        <v>2011</v>
      </c>
      <c r="J667" s="113">
        <v>1.12395268335454E+19</v>
      </c>
    </row>
    <row r="668" spans="3:10" x14ac:dyDescent="0.3">
      <c r="C668" s="41" t="b">
        <v>0</v>
      </c>
      <c r="D668" s="42" t="s">
        <v>56</v>
      </c>
      <c r="E668" s="42">
        <v>2</v>
      </c>
      <c r="F668" s="42">
        <v>10.866</v>
      </c>
      <c r="G668" s="42">
        <v>9.7000000000000003E-3</v>
      </c>
      <c r="H668" s="42">
        <v>21.52</v>
      </c>
      <c r="I668" s="42">
        <v>2011</v>
      </c>
      <c r="J668" s="113">
        <v>9.8665445360001905E+18</v>
      </c>
    </row>
    <row r="669" spans="3:10" x14ac:dyDescent="0.3">
      <c r="C669" s="41" t="b">
        <v>0</v>
      </c>
      <c r="D669" s="42" t="s">
        <v>56</v>
      </c>
      <c r="E669" s="42">
        <v>2</v>
      </c>
      <c r="F669" s="42">
        <v>191.99</v>
      </c>
      <c r="G669" s="42">
        <v>0.10100000000000001</v>
      </c>
      <c r="H669" s="42">
        <v>38.64</v>
      </c>
      <c r="I669" s="42">
        <v>2011</v>
      </c>
      <c r="J669" s="113">
        <v>1.81822943668876E+19</v>
      </c>
    </row>
    <row r="670" spans="3:10" x14ac:dyDescent="0.3">
      <c r="C670" s="41" t="b">
        <v>0</v>
      </c>
      <c r="D670" s="42" t="s">
        <v>56</v>
      </c>
      <c r="E670" s="42">
        <v>2</v>
      </c>
      <c r="F670" s="42">
        <v>2277</v>
      </c>
      <c r="G670" s="42">
        <v>0.246</v>
      </c>
      <c r="H670" s="42">
        <v>38.64</v>
      </c>
      <c r="I670" s="42">
        <v>2011</v>
      </c>
      <c r="J670" s="113">
        <v>1.7529186016555201E+19</v>
      </c>
    </row>
    <row r="671" spans="3:10" x14ac:dyDescent="0.3">
      <c r="C671" s="41" t="b">
        <v>0</v>
      </c>
      <c r="D671" s="42" t="s">
        <v>56</v>
      </c>
      <c r="E671" s="42">
        <v>2</v>
      </c>
      <c r="F671" s="42">
        <v>3.93</v>
      </c>
      <c r="G671" s="42">
        <v>1.7000000000000001E-2</v>
      </c>
      <c r="H671" s="42">
        <v>43.53</v>
      </c>
      <c r="I671" s="42">
        <v>2009</v>
      </c>
      <c r="J671" s="113">
        <v>7.0490109865230003E+17</v>
      </c>
    </row>
    <row r="672" spans="3:10" x14ac:dyDescent="0.3">
      <c r="C672" s="41" t="b">
        <v>0</v>
      </c>
      <c r="D672" s="42" t="s">
        <v>56</v>
      </c>
      <c r="E672" s="42">
        <v>2</v>
      </c>
      <c r="F672" s="42">
        <v>567</v>
      </c>
      <c r="G672" s="42">
        <v>0.33</v>
      </c>
      <c r="H672" s="42">
        <v>43.53</v>
      </c>
      <c r="I672" s="42">
        <v>2009</v>
      </c>
      <c r="J672" s="113">
        <v>4.1383757118061901E+17</v>
      </c>
    </row>
    <row r="673" spans="3:10" x14ac:dyDescent="0.3">
      <c r="C673" s="41" t="b">
        <v>0</v>
      </c>
      <c r="D673" s="42" t="s">
        <v>56</v>
      </c>
      <c r="E673" s="42">
        <v>1</v>
      </c>
      <c r="F673" s="42">
        <v>1311</v>
      </c>
      <c r="G673" s="42">
        <v>1.26</v>
      </c>
      <c r="H673" s="42">
        <v>33.29</v>
      </c>
      <c r="I673" s="42">
        <v>2002</v>
      </c>
      <c r="J673" s="113">
        <v>6.6248366430613903E+18</v>
      </c>
    </row>
    <row r="674" spans="3:10" x14ac:dyDescent="0.3">
      <c r="C674" s="41" t="b">
        <v>0</v>
      </c>
      <c r="D674" s="42" t="s">
        <v>56</v>
      </c>
      <c r="E674" s="42">
        <v>1</v>
      </c>
      <c r="F674" s="42">
        <v>1294</v>
      </c>
      <c r="G674" s="42">
        <v>2.1</v>
      </c>
      <c r="H674" s="42">
        <v>26.52</v>
      </c>
      <c r="I674" s="42">
        <v>2002</v>
      </c>
      <c r="J674" s="113">
        <v>4.0390476550438999E+18</v>
      </c>
    </row>
    <row r="675" spans="3:10" x14ac:dyDescent="0.3">
      <c r="C675" s="41" t="b">
        <v>0</v>
      </c>
      <c r="D675" s="42" t="s">
        <v>56</v>
      </c>
      <c r="E675" s="42">
        <v>1</v>
      </c>
      <c r="F675" s="42">
        <v>118.45</v>
      </c>
      <c r="G675" s="42">
        <v>0.65</v>
      </c>
      <c r="H675" s="42">
        <v>37.89</v>
      </c>
      <c r="I675" s="42">
        <v>2003</v>
      </c>
      <c r="J675" s="113">
        <v>3.7924705280112302E+18</v>
      </c>
    </row>
    <row r="676" spans="3:10" x14ac:dyDescent="0.3">
      <c r="C676" s="41" t="b">
        <v>0</v>
      </c>
      <c r="D676" s="42" t="s">
        <v>56</v>
      </c>
      <c r="E676" s="42">
        <v>2</v>
      </c>
      <c r="F676" s="42">
        <v>7.1268159999999998</v>
      </c>
      <c r="G676" s="42">
        <v>1.39</v>
      </c>
      <c r="H676" s="42">
        <v>19.72</v>
      </c>
      <c r="I676" s="42">
        <v>1998</v>
      </c>
      <c r="J676" s="113">
        <v>3.5091266192864799E+18</v>
      </c>
    </row>
    <row r="677" spans="3:10" x14ac:dyDescent="0.3">
      <c r="C677" s="41" t="b">
        <v>0</v>
      </c>
      <c r="D677" s="42" t="s">
        <v>56</v>
      </c>
      <c r="E677" s="42">
        <v>2</v>
      </c>
      <c r="F677" s="42">
        <v>4270</v>
      </c>
      <c r="G677" s="42">
        <v>2.6</v>
      </c>
      <c r="H677" s="42">
        <v>19.72</v>
      </c>
      <c r="I677" s="42">
        <v>2005</v>
      </c>
      <c r="J677" s="113">
        <v>9.4729926654287196E+18</v>
      </c>
    </row>
    <row r="678" spans="3:10" x14ac:dyDescent="0.3">
      <c r="C678" s="41" t="b">
        <v>0</v>
      </c>
      <c r="D678" s="42" t="s">
        <v>56</v>
      </c>
      <c r="E678" s="42">
        <v>1</v>
      </c>
      <c r="F678" s="42">
        <v>1319</v>
      </c>
      <c r="G678" s="42">
        <v>13</v>
      </c>
      <c r="H678" s="42">
        <v>54.92</v>
      </c>
      <c r="I678" s="42">
        <v>2010</v>
      </c>
      <c r="J678" s="113">
        <v>1.66175418317726E+19</v>
      </c>
    </row>
    <row r="679" spans="3:10" x14ac:dyDescent="0.3">
      <c r="C679" s="41" t="b">
        <v>0</v>
      </c>
      <c r="D679" s="42" t="s">
        <v>56</v>
      </c>
      <c r="E679" s="42">
        <v>1</v>
      </c>
      <c r="F679" s="42">
        <v>225.7</v>
      </c>
      <c r="G679" s="42">
        <v>0.21</v>
      </c>
      <c r="H679" s="42">
        <v>29.94</v>
      </c>
      <c r="I679" s="42">
        <v>2010</v>
      </c>
      <c r="J679" s="113">
        <v>5.3827571428020398E+18</v>
      </c>
    </row>
    <row r="680" spans="3:10" x14ac:dyDescent="0.3">
      <c r="C680" s="41" t="b">
        <v>0</v>
      </c>
      <c r="D680" s="42" t="s">
        <v>56</v>
      </c>
      <c r="E680" s="42">
        <v>1</v>
      </c>
      <c r="F680" s="42">
        <v>5501</v>
      </c>
      <c r="G680" s="42">
        <v>10.39</v>
      </c>
      <c r="H680" s="42">
        <v>29.2</v>
      </c>
      <c r="I680" s="42">
        <v>2012</v>
      </c>
      <c r="J680" s="113">
        <v>5.6531622078477404E+18</v>
      </c>
    </row>
    <row r="681" spans="3:10" x14ac:dyDescent="0.3">
      <c r="C681" s="41" t="b">
        <v>0</v>
      </c>
      <c r="D681" s="42" t="s">
        <v>56</v>
      </c>
      <c r="E681" s="42">
        <v>1</v>
      </c>
      <c r="F681" s="42">
        <v>2093.3000000000002</v>
      </c>
      <c r="G681" s="42"/>
      <c r="H681" s="42"/>
      <c r="I681" s="42">
        <v>2012</v>
      </c>
      <c r="J681" s="113">
        <v>1.19685179300272E+18</v>
      </c>
    </row>
    <row r="682" spans="3:10" x14ac:dyDescent="0.3">
      <c r="C682" s="41" t="b">
        <v>0</v>
      </c>
      <c r="D682" s="42" t="s">
        <v>56</v>
      </c>
      <c r="E682" s="42">
        <v>1</v>
      </c>
      <c r="F682" s="42">
        <v>3.8334999999999999</v>
      </c>
      <c r="G682" s="42">
        <v>0.06</v>
      </c>
      <c r="H682" s="42">
        <v>81.099999999999994</v>
      </c>
      <c r="I682" s="42">
        <v>2007</v>
      </c>
      <c r="J682" s="113">
        <v>2.5493138501512899E+18</v>
      </c>
    </row>
    <row r="683" spans="3:10" x14ac:dyDescent="0.3">
      <c r="C683" s="41" t="b">
        <v>0</v>
      </c>
      <c r="D683" s="42" t="s">
        <v>56</v>
      </c>
      <c r="E683" s="42">
        <v>1</v>
      </c>
      <c r="F683" s="42">
        <v>672.1</v>
      </c>
      <c r="G683" s="42">
        <v>11.1</v>
      </c>
      <c r="H683" s="42">
        <v>289.02</v>
      </c>
      <c r="I683" s="42">
        <v>2012</v>
      </c>
      <c r="J683" s="113">
        <v>1.6461502800953801E+19</v>
      </c>
    </row>
    <row r="684" spans="3:10" x14ac:dyDescent="0.3">
      <c r="C684" s="41" t="b">
        <v>0</v>
      </c>
      <c r="D684" s="42" t="s">
        <v>56</v>
      </c>
      <c r="E684" s="42">
        <v>1</v>
      </c>
      <c r="F684" s="42">
        <v>2209</v>
      </c>
      <c r="G684" s="42">
        <v>1.06</v>
      </c>
      <c r="H684" s="42">
        <v>45.23</v>
      </c>
      <c r="I684" s="42">
        <v>2012</v>
      </c>
      <c r="J684" s="113">
        <v>1.7110372396397001E+19</v>
      </c>
    </row>
    <row r="685" spans="3:10" x14ac:dyDescent="0.3">
      <c r="C685" s="41" t="b">
        <v>0</v>
      </c>
      <c r="D685" s="42" t="s">
        <v>56</v>
      </c>
      <c r="E685" s="42">
        <v>1</v>
      </c>
      <c r="F685" s="42">
        <v>3724.7</v>
      </c>
      <c r="G685" s="42">
        <v>1.45</v>
      </c>
      <c r="H685" s="42">
        <v>48.43</v>
      </c>
      <c r="I685" s="42">
        <v>2011</v>
      </c>
      <c r="J685" s="113">
        <v>3.2143618386056602E+18</v>
      </c>
    </row>
    <row r="686" spans="3:10" x14ac:dyDescent="0.3">
      <c r="C686" s="41" t="b">
        <v>0</v>
      </c>
      <c r="D686" s="42" t="s">
        <v>56</v>
      </c>
      <c r="E686" s="42">
        <v>1</v>
      </c>
      <c r="F686" s="42">
        <v>456.1</v>
      </c>
      <c r="G686" s="42">
        <v>3.09</v>
      </c>
      <c r="H686" s="42">
        <v>52.88</v>
      </c>
      <c r="I686" s="42">
        <v>2007</v>
      </c>
      <c r="J686" s="113">
        <v>4.9418814454097705E+18</v>
      </c>
    </row>
    <row r="687" spans="3:10" x14ac:dyDescent="0.3">
      <c r="C687" s="41" t="b">
        <v>0</v>
      </c>
      <c r="D687" s="42" t="s">
        <v>56</v>
      </c>
      <c r="E687" s="42">
        <v>1</v>
      </c>
      <c r="F687" s="42">
        <v>3999</v>
      </c>
      <c r="G687" s="42">
        <v>1.9</v>
      </c>
      <c r="H687" s="42">
        <v>50.45</v>
      </c>
      <c r="I687" s="42">
        <v>2011</v>
      </c>
      <c r="J687" s="113">
        <v>3.6673737461333898E+18</v>
      </c>
    </row>
    <row r="688" spans="3:10" x14ac:dyDescent="0.3">
      <c r="C688" s="41" t="b">
        <v>0</v>
      </c>
      <c r="D688" s="42" t="s">
        <v>56</v>
      </c>
      <c r="E688" s="42">
        <v>1</v>
      </c>
      <c r="F688" s="42">
        <v>572.38</v>
      </c>
      <c r="G688" s="42">
        <v>7.75</v>
      </c>
      <c r="H688" s="42">
        <v>41.95</v>
      </c>
      <c r="I688" s="42">
        <v>1999</v>
      </c>
      <c r="J688" s="113">
        <v>1.16793169677058E+18</v>
      </c>
    </row>
    <row r="689" spans="3:10" x14ac:dyDescent="0.3">
      <c r="C689" s="41" t="b">
        <v>0</v>
      </c>
      <c r="D689" s="42" t="s">
        <v>56</v>
      </c>
      <c r="E689" s="42">
        <v>1</v>
      </c>
      <c r="F689" s="42">
        <v>26.73</v>
      </c>
      <c r="G689" s="42">
        <v>0.71</v>
      </c>
      <c r="H689" s="42">
        <v>94.07</v>
      </c>
      <c r="I689" s="42">
        <v>2006</v>
      </c>
      <c r="J689" s="113">
        <v>7.7823355592787497E+18</v>
      </c>
    </row>
    <row r="690" spans="3:10" x14ac:dyDescent="0.3">
      <c r="C690" s="41" t="b">
        <v>0</v>
      </c>
      <c r="D690" s="42" t="s">
        <v>56</v>
      </c>
      <c r="E690" s="42">
        <v>1</v>
      </c>
      <c r="F690" s="42">
        <v>141.6</v>
      </c>
      <c r="G690" s="42">
        <v>1.08</v>
      </c>
      <c r="H690" s="42">
        <v>108.46</v>
      </c>
      <c r="I690" s="42">
        <v>2007</v>
      </c>
      <c r="J690" s="113">
        <v>1.75097708896967E+19</v>
      </c>
    </row>
    <row r="691" spans="3:10" x14ac:dyDescent="0.3">
      <c r="C691" s="41" t="b">
        <v>0</v>
      </c>
      <c r="D691" s="42" t="s">
        <v>56</v>
      </c>
      <c r="E691" s="42">
        <v>1</v>
      </c>
      <c r="F691" s="42">
        <v>192</v>
      </c>
      <c r="G691" s="42">
        <v>6.5750000000000002</v>
      </c>
      <c r="H691" s="42"/>
      <c r="I691" s="42">
        <v>2013</v>
      </c>
      <c r="J691" s="113">
        <v>1.16222600729313E+18</v>
      </c>
    </row>
    <row r="692" spans="3:10" x14ac:dyDescent="0.3">
      <c r="C692" s="41" t="b">
        <v>0</v>
      </c>
      <c r="D692" s="42" t="s">
        <v>56</v>
      </c>
      <c r="E692" s="42">
        <v>1</v>
      </c>
      <c r="F692" s="42">
        <v>501.75</v>
      </c>
      <c r="G692" s="42">
        <v>6.9</v>
      </c>
      <c r="H692" s="42"/>
      <c r="I692" s="42">
        <v>2009</v>
      </c>
      <c r="J692" s="113">
        <v>1.36034116174918E+19</v>
      </c>
    </row>
    <row r="693" spans="3:10" x14ac:dyDescent="0.3">
      <c r="C693" s="41" t="b">
        <v>0</v>
      </c>
      <c r="D693" s="42" t="s">
        <v>56</v>
      </c>
      <c r="E693" s="42">
        <v>1</v>
      </c>
      <c r="F693" s="42">
        <v>745.7</v>
      </c>
      <c r="G693" s="42">
        <v>5.3</v>
      </c>
      <c r="H693" s="42">
        <v>307.69</v>
      </c>
      <c r="I693" s="42">
        <v>2011</v>
      </c>
      <c r="J693" s="113">
        <v>1.2316178655989101E+19</v>
      </c>
    </row>
    <row r="694" spans="3:10" x14ac:dyDescent="0.3">
      <c r="C694" s="41" t="b">
        <v>0</v>
      </c>
      <c r="D694" s="42" t="s">
        <v>56</v>
      </c>
      <c r="E694" s="42">
        <v>1</v>
      </c>
      <c r="F694" s="42">
        <v>2443</v>
      </c>
      <c r="G694" s="42">
        <v>2.54</v>
      </c>
      <c r="H694" s="42">
        <v>54.92</v>
      </c>
      <c r="I694" s="42">
        <v>2009</v>
      </c>
      <c r="J694" s="113">
        <v>1.00247536952406E+19</v>
      </c>
    </row>
    <row r="695" spans="3:10" x14ac:dyDescent="0.3">
      <c r="C695" s="41" t="b">
        <v>0</v>
      </c>
      <c r="D695" s="42" t="s">
        <v>56</v>
      </c>
      <c r="E695" s="42">
        <v>1</v>
      </c>
      <c r="F695" s="42">
        <v>8.7835999999999999</v>
      </c>
      <c r="G695" s="42">
        <v>2.6499999999999999E-2</v>
      </c>
      <c r="H695" s="42">
        <v>9.42</v>
      </c>
      <c r="I695" s="42">
        <v>2008</v>
      </c>
      <c r="J695" s="113">
        <v>2.7959329065185802E+18</v>
      </c>
    </row>
    <row r="696" spans="3:10" x14ac:dyDescent="0.3">
      <c r="C696" s="41" t="b">
        <v>0</v>
      </c>
      <c r="D696" s="42" t="s">
        <v>56</v>
      </c>
      <c r="E696" s="42">
        <v>1</v>
      </c>
      <c r="F696" s="42">
        <v>3.3690000000000002</v>
      </c>
      <c r="G696" s="42">
        <v>0.76</v>
      </c>
      <c r="H696" s="42">
        <v>50.2</v>
      </c>
      <c r="I696" s="42">
        <v>2004</v>
      </c>
      <c r="J696" s="113">
        <v>1.67449113153874E+19</v>
      </c>
    </row>
    <row r="697" spans="3:10" x14ac:dyDescent="0.3">
      <c r="C697" s="41" t="b">
        <v>0</v>
      </c>
      <c r="D697" s="42" t="s">
        <v>56</v>
      </c>
      <c r="E697" s="42">
        <v>2</v>
      </c>
      <c r="F697" s="42">
        <v>345.72</v>
      </c>
      <c r="G697" s="42">
        <v>1.42</v>
      </c>
      <c r="H697" s="42">
        <v>44.8</v>
      </c>
      <c r="I697" s="42">
        <v>2009</v>
      </c>
      <c r="J697" s="113">
        <v>4.2649263048776202E+18</v>
      </c>
    </row>
    <row r="698" spans="3:10" x14ac:dyDescent="0.3">
      <c r="C698" s="41" t="b">
        <v>0</v>
      </c>
      <c r="D698" s="42" t="s">
        <v>56</v>
      </c>
      <c r="E698" s="42">
        <v>2</v>
      </c>
      <c r="F698" s="42">
        <v>9017.7999999999993</v>
      </c>
      <c r="G698" s="42"/>
      <c r="H698" s="42">
        <v>44.8</v>
      </c>
      <c r="I698" s="42">
        <v>2011</v>
      </c>
      <c r="J698" s="113">
        <v>1.7145597376744901E+19</v>
      </c>
    </row>
    <row r="699" spans="3:10" x14ac:dyDescent="0.3">
      <c r="C699" s="41" t="b">
        <v>0</v>
      </c>
      <c r="D699" s="42" t="s">
        <v>56</v>
      </c>
      <c r="E699" s="42">
        <v>1</v>
      </c>
      <c r="F699" s="42">
        <v>57</v>
      </c>
      <c r="G699" s="42">
        <v>0.47</v>
      </c>
      <c r="H699" s="42">
        <v>23.8</v>
      </c>
      <c r="I699" s="42">
        <v>2010</v>
      </c>
      <c r="J699" s="113">
        <v>6.7433875495370598E+18</v>
      </c>
    </row>
    <row r="700" spans="3:10" x14ac:dyDescent="0.3">
      <c r="C700" s="41" t="b">
        <v>0</v>
      </c>
      <c r="D700" s="42" t="s">
        <v>56</v>
      </c>
      <c r="E700" s="42">
        <v>1</v>
      </c>
      <c r="F700" s="42">
        <v>16.2</v>
      </c>
      <c r="G700" s="42">
        <v>1.25</v>
      </c>
      <c r="H700" s="42">
        <v>223.21</v>
      </c>
      <c r="I700" s="42">
        <v>2010</v>
      </c>
      <c r="J700" s="113">
        <v>4.9806360217727304E+18</v>
      </c>
    </row>
    <row r="701" spans="3:10" x14ac:dyDescent="0.3">
      <c r="C701" s="41" t="b">
        <v>0</v>
      </c>
      <c r="D701" s="42" t="s">
        <v>56</v>
      </c>
      <c r="E701" s="42">
        <v>3</v>
      </c>
      <c r="F701" s="42">
        <v>6.6738549999999996</v>
      </c>
      <c r="G701" s="42">
        <v>3.88</v>
      </c>
      <c r="H701" s="42">
        <v>52.88</v>
      </c>
      <c r="I701" s="42">
        <v>2005</v>
      </c>
      <c r="J701" s="113">
        <v>1.6476942200018399E+19</v>
      </c>
    </row>
    <row r="702" spans="3:10" x14ac:dyDescent="0.3">
      <c r="C702" s="41" t="b">
        <v>0</v>
      </c>
      <c r="D702" s="42" t="s">
        <v>56</v>
      </c>
      <c r="E702" s="42">
        <v>3</v>
      </c>
      <c r="F702" s="42">
        <v>147.72999999999999</v>
      </c>
      <c r="G702" s="42">
        <v>1.28</v>
      </c>
      <c r="H702" s="42">
        <v>52.88</v>
      </c>
      <c r="I702" s="42">
        <v>2006</v>
      </c>
      <c r="J702" s="113">
        <v>9.9480863779615206E+17</v>
      </c>
    </row>
    <row r="703" spans="3:10" x14ac:dyDescent="0.3">
      <c r="C703" s="41" t="b">
        <v>0</v>
      </c>
      <c r="D703" s="42" t="s">
        <v>56</v>
      </c>
      <c r="E703" s="42">
        <v>3</v>
      </c>
      <c r="F703" s="42">
        <v>952</v>
      </c>
      <c r="G703" s="42">
        <v>0.56999999999999995</v>
      </c>
      <c r="H703" s="42">
        <v>52.88</v>
      </c>
      <c r="I703" s="42">
        <v>2009</v>
      </c>
      <c r="J703" s="113">
        <v>2.11253555582913E+18</v>
      </c>
    </row>
    <row r="704" spans="3:10" x14ac:dyDescent="0.3">
      <c r="C704" s="41" t="b">
        <v>0</v>
      </c>
      <c r="D704" s="42" t="s">
        <v>56</v>
      </c>
      <c r="E704" s="42">
        <v>1</v>
      </c>
      <c r="F704" s="42">
        <v>41.396999999999998</v>
      </c>
      <c r="G704" s="42">
        <v>0.29799999999999999</v>
      </c>
      <c r="H704" s="42">
        <v>11.03</v>
      </c>
      <c r="I704" s="42">
        <v>2010</v>
      </c>
      <c r="J704" s="113">
        <v>7.8211361151277302E+18</v>
      </c>
    </row>
    <row r="705" spans="3:10" x14ac:dyDescent="0.3">
      <c r="C705" s="41" t="b">
        <v>0</v>
      </c>
      <c r="D705" s="42" t="s">
        <v>56</v>
      </c>
      <c r="E705" s="42">
        <v>3</v>
      </c>
      <c r="F705" s="42">
        <v>8.1351999999999993</v>
      </c>
      <c r="G705" s="42">
        <v>3.5999999999999997E-2</v>
      </c>
      <c r="H705" s="42">
        <v>25.87</v>
      </c>
      <c r="I705" s="42">
        <v>2011</v>
      </c>
      <c r="J705" s="113">
        <v>4.7952865560675604E+18</v>
      </c>
    </row>
    <row r="706" spans="3:10" x14ac:dyDescent="0.3">
      <c r="C706" s="41" t="b">
        <v>0</v>
      </c>
      <c r="D706" s="42" t="s">
        <v>56</v>
      </c>
      <c r="E706" s="42">
        <v>3</v>
      </c>
      <c r="F706" s="42">
        <v>32.03</v>
      </c>
      <c r="G706" s="42">
        <v>0.41</v>
      </c>
      <c r="H706" s="42">
        <v>25.87</v>
      </c>
      <c r="I706" s="42">
        <v>2011</v>
      </c>
      <c r="J706" s="113">
        <v>3.3762966907105597E+18</v>
      </c>
    </row>
    <row r="707" spans="3:10" x14ac:dyDescent="0.3">
      <c r="C707" s="41" t="b">
        <v>0</v>
      </c>
      <c r="D707" s="42" t="s">
        <v>56</v>
      </c>
      <c r="E707" s="42">
        <v>3</v>
      </c>
      <c r="F707" s="42">
        <v>431.7</v>
      </c>
      <c r="G707" s="42">
        <v>0.52700000000000002</v>
      </c>
      <c r="H707" s="42">
        <v>25.87</v>
      </c>
      <c r="I707" s="42">
        <v>2011</v>
      </c>
      <c r="J707" s="113">
        <v>6.4655773441146501E+18</v>
      </c>
    </row>
    <row r="708" spans="3:10" x14ac:dyDescent="0.3">
      <c r="C708" s="41" t="b">
        <v>0</v>
      </c>
      <c r="D708" s="42" t="s">
        <v>59</v>
      </c>
      <c r="E708" s="42">
        <v>1</v>
      </c>
      <c r="F708" s="42"/>
      <c r="G708" s="42"/>
      <c r="H708" s="42">
        <v>11.43</v>
      </c>
      <c r="I708" s="42">
        <v>2010</v>
      </c>
      <c r="J708" s="113">
        <v>5.3984497507124101E+18</v>
      </c>
    </row>
    <row r="709" spans="3:10" x14ac:dyDescent="0.3">
      <c r="C709" s="41" t="b">
        <v>0</v>
      </c>
      <c r="D709" s="42" t="s">
        <v>56</v>
      </c>
      <c r="E709" s="42">
        <v>1</v>
      </c>
      <c r="F709" s="42">
        <v>124.6</v>
      </c>
      <c r="G709" s="42">
        <v>9.18</v>
      </c>
      <c r="H709" s="42">
        <v>149.25</v>
      </c>
      <c r="I709" s="42">
        <v>2013</v>
      </c>
      <c r="J709" s="113">
        <v>7.8080198508165202E+18</v>
      </c>
    </row>
    <row r="710" spans="3:10" x14ac:dyDescent="0.3">
      <c r="C710" s="41" t="b">
        <v>0</v>
      </c>
      <c r="D710" s="42" t="s">
        <v>56</v>
      </c>
      <c r="E710" s="42">
        <v>1</v>
      </c>
      <c r="F710" s="42">
        <v>17337.5</v>
      </c>
      <c r="G710" s="42">
        <v>9</v>
      </c>
      <c r="H710" s="42">
        <v>23.98</v>
      </c>
      <c r="I710" s="42">
        <v>2009</v>
      </c>
      <c r="J710" s="113">
        <v>1.0580667150378701E+19</v>
      </c>
    </row>
    <row r="711" spans="3:10" x14ac:dyDescent="0.3">
      <c r="C711" s="41" t="b">
        <v>0</v>
      </c>
      <c r="D711" s="42" t="s">
        <v>56</v>
      </c>
      <c r="E711" s="42">
        <v>1</v>
      </c>
      <c r="F711" s="42">
        <v>511.09800000000001</v>
      </c>
      <c r="G711" s="42">
        <v>8.82</v>
      </c>
      <c r="H711" s="42">
        <v>31.33</v>
      </c>
      <c r="I711" s="42">
        <v>2002</v>
      </c>
      <c r="J711" s="113">
        <v>1.0134257771414401E+19</v>
      </c>
    </row>
    <row r="712" spans="3:10" x14ac:dyDescent="0.3">
      <c r="C712" s="41" t="b">
        <v>0</v>
      </c>
      <c r="D712" s="42" t="s">
        <v>59</v>
      </c>
      <c r="E712" s="42">
        <v>1</v>
      </c>
      <c r="F712" s="42"/>
      <c r="G712" s="42"/>
      <c r="H712" s="42">
        <v>131.93</v>
      </c>
      <c r="I712" s="42">
        <v>2010</v>
      </c>
      <c r="J712" s="113">
        <v>1.2191532909244299E+19</v>
      </c>
    </row>
    <row r="713" spans="3:10" x14ac:dyDescent="0.3">
      <c r="C713" s="41" t="b">
        <v>0</v>
      </c>
      <c r="D713" s="42" t="s">
        <v>56</v>
      </c>
      <c r="E713" s="42">
        <v>1</v>
      </c>
      <c r="F713" s="42">
        <v>111.7</v>
      </c>
      <c r="G713" s="42">
        <v>2.1</v>
      </c>
      <c r="H713" s="42">
        <v>14.9</v>
      </c>
      <c r="I713" s="42">
        <v>2009</v>
      </c>
      <c r="J713" s="113">
        <v>1.0505609378175199E+19</v>
      </c>
    </row>
    <row r="714" spans="3:10" x14ac:dyDescent="0.3">
      <c r="C714" s="41" t="b">
        <v>0</v>
      </c>
      <c r="D714" s="42" t="s">
        <v>56</v>
      </c>
      <c r="E714" s="42">
        <v>1</v>
      </c>
      <c r="F714" s="42">
        <v>5.0505000000000004</v>
      </c>
      <c r="G714" s="42">
        <v>1.0680000000000001</v>
      </c>
      <c r="H714" s="42">
        <v>44.46</v>
      </c>
      <c r="I714" s="42">
        <v>2013</v>
      </c>
      <c r="J714" s="113">
        <v>2.96455619429536E+18</v>
      </c>
    </row>
    <row r="715" spans="3:10" x14ac:dyDescent="0.3">
      <c r="C715" s="41" t="b">
        <v>0</v>
      </c>
      <c r="D715" s="42" t="s">
        <v>56</v>
      </c>
      <c r="E715" s="42">
        <v>1</v>
      </c>
      <c r="F715" s="42">
        <v>311.28800000000001</v>
      </c>
      <c r="G715" s="42">
        <v>1.94</v>
      </c>
      <c r="H715" s="42">
        <v>17.239999999999998</v>
      </c>
      <c r="I715" s="42">
        <v>1999</v>
      </c>
      <c r="J715" s="113">
        <v>1.248952392945E+19</v>
      </c>
    </row>
    <row r="716" spans="3:10" x14ac:dyDescent="0.3">
      <c r="C716" s="41" t="b">
        <v>0</v>
      </c>
      <c r="D716" s="42" t="s">
        <v>59</v>
      </c>
      <c r="E716" s="42">
        <v>4</v>
      </c>
      <c r="F716" s="42">
        <v>170000</v>
      </c>
      <c r="G716" s="42"/>
      <c r="H716" s="42">
        <v>39.94</v>
      </c>
      <c r="I716" s="42">
        <v>2008</v>
      </c>
      <c r="J716" s="113">
        <v>2.5792552350588498E+18</v>
      </c>
    </row>
    <row r="717" spans="3:10" x14ac:dyDescent="0.3">
      <c r="C717" s="41" t="b">
        <v>0</v>
      </c>
      <c r="D717" s="42" t="s">
        <v>59</v>
      </c>
      <c r="E717" s="42">
        <v>4</v>
      </c>
      <c r="F717" s="42">
        <v>69000</v>
      </c>
      <c r="G717" s="42"/>
      <c r="H717" s="42">
        <v>39.94</v>
      </c>
      <c r="I717" s="42">
        <v>2008</v>
      </c>
      <c r="J717" s="113">
        <v>3.98750382872337E+18</v>
      </c>
    </row>
    <row r="718" spans="3:10" x14ac:dyDescent="0.3">
      <c r="C718" s="41" t="b">
        <v>0</v>
      </c>
      <c r="D718" s="42" t="s">
        <v>59</v>
      </c>
      <c r="E718" s="42">
        <v>4</v>
      </c>
      <c r="F718" s="42">
        <v>37000</v>
      </c>
      <c r="G718" s="42"/>
      <c r="H718" s="42">
        <v>39.94</v>
      </c>
      <c r="I718" s="42">
        <v>2008</v>
      </c>
      <c r="J718" s="113">
        <v>6.5507658240905196E+18</v>
      </c>
    </row>
    <row r="719" spans="3:10" x14ac:dyDescent="0.3">
      <c r="C719" s="41" t="b">
        <v>0</v>
      </c>
      <c r="D719" s="42" t="s">
        <v>59</v>
      </c>
      <c r="E719" s="42">
        <v>4</v>
      </c>
      <c r="F719" s="42">
        <v>18000</v>
      </c>
      <c r="G719" s="42"/>
      <c r="H719" s="42">
        <v>39.94</v>
      </c>
      <c r="I719" s="42">
        <v>2010</v>
      </c>
      <c r="J719" s="113">
        <v>1.2502347210516601E+19</v>
      </c>
    </row>
    <row r="720" spans="3:10" x14ac:dyDescent="0.3">
      <c r="C720" s="41" t="b">
        <v>0</v>
      </c>
      <c r="D720" s="42" t="s">
        <v>61</v>
      </c>
      <c r="E720" s="42">
        <v>1</v>
      </c>
      <c r="F720" s="42">
        <v>1.217514</v>
      </c>
      <c r="G720" s="42"/>
      <c r="H720" s="42">
        <v>262</v>
      </c>
      <c r="I720" s="42">
        <v>2012</v>
      </c>
      <c r="J720" s="113">
        <v>1.6742895622411301E+19</v>
      </c>
    </row>
    <row r="721" spans="3:10" x14ac:dyDescent="0.3">
      <c r="C721" s="41" t="b">
        <v>0</v>
      </c>
      <c r="D721" s="42" t="s">
        <v>61</v>
      </c>
      <c r="E721" s="42">
        <v>1</v>
      </c>
      <c r="F721" s="42">
        <v>4.1137911999999996</v>
      </c>
      <c r="G721" s="42"/>
      <c r="H721" s="42">
        <v>124.22</v>
      </c>
      <c r="I721" s="42">
        <v>2012</v>
      </c>
      <c r="J721" s="113">
        <v>1.1729863601157601E+18</v>
      </c>
    </row>
    <row r="722" spans="3:10" x14ac:dyDescent="0.3">
      <c r="C722" s="41" t="b">
        <v>0</v>
      </c>
      <c r="D722" s="42" t="s">
        <v>61</v>
      </c>
      <c r="E722" s="42">
        <v>1</v>
      </c>
      <c r="F722" s="42">
        <v>2.7033904</v>
      </c>
      <c r="G722" s="42">
        <v>1.47</v>
      </c>
      <c r="H722" s="42">
        <v>178</v>
      </c>
      <c r="I722" s="42">
        <v>2013</v>
      </c>
      <c r="J722" s="113">
        <v>1.6142239553820701E+19</v>
      </c>
    </row>
    <row r="723" spans="3:10" x14ac:dyDescent="0.3">
      <c r="C723" s="41" t="b">
        <v>0</v>
      </c>
      <c r="D723" s="42" t="s">
        <v>61</v>
      </c>
      <c r="E723" s="42">
        <v>1</v>
      </c>
      <c r="F723" s="42">
        <v>7.8456999999999999</v>
      </c>
      <c r="G723" s="42"/>
      <c r="H723" s="42">
        <v>222</v>
      </c>
      <c r="I723" s="42">
        <v>2014</v>
      </c>
      <c r="J723" s="113">
        <v>1.4318221648202199E+19</v>
      </c>
    </row>
    <row r="724" spans="3:10" x14ac:dyDescent="0.3">
      <c r="C724" s="41" t="b">
        <v>0</v>
      </c>
      <c r="D724" s="42" t="s">
        <v>61</v>
      </c>
      <c r="E724" s="42">
        <v>1</v>
      </c>
      <c r="F724" s="42">
        <v>2.4706299999999999</v>
      </c>
      <c r="G724" s="42"/>
      <c r="H724" s="42">
        <v>213</v>
      </c>
      <c r="I724" s="42">
        <v>2006</v>
      </c>
      <c r="J724" s="113">
        <v>1.6707656160864299E+19</v>
      </c>
    </row>
    <row r="725" spans="3:10" x14ac:dyDescent="0.3">
      <c r="C725" s="41" t="b">
        <v>0</v>
      </c>
      <c r="D725" s="42" t="s">
        <v>61</v>
      </c>
      <c r="E725" s="42">
        <v>1</v>
      </c>
      <c r="F725" s="42">
        <v>2.2047370000000002</v>
      </c>
      <c r="G725" s="42"/>
      <c r="H725" s="42">
        <v>320</v>
      </c>
      <c r="I725" s="42">
        <v>2008</v>
      </c>
      <c r="J725" s="113">
        <v>1.59723258254692E+19</v>
      </c>
    </row>
    <row r="726" spans="3:10" x14ac:dyDescent="0.3">
      <c r="C726" s="41" t="b">
        <v>0</v>
      </c>
      <c r="D726" s="42" t="s">
        <v>61</v>
      </c>
      <c r="E726" s="42">
        <v>1</v>
      </c>
      <c r="F726" s="42">
        <v>4.8878161999999996</v>
      </c>
      <c r="G726" s="42"/>
      <c r="H726" s="42">
        <v>38</v>
      </c>
      <c r="I726" s="42">
        <v>2008</v>
      </c>
      <c r="J726" s="113">
        <v>1.1534990028069599E+19</v>
      </c>
    </row>
    <row r="727" spans="3:10" x14ac:dyDescent="0.3">
      <c r="C727" s="41" t="b">
        <v>0</v>
      </c>
      <c r="D727" s="42" t="s">
        <v>61</v>
      </c>
      <c r="E727" s="42">
        <v>1</v>
      </c>
      <c r="F727" s="42">
        <v>3.21346</v>
      </c>
      <c r="G727" s="42"/>
      <c r="H727" s="42">
        <v>550</v>
      </c>
      <c r="I727" s="42">
        <v>2009</v>
      </c>
      <c r="J727" s="113">
        <v>9.5206610824160294E+17</v>
      </c>
    </row>
    <row r="728" spans="3:10" x14ac:dyDescent="0.3">
      <c r="C728" s="41" t="b">
        <v>0</v>
      </c>
      <c r="D728" s="42" t="s">
        <v>61</v>
      </c>
      <c r="E728" s="42">
        <v>1</v>
      </c>
      <c r="F728" s="42">
        <v>3.5484599999999999</v>
      </c>
      <c r="G728" s="42"/>
      <c r="H728" s="42"/>
      <c r="I728" s="42">
        <v>2009</v>
      </c>
      <c r="J728" s="113">
        <v>7.2342179573138504E+18</v>
      </c>
    </row>
    <row r="729" spans="3:10" x14ac:dyDescent="0.3">
      <c r="C729" s="41" t="b">
        <v>0</v>
      </c>
      <c r="D729" s="42" t="s">
        <v>61</v>
      </c>
      <c r="E729" s="42">
        <v>1</v>
      </c>
      <c r="F729" s="42">
        <v>3.2347229999999998</v>
      </c>
      <c r="G729" s="42"/>
      <c r="H729" s="42"/>
      <c r="I729" s="42">
        <v>2009</v>
      </c>
      <c r="J729" s="113">
        <v>1.51703909655884E+19</v>
      </c>
    </row>
    <row r="730" spans="3:10" x14ac:dyDescent="0.3">
      <c r="C730" s="41" t="b">
        <v>0</v>
      </c>
      <c r="D730" s="42" t="s">
        <v>61</v>
      </c>
      <c r="E730" s="42">
        <v>1</v>
      </c>
      <c r="F730" s="42">
        <v>4.8855250000000003</v>
      </c>
      <c r="G730" s="42"/>
      <c r="H730" s="42"/>
      <c r="I730" s="42">
        <v>2009</v>
      </c>
      <c r="J730" s="113">
        <v>1.61508404059648E+19</v>
      </c>
    </row>
    <row r="731" spans="3:10" x14ac:dyDescent="0.3">
      <c r="C731" s="41" t="b">
        <v>0</v>
      </c>
      <c r="D731" s="42" t="s">
        <v>61</v>
      </c>
      <c r="E731" s="42">
        <v>1</v>
      </c>
      <c r="F731" s="42">
        <v>3.5225399999999998</v>
      </c>
      <c r="G731" s="42"/>
      <c r="H731" s="42">
        <v>1330</v>
      </c>
      <c r="I731" s="42">
        <v>2010</v>
      </c>
      <c r="J731" s="113">
        <v>1.3023416041561301E+19</v>
      </c>
    </row>
    <row r="732" spans="3:10" x14ac:dyDescent="0.3">
      <c r="C732" s="41" t="b">
        <v>0</v>
      </c>
      <c r="D732" s="42" t="s">
        <v>61</v>
      </c>
      <c r="E732" s="42">
        <v>3</v>
      </c>
      <c r="F732" s="42">
        <v>19.239999999999998</v>
      </c>
      <c r="G732" s="42"/>
      <c r="H732" s="42">
        <v>650</v>
      </c>
      <c r="I732" s="42">
        <v>2010</v>
      </c>
      <c r="J732" s="113">
        <v>3.0031114768082401E+18</v>
      </c>
    </row>
    <row r="733" spans="3:10" x14ac:dyDescent="0.3">
      <c r="C733" s="41" t="b">
        <v>0</v>
      </c>
      <c r="D733" s="42" t="s">
        <v>61</v>
      </c>
      <c r="E733" s="42">
        <v>3</v>
      </c>
      <c r="F733" s="42">
        <v>38.909999999999997</v>
      </c>
      <c r="G733" s="42"/>
      <c r="H733" s="42">
        <v>650</v>
      </c>
      <c r="I733" s="42">
        <v>2010</v>
      </c>
      <c r="J733" s="113">
        <v>8.1526133406712197E+18</v>
      </c>
    </row>
    <row r="734" spans="3:10" x14ac:dyDescent="0.3">
      <c r="C734" s="41" t="b">
        <v>0</v>
      </c>
      <c r="D734" s="42" t="s">
        <v>61</v>
      </c>
      <c r="E734" s="42">
        <v>3</v>
      </c>
      <c r="F734" s="42">
        <v>1.592851</v>
      </c>
      <c r="G734" s="42"/>
      <c r="H734" s="42">
        <v>650</v>
      </c>
      <c r="I734" s="42">
        <v>2010</v>
      </c>
      <c r="J734" s="113">
        <v>8.4953460942337403E+18</v>
      </c>
    </row>
    <row r="735" spans="3:10" x14ac:dyDescent="0.3">
      <c r="C735" s="41" t="b">
        <v>0</v>
      </c>
      <c r="D735" s="42" t="s">
        <v>61</v>
      </c>
      <c r="E735" s="42">
        <v>2</v>
      </c>
      <c r="F735" s="42">
        <v>0.83749499999999999</v>
      </c>
      <c r="G735" s="42"/>
      <c r="H735" s="42">
        <v>173</v>
      </c>
      <c r="I735" s="42">
        <v>2011</v>
      </c>
      <c r="J735" s="113">
        <v>1.8105606591932701E+19</v>
      </c>
    </row>
    <row r="736" spans="3:10" x14ac:dyDescent="0.3">
      <c r="C736" s="41" t="b">
        <v>0</v>
      </c>
      <c r="D736" s="42" t="s">
        <v>61</v>
      </c>
      <c r="E736" s="42">
        <v>2</v>
      </c>
      <c r="F736" s="42">
        <v>45.294849999999997</v>
      </c>
      <c r="G736" s="42"/>
      <c r="H736" s="42">
        <v>173</v>
      </c>
      <c r="I736" s="42">
        <v>2011</v>
      </c>
      <c r="J736" s="113">
        <v>8.1315242935253002E+18</v>
      </c>
    </row>
    <row r="737" spans="3:10" x14ac:dyDescent="0.3">
      <c r="C737" s="41" t="b">
        <v>0</v>
      </c>
      <c r="D737" s="42" t="s">
        <v>61</v>
      </c>
      <c r="E737" s="42">
        <v>6</v>
      </c>
      <c r="F737" s="42">
        <v>10.303900000000001</v>
      </c>
      <c r="G737" s="42"/>
      <c r="H737" s="42">
        <v>613</v>
      </c>
      <c r="I737" s="42">
        <v>2010</v>
      </c>
      <c r="J737" s="113">
        <v>1.5536044926606701E+19</v>
      </c>
    </row>
    <row r="738" spans="3:10" x14ac:dyDescent="0.3">
      <c r="C738" s="41" t="b">
        <v>0</v>
      </c>
      <c r="D738" s="42" t="s">
        <v>61</v>
      </c>
      <c r="E738" s="42">
        <v>6</v>
      </c>
      <c r="F738" s="42">
        <v>13.024100000000001</v>
      </c>
      <c r="G738" s="42"/>
      <c r="H738" s="42">
        <v>613</v>
      </c>
      <c r="I738" s="42">
        <v>2010</v>
      </c>
      <c r="J738" s="113">
        <v>1.2954559562886601E+19</v>
      </c>
    </row>
    <row r="739" spans="3:10" x14ac:dyDescent="0.3">
      <c r="C739" s="41" t="b">
        <v>0</v>
      </c>
      <c r="D739" s="42" t="s">
        <v>61</v>
      </c>
      <c r="E739" s="42">
        <v>6</v>
      </c>
      <c r="F739" s="42">
        <v>22.6845</v>
      </c>
      <c r="G739" s="42"/>
      <c r="H739" s="42">
        <v>613</v>
      </c>
      <c r="I739" s="42">
        <v>2010</v>
      </c>
      <c r="J739" s="113">
        <v>7.9520036155899197E+18</v>
      </c>
    </row>
    <row r="740" spans="3:10" x14ac:dyDescent="0.3">
      <c r="C740" s="41" t="b">
        <v>0</v>
      </c>
      <c r="D740" s="42" t="s">
        <v>61</v>
      </c>
      <c r="E740" s="42">
        <v>6</v>
      </c>
      <c r="F740" s="42">
        <v>31.999600000000001</v>
      </c>
      <c r="G740" s="42"/>
      <c r="H740" s="42">
        <v>613</v>
      </c>
      <c r="I740" s="42">
        <v>2010</v>
      </c>
      <c r="J740" s="113">
        <v>1.4300336525151001E+19</v>
      </c>
    </row>
    <row r="741" spans="3:10" x14ac:dyDescent="0.3">
      <c r="C741" s="41" t="b">
        <v>0</v>
      </c>
      <c r="D741" s="42" t="s">
        <v>61</v>
      </c>
      <c r="E741" s="42">
        <v>6</v>
      </c>
      <c r="F741" s="42">
        <v>46.688800000000001</v>
      </c>
      <c r="G741" s="42"/>
      <c r="H741" s="42">
        <v>613</v>
      </c>
      <c r="I741" s="42">
        <v>2010</v>
      </c>
      <c r="J741" s="113">
        <v>1.67754519352111E+19</v>
      </c>
    </row>
    <row r="742" spans="3:10" x14ac:dyDescent="0.3">
      <c r="C742" s="41" t="b">
        <v>0</v>
      </c>
      <c r="D742" s="42" t="s">
        <v>61</v>
      </c>
      <c r="E742" s="42">
        <v>6</v>
      </c>
      <c r="F742" s="42">
        <v>118.3807</v>
      </c>
      <c r="G742" s="42"/>
      <c r="H742" s="42">
        <v>613</v>
      </c>
      <c r="I742" s="42">
        <v>2010</v>
      </c>
      <c r="J742" s="113">
        <v>1.50834994543914E+19</v>
      </c>
    </row>
    <row r="743" spans="3:10" x14ac:dyDescent="0.3">
      <c r="C743" s="41" t="b">
        <v>0</v>
      </c>
      <c r="D743" s="42" t="s">
        <v>61</v>
      </c>
      <c r="E743" s="42">
        <v>1</v>
      </c>
      <c r="F743" s="42">
        <v>4.4379637000000001</v>
      </c>
      <c r="G743" s="42"/>
      <c r="H743" s="42">
        <v>600</v>
      </c>
      <c r="I743" s="42">
        <v>2011</v>
      </c>
      <c r="J743" s="113">
        <v>3.6042596617244698E+18</v>
      </c>
    </row>
    <row r="744" spans="3:10" x14ac:dyDescent="0.3">
      <c r="C744" s="41" t="b">
        <v>0</v>
      </c>
      <c r="D744" s="42" t="s">
        <v>61</v>
      </c>
      <c r="E744" s="42">
        <v>1</v>
      </c>
      <c r="F744" s="42">
        <v>1.7635892</v>
      </c>
      <c r="G744" s="42"/>
      <c r="H744" s="42"/>
      <c r="I744" s="42">
        <v>2011</v>
      </c>
      <c r="J744" s="113">
        <v>1.1622663210255901E+19</v>
      </c>
    </row>
    <row r="745" spans="3:10" x14ac:dyDescent="0.3">
      <c r="C745" s="41" t="b">
        <v>0</v>
      </c>
      <c r="D745" s="42" t="s">
        <v>61</v>
      </c>
      <c r="E745" s="42">
        <v>1</v>
      </c>
      <c r="F745" s="42">
        <v>6.7901230000000004</v>
      </c>
      <c r="G745" s="42"/>
      <c r="H745" s="42">
        <v>980</v>
      </c>
      <c r="I745" s="42">
        <v>2011</v>
      </c>
      <c r="J745" s="113">
        <v>1.1231445761527601E+18</v>
      </c>
    </row>
    <row r="746" spans="3:10" x14ac:dyDescent="0.3">
      <c r="C746" s="41" t="b">
        <v>0</v>
      </c>
      <c r="D746" s="42" t="s">
        <v>61</v>
      </c>
      <c r="E746" s="42">
        <v>1</v>
      </c>
      <c r="F746" s="42">
        <v>4.9427820000000002</v>
      </c>
      <c r="G746" s="42"/>
      <c r="H746" s="42"/>
      <c r="I746" s="42">
        <v>2011</v>
      </c>
      <c r="J746" s="113">
        <v>5.0116289266013901E+18</v>
      </c>
    </row>
    <row r="747" spans="3:10" x14ac:dyDescent="0.3">
      <c r="C747" s="41" t="b">
        <v>0</v>
      </c>
      <c r="D747" s="42" t="s">
        <v>61</v>
      </c>
      <c r="E747" s="42">
        <v>1</v>
      </c>
      <c r="F747" s="42">
        <v>228.77600000000001</v>
      </c>
      <c r="G747" s="42"/>
      <c r="H747" s="42">
        <v>61</v>
      </c>
      <c r="I747" s="42">
        <v>2011</v>
      </c>
      <c r="J747" s="113">
        <v>9.24976933405218E+18</v>
      </c>
    </row>
    <row r="748" spans="3:10" x14ac:dyDescent="0.3">
      <c r="C748" s="41" t="b">
        <v>0</v>
      </c>
      <c r="D748" s="42" t="s">
        <v>61</v>
      </c>
      <c r="E748" s="42">
        <v>1</v>
      </c>
      <c r="F748" s="42">
        <v>1.4857108000000001</v>
      </c>
      <c r="G748" s="42"/>
      <c r="H748" s="42">
        <v>800</v>
      </c>
      <c r="I748" s="42">
        <v>2011</v>
      </c>
      <c r="J748" s="113">
        <v>3.0714506599197798E+18</v>
      </c>
    </row>
    <row r="749" spans="3:10" x14ac:dyDescent="0.3">
      <c r="C749" s="41" t="b">
        <v>0</v>
      </c>
      <c r="D749" s="42" t="s">
        <v>61</v>
      </c>
      <c r="E749" s="42">
        <v>3</v>
      </c>
      <c r="F749" s="42">
        <v>3.5047250000000001</v>
      </c>
      <c r="G749" s="42"/>
      <c r="H749" s="42"/>
      <c r="I749" s="42">
        <v>2011</v>
      </c>
      <c r="J749" s="113">
        <v>2.2182616332097001E+18</v>
      </c>
    </row>
    <row r="750" spans="3:10" x14ac:dyDescent="0.3">
      <c r="C750" s="41" t="b">
        <v>0</v>
      </c>
      <c r="D750" s="42" t="s">
        <v>61</v>
      </c>
      <c r="E750" s="42">
        <v>3</v>
      </c>
      <c r="F750" s="42">
        <v>7.6415899999999999</v>
      </c>
      <c r="G750" s="42"/>
      <c r="H750" s="42"/>
      <c r="I750" s="42">
        <v>2011</v>
      </c>
      <c r="J750" s="113">
        <v>1.52350320091015E+19</v>
      </c>
    </row>
    <row r="751" spans="3:10" x14ac:dyDescent="0.3">
      <c r="C751" s="41" t="b">
        <v>0</v>
      </c>
      <c r="D751" s="42" t="s">
        <v>61</v>
      </c>
      <c r="E751" s="42">
        <v>3</v>
      </c>
      <c r="F751" s="42">
        <v>14.858879999999999</v>
      </c>
      <c r="G751" s="42"/>
      <c r="H751" s="42"/>
      <c r="I751" s="42">
        <v>2011</v>
      </c>
      <c r="J751" s="113">
        <v>8.3051491729406095E+18</v>
      </c>
    </row>
    <row r="752" spans="3:10" x14ac:dyDescent="0.3">
      <c r="C752" s="41" t="b">
        <v>0</v>
      </c>
      <c r="D752" s="42" t="s">
        <v>61</v>
      </c>
      <c r="E752" s="42">
        <v>2</v>
      </c>
      <c r="F752" s="42">
        <v>9.2869943999999993</v>
      </c>
      <c r="G752" s="42"/>
      <c r="H752" s="42">
        <v>2119</v>
      </c>
      <c r="I752" s="42">
        <v>2011</v>
      </c>
      <c r="J752" s="113">
        <v>9.18798710613107E+18</v>
      </c>
    </row>
    <row r="753" spans="3:10" x14ac:dyDescent="0.3">
      <c r="C753" s="41" t="b">
        <v>0</v>
      </c>
      <c r="D753" s="42" t="s">
        <v>63</v>
      </c>
      <c r="E753" s="42">
        <v>2</v>
      </c>
      <c r="F753" s="42">
        <v>160</v>
      </c>
      <c r="G753" s="42"/>
      <c r="H753" s="42">
        <v>2119</v>
      </c>
      <c r="I753" s="42">
        <v>2011</v>
      </c>
      <c r="J753" s="113">
        <v>7.1459210318869299E+18</v>
      </c>
    </row>
    <row r="754" spans="3:10" x14ac:dyDescent="0.3">
      <c r="C754" s="41" t="b">
        <v>0</v>
      </c>
      <c r="D754" s="42" t="s">
        <v>61</v>
      </c>
      <c r="E754" s="42">
        <v>5</v>
      </c>
      <c r="F754" s="42">
        <v>3.6961219000000001</v>
      </c>
      <c r="G754" s="42"/>
      <c r="H754" s="42">
        <v>290</v>
      </c>
      <c r="I754" s="42">
        <v>2011</v>
      </c>
      <c r="J754" s="113">
        <v>1.53129336249692E+19</v>
      </c>
    </row>
    <row r="755" spans="3:10" x14ac:dyDescent="0.3">
      <c r="C755" s="41" t="b">
        <v>0</v>
      </c>
      <c r="D755" s="42" t="s">
        <v>61</v>
      </c>
      <c r="E755" s="42">
        <v>5</v>
      </c>
      <c r="F755" s="42">
        <v>10.854092</v>
      </c>
      <c r="G755" s="42"/>
      <c r="H755" s="42">
        <v>290</v>
      </c>
      <c r="I755" s="42">
        <v>2011</v>
      </c>
      <c r="J755" s="113">
        <v>6.1607552333048003E+18</v>
      </c>
    </row>
    <row r="756" spans="3:10" x14ac:dyDescent="0.3">
      <c r="C756" s="41" t="b">
        <v>0</v>
      </c>
      <c r="D756" s="42" t="s">
        <v>61</v>
      </c>
      <c r="E756" s="42">
        <v>5</v>
      </c>
      <c r="F756" s="42">
        <v>77.611840000000001</v>
      </c>
      <c r="G756" s="42"/>
      <c r="H756" s="42">
        <v>290</v>
      </c>
      <c r="I756" s="42">
        <v>2011</v>
      </c>
      <c r="J756" s="113">
        <v>1.5471677500124001E+18</v>
      </c>
    </row>
    <row r="757" spans="3:10" x14ac:dyDescent="0.3">
      <c r="C757" s="41" t="b">
        <v>0</v>
      </c>
      <c r="D757" s="42" t="s">
        <v>61</v>
      </c>
      <c r="E757" s="42">
        <v>5</v>
      </c>
      <c r="F757" s="42">
        <v>6.0984930000000004</v>
      </c>
      <c r="G757" s="42"/>
      <c r="H757" s="42">
        <v>290</v>
      </c>
      <c r="I757" s="42">
        <v>2011</v>
      </c>
      <c r="J757" s="113">
        <v>9.4024487006865695E+18</v>
      </c>
    </row>
    <row r="758" spans="3:10" x14ac:dyDescent="0.3">
      <c r="C758" s="41" t="b">
        <v>0</v>
      </c>
      <c r="D758" s="42" t="s">
        <v>61</v>
      </c>
      <c r="E758" s="42">
        <v>5</v>
      </c>
      <c r="F758" s="42">
        <v>19.577059999999999</v>
      </c>
      <c r="G758" s="42"/>
      <c r="H758" s="42">
        <v>290</v>
      </c>
      <c r="I758" s="42">
        <v>2011</v>
      </c>
      <c r="J758" s="113">
        <v>9.4449762074665492E+18</v>
      </c>
    </row>
    <row r="759" spans="3:10" x14ac:dyDescent="0.3">
      <c r="C759" s="41" t="b">
        <v>0</v>
      </c>
      <c r="D759" s="42" t="s">
        <v>61</v>
      </c>
      <c r="E759" s="42">
        <v>1</v>
      </c>
      <c r="F759" s="42">
        <v>2.785755</v>
      </c>
      <c r="G759" s="42"/>
      <c r="H759" s="42">
        <v>108</v>
      </c>
      <c r="I759" s="42">
        <v>2011</v>
      </c>
      <c r="J759" s="113">
        <v>1.4049773019999101E+19</v>
      </c>
    </row>
    <row r="760" spans="3:10" x14ac:dyDescent="0.3">
      <c r="C760" s="41" t="b">
        <v>0</v>
      </c>
      <c r="D760" s="42" t="s">
        <v>61</v>
      </c>
      <c r="E760" s="42">
        <v>1</v>
      </c>
      <c r="F760" s="42">
        <v>289.8623</v>
      </c>
      <c r="G760" s="42"/>
      <c r="H760" s="42">
        <v>190</v>
      </c>
      <c r="I760" s="42">
        <v>2011</v>
      </c>
      <c r="J760" s="113">
        <v>1.2665689763887901E+19</v>
      </c>
    </row>
    <row r="761" spans="3:10" x14ac:dyDescent="0.3">
      <c r="C761" s="41" t="b">
        <v>0</v>
      </c>
      <c r="D761" s="42" t="s">
        <v>61</v>
      </c>
      <c r="E761" s="42">
        <v>2</v>
      </c>
      <c r="F761" s="42">
        <v>7.1073000000000004</v>
      </c>
      <c r="G761" s="42"/>
      <c r="H761" s="42">
        <v>800</v>
      </c>
      <c r="I761" s="42">
        <v>2011</v>
      </c>
      <c r="J761" s="113">
        <v>2.4953859504520202E+18</v>
      </c>
    </row>
    <row r="762" spans="3:10" x14ac:dyDescent="0.3">
      <c r="C762" s="41" t="b">
        <v>0</v>
      </c>
      <c r="D762" s="42" t="s">
        <v>61</v>
      </c>
      <c r="E762" s="42">
        <v>2</v>
      </c>
      <c r="F762" s="42">
        <v>10.742100000000001</v>
      </c>
      <c r="G762" s="42"/>
      <c r="H762" s="42">
        <v>800</v>
      </c>
      <c r="I762" s="42">
        <v>2011</v>
      </c>
      <c r="J762" s="113">
        <v>8.7835746087057603E+18</v>
      </c>
    </row>
    <row r="763" spans="3:10" x14ac:dyDescent="0.3">
      <c r="C763" s="41" t="b">
        <v>0</v>
      </c>
      <c r="D763" s="42" t="s">
        <v>61</v>
      </c>
      <c r="E763" s="42">
        <v>2</v>
      </c>
      <c r="F763" s="42">
        <v>8.1453000000000007</v>
      </c>
      <c r="G763" s="42"/>
      <c r="H763" s="42">
        <v>1200</v>
      </c>
      <c r="I763" s="42">
        <v>2011</v>
      </c>
      <c r="J763" s="113">
        <v>1.31418013017176E+19</v>
      </c>
    </row>
    <row r="764" spans="3:10" x14ac:dyDescent="0.3">
      <c r="C764" s="41" t="b">
        <v>0</v>
      </c>
      <c r="D764" s="42" t="s">
        <v>61</v>
      </c>
      <c r="E764" s="42">
        <v>2</v>
      </c>
      <c r="F764" s="42">
        <v>12.333500000000001</v>
      </c>
      <c r="G764" s="42"/>
      <c r="H764" s="42">
        <v>1200</v>
      </c>
      <c r="I764" s="42">
        <v>2011</v>
      </c>
      <c r="J764" s="113">
        <v>8.4852721791535503E+18</v>
      </c>
    </row>
    <row r="765" spans="3:10" x14ac:dyDescent="0.3">
      <c r="C765" s="41" t="b">
        <v>0</v>
      </c>
      <c r="D765" s="42" t="s">
        <v>61</v>
      </c>
      <c r="E765" s="42">
        <v>3</v>
      </c>
      <c r="F765" s="42">
        <v>6.2385000000000002</v>
      </c>
      <c r="G765" s="42"/>
      <c r="H765" s="42"/>
      <c r="I765" s="42">
        <v>2011</v>
      </c>
      <c r="J765" s="113">
        <v>1.63130059830173E+19</v>
      </c>
    </row>
    <row r="766" spans="3:10" x14ac:dyDescent="0.3">
      <c r="C766" s="41" t="b">
        <v>0</v>
      </c>
      <c r="D766" s="42" t="s">
        <v>61</v>
      </c>
      <c r="E766" s="42">
        <v>3</v>
      </c>
      <c r="F766" s="42">
        <v>12.7204</v>
      </c>
      <c r="G766" s="42"/>
      <c r="H766" s="42"/>
      <c r="I766" s="42">
        <v>2011</v>
      </c>
      <c r="J766" s="113">
        <v>5.8754169924980797E+18</v>
      </c>
    </row>
    <row r="767" spans="3:10" x14ac:dyDescent="0.3">
      <c r="C767" s="41" t="b">
        <v>0</v>
      </c>
      <c r="D767" s="42" t="s">
        <v>56</v>
      </c>
      <c r="E767" s="42">
        <v>3</v>
      </c>
      <c r="F767" s="42">
        <v>123</v>
      </c>
      <c r="G767" s="42"/>
      <c r="H767" s="42"/>
      <c r="I767" s="42">
        <v>2014</v>
      </c>
      <c r="J767" s="113">
        <v>3.32341894828034E+18</v>
      </c>
    </row>
    <row r="768" spans="3:10" x14ac:dyDescent="0.3">
      <c r="C768" s="41" t="b">
        <v>0</v>
      </c>
      <c r="D768" s="42" t="s">
        <v>61</v>
      </c>
      <c r="E768" s="42">
        <v>2</v>
      </c>
      <c r="F768" s="42">
        <v>12.2829</v>
      </c>
      <c r="G768" s="42"/>
      <c r="H768" s="42"/>
      <c r="I768" s="42">
        <v>2011</v>
      </c>
      <c r="J768" s="113">
        <v>1.0323123410722699E+19</v>
      </c>
    </row>
    <row r="769" spans="3:10" x14ac:dyDescent="0.3">
      <c r="C769" s="41" t="b">
        <v>0</v>
      </c>
      <c r="D769" s="42" t="s">
        <v>61</v>
      </c>
      <c r="E769" s="42">
        <v>2</v>
      </c>
      <c r="F769" s="42">
        <v>17.251300000000001</v>
      </c>
      <c r="G769" s="42"/>
      <c r="H769" s="42"/>
      <c r="I769" s="42">
        <v>2011</v>
      </c>
      <c r="J769" s="113">
        <v>5.4674095780871997E+18</v>
      </c>
    </row>
    <row r="770" spans="3:10" x14ac:dyDescent="0.3">
      <c r="C770" s="41" t="b">
        <v>0</v>
      </c>
      <c r="D770" s="42" t="s">
        <v>61</v>
      </c>
      <c r="E770" s="42">
        <v>2</v>
      </c>
      <c r="F770" s="42">
        <v>15.3348</v>
      </c>
      <c r="G770" s="42"/>
      <c r="H770" s="42"/>
      <c r="I770" s="42">
        <v>2011</v>
      </c>
      <c r="J770" s="113">
        <v>9.4563703515498004E+18</v>
      </c>
    </row>
    <row r="771" spans="3:10" x14ac:dyDescent="0.3">
      <c r="C771" s="41" t="b">
        <v>0</v>
      </c>
      <c r="D771" s="42" t="s">
        <v>61</v>
      </c>
      <c r="E771" s="42">
        <v>2</v>
      </c>
      <c r="F771" s="42">
        <v>31.3309</v>
      </c>
      <c r="G771" s="42"/>
      <c r="H771" s="42"/>
      <c r="I771" s="42">
        <v>2011</v>
      </c>
      <c r="J771" s="113">
        <v>7.0399840038650296E+18</v>
      </c>
    </row>
    <row r="772" spans="3:10" x14ac:dyDescent="0.3">
      <c r="C772" s="41" t="b">
        <v>0</v>
      </c>
      <c r="D772" s="42" t="s">
        <v>61</v>
      </c>
      <c r="E772" s="42">
        <v>2</v>
      </c>
      <c r="F772" s="42">
        <v>5.9123000000000001</v>
      </c>
      <c r="G772" s="42"/>
      <c r="H772" s="42"/>
      <c r="I772" s="42">
        <v>2011</v>
      </c>
      <c r="J772" s="113">
        <v>1.43017031844689E+19</v>
      </c>
    </row>
    <row r="773" spans="3:10" x14ac:dyDescent="0.3">
      <c r="C773" s="41" t="b">
        <v>0</v>
      </c>
      <c r="D773" s="42" t="s">
        <v>61</v>
      </c>
      <c r="E773" s="42">
        <v>2</v>
      </c>
      <c r="F773" s="42">
        <v>8.9857999999999993</v>
      </c>
      <c r="G773" s="42"/>
      <c r="H773" s="42"/>
      <c r="I773" s="42">
        <v>2011</v>
      </c>
      <c r="J773" s="113">
        <v>1.32946456392047E+19</v>
      </c>
    </row>
    <row r="774" spans="3:10" x14ac:dyDescent="0.3">
      <c r="C774" s="41" t="b">
        <v>0</v>
      </c>
      <c r="D774" s="42" t="s">
        <v>61</v>
      </c>
      <c r="E774" s="42">
        <v>2</v>
      </c>
      <c r="F774" s="42">
        <v>10.3376</v>
      </c>
      <c r="G774" s="42"/>
      <c r="H774" s="42">
        <v>1400</v>
      </c>
      <c r="I774" s="42">
        <v>2011</v>
      </c>
      <c r="J774" s="113">
        <v>6.1493640629574902E+18</v>
      </c>
    </row>
    <row r="775" spans="3:10" x14ac:dyDescent="0.3">
      <c r="C775" s="41" t="b">
        <v>0</v>
      </c>
      <c r="D775" s="42" t="s">
        <v>61</v>
      </c>
      <c r="E775" s="42">
        <v>2</v>
      </c>
      <c r="F775" s="42">
        <v>13.290699999999999</v>
      </c>
      <c r="G775" s="42"/>
      <c r="H775" s="42">
        <v>1400</v>
      </c>
      <c r="I775" s="42">
        <v>2011</v>
      </c>
      <c r="J775" s="113">
        <v>4.3587682488114202E+17</v>
      </c>
    </row>
    <row r="776" spans="3:10" x14ac:dyDescent="0.3">
      <c r="C776" s="41" t="b">
        <v>0</v>
      </c>
      <c r="D776" s="42" t="s">
        <v>61</v>
      </c>
      <c r="E776" s="42">
        <v>3</v>
      </c>
      <c r="F776" s="42">
        <v>29.334340000000001</v>
      </c>
      <c r="G776" s="42"/>
      <c r="H776" s="42">
        <v>1400</v>
      </c>
      <c r="I776" s="42">
        <v>2012</v>
      </c>
      <c r="J776" s="113">
        <v>1.2812794944153301E+19</v>
      </c>
    </row>
    <row r="777" spans="3:10" x14ac:dyDescent="0.3">
      <c r="C777" s="41" t="b">
        <v>0</v>
      </c>
      <c r="D777" s="42" t="s">
        <v>61</v>
      </c>
      <c r="E777" s="42">
        <v>3</v>
      </c>
      <c r="F777" s="42">
        <v>60.323104999999998</v>
      </c>
      <c r="G777" s="42"/>
      <c r="H777" s="42">
        <v>1400</v>
      </c>
      <c r="I777" s="42">
        <v>2012</v>
      </c>
      <c r="J777" s="113">
        <v>1.74250783010654E+19</v>
      </c>
    </row>
    <row r="778" spans="3:10" x14ac:dyDescent="0.3">
      <c r="C778" s="41" t="b">
        <v>0</v>
      </c>
      <c r="D778" s="42" t="s">
        <v>61</v>
      </c>
      <c r="E778" s="42">
        <v>3</v>
      </c>
      <c r="F778" s="42">
        <v>143.34394</v>
      </c>
      <c r="G778" s="42"/>
      <c r="H778" s="42">
        <v>1400</v>
      </c>
      <c r="I778" s="42">
        <v>2012</v>
      </c>
      <c r="J778" s="113">
        <v>1.40882630026816E+19</v>
      </c>
    </row>
    <row r="779" spans="3:10" x14ac:dyDescent="0.3">
      <c r="C779" s="41" t="b">
        <v>0</v>
      </c>
      <c r="D779" s="42" t="s">
        <v>61</v>
      </c>
      <c r="E779" s="42">
        <v>2</v>
      </c>
      <c r="F779" s="42">
        <v>20.8613</v>
      </c>
      <c r="G779" s="42"/>
      <c r="H779" s="42">
        <v>2100</v>
      </c>
      <c r="I779" s="42">
        <v>2011</v>
      </c>
      <c r="J779" s="113">
        <v>2.22730850906024E+17</v>
      </c>
    </row>
    <row r="780" spans="3:10" x14ac:dyDescent="0.3">
      <c r="C780" s="41" t="b">
        <v>0</v>
      </c>
      <c r="D780" s="42" t="s">
        <v>61</v>
      </c>
      <c r="E780" s="42">
        <v>2</v>
      </c>
      <c r="F780" s="42">
        <v>42.631799999999998</v>
      </c>
      <c r="G780" s="42"/>
      <c r="H780" s="42">
        <v>2100</v>
      </c>
      <c r="I780" s="42">
        <v>2011</v>
      </c>
      <c r="J780" s="113">
        <v>1.4913524858710301E+19</v>
      </c>
    </row>
    <row r="781" spans="3:10" x14ac:dyDescent="0.3">
      <c r="C781" s="41" t="b">
        <v>0</v>
      </c>
      <c r="D781" s="42" t="s">
        <v>61</v>
      </c>
      <c r="E781" s="42">
        <v>5</v>
      </c>
      <c r="F781" s="42">
        <v>5.9012399999999996</v>
      </c>
      <c r="G781" s="42"/>
      <c r="H781" s="42">
        <v>303</v>
      </c>
      <c r="I781" s="42">
        <v>2011</v>
      </c>
      <c r="J781" s="113">
        <v>7.09848417100753E+18</v>
      </c>
    </row>
    <row r="782" spans="3:10" x14ac:dyDescent="0.3">
      <c r="C782" s="41" t="b">
        <v>0</v>
      </c>
      <c r="D782" s="42" t="s">
        <v>61</v>
      </c>
      <c r="E782" s="42">
        <v>5</v>
      </c>
      <c r="F782" s="42">
        <v>8.7522000000000002</v>
      </c>
      <c r="G782" s="42"/>
      <c r="H782" s="42">
        <v>303</v>
      </c>
      <c r="I782" s="42">
        <v>2011</v>
      </c>
      <c r="J782" s="113">
        <v>6.7987223637759601E+18</v>
      </c>
    </row>
    <row r="783" spans="3:10" x14ac:dyDescent="0.3">
      <c r="C783" s="41" t="b">
        <v>0</v>
      </c>
      <c r="D783" s="42" t="s">
        <v>61</v>
      </c>
      <c r="E783" s="42">
        <v>5</v>
      </c>
      <c r="F783" s="42">
        <v>22.780200000000001</v>
      </c>
      <c r="G783" s="42"/>
      <c r="H783" s="42">
        <v>303</v>
      </c>
      <c r="I783" s="42">
        <v>2012</v>
      </c>
      <c r="J783" s="113">
        <v>1.06579549586787E+19</v>
      </c>
    </row>
    <row r="784" spans="3:10" x14ac:dyDescent="0.3">
      <c r="C784" s="41" t="b">
        <v>0</v>
      </c>
      <c r="D784" s="42" t="s">
        <v>61</v>
      </c>
      <c r="E784" s="42">
        <v>5</v>
      </c>
      <c r="F784" s="42">
        <v>2.8959999999999999</v>
      </c>
      <c r="G784" s="42"/>
      <c r="H784" s="42">
        <v>303</v>
      </c>
      <c r="I784" s="42">
        <v>2012</v>
      </c>
      <c r="J784" s="113">
        <v>2.6731788160351498E+18</v>
      </c>
    </row>
    <row r="785" spans="3:10" x14ac:dyDescent="0.3">
      <c r="C785" s="41" t="b">
        <v>0</v>
      </c>
      <c r="D785" s="42" t="s">
        <v>61</v>
      </c>
      <c r="E785" s="42">
        <v>5</v>
      </c>
      <c r="F785" s="42">
        <v>0.74295999999999995</v>
      </c>
      <c r="G785" s="42"/>
      <c r="H785" s="42">
        <v>303</v>
      </c>
      <c r="I785" s="42">
        <v>2012</v>
      </c>
      <c r="J785" s="113">
        <v>6.55682096454067E+18</v>
      </c>
    </row>
    <row r="786" spans="3:10" x14ac:dyDescent="0.3">
      <c r="C786" s="41" t="b">
        <v>0</v>
      </c>
      <c r="D786" s="42" t="s">
        <v>61</v>
      </c>
      <c r="E786" s="42">
        <v>5</v>
      </c>
      <c r="F786" s="42">
        <v>5.6679300000000001</v>
      </c>
      <c r="G786" s="42"/>
      <c r="H786" s="42"/>
      <c r="I786" s="42">
        <v>2011</v>
      </c>
      <c r="J786" s="113">
        <v>7.2738533553575194E+17</v>
      </c>
    </row>
    <row r="787" spans="3:10" x14ac:dyDescent="0.3">
      <c r="C787" s="41" t="b">
        <v>0</v>
      </c>
      <c r="D787" s="42" t="s">
        <v>61</v>
      </c>
      <c r="E787" s="42">
        <v>5</v>
      </c>
      <c r="F787" s="42">
        <v>13.17562</v>
      </c>
      <c r="G787" s="42"/>
      <c r="H787" s="42"/>
      <c r="I787" s="42">
        <v>2011</v>
      </c>
      <c r="J787" s="113">
        <v>1.11234190205517E+19</v>
      </c>
    </row>
    <row r="788" spans="3:10" x14ac:dyDescent="0.3">
      <c r="C788" s="41" t="b">
        <v>0</v>
      </c>
      <c r="D788" s="42" t="s">
        <v>61</v>
      </c>
      <c r="E788" s="42">
        <v>5</v>
      </c>
      <c r="F788" s="42">
        <v>21.775960000000001</v>
      </c>
      <c r="G788" s="42"/>
      <c r="H788" s="42"/>
      <c r="I788" s="42">
        <v>2011</v>
      </c>
      <c r="J788" s="113">
        <v>1.69442713658414E+19</v>
      </c>
    </row>
    <row r="789" spans="3:10" x14ac:dyDescent="0.3">
      <c r="C789" s="41" t="b">
        <v>0</v>
      </c>
      <c r="D789" s="42" t="s">
        <v>61</v>
      </c>
      <c r="E789" s="42">
        <v>5</v>
      </c>
      <c r="F789" s="42">
        <v>31.784400000000002</v>
      </c>
      <c r="G789" s="42"/>
      <c r="H789" s="42"/>
      <c r="I789" s="42">
        <v>2011</v>
      </c>
      <c r="J789" s="113">
        <v>1.16430219489816E+19</v>
      </c>
    </row>
    <row r="790" spans="3:10" x14ac:dyDescent="0.3">
      <c r="C790" s="41" t="b">
        <v>0</v>
      </c>
      <c r="D790" s="42" t="s">
        <v>61</v>
      </c>
      <c r="E790" s="42">
        <v>5</v>
      </c>
      <c r="F790" s="42">
        <v>41.029020000000003</v>
      </c>
      <c r="G790" s="42"/>
      <c r="H790" s="42"/>
      <c r="I790" s="42">
        <v>2011</v>
      </c>
      <c r="J790" s="113">
        <v>1.0594728274259401E+19</v>
      </c>
    </row>
    <row r="791" spans="3:10" x14ac:dyDescent="0.3">
      <c r="C791" s="41" t="b">
        <v>0</v>
      </c>
      <c r="D791" s="42" t="s">
        <v>61</v>
      </c>
      <c r="E791" s="42">
        <v>1</v>
      </c>
      <c r="F791" s="42">
        <v>288.822</v>
      </c>
      <c r="G791" s="42"/>
      <c r="H791" s="42">
        <v>1499</v>
      </c>
      <c r="I791" s="42">
        <v>2011</v>
      </c>
      <c r="J791" s="113">
        <v>1.77833519366552E+19</v>
      </c>
    </row>
    <row r="792" spans="3:10" x14ac:dyDescent="0.3">
      <c r="C792" s="41" t="b">
        <v>0</v>
      </c>
      <c r="D792" s="42" t="s">
        <v>61</v>
      </c>
      <c r="E792" s="42">
        <v>1</v>
      </c>
      <c r="F792" s="42">
        <v>131.458</v>
      </c>
      <c r="G792" s="42"/>
      <c r="H792" s="42">
        <v>1645</v>
      </c>
      <c r="I792" s="42">
        <v>2011</v>
      </c>
      <c r="J792" s="113">
        <v>1.0422974195057E+19</v>
      </c>
    </row>
    <row r="793" spans="3:10" x14ac:dyDescent="0.3">
      <c r="C793" s="41" t="b">
        <v>0</v>
      </c>
      <c r="D793" s="42" t="s">
        <v>61</v>
      </c>
      <c r="E793" s="42">
        <v>2</v>
      </c>
      <c r="F793" s="42">
        <v>13.83989</v>
      </c>
      <c r="G793" s="42"/>
      <c r="H793" s="42">
        <v>470</v>
      </c>
      <c r="I793" s="42">
        <v>2012</v>
      </c>
      <c r="J793" s="113">
        <v>1.58892631084526E+19</v>
      </c>
    </row>
    <row r="794" spans="3:10" x14ac:dyDescent="0.3">
      <c r="C794" s="41" t="b">
        <v>0</v>
      </c>
      <c r="D794" s="42" t="s">
        <v>61</v>
      </c>
      <c r="E794" s="42">
        <v>2</v>
      </c>
      <c r="F794" s="42">
        <v>16.23855</v>
      </c>
      <c r="G794" s="42"/>
      <c r="H794" s="42">
        <v>470</v>
      </c>
      <c r="I794" s="42">
        <v>2012</v>
      </c>
      <c r="J794" s="113">
        <v>3.5211969494752E+18</v>
      </c>
    </row>
    <row r="795" spans="3:10" x14ac:dyDescent="0.3">
      <c r="C795" s="41" t="b">
        <v>0</v>
      </c>
      <c r="D795" s="42" t="s">
        <v>61</v>
      </c>
      <c r="E795" s="42">
        <v>3</v>
      </c>
      <c r="F795" s="42">
        <v>13.367308</v>
      </c>
      <c r="G795" s="42"/>
      <c r="H795" s="42">
        <v>66</v>
      </c>
      <c r="I795" s="42">
        <v>2013</v>
      </c>
      <c r="J795" s="113">
        <v>8.5435537130371195E+18</v>
      </c>
    </row>
    <row r="796" spans="3:10" x14ac:dyDescent="0.3">
      <c r="C796" s="41" t="b">
        <v>0</v>
      </c>
      <c r="D796" s="42" t="s">
        <v>61</v>
      </c>
      <c r="E796" s="42">
        <v>3</v>
      </c>
      <c r="F796" s="42">
        <v>21.301886</v>
      </c>
      <c r="G796" s="42"/>
      <c r="H796" s="42">
        <v>66</v>
      </c>
      <c r="I796" s="42">
        <v>2013</v>
      </c>
      <c r="J796" s="113">
        <v>8.2954533780587899E+18</v>
      </c>
    </row>
    <row r="797" spans="3:10" x14ac:dyDescent="0.3">
      <c r="C797" s="41" t="b">
        <v>0</v>
      </c>
      <c r="D797" s="42" t="s">
        <v>61</v>
      </c>
      <c r="E797" s="42">
        <v>3</v>
      </c>
      <c r="F797" s="42">
        <v>39.792186999999998</v>
      </c>
      <c r="G797" s="42"/>
      <c r="H797" s="42">
        <v>66</v>
      </c>
      <c r="I797" s="42">
        <v>2013</v>
      </c>
      <c r="J797" s="113">
        <v>1.49782949984216E+19</v>
      </c>
    </row>
    <row r="798" spans="3:10" x14ac:dyDescent="0.3">
      <c r="C798" s="41" t="b">
        <v>0</v>
      </c>
      <c r="D798" s="42" t="s">
        <v>61</v>
      </c>
      <c r="E798" s="42">
        <v>1</v>
      </c>
      <c r="F798" s="42">
        <v>105.599</v>
      </c>
      <c r="G798" s="42"/>
      <c r="H798" s="42">
        <v>600</v>
      </c>
      <c r="I798" s="42">
        <v>2012</v>
      </c>
      <c r="J798" s="113">
        <v>1.16889515138665E+19</v>
      </c>
    </row>
    <row r="799" spans="3:10" x14ac:dyDescent="0.3">
      <c r="C799" s="41" t="b">
        <v>0</v>
      </c>
      <c r="D799" s="42" t="s">
        <v>61</v>
      </c>
      <c r="E799" s="42">
        <v>1</v>
      </c>
      <c r="F799" s="42">
        <v>21.087399999999999</v>
      </c>
      <c r="G799" s="42"/>
      <c r="H799" s="42">
        <v>1200</v>
      </c>
      <c r="I799" s="42">
        <v>2011</v>
      </c>
      <c r="J799" s="113">
        <v>1.4612692018386301E+19</v>
      </c>
    </row>
    <row r="800" spans="3:10" x14ac:dyDescent="0.3">
      <c r="C800" s="41" t="b">
        <v>0</v>
      </c>
      <c r="D800" s="42" t="s">
        <v>61</v>
      </c>
      <c r="E800" s="42">
        <v>1</v>
      </c>
      <c r="F800" s="42">
        <v>6.8734900000000003</v>
      </c>
      <c r="G800" s="42"/>
      <c r="H800" s="42">
        <v>2700</v>
      </c>
      <c r="I800" s="42">
        <v>2010</v>
      </c>
      <c r="J800" s="113">
        <v>8.7740705506440499E+17</v>
      </c>
    </row>
    <row r="801" spans="3:10" x14ac:dyDescent="0.3">
      <c r="C801" s="41" t="b">
        <v>0</v>
      </c>
      <c r="D801" s="42" t="s">
        <v>61</v>
      </c>
      <c r="E801" s="42">
        <v>1</v>
      </c>
      <c r="F801" s="42">
        <v>1.855558</v>
      </c>
      <c r="G801" s="42"/>
      <c r="H801" s="42">
        <v>770</v>
      </c>
      <c r="I801" s="42">
        <v>2011</v>
      </c>
      <c r="J801" s="113">
        <v>1.56561338892293E+19</v>
      </c>
    </row>
    <row r="802" spans="3:10" x14ac:dyDescent="0.3">
      <c r="C802" s="41" t="b">
        <v>0</v>
      </c>
      <c r="D802" s="42" t="s">
        <v>61</v>
      </c>
      <c r="E802" s="42">
        <v>3</v>
      </c>
      <c r="F802" s="42">
        <v>1.2137671999999999</v>
      </c>
      <c r="G802" s="42"/>
      <c r="H802" s="42">
        <v>38.700000000000003</v>
      </c>
      <c r="I802" s="42">
        <v>2011</v>
      </c>
      <c r="J802" s="113">
        <v>4.9027571209074299E+18</v>
      </c>
    </row>
    <row r="803" spans="3:10" x14ac:dyDescent="0.3">
      <c r="C803" s="41" t="b">
        <v>0</v>
      </c>
      <c r="D803" s="42" t="s">
        <v>61</v>
      </c>
      <c r="E803" s="42">
        <v>3</v>
      </c>
      <c r="F803" s="42">
        <v>0.45328509</v>
      </c>
      <c r="G803" s="42"/>
      <c r="H803" s="42">
        <v>38.700000000000003</v>
      </c>
      <c r="I803" s="42">
        <v>2011</v>
      </c>
      <c r="J803" s="113">
        <v>2.4649439916117402E+18</v>
      </c>
    </row>
    <row r="804" spans="3:10" x14ac:dyDescent="0.3">
      <c r="C804" s="41" t="b">
        <v>0</v>
      </c>
      <c r="D804" s="42" t="s">
        <v>61</v>
      </c>
      <c r="E804" s="42">
        <v>3</v>
      </c>
      <c r="F804" s="42">
        <v>1.8651690000000001</v>
      </c>
      <c r="G804" s="42"/>
      <c r="H804" s="42">
        <v>38.700000000000003</v>
      </c>
      <c r="I804" s="42">
        <v>2011</v>
      </c>
      <c r="J804" s="113">
        <v>1.49751781228945E+19</v>
      </c>
    </row>
    <row r="805" spans="3:10" x14ac:dyDescent="0.3">
      <c r="C805" s="41" t="b">
        <v>0</v>
      </c>
      <c r="D805" s="42" t="s">
        <v>61</v>
      </c>
      <c r="E805" s="42">
        <v>1</v>
      </c>
      <c r="F805" s="42">
        <v>3.024095</v>
      </c>
      <c r="G805" s="42"/>
      <c r="H805" s="42">
        <v>1950</v>
      </c>
      <c r="I805" s="42">
        <v>2011</v>
      </c>
      <c r="J805" s="113">
        <v>8.80807310443183E+18</v>
      </c>
    </row>
    <row r="806" spans="3:10" x14ac:dyDescent="0.3">
      <c r="C806" s="41" t="b">
        <v>0</v>
      </c>
      <c r="D806" s="42" t="s">
        <v>61</v>
      </c>
      <c r="E806" s="42">
        <v>1</v>
      </c>
      <c r="F806" s="42">
        <v>3.24674</v>
      </c>
      <c r="G806" s="42"/>
      <c r="H806" s="42">
        <v>2250</v>
      </c>
      <c r="I806" s="42">
        <v>2011</v>
      </c>
      <c r="J806" s="113">
        <v>5.2701529842912399E+18</v>
      </c>
    </row>
    <row r="807" spans="3:10" x14ac:dyDescent="0.3">
      <c r="C807" s="41" t="b">
        <v>0</v>
      </c>
      <c r="D807" s="42" t="s">
        <v>61</v>
      </c>
      <c r="E807" s="42">
        <v>1</v>
      </c>
      <c r="F807" s="42">
        <v>2.4552390000000002</v>
      </c>
      <c r="G807" s="42"/>
      <c r="H807" s="42">
        <v>333</v>
      </c>
      <c r="I807" s="42">
        <v>2011</v>
      </c>
      <c r="J807" s="113">
        <v>1.54026489417617E+19</v>
      </c>
    </row>
    <row r="808" spans="3:10" x14ac:dyDescent="0.3">
      <c r="C808" s="41" t="b">
        <v>0</v>
      </c>
      <c r="D808" s="42" t="s">
        <v>61</v>
      </c>
      <c r="E808" s="42">
        <v>2</v>
      </c>
      <c r="F808" s="42">
        <v>33.60134</v>
      </c>
      <c r="G808" s="42"/>
      <c r="H808" s="42">
        <v>855</v>
      </c>
      <c r="I808" s="42">
        <v>2012</v>
      </c>
      <c r="J808" s="113">
        <v>7.2504168357290803E+18</v>
      </c>
    </row>
    <row r="809" spans="3:10" x14ac:dyDescent="0.3">
      <c r="C809" s="41" t="b">
        <v>0</v>
      </c>
      <c r="D809" s="42" t="s">
        <v>63</v>
      </c>
      <c r="E809" s="42">
        <v>2</v>
      </c>
      <c r="F809" s="42">
        <v>57.011000000000003</v>
      </c>
      <c r="G809" s="42"/>
      <c r="H809" s="42">
        <v>855</v>
      </c>
      <c r="I809" s="42">
        <v>2012</v>
      </c>
      <c r="J809" s="113">
        <v>2.6650406459678899E+18</v>
      </c>
    </row>
    <row r="810" spans="3:10" x14ac:dyDescent="0.3">
      <c r="C810" s="41" t="b">
        <v>0</v>
      </c>
      <c r="D810" s="42" t="s">
        <v>61</v>
      </c>
      <c r="E810" s="42">
        <v>2</v>
      </c>
      <c r="F810" s="42">
        <v>49.531999999999996</v>
      </c>
      <c r="G810" s="42"/>
      <c r="H810" s="42">
        <v>1500</v>
      </c>
      <c r="I810" s="42">
        <v>2012</v>
      </c>
      <c r="J810" s="113">
        <v>1.5065631802724399E+19</v>
      </c>
    </row>
    <row r="811" spans="3:10" x14ac:dyDescent="0.3">
      <c r="C811" s="41" t="b">
        <v>0</v>
      </c>
      <c r="D811" s="42" t="s">
        <v>61</v>
      </c>
      <c r="E811" s="42">
        <v>2</v>
      </c>
      <c r="F811" s="42">
        <v>303.137</v>
      </c>
      <c r="G811" s="42"/>
      <c r="H811" s="42">
        <v>1500</v>
      </c>
      <c r="I811" s="42">
        <v>2012</v>
      </c>
      <c r="J811" s="113">
        <v>6.9682423320716198E+17</v>
      </c>
    </row>
    <row r="812" spans="3:10" x14ac:dyDescent="0.3">
      <c r="C812" s="41" t="b">
        <v>0</v>
      </c>
      <c r="D812" s="42" t="s">
        <v>61</v>
      </c>
      <c r="E812" s="42">
        <v>4</v>
      </c>
      <c r="F812" s="42">
        <v>4.7779803000000003</v>
      </c>
      <c r="G812" s="42"/>
      <c r="H812" s="42"/>
      <c r="I812" s="42">
        <v>2012</v>
      </c>
      <c r="J812" s="113">
        <v>1.7291869947260899E+19</v>
      </c>
    </row>
    <row r="813" spans="3:10" x14ac:dyDescent="0.3">
      <c r="C813" s="41" t="b">
        <v>0</v>
      </c>
      <c r="D813" s="42" t="s">
        <v>61</v>
      </c>
      <c r="E813" s="42">
        <v>4</v>
      </c>
      <c r="F813" s="42">
        <v>9.6739283</v>
      </c>
      <c r="G813" s="42"/>
      <c r="H813" s="42"/>
      <c r="I813" s="42">
        <v>2012</v>
      </c>
      <c r="J813" s="113">
        <v>8.7252484914118697E+18</v>
      </c>
    </row>
    <row r="814" spans="3:10" x14ac:dyDescent="0.3">
      <c r="C814" s="41" t="b">
        <v>0</v>
      </c>
      <c r="D814" s="42" t="s">
        <v>61</v>
      </c>
      <c r="E814" s="42">
        <v>4</v>
      </c>
      <c r="F814" s="42">
        <v>42.896099999999997</v>
      </c>
      <c r="G814" s="42"/>
      <c r="H814" s="42"/>
      <c r="I814" s="42">
        <v>2014</v>
      </c>
      <c r="J814" s="113">
        <v>1.7450606492254501E+19</v>
      </c>
    </row>
    <row r="815" spans="3:10" x14ac:dyDescent="0.3">
      <c r="C815" s="41" t="b">
        <v>0</v>
      </c>
      <c r="D815" s="42" t="s">
        <v>56</v>
      </c>
      <c r="E815" s="42">
        <v>4</v>
      </c>
      <c r="F815" s="42">
        <v>982</v>
      </c>
      <c r="G815" s="42"/>
      <c r="H815" s="42"/>
      <c r="I815" s="42">
        <v>2014</v>
      </c>
      <c r="J815" s="113">
        <v>1.4029540397594199E+18</v>
      </c>
    </row>
    <row r="816" spans="3:10" x14ac:dyDescent="0.3">
      <c r="C816" s="41" t="b">
        <v>0</v>
      </c>
      <c r="D816" s="42" t="s">
        <v>61</v>
      </c>
      <c r="E816" s="42">
        <v>2</v>
      </c>
      <c r="F816" s="42">
        <v>7.2037944999999999</v>
      </c>
      <c r="G816" s="42"/>
      <c r="H816" s="42"/>
      <c r="I816" s="42">
        <v>2012</v>
      </c>
      <c r="J816" s="113">
        <v>3.1194725107184599E+18</v>
      </c>
    </row>
    <row r="817" spans="3:10" x14ac:dyDescent="0.3">
      <c r="C817" s="41" t="b">
        <v>0</v>
      </c>
      <c r="D817" s="42" t="s">
        <v>61</v>
      </c>
      <c r="E817" s="42">
        <v>2</v>
      </c>
      <c r="F817" s="42">
        <v>10.9129343</v>
      </c>
      <c r="G817" s="42"/>
      <c r="H817" s="42"/>
      <c r="I817" s="42">
        <v>2012</v>
      </c>
      <c r="J817" s="113">
        <v>1.2343703572954701E+18</v>
      </c>
    </row>
    <row r="818" spans="3:10" x14ac:dyDescent="0.3">
      <c r="C818" s="41" t="b">
        <v>0</v>
      </c>
      <c r="D818" s="42" t="s">
        <v>61</v>
      </c>
      <c r="E818" s="42">
        <v>2</v>
      </c>
      <c r="F818" s="42">
        <v>7.8125400000000003</v>
      </c>
      <c r="G818" s="42"/>
      <c r="H818" s="42"/>
      <c r="I818" s="42">
        <v>2012</v>
      </c>
      <c r="J818" s="113">
        <v>2.26176710066356E+17</v>
      </c>
    </row>
    <row r="819" spans="3:10" x14ac:dyDescent="0.3">
      <c r="C819" s="41" t="b">
        <v>0</v>
      </c>
      <c r="D819" s="42" t="s">
        <v>61</v>
      </c>
      <c r="E819" s="42">
        <v>2</v>
      </c>
      <c r="F819" s="42">
        <v>9.3764699999999994</v>
      </c>
      <c r="G819" s="42"/>
      <c r="H819" s="42"/>
      <c r="I819" s="42">
        <v>2012</v>
      </c>
      <c r="J819" s="113">
        <v>1.6548391149865001E+19</v>
      </c>
    </row>
    <row r="820" spans="3:10" x14ac:dyDescent="0.3">
      <c r="C820" s="41" t="b">
        <v>0</v>
      </c>
      <c r="D820" s="42" t="s">
        <v>61</v>
      </c>
      <c r="E820" s="42">
        <v>3</v>
      </c>
      <c r="F820" s="42">
        <v>45.154000000000003</v>
      </c>
      <c r="G820" s="42"/>
      <c r="H820" s="42"/>
      <c r="I820" s="42">
        <v>2012</v>
      </c>
      <c r="J820" s="113">
        <v>1.4624975066365301E+19</v>
      </c>
    </row>
    <row r="821" spans="3:10" x14ac:dyDescent="0.3">
      <c r="C821" s="41" t="b">
        <v>0</v>
      </c>
      <c r="D821" s="42" t="s">
        <v>61</v>
      </c>
      <c r="E821" s="42">
        <v>3</v>
      </c>
      <c r="F821" s="42">
        <v>85.311999999999998</v>
      </c>
      <c r="G821" s="42"/>
      <c r="H821" s="42"/>
      <c r="I821" s="42">
        <v>2012</v>
      </c>
      <c r="J821" s="113">
        <v>1.47559873045155E+19</v>
      </c>
    </row>
    <row r="822" spans="3:10" x14ac:dyDescent="0.3">
      <c r="C822" s="41" t="b">
        <v>0</v>
      </c>
      <c r="D822" s="42" t="s">
        <v>63</v>
      </c>
      <c r="E822" s="42">
        <v>3</v>
      </c>
      <c r="F822" s="42"/>
      <c r="G822" s="42"/>
      <c r="H822" s="42"/>
      <c r="I822" s="42">
        <v>2014</v>
      </c>
      <c r="J822" s="113">
        <v>1.74805987093474E+19</v>
      </c>
    </row>
    <row r="823" spans="3:10" x14ac:dyDescent="0.3">
      <c r="C823" s="41" t="b">
        <v>0</v>
      </c>
      <c r="D823" s="42" t="s">
        <v>61</v>
      </c>
      <c r="E823" s="42">
        <v>2</v>
      </c>
      <c r="F823" s="42">
        <v>7.8773565000000003</v>
      </c>
      <c r="G823" s="42"/>
      <c r="H823" s="42"/>
      <c r="I823" s="42">
        <v>2012</v>
      </c>
      <c r="J823" s="113">
        <v>1.01808912524137E+19</v>
      </c>
    </row>
    <row r="824" spans="3:10" x14ac:dyDescent="0.3">
      <c r="C824" s="41" t="b">
        <v>0</v>
      </c>
      <c r="D824" s="42" t="s">
        <v>61</v>
      </c>
      <c r="E824" s="42">
        <v>2</v>
      </c>
      <c r="F824" s="42">
        <v>16.385002100000001</v>
      </c>
      <c r="G824" s="42"/>
      <c r="H824" s="42"/>
      <c r="I824" s="42">
        <v>2012</v>
      </c>
      <c r="J824" s="113">
        <v>7.5051590951408005E+18</v>
      </c>
    </row>
    <row r="825" spans="3:10" x14ac:dyDescent="0.3">
      <c r="C825" s="41" t="b">
        <v>0</v>
      </c>
      <c r="D825" s="42" t="s">
        <v>61</v>
      </c>
      <c r="E825" s="42">
        <v>2</v>
      </c>
      <c r="F825" s="42">
        <v>18.6489525</v>
      </c>
      <c r="G825" s="42"/>
      <c r="H825" s="42"/>
      <c r="I825" s="42">
        <v>2012</v>
      </c>
      <c r="J825" s="113">
        <v>8.8352614840614001E+18</v>
      </c>
    </row>
    <row r="826" spans="3:10" x14ac:dyDescent="0.3">
      <c r="C826" s="41" t="b">
        <v>0</v>
      </c>
      <c r="D826" s="42" t="s">
        <v>61</v>
      </c>
      <c r="E826" s="42">
        <v>2</v>
      </c>
      <c r="F826" s="42">
        <v>38.558303799999997</v>
      </c>
      <c r="G826" s="42"/>
      <c r="H826" s="42"/>
      <c r="I826" s="42">
        <v>2012</v>
      </c>
      <c r="J826" s="113">
        <v>1.07327266946588E+19</v>
      </c>
    </row>
    <row r="827" spans="3:10" x14ac:dyDescent="0.3">
      <c r="C827" s="41" t="b">
        <v>0</v>
      </c>
      <c r="D827" s="42" t="s">
        <v>61</v>
      </c>
      <c r="E827" s="42">
        <v>2</v>
      </c>
      <c r="F827" s="42">
        <v>8.0109434000000004</v>
      </c>
      <c r="G827" s="42"/>
      <c r="H827" s="42"/>
      <c r="I827" s="42">
        <v>2012</v>
      </c>
      <c r="J827" s="113">
        <v>5.42293559501393E+18</v>
      </c>
    </row>
    <row r="828" spans="3:10" x14ac:dyDescent="0.3">
      <c r="C828" s="41" t="b">
        <v>0</v>
      </c>
      <c r="D828" s="42" t="s">
        <v>61</v>
      </c>
      <c r="E828" s="42">
        <v>2</v>
      </c>
      <c r="F828" s="42">
        <v>12.0717249</v>
      </c>
      <c r="G828" s="42"/>
      <c r="H828" s="42"/>
      <c r="I828" s="42">
        <v>2012</v>
      </c>
      <c r="J828" s="113">
        <v>5.9054206264534497E+18</v>
      </c>
    </row>
    <row r="829" spans="3:10" x14ac:dyDescent="0.3">
      <c r="C829" s="41" t="b">
        <v>0</v>
      </c>
      <c r="D829" s="42" t="s">
        <v>61</v>
      </c>
      <c r="E829" s="42">
        <v>2</v>
      </c>
      <c r="F829" s="42">
        <v>27.948144899999999</v>
      </c>
      <c r="G829" s="42"/>
      <c r="H829" s="42"/>
      <c r="I829" s="42">
        <v>2012</v>
      </c>
      <c r="J829" s="113">
        <v>6.7439976418097101E+18</v>
      </c>
    </row>
    <row r="830" spans="3:10" x14ac:dyDescent="0.3">
      <c r="C830" s="41" t="b">
        <v>0</v>
      </c>
      <c r="D830" s="42" t="s">
        <v>61</v>
      </c>
      <c r="E830" s="42">
        <v>2</v>
      </c>
      <c r="F830" s="42">
        <v>42.1516418</v>
      </c>
      <c r="G830" s="42"/>
      <c r="H830" s="42"/>
      <c r="I830" s="42">
        <v>2012</v>
      </c>
      <c r="J830" s="113">
        <v>1.5333924973286699E+19</v>
      </c>
    </row>
    <row r="831" spans="3:10" x14ac:dyDescent="0.3">
      <c r="C831" s="41" t="b">
        <v>0</v>
      </c>
      <c r="D831" s="42" t="s">
        <v>61</v>
      </c>
      <c r="E831" s="42">
        <v>2</v>
      </c>
      <c r="F831" s="42">
        <v>10.5016</v>
      </c>
      <c r="G831" s="42"/>
      <c r="H831" s="42"/>
      <c r="I831" s="42">
        <v>2012</v>
      </c>
      <c r="J831" s="113">
        <v>6.9696663980176097E+18</v>
      </c>
    </row>
    <row r="832" spans="3:10" x14ac:dyDescent="0.3">
      <c r="C832" s="41" t="b">
        <v>0</v>
      </c>
      <c r="D832" s="42" t="s">
        <v>61</v>
      </c>
      <c r="E832" s="42">
        <v>2</v>
      </c>
      <c r="F832" s="42">
        <v>21.40239</v>
      </c>
      <c r="G832" s="42"/>
      <c r="H832" s="42"/>
      <c r="I832" s="42">
        <v>2012</v>
      </c>
      <c r="J832" s="113">
        <v>3.5008881610593802E+18</v>
      </c>
    </row>
    <row r="833" spans="3:10" x14ac:dyDescent="0.3">
      <c r="C833" s="41" t="b">
        <v>0</v>
      </c>
      <c r="D833" s="42" t="s">
        <v>61</v>
      </c>
      <c r="E833" s="42">
        <v>2</v>
      </c>
      <c r="F833" s="42">
        <v>5.7293196000000002</v>
      </c>
      <c r="G833" s="42"/>
      <c r="H833" s="42"/>
      <c r="I833" s="42">
        <v>2012</v>
      </c>
      <c r="J833" s="113">
        <v>1.24133586695535E+19</v>
      </c>
    </row>
    <row r="834" spans="3:10" x14ac:dyDescent="0.3">
      <c r="C834" s="41" t="b">
        <v>0</v>
      </c>
      <c r="D834" s="42" t="s">
        <v>61</v>
      </c>
      <c r="E834" s="42">
        <v>2</v>
      </c>
      <c r="F834" s="42">
        <v>11.6092567</v>
      </c>
      <c r="G834" s="42"/>
      <c r="H834" s="42"/>
      <c r="I834" s="42">
        <v>2012</v>
      </c>
      <c r="J834" s="113">
        <v>9.02013524224896E+18</v>
      </c>
    </row>
    <row r="835" spans="3:10" x14ac:dyDescent="0.3">
      <c r="C835" s="41" t="b">
        <v>0</v>
      </c>
      <c r="D835" s="42" t="s">
        <v>61</v>
      </c>
      <c r="E835" s="42">
        <v>2</v>
      </c>
      <c r="F835" s="42">
        <v>10.2184954</v>
      </c>
      <c r="G835" s="42"/>
      <c r="H835" s="42"/>
      <c r="I835" s="42">
        <v>2012</v>
      </c>
      <c r="J835" s="113">
        <v>1.74797301072296E+19</v>
      </c>
    </row>
    <row r="836" spans="3:10" x14ac:dyDescent="0.3">
      <c r="C836" s="41" t="b">
        <v>0</v>
      </c>
      <c r="D836" s="42" t="s">
        <v>61</v>
      </c>
      <c r="E836" s="42">
        <v>2</v>
      </c>
      <c r="F836" s="42">
        <v>15.574156800000001</v>
      </c>
      <c r="G836" s="42"/>
      <c r="H836" s="42"/>
      <c r="I836" s="42">
        <v>2012</v>
      </c>
      <c r="J836" s="113">
        <v>1.4632504885116899E+19</v>
      </c>
    </row>
    <row r="837" spans="3:10" x14ac:dyDescent="0.3">
      <c r="C837" s="41" t="b">
        <v>0</v>
      </c>
      <c r="D837" s="42" t="s">
        <v>61</v>
      </c>
      <c r="E837" s="42">
        <v>2</v>
      </c>
      <c r="F837" s="42">
        <v>11.8681707</v>
      </c>
      <c r="G837" s="42"/>
      <c r="H837" s="42"/>
      <c r="I837" s="42">
        <v>2012</v>
      </c>
      <c r="J837" s="113">
        <v>1.83603855563199E+19</v>
      </c>
    </row>
    <row r="838" spans="3:10" x14ac:dyDescent="0.3">
      <c r="C838" s="41" t="b">
        <v>0</v>
      </c>
      <c r="D838" s="42" t="s">
        <v>61</v>
      </c>
      <c r="E838" s="42">
        <v>2</v>
      </c>
      <c r="F838" s="42">
        <v>17.980123500000001</v>
      </c>
      <c r="G838" s="42"/>
      <c r="H838" s="42"/>
      <c r="I838" s="42">
        <v>2012</v>
      </c>
      <c r="J838" s="113">
        <v>2.9233598909794898E+18</v>
      </c>
    </row>
    <row r="839" spans="3:10" x14ac:dyDescent="0.3">
      <c r="C839" s="41" t="b">
        <v>0</v>
      </c>
      <c r="D839" s="42" t="s">
        <v>61</v>
      </c>
      <c r="E839" s="42">
        <v>3</v>
      </c>
      <c r="F839" s="42">
        <v>7.1316185000000001</v>
      </c>
      <c r="G839" s="42"/>
      <c r="H839" s="42"/>
      <c r="I839" s="42">
        <v>2012</v>
      </c>
      <c r="J839" s="113">
        <v>4.5074233278629202E+18</v>
      </c>
    </row>
    <row r="840" spans="3:10" x14ac:dyDescent="0.3">
      <c r="C840" s="41" t="b">
        <v>0</v>
      </c>
      <c r="D840" s="42" t="s">
        <v>61</v>
      </c>
      <c r="E840" s="42">
        <v>3</v>
      </c>
      <c r="F840" s="42">
        <v>8.9193458999999997</v>
      </c>
      <c r="G840" s="42"/>
      <c r="H840" s="42"/>
      <c r="I840" s="42">
        <v>2012</v>
      </c>
      <c r="J840" s="113">
        <v>1.5075219929875499E+19</v>
      </c>
    </row>
    <row r="841" spans="3:10" x14ac:dyDescent="0.3">
      <c r="C841" s="41" t="b">
        <v>0</v>
      </c>
      <c r="D841" s="42" t="s">
        <v>61</v>
      </c>
      <c r="E841" s="42">
        <v>3</v>
      </c>
      <c r="F841" s="42">
        <v>11.901617099999999</v>
      </c>
      <c r="G841" s="42"/>
      <c r="H841" s="42"/>
      <c r="I841" s="42">
        <v>2012</v>
      </c>
      <c r="J841" s="113">
        <v>6.2597130837765796E+18</v>
      </c>
    </row>
    <row r="842" spans="3:10" x14ac:dyDescent="0.3">
      <c r="C842" s="41" t="b">
        <v>0</v>
      </c>
      <c r="D842" s="42" t="s">
        <v>61</v>
      </c>
      <c r="E842" s="42">
        <v>1</v>
      </c>
      <c r="F842" s="42">
        <v>59.877560000000003</v>
      </c>
      <c r="G842" s="42"/>
      <c r="H842" s="42"/>
      <c r="I842" s="42">
        <v>2013</v>
      </c>
      <c r="J842" s="113">
        <v>5.1549375577922499E+18</v>
      </c>
    </row>
    <row r="843" spans="3:10" x14ac:dyDescent="0.3">
      <c r="C843" s="41" t="b">
        <v>0</v>
      </c>
      <c r="D843" s="42" t="s">
        <v>61</v>
      </c>
      <c r="E843" s="42">
        <v>5</v>
      </c>
      <c r="F843" s="42">
        <v>5.7149320000000001</v>
      </c>
      <c r="G843" s="42"/>
      <c r="H843" s="42">
        <v>368</v>
      </c>
      <c r="I843" s="42">
        <v>2013</v>
      </c>
      <c r="J843" s="113">
        <v>7.7374347481319301E+18</v>
      </c>
    </row>
    <row r="844" spans="3:10" x14ac:dyDescent="0.3">
      <c r="C844" s="41" t="b">
        <v>0</v>
      </c>
      <c r="D844" s="42" t="s">
        <v>61</v>
      </c>
      <c r="E844" s="42">
        <v>5</v>
      </c>
      <c r="F844" s="42">
        <v>12.441700000000001</v>
      </c>
      <c r="G844" s="42"/>
      <c r="H844" s="42">
        <v>368</v>
      </c>
      <c r="I844" s="42">
        <v>2013</v>
      </c>
      <c r="J844" s="113">
        <v>4.15612844252111E+18</v>
      </c>
    </row>
    <row r="845" spans="3:10" x14ac:dyDescent="0.3">
      <c r="C845" s="41" t="b">
        <v>0</v>
      </c>
      <c r="D845" s="42" t="s">
        <v>61</v>
      </c>
      <c r="E845" s="42">
        <v>5</v>
      </c>
      <c r="F845" s="42">
        <v>18.164059999999999</v>
      </c>
      <c r="G845" s="42"/>
      <c r="H845" s="42">
        <v>368</v>
      </c>
      <c r="I845" s="42">
        <v>2013</v>
      </c>
      <c r="J845" s="113">
        <v>1.3064857924784501E+19</v>
      </c>
    </row>
    <row r="846" spans="3:10" x14ac:dyDescent="0.3">
      <c r="C846" s="41" t="b">
        <v>0</v>
      </c>
      <c r="D846" s="42" t="s">
        <v>61</v>
      </c>
      <c r="E846" s="42">
        <v>5</v>
      </c>
      <c r="F846" s="42">
        <v>122.3874</v>
      </c>
      <c r="G846" s="42"/>
      <c r="H846" s="42">
        <v>368</v>
      </c>
      <c r="I846" s="42">
        <v>2013</v>
      </c>
      <c r="J846" s="113">
        <v>9.3956195041430303E+18</v>
      </c>
    </row>
    <row r="847" spans="3:10" x14ac:dyDescent="0.3">
      <c r="C847" s="41" t="b">
        <v>0</v>
      </c>
      <c r="D847" s="42" t="s">
        <v>61</v>
      </c>
      <c r="E847" s="42">
        <v>5</v>
      </c>
      <c r="F847" s="42">
        <v>267.291</v>
      </c>
      <c r="G847" s="42"/>
      <c r="H847" s="42">
        <v>368</v>
      </c>
      <c r="I847" s="42">
        <v>2013</v>
      </c>
      <c r="J847" s="113">
        <v>5.8605174570620703E+18</v>
      </c>
    </row>
    <row r="848" spans="3:10" x14ac:dyDescent="0.3">
      <c r="C848" s="41" t="b">
        <v>0</v>
      </c>
      <c r="D848" s="42" t="s">
        <v>61</v>
      </c>
      <c r="E848" s="42">
        <v>1</v>
      </c>
      <c r="F848" s="42">
        <v>9.4341504999999994</v>
      </c>
      <c r="G848" s="42"/>
      <c r="H848" s="42">
        <v>200</v>
      </c>
      <c r="I848" s="42">
        <v>2013</v>
      </c>
      <c r="J848" s="113">
        <v>1.0252252938375999E+19</v>
      </c>
    </row>
    <row r="849" spans="3:10" x14ac:dyDescent="0.3">
      <c r="C849" s="41" t="b">
        <v>0</v>
      </c>
      <c r="D849" s="42" t="s">
        <v>61</v>
      </c>
      <c r="E849" s="42">
        <v>1</v>
      </c>
      <c r="F849" s="42">
        <v>138.31700000000001</v>
      </c>
      <c r="G849" s="42"/>
      <c r="H849" s="42">
        <v>1000</v>
      </c>
      <c r="I849" s="42">
        <v>2012</v>
      </c>
      <c r="J849" s="113">
        <v>1.63362151798644E+19</v>
      </c>
    </row>
    <row r="850" spans="3:10" x14ac:dyDescent="0.3">
      <c r="C850" s="41" t="b">
        <v>0</v>
      </c>
      <c r="D850" s="42" t="s">
        <v>61</v>
      </c>
      <c r="E850" s="42">
        <v>3</v>
      </c>
      <c r="F850" s="42">
        <v>2.1549100000000001</v>
      </c>
      <c r="G850" s="42"/>
      <c r="H850" s="42"/>
      <c r="I850" s="42">
        <v>2012</v>
      </c>
      <c r="J850" s="113">
        <v>1.6534491483618501E+19</v>
      </c>
    </row>
    <row r="851" spans="3:10" x14ac:dyDescent="0.3">
      <c r="C851" s="41" t="b">
        <v>0</v>
      </c>
      <c r="D851" s="42" t="s">
        <v>61</v>
      </c>
      <c r="E851" s="42">
        <v>3</v>
      </c>
      <c r="F851" s="42">
        <v>5.8599439999999996</v>
      </c>
      <c r="G851" s="42"/>
      <c r="H851" s="42"/>
      <c r="I851" s="42">
        <v>2012</v>
      </c>
      <c r="J851" s="113">
        <v>9.0099937994425098E+18</v>
      </c>
    </row>
    <row r="852" spans="3:10" x14ac:dyDescent="0.3">
      <c r="C852" s="41" t="b">
        <v>0</v>
      </c>
      <c r="D852" s="42" t="s">
        <v>61</v>
      </c>
      <c r="E852" s="42">
        <v>3</v>
      </c>
      <c r="F852" s="42">
        <v>8.1312300000000004</v>
      </c>
      <c r="G852" s="42"/>
      <c r="H852" s="42"/>
      <c r="I852" s="42">
        <v>2012</v>
      </c>
      <c r="J852" s="113">
        <v>9.42637218349602E+18</v>
      </c>
    </row>
    <row r="853" spans="3:10" x14ac:dyDescent="0.3">
      <c r="C853" s="41" t="b">
        <v>0</v>
      </c>
      <c r="D853" s="42" t="s">
        <v>61</v>
      </c>
      <c r="E853" s="42">
        <v>1</v>
      </c>
      <c r="F853" s="42">
        <v>17.815815000000001</v>
      </c>
      <c r="G853" s="42"/>
      <c r="H853" s="42">
        <v>1107</v>
      </c>
      <c r="I853" s="42">
        <v>2013</v>
      </c>
      <c r="J853" s="113">
        <v>7.0778099834863698E+18</v>
      </c>
    </row>
    <row r="854" spans="3:10" x14ac:dyDescent="0.3">
      <c r="C854" s="41" t="b">
        <v>0</v>
      </c>
      <c r="D854" s="42" t="s">
        <v>61</v>
      </c>
      <c r="E854" s="42">
        <v>1</v>
      </c>
      <c r="F854" s="42">
        <v>15.725899999999999</v>
      </c>
      <c r="G854" s="42"/>
      <c r="H854" s="42">
        <v>1107</v>
      </c>
      <c r="I854" s="42">
        <v>2013</v>
      </c>
      <c r="J854" s="113">
        <v>1.76868313192257E+19</v>
      </c>
    </row>
    <row r="855" spans="3:10" x14ac:dyDescent="0.3">
      <c r="C855" s="41" t="b">
        <v>0</v>
      </c>
      <c r="D855" s="42" t="s">
        <v>61</v>
      </c>
      <c r="E855" s="42">
        <v>3</v>
      </c>
      <c r="F855" s="42">
        <v>5.3987629999999998</v>
      </c>
      <c r="G855" s="42"/>
      <c r="H855" s="42">
        <v>135</v>
      </c>
      <c r="I855" s="42">
        <v>2012</v>
      </c>
      <c r="J855" s="113">
        <v>1.06346880983231E+19</v>
      </c>
    </row>
    <row r="856" spans="3:10" x14ac:dyDescent="0.3">
      <c r="C856" s="41" t="b">
        <v>0</v>
      </c>
      <c r="D856" s="42" t="s">
        <v>61</v>
      </c>
      <c r="E856" s="42">
        <v>3</v>
      </c>
      <c r="F856" s="42">
        <v>9.6050850000000008</v>
      </c>
      <c r="G856" s="42"/>
      <c r="H856" s="42">
        <v>135</v>
      </c>
      <c r="I856" s="42">
        <v>2012</v>
      </c>
      <c r="J856" s="113">
        <v>1.5169639043811101E+19</v>
      </c>
    </row>
    <row r="857" spans="3:10" x14ac:dyDescent="0.3">
      <c r="C857" s="41" t="b">
        <v>0</v>
      </c>
      <c r="D857" s="42" t="s">
        <v>56</v>
      </c>
      <c r="E857" s="42">
        <v>3</v>
      </c>
      <c r="F857" s="42">
        <v>580</v>
      </c>
      <c r="G857" s="42">
        <v>0.94699999999999995</v>
      </c>
      <c r="H857" s="42">
        <v>135</v>
      </c>
      <c r="I857" s="42">
        <v>2012</v>
      </c>
      <c r="J857" s="113">
        <v>1.6085365397772101E+18</v>
      </c>
    </row>
    <row r="858" spans="3:10" x14ac:dyDescent="0.3">
      <c r="C858" s="41" t="b">
        <v>0</v>
      </c>
      <c r="D858" s="42" t="s">
        <v>61</v>
      </c>
      <c r="E858" s="42">
        <v>2</v>
      </c>
      <c r="F858" s="42">
        <v>13.722341</v>
      </c>
      <c r="G858" s="42"/>
      <c r="H858" s="42"/>
      <c r="I858" s="42">
        <v>2013</v>
      </c>
      <c r="J858" s="113">
        <v>9.2190998512010301E+18</v>
      </c>
    </row>
    <row r="859" spans="3:10" x14ac:dyDescent="0.3">
      <c r="C859" s="41" t="b">
        <v>0</v>
      </c>
      <c r="D859" s="42" t="s">
        <v>61</v>
      </c>
      <c r="E859" s="42">
        <v>2</v>
      </c>
      <c r="F859" s="42">
        <v>242.46129999999999</v>
      </c>
      <c r="G859" s="42"/>
      <c r="H859" s="42"/>
      <c r="I859" s="42">
        <v>2013</v>
      </c>
      <c r="J859" s="113">
        <v>8.6433943994289498E+17</v>
      </c>
    </row>
    <row r="860" spans="3:10" x14ac:dyDescent="0.3">
      <c r="C860" s="41" t="b">
        <v>0</v>
      </c>
      <c r="D860" s="42" t="s">
        <v>64</v>
      </c>
      <c r="E860" s="42">
        <v>2</v>
      </c>
      <c r="F860" s="42">
        <v>0.24010400000000001</v>
      </c>
      <c r="G860" s="42"/>
      <c r="H860" s="42">
        <v>1180</v>
      </c>
      <c r="I860" s="42">
        <v>2011</v>
      </c>
      <c r="J860" s="113">
        <v>1.65202137352494E+19</v>
      </c>
    </row>
    <row r="861" spans="3:10" x14ac:dyDescent="0.3">
      <c r="C861" s="41" t="b">
        <v>0</v>
      </c>
      <c r="D861" s="42" t="s">
        <v>64</v>
      </c>
      <c r="E861" s="42">
        <v>2</v>
      </c>
      <c r="F861" s="42">
        <v>0.342887</v>
      </c>
      <c r="G861" s="42"/>
      <c r="H861" s="42">
        <v>1180</v>
      </c>
      <c r="I861" s="42">
        <v>2011</v>
      </c>
      <c r="J861" s="113">
        <v>2.1977643389712399E+18</v>
      </c>
    </row>
    <row r="862" spans="3:10" x14ac:dyDescent="0.3">
      <c r="C862" s="41" t="b">
        <v>0</v>
      </c>
      <c r="D862" s="42" t="s">
        <v>61</v>
      </c>
      <c r="E862" s="42">
        <v>1</v>
      </c>
      <c r="F862" s="42">
        <v>3.9051200000000001</v>
      </c>
      <c r="G862" s="42"/>
      <c r="H862" s="42">
        <v>800</v>
      </c>
      <c r="I862" s="42">
        <v>2010</v>
      </c>
      <c r="J862" s="113">
        <v>4.1847860106192399E+18</v>
      </c>
    </row>
    <row r="863" spans="3:10" x14ac:dyDescent="0.3">
      <c r="C863" s="41" t="b">
        <v>0</v>
      </c>
      <c r="D863" s="42" t="s">
        <v>61</v>
      </c>
      <c r="E863" s="42">
        <v>1</v>
      </c>
      <c r="F863" s="42">
        <v>7.3407179999999999</v>
      </c>
      <c r="G863" s="42"/>
      <c r="H863" s="42">
        <v>1330</v>
      </c>
      <c r="I863" s="42">
        <v>2013</v>
      </c>
      <c r="J863" s="113">
        <v>1.3270228329972099E+19</v>
      </c>
    </row>
    <row r="864" spans="3:10" x14ac:dyDescent="0.3">
      <c r="C864" s="41" t="b">
        <v>0</v>
      </c>
      <c r="D864" s="42" t="s">
        <v>61</v>
      </c>
      <c r="E864" s="42">
        <v>1</v>
      </c>
      <c r="F864" s="42">
        <v>8.8849239999999998</v>
      </c>
      <c r="G864" s="42"/>
      <c r="H864" s="42">
        <v>1140</v>
      </c>
      <c r="I864" s="42">
        <v>2013</v>
      </c>
      <c r="J864" s="113">
        <v>3.0254150162559601E+18</v>
      </c>
    </row>
    <row r="865" spans="3:10" x14ac:dyDescent="0.3">
      <c r="C865" s="41" t="b">
        <v>0</v>
      </c>
      <c r="D865" s="42" t="s">
        <v>64</v>
      </c>
      <c r="E865" s="42">
        <v>1</v>
      </c>
      <c r="F865" s="42">
        <v>1.54492875</v>
      </c>
      <c r="G865" s="42"/>
      <c r="H865" s="42"/>
      <c r="I865" s="42">
        <v>2013</v>
      </c>
      <c r="J865" s="113">
        <v>2.6200094345910001E+18</v>
      </c>
    </row>
    <row r="866" spans="3:10" x14ac:dyDescent="0.3">
      <c r="C866" s="41" t="b">
        <v>0</v>
      </c>
      <c r="D866" s="42" t="s">
        <v>61</v>
      </c>
      <c r="E866" s="42">
        <v>1</v>
      </c>
      <c r="F866" s="42">
        <v>3.5787808700000001</v>
      </c>
      <c r="G866" s="42"/>
      <c r="H866" s="42">
        <v>570</v>
      </c>
      <c r="I866" s="42">
        <v>2013</v>
      </c>
      <c r="J866" s="113">
        <v>1.3492607855843299E+19</v>
      </c>
    </row>
    <row r="867" spans="3:10" x14ac:dyDescent="0.3">
      <c r="C867" s="41" t="b">
        <v>0</v>
      </c>
      <c r="D867" s="42" t="s">
        <v>61</v>
      </c>
      <c r="E867" s="42">
        <v>1</v>
      </c>
      <c r="F867" s="42">
        <v>0.35499999999999998</v>
      </c>
      <c r="G867" s="42"/>
      <c r="H867" s="42"/>
      <c r="I867" s="42">
        <v>2013</v>
      </c>
      <c r="J867" s="113">
        <v>1.14735643008583E+18</v>
      </c>
    </row>
    <row r="868" spans="3:10" x14ac:dyDescent="0.3">
      <c r="C868" s="41" t="b">
        <v>0</v>
      </c>
      <c r="D868" s="42" t="s">
        <v>61</v>
      </c>
      <c r="E868" s="42">
        <v>2</v>
      </c>
      <c r="F868" s="42">
        <v>13.484999999999999</v>
      </c>
      <c r="G868" s="42"/>
      <c r="H868" s="42"/>
      <c r="I868" s="42">
        <v>2012</v>
      </c>
      <c r="J868" s="113">
        <v>9.8962670276317594E+17</v>
      </c>
    </row>
    <row r="869" spans="3:10" x14ac:dyDescent="0.3">
      <c r="C869" s="41" t="b">
        <v>0</v>
      </c>
      <c r="D869" s="42" t="s">
        <v>61</v>
      </c>
      <c r="E869" s="42">
        <v>2</v>
      </c>
      <c r="F869" s="42">
        <v>27.402000000000001</v>
      </c>
      <c r="G869" s="42"/>
      <c r="H869" s="42"/>
      <c r="I869" s="42">
        <v>2012</v>
      </c>
      <c r="J869" s="113">
        <v>3.1758009349970401E+18</v>
      </c>
    </row>
    <row r="870" spans="3:10" x14ac:dyDescent="0.3">
      <c r="C870" s="41" t="b">
        <v>0</v>
      </c>
      <c r="D870" s="42" t="s">
        <v>61</v>
      </c>
      <c r="E870" s="42">
        <v>2</v>
      </c>
      <c r="F870" s="42">
        <v>7.0529999999999999</v>
      </c>
      <c r="G870" s="42"/>
      <c r="H870" s="42"/>
      <c r="I870" s="42">
        <v>2012</v>
      </c>
      <c r="J870" s="113">
        <v>1.4096496844646699E+19</v>
      </c>
    </row>
    <row r="871" spans="3:10" x14ac:dyDescent="0.3">
      <c r="C871" s="41" t="b">
        <v>0</v>
      </c>
      <c r="D871" s="42" t="s">
        <v>61</v>
      </c>
      <c r="E871" s="42">
        <v>2</v>
      </c>
      <c r="F871" s="42">
        <v>9.5220000000000002</v>
      </c>
      <c r="G871" s="42"/>
      <c r="H871" s="42"/>
      <c r="I871" s="42">
        <v>2012</v>
      </c>
      <c r="J871" s="113">
        <v>5.5328641943890196E+18</v>
      </c>
    </row>
    <row r="872" spans="3:10" x14ac:dyDescent="0.3">
      <c r="C872" s="41" t="b">
        <v>0</v>
      </c>
      <c r="D872" s="42" t="s">
        <v>61</v>
      </c>
      <c r="E872" s="42">
        <v>2</v>
      </c>
      <c r="F872" s="42">
        <v>5.9550000000000001</v>
      </c>
      <c r="G872" s="42"/>
      <c r="H872" s="42"/>
      <c r="I872" s="42">
        <v>2012</v>
      </c>
      <c r="J872" s="113">
        <v>1.6553410142203601E+19</v>
      </c>
    </row>
    <row r="873" spans="3:10" x14ac:dyDescent="0.3">
      <c r="C873" s="41" t="b">
        <v>0</v>
      </c>
      <c r="D873" s="42" t="s">
        <v>61</v>
      </c>
      <c r="E873" s="42">
        <v>2</v>
      </c>
      <c r="F873" s="42">
        <v>12.04</v>
      </c>
      <c r="G873" s="42"/>
      <c r="H873" s="42"/>
      <c r="I873" s="42">
        <v>2012</v>
      </c>
      <c r="J873" s="113">
        <v>1.82138607209372E+19</v>
      </c>
    </row>
    <row r="874" spans="3:10" x14ac:dyDescent="0.3">
      <c r="C874" s="41" t="b">
        <v>0</v>
      </c>
      <c r="D874" s="42" t="s">
        <v>61</v>
      </c>
      <c r="E874" s="42">
        <v>2</v>
      </c>
      <c r="F874" s="42">
        <v>26.443999999999999</v>
      </c>
      <c r="G874" s="42"/>
      <c r="H874" s="42"/>
      <c r="I874" s="42">
        <v>2012</v>
      </c>
      <c r="J874" s="113">
        <v>1.6743777210836001E+19</v>
      </c>
    </row>
    <row r="875" spans="3:10" x14ac:dyDescent="0.3">
      <c r="C875" s="41" t="b">
        <v>0</v>
      </c>
      <c r="D875" s="42" t="s">
        <v>61</v>
      </c>
      <c r="E875" s="42">
        <v>2</v>
      </c>
      <c r="F875" s="42">
        <v>51.537999999999997</v>
      </c>
      <c r="G875" s="42"/>
      <c r="H875" s="42"/>
      <c r="I875" s="42">
        <v>2012</v>
      </c>
      <c r="J875" s="113">
        <v>8.4751766951057203E+18</v>
      </c>
    </row>
    <row r="876" spans="3:10" x14ac:dyDescent="0.3">
      <c r="C876" s="41" t="b">
        <v>0</v>
      </c>
      <c r="D876" s="42" t="s">
        <v>61</v>
      </c>
      <c r="E876" s="42">
        <v>2</v>
      </c>
      <c r="F876" s="42">
        <v>9.77</v>
      </c>
      <c r="G876" s="42"/>
      <c r="H876" s="42"/>
      <c r="I876" s="42">
        <v>2012</v>
      </c>
      <c r="J876" s="113">
        <v>1.7784414247830301E+19</v>
      </c>
    </row>
    <row r="877" spans="3:10" x14ac:dyDescent="0.3">
      <c r="C877" s="41" t="b">
        <v>0</v>
      </c>
      <c r="D877" s="42" t="s">
        <v>61</v>
      </c>
      <c r="E877" s="42">
        <v>2</v>
      </c>
      <c r="F877" s="42">
        <v>20.09</v>
      </c>
      <c r="G877" s="42"/>
      <c r="H877" s="42"/>
      <c r="I877" s="42">
        <v>2012</v>
      </c>
      <c r="J877" s="113">
        <v>1.2185343709275099E+19</v>
      </c>
    </row>
    <row r="878" spans="3:10" x14ac:dyDescent="0.3">
      <c r="C878" s="41" t="b">
        <v>0</v>
      </c>
      <c r="D878" s="42" t="s">
        <v>61</v>
      </c>
      <c r="E878" s="42">
        <v>2</v>
      </c>
      <c r="F878" s="42">
        <v>8.7260000000000009</v>
      </c>
      <c r="G878" s="42"/>
      <c r="H878" s="42"/>
      <c r="I878" s="42">
        <v>2012</v>
      </c>
      <c r="J878" s="113">
        <v>1.4965132547284001E+19</v>
      </c>
    </row>
    <row r="879" spans="3:10" x14ac:dyDescent="0.3">
      <c r="C879" s="41" t="b">
        <v>0</v>
      </c>
      <c r="D879" s="42" t="s">
        <v>61</v>
      </c>
      <c r="E879" s="42">
        <v>2</v>
      </c>
      <c r="F879" s="42">
        <v>12.882999999999999</v>
      </c>
      <c r="G879" s="42"/>
      <c r="H879" s="42"/>
      <c r="I879" s="42">
        <v>2012</v>
      </c>
      <c r="J879" s="113">
        <v>3.1581395077999898E+18</v>
      </c>
    </row>
    <row r="880" spans="3:10" x14ac:dyDescent="0.3">
      <c r="C880" s="41" t="b">
        <v>0</v>
      </c>
      <c r="D880" s="42" t="s">
        <v>61</v>
      </c>
      <c r="E880" s="42">
        <v>2</v>
      </c>
      <c r="F880" s="42">
        <v>8.3059999999999992</v>
      </c>
      <c r="G880" s="42"/>
      <c r="H880" s="42"/>
      <c r="I880" s="42">
        <v>2012</v>
      </c>
      <c r="J880" s="113">
        <v>4.0187201844880502E+18</v>
      </c>
    </row>
    <row r="881" spans="3:10" x14ac:dyDescent="0.3">
      <c r="C881" s="41" t="b">
        <v>0</v>
      </c>
      <c r="D881" s="42" t="s">
        <v>61</v>
      </c>
      <c r="E881" s="42">
        <v>2</v>
      </c>
      <c r="F881" s="42">
        <v>12.513</v>
      </c>
      <c r="G881" s="42"/>
      <c r="H881" s="42"/>
      <c r="I881" s="42">
        <v>2012</v>
      </c>
      <c r="J881" s="113">
        <v>1.8252471711519601E+19</v>
      </c>
    </row>
    <row r="882" spans="3:10" x14ac:dyDescent="0.3">
      <c r="C882" s="41" t="b">
        <v>0</v>
      </c>
      <c r="D882" s="42" t="s">
        <v>61</v>
      </c>
      <c r="E882" s="42">
        <v>1</v>
      </c>
      <c r="F882" s="42">
        <v>282.52550000000002</v>
      </c>
      <c r="G882" s="42"/>
      <c r="H882" s="42"/>
      <c r="I882" s="42">
        <v>2013</v>
      </c>
      <c r="J882" s="113">
        <v>1.0655912442368801E+19</v>
      </c>
    </row>
    <row r="883" spans="3:10" x14ac:dyDescent="0.3">
      <c r="C883" s="41" t="b">
        <v>0</v>
      </c>
      <c r="D883" s="42" t="s">
        <v>61</v>
      </c>
      <c r="E883" s="42">
        <v>2</v>
      </c>
      <c r="F883" s="42">
        <v>114.73635</v>
      </c>
      <c r="G883" s="42"/>
      <c r="H883" s="42"/>
      <c r="I883" s="42">
        <v>2013</v>
      </c>
      <c r="J883" s="113">
        <v>1.21020326080437E+19</v>
      </c>
    </row>
    <row r="884" spans="3:10" x14ac:dyDescent="0.3">
      <c r="C884" s="41" t="b">
        <v>0</v>
      </c>
      <c r="D884" s="42" t="s">
        <v>61</v>
      </c>
      <c r="E884" s="42">
        <v>2</v>
      </c>
      <c r="F884" s="42">
        <v>191.23179999999999</v>
      </c>
      <c r="G884" s="42"/>
      <c r="H884" s="42"/>
      <c r="I884" s="42">
        <v>2013</v>
      </c>
      <c r="J884" s="113">
        <v>1.24340951565441E+19</v>
      </c>
    </row>
    <row r="885" spans="3:10" x14ac:dyDescent="0.3">
      <c r="C885" s="41" t="b">
        <v>0</v>
      </c>
      <c r="D885" s="42" t="s">
        <v>61</v>
      </c>
      <c r="E885" s="42">
        <v>2</v>
      </c>
      <c r="F885" s="42">
        <v>10.95416</v>
      </c>
      <c r="G885" s="42"/>
      <c r="H885" s="42">
        <v>339</v>
      </c>
      <c r="I885" s="42">
        <v>2013</v>
      </c>
      <c r="J885" s="113">
        <v>8.7672228663370199E+18</v>
      </c>
    </row>
    <row r="886" spans="3:10" x14ac:dyDescent="0.3">
      <c r="C886" s="41" t="b">
        <v>0</v>
      </c>
      <c r="D886" s="42" t="s">
        <v>63</v>
      </c>
      <c r="E886" s="42">
        <v>2</v>
      </c>
      <c r="F886" s="42">
        <v>22.339500000000001</v>
      </c>
      <c r="G886" s="42"/>
      <c r="H886" s="42">
        <v>339</v>
      </c>
      <c r="I886" s="42">
        <v>2013</v>
      </c>
      <c r="J886" s="113">
        <v>1.0459103922894899E+19</v>
      </c>
    </row>
    <row r="887" spans="3:10" x14ac:dyDescent="0.3">
      <c r="C887" s="41" t="b">
        <v>0</v>
      </c>
      <c r="D887" s="42" t="s">
        <v>61</v>
      </c>
      <c r="E887" s="42">
        <v>4</v>
      </c>
      <c r="F887" s="42">
        <v>3.7432080000000001</v>
      </c>
      <c r="G887" s="42"/>
      <c r="H887" s="42"/>
      <c r="I887" s="42">
        <v>2013</v>
      </c>
      <c r="J887" s="113">
        <v>1.5307133584674099E+19</v>
      </c>
    </row>
    <row r="888" spans="3:10" x14ac:dyDescent="0.3">
      <c r="C888" s="41" t="b">
        <v>0</v>
      </c>
      <c r="D888" s="42" t="s">
        <v>61</v>
      </c>
      <c r="E888" s="42">
        <v>4</v>
      </c>
      <c r="F888" s="42">
        <v>10.423648</v>
      </c>
      <c r="G888" s="42"/>
      <c r="H888" s="42"/>
      <c r="I888" s="42">
        <v>2013</v>
      </c>
      <c r="J888" s="113">
        <v>2.6117996623487201E+18</v>
      </c>
    </row>
    <row r="889" spans="3:10" x14ac:dyDescent="0.3">
      <c r="C889" s="41" t="b">
        <v>0</v>
      </c>
      <c r="D889" s="42" t="s">
        <v>61</v>
      </c>
      <c r="E889" s="42">
        <v>4</v>
      </c>
      <c r="F889" s="42">
        <v>22.342988999999999</v>
      </c>
      <c r="G889" s="42"/>
      <c r="H889" s="42"/>
      <c r="I889" s="42">
        <v>2013</v>
      </c>
      <c r="J889" s="113">
        <v>1.5217692644824001E+19</v>
      </c>
    </row>
    <row r="890" spans="3:10" x14ac:dyDescent="0.3">
      <c r="C890" s="41" t="b">
        <v>0</v>
      </c>
      <c r="D890" s="42" t="s">
        <v>61</v>
      </c>
      <c r="E890" s="42">
        <v>4</v>
      </c>
      <c r="F890" s="42">
        <v>54.320309999999999</v>
      </c>
      <c r="G890" s="42"/>
      <c r="H890" s="42"/>
      <c r="I890" s="42">
        <v>2013</v>
      </c>
      <c r="J890" s="113">
        <v>1.37673905600321E+19</v>
      </c>
    </row>
    <row r="891" spans="3:10" x14ac:dyDescent="0.3">
      <c r="C891" s="41" t="b">
        <v>0</v>
      </c>
      <c r="D891" s="42" t="s">
        <v>61</v>
      </c>
      <c r="E891" s="42">
        <v>7</v>
      </c>
      <c r="F891" s="42">
        <v>7.0081509999999998</v>
      </c>
      <c r="G891" s="42"/>
      <c r="H891" s="42">
        <v>780</v>
      </c>
      <c r="I891" s="42">
        <v>2013</v>
      </c>
      <c r="J891" s="113">
        <v>9.7678564531116605E+18</v>
      </c>
    </row>
    <row r="892" spans="3:10" x14ac:dyDescent="0.3">
      <c r="C892" s="41" t="b">
        <v>0</v>
      </c>
      <c r="D892" s="42" t="s">
        <v>61</v>
      </c>
      <c r="E892" s="42">
        <v>7</v>
      </c>
      <c r="F892" s="42">
        <v>8.7193749999999994</v>
      </c>
      <c r="G892" s="42"/>
      <c r="H892" s="42">
        <v>780</v>
      </c>
      <c r="I892" s="42">
        <v>2013</v>
      </c>
      <c r="J892" s="113">
        <v>7.0404568404469696E+17</v>
      </c>
    </row>
    <row r="893" spans="3:10" x14ac:dyDescent="0.3">
      <c r="C893" s="41" t="b">
        <v>0</v>
      </c>
      <c r="D893" s="42" t="s">
        <v>61</v>
      </c>
      <c r="E893" s="42">
        <v>7</v>
      </c>
      <c r="F893" s="42">
        <v>59.736669999999997</v>
      </c>
      <c r="G893" s="42"/>
      <c r="H893" s="42">
        <v>780</v>
      </c>
      <c r="I893" s="42">
        <v>2013</v>
      </c>
      <c r="J893" s="113">
        <v>4.91196209193233E+18</v>
      </c>
    </row>
    <row r="894" spans="3:10" x14ac:dyDescent="0.3">
      <c r="C894" s="41" t="b">
        <v>0</v>
      </c>
      <c r="D894" s="42" t="s">
        <v>61</v>
      </c>
      <c r="E894" s="42">
        <v>7</v>
      </c>
      <c r="F894" s="42">
        <v>91.939130000000006</v>
      </c>
      <c r="G894" s="42"/>
      <c r="H894" s="42">
        <v>780</v>
      </c>
      <c r="I894" s="42">
        <v>2013</v>
      </c>
      <c r="J894" s="113">
        <v>1.5912834684640801E+19</v>
      </c>
    </row>
    <row r="895" spans="3:10" x14ac:dyDescent="0.3">
      <c r="C895" s="41" t="b">
        <v>0</v>
      </c>
      <c r="D895" s="42" t="s">
        <v>61</v>
      </c>
      <c r="E895" s="42">
        <v>7</v>
      </c>
      <c r="F895" s="42">
        <v>124.9144</v>
      </c>
      <c r="G895" s="42"/>
      <c r="H895" s="42">
        <v>780</v>
      </c>
      <c r="I895" s="42">
        <v>2013</v>
      </c>
      <c r="J895" s="113">
        <v>4.5498856772098601E+18</v>
      </c>
    </row>
    <row r="896" spans="3:10" x14ac:dyDescent="0.3">
      <c r="C896" s="41" t="b">
        <v>0</v>
      </c>
      <c r="D896" s="42" t="s">
        <v>61</v>
      </c>
      <c r="E896" s="42">
        <v>7</v>
      </c>
      <c r="F896" s="42">
        <v>210.60696999999999</v>
      </c>
      <c r="G896" s="42"/>
      <c r="H896" s="42">
        <v>780</v>
      </c>
      <c r="I896" s="42">
        <v>2013</v>
      </c>
      <c r="J896" s="113">
        <v>1.5977928550641199E+19</v>
      </c>
    </row>
    <row r="897" spans="3:10" x14ac:dyDescent="0.3">
      <c r="C897" s="41" t="b">
        <v>0</v>
      </c>
      <c r="D897" s="42" t="s">
        <v>61</v>
      </c>
      <c r="E897" s="42">
        <v>7</v>
      </c>
      <c r="F897" s="42">
        <v>331.60059000000001</v>
      </c>
      <c r="G897" s="42"/>
      <c r="H897" s="42">
        <v>780</v>
      </c>
      <c r="I897" s="42">
        <v>2013</v>
      </c>
      <c r="J897" s="113">
        <v>5.3656604054078403E+18</v>
      </c>
    </row>
    <row r="898" spans="3:10" x14ac:dyDescent="0.3">
      <c r="C898" s="41" t="b">
        <v>0</v>
      </c>
      <c r="D898" s="42" t="s">
        <v>61</v>
      </c>
      <c r="E898" s="42">
        <v>1</v>
      </c>
      <c r="F898" s="42">
        <v>6.2465799999999998</v>
      </c>
      <c r="G898" s="42"/>
      <c r="H898" s="42">
        <v>1030</v>
      </c>
      <c r="I898" s="42">
        <v>2013</v>
      </c>
      <c r="J898" s="113">
        <v>1.3879519278513799E+19</v>
      </c>
    </row>
    <row r="899" spans="3:10" x14ac:dyDescent="0.3">
      <c r="C899" s="41" t="b">
        <v>0</v>
      </c>
      <c r="D899" s="42" t="s">
        <v>61</v>
      </c>
      <c r="E899" s="42">
        <v>2</v>
      </c>
      <c r="F899" s="42">
        <v>13.749000000000001</v>
      </c>
      <c r="G899" s="42"/>
      <c r="H899" s="42"/>
      <c r="I899" s="42">
        <v>2013</v>
      </c>
      <c r="J899" s="113">
        <v>1.3916941880959799E+19</v>
      </c>
    </row>
    <row r="900" spans="3:10" x14ac:dyDescent="0.3">
      <c r="C900" s="41" t="b">
        <v>0</v>
      </c>
      <c r="D900" s="42" t="s">
        <v>61</v>
      </c>
      <c r="E900" s="42">
        <v>2</v>
      </c>
      <c r="F900" s="42">
        <v>26.722999999999999</v>
      </c>
      <c r="G900" s="42"/>
      <c r="H900" s="42"/>
      <c r="I900" s="42">
        <v>2013</v>
      </c>
      <c r="J900" s="113">
        <v>3.0975421688106598E+18</v>
      </c>
    </row>
    <row r="901" spans="3:10" x14ac:dyDescent="0.3">
      <c r="C901" s="41" t="b">
        <v>0</v>
      </c>
      <c r="D901" s="42" t="s">
        <v>61</v>
      </c>
      <c r="E901" s="42">
        <v>2</v>
      </c>
      <c r="F901" s="42">
        <v>4.7267400000000004</v>
      </c>
      <c r="G901" s="42"/>
      <c r="H901" s="42"/>
      <c r="I901" s="42">
        <v>2014</v>
      </c>
      <c r="J901" s="113">
        <v>4.8333571237010401E+18</v>
      </c>
    </row>
    <row r="902" spans="3:10" x14ac:dyDescent="0.3">
      <c r="C902" s="41" t="b">
        <v>0</v>
      </c>
      <c r="D902" s="42" t="s">
        <v>56</v>
      </c>
      <c r="E902" s="42">
        <v>2</v>
      </c>
      <c r="F902" s="42">
        <v>1460</v>
      </c>
      <c r="G902" s="42"/>
      <c r="H902" s="42"/>
      <c r="I902" s="42">
        <v>2014</v>
      </c>
      <c r="J902" s="113">
        <v>5.5846690789485005E+18</v>
      </c>
    </row>
    <row r="903" spans="3:10" x14ac:dyDescent="0.3">
      <c r="C903" s="41" t="b">
        <v>0</v>
      </c>
      <c r="D903" s="42" t="s">
        <v>61</v>
      </c>
      <c r="E903" s="42">
        <v>2</v>
      </c>
      <c r="F903" s="42">
        <v>2.50806</v>
      </c>
      <c r="G903" s="42"/>
      <c r="H903" s="42"/>
      <c r="I903" s="42">
        <v>2014</v>
      </c>
      <c r="J903" s="113">
        <v>5.2443457870445005E+18</v>
      </c>
    </row>
    <row r="904" spans="3:10" x14ac:dyDescent="0.3">
      <c r="C904" s="41" t="b">
        <v>0</v>
      </c>
      <c r="D904" s="42" t="s">
        <v>56</v>
      </c>
      <c r="E904" s="42">
        <v>2</v>
      </c>
      <c r="F904" s="42">
        <v>820.3</v>
      </c>
      <c r="G904" s="42"/>
      <c r="H904" s="42"/>
      <c r="I904" s="42">
        <v>2014</v>
      </c>
      <c r="J904" s="113">
        <v>1.6515365323428399E+19</v>
      </c>
    </row>
    <row r="905" spans="3:10" x14ac:dyDescent="0.3">
      <c r="C905" s="41" t="b">
        <v>0</v>
      </c>
      <c r="D905" s="42" t="s">
        <v>61</v>
      </c>
      <c r="E905" s="42">
        <v>1</v>
      </c>
      <c r="F905" s="42">
        <v>11.523099999999999</v>
      </c>
      <c r="G905" s="42"/>
      <c r="H905" s="42"/>
      <c r="I905" s="42">
        <v>2014</v>
      </c>
      <c r="J905" s="113">
        <v>1.76507642250253E+19</v>
      </c>
    </row>
    <row r="906" spans="3:10" x14ac:dyDescent="0.3">
      <c r="C906" s="41" t="b">
        <v>0</v>
      </c>
      <c r="D906" s="42" t="s">
        <v>61</v>
      </c>
      <c r="E906" s="42">
        <v>1</v>
      </c>
      <c r="F906" s="42">
        <v>16.238499999999998</v>
      </c>
      <c r="G906" s="42"/>
      <c r="H906" s="42"/>
      <c r="I906" s="42">
        <v>2014</v>
      </c>
      <c r="J906" s="113">
        <v>2.5771178349218099E+18</v>
      </c>
    </row>
    <row r="907" spans="3:10" x14ac:dyDescent="0.3">
      <c r="C907" s="41" t="b">
        <v>0</v>
      </c>
      <c r="D907" s="42" t="s">
        <v>61</v>
      </c>
      <c r="E907" s="42">
        <v>2</v>
      </c>
      <c r="F907" s="42">
        <v>2.5866400000000001</v>
      </c>
      <c r="G907" s="42"/>
      <c r="H907" s="42"/>
      <c r="I907" s="42">
        <v>2014</v>
      </c>
      <c r="J907" s="113">
        <v>7.1862722539901399E+18</v>
      </c>
    </row>
    <row r="908" spans="3:10" x14ac:dyDescent="0.3">
      <c r="C908" s="41" t="b">
        <v>0</v>
      </c>
      <c r="D908" s="42" t="s">
        <v>56</v>
      </c>
      <c r="E908" s="42">
        <v>2</v>
      </c>
      <c r="F908" s="42">
        <v>789</v>
      </c>
      <c r="G908" s="42"/>
      <c r="H908" s="42"/>
      <c r="I908" s="42">
        <v>2014</v>
      </c>
      <c r="J908" s="113">
        <v>1.8325787576419799E+19</v>
      </c>
    </row>
    <row r="909" spans="3:10" x14ac:dyDescent="0.3">
      <c r="C909" s="41" t="b">
        <v>0</v>
      </c>
      <c r="D909" s="42" t="s">
        <v>61</v>
      </c>
      <c r="E909" s="42">
        <v>1</v>
      </c>
      <c r="F909" s="42">
        <v>1.5416799999999999</v>
      </c>
      <c r="G909" s="42"/>
      <c r="H909" s="42"/>
      <c r="I909" s="42">
        <v>2014</v>
      </c>
      <c r="J909" s="113">
        <v>1.4923244223787999E+19</v>
      </c>
    </row>
    <row r="910" spans="3:10" x14ac:dyDescent="0.3">
      <c r="C910" s="41" t="b">
        <v>0</v>
      </c>
      <c r="D910" s="42" t="s">
        <v>61</v>
      </c>
      <c r="E910" s="42">
        <v>1</v>
      </c>
      <c r="F910" s="42">
        <v>4.60358</v>
      </c>
      <c r="G910" s="42"/>
      <c r="H910" s="42"/>
      <c r="I910" s="42">
        <v>2014</v>
      </c>
      <c r="J910" s="113">
        <v>6.4726726054190295E+18</v>
      </c>
    </row>
    <row r="911" spans="3:10" x14ac:dyDescent="0.3">
      <c r="C911" s="41" t="b">
        <v>0</v>
      </c>
      <c r="D911" s="42" t="s">
        <v>61</v>
      </c>
      <c r="E911" s="42">
        <v>3</v>
      </c>
      <c r="F911" s="42">
        <v>6.8870500000000003</v>
      </c>
      <c r="G911" s="42"/>
      <c r="H911" s="42"/>
      <c r="I911" s="42">
        <v>2014</v>
      </c>
      <c r="J911" s="113">
        <v>1.5796557106386399E+19</v>
      </c>
    </row>
    <row r="912" spans="3:10" x14ac:dyDescent="0.3">
      <c r="C912" s="41" t="b">
        <v>0</v>
      </c>
      <c r="D912" s="42" t="s">
        <v>61</v>
      </c>
      <c r="E912" s="42">
        <v>3</v>
      </c>
      <c r="F912" s="42">
        <v>12.815899999999999</v>
      </c>
      <c r="G912" s="42"/>
      <c r="H912" s="42"/>
      <c r="I912" s="42">
        <v>2014</v>
      </c>
      <c r="J912" s="113">
        <v>8.6640111076950999E+18</v>
      </c>
    </row>
    <row r="913" spans="3:10" x14ac:dyDescent="0.3">
      <c r="C913" s="41" t="b">
        <v>0</v>
      </c>
      <c r="D913" s="42" t="s">
        <v>61</v>
      </c>
      <c r="E913" s="42">
        <v>3</v>
      </c>
      <c r="F913" s="42">
        <v>35.333100000000002</v>
      </c>
      <c r="G913" s="42"/>
      <c r="H913" s="42"/>
      <c r="I913" s="42">
        <v>2014</v>
      </c>
      <c r="J913" s="113">
        <v>8.2482567429153096E+18</v>
      </c>
    </row>
    <row r="914" spans="3:10" x14ac:dyDescent="0.3">
      <c r="C914" s="41" t="b">
        <v>0</v>
      </c>
      <c r="D914" s="42" t="s">
        <v>61</v>
      </c>
      <c r="E914" s="42">
        <v>5</v>
      </c>
      <c r="F914" s="42">
        <v>5.2869599999999997</v>
      </c>
      <c r="G914" s="42"/>
      <c r="H914" s="42"/>
      <c r="I914" s="42">
        <v>2014</v>
      </c>
      <c r="J914" s="113">
        <v>1.38623603849855E+18</v>
      </c>
    </row>
    <row r="915" spans="3:10" x14ac:dyDescent="0.3">
      <c r="C915" s="41" t="b">
        <v>0</v>
      </c>
      <c r="D915" s="42" t="s">
        <v>61</v>
      </c>
      <c r="E915" s="42">
        <v>5</v>
      </c>
      <c r="F915" s="42">
        <v>7.0714199999999998</v>
      </c>
      <c r="G915" s="42"/>
      <c r="H915" s="42"/>
      <c r="I915" s="42">
        <v>2014</v>
      </c>
      <c r="J915" s="113">
        <v>1.31787751130567E+19</v>
      </c>
    </row>
    <row r="916" spans="3:10" x14ac:dyDescent="0.3">
      <c r="C916" s="41" t="b">
        <v>0</v>
      </c>
      <c r="D916" s="42" t="s">
        <v>61</v>
      </c>
      <c r="E916" s="42">
        <v>5</v>
      </c>
      <c r="F916" s="42">
        <v>10.3117</v>
      </c>
      <c r="G916" s="42"/>
      <c r="H916" s="42"/>
      <c r="I916" s="42">
        <v>2014</v>
      </c>
      <c r="J916" s="113">
        <v>4.0049220251972101E+18</v>
      </c>
    </row>
    <row r="917" spans="3:10" x14ac:dyDescent="0.3">
      <c r="C917" s="41" t="b">
        <v>0</v>
      </c>
      <c r="D917" s="42" t="s">
        <v>61</v>
      </c>
      <c r="E917" s="42">
        <v>5</v>
      </c>
      <c r="F917" s="42">
        <v>16.145700000000001</v>
      </c>
      <c r="G917" s="42"/>
      <c r="H917" s="42"/>
      <c r="I917" s="42">
        <v>2013</v>
      </c>
      <c r="J917" s="113">
        <v>7.2285961681018696E+18</v>
      </c>
    </row>
    <row r="918" spans="3:10" x14ac:dyDescent="0.3">
      <c r="C918" s="41" t="b">
        <v>0</v>
      </c>
      <c r="D918" s="42" t="s">
        <v>61</v>
      </c>
      <c r="E918" s="42">
        <v>5</v>
      </c>
      <c r="F918" s="42">
        <v>27.453600000000002</v>
      </c>
      <c r="G918" s="42"/>
      <c r="H918" s="42"/>
      <c r="I918" s="42">
        <v>2014</v>
      </c>
      <c r="J918" s="113">
        <v>1.7774127905807499E+19</v>
      </c>
    </row>
    <row r="919" spans="3:10" x14ac:dyDescent="0.3">
      <c r="C919" s="41" t="b">
        <v>0</v>
      </c>
      <c r="D919" s="42" t="s">
        <v>61</v>
      </c>
      <c r="E919" s="42">
        <v>2</v>
      </c>
      <c r="F919" s="42">
        <v>15.965400000000001</v>
      </c>
      <c r="G919" s="42"/>
      <c r="H919" s="42"/>
      <c r="I919" s="42">
        <v>2014</v>
      </c>
      <c r="J919" s="113">
        <v>1.1531132193520099E+19</v>
      </c>
    </row>
    <row r="920" spans="3:10" x14ac:dyDescent="0.3">
      <c r="C920" s="41" t="b">
        <v>0</v>
      </c>
      <c r="D920" s="42" t="s">
        <v>61</v>
      </c>
      <c r="E920" s="42">
        <v>2</v>
      </c>
      <c r="F920" s="42">
        <v>179.61199999999999</v>
      </c>
      <c r="G920" s="42"/>
      <c r="H920" s="42"/>
      <c r="I920" s="42">
        <v>2014</v>
      </c>
      <c r="J920" s="113">
        <v>1.08000805653359E+18</v>
      </c>
    </row>
    <row r="921" spans="3:10" x14ac:dyDescent="0.3">
      <c r="C921" s="41" t="b">
        <v>0</v>
      </c>
      <c r="D921" s="42" t="s">
        <v>61</v>
      </c>
      <c r="E921" s="42">
        <v>2</v>
      </c>
      <c r="F921" s="42">
        <v>5.4122000000000003</v>
      </c>
      <c r="G921" s="42"/>
      <c r="H921" s="42"/>
      <c r="I921" s="42">
        <v>2013</v>
      </c>
      <c r="J921" s="113">
        <v>6.4145856591509801E+18</v>
      </c>
    </row>
    <row r="922" spans="3:10" x14ac:dyDescent="0.3">
      <c r="C922" s="41" t="b">
        <v>0</v>
      </c>
      <c r="D922" s="42" t="s">
        <v>61</v>
      </c>
      <c r="E922" s="42">
        <v>4</v>
      </c>
      <c r="F922" s="42">
        <v>6.16486</v>
      </c>
      <c r="G922" s="42"/>
      <c r="H922" s="42"/>
      <c r="I922" s="42">
        <v>2014</v>
      </c>
      <c r="J922" s="113">
        <v>1.51853768064292E+19</v>
      </c>
    </row>
    <row r="923" spans="3:10" x14ac:dyDescent="0.3">
      <c r="C923" s="41" t="b">
        <v>0</v>
      </c>
      <c r="D923" s="42" t="s">
        <v>61</v>
      </c>
      <c r="E923" s="42">
        <v>4</v>
      </c>
      <c r="F923" s="42">
        <v>13.5708</v>
      </c>
      <c r="G923" s="42"/>
      <c r="H923" s="42"/>
      <c r="I923" s="42">
        <v>2014</v>
      </c>
      <c r="J923" s="113">
        <v>1.7716189530595201E+19</v>
      </c>
    </row>
    <row r="924" spans="3:10" x14ac:dyDescent="0.3">
      <c r="C924" s="41" t="b">
        <v>0</v>
      </c>
      <c r="D924" s="42" t="s">
        <v>61</v>
      </c>
      <c r="E924" s="42">
        <v>4</v>
      </c>
      <c r="F924" s="42">
        <v>23.9802</v>
      </c>
      <c r="G924" s="42"/>
      <c r="H924" s="42"/>
      <c r="I924" s="42">
        <v>2014</v>
      </c>
      <c r="J924" s="113">
        <v>2.3303574971408102E+18</v>
      </c>
    </row>
    <row r="925" spans="3:10" x14ac:dyDescent="0.3">
      <c r="C925" s="41" t="b">
        <v>0</v>
      </c>
      <c r="D925" s="42" t="s">
        <v>61</v>
      </c>
      <c r="E925" s="42">
        <v>4</v>
      </c>
      <c r="F925" s="42">
        <v>43.844499999999996</v>
      </c>
      <c r="G925" s="42"/>
      <c r="H925" s="42"/>
      <c r="I925" s="42">
        <v>2014</v>
      </c>
      <c r="J925" s="113">
        <v>3.4212750861093801E+18</v>
      </c>
    </row>
    <row r="926" spans="3:10" x14ac:dyDescent="0.3">
      <c r="C926" s="41" t="b">
        <v>0</v>
      </c>
      <c r="D926" s="42" t="s">
        <v>61</v>
      </c>
      <c r="E926" s="42">
        <v>2</v>
      </c>
      <c r="F926" s="42">
        <v>6.48163</v>
      </c>
      <c r="G926" s="42"/>
      <c r="H926" s="42"/>
      <c r="I926" s="42">
        <v>2014</v>
      </c>
      <c r="J926" s="113">
        <v>1.52415702468992E+19</v>
      </c>
    </row>
    <row r="927" spans="3:10" x14ac:dyDescent="0.3">
      <c r="C927" s="41" t="b">
        <v>0</v>
      </c>
      <c r="D927" s="42" t="s">
        <v>61</v>
      </c>
      <c r="E927" s="42">
        <v>2</v>
      </c>
      <c r="F927" s="42">
        <v>21.2227</v>
      </c>
      <c r="G927" s="42"/>
      <c r="H927" s="42"/>
      <c r="I927" s="42">
        <v>2014</v>
      </c>
      <c r="J927" s="113">
        <v>1.3574458492596099E+19</v>
      </c>
    </row>
    <row r="928" spans="3:10" x14ac:dyDescent="0.3">
      <c r="C928" s="41" t="b">
        <v>0</v>
      </c>
      <c r="D928" s="42" t="s">
        <v>61</v>
      </c>
      <c r="E928" s="42">
        <v>2</v>
      </c>
      <c r="F928" s="42">
        <v>4.7539999999999996</v>
      </c>
      <c r="G928" s="42"/>
      <c r="H928" s="42"/>
      <c r="I928" s="42">
        <v>2014</v>
      </c>
      <c r="J928" s="113">
        <v>1.6703891134570099E+18</v>
      </c>
    </row>
    <row r="929" spans="3:10" x14ac:dyDescent="0.3">
      <c r="C929" s="41" t="b">
        <v>0</v>
      </c>
      <c r="D929" s="42" t="s">
        <v>61</v>
      </c>
      <c r="E929" s="42">
        <v>2</v>
      </c>
      <c r="F929" s="42">
        <v>8.9250699999999998</v>
      </c>
      <c r="G929" s="42"/>
      <c r="H929" s="42"/>
      <c r="I929" s="42">
        <v>2014</v>
      </c>
      <c r="J929" s="113">
        <v>1.12402506792604E+19</v>
      </c>
    </row>
    <row r="930" spans="3:10" x14ac:dyDescent="0.3">
      <c r="C930" s="41" t="b">
        <v>0</v>
      </c>
      <c r="D930" s="42" t="s">
        <v>61</v>
      </c>
      <c r="E930" s="42">
        <v>2</v>
      </c>
      <c r="F930" s="42">
        <v>8.0410000000000004</v>
      </c>
      <c r="G930" s="42"/>
      <c r="H930" s="42"/>
      <c r="I930" s="42">
        <v>2013</v>
      </c>
      <c r="J930" s="113">
        <v>5.2454889166803599E+18</v>
      </c>
    </row>
    <row r="931" spans="3:10" x14ac:dyDescent="0.3">
      <c r="C931" s="41" t="b">
        <v>0</v>
      </c>
      <c r="D931" s="42" t="s">
        <v>61</v>
      </c>
      <c r="E931" s="42">
        <v>2</v>
      </c>
      <c r="F931" s="42">
        <v>11.776</v>
      </c>
      <c r="G931" s="42"/>
      <c r="H931" s="42"/>
      <c r="I931" s="42">
        <v>2013</v>
      </c>
      <c r="J931" s="113">
        <v>1.28263864216878E+19</v>
      </c>
    </row>
    <row r="932" spans="3:10" x14ac:dyDescent="0.3">
      <c r="C932" s="41" t="b">
        <v>0</v>
      </c>
      <c r="D932" s="42" t="s">
        <v>61</v>
      </c>
      <c r="E932" s="42">
        <v>2</v>
      </c>
      <c r="F932" s="42">
        <v>15.09</v>
      </c>
      <c r="G932" s="42"/>
      <c r="H932" s="42"/>
      <c r="I932" s="42">
        <v>2013</v>
      </c>
      <c r="J932" s="113">
        <v>1.7637473841067399E+19</v>
      </c>
    </row>
    <row r="933" spans="3:10" x14ac:dyDescent="0.3">
      <c r="C933" s="41" t="b">
        <v>0</v>
      </c>
      <c r="D933" s="42" t="s">
        <v>61</v>
      </c>
      <c r="E933" s="42">
        <v>2</v>
      </c>
      <c r="F933" s="42">
        <v>22.803999999999998</v>
      </c>
      <c r="G933" s="42"/>
      <c r="H933" s="42"/>
      <c r="I933" s="42">
        <v>2013</v>
      </c>
      <c r="J933" s="113">
        <v>4.4946895840656E+18</v>
      </c>
    </row>
    <row r="934" spans="3:10" x14ac:dyDescent="0.3">
      <c r="C934" s="41" t="b">
        <v>0</v>
      </c>
      <c r="D934" s="42" t="s">
        <v>61</v>
      </c>
      <c r="E934" s="42">
        <v>3</v>
      </c>
      <c r="F934" s="42">
        <v>27.508679999999998</v>
      </c>
      <c r="G934" s="42"/>
      <c r="H934" s="42"/>
      <c r="I934" s="42">
        <v>2013</v>
      </c>
      <c r="J934" s="113">
        <v>1.72101664064308E+19</v>
      </c>
    </row>
    <row r="935" spans="3:10" x14ac:dyDescent="0.3">
      <c r="C935" s="41" t="b">
        <v>0</v>
      </c>
      <c r="D935" s="42" t="s">
        <v>61</v>
      </c>
      <c r="E935" s="42">
        <v>2</v>
      </c>
      <c r="F935" s="42">
        <v>16.091999999999999</v>
      </c>
      <c r="G935" s="42"/>
      <c r="H935" s="42"/>
      <c r="I935" s="42">
        <v>2014</v>
      </c>
      <c r="J935" s="113">
        <v>1.8304350205191801E+19</v>
      </c>
    </row>
    <row r="936" spans="3:10" x14ac:dyDescent="0.3">
      <c r="C936" s="41" t="b">
        <v>0</v>
      </c>
      <c r="D936" s="42" t="s">
        <v>61</v>
      </c>
      <c r="E936" s="42">
        <v>2</v>
      </c>
      <c r="F936" s="42">
        <v>25.5169</v>
      </c>
      <c r="G936" s="42"/>
      <c r="H936" s="42"/>
      <c r="I936" s="42">
        <v>2014</v>
      </c>
      <c r="J936" s="113">
        <v>3.2266291521741798E+18</v>
      </c>
    </row>
    <row r="937" spans="3:10" x14ac:dyDescent="0.3">
      <c r="C937" s="41" t="b">
        <v>0</v>
      </c>
      <c r="D937" s="42" t="s">
        <v>61</v>
      </c>
      <c r="E937" s="42">
        <v>2</v>
      </c>
      <c r="F937" s="42">
        <v>13.781639999999999</v>
      </c>
      <c r="G937" s="42"/>
      <c r="H937" s="42"/>
      <c r="I937" s="42">
        <v>2014</v>
      </c>
      <c r="J937" s="113">
        <v>1.0656999540027001E+19</v>
      </c>
    </row>
    <row r="938" spans="3:10" x14ac:dyDescent="0.3">
      <c r="C938" s="41" t="b">
        <v>0</v>
      </c>
      <c r="D938" s="42" t="s">
        <v>61</v>
      </c>
      <c r="E938" s="42">
        <v>2</v>
      </c>
      <c r="F938" s="42">
        <v>23.08933</v>
      </c>
      <c r="G938" s="42"/>
      <c r="H938" s="42"/>
      <c r="I938" s="42">
        <v>2014</v>
      </c>
      <c r="J938" s="113">
        <v>1.79849307981959E+19</v>
      </c>
    </row>
    <row r="939" spans="3:10" x14ac:dyDescent="0.3">
      <c r="C939" s="41" t="b">
        <v>0</v>
      </c>
      <c r="D939" s="42" t="s">
        <v>61</v>
      </c>
      <c r="E939" s="42">
        <v>2</v>
      </c>
      <c r="F939" s="42">
        <v>22.951000000000001</v>
      </c>
      <c r="G939" s="42"/>
      <c r="H939" s="42"/>
      <c r="I939" s="42">
        <v>2013</v>
      </c>
      <c r="J939" s="113">
        <v>1.42997990196369E+18</v>
      </c>
    </row>
    <row r="940" spans="3:10" x14ac:dyDescent="0.3">
      <c r="C940" s="41" t="b">
        <v>0</v>
      </c>
      <c r="D940" s="42" t="s">
        <v>61</v>
      </c>
      <c r="E940" s="42">
        <v>2</v>
      </c>
      <c r="F940" s="42">
        <v>42.881999999999998</v>
      </c>
      <c r="G940" s="42"/>
      <c r="H940" s="42"/>
      <c r="I940" s="42">
        <v>2013</v>
      </c>
      <c r="J940" s="113">
        <v>9.18297288991027E+18</v>
      </c>
    </row>
    <row r="941" spans="3:10" x14ac:dyDescent="0.3">
      <c r="C941" s="41" t="b">
        <v>0</v>
      </c>
      <c r="D941" s="42" t="s">
        <v>61</v>
      </c>
      <c r="E941" s="42">
        <v>2</v>
      </c>
      <c r="F941" s="42">
        <v>36.854999999999997</v>
      </c>
      <c r="G941" s="42"/>
      <c r="H941" s="42"/>
      <c r="I941" s="42">
        <v>2013</v>
      </c>
      <c r="J941" s="113">
        <v>1.33203416240767E+19</v>
      </c>
    </row>
    <row r="942" spans="3:10" x14ac:dyDescent="0.3">
      <c r="C942" s="41" t="b">
        <v>0</v>
      </c>
      <c r="D942" s="42" t="s">
        <v>61</v>
      </c>
      <c r="E942" s="42">
        <v>2</v>
      </c>
      <c r="F942" s="42">
        <v>49.411999999999999</v>
      </c>
      <c r="G942" s="42"/>
      <c r="H942" s="42"/>
      <c r="I942" s="42">
        <v>2013</v>
      </c>
      <c r="J942" s="113">
        <v>1.4643175586077399E+19</v>
      </c>
    </row>
    <row r="943" spans="3:10" x14ac:dyDescent="0.3">
      <c r="C943" s="41" t="b">
        <v>0</v>
      </c>
      <c r="D943" s="42" t="s">
        <v>61</v>
      </c>
      <c r="E943" s="42">
        <v>2</v>
      </c>
      <c r="F943" s="42">
        <v>23.654</v>
      </c>
      <c r="G943" s="42"/>
      <c r="H943" s="42"/>
      <c r="I943" s="42">
        <v>2013</v>
      </c>
      <c r="J943" s="113">
        <v>1.4010796935961899E+19</v>
      </c>
    </row>
    <row r="944" spans="3:10" x14ac:dyDescent="0.3">
      <c r="C944" s="41" t="b">
        <v>0</v>
      </c>
      <c r="D944" s="42" t="s">
        <v>61</v>
      </c>
      <c r="E944" s="42">
        <v>2</v>
      </c>
      <c r="F944" s="42">
        <v>50.447000000000003</v>
      </c>
      <c r="G944" s="42"/>
      <c r="H944" s="42"/>
      <c r="I944" s="42">
        <v>2013</v>
      </c>
      <c r="J944" s="113">
        <v>7.5562910770161203E+18</v>
      </c>
    </row>
    <row r="945" spans="3:10" x14ac:dyDescent="0.3">
      <c r="C945" s="41" t="b">
        <v>0</v>
      </c>
      <c r="D945" s="42" t="s">
        <v>61</v>
      </c>
      <c r="E945" s="42">
        <v>2</v>
      </c>
      <c r="F945" s="42">
        <v>31.884</v>
      </c>
      <c r="G945" s="42"/>
      <c r="H945" s="42"/>
      <c r="I945" s="42">
        <v>2013</v>
      </c>
      <c r="J945" s="113">
        <v>1.0469129037721399E+19</v>
      </c>
    </row>
    <row r="946" spans="3:10" x14ac:dyDescent="0.3">
      <c r="C946" s="41" t="b">
        <v>0</v>
      </c>
      <c r="D946" s="42" t="s">
        <v>61</v>
      </c>
      <c r="E946" s="42">
        <v>2</v>
      </c>
      <c r="F946" s="42">
        <v>48.648000000000003</v>
      </c>
      <c r="G946" s="42"/>
      <c r="H946" s="42"/>
      <c r="I946" s="42">
        <v>2013</v>
      </c>
      <c r="J946" s="113">
        <v>1.3908917772898701E+17</v>
      </c>
    </row>
    <row r="947" spans="3:10" x14ac:dyDescent="0.3">
      <c r="C947" s="41" t="b">
        <v>0</v>
      </c>
      <c r="D947" s="42" t="s">
        <v>61</v>
      </c>
      <c r="E947" s="42">
        <v>2</v>
      </c>
      <c r="F947" s="42">
        <v>17.324000000000002</v>
      </c>
      <c r="G947" s="42"/>
      <c r="H947" s="42"/>
      <c r="I947" s="42">
        <v>2013</v>
      </c>
      <c r="J947" s="113">
        <v>4.5840095894132902E+17</v>
      </c>
    </row>
    <row r="948" spans="3:10" x14ac:dyDescent="0.3">
      <c r="C948" s="41" t="b">
        <v>0</v>
      </c>
      <c r="D948" s="42" t="s">
        <v>61</v>
      </c>
      <c r="E948" s="42">
        <v>2</v>
      </c>
      <c r="F948" s="42">
        <v>33.006</v>
      </c>
      <c r="G948" s="42"/>
      <c r="H948" s="42"/>
      <c r="I948" s="42">
        <v>2013</v>
      </c>
      <c r="J948" s="113">
        <v>1.1878484715404401E+18</v>
      </c>
    </row>
    <row r="949" spans="3:10" x14ac:dyDescent="0.3">
      <c r="C949" s="41" t="b">
        <v>0</v>
      </c>
      <c r="D949" s="42" t="s">
        <v>61</v>
      </c>
      <c r="E949" s="42">
        <v>2</v>
      </c>
      <c r="F949" s="42">
        <v>35.735999999999997</v>
      </c>
      <c r="G949" s="42"/>
      <c r="H949" s="42"/>
      <c r="I949" s="42">
        <v>2013</v>
      </c>
      <c r="J949" s="113">
        <v>1.6058039505566001E+18</v>
      </c>
    </row>
    <row r="950" spans="3:10" x14ac:dyDescent="0.3">
      <c r="C950" s="41" t="b">
        <v>0</v>
      </c>
      <c r="D950" s="42" t="s">
        <v>61</v>
      </c>
      <c r="E950" s="42">
        <v>2</v>
      </c>
      <c r="F950" s="42">
        <v>54.414000000000001</v>
      </c>
      <c r="G950" s="42"/>
      <c r="H950" s="42"/>
      <c r="I950" s="42">
        <v>2013</v>
      </c>
      <c r="J950" s="113">
        <v>1.3363035780020001E+19</v>
      </c>
    </row>
    <row r="951" spans="3:10" x14ac:dyDescent="0.3">
      <c r="C951" s="41" t="b">
        <v>0</v>
      </c>
      <c r="D951" s="42" t="s">
        <v>61</v>
      </c>
      <c r="E951" s="42">
        <v>2</v>
      </c>
      <c r="F951" s="42">
        <v>24.806000000000001</v>
      </c>
      <c r="G951" s="42"/>
      <c r="H951" s="42"/>
      <c r="I951" s="42">
        <v>2013</v>
      </c>
      <c r="J951" s="113">
        <v>1.6173688138961E+19</v>
      </c>
    </row>
    <row r="952" spans="3:10" x14ac:dyDescent="0.3">
      <c r="C952" s="41" t="b">
        <v>0</v>
      </c>
      <c r="D952" s="42" t="s">
        <v>61</v>
      </c>
      <c r="E952" s="42">
        <v>2</v>
      </c>
      <c r="F952" s="42">
        <v>44.347000000000001</v>
      </c>
      <c r="G952" s="42"/>
      <c r="H952" s="42"/>
      <c r="I952" s="42">
        <v>2013</v>
      </c>
      <c r="J952" s="113">
        <v>3.1502437760560799E+18</v>
      </c>
    </row>
    <row r="953" spans="3:10" x14ac:dyDescent="0.3">
      <c r="C953" s="41" t="b">
        <v>0</v>
      </c>
      <c r="D953" s="42" t="s">
        <v>61</v>
      </c>
      <c r="E953" s="42">
        <v>2</v>
      </c>
      <c r="F953" s="42">
        <v>5.4870000000000001</v>
      </c>
      <c r="G953" s="42"/>
      <c r="H953" s="42"/>
      <c r="I953" s="42">
        <v>2013</v>
      </c>
      <c r="J953" s="113">
        <v>1.9093085470434701E+18</v>
      </c>
    </row>
    <row r="954" spans="3:10" x14ac:dyDescent="0.3">
      <c r="C954" s="41" t="b">
        <v>0</v>
      </c>
      <c r="D954" s="42" t="s">
        <v>61</v>
      </c>
      <c r="E954" s="42">
        <v>2</v>
      </c>
      <c r="F954" s="42">
        <v>8.2910000000000004</v>
      </c>
      <c r="G954" s="42"/>
      <c r="H954" s="42"/>
      <c r="I954" s="42">
        <v>2013</v>
      </c>
      <c r="J954" s="113">
        <v>7.0968633682715505E+18</v>
      </c>
    </row>
    <row r="955" spans="3:10" x14ac:dyDescent="0.3">
      <c r="C955" s="41" t="b">
        <v>0</v>
      </c>
      <c r="D955" s="42" t="s">
        <v>61</v>
      </c>
      <c r="E955" s="42">
        <v>2</v>
      </c>
      <c r="F955" s="42">
        <v>10.416</v>
      </c>
      <c r="G955" s="42"/>
      <c r="H955" s="42"/>
      <c r="I955" s="42">
        <v>2013</v>
      </c>
      <c r="J955" s="113">
        <v>4.2903961821254298E+18</v>
      </c>
    </row>
    <row r="956" spans="3:10" x14ac:dyDescent="0.3">
      <c r="C956" s="41" t="b">
        <v>0</v>
      </c>
      <c r="D956" s="42" t="s">
        <v>61</v>
      </c>
      <c r="E956" s="42">
        <v>2</v>
      </c>
      <c r="F956" s="42">
        <v>13.084</v>
      </c>
      <c r="G956" s="42"/>
      <c r="H956" s="42"/>
      <c r="I956" s="42">
        <v>2013</v>
      </c>
      <c r="J956" s="113">
        <v>1.5475996081282699E+19</v>
      </c>
    </row>
    <row r="957" spans="3:10" x14ac:dyDescent="0.3">
      <c r="C957" s="41" t="b">
        <v>0</v>
      </c>
      <c r="D957" s="42" t="s">
        <v>61</v>
      </c>
      <c r="E957" s="42">
        <v>2</v>
      </c>
      <c r="F957" s="42">
        <v>34.920999999999999</v>
      </c>
      <c r="G957" s="42"/>
      <c r="H957" s="42"/>
      <c r="I957" s="42">
        <v>2013</v>
      </c>
      <c r="J957" s="113">
        <v>1.11623289133473E+18</v>
      </c>
    </row>
    <row r="958" spans="3:10" x14ac:dyDescent="0.3">
      <c r="C958" s="41" t="b">
        <v>0</v>
      </c>
      <c r="D958" s="42" t="s">
        <v>61</v>
      </c>
      <c r="E958" s="42">
        <v>2</v>
      </c>
      <c r="F958" s="42">
        <v>71.311999999999998</v>
      </c>
      <c r="G958" s="42"/>
      <c r="H958" s="42"/>
      <c r="I958" s="42">
        <v>2013</v>
      </c>
      <c r="J958" s="113">
        <v>1.5646617939684301E+19</v>
      </c>
    </row>
    <row r="959" spans="3:10" x14ac:dyDescent="0.3">
      <c r="C959" s="41" t="b">
        <v>0</v>
      </c>
      <c r="D959" s="42" t="s">
        <v>61</v>
      </c>
      <c r="E959" s="42">
        <v>2</v>
      </c>
      <c r="F959" s="42">
        <v>17.849</v>
      </c>
      <c r="G959" s="42"/>
      <c r="H959" s="42"/>
      <c r="I959" s="42">
        <v>2013</v>
      </c>
      <c r="J959" s="113">
        <v>1.04198332062348E+19</v>
      </c>
    </row>
    <row r="960" spans="3:10" x14ac:dyDescent="0.3">
      <c r="C960" s="41" t="b">
        <v>0</v>
      </c>
      <c r="D960" s="42" t="s">
        <v>61</v>
      </c>
      <c r="E960" s="42">
        <v>2</v>
      </c>
      <c r="F960" s="42">
        <v>26.135999999999999</v>
      </c>
      <c r="G960" s="42"/>
      <c r="H960" s="42"/>
      <c r="I960" s="42">
        <v>2013</v>
      </c>
      <c r="J960" s="113">
        <v>5.2915065282347602E+18</v>
      </c>
    </row>
    <row r="961" spans="3:10" x14ac:dyDescent="0.3">
      <c r="C961" s="41" t="b">
        <v>0</v>
      </c>
      <c r="D961" s="42" t="s">
        <v>61</v>
      </c>
      <c r="E961" s="42">
        <v>2</v>
      </c>
      <c r="F961" s="42">
        <v>42.994</v>
      </c>
      <c r="G961" s="42"/>
      <c r="H961" s="42"/>
      <c r="I961" s="42">
        <v>2013</v>
      </c>
      <c r="J961" s="113">
        <v>1.66480201025419E+19</v>
      </c>
    </row>
    <row r="962" spans="3:10" x14ac:dyDescent="0.3">
      <c r="C962" s="41" t="b">
        <v>0</v>
      </c>
      <c r="D962" s="42" t="s">
        <v>61</v>
      </c>
      <c r="E962" s="42">
        <v>2</v>
      </c>
      <c r="F962" s="42">
        <v>88.504999999999995</v>
      </c>
      <c r="G962" s="42"/>
      <c r="H962" s="42"/>
      <c r="I962" s="42">
        <v>2013</v>
      </c>
      <c r="J962" s="113">
        <v>1.1063224553270301E+19</v>
      </c>
    </row>
    <row r="963" spans="3:10" x14ac:dyDescent="0.3">
      <c r="C963" s="41" t="b">
        <v>0</v>
      </c>
      <c r="D963" s="42" t="s">
        <v>61</v>
      </c>
      <c r="E963" s="42">
        <v>2</v>
      </c>
      <c r="F963" s="42">
        <v>2.4262899999999998</v>
      </c>
      <c r="G963" s="42"/>
      <c r="H963" s="42"/>
      <c r="I963" s="42">
        <v>2014</v>
      </c>
      <c r="J963" s="113">
        <v>3.7773689569607501E+18</v>
      </c>
    </row>
    <row r="964" spans="3:10" x14ac:dyDescent="0.3">
      <c r="C964" s="41" t="b">
        <v>0</v>
      </c>
      <c r="D964" s="42" t="s">
        <v>61</v>
      </c>
      <c r="E964" s="42">
        <v>2</v>
      </c>
      <c r="F964" s="42">
        <v>4.6233199999999997</v>
      </c>
      <c r="G964" s="42"/>
      <c r="H964" s="42"/>
      <c r="I964" s="42">
        <v>2014</v>
      </c>
      <c r="J964" s="113">
        <v>7.78613230042803E+18</v>
      </c>
    </row>
    <row r="965" spans="3:10" x14ac:dyDescent="0.3">
      <c r="C965" s="41" t="b">
        <v>0</v>
      </c>
      <c r="D965" s="42" t="s">
        <v>61</v>
      </c>
      <c r="E965" s="42">
        <v>2</v>
      </c>
      <c r="F965" s="42">
        <v>0.66930999999999996</v>
      </c>
      <c r="G965" s="42"/>
      <c r="H965" s="42"/>
      <c r="I965" s="42">
        <v>2014</v>
      </c>
      <c r="J965" s="113">
        <v>1.4478606157535601E+19</v>
      </c>
    </row>
    <row r="966" spans="3:10" x14ac:dyDescent="0.3">
      <c r="C966" s="41" t="b">
        <v>0</v>
      </c>
      <c r="D966" s="42" t="s">
        <v>56</v>
      </c>
      <c r="E966" s="42">
        <v>2</v>
      </c>
      <c r="F966" s="42">
        <v>3000</v>
      </c>
      <c r="G966" s="42"/>
      <c r="H966" s="42"/>
      <c r="I966" s="42">
        <v>2014</v>
      </c>
      <c r="J966" s="113">
        <v>3.1027175894257203E+17</v>
      </c>
    </row>
    <row r="967" spans="3:10" x14ac:dyDescent="0.3">
      <c r="C967" s="41" t="b">
        <v>0</v>
      </c>
      <c r="D967" s="42" t="s">
        <v>61</v>
      </c>
      <c r="E967" s="42">
        <v>1</v>
      </c>
      <c r="F967" s="42">
        <v>2.46502</v>
      </c>
      <c r="G967" s="42"/>
      <c r="H967" s="42"/>
      <c r="I967" s="42">
        <v>2014</v>
      </c>
      <c r="J967" s="113">
        <v>9.5352231718939607E+18</v>
      </c>
    </row>
    <row r="968" spans="3:10" x14ac:dyDescent="0.3">
      <c r="C968" s="41" t="b">
        <v>0</v>
      </c>
      <c r="D968" s="42" t="s">
        <v>61</v>
      </c>
      <c r="E968" s="42">
        <v>1</v>
      </c>
      <c r="F968" s="42">
        <v>68.958399999999997</v>
      </c>
      <c r="G968" s="42"/>
      <c r="H968" s="42"/>
      <c r="I968" s="42">
        <v>2014</v>
      </c>
      <c r="J968" s="113">
        <v>1.01483911694587E+19</v>
      </c>
    </row>
    <row r="969" spans="3:10" x14ac:dyDescent="0.3">
      <c r="C969" s="41" t="b">
        <v>0</v>
      </c>
      <c r="D969" s="42" t="s">
        <v>61</v>
      </c>
      <c r="E969" s="42">
        <v>1</v>
      </c>
      <c r="F969" s="42">
        <v>17.833648</v>
      </c>
      <c r="G969" s="42"/>
      <c r="H969" s="42">
        <v>132</v>
      </c>
      <c r="I969" s="42">
        <v>2013</v>
      </c>
      <c r="J969" s="113">
        <v>7.1366699988605798E+18</v>
      </c>
    </row>
    <row r="970" spans="3:10" x14ac:dyDescent="0.3">
      <c r="C970" s="41" t="b">
        <v>0</v>
      </c>
      <c r="D970" s="42" t="s">
        <v>61</v>
      </c>
      <c r="E970" s="42">
        <v>1</v>
      </c>
      <c r="F970" s="42">
        <v>3.0051600000000001</v>
      </c>
      <c r="G970" s="42"/>
      <c r="H970" s="42"/>
      <c r="I970" s="42">
        <v>2013</v>
      </c>
      <c r="J970" s="113">
        <v>1.6048012286298599E+19</v>
      </c>
    </row>
    <row r="971" spans="3:10" x14ac:dyDescent="0.3">
      <c r="C971" s="41" t="b">
        <v>0</v>
      </c>
      <c r="D971" s="42" t="s">
        <v>61</v>
      </c>
      <c r="E971" s="42">
        <v>1</v>
      </c>
      <c r="F971" s="42">
        <v>1.7208612299999999</v>
      </c>
      <c r="G971" s="42"/>
      <c r="H971" s="42">
        <v>1056</v>
      </c>
      <c r="I971" s="42">
        <v>2014</v>
      </c>
      <c r="J971" s="113">
        <v>1.5287352836313899E+19</v>
      </c>
    </row>
    <row r="972" spans="3:10" x14ac:dyDescent="0.3">
      <c r="C972" s="41" t="b">
        <v>0</v>
      </c>
      <c r="D972" s="42" t="s">
        <v>61</v>
      </c>
      <c r="E972" s="42">
        <v>1</v>
      </c>
      <c r="F972" s="42">
        <v>66.262</v>
      </c>
      <c r="G972" s="42"/>
      <c r="H972" s="42"/>
      <c r="I972" s="42">
        <v>2014</v>
      </c>
      <c r="J972" s="113">
        <v>9.0872378661981102E+18</v>
      </c>
    </row>
    <row r="973" spans="3:10" x14ac:dyDescent="0.3">
      <c r="C973" s="41" t="b">
        <v>0</v>
      </c>
      <c r="D973" s="42" t="s">
        <v>59</v>
      </c>
      <c r="E973" s="42">
        <v>1</v>
      </c>
      <c r="F973" s="42">
        <v>40000</v>
      </c>
      <c r="G973" s="42"/>
      <c r="H973" s="42"/>
      <c r="I973" s="42">
        <v>2011</v>
      </c>
      <c r="J973" s="113">
        <v>1.7920655652996499E+19</v>
      </c>
    </row>
    <row r="974" spans="3:10" x14ac:dyDescent="0.3">
      <c r="C974" s="41" t="b">
        <v>0</v>
      </c>
      <c r="D974" s="42" t="s">
        <v>61</v>
      </c>
      <c r="E974" s="42">
        <v>1</v>
      </c>
      <c r="F974" s="42">
        <v>3.91405</v>
      </c>
      <c r="G974" s="42"/>
      <c r="H974" s="42">
        <v>2000</v>
      </c>
      <c r="I974" s="42">
        <v>2007</v>
      </c>
      <c r="J974" s="113">
        <v>9.2880433421861396E+18</v>
      </c>
    </row>
    <row r="975" spans="3:10" x14ac:dyDescent="0.3">
      <c r="C975" s="41" t="b">
        <v>0</v>
      </c>
      <c r="D975" s="42" t="s">
        <v>65</v>
      </c>
      <c r="E975" s="42">
        <v>1</v>
      </c>
      <c r="F975" s="42"/>
      <c r="G975" s="42"/>
      <c r="H975" s="42"/>
      <c r="I975" s="42">
        <v>2008</v>
      </c>
      <c r="J975" s="113">
        <v>2.8706349095829898E+18</v>
      </c>
    </row>
    <row r="976" spans="3:10" x14ac:dyDescent="0.3">
      <c r="C976" s="41" t="b">
        <v>0</v>
      </c>
      <c r="D976" s="42" t="s">
        <v>65</v>
      </c>
      <c r="E976" s="42">
        <v>1</v>
      </c>
      <c r="F976" s="42"/>
      <c r="G976" s="42"/>
      <c r="H976" s="42"/>
      <c r="I976" s="42">
        <v>2008</v>
      </c>
      <c r="J976" s="113">
        <v>2.8706349095829898E+18</v>
      </c>
    </row>
    <row r="977" spans="3:10" x14ac:dyDescent="0.3">
      <c r="C977" s="41" t="b">
        <v>0</v>
      </c>
      <c r="D977" s="42" t="s">
        <v>65</v>
      </c>
      <c r="E977" s="42">
        <v>1</v>
      </c>
      <c r="F977" s="42"/>
      <c r="G977" s="42"/>
      <c r="H977" s="42"/>
      <c r="I977" s="42">
        <v>2009</v>
      </c>
      <c r="J977" s="113">
        <v>1.2117489231838599E+19</v>
      </c>
    </row>
    <row r="978" spans="3:10" x14ac:dyDescent="0.3">
      <c r="C978" s="41" t="b">
        <v>0</v>
      </c>
      <c r="D978" s="42" t="s">
        <v>65</v>
      </c>
      <c r="E978" s="42">
        <v>1</v>
      </c>
      <c r="F978" s="42"/>
      <c r="G978" s="42"/>
      <c r="H978" s="42">
        <v>3600</v>
      </c>
      <c r="I978" s="42">
        <v>2013</v>
      </c>
      <c r="J978" s="113">
        <v>3.9856707864708301E+18</v>
      </c>
    </row>
    <row r="979" spans="3:10" x14ac:dyDescent="0.3">
      <c r="C979" s="41" t="b">
        <v>0</v>
      </c>
      <c r="D979" s="42" t="s">
        <v>65</v>
      </c>
      <c r="E979" s="42">
        <v>1</v>
      </c>
      <c r="F979" s="42">
        <v>2780</v>
      </c>
      <c r="G979" s="42"/>
      <c r="H979" s="42"/>
      <c r="I979" s="42">
        <v>2011</v>
      </c>
      <c r="J979" s="113">
        <v>2.5511417570237E+18</v>
      </c>
    </row>
    <row r="980" spans="3:10" x14ac:dyDescent="0.3">
      <c r="C980" s="41" t="b">
        <v>0</v>
      </c>
      <c r="D980" s="42" t="s">
        <v>65</v>
      </c>
      <c r="E980" s="42">
        <v>1</v>
      </c>
      <c r="F980" s="42"/>
      <c r="G980" s="42"/>
      <c r="H980" s="42"/>
      <c r="I980" s="42">
        <v>2010</v>
      </c>
      <c r="J980" s="113">
        <v>9.30286874845952E+18</v>
      </c>
    </row>
    <row r="981" spans="3:10" x14ac:dyDescent="0.3">
      <c r="C981" s="41" t="b">
        <v>0</v>
      </c>
      <c r="D981" s="42" t="s">
        <v>65</v>
      </c>
      <c r="E981" s="42">
        <v>1</v>
      </c>
      <c r="F981" s="42">
        <v>1970</v>
      </c>
      <c r="G981" s="42"/>
      <c r="H981" s="42"/>
      <c r="I981" s="42">
        <v>2010</v>
      </c>
      <c r="J981" s="113">
        <v>6.9620487715503104E+18</v>
      </c>
    </row>
    <row r="982" spans="3:10" x14ac:dyDescent="0.3">
      <c r="C982" s="41" t="b">
        <v>0</v>
      </c>
      <c r="D982" s="42" t="s">
        <v>65</v>
      </c>
      <c r="E982" s="42">
        <v>1</v>
      </c>
      <c r="F982" s="42"/>
      <c r="G982" s="42"/>
      <c r="H982" s="42">
        <v>2300</v>
      </c>
      <c r="I982" s="42">
        <v>2012</v>
      </c>
      <c r="J982" s="113">
        <v>6.0124637499578803E+17</v>
      </c>
    </row>
    <row r="983" spans="3:10" x14ac:dyDescent="0.3">
      <c r="C983" s="41" t="b">
        <v>0</v>
      </c>
      <c r="D983" s="42" t="s">
        <v>65</v>
      </c>
      <c r="E983" s="42">
        <v>1</v>
      </c>
      <c r="F983" s="42"/>
      <c r="G983" s="42"/>
      <c r="H983" s="42">
        <v>2800</v>
      </c>
      <c r="I983" s="42">
        <v>2012</v>
      </c>
      <c r="J983" s="113">
        <v>5.63288910082338E+18</v>
      </c>
    </row>
    <row r="984" spans="3:10" x14ac:dyDescent="0.3">
      <c r="C984" s="41" t="b">
        <v>0</v>
      </c>
      <c r="D984" s="42" t="s">
        <v>65</v>
      </c>
      <c r="E984" s="42">
        <v>1</v>
      </c>
      <c r="F984" s="42"/>
      <c r="G984" s="42"/>
      <c r="H984" s="42">
        <v>7720</v>
      </c>
      <c r="I984" s="42">
        <v>2012</v>
      </c>
      <c r="J984" s="113">
        <v>7.9642891833100503E+18</v>
      </c>
    </row>
    <row r="985" spans="3:10" x14ac:dyDescent="0.3">
      <c r="C985" s="41" t="b">
        <v>0</v>
      </c>
      <c r="D985" s="42" t="s">
        <v>65</v>
      </c>
      <c r="E985" s="42">
        <v>1</v>
      </c>
      <c r="F985" s="42"/>
      <c r="G985" s="42"/>
      <c r="H985" s="42">
        <v>7560</v>
      </c>
      <c r="I985" s="42">
        <v>2013</v>
      </c>
      <c r="J985" s="113">
        <v>1.4786468331356701E+19</v>
      </c>
    </row>
    <row r="986" spans="3:10" x14ac:dyDescent="0.3">
      <c r="C986" s="41" t="b">
        <v>0</v>
      </c>
      <c r="D986" s="42" t="s">
        <v>56</v>
      </c>
      <c r="E986" s="42">
        <v>1</v>
      </c>
      <c r="F986" s="42">
        <v>677.8</v>
      </c>
      <c r="G986" s="42">
        <v>19.8</v>
      </c>
      <c r="H986" s="42"/>
      <c r="I986" s="42">
        <v>2007</v>
      </c>
      <c r="J986" s="113">
        <v>2.6149408485902397E+18</v>
      </c>
    </row>
    <row r="987" spans="3:10" x14ac:dyDescent="0.3">
      <c r="C987" s="41" t="b">
        <v>0</v>
      </c>
      <c r="D987" s="42" t="s">
        <v>56</v>
      </c>
      <c r="E987" s="42">
        <v>1</v>
      </c>
      <c r="F987" s="42">
        <v>6.9580000000000002</v>
      </c>
      <c r="G987" s="42">
        <v>0.34</v>
      </c>
      <c r="H987" s="42"/>
      <c r="I987" s="42">
        <v>2014</v>
      </c>
      <c r="J987" s="113">
        <v>8.6100697501792604E+18</v>
      </c>
    </row>
    <row r="988" spans="3:10" x14ac:dyDescent="0.3">
      <c r="C988" s="41" t="b">
        <v>0</v>
      </c>
      <c r="D988" s="42" t="s">
        <v>56</v>
      </c>
      <c r="E988" s="42">
        <v>1</v>
      </c>
      <c r="F988" s="42">
        <v>5.1180000000000003</v>
      </c>
      <c r="G988" s="42">
        <v>0.4</v>
      </c>
      <c r="H988" s="42"/>
      <c r="I988" s="42">
        <v>2014</v>
      </c>
      <c r="J988" s="113">
        <v>1.75974739492439E+19</v>
      </c>
    </row>
    <row r="989" spans="3:10" x14ac:dyDescent="0.3">
      <c r="C989" s="41" t="b">
        <v>0</v>
      </c>
      <c r="D989" s="42" t="s">
        <v>56</v>
      </c>
      <c r="E989" s="42">
        <v>1</v>
      </c>
      <c r="F989" s="42">
        <v>121.71</v>
      </c>
      <c r="G989" s="42">
        <v>1.54</v>
      </c>
      <c r="H989" s="42"/>
      <c r="I989" s="42">
        <v>2014</v>
      </c>
      <c r="J989" s="113">
        <v>6.0219166176385096E+18</v>
      </c>
    </row>
    <row r="990" spans="3:10" x14ac:dyDescent="0.3">
      <c r="C990" s="41" t="b">
        <v>0</v>
      </c>
      <c r="D990" s="42" t="s">
        <v>65</v>
      </c>
      <c r="E990" s="42">
        <v>1</v>
      </c>
      <c r="F990" s="42"/>
      <c r="G990" s="42"/>
      <c r="H990" s="42"/>
      <c r="I990" s="42">
        <v>2004</v>
      </c>
      <c r="J990" s="113">
        <v>3.3645981850897203E+17</v>
      </c>
    </row>
    <row r="991" spans="3:10" x14ac:dyDescent="0.3">
      <c r="C991" s="41" t="b">
        <v>0</v>
      </c>
      <c r="D991" s="42" t="s">
        <v>65</v>
      </c>
      <c r="E991" s="42">
        <v>1</v>
      </c>
      <c r="F991" s="42">
        <v>3600</v>
      </c>
      <c r="G991" s="42"/>
      <c r="H991" s="42"/>
      <c r="I991" s="42">
        <v>2005</v>
      </c>
      <c r="J991" s="113">
        <v>1.8363596851115799E+18</v>
      </c>
    </row>
    <row r="992" spans="3:10" x14ac:dyDescent="0.3">
      <c r="C992" s="41" t="b">
        <v>0</v>
      </c>
      <c r="D992" s="42" t="s">
        <v>65</v>
      </c>
      <c r="E992" s="42">
        <v>1</v>
      </c>
      <c r="F992" s="42">
        <v>3300</v>
      </c>
      <c r="G992" s="42"/>
      <c r="H992" s="42"/>
      <c r="I992" s="42">
        <v>2006</v>
      </c>
      <c r="J992" s="113">
        <v>9.8262472866219397E+18</v>
      </c>
    </row>
    <row r="993" spans="3:10" x14ac:dyDescent="0.3">
      <c r="C993" s="41" t="b">
        <v>0</v>
      </c>
      <c r="D993" s="42" t="s">
        <v>65</v>
      </c>
      <c r="E993" s="42">
        <v>1</v>
      </c>
      <c r="F993" s="42">
        <v>3500</v>
      </c>
      <c r="G993" s="42"/>
      <c r="H993" s="42"/>
      <c r="I993" s="42">
        <v>2005</v>
      </c>
      <c r="J993" s="113">
        <v>1.1544275590370601E+18</v>
      </c>
    </row>
    <row r="994" spans="3:10" x14ac:dyDescent="0.3">
      <c r="C994" s="41" t="b">
        <v>0</v>
      </c>
      <c r="D994" s="42" t="s">
        <v>65</v>
      </c>
      <c r="E994" s="42">
        <v>2</v>
      </c>
      <c r="F994" s="42">
        <v>1825</v>
      </c>
      <c r="G994" s="42"/>
      <c r="H994" s="42"/>
      <c r="I994" s="42">
        <v>2008</v>
      </c>
      <c r="J994" s="113">
        <v>8.7577788921863803E+18</v>
      </c>
    </row>
    <row r="995" spans="3:10" x14ac:dyDescent="0.3">
      <c r="C995" s="41" t="b">
        <v>0</v>
      </c>
      <c r="D995" s="42" t="s">
        <v>65</v>
      </c>
      <c r="E995" s="42">
        <v>2</v>
      </c>
      <c r="F995" s="42">
        <v>5100</v>
      </c>
      <c r="G995" s="42"/>
      <c r="H995" s="42"/>
      <c r="I995" s="42">
        <v>2008</v>
      </c>
      <c r="J995" s="113">
        <v>1.4312867761234999E+19</v>
      </c>
    </row>
    <row r="996" spans="3:10" x14ac:dyDescent="0.3">
      <c r="C996" s="41" t="b">
        <v>0</v>
      </c>
      <c r="D996" s="42" t="s">
        <v>65</v>
      </c>
      <c r="E996" s="42">
        <v>1</v>
      </c>
      <c r="F996" s="42"/>
      <c r="G996" s="42"/>
      <c r="H996" s="42"/>
      <c r="I996" s="42">
        <v>2009</v>
      </c>
      <c r="J996" s="113">
        <v>1.2117489231838599E+19</v>
      </c>
    </row>
    <row r="997" spans="3:10" x14ac:dyDescent="0.3">
      <c r="C997" s="41" t="b">
        <v>0</v>
      </c>
      <c r="D997" s="42" t="s">
        <v>65</v>
      </c>
      <c r="E997" s="42">
        <v>1</v>
      </c>
      <c r="F997" s="42"/>
      <c r="G997" s="42"/>
      <c r="H997" s="42">
        <v>2570</v>
      </c>
      <c r="I997" s="42">
        <v>2012</v>
      </c>
      <c r="J997" s="113">
        <v>8.9786731192889498E+18</v>
      </c>
    </row>
    <row r="998" spans="3:10" x14ac:dyDescent="0.3">
      <c r="C998" s="41" t="b">
        <v>0</v>
      </c>
      <c r="D998" s="42" t="s">
        <v>65</v>
      </c>
      <c r="E998" s="42">
        <v>2</v>
      </c>
      <c r="F998" s="42"/>
      <c r="G998" s="42"/>
      <c r="H998" s="42">
        <v>4080</v>
      </c>
      <c r="I998" s="42">
        <v>2012</v>
      </c>
      <c r="J998" s="113">
        <v>1.44620304413836E+19</v>
      </c>
    </row>
    <row r="999" spans="3:10" x14ac:dyDescent="0.3">
      <c r="C999" s="41" t="b">
        <v>0</v>
      </c>
      <c r="D999" s="42" t="s">
        <v>65</v>
      </c>
      <c r="E999" s="42">
        <v>2</v>
      </c>
      <c r="F999" s="42"/>
      <c r="G999" s="42"/>
      <c r="H999" s="42">
        <v>4080</v>
      </c>
      <c r="I999" s="42">
        <v>2012</v>
      </c>
      <c r="J999" s="113">
        <v>1.44620304413836E+19</v>
      </c>
    </row>
    <row r="1000" spans="3:10" x14ac:dyDescent="0.3">
      <c r="C1000" s="41" t="b">
        <v>0</v>
      </c>
      <c r="D1000" s="42" t="s">
        <v>65</v>
      </c>
      <c r="E1000" s="42">
        <v>1</v>
      </c>
      <c r="F1000" s="42"/>
      <c r="G1000" s="42"/>
      <c r="H1000" s="42">
        <v>1760</v>
      </c>
      <c r="I1000" s="42">
        <v>2013</v>
      </c>
      <c r="J1000" s="113">
        <v>1.39342312356749E+19</v>
      </c>
    </row>
    <row r="1001" spans="3:10" x14ac:dyDescent="0.3">
      <c r="C1001" s="41" t="b">
        <v>0</v>
      </c>
      <c r="D1001" s="42" t="s">
        <v>65</v>
      </c>
      <c r="E1001" s="42">
        <v>1</v>
      </c>
      <c r="F1001" s="42"/>
      <c r="G1001" s="42"/>
      <c r="H1001" s="42">
        <v>4970</v>
      </c>
      <c r="I1001" s="42">
        <v>2013</v>
      </c>
      <c r="J1001" s="113">
        <v>5.4593454355411702E+18</v>
      </c>
    </row>
    <row r="1002" spans="3:10" x14ac:dyDescent="0.3">
      <c r="C1002" s="41" t="b">
        <v>0</v>
      </c>
      <c r="D1002" s="42" t="s">
        <v>61</v>
      </c>
      <c r="E1002" s="42">
        <v>1</v>
      </c>
      <c r="F1002" s="42">
        <v>2.4855334999999998</v>
      </c>
      <c r="G1002" s="42"/>
      <c r="H1002" s="42"/>
      <c r="I1002" s="42">
        <v>2008</v>
      </c>
      <c r="J1002" s="113">
        <v>7.0541410493021297E+18</v>
      </c>
    </row>
    <row r="1003" spans="3:10" x14ac:dyDescent="0.3">
      <c r="C1003" s="41" t="b">
        <v>0</v>
      </c>
      <c r="D1003" s="42" t="s">
        <v>61</v>
      </c>
      <c r="E1003" s="42">
        <v>1</v>
      </c>
      <c r="F1003" s="42">
        <v>3.1012780000000002</v>
      </c>
      <c r="G1003" s="42"/>
      <c r="H1003" s="42"/>
      <c r="I1003" s="42">
        <v>2004</v>
      </c>
      <c r="J1003" s="113">
        <v>1.7535512639982299E+19</v>
      </c>
    </row>
    <row r="1004" spans="3:10" x14ac:dyDescent="0.3">
      <c r="C1004" s="41" t="b">
        <v>0</v>
      </c>
      <c r="D1004" s="42" t="s">
        <v>61</v>
      </c>
      <c r="E1004" s="42">
        <v>1</v>
      </c>
      <c r="F1004" s="42">
        <v>1.2119188999999999</v>
      </c>
      <c r="G1004" s="42"/>
      <c r="H1004" s="42"/>
      <c r="I1004" s="42">
        <v>2002</v>
      </c>
      <c r="J1004" s="113">
        <v>1.46487232708038E+19</v>
      </c>
    </row>
    <row r="1005" spans="3:10" x14ac:dyDescent="0.3">
      <c r="C1005" s="41" t="b">
        <v>0</v>
      </c>
      <c r="D1005" s="42" t="s">
        <v>61</v>
      </c>
      <c r="E1005" s="42">
        <v>1</v>
      </c>
      <c r="F1005" s="42">
        <v>4.0160999999999998</v>
      </c>
      <c r="G1005" s="42"/>
      <c r="H1005" s="42"/>
      <c r="I1005" s="42">
        <v>2004</v>
      </c>
      <c r="J1005" s="113">
        <v>2.89250946148979E+18</v>
      </c>
    </row>
    <row r="1006" spans="3:10" x14ac:dyDescent="0.3">
      <c r="C1006" s="41" t="b">
        <v>0</v>
      </c>
      <c r="D1006" s="42" t="s">
        <v>61</v>
      </c>
      <c r="E1006" s="42">
        <v>1</v>
      </c>
      <c r="F1006" s="42">
        <v>1.4324752000000001</v>
      </c>
      <c r="G1006" s="42"/>
      <c r="H1006" s="42">
        <v>600</v>
      </c>
      <c r="I1006" s="42">
        <v>2004</v>
      </c>
      <c r="J1006" s="113">
        <v>4.30176527004691E+18</v>
      </c>
    </row>
    <row r="1007" spans="3:10" x14ac:dyDescent="0.3">
      <c r="C1007" s="41" t="b">
        <v>0</v>
      </c>
      <c r="D1007" s="42" t="s">
        <v>61</v>
      </c>
      <c r="E1007" s="42">
        <v>1</v>
      </c>
      <c r="F1007" s="42">
        <v>1.6898679999999999</v>
      </c>
      <c r="G1007" s="42"/>
      <c r="H1007" s="42">
        <v>2500</v>
      </c>
      <c r="I1007" s="42">
        <v>2004</v>
      </c>
      <c r="J1007" s="113">
        <v>8.5648262409843804E+18</v>
      </c>
    </row>
    <row r="1008" spans="3:10" x14ac:dyDescent="0.3">
      <c r="C1008" s="41" t="b">
        <v>0</v>
      </c>
      <c r="D1008" s="42" t="s">
        <v>61</v>
      </c>
      <c r="E1008" s="42">
        <v>1</v>
      </c>
      <c r="F1008" s="42">
        <v>3.9790999999999999</v>
      </c>
      <c r="G1008" s="42"/>
      <c r="H1008" s="42"/>
      <c r="I1008" s="42">
        <v>2007</v>
      </c>
      <c r="J1008" s="113">
        <v>1.54882283708084E+19</v>
      </c>
    </row>
    <row r="1009" spans="3:10" x14ac:dyDescent="0.3">
      <c r="C1009" s="41" t="b">
        <v>0</v>
      </c>
      <c r="D1009" s="42" t="s">
        <v>61</v>
      </c>
      <c r="E1009" s="42">
        <v>1</v>
      </c>
      <c r="F1009" s="42">
        <v>3.6772399999999998</v>
      </c>
      <c r="G1009" s="42"/>
      <c r="H1009" s="42"/>
      <c r="I1009" s="42">
        <v>2007</v>
      </c>
      <c r="J1009" s="113">
        <v>4.10671690036144E+17</v>
      </c>
    </row>
    <row r="1010" spans="3:10" x14ac:dyDescent="0.3">
      <c r="C1010" s="41" t="b">
        <v>0</v>
      </c>
      <c r="D1010" s="42" t="s">
        <v>59</v>
      </c>
      <c r="E1010" s="42">
        <v>1</v>
      </c>
      <c r="F1010" s="42">
        <v>730000</v>
      </c>
      <c r="G1010" s="42"/>
      <c r="H1010" s="42"/>
      <c r="I1010" s="42">
        <v>2006</v>
      </c>
      <c r="J1010" s="113">
        <v>1.06050374300352E+19</v>
      </c>
    </row>
    <row r="1011" spans="3:10" x14ac:dyDescent="0.3">
      <c r="C1011" s="41" t="b">
        <v>0</v>
      </c>
      <c r="D1011" s="42" t="s">
        <v>61</v>
      </c>
      <c r="E1011" s="42">
        <v>1</v>
      </c>
      <c r="F1011" s="42">
        <v>3.1606296</v>
      </c>
      <c r="G1011" s="42"/>
      <c r="H1011" s="42">
        <v>1200</v>
      </c>
      <c r="I1011" s="42">
        <v>2013</v>
      </c>
      <c r="J1011" s="113">
        <v>6.5924094609925499E+18</v>
      </c>
    </row>
    <row r="1012" spans="3:10" x14ac:dyDescent="0.3">
      <c r="C1012" s="41" t="b">
        <v>0</v>
      </c>
      <c r="D1012" s="42" t="s">
        <v>56</v>
      </c>
      <c r="E1012" s="42">
        <v>1</v>
      </c>
      <c r="F1012" s="42">
        <v>4.4264000000000001</v>
      </c>
      <c r="G1012" s="42"/>
      <c r="H1012" s="42"/>
      <c r="I1012" s="42">
        <v>2012</v>
      </c>
      <c r="J1012" s="113">
        <v>1.74019820184064E+19</v>
      </c>
    </row>
    <row r="1013" spans="3:10" x14ac:dyDescent="0.3">
      <c r="C1013" s="41" t="b">
        <v>0</v>
      </c>
      <c r="D1013" s="42" t="s">
        <v>56</v>
      </c>
      <c r="E1013" s="42">
        <v>1</v>
      </c>
      <c r="F1013" s="42">
        <v>2.1450999999999998</v>
      </c>
      <c r="G1013" s="42"/>
      <c r="H1013" s="42"/>
      <c r="I1013" s="42">
        <v>2012</v>
      </c>
      <c r="J1013" s="113">
        <v>3.3195454956413798E+18</v>
      </c>
    </row>
    <row r="1014" spans="3:10" x14ac:dyDescent="0.3">
      <c r="C1014" s="41" t="b">
        <v>0</v>
      </c>
      <c r="D1014" s="42" t="s">
        <v>66</v>
      </c>
      <c r="E1014" s="42">
        <v>3</v>
      </c>
      <c r="F1014" s="42">
        <v>25.262</v>
      </c>
      <c r="G1014" s="42"/>
      <c r="H1014" s="42"/>
      <c r="I1014" s="42">
        <v>1992</v>
      </c>
      <c r="J1014" s="113">
        <v>1.6067644086002999E+19</v>
      </c>
    </row>
    <row r="1015" spans="3:10" x14ac:dyDescent="0.3">
      <c r="C1015" s="41" t="b">
        <v>0</v>
      </c>
      <c r="D1015" s="42" t="s">
        <v>66</v>
      </c>
      <c r="E1015" s="42">
        <v>3</v>
      </c>
      <c r="F1015" s="42">
        <v>66.541899999999998</v>
      </c>
      <c r="G1015" s="42"/>
      <c r="H1015" s="42"/>
      <c r="I1015" s="42">
        <v>1992</v>
      </c>
      <c r="J1015" s="113">
        <v>9.1720607260271196E+18</v>
      </c>
    </row>
    <row r="1016" spans="3:10" x14ac:dyDescent="0.3">
      <c r="C1016" s="41" t="b">
        <v>0</v>
      </c>
      <c r="D1016" s="42" t="s">
        <v>66</v>
      </c>
      <c r="E1016" s="42">
        <v>3</v>
      </c>
      <c r="F1016" s="42">
        <v>98.211399999999998</v>
      </c>
      <c r="G1016" s="42"/>
      <c r="H1016" s="42"/>
      <c r="I1016" s="42">
        <v>1994</v>
      </c>
      <c r="J1016" s="113">
        <v>9.7801341916592497E+18</v>
      </c>
    </row>
    <row r="1017" spans="3:10" x14ac:dyDescent="0.3">
      <c r="C1017" s="41" t="b">
        <v>0</v>
      </c>
      <c r="D1017" s="42" t="s">
        <v>66</v>
      </c>
      <c r="E1017" s="42">
        <v>1</v>
      </c>
      <c r="F1017" s="42">
        <v>36525</v>
      </c>
      <c r="G1017" s="42"/>
      <c r="H1017" s="42"/>
      <c r="I1017" s="42">
        <v>2003</v>
      </c>
      <c r="J1017" s="113">
        <v>8.515970233648E+18</v>
      </c>
    </row>
    <row r="1018" spans="3:10" x14ac:dyDescent="0.3">
      <c r="C1018" s="41" t="b">
        <v>0</v>
      </c>
      <c r="D1018" s="42" t="s">
        <v>66</v>
      </c>
      <c r="E1018" s="42">
        <v>1</v>
      </c>
      <c r="F1018" s="42">
        <v>9.0706289999999995E-2</v>
      </c>
      <c r="G1018" s="42"/>
      <c r="H1018" s="42">
        <v>1200</v>
      </c>
      <c r="I1018" s="42">
        <v>2011</v>
      </c>
      <c r="J1018" s="113">
        <v>8.1536826937620603E+18</v>
      </c>
    </row>
    <row r="1019" spans="3:10" x14ac:dyDescent="0.3">
      <c r="C1019" s="41" t="b">
        <v>0</v>
      </c>
      <c r="D1019" s="42" t="s">
        <v>61</v>
      </c>
      <c r="E1019" s="42">
        <v>1</v>
      </c>
      <c r="F1019" s="42">
        <v>1.4200330000000001</v>
      </c>
      <c r="G1019" s="42"/>
      <c r="H1019" s="42"/>
      <c r="I1019" s="42">
        <v>2010</v>
      </c>
      <c r="J1019" s="113">
        <v>9.3530617506993705E+18</v>
      </c>
    </row>
    <row r="1020" spans="3:10" x14ac:dyDescent="0.3">
      <c r="C1020" s="41" t="b">
        <v>0</v>
      </c>
      <c r="D1020" s="42" t="s">
        <v>61</v>
      </c>
      <c r="E1020" s="42">
        <v>1</v>
      </c>
      <c r="F1020" s="42">
        <v>1.3371181999999999</v>
      </c>
      <c r="G1020" s="42"/>
      <c r="H1020" s="42"/>
      <c r="I1020" s="42">
        <v>2011</v>
      </c>
      <c r="J1020" s="113">
        <v>9.2827822558669904E+16</v>
      </c>
    </row>
    <row r="1021" spans="3:10" x14ac:dyDescent="0.3">
      <c r="C1021" s="41" t="b">
        <v>0</v>
      </c>
      <c r="D1021" s="42" t="s">
        <v>59</v>
      </c>
      <c r="E1021" s="42">
        <v>1</v>
      </c>
      <c r="F1021" s="42"/>
      <c r="G1021" s="42"/>
      <c r="H1021" s="42">
        <v>135</v>
      </c>
      <c r="I1021" s="42">
        <v>2013</v>
      </c>
      <c r="J1021" s="113">
        <v>1.65053501081774E+19</v>
      </c>
    </row>
    <row r="1022" spans="3:10" x14ac:dyDescent="0.3">
      <c r="C1022" s="41" t="b">
        <v>0</v>
      </c>
      <c r="D1022" s="42" t="s">
        <v>59</v>
      </c>
      <c r="E1022" s="42">
        <v>1</v>
      </c>
      <c r="F1022" s="42"/>
      <c r="G1022" s="42"/>
      <c r="H1022" s="42">
        <v>120</v>
      </c>
      <c r="I1022" s="42">
        <v>2013</v>
      </c>
      <c r="J1022" s="113">
        <v>5.4121298235127101E+18</v>
      </c>
    </row>
    <row r="1023" spans="3:10" x14ac:dyDescent="0.3">
      <c r="C1023" s="41" t="b">
        <v>0</v>
      </c>
      <c r="D1023" s="42" t="s">
        <v>59</v>
      </c>
      <c r="E1023" s="42">
        <v>1</v>
      </c>
      <c r="F1023" s="42"/>
      <c r="G1023" s="42"/>
      <c r="H1023" s="42"/>
      <c r="I1023" s="42">
        <v>2010</v>
      </c>
      <c r="J1023" s="113">
        <v>7.2902343599806505E+18</v>
      </c>
    </row>
    <row r="1024" spans="3:10" x14ac:dyDescent="0.3">
      <c r="C1024" s="41" t="b">
        <v>0</v>
      </c>
      <c r="D1024" s="42" t="s">
        <v>61</v>
      </c>
      <c r="E1024" s="42">
        <v>1</v>
      </c>
      <c r="F1024" s="42">
        <v>4.2</v>
      </c>
      <c r="G1024" s="42"/>
      <c r="H1024" s="42">
        <v>8500</v>
      </c>
      <c r="I1024" s="42">
        <v>2006</v>
      </c>
      <c r="J1024" s="113">
        <v>1.2844294858403701E+19</v>
      </c>
    </row>
    <row r="1025" spans="3:10" x14ac:dyDescent="0.3">
      <c r="C1025" s="41" t="b">
        <v>0</v>
      </c>
      <c r="D1025" s="42" t="s">
        <v>61</v>
      </c>
      <c r="E1025" s="42">
        <v>1</v>
      </c>
      <c r="F1025" s="42">
        <v>1.796</v>
      </c>
      <c r="G1025" s="42"/>
      <c r="H1025" s="42">
        <v>8500</v>
      </c>
      <c r="I1025" s="42">
        <v>2006</v>
      </c>
      <c r="J1025" s="113">
        <v>1.28340477607477E+19</v>
      </c>
    </row>
    <row r="1026" spans="3:10" x14ac:dyDescent="0.3">
      <c r="C1026" s="41" t="b">
        <v>0</v>
      </c>
      <c r="D1026" s="42" t="s">
        <v>61</v>
      </c>
      <c r="E1026" s="42">
        <v>1</v>
      </c>
      <c r="F1026" s="42">
        <v>3.030065</v>
      </c>
      <c r="G1026" s="42"/>
      <c r="H1026" s="42">
        <v>152.30000000000001</v>
      </c>
      <c r="I1026" s="42">
        <v>2004</v>
      </c>
      <c r="J1026" s="113">
        <v>4.7420677548248596E+18</v>
      </c>
    </row>
    <row r="1027" spans="3:10" x14ac:dyDescent="0.3">
      <c r="C1027" s="41" t="b">
        <v>0</v>
      </c>
      <c r="D1027" s="42" t="s">
        <v>61</v>
      </c>
      <c r="E1027" s="42">
        <v>1</v>
      </c>
      <c r="F1027" s="42">
        <v>1.3061858099999999</v>
      </c>
      <c r="G1027" s="42"/>
      <c r="H1027" s="42">
        <v>228</v>
      </c>
      <c r="I1027" s="42">
        <v>2007</v>
      </c>
      <c r="J1027" s="113">
        <v>9.3891124417606799E+18</v>
      </c>
    </row>
    <row r="1028" spans="3:10" x14ac:dyDescent="0.3">
      <c r="C1028" s="41" t="b">
        <v>0</v>
      </c>
      <c r="D1028" s="42" t="s">
        <v>61</v>
      </c>
      <c r="E1028" s="42">
        <v>1</v>
      </c>
      <c r="F1028" s="42">
        <v>3.5539450000000001</v>
      </c>
      <c r="G1028" s="42"/>
      <c r="H1028" s="42">
        <v>492</v>
      </c>
      <c r="I1028" s="42">
        <v>2007</v>
      </c>
      <c r="J1028" s="113">
        <v>1.6251866629265199E+19</v>
      </c>
    </row>
    <row r="1029" spans="3:10" x14ac:dyDescent="0.3">
      <c r="C1029" s="41" t="b">
        <v>0</v>
      </c>
      <c r="D1029" s="42" t="s">
        <v>61</v>
      </c>
      <c r="E1029" s="42">
        <v>1</v>
      </c>
      <c r="F1029" s="42">
        <v>1.4822446</v>
      </c>
      <c r="G1029" s="42"/>
      <c r="H1029" s="42">
        <v>360</v>
      </c>
      <c r="I1029" s="42">
        <v>2011</v>
      </c>
      <c r="J1029" s="113">
        <v>1.0475107744185899E+19</v>
      </c>
    </row>
    <row r="1030" spans="3:10" x14ac:dyDescent="0.3">
      <c r="C1030" s="41" t="b">
        <v>0</v>
      </c>
      <c r="D1030" s="42" t="s">
        <v>59</v>
      </c>
      <c r="E1030" s="42">
        <v>1</v>
      </c>
      <c r="F1030" s="42"/>
      <c r="G1030" s="42"/>
      <c r="H1030" s="42"/>
      <c r="I1030" s="42">
        <v>2008</v>
      </c>
      <c r="J1030" s="113">
        <v>1.4084685566169999E+19</v>
      </c>
    </row>
    <row r="1031" spans="3:10" x14ac:dyDescent="0.3">
      <c r="C1031" s="41" t="b">
        <v>0</v>
      </c>
      <c r="D1031" s="42" t="s">
        <v>67</v>
      </c>
      <c r="E1031" s="42">
        <v>1</v>
      </c>
      <c r="F1031" s="42">
        <v>1170</v>
      </c>
      <c r="G1031" s="42"/>
      <c r="H1031" s="42"/>
      <c r="I1031" s="42">
        <v>2007</v>
      </c>
      <c r="J1031" s="113">
        <v>7.0008434686950001E+18</v>
      </c>
    </row>
    <row r="1032" spans="3:10" x14ac:dyDescent="0.3">
      <c r="C1032" s="41" t="b">
        <v>0</v>
      </c>
      <c r="D1032" s="42" t="s">
        <v>61</v>
      </c>
      <c r="E1032" s="42">
        <v>1</v>
      </c>
      <c r="F1032" s="42">
        <v>2.5199449</v>
      </c>
      <c r="G1032" s="42"/>
      <c r="H1032" s="42">
        <v>408</v>
      </c>
      <c r="I1032" s="42">
        <v>2007</v>
      </c>
      <c r="J1032" s="113">
        <v>1.63343853598337E+19</v>
      </c>
    </row>
    <row r="1033" spans="3:10" x14ac:dyDescent="0.3">
      <c r="C1033" s="41" t="b">
        <v>0</v>
      </c>
      <c r="D1033" s="42" t="s">
        <v>61</v>
      </c>
      <c r="E1033" s="42">
        <v>1</v>
      </c>
      <c r="F1033" s="42">
        <v>2.1522260000000002</v>
      </c>
      <c r="G1033" s="42"/>
      <c r="H1033" s="42">
        <v>147</v>
      </c>
      <c r="I1033" s="42">
        <v>2007</v>
      </c>
      <c r="J1033" s="113">
        <v>8.0702414933522801E+18</v>
      </c>
    </row>
    <row r="1034" spans="3:10" x14ac:dyDescent="0.3">
      <c r="C1034" s="41" t="b">
        <v>0</v>
      </c>
      <c r="D1034" s="42" t="s">
        <v>61</v>
      </c>
      <c r="E1034" s="42">
        <v>1</v>
      </c>
      <c r="F1034" s="42">
        <v>1.846835</v>
      </c>
      <c r="G1034" s="42"/>
      <c r="H1034" s="42">
        <v>220</v>
      </c>
      <c r="I1034" s="42">
        <v>2007</v>
      </c>
      <c r="J1034" s="113">
        <v>1.3531109110772699E+19</v>
      </c>
    </row>
    <row r="1035" spans="3:10" x14ac:dyDescent="0.3">
      <c r="C1035" s="41" t="b">
        <v>0</v>
      </c>
      <c r="D1035" s="42" t="s">
        <v>61</v>
      </c>
      <c r="E1035" s="42">
        <v>1</v>
      </c>
      <c r="F1035" s="42">
        <v>1.33823187</v>
      </c>
      <c r="G1035" s="42"/>
      <c r="H1035" s="42">
        <v>300</v>
      </c>
      <c r="I1035" s="42">
        <v>2007</v>
      </c>
      <c r="J1035" s="113">
        <v>3.9821575446986899E+17</v>
      </c>
    </row>
    <row r="1036" spans="3:10" x14ac:dyDescent="0.3">
      <c r="C1036" s="41" t="b">
        <v>0</v>
      </c>
      <c r="D1036" s="42" t="s">
        <v>61</v>
      </c>
      <c r="E1036" s="42">
        <v>1</v>
      </c>
      <c r="F1036" s="42">
        <v>1.6284314200000001</v>
      </c>
      <c r="G1036" s="42"/>
      <c r="H1036" s="42">
        <v>300</v>
      </c>
      <c r="I1036" s="42">
        <v>2008</v>
      </c>
      <c r="J1036" s="113">
        <v>1.56089409311023E+18</v>
      </c>
    </row>
    <row r="1037" spans="3:10" x14ac:dyDescent="0.3">
      <c r="C1037" s="41" t="b">
        <v>0</v>
      </c>
      <c r="D1037" s="42" t="s">
        <v>61</v>
      </c>
      <c r="E1037" s="42">
        <v>1</v>
      </c>
      <c r="F1037" s="42">
        <v>3.3610060000000002</v>
      </c>
      <c r="G1037" s="42"/>
      <c r="H1037" s="42"/>
      <c r="I1037" s="42">
        <v>2009</v>
      </c>
      <c r="J1037" s="113">
        <v>6.4898167926299003E+18</v>
      </c>
    </row>
    <row r="1038" spans="3:10" x14ac:dyDescent="0.3">
      <c r="C1038" s="41" t="b">
        <v>0</v>
      </c>
      <c r="D1038" s="42" t="s">
        <v>61</v>
      </c>
      <c r="E1038" s="42">
        <v>1</v>
      </c>
      <c r="F1038" s="42">
        <v>4.9546580000000002</v>
      </c>
      <c r="G1038" s="42"/>
      <c r="H1038" s="42">
        <v>140</v>
      </c>
      <c r="I1038" s="42">
        <v>2008</v>
      </c>
      <c r="J1038" s="113">
        <v>1.58178358170206E+19</v>
      </c>
    </row>
    <row r="1039" spans="3:10" x14ac:dyDescent="0.3">
      <c r="C1039" s="41" t="b">
        <v>0</v>
      </c>
      <c r="D1039" s="42" t="s">
        <v>61</v>
      </c>
      <c r="E1039" s="42">
        <v>1</v>
      </c>
      <c r="F1039" s="42">
        <v>8.1587150000000008</v>
      </c>
      <c r="G1039" s="42"/>
      <c r="H1039" s="42">
        <v>87</v>
      </c>
      <c r="I1039" s="42">
        <v>2010</v>
      </c>
      <c r="J1039" s="113">
        <v>1.6541101505619E+18</v>
      </c>
    </row>
    <row r="1040" spans="3:10" x14ac:dyDescent="0.3">
      <c r="C1040" s="41" t="b">
        <v>0</v>
      </c>
      <c r="D1040" s="42" t="s">
        <v>61</v>
      </c>
      <c r="E1040" s="42">
        <v>1</v>
      </c>
      <c r="F1040" s="42">
        <v>3.0927616000000002</v>
      </c>
      <c r="G1040" s="42"/>
      <c r="H1040" s="42">
        <v>90</v>
      </c>
      <c r="I1040" s="42">
        <v>2008</v>
      </c>
      <c r="J1040" s="113">
        <v>1.7175039053402499E+19</v>
      </c>
    </row>
    <row r="1041" spans="3:10" x14ac:dyDescent="0.3">
      <c r="C1041" s="41" t="b">
        <v>0</v>
      </c>
      <c r="D1041" s="42" t="s">
        <v>61</v>
      </c>
      <c r="E1041" s="42">
        <v>1</v>
      </c>
      <c r="F1041" s="42">
        <v>3.7224746999999998</v>
      </c>
      <c r="G1041" s="42"/>
      <c r="H1041" s="42">
        <v>121.7</v>
      </c>
      <c r="I1041" s="42">
        <v>2008</v>
      </c>
      <c r="J1041" s="113">
        <v>1.24087758026618E+19</v>
      </c>
    </row>
    <row r="1042" spans="3:10" x14ac:dyDescent="0.3">
      <c r="C1042" s="41" t="b">
        <v>0</v>
      </c>
      <c r="D1042" s="42" t="s">
        <v>61</v>
      </c>
      <c r="E1042" s="42">
        <v>1</v>
      </c>
      <c r="F1042" s="42">
        <v>1.091423</v>
      </c>
      <c r="G1042" s="42"/>
      <c r="H1042" s="42"/>
      <c r="I1042" s="42">
        <v>2008</v>
      </c>
      <c r="J1042" s="113">
        <v>3.2592605303984502E+18</v>
      </c>
    </row>
    <row r="1043" spans="3:10" x14ac:dyDescent="0.3">
      <c r="C1043" s="41" t="b">
        <v>0</v>
      </c>
      <c r="D1043" s="42" t="s">
        <v>61</v>
      </c>
      <c r="E1043" s="42">
        <v>1</v>
      </c>
      <c r="F1043" s="42">
        <v>4.3530110000000004</v>
      </c>
      <c r="G1043" s="42"/>
      <c r="H1043" s="42">
        <v>155</v>
      </c>
      <c r="I1043" s="42">
        <v>2009</v>
      </c>
      <c r="J1043" s="113">
        <v>3.13221317717965E+18</v>
      </c>
    </row>
    <row r="1044" spans="3:10" x14ac:dyDescent="0.3">
      <c r="C1044" s="41" t="b">
        <v>0</v>
      </c>
      <c r="D1044" s="42" t="s">
        <v>61</v>
      </c>
      <c r="E1044" s="42">
        <v>1</v>
      </c>
      <c r="F1044" s="42">
        <v>2.2437520000000002</v>
      </c>
      <c r="G1044" s="42"/>
      <c r="H1044" s="42">
        <v>160</v>
      </c>
      <c r="I1044" s="42">
        <v>2008</v>
      </c>
      <c r="J1044" s="113">
        <v>1.42695819280179E+19</v>
      </c>
    </row>
    <row r="1045" spans="3:10" x14ac:dyDescent="0.3">
      <c r="C1045" s="41" t="b">
        <v>0</v>
      </c>
      <c r="D1045" s="42" t="s">
        <v>61</v>
      </c>
      <c r="E1045" s="42">
        <v>1</v>
      </c>
      <c r="F1045" s="42">
        <v>3.7520655999999999</v>
      </c>
      <c r="G1045" s="42"/>
      <c r="H1045" s="42"/>
      <c r="I1045" s="42">
        <v>2009</v>
      </c>
      <c r="J1045" s="113">
        <v>7.7879646806362803E+17</v>
      </c>
    </row>
    <row r="1046" spans="3:10" x14ac:dyDescent="0.3">
      <c r="C1046" s="41" t="b">
        <v>0</v>
      </c>
      <c r="D1046" s="42" t="s">
        <v>61</v>
      </c>
      <c r="E1046" s="42">
        <v>1</v>
      </c>
      <c r="F1046" s="42">
        <v>3.1186009000000001</v>
      </c>
      <c r="G1046" s="42"/>
      <c r="H1046" s="42"/>
      <c r="I1046" s="42">
        <v>2009</v>
      </c>
      <c r="J1046" s="113">
        <v>1.4110895575263101E+19</v>
      </c>
    </row>
    <row r="1047" spans="3:10" x14ac:dyDescent="0.3">
      <c r="C1047" s="41" t="b">
        <v>0</v>
      </c>
      <c r="D1047" s="42" t="s">
        <v>61</v>
      </c>
      <c r="E1047" s="42">
        <v>1</v>
      </c>
      <c r="F1047" s="42">
        <v>3.7354417</v>
      </c>
      <c r="G1047" s="42"/>
      <c r="H1047" s="42">
        <v>400</v>
      </c>
      <c r="I1047" s="42">
        <v>2009</v>
      </c>
      <c r="J1047" s="113">
        <v>1.0993930957826001E+19</v>
      </c>
    </row>
    <row r="1048" spans="3:10" x14ac:dyDescent="0.3">
      <c r="C1048" s="41" t="b">
        <v>0</v>
      </c>
      <c r="D1048" s="42" t="s">
        <v>61</v>
      </c>
      <c r="E1048" s="42">
        <v>1</v>
      </c>
      <c r="F1048" s="42">
        <v>0.94145299000000005</v>
      </c>
      <c r="G1048" s="42"/>
      <c r="H1048" s="42">
        <v>105.49</v>
      </c>
      <c r="I1048" s="42">
        <v>2009</v>
      </c>
      <c r="J1048" s="113">
        <v>2.7375104056329902E+18</v>
      </c>
    </row>
    <row r="1049" spans="3:10" x14ac:dyDescent="0.3">
      <c r="C1049" s="41" t="b">
        <v>0</v>
      </c>
      <c r="D1049" s="42" t="s">
        <v>61</v>
      </c>
      <c r="E1049" s="42">
        <v>1</v>
      </c>
      <c r="F1049" s="42">
        <v>0.78883999999999999</v>
      </c>
      <c r="G1049" s="42"/>
      <c r="H1049" s="42">
        <v>250</v>
      </c>
      <c r="I1049" s="42">
        <v>2009</v>
      </c>
      <c r="J1049" s="113">
        <v>1.5613036408820301E+18</v>
      </c>
    </row>
    <row r="1050" spans="3:10" x14ac:dyDescent="0.3">
      <c r="C1050" s="41" t="b">
        <v>0</v>
      </c>
      <c r="D1050" s="42" t="s">
        <v>61</v>
      </c>
      <c r="E1050" s="42">
        <v>1</v>
      </c>
      <c r="F1050" s="42">
        <v>4.3224819999999999</v>
      </c>
      <c r="G1050" s="42"/>
      <c r="H1050" s="42">
        <v>242</v>
      </c>
      <c r="I1050" s="42">
        <v>2010</v>
      </c>
      <c r="J1050" s="113">
        <v>5.7339869869266801E+18</v>
      </c>
    </row>
    <row r="1051" spans="3:10" x14ac:dyDescent="0.3">
      <c r="C1051" s="41" t="b">
        <v>0</v>
      </c>
      <c r="D1051" s="42" t="s">
        <v>61</v>
      </c>
      <c r="E1051" s="42">
        <v>1</v>
      </c>
      <c r="F1051" s="42">
        <v>3.5327313</v>
      </c>
      <c r="G1051" s="42"/>
      <c r="H1051" s="42">
        <v>300</v>
      </c>
      <c r="I1051" s="42">
        <v>2010</v>
      </c>
      <c r="J1051" s="113">
        <v>1.42888690076275E+19</v>
      </c>
    </row>
    <row r="1052" spans="3:10" x14ac:dyDescent="0.3">
      <c r="C1052" s="41" t="b">
        <v>0</v>
      </c>
      <c r="D1052" s="42" t="s">
        <v>61</v>
      </c>
      <c r="E1052" s="42">
        <v>1</v>
      </c>
      <c r="F1052" s="42">
        <v>2.9444256000000002</v>
      </c>
      <c r="G1052" s="42"/>
      <c r="H1052" s="42"/>
      <c r="I1052" s="42">
        <v>2010</v>
      </c>
      <c r="J1052" s="113">
        <v>9.9356944691713802E+18</v>
      </c>
    </row>
    <row r="1053" spans="3:10" x14ac:dyDescent="0.3">
      <c r="C1053" s="41" t="b">
        <v>0</v>
      </c>
      <c r="D1053" s="42" t="s">
        <v>61</v>
      </c>
      <c r="E1053" s="42">
        <v>1</v>
      </c>
      <c r="F1053" s="42">
        <v>2.3412124200000002</v>
      </c>
      <c r="G1053" s="42"/>
      <c r="H1053" s="42"/>
      <c r="I1053" s="42">
        <v>2010</v>
      </c>
      <c r="J1053" s="113">
        <v>5.4776419887550904E+18</v>
      </c>
    </row>
    <row r="1054" spans="3:10" x14ac:dyDescent="0.3">
      <c r="C1054" s="41" t="b">
        <v>0</v>
      </c>
      <c r="D1054" s="42" t="s">
        <v>61</v>
      </c>
      <c r="E1054" s="42">
        <v>1</v>
      </c>
      <c r="F1054" s="42">
        <v>3.7648250000000001</v>
      </c>
      <c r="G1054" s="42"/>
      <c r="H1054" s="42"/>
      <c r="I1054" s="42">
        <v>2010</v>
      </c>
      <c r="J1054" s="113">
        <v>1.17547964163932E+19</v>
      </c>
    </row>
    <row r="1055" spans="3:10" x14ac:dyDescent="0.3">
      <c r="C1055" s="41" t="b">
        <v>0</v>
      </c>
      <c r="D1055" s="42" t="s">
        <v>61</v>
      </c>
      <c r="E1055" s="42">
        <v>1</v>
      </c>
      <c r="F1055" s="42">
        <v>2.7566004</v>
      </c>
      <c r="G1055" s="42"/>
      <c r="H1055" s="42">
        <v>250</v>
      </c>
      <c r="I1055" s="42">
        <v>2010</v>
      </c>
      <c r="J1055" s="113">
        <v>2.2852740228196401E+18</v>
      </c>
    </row>
    <row r="1056" spans="3:10" x14ac:dyDescent="0.3">
      <c r="C1056" s="41" t="b">
        <v>0</v>
      </c>
      <c r="D1056" s="42" t="s">
        <v>61</v>
      </c>
      <c r="E1056" s="42">
        <v>1</v>
      </c>
      <c r="F1056" s="42">
        <v>3.4088210000000001</v>
      </c>
      <c r="G1056" s="42"/>
      <c r="H1056" s="42"/>
      <c r="I1056" s="42">
        <v>2010</v>
      </c>
      <c r="J1056" s="113">
        <v>1.6153509517717101E+19</v>
      </c>
    </row>
    <row r="1057" spans="3:10" x14ac:dyDescent="0.3">
      <c r="C1057" s="41" t="b">
        <v>0</v>
      </c>
      <c r="D1057" s="42" t="s">
        <v>61</v>
      </c>
      <c r="E1057" s="42">
        <v>1</v>
      </c>
      <c r="F1057" s="42">
        <v>3.9227270000000001</v>
      </c>
      <c r="G1057" s="42"/>
      <c r="H1057" s="42">
        <v>70</v>
      </c>
      <c r="I1057" s="42">
        <v>2010</v>
      </c>
      <c r="J1057" s="113">
        <v>9.8647070850202604E+18</v>
      </c>
    </row>
    <row r="1058" spans="3:10" x14ac:dyDescent="0.3">
      <c r="C1058" s="41" t="b">
        <v>0</v>
      </c>
      <c r="D1058" s="42" t="s">
        <v>61</v>
      </c>
      <c r="E1058" s="42">
        <v>1</v>
      </c>
      <c r="F1058" s="42">
        <v>3.4059096000000002</v>
      </c>
      <c r="G1058" s="42"/>
      <c r="H1058" s="42">
        <v>360</v>
      </c>
      <c r="I1058" s="42">
        <v>2010</v>
      </c>
      <c r="J1058" s="113">
        <v>7.8376680332660797E+18</v>
      </c>
    </row>
    <row r="1059" spans="3:10" x14ac:dyDescent="0.3">
      <c r="C1059" s="41" t="b">
        <v>0</v>
      </c>
      <c r="D1059" s="42" t="s">
        <v>61</v>
      </c>
      <c r="E1059" s="42">
        <v>1</v>
      </c>
      <c r="F1059" s="42">
        <v>2.7186590000000002</v>
      </c>
      <c r="G1059" s="42"/>
      <c r="H1059" s="42"/>
      <c r="I1059" s="42">
        <v>2010</v>
      </c>
      <c r="J1059" s="113">
        <v>4.9245972146115502E+18</v>
      </c>
    </row>
    <row r="1060" spans="3:10" x14ac:dyDescent="0.3">
      <c r="C1060" s="41" t="b">
        <v>0</v>
      </c>
      <c r="D1060" s="42" t="s">
        <v>61</v>
      </c>
      <c r="E1060" s="42">
        <v>1</v>
      </c>
      <c r="F1060" s="42">
        <v>1.2198669</v>
      </c>
      <c r="G1060" s="42"/>
      <c r="H1060" s="42">
        <v>116.14</v>
      </c>
      <c r="I1060" s="42">
        <v>2010</v>
      </c>
      <c r="J1060" s="113">
        <v>1.39504029709245E+18</v>
      </c>
    </row>
    <row r="1061" spans="3:10" x14ac:dyDescent="0.3">
      <c r="C1061" s="41" t="b">
        <v>0</v>
      </c>
      <c r="D1061" s="42" t="s">
        <v>61</v>
      </c>
      <c r="E1061" s="42">
        <v>1</v>
      </c>
      <c r="F1061" s="42">
        <v>4.3176781999999996</v>
      </c>
      <c r="G1061" s="42"/>
      <c r="H1061" s="42">
        <v>120</v>
      </c>
      <c r="I1061" s="42">
        <v>2010</v>
      </c>
      <c r="J1061" s="113">
        <v>1.6217014358478201E+19</v>
      </c>
    </row>
    <row r="1062" spans="3:10" x14ac:dyDescent="0.3">
      <c r="C1062" s="41" t="b">
        <v>0</v>
      </c>
      <c r="D1062" s="42" t="s">
        <v>61</v>
      </c>
      <c r="E1062" s="42">
        <v>1</v>
      </c>
      <c r="F1062" s="42">
        <v>3.161575</v>
      </c>
      <c r="G1062" s="42"/>
      <c r="H1062" s="42"/>
      <c r="I1062" s="42">
        <v>2011</v>
      </c>
      <c r="J1062" s="113">
        <v>9.4571452592129696E+16</v>
      </c>
    </row>
    <row r="1063" spans="3:10" x14ac:dyDescent="0.3">
      <c r="C1063" s="41" t="b">
        <v>0</v>
      </c>
      <c r="D1063" s="42" t="s">
        <v>61</v>
      </c>
      <c r="E1063" s="42">
        <v>1</v>
      </c>
      <c r="F1063" s="42">
        <v>1.5373653</v>
      </c>
      <c r="G1063" s="42"/>
      <c r="H1063" s="42">
        <v>450</v>
      </c>
      <c r="I1063" s="42">
        <v>2011</v>
      </c>
      <c r="J1063" s="113">
        <v>3.82690389883616E+18</v>
      </c>
    </row>
    <row r="1064" spans="3:10" x14ac:dyDescent="0.3">
      <c r="C1064" s="41" t="b">
        <v>0</v>
      </c>
      <c r="D1064" s="42" t="s">
        <v>61</v>
      </c>
      <c r="E1064" s="42">
        <v>1</v>
      </c>
      <c r="F1064" s="42">
        <v>3.5774689999999998</v>
      </c>
      <c r="G1064" s="42"/>
      <c r="H1064" s="42">
        <v>343</v>
      </c>
      <c r="I1064" s="42">
        <v>2010</v>
      </c>
      <c r="J1064" s="113">
        <v>1.02314084972322E+18</v>
      </c>
    </row>
    <row r="1065" spans="3:10" x14ac:dyDescent="0.3">
      <c r="C1065" s="41" t="b">
        <v>0</v>
      </c>
      <c r="D1065" s="42" t="s">
        <v>61</v>
      </c>
      <c r="E1065" s="42">
        <v>1</v>
      </c>
      <c r="F1065" s="42">
        <v>6.8718149999999998</v>
      </c>
      <c r="G1065" s="42"/>
      <c r="H1065" s="42">
        <v>110</v>
      </c>
      <c r="I1065" s="42">
        <v>2010</v>
      </c>
      <c r="J1065" s="113">
        <v>1.34704461664983E+19</v>
      </c>
    </row>
    <row r="1066" spans="3:10" x14ac:dyDescent="0.3">
      <c r="C1066" s="41" t="b">
        <v>0</v>
      </c>
      <c r="D1066" s="42" t="s">
        <v>61</v>
      </c>
      <c r="E1066" s="42">
        <v>1</v>
      </c>
      <c r="F1066" s="42">
        <v>4.0552590000000004</v>
      </c>
      <c r="G1066" s="42"/>
      <c r="H1066" s="42">
        <v>230</v>
      </c>
      <c r="I1066" s="42">
        <v>2011</v>
      </c>
      <c r="J1066" s="113">
        <v>1.70807678483636E+19</v>
      </c>
    </row>
    <row r="1067" spans="3:10" x14ac:dyDescent="0.3">
      <c r="C1067" s="41" t="b">
        <v>0</v>
      </c>
      <c r="D1067" s="42" t="s">
        <v>61</v>
      </c>
      <c r="E1067" s="42">
        <v>1</v>
      </c>
      <c r="F1067" s="42">
        <v>3.0524010000000001</v>
      </c>
      <c r="G1067" s="42"/>
      <c r="H1067" s="42">
        <v>180</v>
      </c>
      <c r="I1067" s="42">
        <v>2010</v>
      </c>
      <c r="J1067" s="113">
        <v>8.3800613561113201E+18</v>
      </c>
    </row>
    <row r="1068" spans="3:10" x14ac:dyDescent="0.3">
      <c r="C1068" s="41" t="b">
        <v>0</v>
      </c>
      <c r="D1068" s="42" t="s">
        <v>61</v>
      </c>
      <c r="E1068" s="42">
        <v>1</v>
      </c>
      <c r="F1068" s="42">
        <v>4.9816871999999996</v>
      </c>
      <c r="G1068" s="42"/>
      <c r="H1068" s="42">
        <v>160</v>
      </c>
      <c r="I1068" s="42">
        <v>2012</v>
      </c>
      <c r="J1068" s="113">
        <v>6.77339141642526E+18</v>
      </c>
    </row>
    <row r="1069" spans="3:10" x14ac:dyDescent="0.3">
      <c r="C1069" s="41" t="b">
        <v>0</v>
      </c>
      <c r="D1069" s="42" t="s">
        <v>61</v>
      </c>
      <c r="E1069" s="42">
        <v>1</v>
      </c>
      <c r="F1069" s="42">
        <v>0.81347499999999995</v>
      </c>
      <c r="G1069" s="42"/>
      <c r="H1069" s="42">
        <v>80</v>
      </c>
      <c r="I1069" s="42">
        <v>2011</v>
      </c>
      <c r="J1069" s="113">
        <v>5.8835507584936202E+18</v>
      </c>
    </row>
    <row r="1070" spans="3:10" x14ac:dyDescent="0.3">
      <c r="C1070" s="41" t="b">
        <v>0</v>
      </c>
      <c r="D1070" s="42" t="s">
        <v>61</v>
      </c>
      <c r="E1070" s="42">
        <v>1</v>
      </c>
      <c r="F1070" s="42">
        <v>2.4238038999999998</v>
      </c>
      <c r="G1070" s="42"/>
      <c r="H1070" s="42"/>
      <c r="I1070" s="42">
        <v>2011</v>
      </c>
      <c r="J1070" s="113">
        <v>1.0256760048824E+18</v>
      </c>
    </row>
    <row r="1071" spans="3:10" x14ac:dyDescent="0.3">
      <c r="C1071" s="41" t="b">
        <v>0</v>
      </c>
      <c r="D1071" s="42" t="s">
        <v>61</v>
      </c>
      <c r="E1071" s="42">
        <v>1</v>
      </c>
      <c r="F1071" s="42">
        <v>3.1260876</v>
      </c>
      <c r="G1071" s="42"/>
      <c r="H1071" s="42"/>
      <c r="I1071" s="42">
        <v>2011</v>
      </c>
      <c r="J1071" s="113">
        <v>1.7328445297803399E+19</v>
      </c>
    </row>
    <row r="1072" spans="3:10" x14ac:dyDescent="0.3">
      <c r="C1072" s="41" t="b">
        <v>0</v>
      </c>
      <c r="D1072" s="42" t="s">
        <v>61</v>
      </c>
      <c r="E1072" s="42">
        <v>1</v>
      </c>
      <c r="F1072" s="42">
        <v>1.4303699999999999</v>
      </c>
      <c r="G1072" s="42"/>
      <c r="H1072" s="42"/>
      <c r="I1072" s="42">
        <v>2011</v>
      </c>
      <c r="J1072" s="113">
        <v>5.1559622079082701E+18</v>
      </c>
    </row>
    <row r="1073" spans="3:10" x14ac:dyDescent="0.3">
      <c r="C1073" s="41" t="b">
        <v>0</v>
      </c>
      <c r="D1073" s="42" t="s">
        <v>61</v>
      </c>
      <c r="E1073" s="42">
        <v>1</v>
      </c>
      <c r="F1073" s="42">
        <v>4.1591398999999996</v>
      </c>
      <c r="G1073" s="42"/>
      <c r="H1073" s="42">
        <v>200</v>
      </c>
      <c r="I1073" s="42">
        <v>2012</v>
      </c>
      <c r="J1073" s="113">
        <v>9.9095452775211991E+18</v>
      </c>
    </row>
    <row r="1074" spans="3:10" x14ac:dyDescent="0.3">
      <c r="C1074" s="41" t="b">
        <v>0</v>
      </c>
      <c r="D1074" s="42" t="s">
        <v>61</v>
      </c>
      <c r="E1074" s="42">
        <v>1</v>
      </c>
      <c r="F1074" s="42">
        <v>2.143634</v>
      </c>
      <c r="G1074" s="42"/>
      <c r="H1074" s="42"/>
      <c r="I1074" s="42">
        <v>2011</v>
      </c>
      <c r="J1074" s="113">
        <v>8.0204521409506099E+18</v>
      </c>
    </row>
    <row r="1075" spans="3:10" x14ac:dyDescent="0.3">
      <c r="C1075" s="41" t="b">
        <v>0</v>
      </c>
      <c r="D1075" s="42" t="s">
        <v>61</v>
      </c>
      <c r="E1075" s="42">
        <v>1</v>
      </c>
      <c r="F1075" s="42">
        <v>2.7817387</v>
      </c>
      <c r="G1075" s="42"/>
      <c r="H1075" s="42">
        <v>170</v>
      </c>
      <c r="I1075" s="42">
        <v>2012</v>
      </c>
      <c r="J1075" s="113">
        <v>6.0378175010055598E+18</v>
      </c>
    </row>
    <row r="1076" spans="3:10" x14ac:dyDescent="0.3">
      <c r="C1076" s="41" t="b">
        <v>0</v>
      </c>
      <c r="D1076" s="42" t="s">
        <v>61</v>
      </c>
      <c r="E1076" s="42">
        <v>1</v>
      </c>
      <c r="F1076" s="42">
        <v>1.9550959000000001</v>
      </c>
      <c r="G1076" s="42"/>
      <c r="H1076" s="42">
        <v>230</v>
      </c>
      <c r="I1076" s="42">
        <v>2011</v>
      </c>
      <c r="J1076" s="113">
        <v>7.2180566029667904E+17</v>
      </c>
    </row>
    <row r="1077" spans="3:10" x14ac:dyDescent="0.3">
      <c r="C1077" s="41" t="b">
        <v>0</v>
      </c>
      <c r="D1077" s="42" t="s">
        <v>61</v>
      </c>
      <c r="E1077" s="42">
        <v>1</v>
      </c>
      <c r="F1077" s="42">
        <v>1.7497798</v>
      </c>
      <c r="G1077" s="42"/>
      <c r="H1077" s="42">
        <v>140</v>
      </c>
      <c r="I1077" s="42">
        <v>2012</v>
      </c>
      <c r="J1077" s="113">
        <v>4.7156644385747302E+18</v>
      </c>
    </row>
    <row r="1078" spans="3:10" x14ac:dyDescent="0.3">
      <c r="C1078" s="41" t="b">
        <v>0</v>
      </c>
      <c r="D1078" s="42" t="s">
        <v>61</v>
      </c>
      <c r="E1078" s="42">
        <v>1</v>
      </c>
      <c r="F1078" s="42">
        <v>3.6936410999999998</v>
      </c>
      <c r="G1078" s="42"/>
      <c r="H1078" s="42">
        <v>200</v>
      </c>
      <c r="I1078" s="42">
        <v>2012</v>
      </c>
      <c r="J1078" s="113">
        <v>1.4216662690113401E+19</v>
      </c>
    </row>
    <row r="1079" spans="3:10" x14ac:dyDescent="0.3">
      <c r="C1079" s="41" t="b">
        <v>0</v>
      </c>
      <c r="D1079" s="42" t="s">
        <v>61</v>
      </c>
      <c r="E1079" s="42">
        <v>1</v>
      </c>
      <c r="F1079" s="42">
        <v>4.4656330000000004</v>
      </c>
      <c r="G1079" s="42"/>
      <c r="H1079" s="42">
        <v>330</v>
      </c>
      <c r="I1079" s="42">
        <v>2012</v>
      </c>
      <c r="J1079" s="113">
        <v>1.20946789173796E+19</v>
      </c>
    </row>
    <row r="1080" spans="3:10" x14ac:dyDescent="0.3">
      <c r="C1080" s="41" t="b">
        <v>0</v>
      </c>
      <c r="D1080" s="42" t="s">
        <v>61</v>
      </c>
      <c r="E1080" s="42">
        <v>1</v>
      </c>
      <c r="F1080" s="42">
        <v>4.6171009999999999</v>
      </c>
      <c r="G1080" s="42"/>
      <c r="H1080" s="42">
        <v>255</v>
      </c>
      <c r="I1080" s="42">
        <v>2012</v>
      </c>
      <c r="J1080" s="113">
        <v>1.3044063956035899E+19</v>
      </c>
    </row>
    <row r="1081" spans="3:10" x14ac:dyDescent="0.3">
      <c r="C1081" s="41" t="b">
        <v>0</v>
      </c>
      <c r="D1081" s="42" t="s">
        <v>61</v>
      </c>
      <c r="E1081" s="42">
        <v>1</v>
      </c>
      <c r="F1081" s="42">
        <v>2.8389709999999999</v>
      </c>
      <c r="G1081" s="42"/>
      <c r="H1081" s="42">
        <v>455</v>
      </c>
      <c r="I1081" s="42">
        <v>2012</v>
      </c>
      <c r="J1081" s="113">
        <v>1.30110885975529E+19</v>
      </c>
    </row>
    <row r="1082" spans="3:10" x14ac:dyDescent="0.3">
      <c r="C1082" s="41" t="b">
        <v>0</v>
      </c>
      <c r="D1082" s="42" t="s">
        <v>61</v>
      </c>
      <c r="E1082" s="42">
        <v>1</v>
      </c>
      <c r="F1082" s="42">
        <v>5.0171799999999998</v>
      </c>
      <c r="G1082" s="42"/>
      <c r="H1082" s="42">
        <v>300</v>
      </c>
      <c r="I1082" s="42">
        <v>2012</v>
      </c>
      <c r="J1082" s="113">
        <v>4.9152230041738004E+18</v>
      </c>
    </row>
    <row r="1083" spans="3:10" x14ac:dyDescent="0.3">
      <c r="C1083" s="41" t="b">
        <v>0</v>
      </c>
      <c r="D1083" s="42" t="s">
        <v>61</v>
      </c>
      <c r="E1083" s="42">
        <v>1</v>
      </c>
      <c r="F1083" s="42">
        <v>7.9195849999999997</v>
      </c>
      <c r="G1083" s="42"/>
      <c r="H1083" s="42">
        <v>125</v>
      </c>
      <c r="I1083" s="42">
        <v>2012</v>
      </c>
      <c r="J1083" s="113">
        <v>1.4874922913770299E+18</v>
      </c>
    </row>
    <row r="1084" spans="3:10" x14ac:dyDescent="0.3">
      <c r="C1084" s="41" t="b">
        <v>0</v>
      </c>
      <c r="D1084" s="42" t="s">
        <v>61</v>
      </c>
      <c r="E1084" s="42">
        <v>1</v>
      </c>
      <c r="F1084" s="42">
        <v>4.3050011000000001</v>
      </c>
      <c r="G1084" s="42"/>
      <c r="H1084" s="42">
        <v>400</v>
      </c>
      <c r="I1084" s="42">
        <v>2012</v>
      </c>
      <c r="J1084" s="113">
        <v>7.2443958966473196E+18</v>
      </c>
    </row>
    <row r="1085" spans="3:10" x14ac:dyDescent="0.3">
      <c r="C1085" s="41" t="b">
        <v>0</v>
      </c>
      <c r="D1085" s="42" t="s">
        <v>61</v>
      </c>
      <c r="E1085" s="42">
        <v>1</v>
      </c>
      <c r="F1085" s="42">
        <v>3.8559000000000001</v>
      </c>
      <c r="G1085" s="42"/>
      <c r="H1085" s="42">
        <v>480</v>
      </c>
      <c r="I1085" s="42">
        <v>2012</v>
      </c>
      <c r="J1085" s="113">
        <v>4.4585184386719401E+18</v>
      </c>
    </row>
    <row r="1086" spans="3:10" x14ac:dyDescent="0.3">
      <c r="C1086" s="41" t="b">
        <v>0</v>
      </c>
      <c r="D1086" s="42" t="s">
        <v>61</v>
      </c>
      <c r="E1086" s="42">
        <v>1</v>
      </c>
      <c r="F1086" s="42">
        <v>4.4119529999999996</v>
      </c>
      <c r="G1086" s="42"/>
      <c r="H1086" s="42">
        <v>160</v>
      </c>
      <c r="I1086" s="42">
        <v>2012</v>
      </c>
      <c r="J1086" s="113">
        <v>1.6314033734632599E+18</v>
      </c>
    </row>
    <row r="1087" spans="3:10" x14ac:dyDescent="0.3">
      <c r="C1087" s="41" t="b">
        <v>0</v>
      </c>
      <c r="D1087" s="42" t="s">
        <v>61</v>
      </c>
      <c r="E1087" s="42">
        <v>1</v>
      </c>
      <c r="F1087" s="42">
        <v>4.3780900000000003</v>
      </c>
      <c r="G1087" s="42"/>
      <c r="H1087" s="42">
        <v>330</v>
      </c>
      <c r="I1087" s="42">
        <v>2012</v>
      </c>
      <c r="J1087" s="113">
        <v>5.05268118218376E+17</v>
      </c>
    </row>
    <row r="1088" spans="3:10" x14ac:dyDescent="0.3">
      <c r="C1088" s="41" t="b">
        <v>0</v>
      </c>
      <c r="D1088" s="42" t="s">
        <v>61</v>
      </c>
      <c r="E1088" s="42">
        <v>1</v>
      </c>
      <c r="F1088" s="42">
        <v>1.5732918</v>
      </c>
      <c r="G1088" s="42"/>
      <c r="H1088" s="42">
        <v>350</v>
      </c>
      <c r="I1088" s="42">
        <v>2012</v>
      </c>
      <c r="J1088" s="113">
        <v>1.7696314180190501E+19</v>
      </c>
    </row>
    <row r="1089" spans="3:10" x14ac:dyDescent="0.3">
      <c r="C1089" s="41" t="b">
        <v>0</v>
      </c>
      <c r="D1089" s="42" t="s">
        <v>61</v>
      </c>
      <c r="E1089" s="42">
        <v>1</v>
      </c>
      <c r="F1089" s="42">
        <v>2.3114243000000001</v>
      </c>
      <c r="G1089" s="42"/>
      <c r="H1089" s="42">
        <v>310</v>
      </c>
      <c r="I1089" s="42">
        <v>2013</v>
      </c>
      <c r="J1089" s="113">
        <v>1.5403918546802201E+19</v>
      </c>
    </row>
    <row r="1090" spans="3:10" x14ac:dyDescent="0.3">
      <c r="C1090" s="41" t="b">
        <v>0</v>
      </c>
      <c r="D1090" s="42" t="s">
        <v>61</v>
      </c>
      <c r="E1090" s="42">
        <v>1</v>
      </c>
      <c r="F1090" s="42">
        <v>4.0860519999999996</v>
      </c>
      <c r="G1090" s="42"/>
      <c r="H1090" s="42">
        <v>380</v>
      </c>
      <c r="I1090" s="42">
        <v>2012</v>
      </c>
      <c r="J1090" s="113">
        <v>8.9725197136129905E+18</v>
      </c>
    </row>
    <row r="1091" spans="3:10" x14ac:dyDescent="0.3">
      <c r="C1091" s="41" t="b">
        <v>0</v>
      </c>
      <c r="D1091" s="42" t="s">
        <v>61</v>
      </c>
      <c r="E1091" s="42">
        <v>1</v>
      </c>
      <c r="F1091" s="42">
        <v>4.61442</v>
      </c>
      <c r="G1091" s="42"/>
      <c r="H1091" s="42">
        <v>225</v>
      </c>
      <c r="I1091" s="42">
        <v>2012</v>
      </c>
      <c r="J1091" s="113">
        <v>6.4912788323775898E+18</v>
      </c>
    </row>
    <row r="1092" spans="3:10" x14ac:dyDescent="0.3">
      <c r="C1092" s="41" t="b">
        <v>0</v>
      </c>
      <c r="D1092" s="42" t="s">
        <v>61</v>
      </c>
      <c r="E1092" s="42">
        <v>1</v>
      </c>
      <c r="F1092" s="42">
        <v>2.9036746999999998</v>
      </c>
      <c r="G1092" s="42"/>
      <c r="H1092" s="42">
        <v>345</v>
      </c>
      <c r="I1092" s="42">
        <v>2012</v>
      </c>
      <c r="J1092" s="113">
        <v>6.2192713904319601E+18</v>
      </c>
    </row>
    <row r="1093" spans="3:10" x14ac:dyDescent="0.3">
      <c r="C1093" s="41" t="b">
        <v>0</v>
      </c>
      <c r="D1093" s="42" t="s">
        <v>61</v>
      </c>
      <c r="E1093" s="42">
        <v>1</v>
      </c>
      <c r="F1093" s="42">
        <v>2.2167420999999998</v>
      </c>
      <c r="G1093" s="42"/>
      <c r="H1093" s="42">
        <v>340</v>
      </c>
      <c r="I1093" s="42">
        <v>2012</v>
      </c>
      <c r="J1093" s="113">
        <v>6.4548102660169101E+17</v>
      </c>
    </row>
    <row r="1094" spans="3:10" x14ac:dyDescent="0.3">
      <c r="C1094" s="41" t="b">
        <v>0</v>
      </c>
      <c r="D1094" s="42" t="s">
        <v>61</v>
      </c>
      <c r="E1094" s="42">
        <v>1</v>
      </c>
      <c r="F1094" s="42">
        <v>2.4841929999999999</v>
      </c>
      <c r="G1094" s="42"/>
      <c r="H1094" s="42">
        <v>260</v>
      </c>
      <c r="I1094" s="42">
        <v>2013</v>
      </c>
      <c r="J1094" s="113">
        <v>1.42938365908033E+19</v>
      </c>
    </row>
    <row r="1095" spans="3:10" x14ac:dyDescent="0.3">
      <c r="C1095" s="41" t="b">
        <v>0</v>
      </c>
      <c r="D1095" s="42" t="s">
        <v>61</v>
      </c>
      <c r="E1095" s="42">
        <v>1</v>
      </c>
      <c r="F1095" s="42">
        <v>1.3600308999999999</v>
      </c>
      <c r="G1095" s="42"/>
      <c r="H1095" s="42">
        <v>93</v>
      </c>
      <c r="I1095" s="42">
        <v>2012</v>
      </c>
      <c r="J1095" s="113">
        <v>4.0944594738586501E+18</v>
      </c>
    </row>
    <row r="1096" spans="3:10" x14ac:dyDescent="0.3">
      <c r="C1096" s="41" t="b">
        <v>0</v>
      </c>
      <c r="D1096" s="42" t="s">
        <v>61</v>
      </c>
      <c r="E1096" s="42">
        <v>1</v>
      </c>
      <c r="F1096" s="42">
        <v>2.1751763199999998</v>
      </c>
      <c r="G1096" s="42"/>
      <c r="H1096" s="42">
        <v>550</v>
      </c>
      <c r="I1096" s="42">
        <v>2012</v>
      </c>
      <c r="J1096" s="113">
        <v>1.3757415279199199E+19</v>
      </c>
    </row>
    <row r="1097" spans="3:10" x14ac:dyDescent="0.3">
      <c r="C1097" s="41" t="b">
        <v>0</v>
      </c>
      <c r="D1097" s="42" t="s">
        <v>61</v>
      </c>
      <c r="E1097" s="42">
        <v>1</v>
      </c>
      <c r="F1097" s="42">
        <v>3.6623866</v>
      </c>
      <c r="G1097" s="42"/>
      <c r="H1097" s="42">
        <v>240</v>
      </c>
      <c r="I1097" s="42">
        <v>2012</v>
      </c>
      <c r="J1097" s="113">
        <v>7.5892853329511096E+18</v>
      </c>
    </row>
    <row r="1098" spans="3:10" x14ac:dyDescent="0.3">
      <c r="C1098" s="41" t="b">
        <v>0</v>
      </c>
      <c r="D1098" s="42" t="s">
        <v>61</v>
      </c>
      <c r="E1098" s="42">
        <v>1</v>
      </c>
      <c r="F1098" s="42">
        <v>3.0678504000000002</v>
      </c>
      <c r="G1098" s="42"/>
      <c r="H1098" s="42">
        <v>60</v>
      </c>
      <c r="I1098" s="42">
        <v>2012</v>
      </c>
      <c r="J1098" s="113">
        <v>1.4240725576156701E+19</v>
      </c>
    </row>
    <row r="1099" spans="3:10" x14ac:dyDescent="0.3">
      <c r="C1099" s="41" t="b">
        <v>0</v>
      </c>
      <c r="D1099" s="42" t="s">
        <v>61</v>
      </c>
      <c r="E1099" s="42">
        <v>1</v>
      </c>
      <c r="F1099" s="42">
        <v>0.92554199999999998</v>
      </c>
      <c r="G1099" s="42"/>
      <c r="H1099" s="42">
        <v>470</v>
      </c>
      <c r="I1099" s="42">
        <v>2014</v>
      </c>
      <c r="J1099" s="113">
        <v>1.2769769428181201E+19</v>
      </c>
    </row>
    <row r="1100" spans="3:10" x14ac:dyDescent="0.3">
      <c r="C1100" s="41" t="b">
        <v>0</v>
      </c>
      <c r="D1100" s="42" t="s">
        <v>59</v>
      </c>
      <c r="E1100" s="42">
        <v>1</v>
      </c>
      <c r="F1100" s="42"/>
      <c r="G1100" s="42"/>
      <c r="H1100" s="42">
        <v>19.2</v>
      </c>
      <c r="I1100" s="42">
        <v>2011</v>
      </c>
      <c r="J1100" s="113">
        <v>1.3292334168326601E+19</v>
      </c>
    </row>
    <row r="1101" spans="3:10" x14ac:dyDescent="0.3">
      <c r="C1101" s="41" t="b">
        <v>0</v>
      </c>
      <c r="D1101" s="42" t="s">
        <v>61</v>
      </c>
      <c r="E1101" s="42">
        <v>1</v>
      </c>
      <c r="F1101" s="42">
        <v>3.3520569999999998</v>
      </c>
      <c r="G1101" s="42"/>
      <c r="H1101" s="42">
        <v>3200</v>
      </c>
      <c r="I1101" s="42">
        <v>2012</v>
      </c>
      <c r="J1101" s="113">
        <v>3.6223220686815898E+18</v>
      </c>
    </row>
    <row r="1102" spans="3:10" x14ac:dyDescent="0.3">
      <c r="C1102" s="41" t="b">
        <v>0</v>
      </c>
      <c r="D1102" s="42" t="s">
        <v>59</v>
      </c>
      <c r="E1102" s="42">
        <v>1</v>
      </c>
      <c r="F1102" s="42"/>
      <c r="G1102" s="42"/>
      <c r="H1102" s="42">
        <v>10.1</v>
      </c>
      <c r="I1102" s="42">
        <v>2012</v>
      </c>
      <c r="J1102" s="113">
        <v>1.5016357527085699E+19</v>
      </c>
    </row>
    <row r="1103" spans="3:10" x14ac:dyDescent="0.3">
      <c r="C1103" s="41" t="b">
        <v>0</v>
      </c>
      <c r="D1103" s="42" t="s">
        <v>61</v>
      </c>
      <c r="E1103" s="42">
        <v>1</v>
      </c>
      <c r="F1103" s="42">
        <v>3.9415068500000001</v>
      </c>
      <c r="G1103" s="42"/>
      <c r="H1103" s="42">
        <v>172</v>
      </c>
      <c r="I1103" s="42">
        <v>2006</v>
      </c>
      <c r="J1103" s="113">
        <v>1.61834967455628E+19</v>
      </c>
    </row>
    <row r="1104" spans="3:10" x14ac:dyDescent="0.3">
      <c r="C1104" s="41" t="b">
        <v>0</v>
      </c>
      <c r="D1104" s="42" t="s">
        <v>61</v>
      </c>
      <c r="E1104" s="42">
        <v>1</v>
      </c>
      <c r="F1104" s="42">
        <v>2.6158640000000002</v>
      </c>
      <c r="G1104" s="42"/>
      <c r="H1104" s="42">
        <v>148</v>
      </c>
      <c r="I1104" s="42">
        <v>2007</v>
      </c>
      <c r="J1104" s="113">
        <v>9.89809883764702E+18</v>
      </c>
    </row>
    <row r="1105" spans="3:10" x14ac:dyDescent="0.3">
      <c r="C1105" s="41" t="b">
        <v>0</v>
      </c>
      <c r="D1105" s="42" t="s">
        <v>61</v>
      </c>
      <c r="E1105" s="42">
        <v>1</v>
      </c>
      <c r="F1105" s="42">
        <v>3.1915239</v>
      </c>
      <c r="G1105" s="42"/>
      <c r="H1105" s="42">
        <v>174</v>
      </c>
      <c r="I1105" s="42">
        <v>2007</v>
      </c>
      <c r="J1105" s="113">
        <v>1.14329474587874E+19</v>
      </c>
    </row>
    <row r="1106" spans="3:10" x14ac:dyDescent="0.3">
      <c r="C1106" s="41" t="b">
        <v>0</v>
      </c>
      <c r="D1106" s="42" t="s">
        <v>61</v>
      </c>
      <c r="E1106" s="42">
        <v>1</v>
      </c>
      <c r="F1106" s="42">
        <v>4.1250828000000004</v>
      </c>
      <c r="G1106" s="42"/>
      <c r="H1106" s="42">
        <v>293</v>
      </c>
      <c r="I1106" s="42">
        <v>2008</v>
      </c>
      <c r="J1106" s="113">
        <v>1.4303048153663799E+19</v>
      </c>
    </row>
    <row r="1107" spans="3:10" x14ac:dyDescent="0.3">
      <c r="C1107" s="41" t="b">
        <v>0</v>
      </c>
      <c r="D1107" s="42" t="s">
        <v>61</v>
      </c>
      <c r="E1107" s="42">
        <v>1</v>
      </c>
      <c r="F1107" s="42">
        <v>4.1877570000000004</v>
      </c>
      <c r="G1107" s="42"/>
      <c r="H1107" s="42">
        <v>260</v>
      </c>
      <c r="I1107" s="42">
        <v>2008</v>
      </c>
      <c r="J1107" s="113">
        <v>6.9280524552516495E+18</v>
      </c>
    </row>
  </sheetData>
  <mergeCells count="1">
    <mergeCell ref="D3:E5"/>
  </mergeCells>
  <phoneticPr fontId="15" type="noConversion"/>
  <conditionalFormatting sqref="D25:I25 D71:I71">
    <cfRule type="cellIs" dxfId="29" priority="40" operator="equal">
      <formula>"Notes"</formula>
    </cfRule>
  </conditionalFormatting>
  <conditionalFormatting sqref="D29:I33 D39:I47 D16:I16 D20:I25">
    <cfRule type="cellIs" dxfId="28" priority="41" operator="equal">
      <formula>0</formula>
    </cfRule>
  </conditionalFormatting>
  <conditionalFormatting sqref="D35:I35">
    <cfRule type="cellIs" dxfId="27" priority="39" operator="equal">
      <formula>"Notes"</formula>
    </cfRule>
  </conditionalFormatting>
  <conditionalFormatting sqref="C73:C1107">
    <cfRule type="cellIs" dxfId="26" priority="37" operator="equal">
      <formula>FALSE</formula>
    </cfRule>
    <cfRule type="cellIs" dxfId="25" priority="38" operator="notEqual">
      <formula>FALSE</formula>
    </cfRule>
  </conditionalFormatting>
  <conditionalFormatting sqref="D51:E58">
    <cfRule type="cellIs" dxfId="24" priority="35" operator="equal">
      <formula>FALSE</formula>
    </cfRule>
    <cfRule type="cellIs" dxfId="23" priority="36" operator="notEqual">
      <formula>FALSE</formula>
    </cfRule>
  </conditionalFormatting>
  <conditionalFormatting sqref="D10:I10">
    <cfRule type="cellIs" dxfId="22" priority="32" operator="notEqual">
      <formula>"Notes"</formula>
    </cfRule>
  </conditionalFormatting>
  <conditionalFormatting sqref="D17:E19">
    <cfRule type="colorScale" priority="12">
      <colorScale>
        <cfvo type="num" val="0"/>
        <cfvo type="num" val="0.2"/>
        <color theme="1"/>
        <color rgb="FF7A0000"/>
      </colorScale>
    </cfRule>
  </conditionalFormatting>
  <conditionalFormatting sqref="C72 C51:C58">
    <cfRule type="duplicateValues" dxfId="21" priority="11"/>
  </conditionalFormatting>
  <conditionalFormatting sqref="D3">
    <cfRule type="cellIs" dxfId="20" priority="6" operator="notEqual">
      <formula>"Description"</formula>
    </cfRule>
  </conditionalFormatting>
  <conditionalFormatting sqref="D8:I8">
    <cfRule type="cellIs" dxfId="19" priority="5" operator="notEqual">
      <formula>"Definition"</formula>
    </cfRule>
  </conditionalFormatting>
  <conditionalFormatting sqref="F51:I58">
    <cfRule type="cellIs" dxfId="10" priority="3" operator="equal">
      <formula>FALSE</formula>
    </cfRule>
    <cfRule type="cellIs" dxfId="9" priority="4" operator="notEqual">
      <formula>FALSE</formula>
    </cfRule>
  </conditionalFormatting>
  <conditionalFormatting sqref="F17:I19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J72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B5" sqref="B5"/>
    </sheetView>
  </sheetViews>
  <sheetFormatPr defaultRowHeight="14.4" x14ac:dyDescent="0.3"/>
  <cols>
    <col min="1" max="1" width="2.77734375" customWidth="1"/>
    <col min="2" max="2" width="2.77734375" style="2" customWidth="1"/>
    <col min="3" max="3" width="78.6640625" style="8" customWidth="1"/>
    <col min="4" max="4" width="31.88671875" style="1" customWidth="1"/>
    <col min="5" max="16" width="8.88671875" style="1"/>
  </cols>
  <sheetData>
    <row r="2" spans="1:16" ht="43.2" customHeight="1" x14ac:dyDescent="0.3">
      <c r="C2" s="78" t="s">
        <v>24</v>
      </c>
    </row>
    <row r="3" spans="1:16" ht="10.050000000000001" customHeight="1" thickBot="1" x14ac:dyDescent="0.35">
      <c r="B3" s="1"/>
      <c r="C3" s="6"/>
    </row>
    <row r="4" spans="1:16" ht="34.950000000000003" customHeight="1" thickBot="1" x14ac:dyDescent="0.35">
      <c r="B4" s="98"/>
      <c r="C4" s="99"/>
      <c r="D4" s="99"/>
      <c r="E4" s="99"/>
      <c r="F4" s="99"/>
      <c r="G4" s="99"/>
      <c r="H4" s="99"/>
      <c r="I4" s="99"/>
      <c r="J4" s="99"/>
      <c r="K4" s="99"/>
      <c r="L4" s="99"/>
      <c r="M4" s="99"/>
      <c r="N4" s="99"/>
      <c r="O4" s="99"/>
      <c r="P4" s="99"/>
    </row>
    <row r="5" spans="1:16" ht="15" customHeight="1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 x14ac:dyDescent="0.3">
      <c r="C6" s="31"/>
    </row>
    <row r="7" spans="1:16" ht="19.2" customHeight="1" x14ac:dyDescent="0.3">
      <c r="B7" s="1"/>
      <c r="C7" s="6"/>
    </row>
    <row r="14" spans="1:16" s="1" customFormat="1" x14ac:dyDescent="0.3">
      <c r="A14"/>
      <c r="B14" s="2"/>
    </row>
    <row r="15" spans="1:16" s="1" customFormat="1" x14ac:dyDescent="0.3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B5" sqref="B5"/>
    </sheetView>
  </sheetViews>
  <sheetFormatPr defaultRowHeight="14.4" x14ac:dyDescent="0.3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8" bestFit="1" customWidth="1"/>
    <col min="5" max="5" width="27.77734375" style="1" customWidth="1"/>
    <col min="6" max="16384" width="8.88671875" style="1"/>
  </cols>
  <sheetData>
    <row r="2" spans="2:5" ht="51.6" customHeight="1" x14ac:dyDescent="0.3">
      <c r="C2" s="54"/>
      <c r="D2" s="78" t="s">
        <v>31</v>
      </c>
      <c r="E2" s="5" t="s">
        <v>1</v>
      </c>
    </row>
    <row r="3" spans="2:5" ht="10.050000000000001" customHeight="1" x14ac:dyDescent="0.3">
      <c r="C3" s="1"/>
      <c r="D3" s="6"/>
    </row>
    <row r="4" spans="2:5" s="7" customFormat="1" ht="30" customHeight="1" x14ac:dyDescent="0.3">
      <c r="B4" s="1"/>
      <c r="C4" s="100"/>
      <c r="D4" s="101" t="s">
        <v>2</v>
      </c>
      <c r="E4" s="95"/>
    </row>
    <row r="5" spans="2:5" ht="10.050000000000001" customHeight="1" x14ac:dyDescent="0.3">
      <c r="C5" s="1"/>
      <c r="D5" s="6"/>
    </row>
    <row r="6" spans="2:5" ht="10.050000000000001" customHeight="1" x14ac:dyDescent="0.3">
      <c r="C6" s="11"/>
      <c r="E6" s="8"/>
    </row>
    <row r="7" spans="2:5" ht="150" customHeight="1" x14ac:dyDescent="0.3">
      <c r="C7" s="20"/>
      <c r="D7" s="21"/>
      <c r="E7" s="22"/>
    </row>
    <row r="8" spans="2:5" ht="10.050000000000001" customHeight="1" x14ac:dyDescent="0.3">
      <c r="C8" s="23"/>
      <c r="E8" s="8"/>
    </row>
    <row r="9" spans="2:5" collapsed="1" x14ac:dyDescent="0.3"/>
    <row r="11" spans="2:5" x14ac:dyDescent="0.3">
      <c r="D11" s="1"/>
    </row>
    <row r="12" spans="2:5" x14ac:dyDescent="0.3">
      <c r="D12" s="1"/>
    </row>
    <row r="13" spans="2:5" x14ac:dyDescent="0.3">
      <c r="D13" s="1"/>
    </row>
    <row r="14" spans="2:5" x14ac:dyDescent="0.3">
      <c r="D14" s="1"/>
    </row>
    <row r="17" spans="4:4" x14ac:dyDescent="0.3">
      <c r="D17" s="1"/>
    </row>
    <row r="18" spans="4:4" x14ac:dyDescent="0.3">
      <c r="D18" s="1"/>
    </row>
  </sheetData>
  <conditionalFormatting sqref="E7">
    <cfRule type="cellIs" dxfId="15" priority="3" operator="equal">
      <formula>"Notes"</formula>
    </cfRule>
  </conditionalFormatting>
  <conditionalFormatting sqref="E6:E7">
    <cfRule type="cellIs" dxfId="14" priority="4" operator="equal">
      <formula>0</formula>
    </cfRule>
  </conditionalFormatting>
  <conditionalFormatting sqref="E2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39</vt:i4>
      </vt:variant>
    </vt:vector>
  </HeadingPairs>
  <TitlesOfParts>
    <vt:vector size="43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2026-05-18T19:43:31Z</dcterms:modified>
</cp:coreProperties>
</file>