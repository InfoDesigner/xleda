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8CD26618-DC18-4476-91EB-1575F241E453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Analysis'!$D$8:$F$8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Analysis'!$D$51:$F$51</definedName>
    <definedName name="FieldList2" localSheetId="3">#REF!</definedName>
    <definedName name="FieldList2" localSheetId="2">#REF!</definedName>
    <definedName name="FieldList2">'Field Analysis'!$D$52:$F$52</definedName>
    <definedName name="FieldList3" localSheetId="3">#REF!</definedName>
    <definedName name="FieldList3" localSheetId="2">#REF!</definedName>
    <definedName name="FieldList3">'Field Analysis'!$D$53:$F$53</definedName>
    <definedName name="FieldList4" localSheetId="3">#REF!</definedName>
    <definedName name="FieldList4" localSheetId="2">#REF!</definedName>
    <definedName name="FieldList4">'Field Analysis'!$D$54:$F$54</definedName>
    <definedName name="FieldList5" localSheetId="3">#REF!</definedName>
    <definedName name="FieldList5" localSheetId="2">#REF!</definedName>
    <definedName name="FieldList5">'Field Analysis'!$D$55:$F$55</definedName>
    <definedName name="FieldList6" localSheetId="3">#REF!</definedName>
    <definedName name="FieldList6" localSheetId="2">#REF!</definedName>
    <definedName name="FieldList6">'Field Analysis'!$D$56:$F$56</definedName>
    <definedName name="FieldList7">'Field Analysis'!$D$57:$F$57</definedName>
    <definedName name="FieldList8">'Field Analysis'!$D$58:$F$58</definedName>
    <definedName name="FieldRange" localSheetId="3">#REF!</definedName>
    <definedName name="FieldRange" localSheetId="2">#REF!</definedName>
    <definedName name="FieldRange">'Field Analysis'!$D$72:$F$72</definedName>
    <definedName name="FormatRange">'Field Analysis'!$E:$E</definedName>
    <definedName name="Headers">'Field Analysis'!$D$12:$F$12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Analysis'!$D$10:$F$10</definedName>
    <definedName name="Percentiles">'Field Analysis'!$D$39:$D$48</definedName>
    <definedName name="RecordHashes">'Field Analysis'!$G$73:$G$216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<sst xmlns="http://schemas.openxmlformats.org/spreadsheetml/2006/main" count="245" uniqueCount="66">
  <si>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</si>
  <si>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</si>
  <si>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</si>
  <si>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</si>
  <si>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</si>
  <si>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</si>
  <si>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</si>
  <si>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</si>
  <si>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</si>
  <si>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</si>
  <si>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</si>
  <si>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</si>
  <si>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</si>
  <si>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</si>
  <si>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</si>
  <si>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</si>
  <si>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</si>
  <si>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</si>
  <si>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</si>
  <si>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</si>
  <si>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</si>
  <si>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</si>
  <si>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</si>
  <si>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</si>
  <si>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</si>
  <si>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</si>
  <si>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</si>
  <si>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</si>
  <si>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</si>
  <si>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</si>
  <si>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</si>
  <si>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</si>
  <si>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</si>
  <si>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</si>
  <si>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</si>
  <si>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</si>
  <si>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</si>
  <si>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</si>
  <si>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</si>
  <si>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</si>
  <si>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</si>
  <si>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</si>
  <si>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</si>
  <si>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</si>
  <si>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</si>
  <si>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</si>
  <si>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flights</t>
  </si>
  <si>
    <t>rows = 144, columns = 3</t>
  </si>
  <si>
    <t>year</t>
  </si>
  <si>
    <t>month</t>
  </si>
  <si>
    <t>passengers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</si>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</sst>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8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79A4D"/>
        <bgColor indexed="64"/>
      </patternFill>
    </fill>
  </fills>
  <borders count="20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19" fillId="2" borderId="0" xfId="1" applyNumberFormat="1" applyFont="1" applyBorder="1" applyAlignment="1">
      <alignment horizontal="center" vertical="center" wrapText="1"/>
    </xf>
    <xf numFmtId="0" fontId="22" fillId="2" borderId="0" xfId="1" applyFont="1" applyAlignment="1">
      <alignment horizontal="right" vertical="center" indent="1"/>
    </xf>
    <xf numFmtId="0" fontId="21" fillId="2" borderId="9" xfId="1" applyFont="1" applyBorder="1" applyAlignment="1">
      <alignment horizontal="left" vertical="center"/>
    </xf>
    <xf numFmtId="0" fontId="20" fillId="2" borderId="0" xfId="1" applyFont="1" applyAlignment="1">
      <alignment horizontal="left" vertical="center" indent="2"/>
    </xf>
    <xf numFmtId="0" fontId="22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2" fillId="2" borderId="12" xfId="1" applyFont="1" applyBorder="1" applyAlignment="1">
      <alignment horizontal="left" vertical="center" wrapText="1" indent="1"/>
    </xf>
    <xf numFmtId="0" fontId="22" fillId="2" borderId="0" xfId="1" applyFont="1" applyAlignment="1">
      <alignment horizontal="left" vertical="center" wrapText="1" indent="1"/>
    </xf>
    <xf numFmtId="0" fontId="22" fillId="2" borderId="0" xfId="1" applyFont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left" vertical="center" wrapText="1" indent="1"/>
    </xf>
    <xf numFmtId="0" fontId="23" fillId="9" borderId="8" xfId="1" applyFont="1" applyFill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center" vertical="center" wrapText="1"/>
    </xf>
    <xf numFmtId="9" fontId="23" fillId="9" borderId="4" xfId="1" applyNumberFormat="1" applyFont="1" applyFill="1" applyBorder="1" applyAlignment="1">
      <alignment horizontal="center" vertical="center" wrapText="1"/>
    </xf>
    <xf numFmtId="0" fontId="24" fillId="9" borderId="13" xfId="1" applyFont="1" applyFill="1" applyBorder="1" applyAlignment="1"/>
    <xf numFmtId="0" fontId="25" fillId="9" borderId="5" xfId="1" applyFont="1" applyFill="1" applyBorder="1" applyAlignment="1">
      <alignment wrapText="1"/>
    </xf>
    <xf numFmtId="0" fontId="26" fillId="9" borderId="4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0" fontId="23" fillId="9" borderId="10" xfId="1" applyFont="1" applyFill="1" applyBorder="1" applyAlignment="1">
      <alignment horizontal="center" vertical="center"/>
    </xf>
    <xf numFmtId="0" fontId="25" fillId="9" borderId="2" xfId="1" applyFont="1" applyFill="1" applyBorder="1" applyAlignment="1">
      <alignment wrapText="1"/>
    </xf>
    <xf numFmtId="0" fontId="27" fillId="9" borderId="2" xfId="1" applyFont="1" applyFill="1" applyBorder="1" applyAlignment="1">
      <alignment vertical="center" wrapText="1"/>
    </xf>
    <xf numFmtId="0" fontId="24" fillId="9" borderId="4" xfId="1" applyFont="1" applyFill="1" applyBorder="1"/>
    <xf numFmtId="0" fontId="25" fillId="9" borderId="4" xfId="1" applyFont="1" applyFill="1" applyBorder="1" applyAlignment="1">
      <alignment wrapText="1"/>
    </xf>
    <xf numFmtId="0" fontId="2" fillId="2" borderId="0" xfId="1" applyBorder="1" applyAlignment="1">
      <alignment horizontal="left" vertical="top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F79A4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16BB5E5-FFCB-F322-4C2E-D8E9F9F73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2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DA1BEFA-6230-60A0-57C0-4415D0616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52EF5AC-B226-2B63-366C-6E3703868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37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FEFB26-4C73-7551-91A2-A0583D6B1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42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F47F5F2-F710-9751-E1A5-CFB01921F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4261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8" dataDxfId="51" headerRowBorderDxfId="52" headerRowCellStyle="Normal 2">
  <autoFilter ref="B10:AA13" xr:uid="{7EC467B7-DE9E-48DF-95B5-2995F1F6DE8F}"/>
  <tableColumns count="26">
    <tableColumn id="1" xr3:uid="{CDAE6949-9186-42E8-AEBE-1928381A0155}" name="Field" dataDxfId="50" dataCellStyle="Normal 2"/>
    <tableColumn id="2" xr3:uid="{24D139B7-BFC8-4DD9-8DE4-2245810E04F3}" name="Definition" dataDxfId="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9"/>
    <tableColumn id="8" xr3:uid="{30CDB1E0-924C-48B4-82F4-9B3E3228BE95}" name="Distinct %" dataDxfId="48"/>
    <tableColumn id="12" xr3:uid="{03824906-BEA5-4B63-A981-21F959B6439E}" name="Missing %" dataDxfId="47" dataCellStyle="Percent 2"/>
    <tableColumn id="6" xr3:uid="{8DFFE5A0-8676-4576-AB4D-97E8B31EC097}" name="Memory Usage %" dataDxfId="46" dataCellStyle="Percent 2"/>
    <tableColumn id="5" xr3:uid="{DD50C3DA-F4A8-40F0-AFBD-DBF916650F7E}" name="Memory Usage" dataDxfId="45"/>
    <tableColumn id="7" xr3:uid="{A0CD56D0-07EF-46CA-BC46-D54CD5E746C7}" name="Distinct" dataDxfId="44"/>
    <tableColumn id="9" xr3:uid="{1C848176-6AC1-44A6-9B3B-F1C9E8BC32EA}" name="Count" dataDxfId="43"/>
    <tableColumn id="10" xr3:uid="{6C6E6A37-4969-459F-AC39-2193366810E2}" name="Count %" dataDxfId="42"/>
    <tableColumn id="11" xr3:uid="{CD47252D-0307-4513-AF7C-13CC4AA1FCD9}" name="Missing" dataDxfId="41"/>
    <tableColumn id="13" xr3:uid="{2B45F7F8-CE35-48A6-BB27-9684B5D7936D}" name="Mean" dataDxfId="40"/>
    <tableColumn id="14" xr3:uid="{293386E4-1FA6-4340-9DC6-54CC26209C0A}" name="Median" dataDxfId="39"/>
    <tableColumn id="15" xr3:uid="{29252F5E-4163-4D62-89FC-FF85F6C4755C}" name="Mode" dataDxfId="38"/>
    <tableColumn id="16" xr3:uid="{69FFA3C1-FD1E-4395-AF2E-177FDFCDE62A}" name="Standard Deviation" dataDxfId="37"/>
    <tableColumn id="17" xr3:uid="{2AAB37E9-8AE2-4771-B92B-C04BFABA0B4E}" name="Variance" dataDxfId="36"/>
    <tableColumn id="18" xr3:uid="{07151E41-6633-4A65-A7E1-091F027DEF95}" name="Min" dataDxfId="35"/>
    <tableColumn id="19" xr3:uid="{41A1FD5D-4E5C-45B3-A0C7-1820F89F417F}" name="5%" dataDxfId="34"/>
    <tableColumn id="20" xr3:uid="{50D70984-5A2E-4A19-9F2B-5DA0502339BC}" name="25%" dataDxfId="33"/>
    <tableColumn id="21" xr3:uid="{75FF5489-8FC0-4894-83BC-802076BF1066}" name="50%" dataDxfId="32"/>
    <tableColumn id="22" xr3:uid="{B7FA20A8-EE17-470E-93AD-54011230C113}" name="75%" dataDxfId="31"/>
    <tableColumn id="23" xr3:uid="{378BE758-7A3F-4C04-A75B-FE899B1B0BAD}" name="95%" dataDxfId="30"/>
    <tableColumn id="24" xr3:uid="{818594E7-DC84-4229-81F6-97C1E2E93633}" name="Max" dataDxfId="29"/>
    <tableColumn id="25" xr3:uid="{D8116583-A886-47C1-85E2-D28AD96194AD}" name="Range" dataDxfId="28"/>
    <tableColumn id="26" xr3:uid="{D061AC6A-EAB2-461F-8AB8-E743DC68E666}" name="IQR" dataDxfId="2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G216" totalsRowShown="0" dataDxfId="15">
  <autoFilter ref="C72:G216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year" dataDxfId="14"/>
    <tableColumn id="8" xr3:uid="{5CEA6B82-08F7-4BBF-BE74-DD211F1E2384}" name="month" dataDxfId="13" dataCellStyle="Normal 2"/>
    <tableColumn id="3" xr3:uid="{8C90354E-BE8A-4BCD-A88A-94DAC53C18F7}" name="passengers" dataDxfId="3"/>
    <tableColumn id="4" xr3:uid="{75A98C4F-B994-46FB-B3BA-0BC1450AD0F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flights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144</v>
      </c>
    </row>
    <row r="5" spans="2:27" x14ac:dyDescent="0.3">
      <c r="B5" s="13" t="s">
        <v>27</v>
      </c>
      <c r="C5" s="63">
        <v>3</v>
      </c>
    </row>
    <row r="6" spans="2:27" x14ac:dyDescent="0.3">
      <c r="B6" s="30" t="s">
        <v>4</v>
      </c>
      <c r="C6" s="63" t="s">
        <v>51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52</v>
      </c>
      <c r="F11" s="68">
        <v>8.3333333333333301E-2</v>
      </c>
      <c r="G11" s="69">
        <v>0</v>
      </c>
      <c r="H11" s="68">
        <v>0.28571428571428498</v>
      </c>
      <c r="I11" s="70">
        <v>1152</v>
      </c>
      <c r="J11" s="70">
        <v>12</v>
      </c>
      <c r="K11" s="70">
        <v>144</v>
      </c>
      <c r="L11" s="71">
        <v>1</v>
      </c>
      <c r="M11" s="70">
        <v>0</v>
      </c>
      <c r="N11" s="72">
        <v>1954.5</v>
      </c>
      <c r="O11" s="72">
        <v>1954.5</v>
      </c>
      <c r="P11" s="72">
        <v>1949</v>
      </c>
      <c r="Q11" s="72">
        <v>3.4641016151377499</v>
      </c>
      <c r="R11" s="72">
        <v>11.999999999999901</v>
      </c>
      <c r="S11" s="72">
        <v>1949</v>
      </c>
      <c r="T11" s="72">
        <v>1949</v>
      </c>
      <c r="U11" s="72">
        <v>1951.75</v>
      </c>
      <c r="V11" s="72">
        <v>1954.5</v>
      </c>
      <c r="W11" s="72">
        <v>1957.25</v>
      </c>
      <c r="X11" s="72">
        <v>1960</v>
      </c>
      <c r="Y11" s="72">
        <v>1960</v>
      </c>
      <c r="Z11" s="72">
        <v>11</v>
      </c>
      <c r="AA11" s="72">
        <v>5.5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53</v>
      </c>
      <c r="F12" s="71">
        <v>8.3333333333333301E-2</v>
      </c>
      <c r="G12" s="73">
        <v>0</v>
      </c>
      <c r="H12" s="74">
        <v>0.14285714285714199</v>
      </c>
      <c r="I12" s="70">
        <v>576</v>
      </c>
      <c r="J12" s="70">
        <v>12</v>
      </c>
      <c r="K12" s="70">
        <v>144</v>
      </c>
      <c r="L12" s="71">
        <v>1</v>
      </c>
      <c r="M12" s="70">
        <v>0</v>
      </c>
      <c r="N12" s="72"/>
      <c r="O12" s="72"/>
      <c r="P12" s="72" t="s">
        <v>54</v>
      </c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</row>
    <row r="13" spans="2:27" x14ac:dyDescent="0.3">
      <c r="B13" s="102" t="s">
        <v>50</v>
      </c>
      <c r="C13" s="103" t="str">
        <f>IF(INDEX(Definitions,1,MATCH(tbl_Overview[[#This Row],[Field]],Headers,0))="Definition","",INDEX(Definitions,1,MATCH(tbl_Overview[[#This Row],[Field]],Headers,0)))</f>
        <v/>
      </c>
      <c r="D13" s="104" t="str">
        <f>IF(INDEX(Notes,1,MATCH(tbl_Overview[[#This Row],[Field]],Headers,0))="Notes","",INDEX(Notes,1,MATCH(tbl_Overview[[#This Row],[Field]],Headers,0)))</f>
        <v/>
      </c>
      <c r="E13" s="105" t="s">
        <v>52</v>
      </c>
      <c r="F13" s="106">
        <v>0.81944444444444398</v>
      </c>
      <c r="G13" s="107">
        <v>0</v>
      </c>
      <c r="H13" s="108">
        <v>0.28571428571428498</v>
      </c>
      <c r="I13" s="109">
        <v>1152</v>
      </c>
      <c r="J13" s="109">
        <v>118</v>
      </c>
      <c r="K13" s="109">
        <v>144</v>
      </c>
      <c r="L13" s="106">
        <v>1</v>
      </c>
      <c r="M13" s="109">
        <v>0</v>
      </c>
      <c r="N13" s="110">
        <v>280.29861111111097</v>
      </c>
      <c r="O13" s="110">
        <v>265.5</v>
      </c>
      <c r="P13" s="110">
        <v>229</v>
      </c>
      <c r="Q13" s="110">
        <v>119.966316942943</v>
      </c>
      <c r="R13" s="110">
        <v>14391.917200854699</v>
      </c>
      <c r="S13" s="110">
        <v>104</v>
      </c>
      <c r="T13" s="110">
        <v>121.6</v>
      </c>
      <c r="U13" s="110">
        <v>180</v>
      </c>
      <c r="V13" s="110">
        <v>265.5</v>
      </c>
      <c r="W13" s="110">
        <v>360.5</v>
      </c>
      <c r="X13" s="110">
        <v>488.14999999999901</v>
      </c>
      <c r="Y13" s="110">
        <v>622</v>
      </c>
      <c r="Z13" s="110">
        <v>518</v>
      </c>
      <c r="AA13" s="110">
        <v>180.5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3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G21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9.5546875" style="8" bestFit="1" customWidth="1"/>
    <col min="4" max="6" width="27.77734375" style="1" customWidth="1"/>
    <col min="7" max="7" width="15.88671875" bestFit="1" customWidth="1"/>
  </cols>
  <sheetData>
    <row r="1" spans="1:7" ht="31.8" hidden="1" customHeight="1" x14ac:dyDescent="0.3">
      <c r="A1" s="51"/>
      <c r="B1" s="52"/>
      <c r="C1" s="53" t="s">
        <v>39</v>
      </c>
      <c r="D1" s="51"/>
      <c r="E1" s="51"/>
      <c r="F1" s="51"/>
    </row>
    <row r="2" spans="1:7" ht="10.050000000000001" customHeight="1" x14ac:dyDescent="0.3">
      <c r="A2"/>
      <c r="B2"/>
      <c r="C2"/>
      <c r="D2"/>
      <c r="E2"/>
      <c r="F2"/>
    </row>
    <row r="3" spans="1:7" ht="49.2" customHeight="1" x14ac:dyDescent="0.3">
      <c r="B3" s="3" t="s">
        <v>0</v>
      </c>
      <c r="C3" s="78" t="s">
        <v>46</v>
      </c>
      <c r="D3" s="88" t="s">
        <v>25</v>
      </c>
      <c r="E3" s="88"/>
      <c r="F3"/>
    </row>
    <row r="4" spans="1:7" ht="10.050000000000001" customHeight="1" x14ac:dyDescent="0.3">
      <c r="C4" s="79" t="s">
        <v>47</v>
      </c>
      <c r="D4" s="88"/>
      <c r="E4" s="88"/>
      <c r="F4"/>
    </row>
    <row r="5" spans="1:7" ht="10.050000000000001" customHeight="1" x14ac:dyDescent="0.3">
      <c r="C5" s="79"/>
      <c r="D5" s="88"/>
      <c r="E5" s="88"/>
      <c r="F5"/>
    </row>
    <row r="6" spans="1:7" ht="19.95" customHeight="1" x14ac:dyDescent="0.3">
      <c r="B6" s="9" t="s">
        <v>0</v>
      </c>
      <c r="C6" s="79"/>
    </row>
    <row r="7" spans="1:7" ht="10.050000000000001" customHeight="1" x14ac:dyDescent="0.3">
      <c r="B7" s="40"/>
      <c r="C7" s="79"/>
    </row>
    <row r="8" spans="1:7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</row>
    <row r="9" spans="1:7" ht="10.050000000000001" hidden="1" customHeight="1" outlineLevel="1" x14ac:dyDescent="0.3">
      <c r="A9"/>
      <c r="B9" s="75"/>
      <c r="C9"/>
      <c r="D9"/>
      <c r="E9"/>
      <c r="F9"/>
    </row>
    <row r="10" spans="1:7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</row>
    <row r="11" spans="1:7" ht="10.050000000000001" hidden="1" customHeight="1" outlineLevel="1" x14ac:dyDescent="0.3">
      <c r="C11" s="4"/>
      <c r="D11" s="76"/>
      <c r="E11" s="76"/>
      <c r="F11" s="76"/>
    </row>
    <row r="12" spans="1:7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85" t="s">
        <v>20</v>
      </c>
    </row>
    <row r="13" spans="1:7" ht="10.050000000000001" customHeight="1" outlineLevel="1" x14ac:dyDescent="0.3">
      <c r="A13"/>
      <c r="B13"/>
      <c r="C13"/>
      <c r="D13"/>
      <c r="E13"/>
      <c r="F13"/>
    </row>
    <row r="14" spans="1:7" ht="19.95" customHeight="1" outlineLevel="1" x14ac:dyDescent="0.35">
      <c r="B14" s="9" t="s">
        <v>0</v>
      </c>
      <c r="C14" s="10"/>
      <c r="D14" s="45"/>
      <c r="E14" s="8"/>
      <c r="F14" s="8"/>
    </row>
    <row r="15" spans="1:7" ht="10.050000000000001" customHeight="1" outlineLevel="1" x14ac:dyDescent="0.3">
      <c r="B15" s="11"/>
      <c r="C15" s="46"/>
      <c r="D15" s="46"/>
      <c r="E15" s="46"/>
      <c r="F15" s="46"/>
    </row>
    <row r="16" spans="1:7" ht="14.4" hidden="1" customHeight="1" outlineLevel="2" x14ac:dyDescent="0.3">
      <c r="A16" s="47"/>
      <c r="B16" s="48"/>
      <c r="C16" s="13" t="s">
        <v>3</v>
      </c>
      <c r="D16" s="14" t="s">
        <v>52</v>
      </c>
      <c r="E16" s="14" t="s">
        <v>53</v>
      </c>
      <c r="F16" s="14" t="s">
        <v>52</v>
      </c>
    </row>
    <row r="17" spans="1:6" ht="14.4" hidden="1" customHeight="1" outlineLevel="2" x14ac:dyDescent="0.3">
      <c r="A17" s="47"/>
      <c r="B17" s="49"/>
      <c r="C17" s="16" t="s">
        <v>7</v>
      </c>
      <c r="D17" s="50">
        <v>8.3333333333333301E-2</v>
      </c>
      <c r="E17" s="50">
        <v>8.3333333333333301E-2</v>
      </c>
      <c r="F17" s="50">
        <v>0.81944444444444398</v>
      </c>
    </row>
    <row r="18" spans="1:6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</row>
    <row r="19" spans="1:6" ht="14.4" hidden="1" customHeight="1" outlineLevel="2" x14ac:dyDescent="0.3">
      <c r="B19" s="15"/>
      <c r="C19" s="30" t="s">
        <v>5</v>
      </c>
      <c r="D19" s="50">
        <v>0.28571428571428498</v>
      </c>
      <c r="E19" s="50">
        <v>0.14285714285714199</v>
      </c>
      <c r="F19" s="50">
        <v>0.28571428571428498</v>
      </c>
    </row>
    <row r="20" spans="1:6" ht="14.4" hidden="1" customHeight="1" outlineLevel="2" x14ac:dyDescent="0.3">
      <c r="B20" s="15"/>
      <c r="C20" s="16" t="s">
        <v>4</v>
      </c>
      <c r="D20" s="14">
        <v>1152</v>
      </c>
      <c r="E20" s="14">
        <v>576</v>
      </c>
      <c r="F20" s="14">
        <v>1152</v>
      </c>
    </row>
    <row r="21" spans="1:6" ht="14.4" hidden="1" customHeight="1" outlineLevel="2" x14ac:dyDescent="0.3">
      <c r="B21" s="15"/>
      <c r="C21" s="16" t="s">
        <v>6</v>
      </c>
      <c r="D21" s="14">
        <v>12</v>
      </c>
      <c r="E21" s="14">
        <v>12</v>
      </c>
      <c r="F21" s="14">
        <v>118</v>
      </c>
    </row>
    <row r="22" spans="1:6" ht="14.4" hidden="1" customHeight="1" outlineLevel="2" x14ac:dyDescent="0.3">
      <c r="B22" s="15"/>
      <c r="C22" s="16" t="s">
        <v>8</v>
      </c>
      <c r="D22" s="14">
        <v>144</v>
      </c>
      <c r="E22" s="14">
        <v>144</v>
      </c>
      <c r="F22" s="14">
        <v>144</v>
      </c>
    </row>
    <row r="23" spans="1:6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</row>
    <row r="24" spans="1:6" ht="10.050000000000001" hidden="1" customHeight="1" outlineLevel="2" x14ac:dyDescent="0.3">
      <c r="B24" s="11"/>
      <c r="D24" s="8"/>
      <c r="E24" s="8"/>
      <c r="F24" s="8"/>
    </row>
    <row r="25" spans="1:6" ht="150" hidden="1" customHeight="1" outlineLevel="2" x14ac:dyDescent="0.3">
      <c r="B25" s="20"/>
      <c r="C25" s="21"/>
      <c r="D25" s="22"/>
      <c r="E25" s="22"/>
      <c r="F25" s="22"/>
    </row>
    <row r="26" spans="1:6" ht="10.050000000000001" hidden="1" customHeight="1" outlineLevel="2" x14ac:dyDescent="0.3">
      <c r="B26" s="23"/>
      <c r="D26" s="8"/>
      <c r="E26" s="8"/>
      <c r="F26" s="8"/>
    </row>
    <row r="27" spans="1:6" ht="19.95" customHeight="1" outlineLevel="1" collapsed="1" x14ac:dyDescent="0.3">
      <c r="B27" s="9" t="s">
        <v>0</v>
      </c>
      <c r="C27" s="10"/>
      <c r="D27" s="8"/>
      <c r="E27" s="8"/>
      <c r="F27" s="8"/>
    </row>
    <row r="28" spans="1:6" ht="10.050000000000001" customHeight="1" outlineLevel="1" x14ac:dyDescent="0.3">
      <c r="A28" s="24"/>
      <c r="B28" s="25"/>
      <c r="C28" s="26"/>
      <c r="D28" s="8"/>
      <c r="E28" s="8"/>
      <c r="F28" s="8"/>
    </row>
    <row r="29" spans="1:6" ht="14.4" hidden="1" customHeight="1" outlineLevel="2" x14ac:dyDescent="0.35">
      <c r="B29" s="12"/>
      <c r="C29" s="13" t="s">
        <v>11</v>
      </c>
      <c r="D29" s="27">
        <v>1954.5</v>
      </c>
      <c r="E29" s="27"/>
      <c r="F29" s="27">
        <v>280.29861111111097</v>
      </c>
    </row>
    <row r="30" spans="1:6" ht="14.4" hidden="1" customHeight="1" outlineLevel="2" x14ac:dyDescent="0.3">
      <c r="B30" s="15"/>
      <c r="C30" s="17" t="s">
        <v>12</v>
      </c>
      <c r="D30" s="28">
        <v>1954.5</v>
      </c>
      <c r="E30" s="28"/>
      <c r="F30" s="28">
        <v>265.5</v>
      </c>
    </row>
    <row r="31" spans="1:6" ht="14.4" hidden="1" customHeight="1" outlineLevel="2" x14ac:dyDescent="0.3">
      <c r="B31" s="15"/>
      <c r="C31" s="16" t="s">
        <v>13</v>
      </c>
      <c r="D31" s="18">
        <v>1949</v>
      </c>
      <c r="E31" s="18" t="s">
        <v>54</v>
      </c>
      <c r="F31" s="18">
        <v>229</v>
      </c>
    </row>
    <row r="32" spans="1:6" ht="14.4" hidden="1" customHeight="1" outlineLevel="2" x14ac:dyDescent="0.3">
      <c r="B32" s="15"/>
      <c r="C32" s="17" t="s">
        <v>14</v>
      </c>
      <c r="D32" s="29">
        <v>3.4641016151377499</v>
      </c>
      <c r="E32" s="29"/>
      <c r="F32" s="29">
        <v>119.966316942943</v>
      </c>
    </row>
    <row r="33" spans="1:6" ht="14.4" hidden="1" customHeight="1" outlineLevel="2" x14ac:dyDescent="0.3">
      <c r="B33" s="15"/>
      <c r="C33" s="30" t="s">
        <v>15</v>
      </c>
      <c r="D33" s="27">
        <v>11.999999999999901</v>
      </c>
      <c r="E33" s="27"/>
      <c r="F33" s="27">
        <v>14391.917200854699</v>
      </c>
    </row>
    <row r="34" spans="1:6" ht="10.050000000000001" hidden="1" customHeight="1" outlineLevel="2" x14ac:dyDescent="0.3">
      <c r="B34" s="11"/>
      <c r="D34" s="8"/>
      <c r="E34" s="8"/>
      <c r="F34" s="8"/>
    </row>
    <row r="35" spans="1:6" ht="150" hidden="1" customHeight="1" outlineLevel="2" x14ac:dyDescent="0.3">
      <c r="A35" s="24"/>
      <c r="B35" s="20"/>
      <c r="C35" s="21"/>
      <c r="D35" s="22"/>
      <c r="E35" s="22"/>
      <c r="F35" s="22"/>
    </row>
    <row r="36" spans="1:6" ht="10.050000000000001" hidden="1" customHeight="1" outlineLevel="2" x14ac:dyDescent="0.3">
      <c r="A36" s="24"/>
      <c r="B36" s="20"/>
      <c r="C36" s="31"/>
      <c r="D36" s="8"/>
      <c r="E36" s="8"/>
      <c r="F36" s="8"/>
    </row>
    <row r="37" spans="1:6" ht="19.95" customHeight="1" outlineLevel="1" collapsed="1" x14ac:dyDescent="0.3">
      <c r="B37" s="9" t="s">
        <v>0</v>
      </c>
      <c r="C37" s="10"/>
      <c r="D37" s="8"/>
      <c r="E37" s="8"/>
      <c r="F37" s="8"/>
    </row>
    <row r="38" spans="1:6" ht="10.050000000000001" customHeight="1" outlineLevel="1" x14ac:dyDescent="0.3">
      <c r="A38" s="24"/>
      <c r="B38" s="25"/>
      <c r="C38" s="26"/>
      <c r="D38" s="8"/>
      <c r="E38" s="8"/>
      <c r="F38" s="8"/>
    </row>
    <row r="39" spans="1:6" ht="14.4" hidden="1" customHeight="1" outlineLevel="2" x14ac:dyDescent="0.35">
      <c r="B39" s="12"/>
      <c r="C39" s="32" t="s">
        <v>16</v>
      </c>
      <c r="D39" s="29">
        <v>1949</v>
      </c>
      <c r="E39" s="29"/>
      <c r="F39" s="29">
        <v>104</v>
      </c>
    </row>
    <row r="40" spans="1:6" ht="14.4" hidden="1" customHeight="1" outlineLevel="2" x14ac:dyDescent="0.3">
      <c r="B40" s="11"/>
      <c r="C40" s="33">
        <v>0.05</v>
      </c>
      <c r="D40" s="27">
        <v>1949</v>
      </c>
      <c r="E40" s="27"/>
      <c r="F40" s="27">
        <v>121.6</v>
      </c>
    </row>
    <row r="41" spans="1:6" ht="14.4" hidden="1" customHeight="1" outlineLevel="2" x14ac:dyDescent="0.3">
      <c r="B41" s="11"/>
      <c r="C41" s="34">
        <v>0.25</v>
      </c>
      <c r="D41" s="29">
        <v>1951.75</v>
      </c>
      <c r="E41" s="29"/>
      <c r="F41" s="29">
        <v>180</v>
      </c>
    </row>
    <row r="42" spans="1:6" ht="14.4" hidden="1" customHeight="1" outlineLevel="2" x14ac:dyDescent="0.3">
      <c r="B42" s="11"/>
      <c r="C42" s="33">
        <v>0.5</v>
      </c>
      <c r="D42" s="27">
        <v>1954.5</v>
      </c>
      <c r="E42" s="27"/>
      <c r="F42" s="27">
        <v>265.5</v>
      </c>
    </row>
    <row r="43" spans="1:6" ht="14.4" hidden="1" customHeight="1" outlineLevel="2" x14ac:dyDescent="0.3">
      <c r="B43" s="11"/>
      <c r="C43" s="34">
        <v>0.75</v>
      </c>
      <c r="D43" s="29">
        <v>1957.25</v>
      </c>
      <c r="E43" s="29"/>
      <c r="F43" s="29">
        <v>360.5</v>
      </c>
    </row>
    <row r="44" spans="1:6" ht="14.4" hidden="1" customHeight="1" outlineLevel="2" x14ac:dyDescent="0.3">
      <c r="B44" s="11"/>
      <c r="C44" s="33">
        <v>0.95</v>
      </c>
      <c r="D44" s="27">
        <v>1960</v>
      </c>
      <c r="E44" s="27"/>
      <c r="F44" s="27">
        <v>488.14999999999901</v>
      </c>
    </row>
    <row r="45" spans="1:6" ht="14.4" hidden="1" customHeight="1" outlineLevel="2" x14ac:dyDescent="0.3">
      <c r="B45" s="11"/>
      <c r="C45" s="34" t="s">
        <v>17</v>
      </c>
      <c r="D45" s="29">
        <v>1960</v>
      </c>
      <c r="E45" s="29"/>
      <c r="F45" s="29">
        <v>622</v>
      </c>
    </row>
    <row r="46" spans="1:6" ht="14.4" hidden="1" customHeight="1" outlineLevel="2" x14ac:dyDescent="0.3">
      <c r="B46" s="11"/>
      <c r="C46" s="16" t="s">
        <v>18</v>
      </c>
      <c r="D46" s="27">
        <v>11</v>
      </c>
      <c r="E46" s="27"/>
      <c r="F46" s="27">
        <v>518</v>
      </c>
    </row>
    <row r="47" spans="1:6" ht="14.4" hidden="1" customHeight="1" outlineLevel="2" x14ac:dyDescent="0.3">
      <c r="B47" s="23"/>
      <c r="C47" s="19" t="s">
        <v>19</v>
      </c>
      <c r="D47" s="29">
        <v>5.5</v>
      </c>
      <c r="E47" s="29"/>
      <c r="F47" s="29">
        <v>180.5</v>
      </c>
    </row>
    <row r="48" spans="1:6" ht="10.050000000000001" hidden="1" customHeight="1" outlineLevel="2" x14ac:dyDescent="0.3">
      <c r="B48" s="23"/>
      <c r="D48" s="8"/>
      <c r="E48" s="8"/>
      <c r="F48" s="8"/>
    </row>
    <row r="49" spans="1:6" ht="19.95" customHeight="1" outlineLevel="1" collapsed="1" x14ac:dyDescent="0.3">
      <c r="A49" s="40"/>
      <c r="B49" s="9" t="s">
        <v>0</v>
      </c>
      <c r="C49" s="10"/>
      <c r="D49" s="8"/>
      <c r="E49" s="8"/>
      <c r="F49" s="8"/>
    </row>
    <row r="50" spans="1:6" ht="10.050000000000001" customHeight="1" outlineLevel="1" x14ac:dyDescent="0.3">
      <c r="A50" s="40"/>
      <c r="B50" s="25"/>
      <c r="D50" s="8"/>
      <c r="E50" s="8"/>
      <c r="F50" s="8"/>
    </row>
    <row r="51" spans="1:6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</row>
    <row r="52" spans="1:6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</row>
    <row r="53" spans="1:6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</row>
    <row r="54" spans="1:6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</row>
    <row r="55" spans="1:6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</row>
    <row r="56" spans="1:6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</row>
    <row r="57" spans="1:6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</row>
    <row r="58" spans="1:6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</row>
    <row r="59" spans="1:6" ht="10.050000000000001" hidden="1" customHeight="1" outlineLevel="2" x14ac:dyDescent="0.3">
      <c r="B59" s="20"/>
      <c r="D59" s="8"/>
      <c r="E59" s="8"/>
      <c r="F59" s="8"/>
    </row>
    <row r="60" spans="1:6" ht="19.95" customHeight="1" outlineLevel="1" collapsed="1" x14ac:dyDescent="0.3">
      <c r="A60" s="40"/>
      <c r="B60" s="9" t="s">
        <v>0</v>
      </c>
      <c r="C60" s="10"/>
      <c r="D60" s="8"/>
      <c r="E60" s="8"/>
      <c r="F60" s="8"/>
    </row>
    <row r="61" spans="1:6" ht="10.050000000000001" customHeight="1" outlineLevel="1" x14ac:dyDescent="0.3">
      <c r="A61" s="40"/>
      <c r="B61" s="9"/>
      <c r="C61" s="10"/>
      <c r="D61" s="8"/>
      <c r="E61" s="8"/>
      <c r="F61" s="8"/>
    </row>
    <row r="62" spans="1:6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6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6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7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7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7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7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7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7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7" ht="10.050000000000001" customHeight="1" outlineLevel="2" x14ac:dyDescent="0.3">
      <c r="B71" s="20"/>
      <c r="C71" s="37"/>
      <c r="D71" s="38"/>
      <c r="E71" s="38"/>
      <c r="F71" s="38"/>
    </row>
    <row r="72" spans="1:7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97" t="s">
        <v>20</v>
      </c>
    </row>
    <row r="73" spans="1:7" x14ac:dyDescent="0.3">
      <c r="C73" s="41" t="b">
        <v>0</v>
      </c>
      <c r="D73" s="42">
        <v>1949</v>
      </c>
      <c r="E73" s="42" t="s">
        <v>54</v>
      </c>
      <c r="F73" s="42">
        <v>112</v>
      </c>
      <c r="G73" s="111">
        <v>7.5193585880856504E+18</v>
      </c>
    </row>
    <row r="74" spans="1:7" x14ac:dyDescent="0.3">
      <c r="C74" s="41" t="b">
        <v>0</v>
      </c>
      <c r="D74" s="42">
        <v>1949</v>
      </c>
      <c r="E74" s="42" t="s">
        <v>55</v>
      </c>
      <c r="F74" s="42">
        <v>118</v>
      </c>
      <c r="G74" s="111">
        <v>7.2399298532081203E+18</v>
      </c>
    </row>
    <row r="75" spans="1:7" x14ac:dyDescent="0.3">
      <c r="C75" s="41" t="b">
        <v>0</v>
      </c>
      <c r="D75" s="42">
        <v>1949</v>
      </c>
      <c r="E75" s="42" t="s">
        <v>56</v>
      </c>
      <c r="F75" s="42">
        <v>132</v>
      </c>
      <c r="G75" s="111">
        <v>1.1128817955513E+19</v>
      </c>
    </row>
    <row r="76" spans="1:7" x14ac:dyDescent="0.3">
      <c r="C76" s="41" t="b">
        <v>0</v>
      </c>
      <c r="D76" s="42">
        <v>1949</v>
      </c>
      <c r="E76" s="42" t="s">
        <v>57</v>
      </c>
      <c r="F76" s="42">
        <v>129</v>
      </c>
      <c r="G76" s="111">
        <v>1.4366497715393599E+19</v>
      </c>
    </row>
    <row r="77" spans="1:7" x14ac:dyDescent="0.3">
      <c r="C77" s="41" t="b">
        <v>0</v>
      </c>
      <c r="D77" s="42">
        <v>1949</v>
      </c>
      <c r="E77" s="42" t="s">
        <v>58</v>
      </c>
      <c r="F77" s="42">
        <v>121</v>
      </c>
      <c r="G77" s="111">
        <v>1.21842428818618E+19</v>
      </c>
    </row>
    <row r="78" spans="1:7" x14ac:dyDescent="0.3">
      <c r="C78" s="41" t="b">
        <v>0</v>
      </c>
      <c r="D78" s="42">
        <v>1949</v>
      </c>
      <c r="E78" s="42" t="s">
        <v>59</v>
      </c>
      <c r="F78" s="42">
        <v>135</v>
      </c>
      <c r="G78" s="111">
        <v>1.3506431347247301E+19</v>
      </c>
    </row>
    <row r="79" spans="1:7" x14ac:dyDescent="0.3">
      <c r="C79" s="41" t="b">
        <v>0</v>
      </c>
      <c r="D79" s="42">
        <v>1949</v>
      </c>
      <c r="E79" s="42" t="s">
        <v>60</v>
      </c>
      <c r="F79" s="42">
        <v>148</v>
      </c>
      <c r="G79" s="111">
        <v>9.5661254815499694E+18</v>
      </c>
    </row>
    <row r="80" spans="1:7" x14ac:dyDescent="0.3">
      <c r="C80" s="41" t="b">
        <v>0</v>
      </c>
      <c r="D80" s="42">
        <v>1949</v>
      </c>
      <c r="E80" s="42" t="s">
        <v>61</v>
      </c>
      <c r="F80" s="42">
        <v>148</v>
      </c>
      <c r="G80" s="111">
        <v>8.9363438652136704E+18</v>
      </c>
    </row>
    <row r="81" spans="3:7" x14ac:dyDescent="0.3">
      <c r="C81" s="41" t="b">
        <v>0</v>
      </c>
      <c r="D81" s="42">
        <v>1949</v>
      </c>
      <c r="E81" s="42" t="s">
        <v>62</v>
      </c>
      <c r="F81" s="42">
        <v>136</v>
      </c>
      <c r="G81" s="111">
        <v>1.29420914473559E+19</v>
      </c>
    </row>
    <row r="82" spans="3:7" x14ac:dyDescent="0.3">
      <c r="C82" s="41" t="b">
        <v>0</v>
      </c>
      <c r="D82" s="42">
        <v>1949</v>
      </c>
      <c r="E82" s="42" t="s">
        <v>63</v>
      </c>
      <c r="F82" s="42">
        <v>119</v>
      </c>
      <c r="G82" s="111">
        <v>2.60725738346157E+18</v>
      </c>
    </row>
    <row r="83" spans="3:7" x14ac:dyDescent="0.3">
      <c r="C83" s="41" t="b">
        <v>0</v>
      </c>
      <c r="D83" s="42">
        <v>1949</v>
      </c>
      <c r="E83" s="42" t="s">
        <v>64</v>
      </c>
      <c r="F83" s="42">
        <v>104</v>
      </c>
      <c r="G83" s="111">
        <v>7.18498909484749E+18</v>
      </c>
    </row>
    <row r="84" spans="3:7" x14ac:dyDescent="0.3">
      <c r="C84" s="41" t="b">
        <v>0</v>
      </c>
      <c r="D84" s="42">
        <v>1949</v>
      </c>
      <c r="E84" s="42" t="s">
        <v>65</v>
      </c>
      <c r="F84" s="42">
        <v>118</v>
      </c>
      <c r="G84" s="111">
        <v>1.68247539451387E+19</v>
      </c>
    </row>
    <row r="85" spans="3:7" x14ac:dyDescent="0.3">
      <c r="C85" s="41" t="b">
        <v>0</v>
      </c>
      <c r="D85" s="42">
        <v>1950</v>
      </c>
      <c r="E85" s="42" t="s">
        <v>54</v>
      </c>
      <c r="F85" s="42">
        <v>115</v>
      </c>
      <c r="G85" s="111">
        <v>1.08234572685934E+19</v>
      </c>
    </row>
    <row r="86" spans="3:7" x14ac:dyDescent="0.3">
      <c r="C86" s="41" t="b">
        <v>0</v>
      </c>
      <c r="D86" s="42">
        <v>1950</v>
      </c>
      <c r="E86" s="42" t="s">
        <v>55</v>
      </c>
      <c r="F86" s="42">
        <v>126</v>
      </c>
      <c r="G86" s="111">
        <v>9.6366279309439002E+17</v>
      </c>
    </row>
    <row r="87" spans="3:7" x14ac:dyDescent="0.3">
      <c r="C87" s="41" t="b">
        <v>0</v>
      </c>
      <c r="D87" s="42">
        <v>1950</v>
      </c>
      <c r="E87" s="42" t="s">
        <v>56</v>
      </c>
      <c r="F87" s="42">
        <v>141</v>
      </c>
      <c r="G87" s="111">
        <v>1.78488349808221E+19</v>
      </c>
    </row>
    <row r="88" spans="3:7" x14ac:dyDescent="0.3">
      <c r="C88" s="41" t="b">
        <v>0</v>
      </c>
      <c r="D88" s="42">
        <v>1950</v>
      </c>
      <c r="E88" s="42" t="s">
        <v>57</v>
      </c>
      <c r="F88" s="42">
        <v>135</v>
      </c>
      <c r="G88" s="111">
        <v>5.0700753457186202E+18</v>
      </c>
    </row>
    <row r="89" spans="3:7" x14ac:dyDescent="0.3">
      <c r="C89" s="41" t="b">
        <v>0</v>
      </c>
      <c r="D89" s="42">
        <v>1950</v>
      </c>
      <c r="E89" s="42" t="s">
        <v>58</v>
      </c>
      <c r="F89" s="42">
        <v>125</v>
      </c>
      <c r="G89" s="111">
        <v>9.862247118589909E+18</v>
      </c>
    </row>
    <row r="90" spans="3:7" x14ac:dyDescent="0.3">
      <c r="C90" s="41" t="b">
        <v>0</v>
      </c>
      <c r="D90" s="42">
        <v>1950</v>
      </c>
      <c r="E90" s="42" t="s">
        <v>59</v>
      </c>
      <c r="F90" s="42">
        <v>149</v>
      </c>
      <c r="G90" s="111">
        <v>1.5409916463191501E+19</v>
      </c>
    </row>
    <row r="91" spans="3:7" x14ac:dyDescent="0.3">
      <c r="C91" s="41" t="b">
        <v>0</v>
      </c>
      <c r="D91" s="42">
        <v>1950</v>
      </c>
      <c r="E91" s="42" t="s">
        <v>60</v>
      </c>
      <c r="F91" s="42">
        <v>170</v>
      </c>
      <c r="G91" s="111">
        <v>1.7122636050464201E+19</v>
      </c>
    </row>
    <row r="92" spans="3:7" x14ac:dyDescent="0.3">
      <c r="C92" s="41" t="b">
        <v>0</v>
      </c>
      <c r="D92" s="42">
        <v>1950</v>
      </c>
      <c r="E92" s="42" t="s">
        <v>61</v>
      </c>
      <c r="F92" s="42">
        <v>170</v>
      </c>
      <c r="G92" s="111">
        <v>1.21592105196405E+19</v>
      </c>
    </row>
    <row r="93" spans="3:7" x14ac:dyDescent="0.3">
      <c r="C93" s="41" t="b">
        <v>0</v>
      </c>
      <c r="D93" s="42">
        <v>1950</v>
      </c>
      <c r="E93" s="42" t="s">
        <v>62</v>
      </c>
      <c r="F93" s="42">
        <v>158</v>
      </c>
      <c r="G93" s="111">
        <v>1.1394055899593699E+19</v>
      </c>
    </row>
    <row r="94" spans="3:7" x14ac:dyDescent="0.3">
      <c r="C94" s="41" t="b">
        <v>0</v>
      </c>
      <c r="D94" s="42">
        <v>1950</v>
      </c>
      <c r="E94" s="42" t="s">
        <v>63</v>
      </c>
      <c r="F94" s="42">
        <v>133</v>
      </c>
      <c r="G94" s="111">
        <v>5.9787090785974395E+18</v>
      </c>
    </row>
    <row r="95" spans="3:7" x14ac:dyDescent="0.3">
      <c r="C95" s="41" t="b">
        <v>0</v>
      </c>
      <c r="D95" s="42">
        <v>1950</v>
      </c>
      <c r="E95" s="42" t="s">
        <v>64</v>
      </c>
      <c r="F95" s="42">
        <v>114</v>
      </c>
      <c r="G95" s="111">
        <v>1.23961695376907E+19</v>
      </c>
    </row>
    <row r="96" spans="3:7" x14ac:dyDescent="0.3">
      <c r="C96" s="41" t="b">
        <v>0</v>
      </c>
      <c r="D96" s="42">
        <v>1950</v>
      </c>
      <c r="E96" s="42" t="s">
        <v>65</v>
      </c>
      <c r="F96" s="42">
        <v>140</v>
      </c>
      <c r="G96" s="111">
        <v>9.2678812152331407E+18</v>
      </c>
    </row>
    <row r="97" spans="3:7" x14ac:dyDescent="0.3">
      <c r="C97" s="41" t="b">
        <v>0</v>
      </c>
      <c r="D97" s="42">
        <v>1951</v>
      </c>
      <c r="E97" s="42" t="s">
        <v>54</v>
      </c>
      <c r="F97" s="42">
        <v>145</v>
      </c>
      <c r="G97" s="111">
        <v>1.16800679885749E+19</v>
      </c>
    </row>
    <row r="98" spans="3:7" x14ac:dyDescent="0.3">
      <c r="C98" s="41" t="b">
        <v>0</v>
      </c>
      <c r="D98" s="42">
        <v>1951</v>
      </c>
      <c r="E98" s="42" t="s">
        <v>55</v>
      </c>
      <c r="F98" s="42">
        <v>150</v>
      </c>
      <c r="G98" s="111">
        <v>2.9832962017172101E+18</v>
      </c>
    </row>
    <row r="99" spans="3:7" x14ac:dyDescent="0.3">
      <c r="C99" s="41" t="b">
        <v>0</v>
      </c>
      <c r="D99" s="42">
        <v>1951</v>
      </c>
      <c r="E99" s="42" t="s">
        <v>56</v>
      </c>
      <c r="F99" s="42">
        <v>178</v>
      </c>
      <c r="G99" s="111">
        <v>2.3674765613570601E+18</v>
      </c>
    </row>
    <row r="100" spans="3:7" x14ac:dyDescent="0.3">
      <c r="C100" s="41" t="b">
        <v>0</v>
      </c>
      <c r="D100" s="42">
        <v>1951</v>
      </c>
      <c r="E100" s="42" t="s">
        <v>57</v>
      </c>
      <c r="F100" s="42">
        <v>163</v>
      </c>
      <c r="G100" s="111">
        <v>3.5192969317663603E+17</v>
      </c>
    </row>
    <row r="101" spans="3:7" x14ac:dyDescent="0.3">
      <c r="C101" s="41" t="b">
        <v>0</v>
      </c>
      <c r="D101" s="42">
        <v>1951</v>
      </c>
      <c r="E101" s="42" t="s">
        <v>58</v>
      </c>
      <c r="F101" s="42">
        <v>172</v>
      </c>
      <c r="G101" s="111">
        <v>1.8327513438623199E+19</v>
      </c>
    </row>
    <row r="102" spans="3:7" x14ac:dyDescent="0.3">
      <c r="C102" s="41" t="b">
        <v>0</v>
      </c>
      <c r="D102" s="42">
        <v>1951</v>
      </c>
      <c r="E102" s="42" t="s">
        <v>59</v>
      </c>
      <c r="F102" s="42">
        <v>178</v>
      </c>
      <c r="G102" s="111">
        <v>7.5266453042479903E+18</v>
      </c>
    </row>
    <row r="103" spans="3:7" x14ac:dyDescent="0.3">
      <c r="C103" s="41" t="b">
        <v>0</v>
      </c>
      <c r="D103" s="42">
        <v>1951</v>
      </c>
      <c r="E103" s="42" t="s">
        <v>60</v>
      </c>
      <c r="F103" s="42">
        <v>199</v>
      </c>
      <c r="G103" s="111">
        <v>1.2754075752139801E+19</v>
      </c>
    </row>
    <row r="104" spans="3:7" x14ac:dyDescent="0.3">
      <c r="C104" s="41" t="b">
        <v>0</v>
      </c>
      <c r="D104" s="42">
        <v>1951</v>
      </c>
      <c r="E104" s="42" t="s">
        <v>61</v>
      </c>
      <c r="F104" s="42">
        <v>199</v>
      </c>
      <c r="G104" s="111">
        <v>6.3764952724880497E+18</v>
      </c>
    </row>
    <row r="105" spans="3:7" x14ac:dyDescent="0.3">
      <c r="C105" s="41" t="b">
        <v>0</v>
      </c>
      <c r="D105" s="42">
        <v>1951</v>
      </c>
      <c r="E105" s="42" t="s">
        <v>62</v>
      </c>
      <c r="F105" s="42">
        <v>184</v>
      </c>
      <c r="G105" s="111">
        <v>1.1374581762481E+19</v>
      </c>
    </row>
    <row r="106" spans="3:7" x14ac:dyDescent="0.3">
      <c r="C106" s="41" t="b">
        <v>0</v>
      </c>
      <c r="D106" s="42">
        <v>1951</v>
      </c>
      <c r="E106" s="42" t="s">
        <v>63</v>
      </c>
      <c r="F106" s="42">
        <v>162</v>
      </c>
      <c r="G106" s="111">
        <v>1.4284441926320099E+19</v>
      </c>
    </row>
    <row r="107" spans="3:7" x14ac:dyDescent="0.3">
      <c r="C107" s="41" t="b">
        <v>0</v>
      </c>
      <c r="D107" s="42">
        <v>1951</v>
      </c>
      <c r="E107" s="42" t="s">
        <v>64</v>
      </c>
      <c r="F107" s="42">
        <v>146</v>
      </c>
      <c r="G107" s="111">
        <v>7.5720160710857697E+18</v>
      </c>
    </row>
    <row r="108" spans="3:7" x14ac:dyDescent="0.3">
      <c r="C108" s="41" t="b">
        <v>0</v>
      </c>
      <c r="D108" s="42">
        <v>1951</v>
      </c>
      <c r="E108" s="42" t="s">
        <v>65</v>
      </c>
      <c r="F108" s="42">
        <v>166</v>
      </c>
      <c r="G108" s="111">
        <v>1.6318954938788301E+19</v>
      </c>
    </row>
    <row r="109" spans="3:7" x14ac:dyDescent="0.3">
      <c r="C109" s="41" t="b">
        <v>0</v>
      </c>
      <c r="D109" s="42">
        <v>1952</v>
      </c>
      <c r="E109" s="42" t="s">
        <v>54</v>
      </c>
      <c r="F109" s="42">
        <v>171</v>
      </c>
      <c r="G109" s="111">
        <v>5.8477067471774403E+18</v>
      </c>
    </row>
    <row r="110" spans="3:7" x14ac:dyDescent="0.3">
      <c r="C110" s="41" t="b">
        <v>0</v>
      </c>
      <c r="D110" s="42">
        <v>1952</v>
      </c>
      <c r="E110" s="42" t="s">
        <v>55</v>
      </c>
      <c r="F110" s="42">
        <v>180</v>
      </c>
      <c r="G110" s="111">
        <v>5.4085981353768397E+18</v>
      </c>
    </row>
    <row r="111" spans="3:7" x14ac:dyDescent="0.3">
      <c r="C111" s="41" t="b">
        <v>0</v>
      </c>
      <c r="D111" s="42">
        <v>1952</v>
      </c>
      <c r="E111" s="42" t="s">
        <v>56</v>
      </c>
      <c r="F111" s="42">
        <v>193</v>
      </c>
      <c r="G111" s="111">
        <v>9.847322959248769E+18</v>
      </c>
    </row>
    <row r="112" spans="3:7" x14ac:dyDescent="0.3">
      <c r="C112" s="41" t="b">
        <v>0</v>
      </c>
      <c r="D112" s="42">
        <v>1952</v>
      </c>
      <c r="E112" s="42" t="s">
        <v>57</v>
      </c>
      <c r="F112" s="42">
        <v>181</v>
      </c>
      <c r="G112" s="111">
        <v>1.2920890646630799E+19</v>
      </c>
    </row>
    <row r="113" spans="3:7" x14ac:dyDescent="0.3">
      <c r="C113" s="41" t="b">
        <v>0</v>
      </c>
      <c r="D113" s="42">
        <v>1952</v>
      </c>
      <c r="E113" s="42" t="s">
        <v>58</v>
      </c>
      <c r="F113" s="42">
        <v>183</v>
      </c>
      <c r="G113" s="111">
        <v>1.1056202073039901E+19</v>
      </c>
    </row>
    <row r="114" spans="3:7" x14ac:dyDescent="0.3">
      <c r="C114" s="41" t="b">
        <v>0</v>
      </c>
      <c r="D114" s="42">
        <v>1952</v>
      </c>
      <c r="E114" s="42" t="s">
        <v>59</v>
      </c>
      <c r="F114" s="42">
        <v>218</v>
      </c>
      <c r="G114" s="111">
        <v>5.5315775734393805E+18</v>
      </c>
    </row>
    <row r="115" spans="3:7" x14ac:dyDescent="0.3">
      <c r="C115" s="41" t="b">
        <v>0</v>
      </c>
      <c r="D115" s="42">
        <v>1952</v>
      </c>
      <c r="E115" s="42" t="s">
        <v>60</v>
      </c>
      <c r="F115" s="42">
        <v>230</v>
      </c>
      <c r="G115" s="111">
        <v>1.2855011196899101E+19</v>
      </c>
    </row>
    <row r="116" spans="3:7" x14ac:dyDescent="0.3">
      <c r="C116" s="41" t="b">
        <v>0</v>
      </c>
      <c r="D116" s="42">
        <v>1952</v>
      </c>
      <c r="E116" s="42" t="s">
        <v>61</v>
      </c>
      <c r="F116" s="42">
        <v>242</v>
      </c>
      <c r="G116" s="111">
        <v>2.4204449352014397E+18</v>
      </c>
    </row>
    <row r="117" spans="3:7" x14ac:dyDescent="0.3">
      <c r="C117" s="41" t="b">
        <v>0</v>
      </c>
      <c r="D117" s="42">
        <v>1952</v>
      </c>
      <c r="E117" s="42" t="s">
        <v>62</v>
      </c>
      <c r="F117" s="42">
        <v>209</v>
      </c>
      <c r="G117" s="111">
        <v>2.70008059616749E+18</v>
      </c>
    </row>
    <row r="118" spans="3:7" x14ac:dyDescent="0.3">
      <c r="C118" s="41" t="b">
        <v>0</v>
      </c>
      <c r="D118" s="42">
        <v>1952</v>
      </c>
      <c r="E118" s="42" t="s">
        <v>63</v>
      </c>
      <c r="F118" s="42">
        <v>191</v>
      </c>
      <c r="G118" s="111">
        <v>1.2376781246517199E+18</v>
      </c>
    </row>
    <row r="119" spans="3:7" x14ac:dyDescent="0.3">
      <c r="C119" s="41" t="b">
        <v>0</v>
      </c>
      <c r="D119" s="42">
        <v>1952</v>
      </c>
      <c r="E119" s="42" t="s">
        <v>64</v>
      </c>
      <c r="F119" s="42">
        <v>172</v>
      </c>
      <c r="G119" s="111">
        <v>1.3826259141465999E+19</v>
      </c>
    </row>
    <row r="120" spans="3:7" x14ac:dyDescent="0.3">
      <c r="C120" s="41" t="b">
        <v>0</v>
      </c>
      <c r="D120" s="42">
        <v>1952</v>
      </c>
      <c r="E120" s="42" t="s">
        <v>65</v>
      </c>
      <c r="F120" s="42">
        <v>194</v>
      </c>
      <c r="G120" s="111">
        <v>1.47089643695249E+19</v>
      </c>
    </row>
    <row r="121" spans="3:7" x14ac:dyDescent="0.3">
      <c r="C121" s="41" t="b">
        <v>0</v>
      </c>
      <c r="D121" s="42">
        <v>1953</v>
      </c>
      <c r="E121" s="42" t="s">
        <v>54</v>
      </c>
      <c r="F121" s="42">
        <v>196</v>
      </c>
      <c r="G121" s="111">
        <v>5.1574810334891796E+18</v>
      </c>
    </row>
    <row r="122" spans="3:7" x14ac:dyDescent="0.3">
      <c r="C122" s="41" t="b">
        <v>0</v>
      </c>
      <c r="D122" s="42">
        <v>1953</v>
      </c>
      <c r="E122" s="42" t="s">
        <v>55</v>
      </c>
      <c r="F122" s="42">
        <v>196</v>
      </c>
      <c r="G122" s="111">
        <v>1.42968676240152E+19</v>
      </c>
    </row>
    <row r="123" spans="3:7" x14ac:dyDescent="0.3">
      <c r="C123" s="41" t="b">
        <v>0</v>
      </c>
      <c r="D123" s="42">
        <v>1953</v>
      </c>
      <c r="E123" s="42" t="s">
        <v>56</v>
      </c>
      <c r="F123" s="42">
        <v>236</v>
      </c>
      <c r="G123" s="111">
        <v>1.6031549823439901E+19</v>
      </c>
    </row>
    <row r="124" spans="3:7" x14ac:dyDescent="0.3">
      <c r="C124" s="41" t="b">
        <v>0</v>
      </c>
      <c r="D124" s="42">
        <v>1953</v>
      </c>
      <c r="E124" s="42" t="s">
        <v>57</v>
      </c>
      <c r="F124" s="42">
        <v>235</v>
      </c>
      <c r="G124" s="111">
        <v>6.2376970126975498E+18</v>
      </c>
    </row>
    <row r="125" spans="3:7" x14ac:dyDescent="0.3">
      <c r="C125" s="41" t="b">
        <v>0</v>
      </c>
      <c r="D125" s="42">
        <v>1953</v>
      </c>
      <c r="E125" s="42" t="s">
        <v>58</v>
      </c>
      <c r="F125" s="42">
        <v>229</v>
      </c>
      <c r="G125" s="111">
        <v>1.8175059432367499E+19</v>
      </c>
    </row>
    <row r="126" spans="3:7" x14ac:dyDescent="0.3">
      <c r="C126" s="41" t="b">
        <v>0</v>
      </c>
      <c r="D126" s="42">
        <v>1953</v>
      </c>
      <c r="E126" s="42" t="s">
        <v>59</v>
      </c>
      <c r="F126" s="42">
        <v>243</v>
      </c>
      <c r="G126" s="111">
        <v>1.78305319630819E+19</v>
      </c>
    </row>
    <row r="127" spans="3:7" x14ac:dyDescent="0.3">
      <c r="C127" s="41" t="b">
        <v>0</v>
      </c>
      <c r="D127" s="42">
        <v>1953</v>
      </c>
      <c r="E127" s="42" t="s">
        <v>60</v>
      </c>
      <c r="F127" s="42">
        <v>264</v>
      </c>
      <c r="G127" s="111">
        <v>5.6807950920872704E+18</v>
      </c>
    </row>
    <row r="128" spans="3:7" x14ac:dyDescent="0.3">
      <c r="C128" s="41" t="b">
        <v>0</v>
      </c>
      <c r="D128" s="42">
        <v>1953</v>
      </c>
      <c r="E128" s="42" t="s">
        <v>61</v>
      </c>
      <c r="F128" s="42">
        <v>272</v>
      </c>
      <c r="G128" s="111">
        <v>1.6222848576991601E+19</v>
      </c>
    </row>
    <row r="129" spans="3:7" x14ac:dyDescent="0.3">
      <c r="C129" s="41" t="b">
        <v>0</v>
      </c>
      <c r="D129" s="42">
        <v>1953</v>
      </c>
      <c r="E129" s="42" t="s">
        <v>62</v>
      </c>
      <c r="F129" s="42">
        <v>237</v>
      </c>
      <c r="G129" s="111">
        <v>1.62867880797323E+19</v>
      </c>
    </row>
    <row r="130" spans="3:7" x14ac:dyDescent="0.3">
      <c r="C130" s="41" t="b">
        <v>0</v>
      </c>
      <c r="D130" s="42">
        <v>1953</v>
      </c>
      <c r="E130" s="42" t="s">
        <v>63</v>
      </c>
      <c r="F130" s="42">
        <v>211</v>
      </c>
      <c r="G130" s="111">
        <v>8.6747695037143101E+18</v>
      </c>
    </row>
    <row r="131" spans="3:7" x14ac:dyDescent="0.3">
      <c r="C131" s="41" t="b">
        <v>0</v>
      </c>
      <c r="D131" s="42">
        <v>1953</v>
      </c>
      <c r="E131" s="42" t="s">
        <v>64</v>
      </c>
      <c r="F131" s="42">
        <v>180</v>
      </c>
      <c r="G131" s="111">
        <v>5.4774329142024E+17</v>
      </c>
    </row>
    <row r="132" spans="3:7" x14ac:dyDescent="0.3">
      <c r="C132" s="41" t="b">
        <v>0</v>
      </c>
      <c r="D132" s="42">
        <v>1953</v>
      </c>
      <c r="E132" s="42" t="s">
        <v>65</v>
      </c>
      <c r="F132" s="42">
        <v>201</v>
      </c>
      <c r="G132" s="111">
        <v>4.0893870460664402E+18</v>
      </c>
    </row>
    <row r="133" spans="3:7" x14ac:dyDescent="0.3">
      <c r="C133" s="41" t="b">
        <v>0</v>
      </c>
      <c r="D133" s="42">
        <v>1954</v>
      </c>
      <c r="E133" s="42" t="s">
        <v>54</v>
      </c>
      <c r="F133" s="42">
        <v>204</v>
      </c>
      <c r="G133" s="111">
        <v>1.4938167569801501E+19</v>
      </c>
    </row>
    <row r="134" spans="3:7" x14ac:dyDescent="0.3">
      <c r="C134" s="41" t="b">
        <v>0</v>
      </c>
      <c r="D134" s="42">
        <v>1954</v>
      </c>
      <c r="E134" s="42" t="s">
        <v>55</v>
      </c>
      <c r="F134" s="42">
        <v>188</v>
      </c>
      <c r="G134" s="111">
        <v>3.3665322442176998E+18</v>
      </c>
    </row>
    <row r="135" spans="3:7" x14ac:dyDescent="0.3">
      <c r="C135" s="41" t="b">
        <v>0</v>
      </c>
      <c r="D135" s="42">
        <v>1954</v>
      </c>
      <c r="E135" s="42" t="s">
        <v>56</v>
      </c>
      <c r="F135" s="42">
        <v>235</v>
      </c>
      <c r="G135" s="111">
        <v>3.2223518030154998E+18</v>
      </c>
    </row>
    <row r="136" spans="3:7" x14ac:dyDescent="0.3">
      <c r="C136" s="41" t="b">
        <v>0</v>
      </c>
      <c r="D136" s="42">
        <v>1954</v>
      </c>
      <c r="E136" s="42" t="s">
        <v>57</v>
      </c>
      <c r="F136" s="42">
        <v>227</v>
      </c>
      <c r="G136" s="111">
        <v>1.6784108395070099E+19</v>
      </c>
    </row>
    <row r="137" spans="3:7" x14ac:dyDescent="0.3">
      <c r="C137" s="41" t="b">
        <v>0</v>
      </c>
      <c r="D137" s="42">
        <v>1954</v>
      </c>
      <c r="E137" s="42" t="s">
        <v>58</v>
      </c>
      <c r="F137" s="42">
        <v>234</v>
      </c>
      <c r="G137" s="111">
        <v>1.3215017251826501E+18</v>
      </c>
    </row>
    <row r="138" spans="3:7" x14ac:dyDescent="0.3">
      <c r="C138" s="41" t="b">
        <v>0</v>
      </c>
      <c r="D138" s="42">
        <v>1954</v>
      </c>
      <c r="E138" s="42" t="s">
        <v>59</v>
      </c>
      <c r="F138" s="42">
        <v>264</v>
      </c>
      <c r="G138" s="111">
        <v>1.10801685039069E+19</v>
      </c>
    </row>
    <row r="139" spans="3:7" x14ac:dyDescent="0.3">
      <c r="C139" s="41" t="b">
        <v>0</v>
      </c>
      <c r="D139" s="42">
        <v>1954</v>
      </c>
      <c r="E139" s="42" t="s">
        <v>60</v>
      </c>
      <c r="F139" s="42">
        <v>302</v>
      </c>
      <c r="G139" s="111">
        <v>9.3307161068861706E+18</v>
      </c>
    </row>
    <row r="140" spans="3:7" x14ac:dyDescent="0.3">
      <c r="C140" s="41" t="b">
        <v>0</v>
      </c>
      <c r="D140" s="42">
        <v>1954</v>
      </c>
      <c r="E140" s="42" t="s">
        <v>61</v>
      </c>
      <c r="F140" s="42">
        <v>293</v>
      </c>
      <c r="G140" s="111">
        <v>5.4752351452889999E+18</v>
      </c>
    </row>
    <row r="141" spans="3:7" x14ac:dyDescent="0.3">
      <c r="C141" s="41" t="b">
        <v>0</v>
      </c>
      <c r="D141" s="42">
        <v>1954</v>
      </c>
      <c r="E141" s="42" t="s">
        <v>62</v>
      </c>
      <c r="F141" s="42">
        <v>259</v>
      </c>
      <c r="G141" s="111">
        <v>1.6435004045918401E+19</v>
      </c>
    </row>
    <row r="142" spans="3:7" x14ac:dyDescent="0.3">
      <c r="C142" s="41" t="b">
        <v>0</v>
      </c>
      <c r="D142" s="42">
        <v>1954</v>
      </c>
      <c r="E142" s="42" t="s">
        <v>63</v>
      </c>
      <c r="F142" s="42">
        <v>229</v>
      </c>
      <c r="G142" s="111">
        <v>9.7212245274103992E+18</v>
      </c>
    </row>
    <row r="143" spans="3:7" x14ac:dyDescent="0.3">
      <c r="C143" s="41" t="b">
        <v>0</v>
      </c>
      <c r="D143" s="42">
        <v>1954</v>
      </c>
      <c r="E143" s="42" t="s">
        <v>64</v>
      </c>
      <c r="F143" s="42">
        <v>203</v>
      </c>
      <c r="G143" s="111">
        <v>1.24008969158953E+19</v>
      </c>
    </row>
    <row r="144" spans="3:7" x14ac:dyDescent="0.3">
      <c r="C144" s="41" t="b">
        <v>0</v>
      </c>
      <c r="D144" s="42">
        <v>1954</v>
      </c>
      <c r="E144" s="42" t="s">
        <v>65</v>
      </c>
      <c r="F144" s="42">
        <v>229</v>
      </c>
      <c r="G144" s="111">
        <v>2.13588867334264E+17</v>
      </c>
    </row>
    <row r="145" spans="3:7" x14ac:dyDescent="0.3">
      <c r="C145" s="41" t="b">
        <v>0</v>
      </c>
      <c r="D145" s="42">
        <v>1955</v>
      </c>
      <c r="E145" s="42" t="s">
        <v>54</v>
      </c>
      <c r="F145" s="42">
        <v>242</v>
      </c>
      <c r="G145" s="111">
        <v>4.4942171441229302E+18</v>
      </c>
    </row>
    <row r="146" spans="3:7" x14ac:dyDescent="0.3">
      <c r="C146" s="41" t="b">
        <v>0</v>
      </c>
      <c r="D146" s="42">
        <v>1955</v>
      </c>
      <c r="E146" s="42" t="s">
        <v>55</v>
      </c>
      <c r="F146" s="42">
        <v>233</v>
      </c>
      <c r="G146" s="111">
        <v>1.74635233986239E+19</v>
      </c>
    </row>
    <row r="147" spans="3:7" x14ac:dyDescent="0.3">
      <c r="C147" s="41" t="b">
        <v>0</v>
      </c>
      <c r="D147" s="42">
        <v>1955</v>
      </c>
      <c r="E147" s="42" t="s">
        <v>56</v>
      </c>
      <c r="F147" s="42">
        <v>267</v>
      </c>
      <c r="G147" s="111">
        <v>6.5193789211891999E+18</v>
      </c>
    </row>
    <row r="148" spans="3:7" x14ac:dyDescent="0.3">
      <c r="C148" s="41" t="b">
        <v>0</v>
      </c>
      <c r="D148" s="42">
        <v>1955</v>
      </c>
      <c r="E148" s="42" t="s">
        <v>57</v>
      </c>
      <c r="F148" s="42">
        <v>269</v>
      </c>
      <c r="G148" s="111">
        <v>1.66213914059374E+19</v>
      </c>
    </row>
    <row r="149" spans="3:7" x14ac:dyDescent="0.3">
      <c r="C149" s="41" t="b">
        <v>0</v>
      </c>
      <c r="D149" s="42">
        <v>1955</v>
      </c>
      <c r="E149" s="42" t="s">
        <v>58</v>
      </c>
      <c r="F149" s="42">
        <v>270</v>
      </c>
      <c r="G149" s="111">
        <v>8.7616027745700997E+18</v>
      </c>
    </row>
    <row r="150" spans="3:7" x14ac:dyDescent="0.3">
      <c r="C150" s="41" t="b">
        <v>0</v>
      </c>
      <c r="D150" s="42">
        <v>1955</v>
      </c>
      <c r="E150" s="42" t="s">
        <v>59</v>
      </c>
      <c r="F150" s="42">
        <v>315</v>
      </c>
      <c r="G150" s="111">
        <v>1.5762257485748099E+19</v>
      </c>
    </row>
    <row r="151" spans="3:7" x14ac:dyDescent="0.3">
      <c r="C151" s="41" t="b">
        <v>0</v>
      </c>
      <c r="D151" s="42">
        <v>1955</v>
      </c>
      <c r="E151" s="42" t="s">
        <v>60</v>
      </c>
      <c r="F151" s="42">
        <v>364</v>
      </c>
      <c r="G151" s="111">
        <v>1.8434870446325E+19</v>
      </c>
    </row>
    <row r="152" spans="3:7" x14ac:dyDescent="0.3">
      <c r="C152" s="41" t="b">
        <v>0</v>
      </c>
      <c r="D152" s="42">
        <v>1955</v>
      </c>
      <c r="E152" s="42" t="s">
        <v>61</v>
      </c>
      <c r="F152" s="42">
        <v>347</v>
      </c>
      <c r="G152" s="111">
        <v>1.6189850583972801E+19</v>
      </c>
    </row>
    <row r="153" spans="3:7" x14ac:dyDescent="0.3">
      <c r="C153" s="41" t="b">
        <v>0</v>
      </c>
      <c r="D153" s="42">
        <v>1955</v>
      </c>
      <c r="E153" s="42" t="s">
        <v>62</v>
      </c>
      <c r="F153" s="42">
        <v>312</v>
      </c>
      <c r="G153" s="111">
        <v>1.44145812899781E+19</v>
      </c>
    </row>
    <row r="154" spans="3:7" x14ac:dyDescent="0.3">
      <c r="C154" s="41" t="b">
        <v>0</v>
      </c>
      <c r="D154" s="42">
        <v>1955</v>
      </c>
      <c r="E154" s="42" t="s">
        <v>63</v>
      </c>
      <c r="F154" s="42">
        <v>274</v>
      </c>
      <c r="G154" s="111">
        <v>5.1061185474697503E+18</v>
      </c>
    </row>
    <row r="155" spans="3:7" x14ac:dyDescent="0.3">
      <c r="C155" s="41" t="b">
        <v>0</v>
      </c>
      <c r="D155" s="42">
        <v>1955</v>
      </c>
      <c r="E155" s="42" t="s">
        <v>64</v>
      </c>
      <c r="F155" s="42">
        <v>237</v>
      </c>
      <c r="G155" s="111">
        <v>1.1263158675643601E+19</v>
      </c>
    </row>
    <row r="156" spans="3:7" x14ac:dyDescent="0.3">
      <c r="C156" s="41" t="b">
        <v>0</v>
      </c>
      <c r="D156" s="42">
        <v>1955</v>
      </c>
      <c r="E156" s="42" t="s">
        <v>65</v>
      </c>
      <c r="F156" s="42">
        <v>278</v>
      </c>
      <c r="G156" s="111">
        <v>1.44976606790475E+19</v>
      </c>
    </row>
    <row r="157" spans="3:7" x14ac:dyDescent="0.3">
      <c r="C157" s="41" t="b">
        <v>0</v>
      </c>
      <c r="D157" s="42">
        <v>1956</v>
      </c>
      <c r="E157" s="42" t="s">
        <v>54</v>
      </c>
      <c r="F157" s="42">
        <v>284</v>
      </c>
      <c r="G157" s="111">
        <v>6.4134979795645102E+18</v>
      </c>
    </row>
    <row r="158" spans="3:7" x14ac:dyDescent="0.3">
      <c r="C158" s="41" t="b">
        <v>0</v>
      </c>
      <c r="D158" s="42">
        <v>1956</v>
      </c>
      <c r="E158" s="42" t="s">
        <v>55</v>
      </c>
      <c r="F158" s="42">
        <v>277</v>
      </c>
      <c r="G158" s="111">
        <v>3.9652962935239598E+18</v>
      </c>
    </row>
    <row r="159" spans="3:7" x14ac:dyDescent="0.3">
      <c r="C159" s="41" t="b">
        <v>0</v>
      </c>
      <c r="D159" s="42">
        <v>1956</v>
      </c>
      <c r="E159" s="42" t="s">
        <v>56</v>
      </c>
      <c r="F159" s="42">
        <v>317</v>
      </c>
      <c r="G159" s="111">
        <v>1.6865877296914801E+19</v>
      </c>
    </row>
    <row r="160" spans="3:7" x14ac:dyDescent="0.3">
      <c r="C160" s="41" t="b">
        <v>0</v>
      </c>
      <c r="D160" s="42">
        <v>1956</v>
      </c>
      <c r="E160" s="42" t="s">
        <v>57</v>
      </c>
      <c r="F160" s="42">
        <v>313</v>
      </c>
      <c r="G160" s="111">
        <v>3.8704750083583299E+18</v>
      </c>
    </row>
    <row r="161" spans="3:7" x14ac:dyDescent="0.3">
      <c r="C161" s="41" t="b">
        <v>0</v>
      </c>
      <c r="D161" s="42">
        <v>1956</v>
      </c>
      <c r="E161" s="42" t="s">
        <v>58</v>
      </c>
      <c r="F161" s="42">
        <v>318</v>
      </c>
      <c r="G161" s="111">
        <v>9.7412500317392609E+18</v>
      </c>
    </row>
    <row r="162" spans="3:7" x14ac:dyDescent="0.3">
      <c r="C162" s="41" t="b">
        <v>0</v>
      </c>
      <c r="D162" s="42">
        <v>1956</v>
      </c>
      <c r="E162" s="42" t="s">
        <v>59</v>
      </c>
      <c r="F162" s="42">
        <v>374</v>
      </c>
      <c r="G162" s="111">
        <v>1.4292135876340099E+19</v>
      </c>
    </row>
    <row r="163" spans="3:7" x14ac:dyDescent="0.3">
      <c r="C163" s="41" t="b">
        <v>0</v>
      </c>
      <c r="D163" s="42">
        <v>1956</v>
      </c>
      <c r="E163" s="42" t="s">
        <v>60</v>
      </c>
      <c r="F163" s="42">
        <v>413</v>
      </c>
      <c r="G163" s="111">
        <v>1.0628100850786601E+19</v>
      </c>
    </row>
    <row r="164" spans="3:7" x14ac:dyDescent="0.3">
      <c r="C164" s="41" t="b">
        <v>0</v>
      </c>
      <c r="D164" s="42">
        <v>1956</v>
      </c>
      <c r="E164" s="42" t="s">
        <v>61</v>
      </c>
      <c r="F164" s="42">
        <v>405</v>
      </c>
      <c r="G164" s="111">
        <v>9.14156625125201E+18</v>
      </c>
    </row>
    <row r="165" spans="3:7" x14ac:dyDescent="0.3">
      <c r="C165" s="41" t="b">
        <v>0</v>
      </c>
      <c r="D165" s="42">
        <v>1956</v>
      </c>
      <c r="E165" s="42" t="s">
        <v>62</v>
      </c>
      <c r="F165" s="42">
        <v>355</v>
      </c>
      <c r="G165" s="111">
        <v>1.48225155662162E+19</v>
      </c>
    </row>
    <row r="166" spans="3:7" x14ac:dyDescent="0.3">
      <c r="C166" s="41" t="b">
        <v>0</v>
      </c>
      <c r="D166" s="42">
        <v>1956</v>
      </c>
      <c r="E166" s="42" t="s">
        <v>63</v>
      </c>
      <c r="F166" s="42">
        <v>306</v>
      </c>
      <c r="G166" s="111">
        <v>7.7656415711789804E+18</v>
      </c>
    </row>
    <row r="167" spans="3:7" x14ac:dyDescent="0.3">
      <c r="C167" s="41" t="b">
        <v>0</v>
      </c>
      <c r="D167" s="42">
        <v>1956</v>
      </c>
      <c r="E167" s="42" t="s">
        <v>64</v>
      </c>
      <c r="F167" s="42">
        <v>271</v>
      </c>
      <c r="G167" s="111">
        <v>1.0647443743099199E+19</v>
      </c>
    </row>
    <row r="168" spans="3:7" x14ac:dyDescent="0.3">
      <c r="C168" s="41" t="b">
        <v>0</v>
      </c>
      <c r="D168" s="42">
        <v>1956</v>
      </c>
      <c r="E168" s="42" t="s">
        <v>65</v>
      </c>
      <c r="F168" s="42">
        <v>306</v>
      </c>
      <c r="G168" s="111">
        <v>1.43866037859235E+19</v>
      </c>
    </row>
    <row r="169" spans="3:7" x14ac:dyDescent="0.3">
      <c r="C169" s="41" t="b">
        <v>0</v>
      </c>
      <c r="D169" s="42">
        <v>1957</v>
      </c>
      <c r="E169" s="42" t="s">
        <v>54</v>
      </c>
      <c r="F169" s="42">
        <v>315</v>
      </c>
      <c r="G169" s="111">
        <v>8.2464540154112901E+18</v>
      </c>
    </row>
    <row r="170" spans="3:7" x14ac:dyDescent="0.3">
      <c r="C170" s="41" t="b">
        <v>0</v>
      </c>
      <c r="D170" s="42">
        <v>1957</v>
      </c>
      <c r="E170" s="42" t="s">
        <v>55</v>
      </c>
      <c r="F170" s="42">
        <v>301</v>
      </c>
      <c r="G170" s="111">
        <v>1.60894670435287E+19</v>
      </c>
    </row>
    <row r="171" spans="3:7" x14ac:dyDescent="0.3">
      <c r="C171" s="41" t="b">
        <v>0</v>
      </c>
      <c r="D171" s="42">
        <v>1957</v>
      </c>
      <c r="E171" s="42" t="s">
        <v>56</v>
      </c>
      <c r="F171" s="42">
        <v>356</v>
      </c>
      <c r="G171" s="111">
        <v>7.9611584764313098E+18</v>
      </c>
    </row>
    <row r="172" spans="3:7" x14ac:dyDescent="0.3">
      <c r="C172" s="41" t="b">
        <v>0</v>
      </c>
      <c r="D172" s="42">
        <v>1957</v>
      </c>
      <c r="E172" s="42" t="s">
        <v>57</v>
      </c>
      <c r="F172" s="42">
        <v>348</v>
      </c>
      <c r="G172" s="111">
        <v>6.2724799221036503E+18</v>
      </c>
    </row>
    <row r="173" spans="3:7" x14ac:dyDescent="0.3">
      <c r="C173" s="41" t="b">
        <v>0</v>
      </c>
      <c r="D173" s="42">
        <v>1957</v>
      </c>
      <c r="E173" s="42" t="s">
        <v>58</v>
      </c>
      <c r="F173" s="42">
        <v>355</v>
      </c>
      <c r="G173" s="111">
        <v>5.1638142635692902E+18</v>
      </c>
    </row>
    <row r="174" spans="3:7" x14ac:dyDescent="0.3">
      <c r="C174" s="41" t="b">
        <v>0</v>
      </c>
      <c r="D174" s="42">
        <v>1957</v>
      </c>
      <c r="E174" s="42" t="s">
        <v>59</v>
      </c>
      <c r="F174" s="42">
        <v>422</v>
      </c>
      <c r="G174" s="111">
        <v>1.1252810800372099E+19</v>
      </c>
    </row>
    <row r="175" spans="3:7" x14ac:dyDescent="0.3">
      <c r="C175" s="41" t="b">
        <v>0</v>
      </c>
      <c r="D175" s="42">
        <v>1957</v>
      </c>
      <c r="E175" s="42" t="s">
        <v>60</v>
      </c>
      <c r="F175" s="42">
        <v>465</v>
      </c>
      <c r="G175" s="111">
        <v>2.8993280516666998E+18</v>
      </c>
    </row>
    <row r="176" spans="3:7" x14ac:dyDescent="0.3">
      <c r="C176" s="41" t="b">
        <v>0</v>
      </c>
      <c r="D176" s="42">
        <v>1957</v>
      </c>
      <c r="E176" s="42" t="s">
        <v>61</v>
      </c>
      <c r="F176" s="42">
        <v>467</v>
      </c>
      <c r="G176" s="111">
        <v>8.4995569844030904E+18</v>
      </c>
    </row>
    <row r="177" spans="3:7" x14ac:dyDescent="0.3">
      <c r="C177" s="41" t="b">
        <v>0</v>
      </c>
      <c r="D177" s="42">
        <v>1957</v>
      </c>
      <c r="E177" s="42" t="s">
        <v>62</v>
      </c>
      <c r="F177" s="42">
        <v>404</v>
      </c>
      <c r="G177" s="111">
        <v>1.1173017797284901E+19</v>
      </c>
    </row>
    <row r="178" spans="3:7" x14ac:dyDescent="0.3">
      <c r="C178" s="41" t="b">
        <v>0</v>
      </c>
      <c r="D178" s="42">
        <v>1957</v>
      </c>
      <c r="E178" s="42" t="s">
        <v>63</v>
      </c>
      <c r="F178" s="42">
        <v>347</v>
      </c>
      <c r="G178" s="111">
        <v>1.10576789793839E+18</v>
      </c>
    </row>
    <row r="179" spans="3:7" x14ac:dyDescent="0.3">
      <c r="C179" s="41" t="b">
        <v>0</v>
      </c>
      <c r="D179" s="42">
        <v>1957</v>
      </c>
      <c r="E179" s="42" t="s">
        <v>64</v>
      </c>
      <c r="F179" s="42">
        <v>305</v>
      </c>
      <c r="G179" s="111">
        <v>1.56631624554339E+19</v>
      </c>
    </row>
    <row r="180" spans="3:7" x14ac:dyDescent="0.3">
      <c r="C180" s="41" t="b">
        <v>0</v>
      </c>
      <c r="D180" s="42">
        <v>1957</v>
      </c>
      <c r="E180" s="42" t="s">
        <v>65</v>
      </c>
      <c r="F180" s="42">
        <v>336</v>
      </c>
      <c r="G180" s="111">
        <v>2.28526196462798E+18</v>
      </c>
    </row>
    <row r="181" spans="3:7" x14ac:dyDescent="0.3">
      <c r="C181" s="41" t="b">
        <v>0</v>
      </c>
      <c r="D181" s="42">
        <v>1958</v>
      </c>
      <c r="E181" s="42" t="s">
        <v>54</v>
      </c>
      <c r="F181" s="42">
        <v>340</v>
      </c>
      <c r="G181" s="111">
        <v>1.7380224103515199E+19</v>
      </c>
    </row>
    <row r="182" spans="3:7" x14ac:dyDescent="0.3">
      <c r="C182" s="41" t="b">
        <v>0</v>
      </c>
      <c r="D182" s="42">
        <v>1958</v>
      </c>
      <c r="E182" s="42" t="s">
        <v>55</v>
      </c>
      <c r="F182" s="42">
        <v>318</v>
      </c>
      <c r="G182" s="111">
        <v>4.3176124073314601E+18</v>
      </c>
    </row>
    <row r="183" spans="3:7" x14ac:dyDescent="0.3">
      <c r="C183" s="41" t="b">
        <v>0</v>
      </c>
      <c r="D183" s="42">
        <v>1958</v>
      </c>
      <c r="E183" s="42" t="s">
        <v>56</v>
      </c>
      <c r="F183" s="42">
        <v>362</v>
      </c>
      <c r="G183" s="111">
        <v>6.2289570061780695E+18</v>
      </c>
    </row>
    <row r="184" spans="3:7" x14ac:dyDescent="0.3">
      <c r="C184" s="41" t="b">
        <v>0</v>
      </c>
      <c r="D184" s="42">
        <v>1958</v>
      </c>
      <c r="E184" s="42" t="s">
        <v>57</v>
      </c>
      <c r="F184" s="42">
        <v>348</v>
      </c>
      <c r="G184" s="111">
        <v>5.8090898576461199E+18</v>
      </c>
    </row>
    <row r="185" spans="3:7" x14ac:dyDescent="0.3">
      <c r="C185" s="41" t="b">
        <v>0</v>
      </c>
      <c r="D185" s="42">
        <v>1958</v>
      </c>
      <c r="E185" s="42" t="s">
        <v>58</v>
      </c>
      <c r="F185" s="42">
        <v>363</v>
      </c>
      <c r="G185" s="111">
        <v>8.2171227982054298E+18</v>
      </c>
    </row>
    <row r="186" spans="3:7" x14ac:dyDescent="0.3">
      <c r="C186" s="41" t="b">
        <v>0</v>
      </c>
      <c r="D186" s="42">
        <v>1958</v>
      </c>
      <c r="E186" s="42" t="s">
        <v>59</v>
      </c>
      <c r="F186" s="42">
        <v>435</v>
      </c>
      <c r="G186" s="111">
        <v>1.3737874758613399E+18</v>
      </c>
    </row>
    <row r="187" spans="3:7" x14ac:dyDescent="0.3">
      <c r="C187" s="41" t="b">
        <v>0</v>
      </c>
      <c r="D187" s="42">
        <v>1958</v>
      </c>
      <c r="E187" s="42" t="s">
        <v>60</v>
      </c>
      <c r="F187" s="42">
        <v>491</v>
      </c>
      <c r="G187" s="111">
        <v>1.5378915408121399E+19</v>
      </c>
    </row>
    <row r="188" spans="3:7" x14ac:dyDescent="0.3">
      <c r="C188" s="41" t="b">
        <v>0</v>
      </c>
      <c r="D188" s="42">
        <v>1958</v>
      </c>
      <c r="E188" s="42" t="s">
        <v>61</v>
      </c>
      <c r="F188" s="42">
        <v>505</v>
      </c>
      <c r="G188" s="111">
        <v>1.84067260890241E+19</v>
      </c>
    </row>
    <row r="189" spans="3:7" x14ac:dyDescent="0.3">
      <c r="C189" s="41" t="b">
        <v>0</v>
      </c>
      <c r="D189" s="42">
        <v>1958</v>
      </c>
      <c r="E189" s="42" t="s">
        <v>62</v>
      </c>
      <c r="F189" s="42">
        <v>404</v>
      </c>
      <c r="G189" s="111">
        <v>3.3082858523027302E+18</v>
      </c>
    </row>
    <row r="190" spans="3:7" x14ac:dyDescent="0.3">
      <c r="C190" s="41" t="b">
        <v>0</v>
      </c>
      <c r="D190" s="42">
        <v>1958</v>
      </c>
      <c r="E190" s="42" t="s">
        <v>63</v>
      </c>
      <c r="F190" s="42">
        <v>359</v>
      </c>
      <c r="G190" s="111">
        <v>1.64422609191965E+19</v>
      </c>
    </row>
    <row r="191" spans="3:7" x14ac:dyDescent="0.3">
      <c r="C191" s="41" t="b">
        <v>0</v>
      </c>
      <c r="D191" s="42">
        <v>1958</v>
      </c>
      <c r="E191" s="42" t="s">
        <v>64</v>
      </c>
      <c r="F191" s="42">
        <v>310</v>
      </c>
      <c r="G191" s="111">
        <v>1.68812318528024E+19</v>
      </c>
    </row>
    <row r="192" spans="3:7" x14ac:dyDescent="0.3">
      <c r="C192" s="41" t="b">
        <v>0</v>
      </c>
      <c r="D192" s="42">
        <v>1958</v>
      </c>
      <c r="E192" s="42" t="s">
        <v>65</v>
      </c>
      <c r="F192" s="42">
        <v>337</v>
      </c>
      <c r="G192" s="111">
        <v>1.66698472285038E+19</v>
      </c>
    </row>
    <row r="193" spans="3:7" x14ac:dyDescent="0.3">
      <c r="C193" s="41" t="b">
        <v>0</v>
      </c>
      <c r="D193" s="42">
        <v>1959</v>
      </c>
      <c r="E193" s="42" t="s">
        <v>54</v>
      </c>
      <c r="F193" s="42">
        <v>360</v>
      </c>
      <c r="G193" s="111">
        <v>2.6885779817999201E+18</v>
      </c>
    </row>
    <row r="194" spans="3:7" x14ac:dyDescent="0.3">
      <c r="C194" s="41" t="b">
        <v>0</v>
      </c>
      <c r="D194" s="42">
        <v>1959</v>
      </c>
      <c r="E194" s="42" t="s">
        <v>55</v>
      </c>
      <c r="F194" s="42">
        <v>342</v>
      </c>
      <c r="G194" s="111">
        <v>8.5881085638656901E+18</v>
      </c>
    </row>
    <row r="195" spans="3:7" x14ac:dyDescent="0.3">
      <c r="C195" s="41" t="b">
        <v>0</v>
      </c>
      <c r="D195" s="42">
        <v>1959</v>
      </c>
      <c r="E195" s="42" t="s">
        <v>56</v>
      </c>
      <c r="F195" s="42">
        <v>406</v>
      </c>
      <c r="G195" s="111">
        <v>8.7041417760328397E+18</v>
      </c>
    </row>
    <row r="196" spans="3:7" x14ac:dyDescent="0.3">
      <c r="C196" s="41" t="b">
        <v>0</v>
      </c>
      <c r="D196" s="42">
        <v>1959</v>
      </c>
      <c r="E196" s="42" t="s">
        <v>57</v>
      </c>
      <c r="F196" s="42">
        <v>396</v>
      </c>
      <c r="G196" s="111">
        <v>1.9555878639949299E+18</v>
      </c>
    </row>
    <row r="197" spans="3:7" x14ac:dyDescent="0.3">
      <c r="C197" s="41" t="b">
        <v>0</v>
      </c>
      <c r="D197" s="42">
        <v>1959</v>
      </c>
      <c r="E197" s="42" t="s">
        <v>58</v>
      </c>
      <c r="F197" s="42">
        <v>420</v>
      </c>
      <c r="G197" s="111">
        <v>1.21329599742912E+19</v>
      </c>
    </row>
    <row r="198" spans="3:7" x14ac:dyDescent="0.3">
      <c r="C198" s="41" t="b">
        <v>0</v>
      </c>
      <c r="D198" s="42">
        <v>1959</v>
      </c>
      <c r="E198" s="42" t="s">
        <v>59</v>
      </c>
      <c r="F198" s="42">
        <v>472</v>
      </c>
      <c r="G198" s="111">
        <v>7.2310655462342902E+18</v>
      </c>
    </row>
    <row r="199" spans="3:7" x14ac:dyDescent="0.3">
      <c r="C199" s="41" t="b">
        <v>0</v>
      </c>
      <c r="D199" s="42">
        <v>1959</v>
      </c>
      <c r="E199" s="42" t="s">
        <v>60</v>
      </c>
      <c r="F199" s="42">
        <v>548</v>
      </c>
      <c r="G199" s="111">
        <v>1.24474339902248E+19</v>
      </c>
    </row>
    <row r="200" spans="3:7" x14ac:dyDescent="0.3">
      <c r="C200" s="41" t="b">
        <v>0</v>
      </c>
      <c r="D200" s="42">
        <v>1959</v>
      </c>
      <c r="E200" s="42" t="s">
        <v>61</v>
      </c>
      <c r="F200" s="42">
        <v>559</v>
      </c>
      <c r="G200" s="111">
        <v>1.68901361451385E+19</v>
      </c>
    </row>
    <row r="201" spans="3:7" x14ac:dyDescent="0.3">
      <c r="C201" s="41" t="b">
        <v>0</v>
      </c>
      <c r="D201" s="42">
        <v>1959</v>
      </c>
      <c r="E201" s="42" t="s">
        <v>62</v>
      </c>
      <c r="F201" s="42">
        <v>463</v>
      </c>
      <c r="G201" s="111">
        <v>4.4835658085197302E+18</v>
      </c>
    </row>
    <row r="202" spans="3:7" x14ac:dyDescent="0.3">
      <c r="C202" s="41" t="b">
        <v>0</v>
      </c>
      <c r="D202" s="42">
        <v>1959</v>
      </c>
      <c r="E202" s="42" t="s">
        <v>63</v>
      </c>
      <c r="F202" s="42">
        <v>407</v>
      </c>
      <c r="G202" s="111">
        <v>4.6867974768665702E+17</v>
      </c>
    </row>
    <row r="203" spans="3:7" x14ac:dyDescent="0.3">
      <c r="C203" s="41" t="b">
        <v>0</v>
      </c>
      <c r="D203" s="42">
        <v>1959</v>
      </c>
      <c r="E203" s="42" t="s">
        <v>64</v>
      </c>
      <c r="F203" s="42">
        <v>362</v>
      </c>
      <c r="G203" s="111">
        <v>5.4230019492889201E+18</v>
      </c>
    </row>
    <row r="204" spans="3:7" x14ac:dyDescent="0.3">
      <c r="C204" s="41" t="b">
        <v>0</v>
      </c>
      <c r="D204" s="42">
        <v>1959</v>
      </c>
      <c r="E204" s="42" t="s">
        <v>65</v>
      </c>
      <c r="F204" s="42">
        <v>405</v>
      </c>
      <c r="G204" s="111">
        <v>6.5526337307483505E+18</v>
      </c>
    </row>
    <row r="205" spans="3:7" x14ac:dyDescent="0.3">
      <c r="C205" s="41" t="b">
        <v>0</v>
      </c>
      <c r="D205" s="42">
        <v>1960</v>
      </c>
      <c r="E205" s="42" t="s">
        <v>54</v>
      </c>
      <c r="F205" s="42">
        <v>417</v>
      </c>
      <c r="G205" s="111">
        <v>1.39879030528292E+19</v>
      </c>
    </row>
    <row r="206" spans="3:7" x14ac:dyDescent="0.3">
      <c r="C206" s="41" t="b">
        <v>0</v>
      </c>
      <c r="D206" s="42">
        <v>1960</v>
      </c>
      <c r="E206" s="42" t="s">
        <v>55</v>
      </c>
      <c r="F206" s="42">
        <v>391</v>
      </c>
      <c r="G206" s="111">
        <v>1.7521856922321101E+19</v>
      </c>
    </row>
    <row r="207" spans="3:7" x14ac:dyDescent="0.3">
      <c r="C207" s="41" t="b">
        <v>0</v>
      </c>
      <c r="D207" s="42">
        <v>1960</v>
      </c>
      <c r="E207" s="42" t="s">
        <v>56</v>
      </c>
      <c r="F207" s="42">
        <v>419</v>
      </c>
      <c r="G207" s="111">
        <v>8.0843590636106803E+18</v>
      </c>
    </row>
    <row r="208" spans="3:7" x14ac:dyDescent="0.3">
      <c r="C208" s="41" t="b">
        <v>0</v>
      </c>
      <c r="D208" s="42">
        <v>1960</v>
      </c>
      <c r="E208" s="42" t="s">
        <v>57</v>
      </c>
      <c r="F208" s="42">
        <v>461</v>
      </c>
      <c r="G208" s="111">
        <v>9.3599273576184607E+18</v>
      </c>
    </row>
    <row r="209" spans="3:7" x14ac:dyDescent="0.3">
      <c r="C209" s="41" t="b">
        <v>0</v>
      </c>
      <c r="D209" s="42">
        <v>1960</v>
      </c>
      <c r="E209" s="42" t="s">
        <v>58</v>
      </c>
      <c r="F209" s="42">
        <v>472</v>
      </c>
      <c r="G209" s="111">
        <v>9.4163736688143995E+18</v>
      </c>
    </row>
    <row r="210" spans="3:7" x14ac:dyDescent="0.3">
      <c r="C210" s="41" t="b">
        <v>0</v>
      </c>
      <c r="D210" s="42">
        <v>1960</v>
      </c>
      <c r="E210" s="42" t="s">
        <v>59</v>
      </c>
      <c r="F210" s="42">
        <v>535</v>
      </c>
      <c r="G210" s="111">
        <v>6.1736260015840205E+18</v>
      </c>
    </row>
    <row r="211" spans="3:7" x14ac:dyDescent="0.3">
      <c r="C211" s="41" t="b">
        <v>0</v>
      </c>
      <c r="D211" s="42">
        <v>1960</v>
      </c>
      <c r="E211" s="42" t="s">
        <v>60</v>
      </c>
      <c r="F211" s="42">
        <v>622</v>
      </c>
      <c r="G211" s="111">
        <v>7.07466850725235E+18</v>
      </c>
    </row>
    <row r="212" spans="3:7" x14ac:dyDescent="0.3">
      <c r="C212" s="41" t="b">
        <v>0</v>
      </c>
      <c r="D212" s="42">
        <v>1960</v>
      </c>
      <c r="E212" s="42" t="s">
        <v>61</v>
      </c>
      <c r="F212" s="42">
        <v>606</v>
      </c>
      <c r="G212" s="111">
        <v>3.7458458062690601E+18</v>
      </c>
    </row>
    <row r="213" spans="3:7" x14ac:dyDescent="0.3">
      <c r="C213" s="41" t="b">
        <v>0</v>
      </c>
      <c r="D213" s="42">
        <v>1960</v>
      </c>
      <c r="E213" s="42" t="s">
        <v>62</v>
      </c>
      <c r="F213" s="42">
        <v>508</v>
      </c>
      <c r="G213" s="111">
        <v>1.7953323507790299E+19</v>
      </c>
    </row>
    <row r="214" spans="3:7" x14ac:dyDescent="0.3">
      <c r="C214" s="41" t="b">
        <v>0</v>
      </c>
      <c r="D214" s="42">
        <v>1960</v>
      </c>
      <c r="E214" s="42" t="s">
        <v>63</v>
      </c>
      <c r="F214" s="42">
        <v>461</v>
      </c>
      <c r="G214" s="111">
        <v>1.8312653310670899E+19</v>
      </c>
    </row>
    <row r="215" spans="3:7" x14ac:dyDescent="0.3">
      <c r="C215" s="41" t="b">
        <v>0</v>
      </c>
      <c r="D215" s="42">
        <v>1960</v>
      </c>
      <c r="E215" s="42" t="s">
        <v>64</v>
      </c>
      <c r="F215" s="42">
        <v>390</v>
      </c>
      <c r="G215" s="111">
        <v>4.17123194473137E+18</v>
      </c>
    </row>
    <row r="216" spans="3:7" x14ac:dyDescent="0.3">
      <c r="C216" s="41" t="b">
        <v>0</v>
      </c>
      <c r="D216" s="42">
        <v>1960</v>
      </c>
      <c r="E216" s="42" t="s">
        <v>65</v>
      </c>
      <c r="F216" s="42">
        <v>432</v>
      </c>
      <c r="G216" s="111">
        <v>4.8963259943188603E+18</v>
      </c>
    </row>
  </sheetData>
  <mergeCells count="1">
    <mergeCell ref="D3:E5"/>
  </mergeCells>
  <phoneticPr fontId="15" type="noConversion"/>
  <conditionalFormatting sqref="D25:F25 D71:F71">
    <cfRule type="cellIs" dxfId="26" priority="40" operator="equal">
      <formula>"Notes"</formula>
    </cfRule>
  </conditionalFormatting>
  <conditionalFormatting sqref="D29:F33 D39:F47 D16:F16 D20:F25">
    <cfRule type="cellIs" dxfId="25" priority="41" operator="equal">
      <formula>0</formula>
    </cfRule>
  </conditionalFormatting>
  <conditionalFormatting sqref="D35:F35">
    <cfRule type="cellIs" dxfId="24" priority="39" operator="equal">
      <formula>"Notes"</formula>
    </cfRule>
  </conditionalFormatting>
  <conditionalFormatting sqref="C73:C216">
    <cfRule type="cellIs" dxfId="23" priority="37" operator="equal">
      <formula>FALSE</formula>
    </cfRule>
    <cfRule type="cellIs" dxfId="22" priority="38" operator="notEqual">
      <formula>FALSE</formula>
    </cfRule>
  </conditionalFormatting>
  <conditionalFormatting sqref="D51:E58">
    <cfRule type="cellIs" dxfId="21" priority="35" operator="equal">
      <formula>FALSE</formula>
    </cfRule>
    <cfRule type="cellIs" dxfId="20" priority="36" operator="notEqual">
      <formula>FALSE</formula>
    </cfRule>
  </conditionalFormatting>
  <conditionalFormatting sqref="D10:F10">
    <cfRule type="cellIs" dxfId="19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8" priority="11"/>
  </conditionalFormatting>
  <conditionalFormatting sqref="D3">
    <cfRule type="cellIs" dxfId="17" priority="6" operator="notEqual">
      <formula>"Description"</formula>
    </cfRule>
  </conditionalFormatting>
  <conditionalFormatting sqref="D8:F8">
    <cfRule type="cellIs" dxfId="16" priority="5" operator="notEqual">
      <formula>"Definition"</formula>
    </cfRule>
  </conditionalFormatting>
  <conditionalFormatting sqref="F51:F58">
    <cfRule type="cellIs" dxfId="7" priority="3" operator="equal">
      <formula>FALSE</formula>
    </cfRule>
    <cfRule type="cellIs" dxfId="6" priority="4" operator="notEqual">
      <formula>FALSE</formula>
    </cfRule>
  </conditionalFormatting>
  <conditionalFormatting sqref="F17:F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2" priority="3" operator="equal">
      <formula>"Notes"</formula>
    </cfRule>
  </conditionalFormatting>
  <conditionalFormatting sqref="E6:E7">
    <cfRule type="cellIs" dxfId="11" priority="4" operator="equal">
      <formula>0</formula>
    </cfRule>
  </conditionalFormatting>
  <conditionalFormatting sqref="E2">
    <cfRule type="cellIs" dxfId="10" priority="1" operator="equal">
      <formula>"Notes"</formula>
    </cfRule>
    <cfRule type="cellIs" dxfId="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2026-05-18T19:41:16Z</dcterms:modified>
</cp:coreProperties>
</file>