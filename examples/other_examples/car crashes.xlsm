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9A73851-809C-4C81-B194-9C8CEED779CF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Car Crashes" sheetId="25" r:id="rId3"/>
  </sheets>
  <functionGroups builtInGroupCount="19"/>
  <definedNames>
    <definedName name="Back">Overview!$D$58</definedName>
    <definedName name="Compiled_Lists" localSheetId="2">'Car Crashes'!$C$71:$C$80</definedName>
    <definedName name="Composition" localSheetId="2">'Car Crashes'!$C$25:$C$35</definedName>
    <definedName name="CompositionTable" localSheetId="2">'Car Crashes'!$D$34</definedName>
    <definedName name="DarkHeader" localSheetId="2">'Car Crashes'!$D$81</definedName>
    <definedName name="Data_Description" localSheetId="2">'Car Crashes'!$C$9:$C$20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'Car Crashes'!$D$17:$L$17</definedName>
    <definedName name="Description" localSheetId="2">'Car Crashes'!$D$9</definedName>
    <definedName name="Dimensions" localSheetId="2">'Car Crashes'!$D$11</definedName>
    <definedName name="Field_Analysis" localSheetId="2">'Car Crashes'!$D$22:$D$80</definedName>
    <definedName name="Field_Lists" localSheetId="2">'Car Crashes'!$C$60:$C$68</definedName>
    <definedName name="Field_Overview">Overview!$E$65:$E$74</definedName>
    <definedName name="FieldList1" localSheetId="2">'Car Crashes'!$D$60:$L$60</definedName>
    <definedName name="FieldList2" localSheetId="2">'Car Crashes'!$D$61:$L$61</definedName>
    <definedName name="FieldList3" localSheetId="2">'Car Crashes'!$D$62:$L$62</definedName>
    <definedName name="FieldList4" localSheetId="2">'Car Crashes'!$D$63:$L$63</definedName>
    <definedName name="FieldList5" localSheetId="2">'Car Crashes'!$D$64:$L$64</definedName>
    <definedName name="FieldList6" localSheetId="2">'Car Crashes'!$D$65:$L$65</definedName>
    <definedName name="FieldList7" localSheetId="2">'Car Crashes'!$D$66:$L$66</definedName>
    <definedName name="FieldList8" localSheetId="2">'Car Crashes'!$D$67:$L$67</definedName>
    <definedName name="FieldLists" localSheetId="2">'Car Crashes'!$C$60:$L$67</definedName>
    <definedName name="FieldRange" localSheetId="2">'Car Crashes'!$D$81:$L$81</definedName>
    <definedName name="Fields">Overview!$C$65:$C$75</definedName>
    <definedName name="FormatRange" localSheetId="2">'Car Crashes'!$F:$F</definedName>
    <definedName name="Headers" localSheetId="2">'Car Crashes'!$D$21:$L$21</definedName>
    <definedName name="Headers_Start" localSheetId="2">'Car Crashes'!$D$21</definedName>
    <definedName name="Histogram" localSheetId="2">'Car Crashes'!$D$44</definedName>
    <definedName name="LightHeader" localSheetId="2">'Car Crashes'!$C$81</definedName>
    <definedName name="Name" localSheetId="2">'Car Crashes'!$C$5</definedName>
    <definedName name="Name" localSheetId="1">Overview!$C$4</definedName>
    <definedName name="Name" localSheetId="0">SinglePlot!$C$4</definedName>
    <definedName name="Notes" localSheetId="2">'Car Crashes'!$D$19:$L$19</definedName>
    <definedName name="Percentiles" localSheetId="2">'Car Crashes'!$C$48:$C$57</definedName>
    <definedName name="SerializedLists" localSheetId="2">'Car Crashes'!$D$71:$D$80</definedName>
    <definedName name="SinglePlot" localSheetId="0">SinglePlot!$C$10</definedName>
    <definedName name="Summary_Stats" localSheetId="2">'Car Crashes'!$C$38:$C$45</definedName>
    <definedName name="Theme" localSheetId="2">'Car Crashes'!$B$21:$L$21</definedName>
    <definedName name="Theme" localSheetId="1">Overview!$E$65:$AD$65</definedName>
    <definedName name="Theme" localSheetId="0">SinglePlot!$B$8:$P$8</definedName>
    <definedName name="Toggles" localSheetId="2">'Car Crashes'!$B$7,'Car Crashes'!$B$23,'Car Crashes'!$B$36,'Car Crashes'!$B$46,'Car Crashes'!$B$58,'Car Crashes'!$B$69</definedName>
    <definedName name="TopToggle" localSheetId="2">'Car Crashes'!$B$5</definedName>
    <definedName name="Warning" localSheetId="2">'Car Crashes'!$D$1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9" i="27"/>
  <c r="G70" i="27"/>
  <c r="G71" i="27"/>
  <c r="G72" i="27"/>
  <c r="G73" i="27"/>
  <c r="G66" i="27"/>
  <c r="G74" i="27"/>
  <c r="G67" i="27"/>
  <c r="G68" i="27"/>
  <c r="F70" i="27"/>
  <c r="F71" i="27"/>
  <c r="F72" i="27"/>
  <c r="F73" i="27"/>
  <c r="F66" i="27"/>
  <c r="F74" i="27"/>
  <c r="F67" i="27"/>
  <c r="F68" i="27"/>
  <c r="F69" i="27"/>
  <c r="C66" i="27"/>
  <c r="C74" i="27"/>
  <c r="C73" i="27"/>
  <c r="C67" i="27"/>
  <c r="C68" i="27"/>
  <c r="C72" i="27"/>
  <c r="C69" i="27"/>
  <c r="C70" i="27"/>
  <c r="C71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<sst xmlns="http://schemas.openxmlformats.org/spreadsheetml/2006/main" count="282" uniqueCount="182">
  <si>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</si>
  <si>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</si>
  <si>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</si>
  <si>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</si>
  <si>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</si>
  <si>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</si>
  <si>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</si>
  <si>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</si>
  <si>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</si>
  <si>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</si>
  <si>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</si>
  <si>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</si>
  <si>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</si>
  <si>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</si>
  <si>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</si>
  <si>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</si>
  <si>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</si>
  <si>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</si>
  <si>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</si>
  <si>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</si>
  <si>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</si>
  <si>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</si>
  <si>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</si>
  <si>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</si>
  <si>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</si>
  <si>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</si>
  <si>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</si>
  <si>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</si>
  <si>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</si>
  <si>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</si>
  <si>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</si>
  <si>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</si>
  <si>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</si>
  <si>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</si>
  <si>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</si>
  <si>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</si>
  <si>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</si>
  <si>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</si>
  <si>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</si>
  <si>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</si>
  <si>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</si>
  <si>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</si>
  <si>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</si>
  <si>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</si>
  <si>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</si>
  <si>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</si>
  <si>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</si>
  <si>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</si>
  <si>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</si>
  <si>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</si>
  <si>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</si>
  <si>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</si>
  <si>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</si>
  <si>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</si>
  <si>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</si>
  <si>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</si>
  <si>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</si>
  <si>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</si>
  <si>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</si>
  <si>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</si>
  <si>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</si>
  <si>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</si>
  <si>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</si>
  <si>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</si>
  <si>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</si>
  <si>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</si>
  <si>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</si>
  <si>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</si>
  <si>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</si>
  <si>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</si>
  <si>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</si>
  <si>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</si>
  <si>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</si>
  <si>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</si>
  <si>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</si>
  <si>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</si>
  <si>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</si>
  <si>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</si>
  <si>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</si>
  <si>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</si>
  <si>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</si>
  <si>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</si>
  <si>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</si>
  <si>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</si>
  <si>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</si>
  <si>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</si>
  <si>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</si>
  <si>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</si>
  <si>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</si>
  <si>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</si>
  <si>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</si>
  <si>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</si>
  <si>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</si>
  <si>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</si>
  <si>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</si>
  <si>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</si>
  <si>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</si>
  <si>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</si>
  <si>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</si>
  <si>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</si>
  <si>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</si>
  <si>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</si>
  <si>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Car Crashes</t>
  </si>
  <si>
    <t>total</t>
  </si>
  <si>
    <t>speeding</t>
  </si>
  <si>
    <t>alcohol</t>
  </si>
  <si>
    <t>not_distracted</t>
  </si>
  <si>
    <t>no_previous</t>
  </si>
  <si>
    <t>ins_premium</t>
  </si>
  <si>
    <t>ins_losses</t>
  </si>
  <si>
    <t>abbrev</t>
  </si>
  <si>
    <t>index</t>
  </si>
  <si>
    <t>Record Hash</t>
  </si>
  <si>
    <t>float64</t>
  </si>
  <si>
    <t>str</t>
  </si>
  <si>
    <t>int64</t>
  </si>
  <si>
    <t>AK</t>
  </si>
  <si>
    <t>AL</t>
  </si>
  <si>
    <t>AZ</t>
  </si>
  <si>
    <t>AR</t>
  </si>
  <si>
    <t>CA</t>
  </si>
  <si>
    <t>CO</t>
  </si>
  <si>
    <t>CT</t>
  </si>
  <si>
    <t>DE</t>
  </si>
  <si>
    <t>DC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</si>
  <si>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</si>
  <si>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</si>
  <si>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</si>
  <si>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</si>
  <si>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</si>
  <si>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</si>
  <si>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</si>
  <si>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</si>
  <si>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</si>
  <si>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</si>
  <si>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</si>
  <si>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</si>
  <si>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</si>
  <si>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</si>
  <si>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</si>
  <si>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</si>
  <si>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</si>
  <si>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</si>
  <si>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</si>
  <si>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</si>
  <si>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</si>
  <si>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</si>
  <si>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</si>
  <si>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</si>
  <si>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</si>
  <si>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</si>
  <si>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</si>
  <si>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</si>
  <si>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</si>
  <si>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</si>
  <si>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</si>
  <si>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</si>
  <si>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</si>
  <si>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</si>
  <si>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</si>
  <si>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</si>
  <si>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</si>
  <si>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</si>
  <si>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</si>
  <si>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</si>
  <si>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</si>
  <si>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</si>
  <si>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</si>
  <si>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</si>
  <si>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</si>
  <si>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</si>
  <si>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</si>
  <si>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</si>
  <si>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</si>
  <si>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</si>
  <si>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</si>
  <si>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#095fce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</si>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</sst>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095FCE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95FC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95FC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6"/>
      <tableStyleElement type="headerRow" dxfId="105"/>
      <tableStyleElement type="totalRow" dxfId="104"/>
    </tableStyle>
    <tableStyle name="DarkTable" pivot="0" count="2" xr9:uid="{97C242D2-6F6D-4549-9428-17456D609B35}">
      <tableStyleElement type="wholeTable" dxfId="103"/>
      <tableStyleElement type="headerRow" dxfId="102"/>
    </tableStyle>
    <tableStyle name="SlicerStyleDark" pivot="0" table="0" count="10" xr9:uid="{11F1E452-086F-4069-BF08-FF8656253E5D}">
      <tableStyleElement type="wholeTable" dxfId="101"/>
      <tableStyleElement type="headerRow" dxfId="10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total">
          <a:extLst>
            <a:ext uri="{FF2B5EF4-FFF2-40B4-BE49-F238E27FC236}">
              <a16:creationId xmlns:a16="http://schemas.microsoft.com/office/drawing/2014/main" id="{86698449-7196-634B-024A-3A95F742E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total">
          <a:extLst>
            <a:ext uri="{FF2B5EF4-FFF2-40B4-BE49-F238E27FC236}">
              <a16:creationId xmlns:a16="http://schemas.microsoft.com/office/drawing/2014/main" id="{70250A42-6AF5-0D4C-AC0D-4E59DBE1C0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speeding">
          <a:extLst>
            <a:ext uri="{FF2B5EF4-FFF2-40B4-BE49-F238E27FC236}">
              <a16:creationId xmlns:a16="http://schemas.microsoft.com/office/drawing/2014/main" id="{CD9E8997-5D82-5041-66CD-2161AB47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speeding">
          <a:extLst>
            <a:ext uri="{FF2B5EF4-FFF2-40B4-BE49-F238E27FC236}">
              <a16:creationId xmlns:a16="http://schemas.microsoft.com/office/drawing/2014/main" id="{4F5F1602-2E55-2F30-14CD-EF9B59D690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alcohol">
          <a:extLst>
            <a:ext uri="{FF2B5EF4-FFF2-40B4-BE49-F238E27FC236}">
              <a16:creationId xmlns:a16="http://schemas.microsoft.com/office/drawing/2014/main" id="{DBA68A99-9F62-6138-AD03-D2B0420DAB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20" name="histogram_alcohol">
          <a:extLst>
            <a:ext uri="{FF2B5EF4-FFF2-40B4-BE49-F238E27FC236}">
              <a16:creationId xmlns:a16="http://schemas.microsoft.com/office/drawing/2014/main" id="{AC97C850-C5D6-9F24-BFAB-FB8763F68E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2" name="composition_not_distracted">
          <a:extLst>
            <a:ext uri="{FF2B5EF4-FFF2-40B4-BE49-F238E27FC236}">
              <a16:creationId xmlns:a16="http://schemas.microsoft.com/office/drawing/2014/main" id="{523AB81C-1EF8-8918-DF1F-8553329DCC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4" name="histogram_not_distracted">
          <a:extLst>
            <a:ext uri="{FF2B5EF4-FFF2-40B4-BE49-F238E27FC236}">
              <a16:creationId xmlns:a16="http://schemas.microsoft.com/office/drawing/2014/main" id="{D6B3AAEA-C6AD-449D-5E4F-85D2B5EEA3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6" name="composition_no_previous">
          <a:extLst>
            <a:ext uri="{FF2B5EF4-FFF2-40B4-BE49-F238E27FC236}">
              <a16:creationId xmlns:a16="http://schemas.microsoft.com/office/drawing/2014/main" id="{A73F3194-3E6F-1B91-E59F-45B9647B3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8" name="histogram_no_previous">
          <a:extLst>
            <a:ext uri="{FF2B5EF4-FFF2-40B4-BE49-F238E27FC236}">
              <a16:creationId xmlns:a16="http://schemas.microsoft.com/office/drawing/2014/main" id="{E6771DBC-8B2A-3C2F-6810-DC4923320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30" name="composition_ins_premium">
          <a:extLst>
            <a:ext uri="{FF2B5EF4-FFF2-40B4-BE49-F238E27FC236}">
              <a16:creationId xmlns:a16="http://schemas.microsoft.com/office/drawing/2014/main" id="{AFD0CCD6-F4AB-1700-8970-6BAF03F2C6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2" name="histogram_ins_premium">
          <a:extLst>
            <a:ext uri="{FF2B5EF4-FFF2-40B4-BE49-F238E27FC236}">
              <a16:creationId xmlns:a16="http://schemas.microsoft.com/office/drawing/2014/main" id="{D64B2775-46C5-6F94-7FE9-9F9C67B30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4" name="composition_ins_losses">
          <a:extLst>
            <a:ext uri="{FF2B5EF4-FFF2-40B4-BE49-F238E27FC236}">
              <a16:creationId xmlns:a16="http://schemas.microsoft.com/office/drawing/2014/main" id="{DC4E26EA-3180-A5C5-8159-CA4263345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6" name="histogram_ins_losses">
          <a:extLst>
            <a:ext uri="{FF2B5EF4-FFF2-40B4-BE49-F238E27FC236}">
              <a16:creationId xmlns:a16="http://schemas.microsoft.com/office/drawing/2014/main" id="{602E6779-39A8-50D4-C54A-E30317F9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8" name="composition_abbrev">
          <a:extLst>
            <a:ext uri="{FF2B5EF4-FFF2-40B4-BE49-F238E27FC236}">
              <a16:creationId xmlns:a16="http://schemas.microsoft.com/office/drawing/2014/main" id="{72C26879-E65A-EA24-3545-E05199A92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40" name="composition_index">
          <a:extLst>
            <a:ext uri="{FF2B5EF4-FFF2-40B4-BE49-F238E27FC236}">
              <a16:creationId xmlns:a16="http://schemas.microsoft.com/office/drawing/2014/main" id="{60296DC5-7688-EC9A-B623-1749F4FAF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43</xdr:row>
      <xdr:rowOff>95250</xdr:rowOff>
    </xdr:from>
    <xdr:to>
      <xdr:col>11</xdr:col>
      <xdr:colOff>1802511</xdr:colOff>
      <xdr:row>43</xdr:row>
      <xdr:rowOff>1809750</xdr:rowOff>
    </xdr:to>
    <xdr:pic>
      <xdr:nvPicPr>
        <xdr:cNvPr id="42" name="histogram_index">
          <a:extLst>
            <a:ext uri="{FF2B5EF4-FFF2-40B4-BE49-F238E27FC236}">
              <a16:creationId xmlns:a16="http://schemas.microsoft.com/office/drawing/2014/main" id="{8AB30A50-2F4A-D5C1-7BC7-8DD4C23B40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92" dataDxfId="90" headerRowBorderDxfId="91" tableBorderDxfId="89" totalsRowBorderDxfId="88">
  <tableColumns count="3">
    <tableColumn id="1" xr3:uid="{5EB43B6F-4FF7-4D4C-8202-BD94842B8017}" name="Production Section" dataDxfId="87" dataCellStyle="DarkHeader"/>
    <tableColumn id="2" xr3:uid="{71F0A434-8F03-4CF9-987C-D6F88D936E0A}" name="Production Time in Seconds" dataDxfId="86"/>
    <tableColumn id="3" xr3:uid="{507EC883-FE9F-434C-8323-6EBB4691FEEE}" name="% of Production Time" dataDxfId="85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84" dataDxfId="82" headerRowBorderDxfId="83" tableBorderDxfId="81">
  <tableColumns count="2">
    <tableColumn id="1" xr3:uid="{6A891059-3C09-438F-9AB9-42F8BA5B3379}" name="Environment Variable" dataDxfId="80" dataCellStyle="DarkHeader"/>
    <tableColumn id="2" xr3:uid="{D9E0C91D-D549-4194-8575-1343B51883A7}" name="Value" dataDxfId="7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78" headerRowBorderDxfId="77" tableBorderDxfId="76" totalsRowBorderDxfId="75">
  <tableColumns count="2">
    <tableColumn id="1" xr3:uid="{BAFB02A5-6AA3-46EF-A3FA-1FC44F32BBF4}" name="Input Argument" dataDxfId="74" dataCellStyle="DarkHeader"/>
    <tableColumn id="2" xr3:uid="{402A365F-6164-4790-9B23-3CC27E2F5642}" name="Value" dataDxfId="73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72" dataDxfId="70" headerRowBorderDxfId="71" tableBorderDxfId="69" totalsRowBorderDxfId="68">
  <tableColumns count="2">
    <tableColumn id="1" xr3:uid="{CA519729-E316-4F10-9FC9-4DAD4EBFD7D6}" name="Error Type" dataDxfId="67" dataCellStyle="DarkHeader"/>
    <tableColumn id="2" xr3:uid="{E2631007-AAAB-4565-904C-CFF05E0A66F2}" name="Value" dataDxfId="66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74" totalsRowShown="0" headerRowDxfId="0" dataDxfId="64" headerRowBorderDxfId="65">
  <tableColumns count="28">
    <tableColumn id="1" xr3:uid="{BFB84B7E-8B25-47B3-90FE-AC7BFBAF30EB}" name="_" dataDxfId="63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2"/>
    <tableColumn id="3" xr3:uid="{3DFD5F5C-6F27-4E63-A437-05AB0A6A5E08}" name="Field" dataDxfId="61"/>
    <tableColumn id="4" xr3:uid="{0D07D95C-96ED-4D23-9CF7-D9AF683F9A4E}" name="Definition" dataDxfId="60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59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58"/>
    <tableColumn id="7" xr3:uid="{ACD85635-5643-4A9B-813A-F207FE56A1F7}" name="Distinct %" dataDxfId="57"/>
    <tableColumn id="8" xr3:uid="{37F20288-EC2E-4725-99D2-CA17AD77187C}" name="Missing %" dataDxfId="56"/>
    <tableColumn id="9" xr3:uid="{AC5DCE77-89A5-4067-8459-E0B28ED6C6C0}" name="Memory Usage %" dataDxfId="55"/>
    <tableColumn id="10" xr3:uid="{13D1C1A3-C851-4716-A780-608651BD57A2}" name="Memory Usage" dataDxfId="54"/>
    <tableColumn id="11" xr3:uid="{0E8B2640-5F58-4903-BB55-28298096FFE3}" name="Distinct" dataDxfId="53"/>
    <tableColumn id="12" xr3:uid="{D9F8262C-D1A8-4E72-90A6-B3C791F40382}" name="Count" dataDxfId="52"/>
    <tableColumn id="13" xr3:uid="{F03D5777-4C4C-461A-A414-310E41569255}" name="Count %" dataDxfId="51"/>
    <tableColumn id="14" xr3:uid="{DF6FEF9E-3BDB-44B7-B4A6-A86DF8793B7F}" name="Missing" dataDxfId="50"/>
    <tableColumn id="15" xr3:uid="{3292451D-4821-4F0F-A130-FA933CEF470F}" name="Mean" dataDxfId="49"/>
    <tableColumn id="16" xr3:uid="{43CC4EEF-B158-44ED-B44E-B63B3F4A01C7}" name="Median" dataDxfId="48"/>
    <tableColumn id="17" xr3:uid="{C72B8A11-2B77-4566-95E5-3532F39E2D81}" name="Mode" dataDxfId="47"/>
    <tableColumn id="18" xr3:uid="{61FEB60D-DA84-48AE-A3A3-D30021858F27}" name="Standard Deviation" dataDxfId="46"/>
    <tableColumn id="19" xr3:uid="{9832059F-A51E-4914-9929-224D64D5EA37}" name="Variance" dataDxfId="45"/>
    <tableColumn id="20" xr3:uid="{297F3021-9C27-46B1-B59B-27E05043CB4F}" name="Min" dataDxfId="44"/>
    <tableColumn id="21" xr3:uid="{7D4025BB-011A-4A8D-AB83-A125143050AC}" name="5%" dataDxfId="43"/>
    <tableColumn id="22" xr3:uid="{7AAF0884-12EA-4711-AFEF-2E750982712D}" name="25%" dataDxfId="42"/>
    <tableColumn id="23" xr3:uid="{EFB46394-A032-44BC-8584-974E11E6FFD6}" name="50%" dataDxfId="41"/>
    <tableColumn id="24" xr3:uid="{BFC5EF86-6080-4A18-970E-D74C31031F6F}" name="75%" dataDxfId="40"/>
    <tableColumn id="25" xr3:uid="{108ECE2B-AAB5-44B0-9B12-FB15AAF95230}" name="95%" dataDxfId="39"/>
    <tableColumn id="26" xr3:uid="{F7CB1526-3F23-44F4-A638-A08C3D7E8D1E}" name="Max" dataDxfId="38"/>
    <tableColumn id="27" xr3:uid="{3AFFF5B7-F5C9-49C4-B2F7-16A4511F9680}" name="Range" dataDxfId="37"/>
    <tableColumn id="28" xr3:uid="{94B53881-0AEC-4C9C-A50E-FDE25F882669}" name="IQR" dataDxfId="36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35" tableBorderDxfId="34">
  <tableColumns count="9">
    <tableColumn id="1" xr3:uid="{95AE6ED1-2225-487F-9D3B-3E94D426571D}" name="_" dataDxfId="33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2" dataCellStyle="Hyperlink"/>
    <tableColumn id="3" xr3:uid="{CBB5816F-DADE-468F-A97D-43A695D8EBE2}" name="Dataframe Description" dataDxfId="31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0"/>
    <tableColumn id="5" xr3:uid="{AE043E66-D074-402F-8F8A-8B2943350D33}" name="Rows" dataDxfId="29"/>
    <tableColumn id="6" xr3:uid="{8BA7A5F7-5211-4C26-8823-68B970025E20}" name="Columns" dataDxfId="28"/>
    <tableColumn id="7" xr3:uid="{2284F716-E451-41AC-A7E6-EE845FAAB2AA}" name="Fields Defined %" dataDxfId="27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6" dataCellStyle="Percent"/>
    <tableColumn id="8" xr3:uid="{FABC8667-DE28-4090-A23A-CBDDF1BCD6C8}" name="Subsampled" dataDxfId="25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N132" totalsRowShown="0" headerRowDxfId="8" dataDxfId="7" headerRowCellStyle="DarkHeader" dataCellStyle="Normal">
  <autoFilter ref="C81:N132" xr:uid="{DB1D1E60-5E37-456A-AD85-0649D531840E}"/>
  <tableColumns count="12">
    <tableColumn id="1" xr3:uid="{57EDF41E-F06D-4819-BADE-3D62DE46F06C}" name="Record List" dataDxfId="5" dataCellStyle="Normal"/>
    <tableColumn id="2" xr3:uid="{CF70C9CE-83FE-40FA-8089-C68B39CF665A}" name="total" dataDxfId="6" dataCellStyle="Normal"/>
    <tableColumn id="3" xr3:uid="{B8654690-502A-4FAF-9205-0118DABCB954}" name="speeding" dataDxfId="15" dataCellStyle="Normal"/>
    <tableColumn id="4" xr3:uid="{5A5BA001-2F93-4E62-880C-C4E8BDB17EEB}" name="alcohol" dataDxfId="14" dataCellStyle="Normal"/>
    <tableColumn id="5" xr3:uid="{83E3ED65-4B9E-42A8-B36E-050EFF020409}" name="not_distracted" dataDxfId="13" dataCellStyle="Normal"/>
    <tableColumn id="6" xr3:uid="{234A7CF8-BCCF-45DC-886A-ECD28F181D3A}" name="no_previous" dataDxfId="12" dataCellStyle="Normal"/>
    <tableColumn id="7" xr3:uid="{57BDB2FD-3DC3-467A-95EC-440EBE60A436}" name="ins_premium" dataDxfId="11" dataCellStyle="Normal"/>
    <tableColumn id="8" xr3:uid="{FA0109E3-17F0-4941-994A-8AC85B60589B}" name="ins_losses" dataDxfId="10" dataCellStyle="Normal"/>
    <tableColumn id="9" xr3:uid="{0D6EF5A1-6991-451E-854C-58B0EF9ED573}" name="abbrev" dataDxfId="9" dataCellStyle="Normal"/>
    <tableColumn id="10" xr3:uid="{6CE860E6-A058-432A-824F-11C34E9CEB0A}" name="index" dataDxfId="4" dataCellStyle="Normal"/>
    <tableColumn id="11" xr3:uid="{AD32B4B3-2AAF-40EA-9FE6-B766E2B515C5}" name="HasBlank" dataDxfId="3" dataCellStyle="Normal"/>
    <tableColumn id="12" xr3:uid="{E45F2876-E2D6-4E87-A0E2-476477E0989A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5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179</v>
      </c>
      <c r="I11" s="104" t="s">
        <v>55</v>
      </c>
    </row>
    <row r="12" spans="1:28" ht="15" hidden="1" customHeight="1">
      <c r="D12" s="106" t="s">
        <v>99</v>
      </c>
      <c r="E12" s="51">
        <v>3.5219669342041016E-2</v>
      </c>
      <c r="F12" s="50">
        <v>2.2158431510291014E-3</v>
      </c>
      <c r="H12" s="49" t="s">
        <v>180</v>
      </c>
      <c r="I12" s="107" t="s">
        <v>181</v>
      </c>
    </row>
    <row r="13" spans="1:28" ht="15" hidden="1" customHeight="1">
      <c r="D13" s="106" t="s">
        <v>178</v>
      </c>
      <c r="E13" s="51">
        <v>6.6869106292724609</v>
      </c>
      <c r="F13" s="50">
        <v>0.42070653689329646</v>
      </c>
    </row>
    <row r="14" spans="1:28" ht="15" hidden="1" customHeight="1">
      <c r="D14" s="106" t="s">
        <v>59</v>
      </c>
      <c r="E14" s="51">
        <v>2.6722714900970459</v>
      </c>
      <c r="F14" s="50">
        <v>0.16812578282652108</v>
      </c>
    </row>
    <row r="15" spans="1:28" ht="15" hidden="1" customHeight="1">
      <c r="D15" s="106" t="s">
        <v>60</v>
      </c>
      <c r="E15" s="51">
        <v>6.4996886253356934</v>
      </c>
      <c r="F15" s="50">
        <v>0.40892747698457588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167</v>
      </c>
    </row>
    <row r="22" spans="2:12" ht="15" hidden="1" customHeight="1">
      <c r="D22" s="44" t="s">
        <v>64</v>
      </c>
      <c r="E22" s="57" t="s">
        <v>168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169</v>
      </c>
    </row>
    <row r="27" spans="2:12" ht="15" hidden="1" customHeight="1">
      <c r="D27" s="44" t="s">
        <v>69</v>
      </c>
      <c r="E27" s="58">
        <v>46197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170</v>
      </c>
    </row>
    <row r="30" spans="2:12" ht="15" hidden="1" customHeight="1">
      <c r="D30" s="44" t="s">
        <v>72</v>
      </c>
      <c r="E30" s="57" t="s">
        <v>171</v>
      </c>
    </row>
    <row r="31" spans="2:12" ht="15" hidden="1" customHeight="1">
      <c r="D31" s="44" t="s">
        <v>73</v>
      </c>
      <c r="E31" s="57" t="s">
        <v>172</v>
      </c>
    </row>
    <row r="32" spans="2:12" ht="15" hidden="1" customHeight="1">
      <c r="D32" s="44" t="s">
        <v>74</v>
      </c>
      <c r="E32" s="57" t="s">
        <v>173</v>
      </c>
      <c r="I32" s="78"/>
      <c r="J32" s="79"/>
      <c r="K32" s="43"/>
    </row>
    <row r="33" spans="2:25" ht="15" hidden="1" customHeight="1">
      <c r="D33" s="44" t="s">
        <v>75</v>
      </c>
      <c r="E33" s="57" t="s">
        <v>174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8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175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176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177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3498</v>
      </c>
      <c r="G59" s="95">
        <v>51</v>
      </c>
      <c r="H59" s="96">
        <v>9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113</v>
      </c>
      <c r="I66" s="89">
        <v>0.88235294117647001</v>
      </c>
      <c r="J66" s="89">
        <v>0</v>
      </c>
      <c r="K66" s="89">
        <v>0.11663807890222901</v>
      </c>
      <c r="L66" s="90">
        <v>408</v>
      </c>
      <c r="M66" s="90">
        <v>45</v>
      </c>
      <c r="N66" s="90">
        <v>51</v>
      </c>
      <c r="O66" s="91">
        <v>1</v>
      </c>
      <c r="P66" s="90">
        <v>0</v>
      </c>
      <c r="Q66" s="92">
        <v>15.7901960784313</v>
      </c>
      <c r="R66" s="92">
        <v>15.6</v>
      </c>
      <c r="S66" s="92">
        <v>12.8</v>
      </c>
      <c r="T66" s="92">
        <v>4.1220021786486596</v>
      </c>
      <c r="U66" s="92">
        <v>16.990901960784299</v>
      </c>
      <c r="V66" s="92">
        <v>5.9</v>
      </c>
      <c r="W66" s="92">
        <v>10.1</v>
      </c>
      <c r="X66" s="92">
        <v>12.75</v>
      </c>
      <c r="Y66" s="92">
        <v>15.6</v>
      </c>
      <c r="Z66" s="92">
        <v>18.5</v>
      </c>
      <c r="AA66" s="92">
        <v>23.1</v>
      </c>
      <c r="AB66" s="92">
        <v>23.9</v>
      </c>
      <c r="AC66" s="92">
        <v>18</v>
      </c>
      <c r="AD66" s="92">
        <v>5.75</v>
      </c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113</v>
      </c>
      <c r="I67" s="89">
        <v>0.98039215686274495</v>
      </c>
      <c r="J67" s="89">
        <v>0</v>
      </c>
      <c r="K67" s="89">
        <v>0.11663807890222901</v>
      </c>
      <c r="L67" s="90">
        <v>408</v>
      </c>
      <c r="M67" s="90">
        <v>50</v>
      </c>
      <c r="N67" s="90">
        <v>51</v>
      </c>
      <c r="O67" s="91">
        <v>1</v>
      </c>
      <c r="P67" s="90">
        <v>0</v>
      </c>
      <c r="Q67" s="92">
        <v>4.9981960784313699</v>
      </c>
      <c r="R67" s="92">
        <v>4.6079999999999997</v>
      </c>
      <c r="S67" s="92">
        <v>4.968</v>
      </c>
      <c r="T67" s="92">
        <v>2.0177470903917301</v>
      </c>
      <c r="U67" s="92">
        <v>4.0713033207843097</v>
      </c>
      <c r="V67" s="92">
        <v>1.79199999999999</v>
      </c>
      <c r="W67" s="92">
        <v>1.9715</v>
      </c>
      <c r="X67" s="92">
        <v>3.76649999999999</v>
      </c>
      <c r="Y67" s="92">
        <v>4.6079999999999997</v>
      </c>
      <c r="Z67" s="92">
        <v>6.4390000000000001</v>
      </c>
      <c r="AA67" s="92">
        <v>8.7139999999999898</v>
      </c>
      <c r="AB67" s="92">
        <v>9.4499999999999993</v>
      </c>
      <c r="AC67" s="92">
        <v>7.6579999999999897</v>
      </c>
      <c r="AD67" s="92">
        <v>2.6724999999999999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113</v>
      </c>
      <c r="I68" s="89">
        <v>0.98039215686274495</v>
      </c>
      <c r="J68" s="89">
        <v>0</v>
      </c>
      <c r="K68" s="89">
        <v>0.11663807890222901</v>
      </c>
      <c r="L68" s="90">
        <v>408</v>
      </c>
      <c r="M68" s="90">
        <v>50</v>
      </c>
      <c r="N68" s="90">
        <v>51</v>
      </c>
      <c r="O68" s="91">
        <v>1</v>
      </c>
      <c r="P68" s="90">
        <v>0</v>
      </c>
      <c r="Q68" s="92">
        <v>4.8867843137254896</v>
      </c>
      <c r="R68" s="92">
        <v>4.5540000000000003</v>
      </c>
      <c r="S68" s="92">
        <v>5.2080000000000002</v>
      </c>
      <c r="T68" s="92">
        <v>1.7291329077167601</v>
      </c>
      <c r="U68" s="92">
        <v>2.98990061254902</v>
      </c>
      <c r="V68" s="92">
        <v>1.593</v>
      </c>
      <c r="W68" s="92">
        <v>2.827</v>
      </c>
      <c r="X68" s="92">
        <v>3.8940000000000001</v>
      </c>
      <c r="Y68" s="92">
        <v>4.5540000000000003</v>
      </c>
      <c r="Z68" s="92">
        <v>5.6039999999999903</v>
      </c>
      <c r="AA68" s="92">
        <v>8.3940000000000001</v>
      </c>
      <c r="AB68" s="92">
        <v>10.038</v>
      </c>
      <c r="AC68" s="92">
        <v>8.4450000000000003</v>
      </c>
      <c r="AD68" s="92">
        <v>1.70999999999999</v>
      </c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113</v>
      </c>
      <c r="I69" s="89">
        <v>0.98039215686274495</v>
      </c>
      <c r="J69" s="89">
        <v>0</v>
      </c>
      <c r="K69" s="89">
        <v>0.11663807890222901</v>
      </c>
      <c r="L69" s="90">
        <v>408</v>
      </c>
      <c r="M69" s="90">
        <v>50</v>
      </c>
      <c r="N69" s="90">
        <v>51</v>
      </c>
      <c r="O69" s="91">
        <v>1</v>
      </c>
      <c r="P69" s="90">
        <v>0</v>
      </c>
      <c r="Q69" s="92">
        <v>13.5731764705882</v>
      </c>
      <c r="R69" s="92">
        <v>13.856999999999999</v>
      </c>
      <c r="S69" s="92">
        <v>14.093999999999999</v>
      </c>
      <c r="T69" s="92">
        <v>4.5089770844655304</v>
      </c>
      <c r="U69" s="92">
        <v>20.330874348235199</v>
      </c>
      <c r="V69" s="92">
        <v>1.76</v>
      </c>
      <c r="W69" s="92">
        <v>6.5170000000000003</v>
      </c>
      <c r="X69" s="92">
        <v>10.4779999999999</v>
      </c>
      <c r="Y69" s="92">
        <v>13.856999999999999</v>
      </c>
      <c r="Z69" s="92">
        <v>16.14</v>
      </c>
      <c r="AA69" s="92">
        <v>22</v>
      </c>
      <c r="AB69" s="92">
        <v>23.661000000000001</v>
      </c>
      <c r="AC69" s="92">
        <v>21.901</v>
      </c>
      <c r="AD69" s="92">
        <v>5.6619999999999999</v>
      </c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113</v>
      </c>
      <c r="I70" s="89">
        <v>0.98039215686274495</v>
      </c>
      <c r="J70" s="89">
        <v>0</v>
      </c>
      <c r="K70" s="89">
        <v>0.11663807890222901</v>
      </c>
      <c r="L70" s="90">
        <v>408</v>
      </c>
      <c r="M70" s="90">
        <v>50</v>
      </c>
      <c r="N70" s="90">
        <v>51</v>
      </c>
      <c r="O70" s="91">
        <v>1</v>
      </c>
      <c r="P70" s="90">
        <v>0</v>
      </c>
      <c r="Q70" s="92">
        <v>14.004882352941101</v>
      </c>
      <c r="R70" s="92">
        <v>13.775</v>
      </c>
      <c r="S70" s="92">
        <v>12.92</v>
      </c>
      <c r="T70" s="92">
        <v>3.7646718988355801</v>
      </c>
      <c r="U70" s="92">
        <v>14.172754505882301</v>
      </c>
      <c r="V70" s="92">
        <v>5.9</v>
      </c>
      <c r="W70" s="92">
        <v>8.5919999999999899</v>
      </c>
      <c r="X70" s="92">
        <v>11.3479999999999</v>
      </c>
      <c r="Y70" s="92">
        <v>13.775</v>
      </c>
      <c r="Z70" s="92">
        <v>16.754999999999999</v>
      </c>
      <c r="AA70" s="92">
        <v>20.321999999999999</v>
      </c>
      <c r="AB70" s="92">
        <v>21.28</v>
      </c>
      <c r="AC70" s="92">
        <v>15.38</v>
      </c>
      <c r="AD70" s="92">
        <v>5.407</v>
      </c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102</v>
      </c>
      <c r="E71" s="86" t="s">
        <v>108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113</v>
      </c>
      <c r="I71" s="89">
        <v>1</v>
      </c>
      <c r="J71" s="89">
        <v>0</v>
      </c>
      <c r="K71" s="89">
        <v>0.11663807890222901</v>
      </c>
      <c r="L71" s="90">
        <v>408</v>
      </c>
      <c r="M71" s="90">
        <v>51</v>
      </c>
      <c r="N71" s="90">
        <v>51</v>
      </c>
      <c r="O71" s="91">
        <v>1</v>
      </c>
      <c r="P71" s="90">
        <v>0</v>
      </c>
      <c r="Q71" s="92">
        <v>886.957647058823</v>
      </c>
      <c r="R71" s="92">
        <v>858.97</v>
      </c>
      <c r="S71" s="92">
        <v>641.96</v>
      </c>
      <c r="T71" s="92">
        <v>178.296284791223</v>
      </c>
      <c r="U71" s="92">
        <v>31789.5651703529</v>
      </c>
      <c r="V71" s="92">
        <v>641.96</v>
      </c>
      <c r="W71" s="92">
        <v>665.59500000000003</v>
      </c>
      <c r="X71" s="92">
        <v>768.43</v>
      </c>
      <c r="Y71" s="92">
        <v>858.97</v>
      </c>
      <c r="Z71" s="92">
        <v>1007.94499999999</v>
      </c>
      <c r="AA71" s="92">
        <v>1254.0999999999999</v>
      </c>
      <c r="AB71" s="92">
        <v>1301.52</v>
      </c>
      <c r="AC71" s="92">
        <v>659.56</v>
      </c>
      <c r="AD71" s="92">
        <v>239.51499999999899</v>
      </c>
    </row>
    <row r="72" spans="3:30" ht="15" customHeight="1" outlineLevel="1">
      <c r="C7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102</v>
      </c>
      <c r="E72" s="86" t="s">
        <v>109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113</v>
      </c>
      <c r="I72" s="89">
        <v>1</v>
      </c>
      <c r="J72" s="89">
        <v>0</v>
      </c>
      <c r="K72" s="89">
        <v>0.11663807890222901</v>
      </c>
      <c r="L72" s="90">
        <v>408</v>
      </c>
      <c r="M72" s="90">
        <v>51</v>
      </c>
      <c r="N72" s="90">
        <v>51</v>
      </c>
      <c r="O72" s="91">
        <v>1</v>
      </c>
      <c r="P72" s="90">
        <v>0</v>
      </c>
      <c r="Q72" s="92">
        <v>134.493137254901</v>
      </c>
      <c r="R72" s="92">
        <v>136.05000000000001</v>
      </c>
      <c r="S72" s="92">
        <v>82.75</v>
      </c>
      <c r="T72" s="92">
        <v>24.835922490634001</v>
      </c>
      <c r="U72" s="92">
        <v>616.82304596078404</v>
      </c>
      <c r="V72" s="92">
        <v>82.75</v>
      </c>
      <c r="W72" s="92">
        <v>96.72</v>
      </c>
      <c r="X72" s="92">
        <v>114.645</v>
      </c>
      <c r="Y72" s="92">
        <v>136.05000000000001</v>
      </c>
      <c r="Z72" s="92">
        <v>151.87</v>
      </c>
      <c r="AA72" s="92">
        <v>172.94</v>
      </c>
      <c r="AB72" s="92">
        <v>194.78</v>
      </c>
      <c r="AC72" s="92">
        <v>112.03</v>
      </c>
      <c r="AD72" s="92">
        <v>37.225000000000001</v>
      </c>
    </row>
    <row r="73" spans="3:30" ht="15" customHeight="1" outlineLevel="1">
      <c r="C7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5" t="s">
        <v>102</v>
      </c>
      <c r="E73" s="86" t="s">
        <v>110</v>
      </c>
      <c r="F7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8" t="s">
        <v>114</v>
      </c>
      <c r="I73" s="89">
        <v>1</v>
      </c>
      <c r="J73" s="89">
        <v>0</v>
      </c>
      <c r="K73" s="89">
        <v>0.14579759862778699</v>
      </c>
      <c r="L73" s="90">
        <v>510</v>
      </c>
      <c r="M73" s="90">
        <v>51</v>
      </c>
      <c r="N73" s="90">
        <v>51</v>
      </c>
      <c r="O73" s="91">
        <v>1</v>
      </c>
      <c r="P73" s="90">
        <v>0</v>
      </c>
      <c r="Q73" s="92"/>
      <c r="R73" s="92"/>
      <c r="S73" s="92" t="s">
        <v>116</v>
      </c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</row>
    <row r="74" spans="3:30" ht="15" customHeight="1" outlineLevel="1">
      <c r="C74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29" t="s">
        <v>102</v>
      </c>
      <c r="E74" s="130" t="s">
        <v>111</v>
      </c>
      <c r="F74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132" t="s">
        <v>115</v>
      </c>
      <c r="I74" s="133">
        <v>1</v>
      </c>
      <c r="J74" s="133">
        <v>0</v>
      </c>
      <c r="K74" s="133">
        <v>3.7735849056603703E-2</v>
      </c>
      <c r="L74" s="134">
        <v>132</v>
      </c>
      <c r="M74" s="134">
        <v>51</v>
      </c>
      <c r="N74" s="134">
        <v>51</v>
      </c>
      <c r="O74" s="135">
        <v>1</v>
      </c>
      <c r="P74" s="134">
        <v>0</v>
      </c>
      <c r="Q74" s="136">
        <v>25</v>
      </c>
      <c r="R74" s="136">
        <v>25</v>
      </c>
      <c r="S74" s="136">
        <v>0</v>
      </c>
      <c r="T74" s="136">
        <v>14.866068747318501</v>
      </c>
      <c r="U74" s="136">
        <v>221</v>
      </c>
      <c r="V74" s="136">
        <v>0</v>
      </c>
      <c r="W74" s="136">
        <v>2.5</v>
      </c>
      <c r="X74" s="136">
        <v>12.5</v>
      </c>
      <c r="Y74" s="136">
        <v>25</v>
      </c>
      <c r="Z74" s="136">
        <v>37.5</v>
      </c>
      <c r="AA74" s="136">
        <v>47.5</v>
      </c>
      <c r="AB74" s="136">
        <v>50</v>
      </c>
      <c r="AC74" s="136">
        <v>50</v>
      </c>
      <c r="AD74" s="136">
        <v>25</v>
      </c>
    </row>
    <row r="75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74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99" priority="1" operator="equal">
      <formula>FALSE</formula>
    </cfRule>
    <cfRule type="cellIs" dxfId="98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74">
    <cfRule type="cellIs" dxfId="97" priority="10" operator="equal">
      <formula>"Definition"</formula>
    </cfRule>
  </conditionalFormatting>
  <conditionalFormatting sqref="G66:G74">
    <cfRule type="cellIs" dxfId="96" priority="9" operator="equal">
      <formula>"Note"</formula>
    </cfRule>
  </conditionalFormatting>
  <conditionalFormatting sqref="E59">
    <cfRule type="cellIs" dxfId="95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74">
    <cfRule type="cellIs" dxfId="94" priority="4" operator="equal">
      <formula>"Link"</formula>
    </cfRule>
  </conditionalFormatting>
  <conditionalFormatting sqref="C59">
    <cfRule type="cellIs" dxfId="93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N132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2" width="27.6640625" style="83" customWidth="1"/>
  </cols>
  <sheetData>
    <row r="1" spans="1:12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</row>
    <row r="2" spans="1:12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  <c r="L2" s="74"/>
    </row>
    <row r="3" spans="1:12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12" ht="4.95" customHeight="1">
      <c r="B4" s="68"/>
    </row>
    <row r="5" spans="1:12" ht="30" customHeight="1">
      <c r="B5" s="99" t="e" vm="1">
        <v>#VALUE!</v>
      </c>
      <c r="C5" s="76" t="s">
        <v>102</v>
      </c>
      <c r="D5" s="22"/>
    </row>
    <row r="6" spans="1:12" ht="10.199999999999999" customHeight="1"/>
    <row r="7" spans="1:12" ht="14.4">
      <c r="A7" s="66"/>
      <c r="B7" s="84" t="s">
        <v>62</v>
      </c>
      <c r="C7" s="2" t="s">
        <v>5</v>
      </c>
    </row>
    <row r="8" spans="1:12" ht="10.199999999999999" customHeight="1">
      <c r="A8" s="66"/>
    </row>
    <row r="9" spans="1:12" ht="49.95" hidden="1" customHeight="1" outlineLevel="1">
      <c r="A9" s="66"/>
      <c r="D9" s="70" t="s">
        <v>51</v>
      </c>
      <c r="E9" s="71"/>
    </row>
    <row r="10" spans="1:12" ht="14.4" hidden="1" outlineLevel="1">
      <c r="A10" s="66"/>
    </row>
    <row r="11" spans="1:12" ht="15" hidden="1" customHeight="1" outlineLevel="1">
      <c r="A11" s="66"/>
      <c r="C11" s="21" t="s">
        <v>6</v>
      </c>
      <c r="D11" s="32">
        <v>51</v>
      </c>
    </row>
    <row r="12" spans="1:12" ht="15" hidden="1" customHeight="1" outlineLevel="1">
      <c r="A12" s="66"/>
      <c r="C12" s="3" t="s">
        <v>48</v>
      </c>
      <c r="D12" s="24">
        <v>9</v>
      </c>
    </row>
    <row r="13" spans="1:12" ht="15" hidden="1" customHeight="1" outlineLevel="1">
      <c r="A13" s="66"/>
      <c r="C13" s="3" t="s">
        <v>12</v>
      </c>
      <c r="D13" s="24">
        <v>3498</v>
      </c>
    </row>
    <row r="14" spans="1:12" ht="15" hidden="1" customHeight="1" outlineLevel="1">
      <c r="A14" s="66"/>
      <c r="C14" s="3" t="s">
        <v>49</v>
      </c>
      <c r="D14" s="30">
        <v>1</v>
      </c>
    </row>
    <row r="15" spans="1:12" ht="15" hidden="1" customHeight="1" outlineLevel="1">
      <c r="A15" s="66"/>
      <c r="C15" s="3" t="s">
        <v>50</v>
      </c>
      <c r="D15" s="31">
        <v>0</v>
      </c>
    </row>
    <row r="16" spans="1:12" ht="10.199999999999999" hidden="1" customHeight="1" outlineLevel="1">
      <c r="A16" s="66"/>
    </row>
    <row r="17" spans="1:14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</row>
    <row r="18" spans="1:14" ht="10.199999999999999" hidden="1" customHeight="1" outlineLevel="1">
      <c r="A18" s="66"/>
    </row>
    <row r="19" spans="1:14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</row>
    <row r="20" spans="1:14" ht="10.199999999999999" hidden="1" customHeight="1" outlineLevel="1"/>
    <row r="21" spans="1:14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112" t="s">
        <v>109</v>
      </c>
      <c r="K21" s="112" t="s">
        <v>110</v>
      </c>
      <c r="L21" s="112" t="s">
        <v>111</v>
      </c>
      <c r="M21" s="23" t="s">
        <v>38</v>
      </c>
      <c r="N21" s="23" t="s">
        <v>112</v>
      </c>
    </row>
    <row r="22" spans="1:14" ht="10.199999999999999" customHeight="1"/>
    <row r="23" spans="1:14" ht="14.4" outlineLevel="1">
      <c r="A23" s="66"/>
      <c r="B23" s="84" t="s">
        <v>62</v>
      </c>
      <c r="C23" s="2" t="s">
        <v>7</v>
      </c>
    </row>
    <row r="24" spans="1:14" ht="10.199999999999999" customHeight="1" outlineLevel="1">
      <c r="A24" s="66"/>
    </row>
    <row r="25" spans="1:14" ht="15" hidden="1" customHeight="1" outlineLevel="2">
      <c r="A25" s="66"/>
      <c r="C25" s="19" t="s">
        <v>8</v>
      </c>
      <c r="D25" s="9" t="s">
        <v>113</v>
      </c>
      <c r="E25" s="9" t="s">
        <v>113</v>
      </c>
      <c r="F25" s="9" t="s">
        <v>113</v>
      </c>
      <c r="G25" s="9" t="s">
        <v>113</v>
      </c>
      <c r="H25" s="9" t="s">
        <v>113</v>
      </c>
      <c r="I25" s="9" t="s">
        <v>113</v>
      </c>
      <c r="J25" s="9" t="s">
        <v>113</v>
      </c>
      <c r="K25" s="9" t="s">
        <v>114</v>
      </c>
      <c r="L25" s="9" t="s">
        <v>115</v>
      </c>
    </row>
    <row r="26" spans="1:14" ht="15" hidden="1" customHeight="1" outlineLevel="2">
      <c r="A26" s="66"/>
      <c r="C26" s="3" t="s">
        <v>9</v>
      </c>
      <c r="D26" s="10">
        <v>0.88235294117647001</v>
      </c>
      <c r="E26" s="10">
        <v>0.98039215686274495</v>
      </c>
      <c r="F26" s="10">
        <v>0.98039215686274495</v>
      </c>
      <c r="G26" s="10">
        <v>0.98039215686274495</v>
      </c>
      <c r="H26" s="10">
        <v>0.98039215686274495</v>
      </c>
      <c r="I26" s="10">
        <v>1</v>
      </c>
      <c r="J26" s="10">
        <v>1</v>
      </c>
      <c r="K26" s="10">
        <v>1</v>
      </c>
      <c r="L26" s="10">
        <v>1</v>
      </c>
    </row>
    <row r="27" spans="1:14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</row>
    <row r="28" spans="1:14" ht="15" hidden="1" customHeight="1" outlineLevel="2">
      <c r="A28" s="66"/>
      <c r="C28" s="18" t="s">
        <v>11</v>
      </c>
      <c r="D28" s="10">
        <v>0.11663807890222901</v>
      </c>
      <c r="E28" s="10">
        <v>0.11663807890222901</v>
      </c>
      <c r="F28" s="10">
        <v>0.11663807890222901</v>
      </c>
      <c r="G28" s="10">
        <v>0.11663807890222901</v>
      </c>
      <c r="H28" s="10">
        <v>0.11663807890222901</v>
      </c>
      <c r="I28" s="10">
        <v>0.11663807890222901</v>
      </c>
      <c r="J28" s="10">
        <v>0.11663807890222901</v>
      </c>
      <c r="K28" s="10">
        <v>0.14579759862778699</v>
      </c>
      <c r="L28" s="10">
        <v>3.7735849056603703E-2</v>
      </c>
    </row>
    <row r="29" spans="1:14" ht="15" hidden="1" customHeight="1" outlineLevel="2">
      <c r="A29" s="66"/>
      <c r="C29" s="18" t="s">
        <v>12</v>
      </c>
      <c r="D29" s="11">
        <v>408</v>
      </c>
      <c r="E29" s="11">
        <v>408</v>
      </c>
      <c r="F29" s="11">
        <v>408</v>
      </c>
      <c r="G29" s="11">
        <v>408</v>
      </c>
      <c r="H29" s="11">
        <v>408</v>
      </c>
      <c r="I29" s="11">
        <v>408</v>
      </c>
      <c r="J29" s="11">
        <v>408</v>
      </c>
      <c r="K29" s="11">
        <v>510</v>
      </c>
      <c r="L29" s="11">
        <v>132</v>
      </c>
    </row>
    <row r="30" spans="1:14" ht="15" hidden="1" customHeight="1" outlineLevel="2">
      <c r="A30" s="66"/>
      <c r="C30" s="18" t="s">
        <v>13</v>
      </c>
      <c r="D30" s="11">
        <v>45</v>
      </c>
      <c r="E30" s="11">
        <v>50</v>
      </c>
      <c r="F30" s="11">
        <v>50</v>
      </c>
      <c r="G30" s="11">
        <v>50</v>
      </c>
      <c r="H30" s="11">
        <v>50</v>
      </c>
      <c r="I30" s="11">
        <v>51</v>
      </c>
      <c r="J30" s="11">
        <v>51</v>
      </c>
      <c r="K30" s="11">
        <v>51</v>
      </c>
      <c r="L30" s="11">
        <v>51</v>
      </c>
    </row>
    <row r="31" spans="1:14" ht="15" hidden="1" customHeight="1" outlineLevel="2">
      <c r="A31" s="66"/>
      <c r="C31" s="19" t="s">
        <v>14</v>
      </c>
      <c r="D31" s="11">
        <v>51</v>
      </c>
      <c r="E31" s="11">
        <v>51</v>
      </c>
      <c r="F31" s="11">
        <v>51</v>
      </c>
      <c r="G31" s="11">
        <v>51</v>
      </c>
      <c r="H31" s="11">
        <v>51</v>
      </c>
      <c r="I31" s="11">
        <v>51</v>
      </c>
      <c r="J31" s="11">
        <v>51</v>
      </c>
      <c r="K31" s="11">
        <v>51</v>
      </c>
      <c r="L31" s="11">
        <v>51</v>
      </c>
    </row>
    <row r="32" spans="1:14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</row>
    <row r="33" spans="1:12" ht="10.199999999999999" hidden="1" customHeight="1" outlineLevel="2">
      <c r="A33" s="66"/>
    </row>
    <row r="34" spans="1:12" ht="124.95" hidden="1" customHeight="1" outlineLevel="2"/>
    <row r="35" spans="1:12" ht="10.199999999999999" hidden="1" customHeight="1" outlineLevel="2"/>
    <row r="36" spans="1:12" ht="14.4" outlineLevel="1" collapsed="1">
      <c r="A36" s="66"/>
      <c r="B36" s="84" t="s">
        <v>62</v>
      </c>
      <c r="C36" s="2" t="s">
        <v>16</v>
      </c>
    </row>
    <row r="37" spans="1:12" ht="10.199999999999999" customHeight="1" outlineLevel="1">
      <c r="A37" s="66"/>
    </row>
    <row r="38" spans="1:12" ht="15" hidden="1" customHeight="1" outlineLevel="2">
      <c r="A38" s="66"/>
      <c r="C38" s="3" t="s">
        <v>17</v>
      </c>
      <c r="D38" s="12">
        <v>15.7901960784313</v>
      </c>
      <c r="E38" s="12">
        <v>4.9981960784313699</v>
      </c>
      <c r="F38" s="12">
        <v>4.8867843137254896</v>
      </c>
      <c r="G38" s="12">
        <v>13.5731764705882</v>
      </c>
      <c r="H38" s="12">
        <v>14.004882352941101</v>
      </c>
      <c r="I38" s="12">
        <v>886.957647058823</v>
      </c>
      <c r="J38" s="12">
        <v>134.493137254901</v>
      </c>
      <c r="K38" s="12"/>
      <c r="L38" s="12">
        <v>25</v>
      </c>
    </row>
    <row r="39" spans="1:12" ht="15" hidden="1" customHeight="1" outlineLevel="2">
      <c r="A39" s="66"/>
      <c r="C39" s="18" t="s">
        <v>18</v>
      </c>
      <c r="D39" s="12">
        <v>15.6</v>
      </c>
      <c r="E39" s="12">
        <v>4.6079999999999997</v>
      </c>
      <c r="F39" s="12">
        <v>4.5540000000000003</v>
      </c>
      <c r="G39" s="12">
        <v>13.856999999999999</v>
      </c>
      <c r="H39" s="12">
        <v>13.775</v>
      </c>
      <c r="I39" s="12">
        <v>858.97</v>
      </c>
      <c r="J39" s="12">
        <v>136.05000000000001</v>
      </c>
      <c r="K39" s="12"/>
      <c r="L39" s="12">
        <v>25</v>
      </c>
    </row>
    <row r="40" spans="1:12" ht="15" hidden="1" customHeight="1" outlineLevel="2">
      <c r="A40" s="66"/>
      <c r="C40" s="18" t="s">
        <v>19</v>
      </c>
      <c r="D40" s="12">
        <v>12.8</v>
      </c>
      <c r="E40" s="12">
        <v>4.968</v>
      </c>
      <c r="F40" s="12">
        <v>5.2080000000000002</v>
      </c>
      <c r="G40" s="12">
        <v>14.093999999999999</v>
      </c>
      <c r="H40" s="12">
        <v>12.92</v>
      </c>
      <c r="I40" s="12">
        <v>641.96</v>
      </c>
      <c r="J40" s="12">
        <v>82.75</v>
      </c>
      <c r="K40" s="12" t="s">
        <v>116</v>
      </c>
      <c r="L40" s="12">
        <v>0</v>
      </c>
    </row>
    <row r="41" spans="1:12" ht="15" hidden="1" customHeight="1" outlineLevel="2">
      <c r="A41" s="66"/>
      <c r="C41" s="3" t="s">
        <v>20</v>
      </c>
      <c r="D41" s="12">
        <v>4.1220021786486596</v>
      </c>
      <c r="E41" s="12">
        <v>2.0177470903917301</v>
      </c>
      <c r="F41" s="12">
        <v>1.7291329077167601</v>
      </c>
      <c r="G41" s="12">
        <v>4.5089770844655304</v>
      </c>
      <c r="H41" s="12">
        <v>3.7646718988355801</v>
      </c>
      <c r="I41" s="12">
        <v>178.296284791223</v>
      </c>
      <c r="J41" s="12">
        <v>24.835922490634001</v>
      </c>
      <c r="K41" s="12"/>
      <c r="L41" s="12">
        <v>14.866068747318501</v>
      </c>
    </row>
    <row r="42" spans="1:12" ht="15" hidden="1" customHeight="1" outlineLevel="2">
      <c r="A42" s="66"/>
      <c r="C42" s="20" t="s">
        <v>21</v>
      </c>
      <c r="D42" s="12">
        <v>16.990901960784299</v>
      </c>
      <c r="E42" s="12">
        <v>4.0713033207843097</v>
      </c>
      <c r="F42" s="12">
        <v>2.98990061254902</v>
      </c>
      <c r="G42" s="12">
        <v>20.330874348235199</v>
      </c>
      <c r="H42" s="12">
        <v>14.172754505882301</v>
      </c>
      <c r="I42" s="12">
        <v>31789.5651703529</v>
      </c>
      <c r="J42" s="12">
        <v>616.82304596078404</v>
      </c>
      <c r="K42" s="12"/>
      <c r="L42" s="12">
        <v>221</v>
      </c>
    </row>
    <row r="43" spans="1:12" ht="10.199999999999999" hidden="1" customHeight="1" outlineLevel="2">
      <c r="A43" s="66"/>
    </row>
    <row r="44" spans="1:12" ht="150" hidden="1" customHeight="1" outlineLevel="2"/>
    <row r="45" spans="1:12" ht="10.199999999999999" hidden="1" customHeight="1" outlineLevel="2"/>
    <row r="46" spans="1:12" ht="14.4" outlineLevel="1" collapsed="1">
      <c r="A46" s="66"/>
      <c r="B46" s="84" t="s">
        <v>62</v>
      </c>
      <c r="C46" s="2" t="s">
        <v>22</v>
      </c>
    </row>
    <row r="47" spans="1:12" ht="10.050000000000001" customHeight="1" outlineLevel="1">
      <c r="A47" s="66"/>
    </row>
    <row r="48" spans="1:12" ht="15" hidden="1" customHeight="1" outlineLevel="2">
      <c r="A48" s="66"/>
      <c r="C48" s="3" t="s">
        <v>23</v>
      </c>
      <c r="D48" s="12">
        <v>5.9</v>
      </c>
      <c r="E48" s="12">
        <v>1.79199999999999</v>
      </c>
      <c r="F48" s="12">
        <v>1.593</v>
      </c>
      <c r="G48" s="12">
        <v>1.76</v>
      </c>
      <c r="H48" s="12">
        <v>5.9</v>
      </c>
      <c r="I48" s="12">
        <v>641.96</v>
      </c>
      <c r="J48" s="12">
        <v>82.75</v>
      </c>
      <c r="K48" s="12"/>
      <c r="L48" s="12">
        <v>0</v>
      </c>
    </row>
    <row r="49" spans="1:12" ht="15" hidden="1" customHeight="1" outlineLevel="2">
      <c r="A49" s="66"/>
      <c r="C49" s="18">
        <v>0.05</v>
      </c>
      <c r="D49" s="12">
        <v>10.1</v>
      </c>
      <c r="E49" s="12">
        <v>1.9715</v>
      </c>
      <c r="F49" s="12">
        <v>2.827</v>
      </c>
      <c r="G49" s="12">
        <v>6.5170000000000003</v>
      </c>
      <c r="H49" s="12">
        <v>8.5919999999999899</v>
      </c>
      <c r="I49" s="12">
        <v>665.59500000000003</v>
      </c>
      <c r="J49" s="12">
        <v>96.72</v>
      </c>
      <c r="K49" s="12"/>
      <c r="L49" s="12">
        <v>2.5</v>
      </c>
    </row>
    <row r="50" spans="1:12" ht="15" hidden="1" customHeight="1" outlineLevel="2">
      <c r="A50" s="66"/>
      <c r="C50" s="19">
        <v>0.25</v>
      </c>
      <c r="D50" s="12">
        <v>12.75</v>
      </c>
      <c r="E50" s="12">
        <v>3.76649999999999</v>
      </c>
      <c r="F50" s="12">
        <v>3.8940000000000001</v>
      </c>
      <c r="G50" s="12">
        <v>10.4779999999999</v>
      </c>
      <c r="H50" s="12">
        <v>11.3479999999999</v>
      </c>
      <c r="I50" s="12">
        <v>768.43</v>
      </c>
      <c r="J50" s="12">
        <v>114.645</v>
      </c>
      <c r="K50" s="12"/>
      <c r="L50" s="12">
        <v>12.5</v>
      </c>
    </row>
    <row r="51" spans="1:12" ht="15" hidden="1" customHeight="1" outlineLevel="2">
      <c r="A51" s="66"/>
      <c r="C51" s="3">
        <v>0.5</v>
      </c>
      <c r="D51" s="12">
        <v>15.6</v>
      </c>
      <c r="E51" s="12">
        <v>4.6079999999999997</v>
      </c>
      <c r="F51" s="12">
        <v>4.5540000000000003</v>
      </c>
      <c r="G51" s="12">
        <v>13.856999999999999</v>
      </c>
      <c r="H51" s="12">
        <v>13.775</v>
      </c>
      <c r="I51" s="12">
        <v>858.97</v>
      </c>
      <c r="J51" s="12">
        <v>136.05000000000001</v>
      </c>
      <c r="K51" s="12"/>
      <c r="L51" s="12">
        <v>25</v>
      </c>
    </row>
    <row r="52" spans="1:12" ht="15" hidden="1" customHeight="1" outlineLevel="2">
      <c r="A52" s="66"/>
      <c r="C52" s="18">
        <v>0.75</v>
      </c>
      <c r="D52" s="12">
        <v>18.5</v>
      </c>
      <c r="E52" s="12">
        <v>6.4390000000000001</v>
      </c>
      <c r="F52" s="12">
        <v>5.6039999999999903</v>
      </c>
      <c r="G52" s="12">
        <v>16.14</v>
      </c>
      <c r="H52" s="12">
        <v>16.754999999999999</v>
      </c>
      <c r="I52" s="12">
        <v>1007.94499999999</v>
      </c>
      <c r="J52" s="12">
        <v>151.87</v>
      </c>
      <c r="K52" s="12"/>
      <c r="L52" s="12">
        <v>37.5</v>
      </c>
    </row>
    <row r="53" spans="1:12" ht="15" hidden="1" customHeight="1" outlineLevel="2">
      <c r="A53" s="66"/>
      <c r="C53" s="18">
        <v>0.95</v>
      </c>
      <c r="D53" s="12">
        <v>23.1</v>
      </c>
      <c r="E53" s="12">
        <v>8.7139999999999898</v>
      </c>
      <c r="F53" s="12">
        <v>8.3940000000000001</v>
      </c>
      <c r="G53" s="12">
        <v>22</v>
      </c>
      <c r="H53" s="12">
        <v>20.321999999999999</v>
      </c>
      <c r="I53" s="12">
        <v>1254.0999999999999</v>
      </c>
      <c r="J53" s="12">
        <v>172.94</v>
      </c>
      <c r="K53" s="12"/>
      <c r="L53" s="12">
        <v>47.5</v>
      </c>
    </row>
    <row r="54" spans="1:12" ht="15" hidden="1" customHeight="1" outlineLevel="2">
      <c r="A54" s="66"/>
      <c r="C54" s="3" t="s">
        <v>24</v>
      </c>
      <c r="D54" s="12">
        <v>23.9</v>
      </c>
      <c r="E54" s="12">
        <v>9.4499999999999993</v>
      </c>
      <c r="F54" s="12">
        <v>10.038</v>
      </c>
      <c r="G54" s="12">
        <v>23.661000000000001</v>
      </c>
      <c r="H54" s="12">
        <v>21.28</v>
      </c>
      <c r="I54" s="12">
        <v>1301.52</v>
      </c>
      <c r="J54" s="12">
        <v>194.78</v>
      </c>
      <c r="K54" s="12"/>
      <c r="L54" s="12">
        <v>50</v>
      </c>
    </row>
    <row r="55" spans="1:12" ht="15" hidden="1" customHeight="1" outlineLevel="2">
      <c r="A55" s="66"/>
      <c r="C55" s="18" t="s">
        <v>25</v>
      </c>
      <c r="D55" s="12">
        <v>18</v>
      </c>
      <c r="E55" s="12">
        <v>7.6579999999999897</v>
      </c>
      <c r="F55" s="12">
        <v>8.4450000000000003</v>
      </c>
      <c r="G55" s="12">
        <v>21.901</v>
      </c>
      <c r="H55" s="12">
        <v>15.38</v>
      </c>
      <c r="I55" s="12">
        <v>659.56</v>
      </c>
      <c r="J55" s="12">
        <v>112.03</v>
      </c>
      <c r="K55" s="12"/>
      <c r="L55" s="12">
        <v>50</v>
      </c>
    </row>
    <row r="56" spans="1:12" ht="15" hidden="1" customHeight="1" outlineLevel="2">
      <c r="C56" s="3" t="s">
        <v>26</v>
      </c>
      <c r="D56" s="12">
        <v>5.75</v>
      </c>
      <c r="E56" s="12">
        <v>2.6724999999999999</v>
      </c>
      <c r="F56" s="12">
        <v>1.70999999999999</v>
      </c>
      <c r="G56" s="12">
        <v>5.6619999999999999</v>
      </c>
      <c r="H56" s="12">
        <v>5.407</v>
      </c>
      <c r="I56" s="12">
        <v>239.51499999999899</v>
      </c>
      <c r="J56" s="12">
        <v>37.225000000000001</v>
      </c>
      <c r="K56" s="12"/>
      <c r="L56" s="12">
        <v>25</v>
      </c>
    </row>
    <row r="57" spans="1:12" ht="10.199999999999999" hidden="1" customHeight="1" outlineLevel="2"/>
    <row r="58" spans="1:12" ht="14.4" outlineLevel="1" collapsed="1">
      <c r="A58" s="66"/>
      <c r="B58" s="84" t="s">
        <v>62</v>
      </c>
      <c r="C58" s="2" t="s">
        <v>27</v>
      </c>
    </row>
    <row r="59" spans="1:12" ht="10.050000000000001" customHeight="1" outlineLevel="1">
      <c r="A59" s="66"/>
    </row>
    <row r="60" spans="1:12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</row>
    <row r="61" spans="1:12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</row>
    <row r="62" spans="1:12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</row>
    <row r="63" spans="1:12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</row>
    <row r="64" spans="1:12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</row>
    <row r="65" spans="1:12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</row>
    <row r="66" spans="1:12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</row>
    <row r="67" spans="1:12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</row>
    <row r="68" spans="1:12" ht="10.199999999999999" hidden="1" customHeight="1" outlineLevel="2"/>
    <row r="69" spans="1:12" ht="14.4" outlineLevel="1" collapsed="1">
      <c r="A69" s="66"/>
      <c r="B69" s="84" t="s">
        <v>62</v>
      </c>
      <c r="C69" s="2" t="s">
        <v>36</v>
      </c>
    </row>
    <row r="70" spans="1:12" ht="10.050000000000001" customHeight="1" outlineLevel="1">
      <c r="A70" s="66"/>
    </row>
    <row r="71" spans="1:12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2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2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2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2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2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2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2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2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2" ht="10.199999999999999" hidden="1" customHeight="1" outlineLevel="1" collapsed="1"/>
    <row r="81" spans="3:14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120" t="s">
        <v>109</v>
      </c>
      <c r="K81" s="120" t="s">
        <v>110</v>
      </c>
      <c r="L81" s="120" t="s">
        <v>111</v>
      </c>
      <c r="M81" s="61" t="s">
        <v>38</v>
      </c>
      <c r="N81" s="61" t="s">
        <v>112</v>
      </c>
    </row>
    <row r="82" spans="3:14" ht="15" customHeight="1">
      <c r="C82" s="62" t="b">
        <v>0</v>
      </c>
      <c r="D82" s="60">
        <v>18.8</v>
      </c>
      <c r="E82" s="60">
        <v>7.3320000000000007</v>
      </c>
      <c r="F82" s="60">
        <v>5.64</v>
      </c>
      <c r="G82" s="119">
        <v>18.047999999999998</v>
      </c>
      <c r="H82" s="119">
        <v>15.04</v>
      </c>
      <c r="I82" s="119">
        <v>784.55</v>
      </c>
      <c r="J82" s="119">
        <v>145.08000000000001</v>
      </c>
      <c r="K82" s="119" t="s">
        <v>117</v>
      </c>
      <c r="L82" s="119">
        <v>0</v>
      </c>
      <c r="M82" s="121">
        <v>0</v>
      </c>
      <c r="N82" s="121">
        <v>4.6326082156998175E+18</v>
      </c>
    </row>
    <row r="83" spans="3:14" ht="15" customHeight="1">
      <c r="C83" s="62" t="b">
        <v>0</v>
      </c>
      <c r="D83" s="60">
        <v>18.100000000000001</v>
      </c>
      <c r="E83" s="60">
        <v>7.4210000000000003</v>
      </c>
      <c r="F83" s="60">
        <v>4.5250000000000004</v>
      </c>
      <c r="G83" s="119">
        <v>16.290000000000003</v>
      </c>
      <c r="H83" s="119">
        <v>17.013999999999999</v>
      </c>
      <c r="I83" s="119">
        <v>1053.48</v>
      </c>
      <c r="J83" s="119">
        <v>133.93</v>
      </c>
      <c r="K83" s="119" t="s">
        <v>116</v>
      </c>
      <c r="L83" s="119">
        <v>1</v>
      </c>
      <c r="M83" s="121">
        <v>0</v>
      </c>
      <c r="N83" s="121">
        <v>1.0354735659823745E+19</v>
      </c>
    </row>
    <row r="84" spans="3:14" ht="15" customHeight="1">
      <c r="C84" s="113" t="b">
        <v>0</v>
      </c>
      <c r="D84" s="114">
        <v>18.600000000000001</v>
      </c>
      <c r="E84" s="115">
        <v>6.51</v>
      </c>
      <c r="F84" s="115">
        <v>5.2080000000000011</v>
      </c>
      <c r="G84" s="119">
        <v>15.624000000000001</v>
      </c>
      <c r="H84" s="119">
        <v>17.856000000000002</v>
      </c>
      <c r="I84" s="119">
        <v>899.47</v>
      </c>
      <c r="J84" s="119">
        <v>110.35</v>
      </c>
      <c r="K84" s="119" t="s">
        <v>118</v>
      </c>
      <c r="L84" s="119">
        <v>2</v>
      </c>
      <c r="M84" s="121">
        <v>0</v>
      </c>
      <c r="N84" s="121">
        <v>8.2148052693421998E+18</v>
      </c>
    </row>
    <row r="85" spans="3:14" ht="15" customHeight="1">
      <c r="C85" s="113" t="b">
        <v>0</v>
      </c>
      <c r="D85" s="114">
        <v>22.4</v>
      </c>
      <c r="E85" s="115">
        <v>4.032</v>
      </c>
      <c r="F85" s="115">
        <v>5.8239999999999998</v>
      </c>
      <c r="G85" s="119">
        <v>21.056000000000001</v>
      </c>
      <c r="H85" s="119">
        <v>21.28</v>
      </c>
      <c r="I85" s="119">
        <v>827.34</v>
      </c>
      <c r="J85" s="119">
        <v>142.38999999999999</v>
      </c>
      <c r="K85" s="119" t="s">
        <v>119</v>
      </c>
      <c r="L85" s="119">
        <v>3</v>
      </c>
      <c r="M85" s="121">
        <v>0</v>
      </c>
      <c r="N85" s="121">
        <v>4.4828494410551721E+18</v>
      </c>
    </row>
    <row r="86" spans="3:14" ht="15" customHeight="1">
      <c r="C86" s="113" t="b">
        <v>0</v>
      </c>
      <c r="D86" s="114">
        <v>12</v>
      </c>
      <c r="E86" s="115">
        <v>4.2</v>
      </c>
      <c r="F86" s="115">
        <v>3.36</v>
      </c>
      <c r="G86" s="119">
        <v>10.92</v>
      </c>
      <c r="H86" s="119">
        <v>10.68</v>
      </c>
      <c r="I86" s="119">
        <v>878.41</v>
      </c>
      <c r="J86" s="119">
        <v>165.63</v>
      </c>
      <c r="K86" s="119" t="s">
        <v>120</v>
      </c>
      <c r="L86" s="119">
        <v>4</v>
      </c>
      <c r="M86" s="121">
        <v>0</v>
      </c>
      <c r="N86" s="121">
        <v>3.7244398362547231E+18</v>
      </c>
    </row>
    <row r="87" spans="3:14" ht="15" customHeight="1">
      <c r="C87" s="113" t="b">
        <v>0</v>
      </c>
      <c r="D87" s="114">
        <v>13.6</v>
      </c>
      <c r="E87" s="115">
        <v>5.032</v>
      </c>
      <c r="F87" s="115">
        <v>3.8079999999999998</v>
      </c>
      <c r="G87" s="119">
        <v>10.743999999999998</v>
      </c>
      <c r="H87" s="119">
        <v>12.92</v>
      </c>
      <c r="I87" s="119">
        <v>835.5</v>
      </c>
      <c r="J87" s="119">
        <v>139.91</v>
      </c>
      <c r="K87" s="119" t="s">
        <v>121</v>
      </c>
      <c r="L87" s="119">
        <v>5</v>
      </c>
      <c r="M87" s="121">
        <v>0</v>
      </c>
      <c r="N87" s="121">
        <v>5.5835957081849754E+18</v>
      </c>
    </row>
    <row r="88" spans="3:14" ht="15" customHeight="1">
      <c r="C88" s="113" t="b">
        <v>0</v>
      </c>
      <c r="D88" s="114">
        <v>10.8</v>
      </c>
      <c r="E88" s="115">
        <v>4.968</v>
      </c>
      <c r="F88" s="115">
        <v>3.8879999999999999</v>
      </c>
      <c r="G88" s="119">
        <v>9.3960000000000008</v>
      </c>
      <c r="H88" s="119">
        <v>8.8559999999999999</v>
      </c>
      <c r="I88" s="119">
        <v>1068.73</v>
      </c>
      <c r="J88" s="119">
        <v>167.02</v>
      </c>
      <c r="K88" s="119" t="s">
        <v>122</v>
      </c>
      <c r="L88" s="119">
        <v>6</v>
      </c>
      <c r="M88" s="121">
        <v>0</v>
      </c>
      <c r="N88" s="121">
        <v>2.4834549225603261E+17</v>
      </c>
    </row>
    <row r="89" spans="3:14" ht="15" customHeight="1">
      <c r="C89" s="113" t="b">
        <v>0</v>
      </c>
      <c r="D89" s="114">
        <v>16.2</v>
      </c>
      <c r="E89" s="115">
        <v>6.1560000000000006</v>
      </c>
      <c r="F89" s="115">
        <v>4.8600000000000003</v>
      </c>
      <c r="G89" s="119">
        <v>14.093999999999999</v>
      </c>
      <c r="H89" s="119">
        <v>16.038</v>
      </c>
      <c r="I89" s="119">
        <v>1137.8699999999999</v>
      </c>
      <c r="J89" s="119">
        <v>151.47999999999999</v>
      </c>
      <c r="K89" s="119" t="s">
        <v>123</v>
      </c>
      <c r="L89" s="119">
        <v>7</v>
      </c>
      <c r="M89" s="121">
        <v>0</v>
      </c>
      <c r="N89" s="121">
        <v>7.8926597823567739E+18</v>
      </c>
    </row>
    <row r="90" spans="3:14" ht="15" customHeight="1">
      <c r="C90" s="113" t="b">
        <v>0</v>
      </c>
      <c r="D90" s="114">
        <v>5.9</v>
      </c>
      <c r="E90" s="115">
        <v>2.0059999999999998</v>
      </c>
      <c r="F90" s="115">
        <v>1.5930000000000002</v>
      </c>
      <c r="G90" s="119">
        <v>5.9</v>
      </c>
      <c r="H90" s="119">
        <v>5.9</v>
      </c>
      <c r="I90" s="119">
        <v>1273.8900000000001</v>
      </c>
      <c r="J90" s="119">
        <v>136.05000000000001</v>
      </c>
      <c r="K90" s="119" t="s">
        <v>124</v>
      </c>
      <c r="L90" s="119">
        <v>8</v>
      </c>
      <c r="M90" s="121">
        <v>0</v>
      </c>
      <c r="N90" s="121">
        <v>9.2264550790620713E+18</v>
      </c>
    </row>
    <row r="91" spans="3:14" ht="15" customHeight="1">
      <c r="C91" s="113" t="b">
        <v>0</v>
      </c>
      <c r="D91" s="114">
        <v>17.899999999999999</v>
      </c>
      <c r="E91" s="115">
        <v>3.7589999999999999</v>
      </c>
      <c r="F91" s="115">
        <v>5.1909999999999989</v>
      </c>
      <c r="G91" s="119">
        <v>16.468</v>
      </c>
      <c r="H91" s="119">
        <v>16.826000000000001</v>
      </c>
      <c r="I91" s="119">
        <v>1160.1300000000001</v>
      </c>
      <c r="J91" s="119">
        <v>144.18</v>
      </c>
      <c r="K91" s="119" t="s">
        <v>125</v>
      </c>
      <c r="L91" s="119">
        <v>9</v>
      </c>
      <c r="M91" s="121">
        <v>0</v>
      </c>
      <c r="N91" s="121">
        <v>7.3395090620845056E+18</v>
      </c>
    </row>
    <row r="92" spans="3:14" ht="15" customHeight="1">
      <c r="C92" s="113" t="b">
        <v>0</v>
      </c>
      <c r="D92" s="114">
        <v>15.6</v>
      </c>
      <c r="E92" s="115">
        <v>2.964</v>
      </c>
      <c r="F92" s="115">
        <v>3.9</v>
      </c>
      <c r="G92" s="119">
        <v>14.82</v>
      </c>
      <c r="H92" s="119">
        <v>14.507999999999999</v>
      </c>
      <c r="I92" s="119">
        <v>913.15</v>
      </c>
      <c r="J92" s="119">
        <v>142.80000000000001</v>
      </c>
      <c r="K92" s="119" t="s">
        <v>126</v>
      </c>
      <c r="L92" s="119">
        <v>10</v>
      </c>
      <c r="M92" s="121">
        <v>0</v>
      </c>
      <c r="N92" s="121">
        <v>1.3254140137568328E+19</v>
      </c>
    </row>
    <row r="93" spans="3:14" ht="15" customHeight="1">
      <c r="C93" s="113" t="b">
        <v>0</v>
      </c>
      <c r="D93" s="114">
        <v>17.5</v>
      </c>
      <c r="E93" s="115">
        <v>9.4499999999999993</v>
      </c>
      <c r="F93" s="115">
        <v>7.1749999999999998</v>
      </c>
      <c r="G93" s="119">
        <v>14.35</v>
      </c>
      <c r="H93" s="119">
        <v>15.225</v>
      </c>
      <c r="I93" s="119">
        <v>861.18</v>
      </c>
      <c r="J93" s="119">
        <v>120.92</v>
      </c>
      <c r="K93" s="119" t="s">
        <v>127</v>
      </c>
      <c r="L93" s="119">
        <v>11</v>
      </c>
      <c r="M93" s="121">
        <v>0</v>
      </c>
      <c r="N93" s="121">
        <v>1.5366426124011796E+19</v>
      </c>
    </row>
    <row r="94" spans="3:14" ht="15" customHeight="1">
      <c r="C94" s="113" t="b">
        <v>0</v>
      </c>
      <c r="D94" s="114">
        <v>15.3</v>
      </c>
      <c r="E94" s="115">
        <v>5.5080000000000009</v>
      </c>
      <c r="F94" s="115">
        <v>4.4370000000000003</v>
      </c>
      <c r="G94" s="119">
        <v>13.005000000000001</v>
      </c>
      <c r="H94" s="119">
        <v>14.994000000000002</v>
      </c>
      <c r="I94" s="119">
        <v>641.96</v>
      </c>
      <c r="J94" s="119">
        <v>82.75</v>
      </c>
      <c r="K94" s="119" t="s">
        <v>128</v>
      </c>
      <c r="L94" s="119">
        <v>12</v>
      </c>
      <c r="M94" s="121">
        <v>0</v>
      </c>
      <c r="N94" s="121">
        <v>3.4239789219678623E+18</v>
      </c>
    </row>
    <row r="95" spans="3:14" ht="15" customHeight="1">
      <c r="C95" s="113" t="b">
        <v>0</v>
      </c>
      <c r="D95" s="114">
        <v>12.8</v>
      </c>
      <c r="E95" s="115">
        <v>4.6080000000000005</v>
      </c>
      <c r="F95" s="115">
        <v>4.3520000000000003</v>
      </c>
      <c r="G95" s="119">
        <v>12.032</v>
      </c>
      <c r="H95" s="119">
        <v>12.288000000000002</v>
      </c>
      <c r="I95" s="119">
        <v>803.11</v>
      </c>
      <c r="J95" s="119">
        <v>139.15</v>
      </c>
      <c r="K95" s="119" t="s">
        <v>129</v>
      </c>
      <c r="L95" s="119">
        <v>13</v>
      </c>
      <c r="M95" s="121">
        <v>0</v>
      </c>
      <c r="N95" s="121">
        <v>1.1155552824622021E+19</v>
      </c>
    </row>
    <row r="96" spans="3:14" ht="15" customHeight="1">
      <c r="C96" s="113" t="b">
        <v>0</v>
      </c>
      <c r="D96" s="114">
        <v>14.5</v>
      </c>
      <c r="E96" s="115">
        <v>3.625</v>
      </c>
      <c r="F96" s="115">
        <v>4.2050000000000001</v>
      </c>
      <c r="G96" s="119">
        <v>13.775</v>
      </c>
      <c r="H96" s="119">
        <v>13.775</v>
      </c>
      <c r="I96" s="119">
        <v>710.46</v>
      </c>
      <c r="J96" s="119">
        <v>108.92</v>
      </c>
      <c r="K96" s="119" t="s">
        <v>130</v>
      </c>
      <c r="L96" s="119">
        <v>14</v>
      </c>
      <c r="M96" s="121">
        <v>0</v>
      </c>
      <c r="N96" s="121">
        <v>1.3308621350227706E+19</v>
      </c>
    </row>
    <row r="97" spans="3:14" ht="15" customHeight="1">
      <c r="C97" s="113" t="b">
        <v>0</v>
      </c>
      <c r="D97" s="114">
        <v>15.7</v>
      </c>
      <c r="E97" s="115">
        <v>2.669</v>
      </c>
      <c r="F97" s="115">
        <v>3.9249999999999998</v>
      </c>
      <c r="G97" s="119">
        <v>15.228999999999999</v>
      </c>
      <c r="H97" s="119">
        <v>13.659000000000001</v>
      </c>
      <c r="I97" s="119">
        <v>649.05999999999995</v>
      </c>
      <c r="J97" s="119">
        <v>114.47</v>
      </c>
      <c r="K97" s="119" t="s">
        <v>131</v>
      </c>
      <c r="L97" s="119">
        <v>15</v>
      </c>
      <c r="M97" s="121">
        <v>0</v>
      </c>
      <c r="N97" s="121">
        <v>3.8393311487363871E+18</v>
      </c>
    </row>
    <row r="98" spans="3:14" ht="15" customHeight="1">
      <c r="C98" s="113" t="b">
        <v>0</v>
      </c>
      <c r="D98" s="114">
        <v>17.8</v>
      </c>
      <c r="E98" s="115">
        <v>4.806</v>
      </c>
      <c r="F98" s="115">
        <v>4.2720000000000002</v>
      </c>
      <c r="G98" s="119">
        <v>13.706</v>
      </c>
      <c r="H98" s="119">
        <v>15.13</v>
      </c>
      <c r="I98" s="119">
        <v>780.45</v>
      </c>
      <c r="J98" s="119">
        <v>133.80000000000001</v>
      </c>
      <c r="K98" s="119" t="s">
        <v>132</v>
      </c>
      <c r="L98" s="119">
        <v>16</v>
      </c>
      <c r="M98" s="121">
        <v>0</v>
      </c>
      <c r="N98" s="121">
        <v>8.7592784851903939E+18</v>
      </c>
    </row>
    <row r="99" spans="3:14" ht="15" customHeight="1">
      <c r="C99" s="113" t="b">
        <v>0</v>
      </c>
      <c r="D99" s="114">
        <v>21.4</v>
      </c>
      <c r="E99" s="115">
        <v>4.0659999999999998</v>
      </c>
      <c r="F99" s="115">
        <v>4.9219999999999997</v>
      </c>
      <c r="G99" s="119">
        <v>16.691999999999997</v>
      </c>
      <c r="H99" s="119">
        <v>16.263999999999999</v>
      </c>
      <c r="I99" s="119">
        <v>872.51</v>
      </c>
      <c r="J99" s="119">
        <v>137.13</v>
      </c>
      <c r="K99" s="119" t="s">
        <v>133</v>
      </c>
      <c r="L99" s="119">
        <v>17</v>
      </c>
      <c r="M99" s="121">
        <v>0</v>
      </c>
      <c r="N99" s="121">
        <v>9.9602869643228262E+18</v>
      </c>
    </row>
    <row r="100" spans="3:14" ht="15" customHeight="1">
      <c r="C100" s="113" t="b">
        <v>0</v>
      </c>
      <c r="D100" s="114">
        <v>20.5</v>
      </c>
      <c r="E100" s="115">
        <v>7.1749999999999998</v>
      </c>
      <c r="F100" s="115">
        <v>6.7649999999999997</v>
      </c>
      <c r="G100" s="119">
        <v>14.965</v>
      </c>
      <c r="H100" s="119">
        <v>20.09</v>
      </c>
      <c r="I100" s="119">
        <v>1281.55</v>
      </c>
      <c r="J100" s="119">
        <v>194.78</v>
      </c>
      <c r="K100" s="119" t="s">
        <v>134</v>
      </c>
      <c r="L100" s="119">
        <v>18</v>
      </c>
      <c r="M100" s="121">
        <v>0</v>
      </c>
      <c r="N100" s="121">
        <v>3.470374600425002E+18</v>
      </c>
    </row>
    <row r="101" spans="3:14" ht="15" customHeight="1">
      <c r="C101" s="113" t="b">
        <v>0</v>
      </c>
      <c r="D101" s="114">
        <v>15.1</v>
      </c>
      <c r="E101" s="115">
        <v>5.7380000000000004</v>
      </c>
      <c r="F101" s="115">
        <v>4.53</v>
      </c>
      <c r="G101" s="119">
        <v>13.137</v>
      </c>
      <c r="H101" s="119">
        <v>12.683999999999999</v>
      </c>
      <c r="I101" s="119">
        <v>661.88</v>
      </c>
      <c r="J101" s="119">
        <v>96.57</v>
      </c>
      <c r="K101" s="119" t="s">
        <v>135</v>
      </c>
      <c r="L101" s="119">
        <v>19</v>
      </c>
      <c r="M101" s="121">
        <v>0</v>
      </c>
      <c r="N101" s="121">
        <v>1.577261842682003E+19</v>
      </c>
    </row>
    <row r="102" spans="3:14" ht="15" customHeight="1">
      <c r="C102" s="113" t="b">
        <v>0</v>
      </c>
      <c r="D102" s="114">
        <v>12.5</v>
      </c>
      <c r="E102" s="115">
        <v>4.25</v>
      </c>
      <c r="F102" s="115">
        <v>4</v>
      </c>
      <c r="G102" s="119">
        <v>8.875</v>
      </c>
      <c r="H102" s="119">
        <v>12.375</v>
      </c>
      <c r="I102" s="119">
        <v>1048.78</v>
      </c>
      <c r="J102" s="119">
        <v>192.7</v>
      </c>
      <c r="K102" s="119" t="s">
        <v>136</v>
      </c>
      <c r="L102" s="119">
        <v>20</v>
      </c>
      <c r="M102" s="121">
        <v>0</v>
      </c>
      <c r="N102" s="121">
        <v>4.0196847963083131E+18</v>
      </c>
    </row>
    <row r="103" spans="3:14" ht="15" customHeight="1">
      <c r="C103" s="113" t="b">
        <v>0</v>
      </c>
      <c r="D103" s="114">
        <v>8.1999999999999993</v>
      </c>
      <c r="E103" s="115">
        <v>1.8859999999999999</v>
      </c>
      <c r="F103" s="115">
        <v>2.87</v>
      </c>
      <c r="G103" s="119">
        <v>7.1340000000000003</v>
      </c>
      <c r="H103" s="119">
        <v>6.56</v>
      </c>
      <c r="I103" s="119">
        <v>1011.14</v>
      </c>
      <c r="J103" s="119">
        <v>135.63</v>
      </c>
      <c r="K103" s="119" t="s">
        <v>137</v>
      </c>
      <c r="L103" s="119">
        <v>21</v>
      </c>
      <c r="M103" s="121">
        <v>0</v>
      </c>
      <c r="N103" s="121">
        <v>3.3716871247513718E+18</v>
      </c>
    </row>
    <row r="104" spans="3:14" ht="15" customHeight="1">
      <c r="C104" s="113" t="b">
        <v>0</v>
      </c>
      <c r="D104" s="114">
        <v>14.1</v>
      </c>
      <c r="E104" s="115">
        <v>3.3839999999999999</v>
      </c>
      <c r="F104" s="115">
        <v>3.948</v>
      </c>
      <c r="G104" s="119">
        <v>13.395</v>
      </c>
      <c r="H104" s="119">
        <v>10.856999999999999</v>
      </c>
      <c r="I104" s="119">
        <v>1110.6099999999999</v>
      </c>
      <c r="J104" s="119">
        <v>152.26</v>
      </c>
      <c r="K104" s="119" t="s">
        <v>138</v>
      </c>
      <c r="L104" s="119">
        <v>22</v>
      </c>
      <c r="M104" s="121">
        <v>0</v>
      </c>
      <c r="N104" s="121">
        <v>6.552962056638464E+18</v>
      </c>
    </row>
    <row r="105" spans="3:14" ht="15" customHeight="1">
      <c r="C105" s="113" t="b">
        <v>0</v>
      </c>
      <c r="D105" s="114">
        <v>9.6</v>
      </c>
      <c r="E105" s="115">
        <v>2.2080000000000002</v>
      </c>
      <c r="F105" s="115">
        <v>2.7839999999999998</v>
      </c>
      <c r="G105" s="119">
        <v>8.4480000000000004</v>
      </c>
      <c r="H105" s="119">
        <v>8.4480000000000004</v>
      </c>
      <c r="I105" s="119">
        <v>777.18</v>
      </c>
      <c r="J105" s="119">
        <v>133.35</v>
      </c>
      <c r="K105" s="119" t="s">
        <v>139</v>
      </c>
      <c r="L105" s="119">
        <v>23</v>
      </c>
      <c r="M105" s="121">
        <v>0</v>
      </c>
      <c r="N105" s="121">
        <v>1.5086975572505743E+19</v>
      </c>
    </row>
    <row r="106" spans="3:14" ht="15" customHeight="1">
      <c r="C106" s="113" t="b">
        <v>0</v>
      </c>
      <c r="D106" s="114">
        <v>17.600000000000001</v>
      </c>
      <c r="E106" s="115">
        <v>2.64</v>
      </c>
      <c r="F106" s="115">
        <v>5.4560000000000004</v>
      </c>
      <c r="G106" s="119">
        <v>1.76</v>
      </c>
      <c r="H106" s="119">
        <v>17.600000000000001</v>
      </c>
      <c r="I106" s="119">
        <v>896.07</v>
      </c>
      <c r="J106" s="119">
        <v>155.77000000000001</v>
      </c>
      <c r="K106" s="119" t="s">
        <v>140</v>
      </c>
      <c r="L106" s="119">
        <v>24</v>
      </c>
      <c r="M106" s="121">
        <v>0</v>
      </c>
      <c r="N106" s="121">
        <v>1.1525160601263012E+19</v>
      </c>
    </row>
    <row r="107" spans="3:14" ht="15" customHeight="1">
      <c r="C107" s="113" t="b">
        <v>0</v>
      </c>
      <c r="D107" s="114">
        <v>16.100000000000001</v>
      </c>
      <c r="E107" s="115">
        <v>6.9230000000000009</v>
      </c>
      <c r="F107" s="115">
        <v>5.4740000000000011</v>
      </c>
      <c r="G107" s="119">
        <v>14.811999999999999</v>
      </c>
      <c r="H107" s="119">
        <v>13.523999999999999</v>
      </c>
      <c r="I107" s="119">
        <v>790.32</v>
      </c>
      <c r="J107" s="119">
        <v>144.44999999999999</v>
      </c>
      <c r="K107" s="119" t="s">
        <v>141</v>
      </c>
      <c r="L107" s="119">
        <v>25</v>
      </c>
      <c r="M107" s="121">
        <v>0</v>
      </c>
      <c r="N107" s="121">
        <v>1.7088892571412914E+19</v>
      </c>
    </row>
    <row r="108" spans="3:14" ht="15" customHeight="1">
      <c r="C108" s="113" t="b">
        <v>0</v>
      </c>
      <c r="D108" s="114">
        <v>21.4</v>
      </c>
      <c r="E108" s="115">
        <v>8.3459999999999983</v>
      </c>
      <c r="F108" s="115">
        <v>9.4160000000000004</v>
      </c>
      <c r="G108" s="119">
        <v>17.975999999999999</v>
      </c>
      <c r="H108" s="119">
        <v>18.190000000000001</v>
      </c>
      <c r="I108" s="119">
        <v>816.21</v>
      </c>
      <c r="J108" s="119">
        <v>85.15</v>
      </c>
      <c r="K108" s="119" t="s">
        <v>142</v>
      </c>
      <c r="L108" s="119">
        <v>26</v>
      </c>
      <c r="M108" s="121">
        <v>0</v>
      </c>
      <c r="N108" s="121">
        <v>1.5773426638237372E+19</v>
      </c>
    </row>
    <row r="109" spans="3:14" ht="15" customHeight="1">
      <c r="C109" s="113" t="b">
        <v>0</v>
      </c>
      <c r="D109" s="114">
        <v>14.9</v>
      </c>
      <c r="E109" s="115">
        <v>1.9370000000000005</v>
      </c>
      <c r="F109" s="115">
        <v>5.2149999999999999</v>
      </c>
      <c r="G109" s="119">
        <v>13.856999999999999</v>
      </c>
      <c r="H109" s="119">
        <v>13.41</v>
      </c>
      <c r="I109" s="119">
        <v>732.28</v>
      </c>
      <c r="J109" s="119">
        <v>114.82</v>
      </c>
      <c r="K109" s="119" t="s">
        <v>143</v>
      </c>
      <c r="L109" s="119">
        <v>27</v>
      </c>
      <c r="M109" s="121">
        <v>0</v>
      </c>
      <c r="N109" s="121">
        <v>1.3109816842341057E+19</v>
      </c>
    </row>
    <row r="110" spans="3:14" ht="15" customHeight="1">
      <c r="C110" s="113" t="b">
        <v>0</v>
      </c>
      <c r="D110" s="114">
        <v>14.7</v>
      </c>
      <c r="E110" s="115">
        <v>5.4390000000000001</v>
      </c>
      <c r="F110" s="115">
        <v>4.7039999999999997</v>
      </c>
      <c r="G110" s="119">
        <v>13.965</v>
      </c>
      <c r="H110" s="119">
        <v>14.553000000000001</v>
      </c>
      <c r="I110" s="119">
        <v>1029.8699999999999</v>
      </c>
      <c r="J110" s="119">
        <v>138.71</v>
      </c>
      <c r="K110" s="119" t="s">
        <v>144</v>
      </c>
      <c r="L110" s="119">
        <v>28</v>
      </c>
      <c r="M110" s="121">
        <v>0</v>
      </c>
      <c r="N110" s="121">
        <v>8.9263223022928087E+18</v>
      </c>
    </row>
    <row r="111" spans="3:14" ht="15" customHeight="1">
      <c r="C111" s="113" t="b">
        <v>0</v>
      </c>
      <c r="D111" s="114">
        <v>11.6</v>
      </c>
      <c r="E111" s="115">
        <v>4.0599999999999996</v>
      </c>
      <c r="F111" s="115">
        <v>3.48</v>
      </c>
      <c r="G111" s="119">
        <v>10.092000000000001</v>
      </c>
      <c r="H111" s="119">
        <v>9.6280000000000001</v>
      </c>
      <c r="I111" s="119">
        <v>746.54</v>
      </c>
      <c r="J111" s="119">
        <v>120.21</v>
      </c>
      <c r="K111" s="119" t="s">
        <v>145</v>
      </c>
      <c r="L111" s="119">
        <v>29</v>
      </c>
      <c r="M111" s="121">
        <v>0</v>
      </c>
      <c r="N111" s="121">
        <v>1.56055776982389E+19</v>
      </c>
    </row>
    <row r="112" spans="3:14" ht="15" customHeight="1">
      <c r="C112" s="113" t="b">
        <v>0</v>
      </c>
      <c r="D112" s="114">
        <v>11.2</v>
      </c>
      <c r="E112" s="115">
        <v>1.7919999999999998</v>
      </c>
      <c r="F112" s="115">
        <v>3.1360000000000001</v>
      </c>
      <c r="G112" s="119">
        <v>9.6319999999999997</v>
      </c>
      <c r="H112" s="119">
        <v>8.7359999999999989</v>
      </c>
      <c r="I112" s="119">
        <v>1301.52</v>
      </c>
      <c r="J112" s="119">
        <v>159.85</v>
      </c>
      <c r="K112" s="119" t="s">
        <v>146</v>
      </c>
      <c r="L112" s="119">
        <v>30</v>
      </c>
      <c r="M112" s="121">
        <v>0</v>
      </c>
      <c r="N112" s="121">
        <v>3.4218919125238415E+18</v>
      </c>
    </row>
    <row r="113" spans="3:14" ht="15" customHeight="1">
      <c r="C113" s="113" t="b">
        <v>0</v>
      </c>
      <c r="D113" s="114">
        <v>18.399999999999999</v>
      </c>
      <c r="E113" s="115">
        <v>3.496</v>
      </c>
      <c r="F113" s="115">
        <v>4.968</v>
      </c>
      <c r="G113" s="119">
        <v>12.327999999999999</v>
      </c>
      <c r="H113" s="119">
        <v>18.032</v>
      </c>
      <c r="I113" s="119">
        <v>869.85</v>
      </c>
      <c r="J113" s="119">
        <v>120.75</v>
      </c>
      <c r="K113" s="119" t="s">
        <v>147</v>
      </c>
      <c r="L113" s="119">
        <v>31</v>
      </c>
      <c r="M113" s="121">
        <v>0</v>
      </c>
      <c r="N113" s="121">
        <v>1.624713806916751E+19</v>
      </c>
    </row>
    <row r="114" spans="3:14" ht="15" customHeight="1">
      <c r="C114" s="113" t="b">
        <v>0</v>
      </c>
      <c r="D114" s="114">
        <v>12.3</v>
      </c>
      <c r="E114" s="115">
        <v>3.9359999999999999</v>
      </c>
      <c r="F114" s="115">
        <v>3.5670000000000006</v>
      </c>
      <c r="G114" s="119">
        <v>10.824000000000002</v>
      </c>
      <c r="H114" s="119">
        <v>9.84</v>
      </c>
      <c r="I114" s="119">
        <v>1234.31</v>
      </c>
      <c r="J114" s="119">
        <v>150.01</v>
      </c>
      <c r="K114" s="119" t="s">
        <v>148</v>
      </c>
      <c r="L114" s="119">
        <v>32</v>
      </c>
      <c r="M114" s="121">
        <v>0</v>
      </c>
      <c r="N114" s="121">
        <v>8.1002230800175657E+18</v>
      </c>
    </row>
    <row r="115" spans="3:14" ht="15" customHeight="1">
      <c r="C115" s="113" t="b">
        <v>0</v>
      </c>
      <c r="D115" s="114">
        <v>16.8</v>
      </c>
      <c r="E115" s="115">
        <v>6.5520000000000005</v>
      </c>
      <c r="F115" s="115">
        <v>5.2080000000000011</v>
      </c>
      <c r="G115" s="119">
        <v>15.792</v>
      </c>
      <c r="H115" s="119">
        <v>13.608000000000001</v>
      </c>
      <c r="I115" s="119">
        <v>708.24</v>
      </c>
      <c r="J115" s="119">
        <v>127.82</v>
      </c>
      <c r="K115" s="119" t="s">
        <v>149</v>
      </c>
      <c r="L115" s="119">
        <v>33</v>
      </c>
      <c r="M115" s="121">
        <v>0</v>
      </c>
      <c r="N115" s="121">
        <v>2.3214715655503391E+18</v>
      </c>
    </row>
    <row r="116" spans="3:14" ht="15" customHeight="1">
      <c r="C116" s="113" t="b">
        <v>0</v>
      </c>
      <c r="D116" s="114">
        <v>23.9</v>
      </c>
      <c r="E116" s="115">
        <v>5.496999999999999</v>
      </c>
      <c r="F116" s="115">
        <v>10.038</v>
      </c>
      <c r="G116" s="119">
        <v>23.661000000000001</v>
      </c>
      <c r="H116" s="119">
        <v>20.553999999999998</v>
      </c>
      <c r="I116" s="119">
        <v>688.75</v>
      </c>
      <c r="J116" s="119">
        <v>109.72</v>
      </c>
      <c r="K116" s="119" t="s">
        <v>150</v>
      </c>
      <c r="L116" s="119">
        <v>34</v>
      </c>
      <c r="M116" s="121">
        <v>0</v>
      </c>
      <c r="N116" s="121">
        <v>1.6997849974749694E+19</v>
      </c>
    </row>
    <row r="117" spans="3:14" ht="15" customHeight="1">
      <c r="C117" s="113" t="b">
        <v>0</v>
      </c>
      <c r="D117" s="114">
        <v>14.1</v>
      </c>
      <c r="E117" s="115">
        <v>3.948</v>
      </c>
      <c r="F117" s="115">
        <v>4.7939999999999996</v>
      </c>
      <c r="G117" s="119">
        <v>13.958999999999998</v>
      </c>
      <c r="H117" s="119">
        <v>11.561999999999999</v>
      </c>
      <c r="I117" s="119">
        <v>697.73</v>
      </c>
      <c r="J117" s="119">
        <v>133.52000000000001</v>
      </c>
      <c r="K117" s="119" t="s">
        <v>151</v>
      </c>
      <c r="L117" s="119">
        <v>35</v>
      </c>
      <c r="M117" s="121">
        <v>0</v>
      </c>
      <c r="N117" s="121">
        <v>1.4481800272527096E+19</v>
      </c>
    </row>
    <row r="118" spans="3:14" ht="15" customHeight="1">
      <c r="C118" s="113" t="b">
        <v>0</v>
      </c>
      <c r="D118" s="114">
        <v>19.899999999999999</v>
      </c>
      <c r="E118" s="115">
        <v>6.3679999999999994</v>
      </c>
      <c r="F118" s="115">
        <v>5.770999999999999</v>
      </c>
      <c r="G118" s="119">
        <v>18.308</v>
      </c>
      <c r="H118" s="119">
        <v>18.706</v>
      </c>
      <c r="I118" s="119">
        <v>881.51</v>
      </c>
      <c r="J118" s="119">
        <v>178.86</v>
      </c>
      <c r="K118" s="119" t="s">
        <v>152</v>
      </c>
      <c r="L118" s="119">
        <v>36</v>
      </c>
      <c r="M118" s="121">
        <v>0</v>
      </c>
      <c r="N118" s="121">
        <v>3.057125717689216E+18</v>
      </c>
    </row>
    <row r="119" spans="3:14" ht="15" customHeight="1">
      <c r="C119" s="113" t="b">
        <v>0</v>
      </c>
      <c r="D119" s="114">
        <v>12.8</v>
      </c>
      <c r="E119" s="115">
        <v>4.2240000000000002</v>
      </c>
      <c r="F119" s="115">
        <v>3.3280000000000003</v>
      </c>
      <c r="G119" s="119">
        <v>8.5760000000000005</v>
      </c>
      <c r="H119" s="119">
        <v>11.52</v>
      </c>
      <c r="I119" s="119">
        <v>804.71</v>
      </c>
      <c r="J119" s="119">
        <v>104.61</v>
      </c>
      <c r="K119" s="119" t="s">
        <v>153</v>
      </c>
      <c r="L119" s="119">
        <v>37</v>
      </c>
      <c r="M119" s="121">
        <v>0</v>
      </c>
      <c r="N119" s="121">
        <v>1.7811496128574325E+19</v>
      </c>
    </row>
    <row r="120" spans="3:14" ht="15" customHeight="1">
      <c r="C120" s="113" t="b">
        <v>0</v>
      </c>
      <c r="D120" s="114">
        <v>18.2</v>
      </c>
      <c r="E120" s="115">
        <v>9.1</v>
      </c>
      <c r="F120" s="115">
        <v>5.6420000000000003</v>
      </c>
      <c r="G120" s="119">
        <v>17.471999999999998</v>
      </c>
      <c r="H120" s="119">
        <v>16.015999999999998</v>
      </c>
      <c r="I120" s="119">
        <v>905.99</v>
      </c>
      <c r="J120" s="119">
        <v>153.86000000000001</v>
      </c>
      <c r="K120" s="119" t="s">
        <v>154</v>
      </c>
      <c r="L120" s="119">
        <v>38</v>
      </c>
      <c r="M120" s="121">
        <v>0</v>
      </c>
      <c r="N120" s="121">
        <v>7.5940334320016538E+18</v>
      </c>
    </row>
    <row r="121" spans="3:14" ht="15" customHeight="1">
      <c r="C121" s="113" t="b">
        <v>0</v>
      </c>
      <c r="D121" s="114">
        <v>11.1</v>
      </c>
      <c r="E121" s="115">
        <v>3.774</v>
      </c>
      <c r="F121" s="115">
        <v>4.218</v>
      </c>
      <c r="G121" s="119">
        <v>10.212</v>
      </c>
      <c r="H121" s="119">
        <v>8.7690000000000001</v>
      </c>
      <c r="I121" s="119">
        <v>1148.99</v>
      </c>
      <c r="J121" s="119">
        <v>148.58000000000001</v>
      </c>
      <c r="K121" s="119" t="s">
        <v>155</v>
      </c>
      <c r="L121" s="119">
        <v>39</v>
      </c>
      <c r="M121" s="121">
        <v>0</v>
      </c>
      <c r="N121" s="121">
        <v>1.3826353499460506E+19</v>
      </c>
    </row>
    <row r="122" spans="3:14" ht="15" customHeight="1">
      <c r="C122" s="113" t="b">
        <v>0</v>
      </c>
      <c r="D122" s="114">
        <v>23.9</v>
      </c>
      <c r="E122" s="115">
        <v>9.0820000000000007</v>
      </c>
      <c r="F122" s="115">
        <v>9.7989999999999995</v>
      </c>
      <c r="G122" s="119">
        <v>22.943999999999999</v>
      </c>
      <c r="H122" s="119">
        <v>19.359000000000002</v>
      </c>
      <c r="I122" s="119">
        <v>858.97</v>
      </c>
      <c r="J122" s="119">
        <v>116.29</v>
      </c>
      <c r="K122" s="119" t="s">
        <v>156</v>
      </c>
      <c r="L122" s="119">
        <v>40</v>
      </c>
      <c r="M122" s="121">
        <v>0</v>
      </c>
      <c r="N122" s="121">
        <v>1.7462686048127762E+19</v>
      </c>
    </row>
    <row r="123" spans="3:14" ht="15" customHeight="1">
      <c r="C123" s="113" t="b">
        <v>0</v>
      </c>
      <c r="D123" s="114">
        <v>19.399999999999999</v>
      </c>
      <c r="E123" s="115">
        <v>6.0139999999999993</v>
      </c>
      <c r="F123" s="115">
        <v>6.4019999999999992</v>
      </c>
      <c r="G123" s="119">
        <v>19.012</v>
      </c>
      <c r="H123" s="119">
        <v>16.683999999999997</v>
      </c>
      <c r="I123" s="119">
        <v>669.31</v>
      </c>
      <c r="J123" s="119">
        <v>96.87</v>
      </c>
      <c r="K123" s="119" t="s">
        <v>157</v>
      </c>
      <c r="L123" s="119">
        <v>41</v>
      </c>
      <c r="M123" s="121">
        <v>0</v>
      </c>
      <c r="N123" s="121">
        <v>1.5021367770992562E+19</v>
      </c>
    </row>
    <row r="124" spans="3:14" ht="15" customHeight="1">
      <c r="C124" s="113" t="b">
        <v>0</v>
      </c>
      <c r="D124" s="114">
        <v>19.5</v>
      </c>
      <c r="E124" s="115">
        <v>4.0949999999999998</v>
      </c>
      <c r="F124" s="115">
        <v>5.6550000000000002</v>
      </c>
      <c r="G124" s="119">
        <v>15.99</v>
      </c>
      <c r="H124" s="119">
        <v>15.795</v>
      </c>
      <c r="I124" s="119">
        <v>767.91</v>
      </c>
      <c r="J124" s="119">
        <v>155.57</v>
      </c>
      <c r="K124" s="119" t="s">
        <v>158</v>
      </c>
      <c r="L124" s="119">
        <v>42</v>
      </c>
      <c r="M124" s="121">
        <v>0</v>
      </c>
      <c r="N124" s="121">
        <v>1.3353805550090191E+19</v>
      </c>
    </row>
    <row r="125" spans="3:14" ht="15" customHeight="1">
      <c r="C125" s="113" t="b">
        <v>0</v>
      </c>
      <c r="D125" s="114">
        <v>19.399999999999999</v>
      </c>
      <c r="E125" s="115">
        <v>7.76</v>
      </c>
      <c r="F125" s="115">
        <v>7.371999999999999</v>
      </c>
      <c r="G125" s="119">
        <v>17.654</v>
      </c>
      <c r="H125" s="119">
        <v>16.878</v>
      </c>
      <c r="I125" s="119">
        <v>1004.75</v>
      </c>
      <c r="J125" s="119">
        <v>156.83000000000001</v>
      </c>
      <c r="K125" s="119" t="s">
        <v>159</v>
      </c>
      <c r="L125" s="119">
        <v>43</v>
      </c>
      <c r="M125" s="121">
        <v>0</v>
      </c>
      <c r="N125" s="121">
        <v>8.8678330218432256E+18</v>
      </c>
    </row>
    <row r="126" spans="3:14" ht="15" customHeight="1">
      <c r="C126" s="113" t="b">
        <v>0</v>
      </c>
      <c r="D126" s="114">
        <v>11.3</v>
      </c>
      <c r="E126" s="115">
        <v>4.859</v>
      </c>
      <c r="F126" s="115">
        <v>1.8080000000000001</v>
      </c>
      <c r="G126" s="119">
        <v>9.9440000000000008</v>
      </c>
      <c r="H126" s="119">
        <v>10.848000000000004</v>
      </c>
      <c r="I126" s="119">
        <v>809.38</v>
      </c>
      <c r="J126" s="119">
        <v>109.48</v>
      </c>
      <c r="K126" s="119" t="s">
        <v>160</v>
      </c>
      <c r="L126" s="119">
        <v>44</v>
      </c>
      <c r="M126" s="121">
        <v>0</v>
      </c>
      <c r="N126" s="121">
        <v>1.1716517170708765E+19</v>
      </c>
    </row>
    <row r="127" spans="3:14" ht="15" customHeight="1">
      <c r="C127" s="113" t="b">
        <v>0</v>
      </c>
      <c r="D127" s="114">
        <v>13.6</v>
      </c>
      <c r="E127" s="115">
        <v>4.08</v>
      </c>
      <c r="F127" s="115">
        <v>4.08</v>
      </c>
      <c r="G127" s="119">
        <v>13.055999999999999</v>
      </c>
      <c r="H127" s="119">
        <v>12.92</v>
      </c>
      <c r="I127" s="119">
        <v>716.2</v>
      </c>
      <c r="J127" s="119">
        <v>109.61</v>
      </c>
      <c r="K127" s="119" t="s">
        <v>161</v>
      </c>
      <c r="L127" s="119">
        <v>45</v>
      </c>
      <c r="M127" s="121">
        <v>0</v>
      </c>
      <c r="N127" s="121">
        <v>1.7211618119023102E+19</v>
      </c>
    </row>
    <row r="128" spans="3:14" ht="15" customHeight="1">
      <c r="C128" s="113" t="b">
        <v>0</v>
      </c>
      <c r="D128" s="114">
        <v>12.7</v>
      </c>
      <c r="E128" s="115">
        <v>2.4129999999999998</v>
      </c>
      <c r="F128" s="115">
        <v>3.4289999999999998</v>
      </c>
      <c r="G128" s="119">
        <v>11.048999999999999</v>
      </c>
      <c r="H128" s="119">
        <v>11.175999999999998</v>
      </c>
      <c r="I128" s="119">
        <v>768.95</v>
      </c>
      <c r="J128" s="119">
        <v>153.72</v>
      </c>
      <c r="K128" s="119" t="s">
        <v>162</v>
      </c>
      <c r="L128" s="119">
        <v>46</v>
      </c>
      <c r="M128" s="121">
        <v>0</v>
      </c>
      <c r="N128" s="121">
        <v>1.4830999920337308E+19</v>
      </c>
    </row>
    <row r="129" spans="3:14" ht="15" customHeight="1">
      <c r="C129" s="113" t="b">
        <v>0</v>
      </c>
      <c r="D129" s="114">
        <v>10.6</v>
      </c>
      <c r="E129" s="115">
        <v>4.452</v>
      </c>
      <c r="F129" s="115">
        <v>3.4980000000000002</v>
      </c>
      <c r="G129" s="119">
        <v>8.6920000000000002</v>
      </c>
      <c r="H129" s="119">
        <v>9.1159999999999997</v>
      </c>
      <c r="I129" s="119">
        <v>890.03</v>
      </c>
      <c r="J129" s="119">
        <v>111.62</v>
      </c>
      <c r="K129" s="119" t="s">
        <v>163</v>
      </c>
      <c r="L129" s="119">
        <v>47</v>
      </c>
      <c r="M129" s="121">
        <v>0</v>
      </c>
      <c r="N129" s="121">
        <v>6.9066360779343657E+18</v>
      </c>
    </row>
    <row r="130" spans="3:14" ht="15" customHeight="1">
      <c r="C130" s="113" t="b">
        <v>0</v>
      </c>
      <c r="D130" s="114">
        <v>23.8</v>
      </c>
      <c r="E130" s="115">
        <v>8.0920000000000005</v>
      </c>
      <c r="F130" s="115">
        <v>6.6639999999999997</v>
      </c>
      <c r="G130" s="119">
        <v>23.085999999999999</v>
      </c>
      <c r="H130" s="119">
        <v>20.706</v>
      </c>
      <c r="I130" s="119">
        <v>992.61</v>
      </c>
      <c r="J130" s="119">
        <v>152.56</v>
      </c>
      <c r="K130" s="119" t="s">
        <v>164</v>
      </c>
      <c r="L130" s="119">
        <v>48</v>
      </c>
      <c r="M130" s="121">
        <v>0</v>
      </c>
      <c r="N130" s="121">
        <v>1.6806068785352362E+19</v>
      </c>
    </row>
    <row r="131" spans="3:14" ht="15" customHeight="1">
      <c r="C131" s="113" t="b">
        <v>0</v>
      </c>
      <c r="D131" s="114">
        <v>13.8</v>
      </c>
      <c r="E131" s="115">
        <v>4.968</v>
      </c>
      <c r="F131" s="115">
        <v>4.5540000000000003</v>
      </c>
      <c r="G131" s="119">
        <v>5.3820000000000006</v>
      </c>
      <c r="H131" s="119">
        <v>11.592000000000001</v>
      </c>
      <c r="I131" s="119">
        <v>670.31</v>
      </c>
      <c r="J131" s="119">
        <v>106.62</v>
      </c>
      <c r="K131" s="119" t="s">
        <v>165</v>
      </c>
      <c r="L131" s="119">
        <v>49</v>
      </c>
      <c r="M131" s="121">
        <v>0</v>
      </c>
      <c r="N131" s="121">
        <v>1.7211031413456316E+19</v>
      </c>
    </row>
    <row r="132" spans="3:14" ht="15" customHeight="1">
      <c r="C132" s="116" t="b">
        <v>0</v>
      </c>
      <c r="D132" s="117">
        <v>17.399999999999999</v>
      </c>
      <c r="E132" s="118">
        <v>7.3079999999999998</v>
      </c>
      <c r="F132" s="118">
        <v>5.5679999999999996</v>
      </c>
      <c r="G132" s="119">
        <v>14.093999999999999</v>
      </c>
      <c r="H132" s="119">
        <v>15.659999999999998</v>
      </c>
      <c r="I132" s="119">
        <v>791.14</v>
      </c>
      <c r="J132" s="119">
        <v>122.04</v>
      </c>
      <c r="K132" s="119" t="s">
        <v>166</v>
      </c>
      <c r="L132" s="119">
        <v>50</v>
      </c>
      <c r="M132" s="121">
        <v>0</v>
      </c>
      <c r="N132" s="121">
        <v>1.5626037566657184E+19</v>
      </c>
    </row>
  </sheetData>
  <phoneticPr fontId="24" type="noConversion"/>
  <conditionalFormatting sqref="D25:F32 D38:F42 D48:F56">
    <cfRule type="cellIs" dxfId="24" priority="26" operator="equal">
      <formula>0</formula>
    </cfRule>
  </conditionalFormatting>
  <conditionalFormatting sqref="C82:C132">
    <cfRule type="cellIs" dxfId="23" priority="25" operator="notEqual">
      <formula>FALSE</formula>
    </cfRule>
  </conditionalFormatting>
  <conditionalFormatting sqref="D19:L19">
    <cfRule type="cellIs" dxfId="22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1" priority="20"/>
  </conditionalFormatting>
  <conditionalFormatting sqref="D17:L17">
    <cfRule type="cellIs" dxfId="20" priority="18" operator="notEqual">
      <formula>"Definition"</formula>
    </cfRule>
  </conditionalFormatting>
  <conditionalFormatting sqref="D60:F67">
    <cfRule type="cellIs" dxfId="19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8" priority="4" operator="notEqual">
      <formula>"Dataset Description"</formula>
    </cfRule>
  </conditionalFormatting>
  <conditionalFormatting sqref="G25:L32 G38:L42 G48:L56">
    <cfRule type="cellIs" dxfId="17" priority="3" operator="equal">
      <formula>0</formula>
    </cfRule>
  </conditionalFormatting>
  <conditionalFormatting sqref="G26:L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L67">
    <cfRule type="cellIs" dxfId="16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Car Crashes</vt:lpstr>
      <vt:lpstr>Back</vt:lpstr>
      <vt:lpstr>'Car Crashes'!Compiled_Lists</vt:lpstr>
      <vt:lpstr>'Car Crashes'!Composition</vt:lpstr>
      <vt:lpstr>'Car Crashes'!CompositionTable</vt:lpstr>
      <vt:lpstr>'Car Crashes'!DarkHeader</vt:lpstr>
      <vt:lpstr>'Car Crashes'!Data_Description</vt:lpstr>
      <vt:lpstr>Dataframes</vt:lpstr>
      <vt:lpstr>Overview!Debug</vt:lpstr>
      <vt:lpstr>Overview!DebugToggle</vt:lpstr>
      <vt:lpstr>'Car Crashes'!Definitions</vt:lpstr>
      <vt:lpstr>'Car Crashes'!Description</vt:lpstr>
      <vt:lpstr>'Car Crashes'!Dimensions</vt:lpstr>
      <vt:lpstr>'Car Crashes'!Field_Analysis</vt:lpstr>
      <vt:lpstr>'Car Crashes'!Field_Lists</vt:lpstr>
      <vt:lpstr>Field_Overview</vt:lpstr>
      <vt:lpstr>'Car Crashes'!FieldList1</vt:lpstr>
      <vt:lpstr>'Car Crashes'!FieldList2</vt:lpstr>
      <vt:lpstr>'Car Crashes'!FieldList3</vt:lpstr>
      <vt:lpstr>'Car Crashes'!FieldList4</vt:lpstr>
      <vt:lpstr>'Car Crashes'!FieldList5</vt:lpstr>
      <vt:lpstr>'Car Crashes'!FieldList6</vt:lpstr>
      <vt:lpstr>'Car Crashes'!FieldList7</vt:lpstr>
      <vt:lpstr>'Car Crashes'!FieldList8</vt:lpstr>
      <vt:lpstr>'Car Crashes'!FieldLists</vt:lpstr>
      <vt:lpstr>'Car Crashes'!FieldRange</vt:lpstr>
      <vt:lpstr>Fields</vt:lpstr>
      <vt:lpstr>'Car Crashes'!FormatRange</vt:lpstr>
      <vt:lpstr>'Car Crashes'!Headers</vt:lpstr>
      <vt:lpstr>'Car Crashes'!Headers_Start</vt:lpstr>
      <vt:lpstr>'Car Crashes'!Histogram</vt:lpstr>
      <vt:lpstr>'Car Crashes'!LightHeader</vt:lpstr>
      <vt:lpstr>'Car Crashes'!Name</vt:lpstr>
      <vt:lpstr>Overview!Name</vt:lpstr>
      <vt:lpstr>SinglePlot!Name</vt:lpstr>
      <vt:lpstr>'Car Crashes'!Notes</vt:lpstr>
      <vt:lpstr>'Car Crashes'!Percentiles</vt:lpstr>
      <vt:lpstr>'Car Crashes'!SerializedLists</vt:lpstr>
      <vt:lpstr>SinglePlot!SinglePlot</vt:lpstr>
      <vt:lpstr>'Car Crashes'!Summary_Stats</vt:lpstr>
      <vt:lpstr>'Car Crashes'!Theme</vt:lpstr>
      <vt:lpstr>Overview!Theme</vt:lpstr>
      <vt:lpstr>SinglePlot!Theme</vt:lpstr>
      <vt:lpstr>'Car Crashes'!Toggles</vt:lpstr>
      <vt:lpstr>'Car Crashes'!TopToggle</vt:lpstr>
      <vt:lpstr>'Car Crashes'!Warning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2026-06-24T07:29:44Z</dcterms:modified>
</cp:coreProperties>
</file>