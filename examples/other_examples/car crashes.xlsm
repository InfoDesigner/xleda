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EF1C257E-8504-4D39-A215-570F16AB175E}" xr6:coauthVersionLast="47" xr6:coauthVersionMax="47" xr10:uidLastSave="{00000000-0000-0000-0000-000000000000}"/>
  <bookViews>
    <workbookView xWindow="-108" yWindow="-108" windowWidth="23256" windowHeight="12456" tabRatio="578" activeTab="1" xr2:uid="{00000000-000D-0000-FFFF-FFFF00000000}"/>
  </bookViews>
  <sheets>
    <sheet name="Overview" sheetId="9" r:id="rId1"/>
    <sheet name="Field Analysis" sheetId="3" r:id="rId2"/>
    <sheet name="SinglePlot" sheetId="7" state="hidden" r:id="rId3"/>
    <sheet name="MultiplePlots" sheetId="8" state="hidden" r:id="rId4"/>
  </sheets>
  <definedNames>
    <definedName name="Compiled_Lists">'Field Analysis'!$C$68:$C$77</definedName>
    <definedName name="Composition">'Field Analysis'!$D$22:$D$32</definedName>
    <definedName name="CompositionTable">'Field Analysis'!$D$31</definedName>
    <definedName name="DarkHeader">'Field Analysis'!$D$78</definedName>
    <definedName name="Data_Description">'Field Analysis'!$D$15:$D$19</definedName>
    <definedName name="Definitions">'Field Analysis'!$D$7:$K$7</definedName>
    <definedName name="Description">'Field Analysis'!$D$15</definedName>
    <definedName name="Dimensions">'Field Analysis'!$D$17</definedName>
    <definedName name="Field_Analysis">'Field Analysis'!$D$12:$D$77</definedName>
    <definedName name="Field_Lists">'Field Analysis'!$C$57:$D$65</definedName>
    <definedName name="Field_Notes">'Field Analysis'!$D$7:$D$10</definedName>
    <definedName name="FieldAnalysisTheme" localSheetId="3">#REF!,#REF!,#REF!,#REF!,MultiplePlots!$B$6:$D$6</definedName>
    <definedName name="FieldList1">'Field Analysis'!$D$57:$K$57</definedName>
    <definedName name="FieldList2">'Field Analysis'!$D$58:$K$58</definedName>
    <definedName name="FieldList3">'Field Analysis'!$D$59:$K$59</definedName>
    <definedName name="FieldList4">'Field Analysis'!$D$60:$K$60</definedName>
    <definedName name="FieldList5">'Field Analysis'!$D$61:$K$61</definedName>
    <definedName name="FieldList6">'Field Analysis'!$D$62:$K$62</definedName>
    <definedName name="FieldList7">'Field Analysis'!$D$63:$K$63</definedName>
    <definedName name="FieldList8">'Field Analysis'!$D$64:$K$64</definedName>
    <definedName name="FieldLists">'Field Analysis'!$C$57:$K$64</definedName>
    <definedName name="FieldRange">'Field Analysis'!$D$78:$K$78</definedName>
    <definedName name="FormatRange">'Field Analysis'!$F:$F</definedName>
    <definedName name="Headers">'Field Analysis'!$D$11:$K$11</definedName>
    <definedName name="Headers_Start">'Field Analysis'!$D$11</definedName>
    <definedName name="Histogram">'Field Analysis'!$D$41</definedName>
    <definedName name="LightHeader">'Field Analysis'!$C$78</definedName>
    <definedName name="Metadata">Overview!$C$4:$C$8</definedName>
    <definedName name="MultiplePlots">MultiplePlots!$D$9</definedName>
    <definedName name="MultiplePlotsTitle">MultiplePlots!$C$2</definedName>
    <definedName name="Name">'Field Analysis'!$C$3</definedName>
    <definedName name="Notes">'Field Analysis'!$D$9:$K$9</definedName>
    <definedName name="Percentiles">'Field Analysis'!$D$45:$D$54</definedName>
    <definedName name="RecordHashes">'Field Analysis'!$L$79:$L$129</definedName>
    <definedName name="SerializedLists">'Field Analysis'!$D$68:$D$77</definedName>
    <definedName name="SinglePlot">SinglePlot!$C$8</definedName>
    <definedName name="SinglePlotTitle">SinglePlot!$C$2</definedName>
    <definedName name="Summary_Stats">'Field Analysis'!$D$35:$D$42</definedName>
    <definedName name="Theme" localSheetId="1">'Field Analysis'!$B$11:$F$11,LightHeader</definedName>
    <definedName name="Theme" localSheetId="3">MultiplePlots!$B$6:$P$6</definedName>
    <definedName name="Theme" localSheetId="0">tbl_Overview[#Headers]</definedName>
    <definedName name="Theme" localSheetId="2">SinglePlot!$B$6:$P$6</definedName>
    <definedName name="Toggles">'Field Analysis'!$B$5,'Field Analysis'!$B$13,'Field Analysis'!$B$20,'Field Analysis'!$B$33,'Field Analysis'!$B$43,'Field Analysis'!$B$55,'Field Analysis'!$B$66</definedName>
    <definedName name="TopToggle">'Field Analysis'!$I$20</definedName>
    <definedName name="Warning">'Field Analysis'!$C$1</definedName>
  </definedNames>
  <calcPr calcId="191029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1" i="9" l="1"/>
  <c r="D12" i="9"/>
  <c r="D13" i="9"/>
  <c r="D14" i="9"/>
  <c r="D15" i="9"/>
  <c r="D16" i="9"/>
  <c r="D17" i="9"/>
  <c r="D18" i="9"/>
  <c r="C11" i="9"/>
  <c r="C12" i="9"/>
  <c r="C13" i="9"/>
  <c r="C14" i="9"/>
  <c r="C15" i="9"/>
  <c r="C16" i="9"/>
  <c r="C17" i="9"/>
  <c r="C18" i="9"/>
  <c r="D68" i="3"/>
  <c r="D69" i="3"/>
  <c r="D70" i="3"/>
  <c r="D71" i="3"/>
  <c r="D72" i="3"/>
  <c r="D73" i="3"/>
  <c r="D74" i="3" a="1"/>
  <c r="D74" i="3" s="1"/>
  <c r="D75" i="3" a="1"/>
  <c r="D75" i="3" s="1"/>
  <c r="D76" i="3" a="1"/>
  <c r="D76" i="3" s="1"/>
  <c r="C73" i="3" l="1"/>
  <c r="C74" i="3"/>
  <c r="C75" i="3"/>
  <c r="C76" i="3"/>
  <c r="C72" i="3"/>
  <c r="C71" i="3"/>
  <c r="C70" i="3"/>
  <c r="C69" i="3"/>
  <c r="C68" i="3"/>
  <c r="B2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<sst xmlns="http://schemas.openxmlformats.org/spreadsheetml/2006/main" count="194" uniqueCount="116">
  <si>
    <t>▶</t>
  </si>
  <si>
    <t>Notes</t>
  </si>
  <si>
    <t xml:space="preserve"> </t>
  </si>
  <si>
    <t>Data type</t>
  </si>
  <si>
    <t>Memory Usage</t>
  </si>
  <si>
    <t>Memory Usage %</t>
  </si>
  <si>
    <t>Distinct</t>
  </si>
  <si>
    <t>Distinct %</t>
  </si>
  <si>
    <t>Count</t>
  </si>
  <si>
    <t>Missing</t>
  </si>
  <si>
    <t>Missing %</t>
  </si>
  <si>
    <t>Mean</t>
  </si>
  <si>
    <t>Median</t>
  </si>
  <si>
    <t>Mode</t>
  </si>
  <si>
    <t>Standard Deviation</t>
  </si>
  <si>
    <t>Variance</t>
  </si>
  <si>
    <t>Min</t>
  </si>
  <si>
    <t>Max</t>
  </si>
  <si>
    <t>Range</t>
  </si>
  <si>
    <t>IQR</t>
  </si>
  <si>
    <t>Record Hash</t>
  </si>
  <si>
    <t>Record List</t>
  </si>
  <si>
    <t>FIeldList7</t>
  </si>
  <si>
    <t>FIeldList8</t>
  </si>
  <si>
    <t>SinglePlotTitle</t>
  </si>
  <si>
    <t>Description</t>
  </si>
  <si>
    <t>Rows</t>
  </si>
  <si>
    <t>Column</t>
  </si>
  <si>
    <t>Field</t>
  </si>
  <si>
    <t>Definition</t>
  </si>
  <si>
    <t>Field Notes</t>
  </si>
  <si>
    <t>MultiplePlotsTitle</t>
  </si>
  <si>
    <t>Count %</t>
  </si>
  <si>
    <t>5%</t>
  </si>
  <si>
    <t>25%</t>
  </si>
  <si>
    <t>50%</t>
  </si>
  <si>
    <t>75%</t>
  </si>
  <si>
    <t>95%</t>
  </si>
  <si>
    <t>Definitions</t>
  </si>
  <si>
    <t>Warning</t>
  </si>
  <si>
    <t>FieldList1</t>
  </si>
  <si>
    <t>FieldList2</t>
  </si>
  <si>
    <t>FieldList3</t>
  </si>
  <si>
    <t>FieldList4</t>
  </si>
  <si>
    <t>FieldList5</t>
  </si>
  <si>
    <t>FieldList6</t>
  </si>
  <si>
    <t>Columns</t>
  </si>
  <si>
    <t>Compiled Lists</t>
  </si>
  <si>
    <t>Field Lists</t>
  </si>
  <si>
    <t>Percentiles</t>
  </si>
  <si>
    <t>Summary Stats</t>
  </si>
  <si>
    <t>Composition</t>
  </si>
  <si>
    <t>Data Description</t>
  </si>
  <si>
    <t>car crashes</t>
  </si>
  <si>
    <t>total</t>
  </si>
  <si>
    <t>speeding</t>
  </si>
  <si>
    <t>alcohol</t>
  </si>
  <si>
    <t>not_distracted</t>
  </si>
  <si>
    <t>no_previous</t>
  </si>
  <si>
    <t>ins_premium</t>
  </si>
  <si>
    <t>ins_losses</t>
  </si>
  <si>
    <t>abbrev</t>
  </si>
  <si>
    <t>3,498 bytes</t>
  </si>
  <si>
    <t>float64</t>
  </si>
  <si>
    <t>str</t>
  </si>
  <si>
    <t>AK</t>
  </si>
  <si>
    <t>AL</t>
  </si>
  <si>
    <t>AZ</t>
  </si>
  <si>
    <t>AR</t>
  </si>
  <si>
    <t>CA</t>
  </si>
  <si>
    <t>CO</t>
  </si>
  <si>
    <t>CT</t>
  </si>
  <si>
    <t>DE</t>
  </si>
  <si>
    <t>DC</t>
  </si>
  <si>
    <t>FL</t>
  </si>
  <si>
    <t>GA</t>
  </si>
  <si>
    <t>HI</t>
  </si>
  <si>
    <t>ID</t>
  </si>
  <si>
    <t>IL</t>
  </si>
  <si>
    <t>IN</t>
  </si>
  <si>
    <t>IA</t>
  </si>
  <si>
    <t>KS</t>
  </si>
  <si>
    <t>KY</t>
  </si>
  <si>
    <t>LA</t>
  </si>
  <si>
    <t>ME</t>
  </si>
  <si>
    <t>MD</t>
  </si>
  <si>
    <t>MA</t>
  </si>
  <si>
    <t>MI</t>
  </si>
  <si>
    <t>MN</t>
  </si>
  <si>
    <t>MS</t>
  </si>
  <si>
    <t>MO</t>
  </si>
  <si>
    <t>MT</t>
  </si>
  <si>
    <t>NE</t>
  </si>
  <si>
    <t>NV</t>
  </si>
  <si>
    <t>NH</t>
  </si>
  <si>
    <t>NJ</t>
  </si>
  <si>
    <t>NM</t>
  </si>
  <si>
    <t>NY</t>
  </si>
  <si>
    <t>NC</t>
  </si>
  <si>
    <t>ND</t>
  </si>
  <si>
    <t>OH</t>
  </si>
  <si>
    <t>OK</t>
  </si>
  <si>
    <t>OR</t>
  </si>
  <si>
    <t>PA</t>
  </si>
  <si>
    <t>RI</t>
  </si>
  <si>
    <t>SC</t>
  </si>
  <si>
    <t>SD</t>
  </si>
  <si>
    <t>TN</t>
  </si>
  <si>
    <t>TX</t>
  </si>
  <si>
    <t>UT</t>
  </si>
  <si>
    <t>VT</t>
  </si>
  <si>
    <t>VA</t>
  </si>
  <si>
    <t>WA</t>
  </si>
  <si>
    <t>WV</t>
  </si>
  <si>
    <t>WI</t>
  </si>
  <si>
    <t>WY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</si>
</sst>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3"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Calibri"/>
      <family val="2"/>
    </font>
    <font>
      <b/>
      <sz val="12"/>
      <color theme="0"/>
      <name val="Calibri"/>
      <family val="2"/>
    </font>
    <font>
      <sz val="9"/>
      <color theme="0"/>
      <name val="Calibri"/>
      <family val="2"/>
      <scheme val="minor"/>
    </font>
    <font>
      <b/>
      <sz val="14"/>
      <color theme="0"/>
      <name val="Calibri"/>
      <family val="2"/>
    </font>
    <font>
      <b/>
      <sz val="10"/>
      <color theme="0"/>
      <name val="Calibri"/>
      <family val="2"/>
    </font>
    <font>
      <sz val="11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sz val="10"/>
      <color theme="1" tint="0.499984740745262"/>
      <name val="Calibri"/>
      <family val="2"/>
    </font>
    <font>
      <sz val="11"/>
      <color theme="1" tint="0.499984740745262"/>
      <name val="Calibri"/>
      <family val="2"/>
      <scheme val="minor"/>
    </font>
    <font>
      <sz val="8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i/>
      <sz val="10"/>
      <color theme="1" tint="0.499984740745262"/>
      <name val="Calibri"/>
      <family val="2"/>
    </font>
    <font>
      <b/>
      <sz val="36"/>
      <color theme="0"/>
      <name val="Calibri"/>
      <family val="2"/>
      <scheme val="minor"/>
    </font>
    <font>
      <i/>
      <sz val="10"/>
      <color theme="1" tint="0.499984740745262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b/>
      <i/>
      <sz val="10"/>
      <color theme="0"/>
      <name val="Calibri"/>
      <family val="2"/>
    </font>
    <font>
      <b/>
      <sz val="12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theme="1" tint="0.44999542222357858"/>
      </patternFill>
    </fill>
    <fill>
      <patternFill patternType="solid">
        <fgColor theme="1"/>
        <bgColor theme="1" tint="0.249977111117893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8A11F6"/>
        <bgColor indexed="64"/>
      </patternFill>
    </fill>
  </fills>
  <borders count="22">
    <border>
      <left/>
      <right/>
      <top/>
      <bottom/>
      <diagonal/>
    </border>
    <border>
      <left style="thin">
        <color theme="1" tint="0.249977111117893"/>
      </left>
      <right style="thin">
        <color theme="1" tint="0.249977111117893"/>
      </right>
      <top/>
      <bottom/>
      <diagonal/>
    </border>
    <border>
      <left/>
      <right style="thin">
        <color theme="1" tint="0.249977111117893"/>
      </right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/>
      <diagonal/>
    </border>
    <border>
      <left/>
      <right/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/>
      <diagonal/>
    </border>
    <border>
      <left/>
      <right style="thin">
        <color theme="1" tint="0.249977111117893"/>
      </right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249977111117893"/>
      </left>
      <right/>
      <top/>
      <bottom/>
      <diagonal/>
    </border>
    <border>
      <left style="thin">
        <color theme="1" tint="0.249977111117893"/>
      </left>
      <right/>
      <top style="thin">
        <color theme="1" tint="0.249977111117893"/>
      </top>
      <bottom style="thin">
        <color theme="1" tint="0.249977111117893"/>
      </bottom>
      <diagonal/>
    </border>
    <border>
      <left style="thin">
        <color theme="1" tint="0.249977111117893"/>
      </left>
      <right/>
      <top/>
      <bottom style="thin">
        <color theme="1" tint="0.249977111117893"/>
      </bottom>
      <diagonal/>
    </border>
    <border>
      <left style="thin">
        <color theme="1" tint="0.249977111117893"/>
      </left>
      <right/>
      <top style="thin">
        <color theme="1" tint="0.249977111117893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/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 style="thin">
        <color theme="1" tint="0.249977111117893"/>
      </bottom>
      <diagonal/>
    </border>
    <border>
      <left/>
      <right/>
      <top style="thin">
        <color theme="1" tint="0.34998626667073579"/>
      </top>
      <bottom/>
      <diagonal/>
    </border>
    <border>
      <left/>
      <right style="thin">
        <color theme="1" tint="0.34998626667073579"/>
      </right>
      <top style="thin">
        <color theme="1" tint="0.34998626667073579"/>
      </top>
      <bottom/>
      <diagonal/>
    </border>
  </borders>
  <cellStyleXfs count="6">
    <xf numFmtId="0" fontId="0" fillId="2" borderId="0"/>
    <xf numFmtId="0" fontId="2" fillId="2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31" fillId="2" borderId="0" applyNumberFormat="0" applyFill="0" applyBorder="0" applyAlignment="0" applyProtection="0"/>
  </cellStyleXfs>
  <cellXfs count="133">
    <xf numFmtId="0" fontId="0" fillId="2" borderId="0" xfId="0"/>
    <xf numFmtId="0" fontId="2" fillId="2" borderId="0" xfId="1"/>
    <xf numFmtId="0" fontId="2" fillId="2" borderId="0" xfId="1" applyAlignment="1">
      <alignment textRotation="180"/>
    </xf>
    <xf numFmtId="0" fontId="4" fillId="2" borderId="0" xfId="1" applyFont="1" applyAlignment="1">
      <alignment horizontal="right" vertical="center" indent="1"/>
    </xf>
    <xf numFmtId="0" fontId="6" fillId="2" borderId="0" xfId="1" applyFont="1" applyAlignment="1">
      <alignment horizontal="right" vertical="center" indent="7"/>
    </xf>
    <xf numFmtId="0" fontId="7" fillId="3" borderId="0" xfId="1" applyFont="1" applyFill="1" applyAlignment="1">
      <alignment horizontal="center" vertical="center" wrapText="1"/>
    </xf>
    <xf numFmtId="0" fontId="3" fillId="2" borderId="0" xfId="1" applyFont="1"/>
    <xf numFmtId="0" fontId="8" fillId="2" borderId="0" xfId="1" applyFont="1" applyAlignment="1">
      <alignment horizontal="right" vertical="center"/>
    </xf>
    <xf numFmtId="0" fontId="3" fillId="2" borderId="0" xfId="1" applyFont="1" applyAlignment="1">
      <alignment horizontal="right" vertical="center"/>
    </xf>
    <xf numFmtId="0" fontId="2" fillId="2" borderId="0" xfId="1" applyAlignment="1">
      <alignment horizontal="right"/>
    </xf>
    <xf numFmtId="0" fontId="9" fillId="2" borderId="0" xfId="1" applyFont="1" applyAlignment="1">
      <alignment horizontal="right"/>
    </xf>
    <xf numFmtId="3" fontId="6" fillId="4" borderId="3" xfId="2" applyNumberFormat="1" applyFont="1" applyFill="1" applyBorder="1" applyAlignment="1">
      <alignment horizontal="center" vertical="center" wrapText="1"/>
    </xf>
    <xf numFmtId="0" fontId="11" fillId="2" borderId="0" xfId="1" applyFont="1" applyAlignment="1">
      <alignment horizontal="right"/>
    </xf>
    <xf numFmtId="0" fontId="6" fillId="4" borderId="3" xfId="1" applyFont="1" applyFill="1" applyBorder="1" applyAlignment="1">
      <alignment horizontal="center" wrapText="1"/>
    </xf>
    <xf numFmtId="0" fontId="9" fillId="2" borderId="0" xfId="1" applyFont="1" applyAlignment="1">
      <alignment horizontal="right" vertical="top" textRotation="180"/>
    </xf>
    <xf numFmtId="0" fontId="12" fillId="2" borderId="0" xfId="1" applyFont="1" applyAlignment="1">
      <alignment horizontal="right" vertical="center"/>
    </xf>
    <xf numFmtId="0" fontId="3" fillId="2" borderId="1" xfId="1" applyFont="1" applyBorder="1" applyAlignment="1">
      <alignment vertical="top" wrapText="1"/>
    </xf>
    <xf numFmtId="0" fontId="2" fillId="2" borderId="0" xfId="1" applyAlignment="1">
      <alignment horizontal="right" textRotation="180"/>
    </xf>
    <xf numFmtId="0" fontId="2" fillId="2" borderId="0" xfId="1" applyAlignment="1">
      <alignment vertical="top"/>
    </xf>
    <xf numFmtId="0" fontId="9" fillId="2" borderId="0" xfId="1" applyFont="1" applyAlignment="1">
      <alignment horizontal="right" vertical="top"/>
    </xf>
    <xf numFmtId="0" fontId="10" fillId="2" borderId="0" xfId="1" applyFont="1" applyAlignment="1">
      <alignment horizontal="right" vertical="top"/>
    </xf>
    <xf numFmtId="2" fontId="6" fillId="4" borderId="3" xfId="1" applyNumberFormat="1" applyFont="1" applyFill="1" applyBorder="1" applyAlignment="1">
      <alignment horizontal="center" wrapText="1"/>
    </xf>
    <xf numFmtId="0" fontId="6" fillId="5" borderId="3" xfId="1" applyFont="1" applyFill="1" applyBorder="1" applyAlignment="1">
      <alignment horizontal="center" wrapText="1"/>
    </xf>
    <xf numFmtId="2" fontId="6" fillId="5" borderId="3" xfId="1" applyNumberFormat="1" applyFont="1" applyFill="1" applyBorder="1" applyAlignment="1">
      <alignment horizontal="center" wrapText="1"/>
    </xf>
    <xf numFmtId="0" fontId="3" fillId="2" borderId="0" xfId="1" applyFont="1" applyAlignment="1">
      <alignment vertical="top"/>
    </xf>
    <xf numFmtId="0" fontId="10" fillId="2" borderId="8" xfId="1" applyFont="1" applyBorder="1" applyAlignment="1">
      <alignment horizontal="right" vertical="top"/>
    </xf>
    <xf numFmtId="0" fontId="2" fillId="2" borderId="0" xfId="1" applyAlignment="1">
      <alignment vertical="top" wrapText="1"/>
    </xf>
    <xf numFmtId="0" fontId="7" fillId="3" borderId="10" xfId="1" applyFont="1" applyFill="1" applyBorder="1" applyAlignment="1">
      <alignment horizontal="center" vertical="center" wrapText="1"/>
    </xf>
    <xf numFmtId="0" fontId="2" fillId="2" borderId="0" xfId="1" applyAlignment="1"/>
    <xf numFmtId="0" fontId="6" fillId="3" borderId="7" xfId="1" applyFont="1" applyFill="1" applyBorder="1" applyAlignment="1">
      <alignment horizontal="center"/>
    </xf>
    <xf numFmtId="0" fontId="2" fillId="3" borderId="0" xfId="1" applyFill="1"/>
    <xf numFmtId="0" fontId="14" fillId="2" borderId="0" xfId="1" applyFont="1"/>
    <xf numFmtId="0" fontId="13" fillId="5" borderId="6" xfId="1" applyFont="1" applyFill="1" applyBorder="1" applyAlignment="1">
      <alignment horizontal="right"/>
    </xf>
    <xf numFmtId="0" fontId="3" fillId="2" borderId="0" xfId="1" applyFont="1" applyBorder="1"/>
    <xf numFmtId="0" fontId="3" fillId="2" borderId="0" xfId="1" applyFont="1" applyAlignment="1">
      <alignment vertical="center"/>
    </xf>
    <xf numFmtId="0" fontId="10" fillId="2" borderId="0" xfId="1" applyFont="1" applyAlignment="1">
      <alignment horizontal="right" vertical="center"/>
    </xf>
    <xf numFmtId="0" fontId="6" fillId="2" borderId="0" xfId="1" applyFont="1" applyAlignment="1">
      <alignment horizontal="right" vertical="center"/>
    </xf>
    <xf numFmtId="9" fontId="6" fillId="5" borderId="3" xfId="3" applyFont="1" applyFill="1" applyBorder="1" applyAlignment="1">
      <alignment horizontal="center" vertical="center" wrapText="1"/>
    </xf>
    <xf numFmtId="0" fontId="16" fillId="7" borderId="0" xfId="1" applyFont="1" applyFill="1" applyAlignment="1">
      <alignment vertical="center"/>
    </xf>
    <xf numFmtId="0" fontId="18" fillId="7" borderId="0" xfId="1" applyFont="1" applyFill="1" applyAlignment="1">
      <alignment vertical="center"/>
    </xf>
    <xf numFmtId="0" fontId="2" fillId="2" borderId="0" xfId="1" applyAlignment="1">
      <alignment horizontal="center" vertical="center"/>
    </xf>
    <xf numFmtId="0" fontId="13" fillId="5" borderId="0" xfId="1" applyFont="1" applyFill="1" applyBorder="1" applyAlignment="1">
      <alignment horizontal="right"/>
    </xf>
    <xf numFmtId="0" fontId="10" fillId="4" borderId="0" xfId="1" applyFont="1" applyFill="1" applyAlignment="1">
      <alignment horizontal="right" wrapText="1"/>
    </xf>
    <xf numFmtId="9" fontId="6" fillId="5" borderId="12" xfId="3" applyFont="1" applyFill="1" applyBorder="1" applyAlignment="1">
      <alignment horizontal="center" vertical="center" wrapText="1"/>
    </xf>
    <xf numFmtId="0" fontId="0" fillId="2" borderId="0" xfId="0" applyBorder="1"/>
    <xf numFmtId="9" fontId="6" fillId="5" borderId="14" xfId="3" applyFont="1" applyFill="1" applyBorder="1" applyAlignment="1">
      <alignment horizontal="center" vertical="center" wrapText="1"/>
    </xf>
    <xf numFmtId="3" fontId="2" fillId="2" borderId="13" xfId="1" applyNumberFormat="1" applyBorder="1" applyAlignment="1">
      <alignment horizontal="center"/>
    </xf>
    <xf numFmtId="3" fontId="3" fillId="2" borderId="12" xfId="1" applyNumberFormat="1" applyFont="1" applyBorder="1" applyAlignment="1">
      <alignment horizontal="center" vertical="center"/>
    </xf>
    <xf numFmtId="0" fontId="3" fillId="8" borderId="15" xfId="1" applyFont="1" applyFill="1" applyBorder="1" applyAlignment="1">
      <alignment horizontal="left" vertical="center" wrapText="1" indent="1"/>
    </xf>
    <xf numFmtId="0" fontId="3" fillId="8" borderId="15" xfId="1" applyNumberFormat="1" applyFont="1" applyFill="1" applyBorder="1" applyAlignment="1">
      <alignment horizontal="left" vertical="center" wrapText="1" indent="1"/>
    </xf>
    <xf numFmtId="9" fontId="6" fillId="5" borderId="12" xfId="3" applyFont="1" applyFill="1" applyBorder="1" applyAlignment="1">
      <alignment horizontal="center" vertical="top" wrapText="1"/>
    </xf>
    <xf numFmtId="164" fontId="6" fillId="5" borderId="12" xfId="3" applyNumberFormat="1" applyFont="1" applyFill="1" applyBorder="1" applyAlignment="1">
      <alignment horizontal="center" vertical="top" wrapText="1"/>
    </xf>
    <xf numFmtId="3" fontId="0" fillId="2" borderId="0" xfId="0" applyNumberFormat="1" applyAlignment="1">
      <alignment horizontal="center" vertical="top"/>
    </xf>
    <xf numFmtId="164" fontId="0" fillId="2" borderId="0" xfId="0" applyNumberFormat="1" applyAlignment="1">
      <alignment horizontal="center" vertical="top"/>
    </xf>
    <xf numFmtId="165" fontId="0" fillId="2" borderId="0" xfId="0" applyNumberFormat="1" applyAlignment="1">
      <alignment horizontal="center" vertical="top"/>
    </xf>
    <xf numFmtId="164" fontId="3" fillId="5" borderId="12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Alignment="1">
      <alignment horizontal="center" vertical="top"/>
    </xf>
    <xf numFmtId="0" fontId="19" fillId="2" borderId="0" xfId="1" applyNumberFormat="1" applyFont="1" applyBorder="1" applyAlignment="1">
      <alignment horizontal="center" vertical="center" wrapText="1"/>
    </xf>
    <xf numFmtId="0" fontId="21" fillId="2" borderId="8" xfId="1" applyFont="1" applyBorder="1" applyAlignment="1">
      <alignment horizontal="left" vertical="center"/>
    </xf>
    <xf numFmtId="0" fontId="6" fillId="6" borderId="3" xfId="1" applyFont="1" applyFill="1" applyBorder="1" applyAlignment="1">
      <alignment horizontal="center"/>
    </xf>
    <xf numFmtId="0" fontId="3" fillId="2" borderId="0" xfId="1" applyFont="1" applyAlignment="1">
      <alignment horizontal="left" vertical="top" indent="1"/>
    </xf>
    <xf numFmtId="0" fontId="2" fillId="2" borderId="0" xfId="1" applyAlignment="1">
      <alignment horizontal="left" vertical="top" indent="1"/>
    </xf>
    <xf numFmtId="0" fontId="3" fillId="8" borderId="17" xfId="1" applyNumberFormat="1" applyFont="1" applyFill="1" applyBorder="1" applyAlignment="1">
      <alignment horizontal="left" vertical="center" wrapText="1" indent="1"/>
    </xf>
    <xf numFmtId="0" fontId="3" fillId="8" borderId="18" xfId="1" applyNumberFormat="1" applyFont="1" applyFill="1" applyBorder="1" applyAlignment="1">
      <alignment horizontal="left" vertical="center" wrapText="1" indent="1"/>
    </xf>
    <xf numFmtId="0" fontId="0" fillId="3" borderId="0" xfId="0" applyFill="1"/>
    <xf numFmtId="0" fontId="0" fillId="2" borderId="0" xfId="0" applyFill="1"/>
    <xf numFmtId="0" fontId="22" fillId="2" borderId="0" xfId="1" applyFont="1" applyFill="1" applyBorder="1" applyAlignment="1">
      <alignment vertical="center" wrapText="1"/>
    </xf>
    <xf numFmtId="0" fontId="2" fillId="2" borderId="0" xfId="1" applyFill="1"/>
    <xf numFmtId="3" fontId="22" fillId="2" borderId="0" xfId="1" applyNumberFormat="1" applyFont="1" applyFill="1" applyBorder="1" applyAlignment="1">
      <alignment horizontal="left" vertical="top" wrapText="1"/>
    </xf>
    <xf numFmtId="0" fontId="2" fillId="2" borderId="0" xfId="1" applyFill="1" applyAlignment="1"/>
    <xf numFmtId="0" fontId="10" fillId="2" borderId="8" xfId="1" applyFont="1" applyFill="1" applyBorder="1" applyAlignment="1">
      <alignment horizontal="right" wrapText="1"/>
    </xf>
    <xf numFmtId="0" fontId="22" fillId="2" borderId="0" xfId="1" applyFont="1" applyFill="1" applyBorder="1" applyAlignment="1">
      <alignment horizontal="right" vertical="top" wrapText="1"/>
    </xf>
    <xf numFmtId="0" fontId="22" fillId="2" borderId="1" xfId="1" applyNumberFormat="1" applyFont="1" applyFill="1" applyBorder="1" applyAlignment="1">
      <alignment horizontal="center" vertical="center" wrapText="1"/>
    </xf>
    <xf numFmtId="0" fontId="2" fillId="3" borderId="0" xfId="1" applyFill="1" applyAlignment="1"/>
    <xf numFmtId="0" fontId="20" fillId="3" borderId="0" xfId="1" applyFont="1" applyFill="1" applyAlignment="1">
      <alignment horizontal="left" vertical="center" indent="2"/>
    </xf>
    <xf numFmtId="0" fontId="22" fillId="3" borderId="0" xfId="1" applyFont="1" applyFill="1" applyAlignment="1">
      <alignment horizontal="right" vertical="center" indent="1"/>
    </xf>
    <xf numFmtId="0" fontId="0" fillId="3" borderId="0" xfId="0" applyFill="1" applyAlignment="1"/>
    <xf numFmtId="0" fontId="10" fillId="2" borderId="8" xfId="1" applyFont="1" applyFill="1" applyBorder="1" applyAlignment="1">
      <alignment horizontal="right" vertical="center" wrapText="1"/>
    </xf>
    <xf numFmtId="0" fontId="27" fillId="2" borderId="0" xfId="1" applyFont="1" applyAlignment="1">
      <alignment horizontal="right" vertical="center"/>
    </xf>
    <xf numFmtId="0" fontId="26" fillId="2" borderId="8" xfId="1" applyFont="1" applyFill="1" applyBorder="1" applyAlignment="1">
      <alignment horizontal="left" vertical="center"/>
    </xf>
    <xf numFmtId="0" fontId="28" fillId="2" borderId="0" xfId="0" applyFont="1" applyAlignment="1">
      <alignment horizontal="left" vertical="center" indent="1"/>
    </xf>
    <xf numFmtId="0" fontId="29" fillId="5" borderId="6" xfId="1" applyFont="1" applyFill="1" applyBorder="1" applyAlignment="1">
      <alignment horizontal="right" wrapText="1"/>
    </xf>
    <xf numFmtId="0" fontId="29" fillId="5" borderId="16" xfId="1" applyFont="1" applyFill="1" applyBorder="1" applyAlignment="1">
      <alignment horizontal="right" wrapText="1"/>
    </xf>
    <xf numFmtId="0" fontId="29" fillId="5" borderId="2" xfId="1" applyFont="1" applyFill="1" applyBorder="1" applyAlignment="1">
      <alignment horizontal="right" wrapText="1"/>
    </xf>
    <xf numFmtId="9" fontId="29" fillId="4" borderId="4" xfId="1" applyNumberFormat="1" applyFont="1" applyFill="1" applyBorder="1" applyAlignment="1">
      <alignment horizontal="right" wrapText="1"/>
    </xf>
    <xf numFmtId="9" fontId="29" fillId="5" borderId="4" xfId="1" applyNumberFormat="1" applyFont="1" applyFill="1" applyBorder="1" applyAlignment="1">
      <alignment horizontal="right" wrapText="1"/>
    </xf>
    <xf numFmtId="0" fontId="29" fillId="4" borderId="4" xfId="1" applyFont="1" applyFill="1" applyBorder="1" applyAlignment="1">
      <alignment horizontal="right" wrapText="1"/>
    </xf>
    <xf numFmtId="0" fontId="29" fillId="5" borderId="5" xfId="1" applyFont="1" applyFill="1" applyBorder="1" applyAlignment="1">
      <alignment horizontal="right" wrapText="1"/>
    </xf>
    <xf numFmtId="0" fontId="29" fillId="4" borderId="2" xfId="1" applyFont="1" applyFill="1" applyBorder="1" applyAlignment="1">
      <alignment horizontal="right" wrapText="1"/>
    </xf>
    <xf numFmtId="0" fontId="29" fillId="5" borderId="4" xfId="1" applyFont="1" applyFill="1" applyBorder="1" applyAlignment="1">
      <alignment horizontal="right" wrapText="1"/>
    </xf>
    <xf numFmtId="0" fontId="29" fillId="4" borderId="5" xfId="1" applyFont="1" applyFill="1" applyBorder="1" applyAlignment="1">
      <alignment horizontal="right" wrapText="1"/>
    </xf>
    <xf numFmtId="0" fontId="29" fillId="2" borderId="8" xfId="1" applyFont="1" applyFill="1" applyBorder="1" applyAlignment="1">
      <alignment horizontal="right" wrapText="1"/>
    </xf>
    <xf numFmtId="0" fontId="17" fillId="2" borderId="0" xfId="1" applyFont="1" applyBorder="1" applyAlignment="1">
      <alignment horizontal="center"/>
    </xf>
    <xf numFmtId="3" fontId="6" fillId="5" borderId="11" xfId="4" applyNumberFormat="1" applyFont="1" applyFill="1" applyBorder="1" applyAlignment="1">
      <alignment horizontal="center" vertical="center" wrapText="1"/>
    </xf>
    <xf numFmtId="0" fontId="30" fillId="2" borderId="0" xfId="0" applyFont="1" applyAlignment="1">
      <alignment horizontal="center" vertical="center"/>
    </xf>
    <xf numFmtId="0" fontId="0" fillId="2" borderId="0" xfId="0" applyAlignment="1">
      <alignment horizontal="center" vertical="top"/>
    </xf>
    <xf numFmtId="0" fontId="0" fillId="7" borderId="0" xfId="0" applyFill="1"/>
    <xf numFmtId="0" fontId="0" fillId="2" borderId="0" xfId="0" applyAlignment="1">
      <alignment horizontal="right"/>
    </xf>
    <xf numFmtId="0" fontId="31" fillId="2" borderId="0" xfId="5" applyAlignment="1">
      <alignment horizontal="right"/>
    </xf>
    <xf numFmtId="0" fontId="32" fillId="2" borderId="0" xfId="0" applyFont="1" applyAlignment="1">
      <alignment horizontal="right" vertical="top"/>
    </xf>
    <xf numFmtId="0" fontId="21" fillId="2" borderId="0" xfId="1" applyFont="1" applyBorder="1" applyAlignment="1">
      <alignment horizontal="left" vertical="center"/>
    </xf>
    <xf numFmtId="0" fontId="5" fillId="2" borderId="0" xfId="1" applyFont="1" applyBorder="1" applyAlignment="1">
      <alignment horizontal="left" vertical="center" wrapText="1" indent="1"/>
    </xf>
    <xf numFmtId="0" fontId="5" fillId="2" borderId="11" xfId="1" applyFont="1" applyBorder="1" applyAlignment="1">
      <alignment horizontal="left" vertical="center" wrapText="1" indent="1"/>
    </xf>
    <xf numFmtId="0" fontId="31" fillId="2" borderId="0" xfId="5" applyAlignment="1">
      <alignment horizontal="center" vertical="center"/>
    </xf>
    <xf numFmtId="0" fontId="0" fillId="2" borderId="0" xfId="0" applyAlignment="1">
      <alignment horizontal="center" vertical="center"/>
    </xf>
    <xf numFmtId="0" fontId="32" fillId="2" borderId="0" xfId="0" applyFont="1" applyAlignment="1">
      <alignment horizontal="center" vertical="center"/>
    </xf>
    <xf numFmtId="0" fontId="2" fillId="2" borderId="0" xfId="1" applyFont="1" applyAlignment="1">
      <alignment horizontal="right" vertical="center"/>
    </xf>
    <xf numFmtId="0" fontId="0" fillId="2" borderId="0" xfId="0" applyFill="1" applyAlignment="1"/>
    <xf numFmtId="0" fontId="2" fillId="3" borderId="0" xfId="1" applyFill="1" applyAlignment="1">
      <alignment horizontal="center" vertical="center"/>
    </xf>
    <xf numFmtId="0" fontId="0" fillId="2" borderId="0" xfId="0" applyAlignment="1"/>
    <xf numFmtId="0" fontId="9" fillId="2" borderId="0" xfId="1" applyFont="1" applyAlignment="1">
      <alignment horizontal="right" vertical="center"/>
    </xf>
    <xf numFmtId="0" fontId="22" fillId="2" borderId="11" xfId="1" applyFont="1" applyFill="1" applyBorder="1" applyAlignment="1">
      <alignment horizontal="left" vertical="center" wrapText="1" indent="1"/>
    </xf>
    <xf numFmtId="0" fontId="22" fillId="2" borderId="0" xfId="1" applyFont="1" applyFill="1" applyBorder="1" applyAlignment="1">
      <alignment horizontal="left" vertical="center" wrapText="1" indent="1"/>
    </xf>
    <xf numFmtId="0" fontId="10" fillId="9" borderId="3" xfId="1" applyFont="1" applyFill="1" applyBorder="1" applyAlignment="1">
      <alignment horizontal="left" vertical="center" wrapText="1" indent="1"/>
    </xf>
    <xf numFmtId="0" fontId="10" fillId="9" borderId="7" xfId="1" applyFont="1" applyFill="1" applyBorder="1" applyAlignment="1">
      <alignment horizontal="left" vertical="center" wrapText="1" indent="1"/>
    </xf>
    <xf numFmtId="0" fontId="10" fillId="9" borderId="3" xfId="1" applyFont="1" applyFill="1" applyBorder="1" applyAlignment="1">
      <alignment horizontal="center" vertical="center" wrapText="1"/>
    </xf>
    <xf numFmtId="9" fontId="10" fillId="9" borderId="3" xfId="1" applyNumberFormat="1" applyFont="1" applyFill="1" applyBorder="1" applyAlignment="1">
      <alignment horizontal="center" vertical="center" wrapText="1"/>
    </xf>
    <xf numFmtId="0" fontId="23" fillId="9" borderId="0" xfId="1" applyFont="1" applyFill="1" applyBorder="1" applyAlignment="1"/>
    <xf numFmtId="0" fontId="24" fillId="9" borderId="0" xfId="1" applyFont="1" applyFill="1" applyBorder="1" applyAlignment="1">
      <alignment wrapText="1"/>
    </xf>
    <xf numFmtId="0" fontId="7" fillId="9" borderId="0" xfId="1" applyFont="1" applyFill="1" applyBorder="1" applyAlignment="1">
      <alignment horizontal="center" vertical="center" wrapText="1"/>
    </xf>
    <xf numFmtId="0" fontId="7" fillId="9" borderId="9" xfId="1" applyFont="1" applyFill="1" applyBorder="1" applyAlignment="1">
      <alignment horizontal="center" vertical="center"/>
    </xf>
    <xf numFmtId="0" fontId="25" fillId="9" borderId="0" xfId="1" applyFont="1" applyFill="1" applyBorder="1" applyAlignment="1">
      <alignment vertical="center" wrapText="1"/>
    </xf>
    <xf numFmtId="164" fontId="3" fillId="5" borderId="19" xfId="3" applyNumberFormat="1" applyFont="1" applyFill="1" applyBorder="1" applyAlignment="1">
      <alignment horizontal="center" vertical="top" wrapText="1"/>
    </xf>
    <xf numFmtId="0" fontId="2" fillId="2" borderId="0" xfId="1" applyBorder="1" applyAlignment="1">
      <alignment horizontal="left" vertical="top" indent="1"/>
    </xf>
    <xf numFmtId="0" fontId="3" fillId="8" borderId="20" xfId="1" applyNumberFormat="1" applyFont="1" applyFill="1" applyBorder="1" applyAlignment="1">
      <alignment horizontal="left" vertical="center" wrapText="1" indent="1"/>
    </xf>
    <xf numFmtId="0" fontId="3" fillId="8" borderId="21" xfId="1" applyNumberFormat="1" applyFont="1" applyFill="1" applyBorder="1" applyAlignment="1">
      <alignment horizontal="left" vertical="center" wrapText="1" indent="1"/>
    </xf>
    <xf numFmtId="0" fontId="0" fillId="2" borderId="0" xfId="0" applyBorder="1" applyAlignment="1">
      <alignment horizontal="center" vertical="top"/>
    </xf>
    <xf numFmtId="164" fontId="0" fillId="2" borderId="0" xfId="0" applyNumberFormat="1" applyBorder="1" applyAlignment="1">
      <alignment horizontal="center" vertical="top"/>
    </xf>
    <xf numFmtId="164" fontId="3" fillId="5" borderId="16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Border="1" applyAlignment="1">
      <alignment horizontal="center" vertical="top"/>
    </xf>
    <xf numFmtId="3" fontId="0" fillId="2" borderId="0" xfId="0" applyNumberFormat="1" applyBorder="1" applyAlignment="1">
      <alignment horizontal="center" vertical="top"/>
    </xf>
    <xf numFmtId="165" fontId="0" fillId="2" borderId="0" xfId="0" applyNumberFormat="1" applyBorder="1" applyAlignment="1">
      <alignment horizontal="center" vertical="top"/>
    </xf>
    <xf numFmtId="0" fontId="0" fillId="2" borderId="0" xfId="0" applyAlignment="1">
      <alignment textRotation="180"/>
    </xf>
  </cellXfs>
  <cellStyles count="6">
    <cellStyle name="Comma" xfId="4" builtinId="3"/>
    <cellStyle name="Comma 2" xfId="2" xr:uid="{03E3FBE4-B310-4AF6-9CA6-329EA926DEE9}"/>
    <cellStyle name="Hyperlink" xfId="5" builtinId="8"/>
    <cellStyle name="Normal" xfId="0" builtinId="0" customBuiltin="1"/>
    <cellStyle name="Normal 2" xfId="1" xr:uid="{984616E7-25A5-4319-B0B5-CA2E46AC856A}"/>
    <cellStyle name="Percent 2" xfId="3" xr:uid="{BB3935E1-BD3F-4484-8C7B-508B241C7FB1}"/>
  </cellStyles>
  <dxfs count="65"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0.249977111117893"/>
        </left>
        <right style="thin">
          <color theme="1" tint="0.249977111117893"/>
        </right>
        <top style="thin">
          <color theme="1" tint="0.249977111117893"/>
        </top>
        <bottom/>
        <vertical/>
        <horizontal/>
      </border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</border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/>
        <top style="thin">
          <color theme="1" tint="0.34998626667073579"/>
        </top>
        <bottom style="thin">
          <color theme="1" tint="0.34998626667073579"/>
        </bottom>
      </border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rgb="FF8A11F6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0.249977111117893"/>
        </left>
        <right style="thin">
          <color theme="1" tint="0.249977111117893"/>
        </right>
        <top/>
        <bottom/>
      </border>
    </dxf>
    <dxf>
      <font>
        <color theme="1" tint="0.34998626667073579"/>
      </font>
      <fill>
        <patternFill>
          <bgColor theme="1"/>
        </patternFill>
      </fill>
    </dxf>
    <dxf>
      <font>
        <color theme="1" tint="0.34998626667073579"/>
      </font>
    </dxf>
    <dxf>
      <font>
        <color theme="1" tint="0.499984740745262"/>
      </font>
      <fill>
        <patternFill patternType="solid">
          <bgColor theme="1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none"/>
      </font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164" formatCode="0.0%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/>
        <top style="thin">
          <color theme="1" tint="0.249977111117893"/>
        </top>
        <bottom style="thin">
          <color theme="1" tint="0.249977111117893"/>
        </bottom>
      </border>
    </dxf>
    <dxf>
      <numFmt numFmtId="164" formatCode="0.0%"/>
      <alignment horizontal="center" vertical="top" textRotation="0" wrapText="0" indent="0" justifyLastLine="0" shrinkToFit="0" readingOrder="0"/>
    </dxf>
    <dxf>
      <alignment horizontal="center" vertical="top" textRotation="0" indent="0" justifyLastLine="0" shrinkToFit="0" readingOrder="0"/>
    </dxf>
    <dxf>
      <alignment horizontal="left" vertical="top" textRotation="0" wrapText="0" relativeIndent="1" justifyLastLine="0" shrinkToFit="0" readingOrder="0"/>
    </dxf>
    <dxf>
      <alignment horizontal="center" vertical="top" textRotation="0" wrapText="0" indent="0" justifyLastLine="0" shrinkToFit="0" readingOrder="0"/>
    </dxf>
    <dxf>
      <border>
        <bottom style="thin">
          <color theme="1" tint="0.249977111117893"/>
        </bottom>
      </border>
    </dxf>
    <dxf>
      <fill>
        <patternFill patternType="solid">
          <fgColor theme="1" tint="0.249977111117893"/>
          <bgColor theme="1" tint="0.249977111117893"/>
        </patternFill>
      </fill>
    </dxf>
    <dxf>
      <fill>
        <patternFill>
          <bgColor theme="1"/>
        </patternFill>
      </fill>
    </dxf>
    <dxf>
      <fill>
        <patternFill patternType="solid">
          <fgColor theme="1" tint="0.249977111117893"/>
          <bgColor theme="1"/>
        </patternFill>
      </fill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left style="medium">
          <color theme="0"/>
        </left>
      </border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right style="medium">
          <color theme="0"/>
        </right>
      </border>
    </dxf>
    <dxf>
      <font>
        <b/>
        <color theme="0"/>
      </font>
      <fill>
        <patternFill patternType="solid">
          <fgColor theme="1" tint="0.14999847407452621"/>
          <bgColor theme="1" tint="0.14999847407452621"/>
        </patternFill>
      </fill>
      <border>
        <top style="medium">
          <color theme="0"/>
        </top>
      </border>
    </dxf>
    <dxf>
      <font>
        <strike val="0"/>
        <color theme="0"/>
      </font>
      <fill>
        <patternFill patternType="solid">
          <fgColor theme="1"/>
          <bgColor rgb="FF2A6099"/>
        </patternFill>
      </fill>
      <border>
        <bottom style="medium">
          <color theme="0"/>
        </bottom>
      </border>
    </dxf>
    <dxf>
      <font>
        <color theme="0"/>
      </font>
      <fill>
        <patternFill patternType="solid">
          <fgColor theme="1" tint="4.9989318521683403E-2"/>
          <bgColor theme="1" tint="0.44999542222357858"/>
        </patternFill>
      </fill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 style="thin">
          <color theme="1" tint="0.24994659260841701"/>
        </vertical>
        <horizontal style="thin">
          <color theme="1" tint="0.24994659260841701"/>
        </horizontal>
      </border>
    </dxf>
  </dxfs>
  <tableStyles count="1" defaultTableStyle="TableStyleMedium9" defaultPivotStyle="PivotStyleMedium4">
    <tableStyle name="TableStyleDarker" pivot="0" count="8" xr9:uid="{6808BEA3-E65F-4F4F-A6CC-D0226D87DD56}">
      <tableStyleElement type="wholeTable" dxfId="64"/>
      <tableStyleElement type="headerRow" dxfId="63"/>
      <tableStyleElement type="totalRow" dxfId="62"/>
      <tableStyleElement type="firstColumn" dxfId="61"/>
      <tableStyleElement type="lastColumn" dxfId="60"/>
      <tableStyleElement type="firstRowStripe" dxfId="59"/>
      <tableStyleElement type="secondRowStripe" dxfId="58"/>
      <tableStyleElement type="firstColumnStripe" dxfId="57"/>
    </tableStyle>
  </tableStyles>
  <colors>
    <mruColors>
      <color rgb="FFB08600"/>
      <color rgb="FF1665AB"/>
      <color rgb="FF7A0000"/>
      <color rgb="FF960000"/>
      <color rgb="FF813D05"/>
      <color rgb="FF381A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105537</xdr:colOff>
      <xdr:row>2</xdr:row>
      <xdr:rowOff>29337</xdr:rowOff>
    </xdr:from>
    <xdr:to>
      <xdr:col>2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C4C0CBF0-29DE-44B8-9127-C680F41864A1}"/>
            </a:ext>
          </a:extLst>
        </xdr:cNvPr>
        <xdr:cNvSpPr>
          <a:spLocks/>
        </xdr:cNvSpPr>
      </xdr:nvSpPr>
      <xdr:spPr>
        <a:xfrm>
          <a:off x="501777" y="151257"/>
          <a:ext cx="1899666" cy="5280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88392</xdr:colOff>
      <xdr:row>19</xdr:row>
      <xdr:rowOff>11430</xdr:rowOff>
    </xdr:from>
    <xdr:to>
      <xdr:col>2</xdr:col>
      <xdr:colOff>1679448</xdr:colOff>
      <xdr:row>19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5B6906FE-6E9D-463C-A0AD-F212F47F7E3E}"/>
            </a:ext>
          </a:extLst>
        </xdr:cNvPr>
        <xdr:cNvSpPr>
          <a:spLocks/>
        </xdr:cNvSpPr>
      </xdr:nvSpPr>
      <xdr:spPr>
        <a:xfrm>
          <a:off x="484632" y="15963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32</xdr:row>
      <xdr:rowOff>11430</xdr:rowOff>
    </xdr:from>
    <xdr:to>
      <xdr:col>2</xdr:col>
      <xdr:colOff>1679448</xdr:colOff>
      <xdr:row>32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682063F4-A4C2-4F64-8F8E-094E5645EB0E}"/>
            </a:ext>
          </a:extLst>
        </xdr:cNvPr>
        <xdr:cNvSpPr>
          <a:spLocks/>
        </xdr:cNvSpPr>
      </xdr:nvSpPr>
      <xdr:spPr>
        <a:xfrm>
          <a:off x="484632" y="19088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42</xdr:row>
      <xdr:rowOff>11430</xdr:rowOff>
    </xdr:from>
    <xdr:to>
      <xdr:col>2</xdr:col>
      <xdr:colOff>1679448</xdr:colOff>
      <xdr:row>42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AC67C131-2954-4CFA-9E37-C6E423132EE9}"/>
            </a:ext>
          </a:extLst>
        </xdr:cNvPr>
        <xdr:cNvSpPr>
          <a:spLocks/>
        </xdr:cNvSpPr>
      </xdr:nvSpPr>
      <xdr:spPr>
        <a:xfrm>
          <a:off x="484632" y="222123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54</xdr:row>
      <xdr:rowOff>11430</xdr:rowOff>
    </xdr:from>
    <xdr:to>
      <xdr:col>2</xdr:col>
      <xdr:colOff>1679448</xdr:colOff>
      <xdr:row>54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7FF653C8-3BA6-4081-8DB3-7EBAC6440ABF}"/>
            </a:ext>
          </a:extLst>
        </xdr:cNvPr>
        <xdr:cNvSpPr>
          <a:spLocks/>
        </xdr:cNvSpPr>
      </xdr:nvSpPr>
      <xdr:spPr>
        <a:xfrm>
          <a:off x="484632" y="25336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65</xdr:row>
      <xdr:rowOff>11430</xdr:rowOff>
    </xdr:from>
    <xdr:to>
      <xdr:col>2</xdr:col>
      <xdr:colOff>1679448</xdr:colOff>
      <xdr:row>65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5B07AEC1-FFA6-429C-B459-8804C7705E0F}"/>
            </a:ext>
          </a:extLst>
        </xdr:cNvPr>
        <xdr:cNvSpPr>
          <a:spLocks/>
        </xdr:cNvSpPr>
      </xdr:nvSpPr>
      <xdr:spPr>
        <a:xfrm>
          <a:off x="484632" y="28460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</xdr:row>
      <xdr:rowOff>11430</xdr:rowOff>
    </xdr:from>
    <xdr:to>
      <xdr:col>2</xdr:col>
      <xdr:colOff>1679448</xdr:colOff>
      <xdr:row>4</xdr:row>
      <xdr:rowOff>240030</xdr:rowOff>
    </xdr:to>
    <xdr:sp macro="[0]!ToggleSection" textlink="">
      <xdr:nvSpPr>
        <xdr:cNvPr id="8" name="Field Notes">
          <a:extLst>
            <a:ext uri="{FF2B5EF4-FFF2-40B4-BE49-F238E27FC236}">
              <a16:creationId xmlns:a16="http://schemas.microsoft.com/office/drawing/2014/main" id="{CA5B8358-D54C-4A3C-AEF3-C07655C01479}"/>
            </a:ext>
          </a:extLst>
        </xdr:cNvPr>
        <xdr:cNvSpPr>
          <a:spLocks/>
        </xdr:cNvSpPr>
      </xdr:nvSpPr>
      <xdr:spPr>
        <a:xfrm>
          <a:off x="484632" y="14058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12</xdr:row>
      <xdr:rowOff>11430</xdr:rowOff>
    </xdr:from>
    <xdr:to>
      <xdr:col>2</xdr:col>
      <xdr:colOff>1679448</xdr:colOff>
      <xdr:row>12</xdr:row>
      <xdr:rowOff>240030</xdr:rowOff>
    </xdr:to>
    <xdr:sp macro="[0]!ToggleSection" textlink="">
      <xdr:nvSpPr>
        <xdr:cNvPr id="9" name="Data Description">
          <a:extLst>
            <a:ext uri="{FF2B5EF4-FFF2-40B4-BE49-F238E27FC236}">
              <a16:creationId xmlns:a16="http://schemas.microsoft.com/office/drawing/2014/main" id="{C229DBD0-11CE-40AA-A1A1-AE1716716328}"/>
            </a:ext>
          </a:extLst>
        </xdr:cNvPr>
        <xdr:cNvSpPr>
          <a:spLocks/>
        </xdr:cNvSpPr>
      </xdr:nvSpPr>
      <xdr:spPr>
        <a:xfrm>
          <a:off x="484632" y="12839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95250</xdr:colOff>
      <xdr:row>30</xdr:row>
      <xdr:rowOff>95250</xdr:rowOff>
    </xdr:from>
    <xdr:to>
      <xdr:col>3</xdr:col>
      <xdr:colOff>1809750</xdr:colOff>
      <xdr:row>30</xdr:row>
      <xdr:rowOff>1809750</xdr:rowOff>
    </xdr:to>
    <xdr:pic>
      <xdr:nvPicPr>
        <xdr:cNvPr id="11" name="composition_total">
          <a:extLst>
            <a:ext uri="{FF2B5EF4-FFF2-40B4-BE49-F238E27FC236}">
              <a16:creationId xmlns:a16="http://schemas.microsoft.com/office/drawing/2014/main" id="{23A93483-F248-C035-0C35-7C2322F9FE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5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3</xdr:col>
      <xdr:colOff>95250</xdr:colOff>
      <xdr:row>40</xdr:row>
      <xdr:rowOff>95250</xdr:rowOff>
    </xdr:from>
    <xdr:to>
      <xdr:col>3</xdr:col>
      <xdr:colOff>1809750</xdr:colOff>
      <xdr:row>40</xdr:row>
      <xdr:rowOff>1809750</xdr:rowOff>
    </xdr:to>
    <xdr:pic>
      <xdr:nvPicPr>
        <xdr:cNvPr id="13" name="histogram_total">
          <a:extLst>
            <a:ext uri="{FF2B5EF4-FFF2-40B4-BE49-F238E27FC236}">
              <a16:creationId xmlns:a16="http://schemas.microsoft.com/office/drawing/2014/main" id="{8696FF3A-AB63-20C7-503B-9678D5FF67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59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30</xdr:row>
      <xdr:rowOff>95250</xdr:rowOff>
    </xdr:from>
    <xdr:to>
      <xdr:col>4</xdr:col>
      <xdr:colOff>1809750</xdr:colOff>
      <xdr:row>30</xdr:row>
      <xdr:rowOff>1809750</xdr:rowOff>
    </xdr:to>
    <xdr:pic>
      <xdr:nvPicPr>
        <xdr:cNvPr id="15" name="composition_speeding">
          <a:extLst>
            <a:ext uri="{FF2B5EF4-FFF2-40B4-BE49-F238E27FC236}">
              <a16:creationId xmlns:a16="http://schemas.microsoft.com/office/drawing/2014/main" id="{964E1528-48E4-C520-2FC4-CE1D9074A9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16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40</xdr:row>
      <xdr:rowOff>95250</xdr:rowOff>
    </xdr:from>
    <xdr:to>
      <xdr:col>4</xdr:col>
      <xdr:colOff>1809750</xdr:colOff>
      <xdr:row>40</xdr:row>
      <xdr:rowOff>1809750</xdr:rowOff>
    </xdr:to>
    <xdr:pic>
      <xdr:nvPicPr>
        <xdr:cNvPr id="17" name="histogram_speeding">
          <a:extLst>
            <a:ext uri="{FF2B5EF4-FFF2-40B4-BE49-F238E27FC236}">
              <a16:creationId xmlns:a16="http://schemas.microsoft.com/office/drawing/2014/main" id="{A2249959-CD7F-1571-74B3-3E2793F121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164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30</xdr:row>
      <xdr:rowOff>95250</xdr:rowOff>
    </xdr:from>
    <xdr:to>
      <xdr:col>5</xdr:col>
      <xdr:colOff>1809750</xdr:colOff>
      <xdr:row>30</xdr:row>
      <xdr:rowOff>1809750</xdr:rowOff>
    </xdr:to>
    <xdr:pic>
      <xdr:nvPicPr>
        <xdr:cNvPr id="19" name="composition_alcohol">
          <a:extLst>
            <a:ext uri="{FF2B5EF4-FFF2-40B4-BE49-F238E27FC236}">
              <a16:creationId xmlns:a16="http://schemas.microsoft.com/office/drawing/2014/main" id="{7B32187E-5930-3C92-54A0-C25D521209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06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40</xdr:row>
      <xdr:rowOff>95250</xdr:rowOff>
    </xdr:from>
    <xdr:to>
      <xdr:col>5</xdr:col>
      <xdr:colOff>1809750</xdr:colOff>
      <xdr:row>40</xdr:row>
      <xdr:rowOff>1809750</xdr:rowOff>
    </xdr:to>
    <xdr:pic>
      <xdr:nvPicPr>
        <xdr:cNvPr id="21" name="histogram_alcohol">
          <a:extLst>
            <a:ext uri="{FF2B5EF4-FFF2-40B4-BE49-F238E27FC236}">
              <a16:creationId xmlns:a16="http://schemas.microsoft.com/office/drawing/2014/main" id="{D6D2B3E1-CAF6-ED9E-C5CE-D663CF0F4B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069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30</xdr:row>
      <xdr:rowOff>95250</xdr:rowOff>
    </xdr:from>
    <xdr:to>
      <xdr:col>6</xdr:col>
      <xdr:colOff>1809750</xdr:colOff>
      <xdr:row>30</xdr:row>
      <xdr:rowOff>1809750</xdr:rowOff>
    </xdr:to>
    <xdr:pic>
      <xdr:nvPicPr>
        <xdr:cNvPr id="23" name="composition_not_distracted">
          <a:extLst>
            <a:ext uri="{FF2B5EF4-FFF2-40B4-BE49-F238E27FC236}">
              <a16:creationId xmlns:a16="http://schemas.microsoft.com/office/drawing/2014/main" id="{B42A98E0-0EE1-5931-5484-0B316490A4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797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40</xdr:row>
      <xdr:rowOff>95250</xdr:rowOff>
    </xdr:from>
    <xdr:to>
      <xdr:col>6</xdr:col>
      <xdr:colOff>1809750</xdr:colOff>
      <xdr:row>40</xdr:row>
      <xdr:rowOff>1809750</xdr:rowOff>
    </xdr:to>
    <xdr:pic>
      <xdr:nvPicPr>
        <xdr:cNvPr id="25" name="histogram_not_distracted">
          <a:extLst>
            <a:ext uri="{FF2B5EF4-FFF2-40B4-BE49-F238E27FC236}">
              <a16:creationId xmlns:a16="http://schemas.microsoft.com/office/drawing/2014/main" id="{94FAA245-6298-71E0-C08F-9D6639DCCA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7974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30</xdr:row>
      <xdr:rowOff>95250</xdr:rowOff>
    </xdr:from>
    <xdr:to>
      <xdr:col>7</xdr:col>
      <xdr:colOff>1809750</xdr:colOff>
      <xdr:row>30</xdr:row>
      <xdr:rowOff>1809750</xdr:rowOff>
    </xdr:to>
    <xdr:pic>
      <xdr:nvPicPr>
        <xdr:cNvPr id="27" name="composition_no_previous">
          <a:extLst>
            <a:ext uri="{FF2B5EF4-FFF2-40B4-BE49-F238E27FC236}">
              <a16:creationId xmlns:a16="http://schemas.microsoft.com/office/drawing/2014/main" id="{2D09A408-B96A-C258-83F4-7E387503B9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87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40</xdr:row>
      <xdr:rowOff>95250</xdr:rowOff>
    </xdr:from>
    <xdr:to>
      <xdr:col>7</xdr:col>
      <xdr:colOff>1809750</xdr:colOff>
      <xdr:row>40</xdr:row>
      <xdr:rowOff>1809750</xdr:rowOff>
    </xdr:to>
    <xdr:pic>
      <xdr:nvPicPr>
        <xdr:cNvPr id="29" name="histogram_no_previous">
          <a:extLst>
            <a:ext uri="{FF2B5EF4-FFF2-40B4-BE49-F238E27FC236}">
              <a16:creationId xmlns:a16="http://schemas.microsoft.com/office/drawing/2014/main" id="{06361BC1-AED8-97D5-A36E-BC5512581F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9879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8</xdr:col>
      <xdr:colOff>95250</xdr:colOff>
      <xdr:row>30</xdr:row>
      <xdr:rowOff>95250</xdr:rowOff>
    </xdr:from>
    <xdr:to>
      <xdr:col>8</xdr:col>
      <xdr:colOff>1809750</xdr:colOff>
      <xdr:row>30</xdr:row>
      <xdr:rowOff>1809750</xdr:rowOff>
    </xdr:to>
    <xdr:pic>
      <xdr:nvPicPr>
        <xdr:cNvPr id="31" name="composition_ins_premium">
          <a:extLst>
            <a:ext uri="{FF2B5EF4-FFF2-40B4-BE49-F238E27FC236}">
              <a16:creationId xmlns:a16="http://schemas.microsoft.com/office/drawing/2014/main" id="{20EECC01-4DD8-D428-5E60-FF6CB3CB1D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178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8</xdr:col>
      <xdr:colOff>95250</xdr:colOff>
      <xdr:row>40</xdr:row>
      <xdr:rowOff>95250</xdr:rowOff>
    </xdr:from>
    <xdr:to>
      <xdr:col>8</xdr:col>
      <xdr:colOff>1809750</xdr:colOff>
      <xdr:row>40</xdr:row>
      <xdr:rowOff>1809750</xdr:rowOff>
    </xdr:to>
    <xdr:pic>
      <xdr:nvPicPr>
        <xdr:cNvPr id="33" name="histogram_ins_premium">
          <a:extLst>
            <a:ext uri="{FF2B5EF4-FFF2-40B4-BE49-F238E27FC236}">
              <a16:creationId xmlns:a16="http://schemas.microsoft.com/office/drawing/2014/main" id="{89D46A47-8554-5D6C-1474-069FA42715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1784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9</xdr:col>
      <xdr:colOff>95250</xdr:colOff>
      <xdr:row>30</xdr:row>
      <xdr:rowOff>95250</xdr:rowOff>
    </xdr:from>
    <xdr:to>
      <xdr:col>9</xdr:col>
      <xdr:colOff>1809750</xdr:colOff>
      <xdr:row>30</xdr:row>
      <xdr:rowOff>1809750</xdr:rowOff>
    </xdr:to>
    <xdr:pic>
      <xdr:nvPicPr>
        <xdr:cNvPr id="35" name="composition_ins_losses">
          <a:extLst>
            <a:ext uri="{FF2B5EF4-FFF2-40B4-BE49-F238E27FC236}">
              <a16:creationId xmlns:a16="http://schemas.microsoft.com/office/drawing/2014/main" id="{F590891C-F3F3-2AA0-440D-2515DB01EA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368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9</xdr:col>
      <xdr:colOff>95250</xdr:colOff>
      <xdr:row>40</xdr:row>
      <xdr:rowOff>95250</xdr:rowOff>
    </xdr:from>
    <xdr:to>
      <xdr:col>9</xdr:col>
      <xdr:colOff>1809750</xdr:colOff>
      <xdr:row>40</xdr:row>
      <xdr:rowOff>1809750</xdr:rowOff>
    </xdr:to>
    <xdr:pic>
      <xdr:nvPicPr>
        <xdr:cNvPr id="37" name="histogram_ins_losses">
          <a:extLst>
            <a:ext uri="{FF2B5EF4-FFF2-40B4-BE49-F238E27FC236}">
              <a16:creationId xmlns:a16="http://schemas.microsoft.com/office/drawing/2014/main" id="{288CC3AA-6B0D-71D3-A671-2A98DF33D0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3689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10</xdr:col>
      <xdr:colOff>95250</xdr:colOff>
      <xdr:row>30</xdr:row>
      <xdr:rowOff>95250</xdr:rowOff>
    </xdr:from>
    <xdr:to>
      <xdr:col>10</xdr:col>
      <xdr:colOff>1809750</xdr:colOff>
      <xdr:row>30</xdr:row>
      <xdr:rowOff>1809750</xdr:rowOff>
    </xdr:to>
    <xdr:pic>
      <xdr:nvPicPr>
        <xdr:cNvPr id="39" name="composition_abbrev">
          <a:extLst>
            <a:ext uri="{FF2B5EF4-FFF2-40B4-BE49-F238E27FC236}">
              <a16:creationId xmlns:a16="http://schemas.microsoft.com/office/drawing/2014/main" id="{2E470A2B-7528-2CCA-6081-844D909718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5594330" y="2122170"/>
          <a:ext cx="1714500" cy="17145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D943D0B-48BC-466F-AB69-8508D54949C1}" name="tbl_Overview" displayName="tbl_Overview" ref="B10:AA18" totalsRowShown="0" headerRowDxfId="13" dataDxfId="55" headerRowBorderDxfId="56" headerRowCellStyle="Normal 2">
  <autoFilter ref="B10:AA18" xr:uid="{7EC467B7-DE9E-48DF-95B5-2995F1F6DE8F}"/>
  <tableColumns count="26">
    <tableColumn id="1" xr3:uid="{CDAE6949-9186-42E8-AEBE-1928381A0155}" name="Field" dataDxfId="54" dataCellStyle="Normal 2"/>
    <tableColumn id="2" xr3:uid="{24D139B7-BFC8-4DD9-8DE4-2245810E04F3}" name="Definition" dataDxfId="9" dataCellStyle="Normal 2">
      <calculatedColumnFormula>IF(INDEX(Definitions,1,MATCH(tbl_Overview[[#This Row],[Field]],Headers,0))="Definition","",INDEX(Definitions,1,MATCH(tbl_Overview[[#This Row],[Field]],Headers,0)))</calculatedColumnFormula>
    </tableColumn>
    <tableColumn id="3" xr3:uid="{92B45608-BAB5-470F-8B3E-2910EF660813}" name="Field Notes" dataDxfId="8" dataCellStyle="Normal 2">
      <calculatedColumnFormula>IF(INDEX(Notes,1,MATCH(tbl_Overview[[#This Row],[Field]],Headers,0))="Notes","",INDEX(Notes,1,MATCH(tbl_Overview[[#This Row],[Field]],Headers,0)))</calculatedColumnFormula>
    </tableColumn>
    <tableColumn id="4" xr3:uid="{8387EFA9-4555-4DF4-B699-541F401C46D0}" name="Data type" dataDxfId="53"/>
    <tableColumn id="8" xr3:uid="{30CDB1E0-924C-48B4-82F4-9B3E3228BE95}" name="Distinct %" dataDxfId="52"/>
    <tableColumn id="12" xr3:uid="{03824906-BEA5-4B63-A981-21F959B6439E}" name="Missing %" dataDxfId="51" dataCellStyle="Percent 2"/>
    <tableColumn id="6" xr3:uid="{8DFFE5A0-8676-4576-AB4D-97E8B31EC097}" name="Memory Usage %" dataDxfId="50" dataCellStyle="Percent 2"/>
    <tableColumn id="5" xr3:uid="{DD50C3DA-F4A8-40F0-AFBD-DBF916650F7E}" name="Memory Usage" dataDxfId="49"/>
    <tableColumn id="7" xr3:uid="{A0CD56D0-07EF-46CA-BC46-D54CD5E746C7}" name="Distinct" dataDxfId="48"/>
    <tableColumn id="9" xr3:uid="{1C848176-6AC1-44A6-9B3B-F1C9E8BC32EA}" name="Count" dataDxfId="47"/>
    <tableColumn id="10" xr3:uid="{6C6E6A37-4969-459F-AC39-2193366810E2}" name="Count %" dataDxfId="46"/>
    <tableColumn id="11" xr3:uid="{CD47252D-0307-4513-AF7C-13CC4AA1FCD9}" name="Missing" dataDxfId="45"/>
    <tableColumn id="13" xr3:uid="{2B45F7F8-CE35-48A6-BB27-9684B5D7936D}" name="Mean" dataDxfId="44"/>
    <tableColumn id="14" xr3:uid="{293386E4-1FA6-4340-9DC6-54CC26209C0A}" name="Median" dataDxfId="43"/>
    <tableColumn id="15" xr3:uid="{29252F5E-4163-4D62-89FC-FF85F6C4755C}" name="Mode" dataDxfId="42"/>
    <tableColumn id="16" xr3:uid="{69FFA3C1-FD1E-4395-AF2E-177FDFCDE62A}" name="Standard Deviation" dataDxfId="41"/>
    <tableColumn id="17" xr3:uid="{2AAB37E9-8AE2-4771-B92B-C04BFABA0B4E}" name="Variance" dataDxfId="40"/>
    <tableColumn id="18" xr3:uid="{07151E41-6633-4A65-A7E1-091F027DEF95}" name="Min" dataDxfId="39"/>
    <tableColumn id="19" xr3:uid="{41A1FD5D-4E5C-45B3-A0C7-1820F89F417F}" name="5%" dataDxfId="38"/>
    <tableColumn id="20" xr3:uid="{50D70984-5A2E-4A19-9F2B-5DA0502339BC}" name="25%" dataDxfId="37"/>
    <tableColumn id="21" xr3:uid="{75FF5489-8FC0-4894-83BC-802076BF1066}" name="50%" dataDxfId="36"/>
    <tableColumn id="22" xr3:uid="{B7FA20A8-EE17-470E-93AD-54011230C113}" name="75%" dataDxfId="35"/>
    <tableColumn id="23" xr3:uid="{378BE758-7A3F-4C04-A75B-FE899B1B0BAD}" name="95%" dataDxfId="34"/>
    <tableColumn id="24" xr3:uid="{818594E7-DC84-4229-81F6-97C1E2E93633}" name="Max" dataDxfId="33"/>
    <tableColumn id="25" xr3:uid="{D8116583-A886-47C1-85E2-D28AD96194AD}" name="Range" dataDxfId="32"/>
    <tableColumn id="26" xr3:uid="{D061AC6A-EAB2-461F-8AB8-E743DC68E666}" name="IQR" dataDxfId="31"/>
  </tableColumns>
  <tableStyleInfo name="TableStyleDarker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6093A9-DDE8-4AD9-BA6A-7D2C7CB220CC}" name="tbl_SourceData" displayName="tbl_SourceData" ref="C78:L129" totalsRowShown="0" headerRowDxfId="21" dataDxfId="20">
  <autoFilter ref="C78:L129" xr:uid="{DB263373-2B4F-4302-9CF6-5012CE3F1A47}"/>
  <tableColumns count="10">
    <tableColumn id="1" xr3:uid="{B87F6371-B38F-4AA9-8A9B-F1D62600E38F}" name="Record List" dataDxfId="1" dataCellStyle="Normal 2"/>
    <tableColumn id="2" xr3:uid="{55547D6A-0C4F-44F3-8DA7-D9918F9ECA79}" name="total" dataDxfId="19"/>
    <tableColumn id="8" xr3:uid="{5CEA6B82-08F7-4BBF-BE74-DD211F1E2384}" name="speeding" dataDxfId="18"/>
    <tableColumn id="3" xr3:uid="{6C0B3232-D5C0-4185-AF99-A47484E561D2}" name="alcohol" dataDxfId="17"/>
    <tableColumn id="4" xr3:uid="{3A7A034E-89AE-4B27-9374-969F7D6AE555}" name="not_distracted" dataDxfId="7"/>
    <tableColumn id="5" xr3:uid="{02EBFBB6-FAA5-408E-935C-6B4C7713EA7F}" name="no_previous" dataDxfId="6"/>
    <tableColumn id="6" xr3:uid="{89E4B234-D73D-41D3-87DD-CB6887DE4616}" name="ins_premium" dataDxfId="5"/>
    <tableColumn id="7" xr3:uid="{ADD396F2-82D6-428B-B32E-89BDE8D1B787}" name="ins_losses" dataDxfId="4"/>
    <tableColumn id="9" xr3:uid="{30734E6D-3890-49BF-B041-65639105066F}" name="abbrev" dataDxfId="3"/>
    <tableColumn id="10" xr3:uid="{BA4864B8-497B-48C6-A3E5-2A1B68388BD9}" name="Record Hash" dataDxfId="2"/>
  </tableColumns>
  <tableStyleInfo name="TableStyleDarker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991F7-AD61-4B07-8E8E-100F383B401C}">
  <sheetPr codeName="Sheet1"/>
  <dimension ref="B2:AA18"/>
  <sheetViews>
    <sheetView zoomScale="85" zoomScaleNormal="85" workbookViewId="0">
      <selection activeCell="C10" sqref="C10"/>
    </sheetView>
  </sheetViews>
  <sheetFormatPr defaultRowHeight="14.4"/>
  <cols>
    <col min="1" max="1" width="2.77734375" customWidth="1"/>
    <col min="2" max="2" width="32" style="1" customWidth="1"/>
    <col min="3" max="3" width="42.33203125" style="1" customWidth="1"/>
    <col min="4" max="4" width="45.5546875" customWidth="1"/>
    <col min="5" max="5" width="17.6640625" customWidth="1"/>
    <col min="6" max="8" width="15.88671875" customWidth="1"/>
    <col min="9" max="27" width="13.5546875" customWidth="1"/>
  </cols>
  <sheetData>
    <row r="2" spans="2:27" ht="36.6" customHeight="1">
      <c r="B2" s="79" t="str">
        <f>Name</f>
        <v>car crashes</v>
      </c>
      <c r="C2"/>
      <c r="AA2" s="103"/>
    </row>
    <row r="3" spans="2:27" ht="10.050000000000001" customHeight="1">
      <c r="B3"/>
      <c r="C3"/>
      <c r="AA3" s="104"/>
    </row>
    <row r="4" spans="2:27">
      <c r="B4" s="88" t="s">
        <v>26</v>
      </c>
      <c r="C4" s="46">
        <v>51</v>
      </c>
      <c r="AA4" s="105"/>
    </row>
    <row r="5" spans="2:27">
      <c r="B5" s="88" t="s">
        <v>27</v>
      </c>
      <c r="C5" s="47">
        <v>8</v>
      </c>
    </row>
    <row r="6" spans="2:27">
      <c r="B6" s="90" t="s">
        <v>4</v>
      </c>
      <c r="C6" s="47" t="s">
        <v>62</v>
      </c>
      <c r="F6" s="44"/>
    </row>
    <row r="7" spans="2:27">
      <c r="B7" s="86" t="s">
        <v>7</v>
      </c>
      <c r="C7" s="43">
        <v>1</v>
      </c>
    </row>
    <row r="8" spans="2:27">
      <c r="B8" s="90" t="s">
        <v>10</v>
      </c>
      <c r="C8" s="45">
        <v>0</v>
      </c>
      <c r="D8" s="42"/>
    </row>
    <row r="9" spans="2:27" ht="24" customHeight="1">
      <c r="B9"/>
      <c r="C9"/>
    </row>
    <row r="10" spans="2:27" ht="34.950000000000003" customHeight="1">
      <c r="B10" s="113" t="s">
        <v>28</v>
      </c>
      <c r="C10" s="114" t="s">
        <v>29</v>
      </c>
      <c r="D10" s="114" t="s">
        <v>30</v>
      </c>
      <c r="E10" s="115" t="s">
        <v>3</v>
      </c>
      <c r="F10" s="115" t="s">
        <v>7</v>
      </c>
      <c r="G10" s="115" t="s">
        <v>10</v>
      </c>
      <c r="H10" s="115" t="s">
        <v>5</v>
      </c>
      <c r="I10" s="115" t="s">
        <v>4</v>
      </c>
      <c r="J10" s="115" t="s">
        <v>6</v>
      </c>
      <c r="K10" s="115" t="s">
        <v>8</v>
      </c>
      <c r="L10" s="115" t="s">
        <v>32</v>
      </c>
      <c r="M10" s="115" t="s">
        <v>9</v>
      </c>
      <c r="N10" s="115" t="s">
        <v>11</v>
      </c>
      <c r="O10" s="115" t="s">
        <v>12</v>
      </c>
      <c r="P10" s="115" t="s">
        <v>13</v>
      </c>
      <c r="Q10" s="115" t="s">
        <v>14</v>
      </c>
      <c r="R10" s="115" t="s">
        <v>15</v>
      </c>
      <c r="S10" s="115" t="s">
        <v>16</v>
      </c>
      <c r="T10" s="116" t="s">
        <v>33</v>
      </c>
      <c r="U10" s="116" t="s">
        <v>34</v>
      </c>
      <c r="V10" s="116" t="s">
        <v>35</v>
      </c>
      <c r="W10" s="116" t="s">
        <v>36</v>
      </c>
      <c r="X10" s="116" t="s">
        <v>37</v>
      </c>
      <c r="Y10" s="115" t="s">
        <v>17</v>
      </c>
      <c r="Z10" s="115" t="s">
        <v>18</v>
      </c>
      <c r="AA10" s="115" t="s">
        <v>19</v>
      </c>
    </row>
    <row r="11" spans="2:27">
      <c r="B11" s="60" t="s">
        <v>54</v>
      </c>
      <c r="C11" s="48" t="str">
        <f>IF(INDEX(Definitions,1,MATCH(tbl_Overview[[#This Row],[Field]],Headers,0))="Definition","",INDEX(Definitions,1,MATCH(tbl_Overview[[#This Row],[Field]],Headers,0)))</f>
        <v/>
      </c>
      <c r="D11" s="48" t="str">
        <f>IF(INDEX(Notes,1,MATCH(tbl_Overview[[#This Row],[Field]],Headers,0))="Notes","",INDEX(Notes,1,MATCH(tbl_Overview[[#This Row],[Field]],Headers,0)))</f>
        <v/>
      </c>
      <c r="E11" s="95" t="s">
        <v>63</v>
      </c>
      <c r="F11" s="50">
        <v>0.88235294117647001</v>
      </c>
      <c r="G11" s="51">
        <v>0</v>
      </c>
      <c r="H11" s="50">
        <v>0.10790796085691599</v>
      </c>
      <c r="I11" s="52">
        <v>408</v>
      </c>
      <c r="J11" s="52">
        <v>45</v>
      </c>
      <c r="K11" s="52">
        <v>51</v>
      </c>
      <c r="L11" s="53">
        <v>1</v>
      </c>
      <c r="M11" s="52">
        <v>0</v>
      </c>
      <c r="N11" s="54">
        <v>15.7901960784313</v>
      </c>
      <c r="O11" s="54">
        <v>15.6</v>
      </c>
      <c r="P11" s="54">
        <v>12.8</v>
      </c>
      <c r="Q11" s="54">
        <v>4.1220021786486596</v>
      </c>
      <c r="R11" s="54">
        <v>16.990901960784299</v>
      </c>
      <c r="S11" s="54">
        <v>5.9</v>
      </c>
      <c r="T11" s="54">
        <v>10.1</v>
      </c>
      <c r="U11" s="54">
        <v>12.75</v>
      </c>
      <c r="V11" s="54">
        <v>15.6</v>
      </c>
      <c r="W11" s="54">
        <v>18.5</v>
      </c>
      <c r="X11" s="54">
        <v>23.1</v>
      </c>
      <c r="Y11" s="54">
        <v>23.9</v>
      </c>
      <c r="Z11" s="54">
        <v>18</v>
      </c>
      <c r="AA11" s="54">
        <v>5.75</v>
      </c>
    </row>
    <row r="12" spans="2:27">
      <c r="B12" s="61" t="s">
        <v>55</v>
      </c>
      <c r="C12" s="49" t="str">
        <f>IF(INDEX(Definitions,1,MATCH(tbl_Overview[[#This Row],[Field]],Headers,0))="Definition","",INDEX(Definitions,1,MATCH(tbl_Overview[[#This Row],[Field]],Headers,0)))</f>
        <v/>
      </c>
      <c r="D12" s="49" t="str">
        <f>IF(INDEX(Notes,1,MATCH(tbl_Overview[[#This Row],[Field]],Headers,0))="Notes","",INDEX(Notes,1,MATCH(tbl_Overview[[#This Row],[Field]],Headers,0)))</f>
        <v/>
      </c>
      <c r="E12" s="95" t="s">
        <v>63</v>
      </c>
      <c r="F12" s="53">
        <v>0.98039215686274495</v>
      </c>
      <c r="G12" s="55">
        <v>0</v>
      </c>
      <c r="H12" s="56">
        <v>0.10790796085691599</v>
      </c>
      <c r="I12" s="52">
        <v>408</v>
      </c>
      <c r="J12" s="52">
        <v>50</v>
      </c>
      <c r="K12" s="52">
        <v>51</v>
      </c>
      <c r="L12" s="53">
        <v>1</v>
      </c>
      <c r="M12" s="52">
        <v>0</v>
      </c>
      <c r="N12" s="54">
        <v>4.9981960784313699</v>
      </c>
      <c r="O12" s="54">
        <v>4.6079999999999997</v>
      </c>
      <c r="P12" s="54">
        <v>4.968</v>
      </c>
      <c r="Q12" s="54">
        <v>2.0177470903917301</v>
      </c>
      <c r="R12" s="54">
        <v>4.0713033207843097</v>
      </c>
      <c r="S12" s="54">
        <v>1.79199999999999</v>
      </c>
      <c r="T12" s="54">
        <v>1.9715</v>
      </c>
      <c r="U12" s="54">
        <v>3.76649999999999</v>
      </c>
      <c r="V12" s="54">
        <v>4.6079999999999997</v>
      </c>
      <c r="W12" s="54">
        <v>6.4390000000000001</v>
      </c>
      <c r="X12" s="54">
        <v>8.7139999999999898</v>
      </c>
      <c r="Y12" s="54">
        <v>9.4499999999999993</v>
      </c>
      <c r="Z12" s="54">
        <v>7.6579999999999897</v>
      </c>
      <c r="AA12" s="54">
        <v>2.6724999999999999</v>
      </c>
    </row>
    <row r="13" spans="2:27">
      <c r="B13" s="61" t="s">
        <v>56</v>
      </c>
      <c r="C13" s="62" t="str">
        <f>IF(INDEX(Definitions,1,MATCH(tbl_Overview[[#This Row],[Field]],Headers,0))="Definition","",INDEX(Definitions,1,MATCH(tbl_Overview[[#This Row],[Field]],Headers,0)))</f>
        <v/>
      </c>
      <c r="D13" s="63" t="str">
        <f>IF(INDEX(Notes,1,MATCH(tbl_Overview[[#This Row],[Field]],Headers,0))="Notes","",INDEX(Notes,1,MATCH(tbl_Overview[[#This Row],[Field]],Headers,0)))</f>
        <v/>
      </c>
      <c r="E13" s="95" t="s">
        <v>63</v>
      </c>
      <c r="F13" s="53">
        <v>0.98039215686274495</v>
      </c>
      <c r="G13" s="55">
        <v>0</v>
      </c>
      <c r="H13" s="56">
        <v>0.10790796085691599</v>
      </c>
      <c r="I13" s="52">
        <v>408</v>
      </c>
      <c r="J13" s="52">
        <v>50</v>
      </c>
      <c r="K13" s="52">
        <v>51</v>
      </c>
      <c r="L13" s="53">
        <v>1</v>
      </c>
      <c r="M13" s="52">
        <v>0</v>
      </c>
      <c r="N13" s="54">
        <v>4.8867843137254896</v>
      </c>
      <c r="O13" s="54">
        <v>4.5540000000000003</v>
      </c>
      <c r="P13" s="54">
        <v>5.2080000000000002</v>
      </c>
      <c r="Q13" s="54">
        <v>1.7291329077167601</v>
      </c>
      <c r="R13" s="54">
        <v>2.98990061254902</v>
      </c>
      <c r="S13" s="54">
        <v>1.593</v>
      </c>
      <c r="T13" s="54">
        <v>2.827</v>
      </c>
      <c r="U13" s="54">
        <v>3.8940000000000001</v>
      </c>
      <c r="V13" s="54">
        <v>4.5540000000000003</v>
      </c>
      <c r="W13" s="54">
        <v>5.6039999999999903</v>
      </c>
      <c r="X13" s="54">
        <v>8.3940000000000001</v>
      </c>
      <c r="Y13" s="54">
        <v>10.038</v>
      </c>
      <c r="Z13" s="54">
        <v>8.4450000000000003</v>
      </c>
      <c r="AA13" s="54">
        <v>1.70999999999999</v>
      </c>
    </row>
    <row r="14" spans="2:27">
      <c r="B14" s="61" t="s">
        <v>57</v>
      </c>
      <c r="C14" s="62" t="str">
        <f>IF(INDEX(Definitions,1,MATCH(tbl_Overview[[#This Row],[Field]],Headers,0))="Definition","",INDEX(Definitions,1,MATCH(tbl_Overview[[#This Row],[Field]],Headers,0)))</f>
        <v/>
      </c>
      <c r="D14" s="63" t="str">
        <f>IF(INDEX(Notes,1,MATCH(tbl_Overview[[#This Row],[Field]],Headers,0))="Notes","",INDEX(Notes,1,MATCH(tbl_Overview[[#This Row],[Field]],Headers,0)))</f>
        <v/>
      </c>
      <c r="E14" s="95" t="s">
        <v>63</v>
      </c>
      <c r="F14" s="53">
        <v>0.98039215686274495</v>
      </c>
      <c r="G14" s="122">
        <v>0</v>
      </c>
      <c r="H14" s="56">
        <v>0.10790796085691599</v>
      </c>
      <c r="I14" s="52">
        <v>408</v>
      </c>
      <c r="J14" s="52">
        <v>50</v>
      </c>
      <c r="K14" s="52">
        <v>51</v>
      </c>
      <c r="L14" s="53">
        <v>1</v>
      </c>
      <c r="M14" s="52">
        <v>0</v>
      </c>
      <c r="N14" s="54">
        <v>13.5731764705882</v>
      </c>
      <c r="O14" s="54">
        <v>13.856999999999999</v>
      </c>
      <c r="P14" s="54">
        <v>14.093999999999999</v>
      </c>
      <c r="Q14" s="54">
        <v>4.5089770844655304</v>
      </c>
      <c r="R14" s="54">
        <v>20.330874348235199</v>
      </c>
      <c r="S14" s="54">
        <v>1.76</v>
      </c>
      <c r="T14" s="54">
        <v>6.5170000000000003</v>
      </c>
      <c r="U14" s="54">
        <v>10.4779999999999</v>
      </c>
      <c r="V14" s="54">
        <v>13.856999999999999</v>
      </c>
      <c r="W14" s="54">
        <v>16.14</v>
      </c>
      <c r="X14" s="54">
        <v>22</v>
      </c>
      <c r="Y14" s="54">
        <v>23.661000000000001</v>
      </c>
      <c r="Z14" s="54">
        <v>21.901</v>
      </c>
      <c r="AA14" s="54">
        <v>5.6619999999999999</v>
      </c>
    </row>
    <row r="15" spans="2:27">
      <c r="B15" s="61" t="s">
        <v>58</v>
      </c>
      <c r="C15" s="62" t="str">
        <f>IF(INDEX(Definitions,1,MATCH(tbl_Overview[[#This Row],[Field]],Headers,0))="Definition","",INDEX(Definitions,1,MATCH(tbl_Overview[[#This Row],[Field]],Headers,0)))</f>
        <v/>
      </c>
      <c r="D15" s="63" t="str">
        <f>IF(INDEX(Notes,1,MATCH(tbl_Overview[[#This Row],[Field]],Headers,0))="Notes","",INDEX(Notes,1,MATCH(tbl_Overview[[#This Row],[Field]],Headers,0)))</f>
        <v/>
      </c>
      <c r="E15" s="95" t="s">
        <v>63</v>
      </c>
      <c r="F15" s="53">
        <v>0.98039215686274495</v>
      </c>
      <c r="G15" s="122">
        <v>0</v>
      </c>
      <c r="H15" s="56">
        <v>0.10790796085691599</v>
      </c>
      <c r="I15" s="52">
        <v>408</v>
      </c>
      <c r="J15" s="52">
        <v>50</v>
      </c>
      <c r="K15" s="52">
        <v>51</v>
      </c>
      <c r="L15" s="53">
        <v>1</v>
      </c>
      <c r="M15" s="52">
        <v>0</v>
      </c>
      <c r="N15" s="54">
        <v>14.004882352941101</v>
      </c>
      <c r="O15" s="54">
        <v>13.775</v>
      </c>
      <c r="P15" s="54">
        <v>12.92</v>
      </c>
      <c r="Q15" s="54">
        <v>3.7646718988355801</v>
      </c>
      <c r="R15" s="54">
        <v>14.172754505882301</v>
      </c>
      <c r="S15" s="54">
        <v>5.9</v>
      </c>
      <c r="T15" s="54">
        <v>8.5919999999999899</v>
      </c>
      <c r="U15" s="54">
        <v>11.3479999999999</v>
      </c>
      <c r="V15" s="54">
        <v>13.775</v>
      </c>
      <c r="W15" s="54">
        <v>16.754999999999999</v>
      </c>
      <c r="X15" s="54">
        <v>20.321999999999999</v>
      </c>
      <c r="Y15" s="54">
        <v>21.28</v>
      </c>
      <c r="Z15" s="54">
        <v>15.38</v>
      </c>
      <c r="AA15" s="54">
        <v>5.407</v>
      </c>
    </row>
    <row r="16" spans="2:27">
      <c r="B16" s="61" t="s">
        <v>59</v>
      </c>
      <c r="C16" s="62" t="str">
        <f>IF(INDEX(Definitions,1,MATCH(tbl_Overview[[#This Row],[Field]],Headers,0))="Definition","",INDEX(Definitions,1,MATCH(tbl_Overview[[#This Row],[Field]],Headers,0)))</f>
        <v/>
      </c>
      <c r="D16" s="63" t="str">
        <f>IF(INDEX(Notes,1,MATCH(tbl_Overview[[#This Row],[Field]],Headers,0))="Notes","",INDEX(Notes,1,MATCH(tbl_Overview[[#This Row],[Field]],Headers,0)))</f>
        <v/>
      </c>
      <c r="E16" s="95" t="s">
        <v>63</v>
      </c>
      <c r="F16" s="53">
        <v>1</v>
      </c>
      <c r="G16" s="122">
        <v>0</v>
      </c>
      <c r="H16" s="56">
        <v>0.10790796085691599</v>
      </c>
      <c r="I16" s="52">
        <v>408</v>
      </c>
      <c r="J16" s="52">
        <v>51</v>
      </c>
      <c r="K16" s="52">
        <v>51</v>
      </c>
      <c r="L16" s="53">
        <v>1</v>
      </c>
      <c r="M16" s="52">
        <v>0</v>
      </c>
      <c r="N16" s="54">
        <v>886.957647058823</v>
      </c>
      <c r="O16" s="54">
        <v>858.97</v>
      </c>
      <c r="P16" s="54">
        <v>641.96</v>
      </c>
      <c r="Q16" s="54">
        <v>178.296284791223</v>
      </c>
      <c r="R16" s="54">
        <v>31789.5651703529</v>
      </c>
      <c r="S16" s="54">
        <v>641.96</v>
      </c>
      <c r="T16" s="54">
        <v>665.59500000000003</v>
      </c>
      <c r="U16" s="54">
        <v>768.43</v>
      </c>
      <c r="V16" s="54">
        <v>858.97</v>
      </c>
      <c r="W16" s="54">
        <v>1007.94499999999</v>
      </c>
      <c r="X16" s="54">
        <v>1254.0999999999999</v>
      </c>
      <c r="Y16" s="54">
        <v>1301.52</v>
      </c>
      <c r="Z16" s="54">
        <v>659.56</v>
      </c>
      <c r="AA16" s="54">
        <v>239.51499999999899</v>
      </c>
    </row>
    <row r="17" spans="2:27">
      <c r="B17" s="61" t="s">
        <v>60</v>
      </c>
      <c r="C17" s="62" t="str">
        <f>IF(INDEX(Definitions,1,MATCH(tbl_Overview[[#This Row],[Field]],Headers,0))="Definition","",INDEX(Definitions,1,MATCH(tbl_Overview[[#This Row],[Field]],Headers,0)))</f>
        <v/>
      </c>
      <c r="D17" s="63" t="str">
        <f>IF(INDEX(Notes,1,MATCH(tbl_Overview[[#This Row],[Field]],Headers,0))="Notes","",INDEX(Notes,1,MATCH(tbl_Overview[[#This Row],[Field]],Headers,0)))</f>
        <v/>
      </c>
      <c r="E17" s="95" t="s">
        <v>63</v>
      </c>
      <c r="F17" s="53">
        <v>1</v>
      </c>
      <c r="G17" s="122">
        <v>0</v>
      </c>
      <c r="H17" s="56">
        <v>0.10790796085691599</v>
      </c>
      <c r="I17" s="52">
        <v>408</v>
      </c>
      <c r="J17" s="52">
        <v>51</v>
      </c>
      <c r="K17" s="52">
        <v>51</v>
      </c>
      <c r="L17" s="53">
        <v>1</v>
      </c>
      <c r="M17" s="52">
        <v>0</v>
      </c>
      <c r="N17" s="54">
        <v>134.493137254901</v>
      </c>
      <c r="O17" s="54">
        <v>136.05000000000001</v>
      </c>
      <c r="P17" s="54">
        <v>82.75</v>
      </c>
      <c r="Q17" s="54">
        <v>24.835922490634001</v>
      </c>
      <c r="R17" s="54">
        <v>616.82304596078404</v>
      </c>
      <c r="S17" s="54">
        <v>82.75</v>
      </c>
      <c r="T17" s="54">
        <v>96.72</v>
      </c>
      <c r="U17" s="54">
        <v>114.645</v>
      </c>
      <c r="V17" s="54">
        <v>136.05000000000001</v>
      </c>
      <c r="W17" s="54">
        <v>151.87</v>
      </c>
      <c r="X17" s="54">
        <v>172.94</v>
      </c>
      <c r="Y17" s="54">
        <v>194.78</v>
      </c>
      <c r="Z17" s="54">
        <v>112.03</v>
      </c>
      <c r="AA17" s="54">
        <v>37.225000000000001</v>
      </c>
    </row>
    <row r="18" spans="2:27">
      <c r="B18" s="123" t="s">
        <v>61</v>
      </c>
      <c r="C18" s="124" t="str">
        <f>IF(INDEX(Definitions,1,MATCH(tbl_Overview[[#This Row],[Field]],Headers,0))="Definition","",INDEX(Definitions,1,MATCH(tbl_Overview[[#This Row],[Field]],Headers,0)))</f>
        <v/>
      </c>
      <c r="D18" s="125" t="str">
        <f>IF(INDEX(Notes,1,MATCH(tbl_Overview[[#This Row],[Field]],Headers,0))="Notes","",INDEX(Notes,1,MATCH(tbl_Overview[[#This Row],[Field]],Headers,0)))</f>
        <v/>
      </c>
      <c r="E18" s="126" t="s">
        <v>64</v>
      </c>
      <c r="F18" s="127">
        <v>1</v>
      </c>
      <c r="G18" s="128">
        <v>0</v>
      </c>
      <c r="H18" s="129">
        <v>0.13673631314467</v>
      </c>
      <c r="I18" s="130">
        <v>517</v>
      </c>
      <c r="J18" s="130">
        <v>51</v>
      </c>
      <c r="K18" s="130">
        <v>51</v>
      </c>
      <c r="L18" s="127">
        <v>1</v>
      </c>
      <c r="M18" s="130">
        <v>0</v>
      </c>
      <c r="N18" s="131"/>
      <c r="O18" s="131"/>
      <c r="P18" s="131" t="s">
        <v>65</v>
      </c>
      <c r="Q18" s="131"/>
      <c r="R18" s="131"/>
      <c r="S18" s="131"/>
      <c r="T18" s="131"/>
      <c r="U18" s="131"/>
      <c r="V18" s="131"/>
      <c r="W18" s="131"/>
      <c r="X18" s="131"/>
      <c r="Y18" s="131"/>
      <c r="Z18" s="131"/>
      <c r="AA18" s="131"/>
    </row>
  </sheetData>
  <conditionalFormatting sqref="C7:C8">
    <cfRule type="colorScale" priority="10">
      <colorScale>
        <cfvo type="num" val="0"/>
        <cfvo type="num" val="0.2"/>
        <color theme="1"/>
        <color rgb="FF7A0000"/>
      </colorScale>
    </cfRule>
  </conditionalFormatting>
  <conditionalFormatting sqref="F11:H18">
    <cfRule type="colorScale" priority="7">
      <colorScale>
        <cfvo type="num" val="0"/>
        <cfvo type="num" val="0.2"/>
        <color theme="1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35159-D796-4A3F-A58D-412F5FB36FD4}">
  <sheetPr codeName="Sheet3"/>
  <dimension ref="A1:N129"/>
  <sheetViews>
    <sheetView tabSelected="1" zoomScale="85" zoomScaleNormal="85" workbookViewId="0">
      <pane xSplit="3" ySplit="11" topLeftCell="D12" activePane="bottomRight" state="frozen"/>
      <selection activeCell="B1" sqref="B1"/>
      <selection pane="topRight" activeCell="F1" sqref="F1"/>
      <selection pane="bottomLeft" activeCell="B5" sqref="B5"/>
      <selection pane="bottomRight" activeCell="D11" sqref="D11"/>
    </sheetView>
  </sheetViews>
  <sheetFormatPr defaultRowHeight="14.4" outlineLevelRow="2"/>
  <cols>
    <col min="1" max="1" width="3" style="1" customWidth="1"/>
    <col min="2" max="2" width="2.77734375" style="109" customWidth="1"/>
    <col min="3" max="3" width="25.77734375" style="6" customWidth="1"/>
    <col min="4" max="11" width="27.77734375" style="1" customWidth="1"/>
    <col min="12" max="12" width="18" bestFit="1" customWidth="1"/>
  </cols>
  <sheetData>
    <row r="1" spans="1:14" ht="31.8" hidden="1" customHeight="1">
      <c r="A1" s="38"/>
      <c r="B1" s="38"/>
      <c r="C1" s="39" t="s">
        <v>39</v>
      </c>
      <c r="D1" s="96"/>
      <c r="E1" s="96"/>
      <c r="F1" s="96"/>
      <c r="G1" s="96"/>
      <c r="H1" s="96"/>
      <c r="I1" s="96"/>
      <c r="J1" s="96"/>
      <c r="K1" s="96"/>
      <c r="L1" s="96"/>
      <c r="M1" s="96"/>
      <c r="N1" s="96"/>
    </row>
    <row r="2" spans="1:14" ht="10.050000000000001" customHeight="1">
      <c r="A2" s="65"/>
      <c r="B2" s="107"/>
      <c r="C2" s="65"/>
      <c r="D2"/>
      <c r="E2"/>
    </row>
    <row r="3" spans="1:14" ht="36.6" customHeight="1">
      <c r="A3" s="67"/>
      <c r="B3" s="106" t="s">
        <v>0</v>
      </c>
      <c r="C3" s="79" t="s">
        <v>53</v>
      </c>
      <c r="D3"/>
      <c r="E3"/>
      <c r="F3" s="98"/>
      <c r="G3" s="98"/>
      <c r="H3" s="98"/>
      <c r="I3" s="98"/>
      <c r="J3" s="98"/>
      <c r="K3" s="98"/>
    </row>
    <row r="4" spans="1:14" ht="4.95" customHeight="1">
      <c r="A4" s="65"/>
      <c r="B4" s="107"/>
      <c r="C4" s="65"/>
      <c r="D4"/>
      <c r="E4"/>
      <c r="F4" s="97"/>
      <c r="G4" s="97"/>
      <c r="H4" s="97"/>
      <c r="I4" s="97"/>
      <c r="J4" s="97"/>
      <c r="K4" s="97"/>
    </row>
    <row r="5" spans="1:14" ht="19.95" customHeight="1">
      <c r="A5" s="67"/>
      <c r="B5" s="78" t="s">
        <v>0</v>
      </c>
      <c r="C5" s="80" t="s">
        <v>30</v>
      </c>
      <c r="D5"/>
      <c r="E5"/>
      <c r="F5" s="99"/>
      <c r="G5" s="99"/>
      <c r="H5" s="99"/>
      <c r="I5" s="99"/>
      <c r="J5" s="99"/>
      <c r="K5" s="99"/>
    </row>
    <row r="6" spans="1:14" ht="4.95" customHeight="1">
      <c r="A6" s="30"/>
      <c r="B6" s="73"/>
      <c r="C6" s="74"/>
      <c r="D6" s="67"/>
      <c r="E6" s="67"/>
      <c r="F6" s="67"/>
      <c r="G6" s="67"/>
      <c r="H6" s="67"/>
      <c r="I6" s="67"/>
      <c r="J6" s="67"/>
      <c r="K6" s="67"/>
    </row>
    <row r="7" spans="1:14" ht="37.799999999999997" hidden="1" customHeight="1" outlineLevel="1">
      <c r="A7" s="30"/>
      <c r="B7" s="73"/>
      <c r="C7" s="75" t="s">
        <v>38</v>
      </c>
      <c r="D7" s="72" t="s">
        <v>29</v>
      </c>
      <c r="E7" s="72" t="s">
        <v>29</v>
      </c>
      <c r="F7" s="72" t="s">
        <v>29</v>
      </c>
      <c r="G7" s="72" t="s">
        <v>29</v>
      </c>
      <c r="H7" s="72" t="s">
        <v>29</v>
      </c>
      <c r="I7" s="72" t="s">
        <v>29</v>
      </c>
      <c r="J7" s="72" t="s">
        <v>29</v>
      </c>
      <c r="K7" s="72" t="s">
        <v>29</v>
      </c>
    </row>
    <row r="8" spans="1:14" ht="10.050000000000001" hidden="1" customHeight="1" outlineLevel="1">
      <c r="A8" s="64"/>
      <c r="B8" s="76"/>
      <c r="C8" s="64"/>
      <c r="D8" s="65"/>
      <c r="E8" s="65"/>
      <c r="F8" s="65"/>
      <c r="G8" s="65"/>
      <c r="H8" s="65"/>
      <c r="I8" s="65"/>
      <c r="J8" s="65"/>
      <c r="K8" s="65"/>
    </row>
    <row r="9" spans="1:14" ht="37.799999999999997" hidden="1" customHeight="1" outlineLevel="1">
      <c r="A9" s="30"/>
      <c r="B9" s="108"/>
      <c r="C9" s="75" t="s">
        <v>1</v>
      </c>
      <c r="D9" s="72" t="s">
        <v>1</v>
      </c>
      <c r="E9" s="72" t="s">
        <v>1</v>
      </c>
      <c r="F9" s="72" t="s">
        <v>1</v>
      </c>
      <c r="G9" s="72" t="s">
        <v>1</v>
      </c>
      <c r="H9" s="72" t="s">
        <v>1</v>
      </c>
      <c r="I9" s="72" t="s">
        <v>1</v>
      </c>
      <c r="J9" s="72" t="s">
        <v>1</v>
      </c>
      <c r="K9" s="72" t="s">
        <v>1</v>
      </c>
    </row>
    <row r="10" spans="1:14" ht="4.95" hidden="1" customHeight="1" outlineLevel="1">
      <c r="B10" s="28"/>
      <c r="C10" s="3"/>
      <c r="D10" s="57"/>
      <c r="E10" s="57"/>
      <c r="F10" s="57"/>
      <c r="G10" s="57"/>
      <c r="H10" s="57"/>
      <c r="I10" s="57"/>
      <c r="J10" s="57"/>
      <c r="K10" s="57"/>
    </row>
    <row r="11" spans="1:14" s="94" customFormat="1" ht="30" customHeight="1" collapsed="1">
      <c r="A11" s="5"/>
      <c r="B11" s="117"/>
      <c r="C11" s="118" t="s">
        <v>2</v>
      </c>
      <c r="D11" s="119" t="s">
        <v>54</v>
      </c>
      <c r="E11" s="119" t="s">
        <v>55</v>
      </c>
      <c r="F11" s="119" t="s">
        <v>56</v>
      </c>
      <c r="G11" s="119" t="s">
        <v>57</v>
      </c>
      <c r="H11" s="119" t="s">
        <v>58</v>
      </c>
      <c r="I11" s="119" t="s">
        <v>59</v>
      </c>
      <c r="J11" s="119" t="s">
        <v>60</v>
      </c>
      <c r="K11" s="119" t="s">
        <v>61</v>
      </c>
      <c r="L11" s="94" t="s">
        <v>20</v>
      </c>
    </row>
    <row r="12" spans="1:14" ht="4.95" customHeight="1">
      <c r="A12"/>
      <c r="C12"/>
      <c r="D12"/>
      <c r="E12"/>
      <c r="F12"/>
      <c r="G12"/>
      <c r="H12"/>
      <c r="I12"/>
      <c r="J12"/>
      <c r="K12"/>
    </row>
    <row r="13" spans="1:14" ht="19.95" customHeight="1" outlineLevel="1">
      <c r="A13" s="67"/>
      <c r="B13" s="78" t="s">
        <v>0</v>
      </c>
      <c r="C13" s="80" t="s">
        <v>52</v>
      </c>
      <c r="D13" s="66"/>
      <c r="E13" s="66"/>
      <c r="F13" s="66"/>
      <c r="G13" s="66"/>
      <c r="H13" s="66"/>
      <c r="I13" s="66"/>
      <c r="J13" s="66"/>
      <c r="K13" s="66"/>
    </row>
    <row r="14" spans="1:14" ht="4.95" customHeight="1" outlineLevel="1">
      <c r="A14" s="67"/>
      <c r="B14" s="69"/>
      <c r="C14" s="70"/>
      <c r="D14" s="67"/>
      <c r="E14" s="66"/>
      <c r="F14" s="66"/>
      <c r="G14" s="66"/>
      <c r="H14" s="66"/>
      <c r="I14" s="66"/>
      <c r="J14" s="66"/>
      <c r="K14" s="66"/>
    </row>
    <row r="15" spans="1:14" ht="84.6" hidden="1" customHeight="1" outlineLevel="2">
      <c r="A15" s="67"/>
      <c r="B15" s="69"/>
      <c r="C15" s="77"/>
      <c r="D15" s="111" t="s">
        <v>25</v>
      </c>
      <c r="E15" s="112"/>
      <c r="F15" s="66"/>
      <c r="G15" s="66"/>
      <c r="H15" s="66"/>
      <c r="I15" s="66"/>
      <c r="J15" s="66"/>
      <c r="K15" s="66"/>
    </row>
    <row r="16" spans="1:14" ht="10.050000000000001" hidden="1" customHeight="1" outlineLevel="2">
      <c r="A16" s="67"/>
      <c r="B16" s="69"/>
      <c r="C16" s="71"/>
      <c r="D16" s="68"/>
      <c r="E16" s="67"/>
      <c r="F16" s="67"/>
      <c r="G16" s="67"/>
      <c r="H16" s="67"/>
      <c r="I16" s="67"/>
      <c r="J16" s="67"/>
      <c r="K16" s="67"/>
    </row>
    <row r="17" spans="1:11" hidden="1" outlineLevel="2">
      <c r="A17" s="67"/>
      <c r="B17" s="69"/>
      <c r="C17" s="91" t="s">
        <v>26</v>
      </c>
      <c r="D17" s="93">
        <v>51</v>
      </c>
      <c r="E17" s="44"/>
      <c r="F17" s="44"/>
      <c r="G17" s="44"/>
      <c r="H17" s="44"/>
      <c r="I17" s="44"/>
      <c r="J17" s="44"/>
      <c r="K17" s="44"/>
    </row>
    <row r="18" spans="1:11" hidden="1" outlineLevel="2">
      <c r="A18" s="67"/>
      <c r="B18" s="69"/>
      <c r="C18" s="91" t="s">
        <v>46</v>
      </c>
      <c r="D18" s="93">
        <v>8</v>
      </c>
      <c r="E18" s="44"/>
      <c r="F18" s="44"/>
      <c r="G18" s="44"/>
      <c r="H18" s="44"/>
      <c r="I18" s="44"/>
      <c r="J18" s="44"/>
      <c r="K18" s="44"/>
    </row>
    <row r="19" spans="1:11" ht="4.95" hidden="1" customHeight="1" outlineLevel="2">
      <c r="A19" s="67"/>
      <c r="B19" s="69"/>
      <c r="C19" s="71"/>
      <c r="D19" s="68"/>
      <c r="E19"/>
      <c r="F19"/>
      <c r="G19"/>
      <c r="H19"/>
      <c r="I19"/>
      <c r="J19"/>
      <c r="K19"/>
    </row>
    <row r="20" spans="1:11" ht="19.95" customHeight="1" outlineLevel="1" collapsed="1">
      <c r="B20" s="78" t="s">
        <v>0</v>
      </c>
      <c r="C20" s="80" t="s">
        <v>51</v>
      </c>
      <c r="D20" s="92"/>
      <c r="E20"/>
      <c r="F20"/>
      <c r="G20"/>
      <c r="H20"/>
      <c r="I20" s="132"/>
      <c r="J20"/>
      <c r="K20"/>
    </row>
    <row r="21" spans="1:11" ht="4.95" customHeight="1" outlineLevel="1">
      <c r="B21" s="9"/>
      <c r="C21" s="33"/>
      <c r="D21" s="33"/>
      <c r="E21" s="33"/>
      <c r="F21" s="33"/>
      <c r="G21" s="33"/>
      <c r="H21" s="33"/>
      <c r="I21" s="33"/>
      <c r="J21" s="33"/>
      <c r="K21" s="33"/>
    </row>
    <row r="22" spans="1:11" ht="14.4" hidden="1" customHeight="1" outlineLevel="2">
      <c r="A22" s="34"/>
      <c r="B22" s="35"/>
      <c r="C22" s="88" t="s">
        <v>3</v>
      </c>
      <c r="D22" s="11" t="s">
        <v>63</v>
      </c>
      <c r="E22" s="11" t="s">
        <v>63</v>
      </c>
      <c r="F22" s="11" t="s">
        <v>63</v>
      </c>
      <c r="G22" s="11" t="s">
        <v>63</v>
      </c>
      <c r="H22" s="11" t="s">
        <v>63</v>
      </c>
      <c r="I22" s="11" t="s">
        <v>63</v>
      </c>
      <c r="J22" s="11" t="s">
        <v>63</v>
      </c>
      <c r="K22" s="11" t="s">
        <v>64</v>
      </c>
    </row>
    <row r="23" spans="1:11" ht="14.4" hidden="1" customHeight="1" outlineLevel="2">
      <c r="A23" s="34"/>
      <c r="B23" s="36"/>
      <c r="C23" s="86" t="s">
        <v>7</v>
      </c>
      <c r="D23" s="37">
        <v>0.88235294117647001</v>
      </c>
      <c r="E23" s="37">
        <v>0.98039215686274495</v>
      </c>
      <c r="F23" s="37">
        <v>0.98039215686274495</v>
      </c>
      <c r="G23" s="37">
        <v>0.98039215686274495</v>
      </c>
      <c r="H23" s="37">
        <v>0.98039215686274495</v>
      </c>
      <c r="I23" s="37">
        <v>1</v>
      </c>
      <c r="J23" s="37">
        <v>1</v>
      </c>
      <c r="K23" s="37">
        <v>1</v>
      </c>
    </row>
    <row r="24" spans="1:11" ht="14.4" hidden="1" customHeight="1" outlineLevel="2">
      <c r="A24" s="34"/>
      <c r="B24" s="36"/>
      <c r="C24" s="86" t="s">
        <v>10</v>
      </c>
      <c r="D24" s="37">
        <v>0</v>
      </c>
      <c r="E24" s="37">
        <v>0</v>
      </c>
      <c r="F24" s="37">
        <v>0</v>
      </c>
      <c r="G24" s="37">
        <v>0</v>
      </c>
      <c r="H24" s="37">
        <v>0</v>
      </c>
      <c r="I24" s="37">
        <v>0</v>
      </c>
      <c r="J24" s="37">
        <v>0</v>
      </c>
      <c r="K24" s="37">
        <v>0</v>
      </c>
    </row>
    <row r="25" spans="1:11" ht="14.4" hidden="1" customHeight="1" outlineLevel="2">
      <c r="B25" s="12"/>
      <c r="C25" s="90" t="s">
        <v>5</v>
      </c>
      <c r="D25" s="37">
        <v>0.10790796085691599</v>
      </c>
      <c r="E25" s="37">
        <v>0.10790796085691599</v>
      </c>
      <c r="F25" s="37">
        <v>0.10790796085691599</v>
      </c>
      <c r="G25" s="37">
        <v>0.10790796085691599</v>
      </c>
      <c r="H25" s="37">
        <v>0.10790796085691599</v>
      </c>
      <c r="I25" s="37">
        <v>0.10790796085691599</v>
      </c>
      <c r="J25" s="37">
        <v>0.10790796085691599</v>
      </c>
      <c r="K25" s="37">
        <v>0.13673631314467</v>
      </c>
    </row>
    <row r="26" spans="1:11" ht="14.4" hidden="1" customHeight="1" outlineLevel="2">
      <c r="B26" s="12"/>
      <c r="C26" s="86" t="s">
        <v>4</v>
      </c>
      <c r="D26" s="11">
        <v>408</v>
      </c>
      <c r="E26" s="11">
        <v>408</v>
      </c>
      <c r="F26" s="11">
        <v>408</v>
      </c>
      <c r="G26" s="11">
        <v>408</v>
      </c>
      <c r="H26" s="11">
        <v>408</v>
      </c>
      <c r="I26" s="11">
        <v>408</v>
      </c>
      <c r="J26" s="11">
        <v>408</v>
      </c>
      <c r="K26" s="11">
        <v>517</v>
      </c>
    </row>
    <row r="27" spans="1:11" ht="14.4" hidden="1" customHeight="1" outlineLevel="2">
      <c r="B27" s="12"/>
      <c r="C27" s="86" t="s">
        <v>6</v>
      </c>
      <c r="D27" s="11">
        <v>45</v>
      </c>
      <c r="E27" s="11">
        <v>50</v>
      </c>
      <c r="F27" s="11">
        <v>50</v>
      </c>
      <c r="G27" s="11">
        <v>50</v>
      </c>
      <c r="H27" s="11">
        <v>50</v>
      </c>
      <c r="I27" s="11">
        <v>51</v>
      </c>
      <c r="J27" s="11">
        <v>51</v>
      </c>
      <c r="K27" s="11">
        <v>51</v>
      </c>
    </row>
    <row r="28" spans="1:11" ht="14.4" hidden="1" customHeight="1" outlineLevel="2">
      <c r="B28" s="12"/>
      <c r="C28" s="86" t="s">
        <v>8</v>
      </c>
      <c r="D28" s="11">
        <v>51</v>
      </c>
      <c r="E28" s="11">
        <v>51</v>
      </c>
      <c r="F28" s="11">
        <v>51</v>
      </c>
      <c r="G28" s="11">
        <v>51</v>
      </c>
      <c r="H28" s="11">
        <v>51</v>
      </c>
      <c r="I28" s="11">
        <v>51</v>
      </c>
      <c r="J28" s="11">
        <v>51</v>
      </c>
      <c r="K28" s="11">
        <v>51</v>
      </c>
    </row>
    <row r="29" spans="1:11" ht="14.4" hidden="1" customHeight="1" outlineLevel="2">
      <c r="B29" s="12"/>
      <c r="C29" s="90" t="s">
        <v>9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1:11" ht="4.95" hidden="1" customHeight="1" outlineLevel="2">
      <c r="B30" s="9"/>
      <c r="D30" s="6"/>
      <c r="E30" s="6"/>
      <c r="F30" s="6"/>
      <c r="G30" s="6"/>
      <c r="H30" s="6"/>
      <c r="I30" s="6"/>
      <c r="J30" s="6"/>
      <c r="K30" s="6"/>
    </row>
    <row r="31" spans="1:11" ht="150" hidden="1" customHeight="1" outlineLevel="2">
      <c r="B31" s="19"/>
      <c r="C31" s="15"/>
      <c r="D31" s="16"/>
      <c r="E31" s="16"/>
      <c r="F31" s="16"/>
      <c r="G31" s="16"/>
      <c r="H31" s="16"/>
      <c r="I31" s="16"/>
      <c r="J31" s="16"/>
      <c r="K31" s="16"/>
    </row>
    <row r="32" spans="1:11" ht="4.95" hidden="1" customHeight="1" outlineLevel="2">
      <c r="B32" s="9"/>
      <c r="D32" s="6"/>
      <c r="E32" s="6"/>
      <c r="F32" s="6"/>
      <c r="G32" s="6"/>
      <c r="H32" s="6"/>
      <c r="I32" s="6"/>
      <c r="J32" s="6"/>
      <c r="K32" s="6"/>
    </row>
    <row r="33" spans="1:11" ht="19.95" customHeight="1" outlineLevel="1" collapsed="1">
      <c r="B33" s="78" t="s">
        <v>0</v>
      </c>
      <c r="C33" s="80" t="s">
        <v>50</v>
      </c>
      <c r="D33" s="6"/>
      <c r="E33" s="6"/>
      <c r="F33" s="6"/>
      <c r="G33" s="6"/>
      <c r="H33" s="6"/>
      <c r="I33" s="6"/>
      <c r="J33" s="6"/>
      <c r="K33" s="6"/>
    </row>
    <row r="34" spans="1:11" ht="4.95" customHeight="1" outlineLevel="1">
      <c r="A34" s="18"/>
      <c r="B34" s="19"/>
      <c r="C34" s="20"/>
      <c r="D34" s="6"/>
      <c r="E34" s="6"/>
      <c r="F34" s="6"/>
      <c r="G34" s="6"/>
      <c r="H34" s="6"/>
      <c r="I34" s="6"/>
      <c r="J34" s="6"/>
      <c r="K34" s="6"/>
    </row>
    <row r="35" spans="1:11" ht="14.4" hidden="1" customHeight="1" outlineLevel="2">
      <c r="B35" s="10"/>
      <c r="C35" s="88" t="s">
        <v>11</v>
      </c>
      <c r="D35" s="21">
        <v>15.7901960784313</v>
      </c>
      <c r="E35" s="21">
        <v>4.9981960784313699</v>
      </c>
      <c r="F35" s="21">
        <v>4.8867843137254896</v>
      </c>
      <c r="G35" s="21">
        <v>13.5731764705882</v>
      </c>
      <c r="H35" s="21">
        <v>14.004882352941101</v>
      </c>
      <c r="I35" s="21">
        <v>886.957647058823</v>
      </c>
      <c r="J35" s="21">
        <v>134.493137254901</v>
      </c>
      <c r="K35" s="21"/>
    </row>
    <row r="36" spans="1:11" ht="14.4" hidden="1" customHeight="1" outlineLevel="2">
      <c r="B36" s="12"/>
      <c r="C36" s="89" t="s">
        <v>12</v>
      </c>
      <c r="D36" s="22">
        <v>15.6</v>
      </c>
      <c r="E36" s="22">
        <v>4.6079999999999997</v>
      </c>
      <c r="F36" s="22">
        <v>4.5540000000000003</v>
      </c>
      <c r="G36" s="22">
        <v>13.856999999999999</v>
      </c>
      <c r="H36" s="22">
        <v>13.775</v>
      </c>
      <c r="I36" s="22">
        <v>858.97</v>
      </c>
      <c r="J36" s="22">
        <v>136.05000000000001</v>
      </c>
      <c r="K36" s="22"/>
    </row>
    <row r="37" spans="1:11" ht="14.4" hidden="1" customHeight="1" outlineLevel="2">
      <c r="B37" s="12"/>
      <c r="C37" s="86" t="s">
        <v>13</v>
      </c>
      <c r="D37" s="13">
        <v>12.8</v>
      </c>
      <c r="E37" s="13">
        <v>4.968</v>
      </c>
      <c r="F37" s="13">
        <v>5.2080000000000002</v>
      </c>
      <c r="G37" s="13">
        <v>14.093999999999999</v>
      </c>
      <c r="H37" s="13">
        <v>12.92</v>
      </c>
      <c r="I37" s="13">
        <v>641.96</v>
      </c>
      <c r="J37" s="13">
        <v>82.75</v>
      </c>
      <c r="K37" s="13" t="s">
        <v>65</v>
      </c>
    </row>
    <row r="38" spans="1:11" ht="14.4" hidden="1" customHeight="1" outlineLevel="2">
      <c r="B38" s="12"/>
      <c r="C38" s="89" t="s">
        <v>14</v>
      </c>
      <c r="D38" s="23">
        <v>4.1220021786486596</v>
      </c>
      <c r="E38" s="23">
        <v>2.0177470903917301</v>
      </c>
      <c r="F38" s="23">
        <v>1.7291329077167601</v>
      </c>
      <c r="G38" s="23">
        <v>4.5089770844655304</v>
      </c>
      <c r="H38" s="23">
        <v>3.7646718988355801</v>
      </c>
      <c r="I38" s="23">
        <v>178.296284791223</v>
      </c>
      <c r="J38" s="23">
        <v>24.835922490634001</v>
      </c>
      <c r="K38" s="23"/>
    </row>
    <row r="39" spans="1:11" ht="14.4" hidden="1" customHeight="1" outlineLevel="2">
      <c r="B39" s="12"/>
      <c r="C39" s="90" t="s">
        <v>15</v>
      </c>
      <c r="D39" s="21">
        <v>16.990901960784299</v>
      </c>
      <c r="E39" s="21">
        <v>4.0713033207843097</v>
      </c>
      <c r="F39" s="21">
        <v>2.98990061254902</v>
      </c>
      <c r="G39" s="21">
        <v>20.330874348235199</v>
      </c>
      <c r="H39" s="21">
        <v>14.172754505882301</v>
      </c>
      <c r="I39" s="21">
        <v>31789.5651703529</v>
      </c>
      <c r="J39" s="21">
        <v>616.82304596078404</v>
      </c>
      <c r="K39" s="21"/>
    </row>
    <row r="40" spans="1:11" ht="4.95" hidden="1" customHeight="1" outlineLevel="2">
      <c r="B40" s="9"/>
      <c r="D40" s="6"/>
      <c r="E40" s="6"/>
      <c r="F40" s="6"/>
      <c r="G40" s="6"/>
      <c r="H40" s="6"/>
      <c r="I40" s="6"/>
      <c r="J40" s="6"/>
      <c r="K40" s="6"/>
    </row>
    <row r="41" spans="1:11" ht="150" hidden="1" customHeight="1" outlineLevel="2">
      <c r="A41" s="18"/>
      <c r="B41" s="19"/>
      <c r="C41" s="15"/>
      <c r="D41" s="16"/>
      <c r="E41" s="16"/>
      <c r="F41" s="16"/>
      <c r="G41" s="16"/>
      <c r="H41" s="16"/>
      <c r="I41" s="16"/>
      <c r="J41" s="16"/>
      <c r="K41" s="16"/>
    </row>
    <row r="42" spans="1:11" ht="4.95" hidden="1" customHeight="1" outlineLevel="2">
      <c r="A42" s="18"/>
      <c r="B42" s="19"/>
      <c r="C42" s="24"/>
      <c r="D42" s="6"/>
      <c r="E42" s="6"/>
      <c r="F42" s="6"/>
      <c r="G42" s="6"/>
      <c r="H42" s="6"/>
      <c r="I42" s="6"/>
      <c r="J42" s="6"/>
      <c r="K42" s="6"/>
    </row>
    <row r="43" spans="1:11" ht="19.95" customHeight="1" outlineLevel="1" collapsed="1">
      <c r="B43" s="78" t="s">
        <v>0</v>
      </c>
      <c r="C43" s="80" t="s">
        <v>49</v>
      </c>
      <c r="D43" s="6"/>
      <c r="E43" s="6"/>
      <c r="F43" s="6"/>
      <c r="G43" s="6"/>
      <c r="H43" s="6"/>
      <c r="I43" s="6"/>
      <c r="J43" s="6"/>
      <c r="K43" s="6"/>
    </row>
    <row r="44" spans="1:11" ht="4.95" customHeight="1" outlineLevel="1">
      <c r="A44" s="18"/>
      <c r="B44" s="19"/>
      <c r="C44" s="20"/>
      <c r="D44" s="6"/>
      <c r="E44" s="6"/>
      <c r="F44" s="6"/>
      <c r="G44" s="6"/>
      <c r="H44" s="6"/>
      <c r="I44" s="6"/>
      <c r="J44" s="6"/>
      <c r="K44" s="6"/>
    </row>
    <row r="45" spans="1:11" ht="14.4" hidden="1" customHeight="1" outlineLevel="2">
      <c r="B45" s="10"/>
      <c r="C45" s="83" t="s">
        <v>16</v>
      </c>
      <c r="D45" s="23">
        <v>5.9</v>
      </c>
      <c r="E45" s="23">
        <v>1.79199999999999</v>
      </c>
      <c r="F45" s="23">
        <v>1.593</v>
      </c>
      <c r="G45" s="23">
        <v>1.76</v>
      </c>
      <c r="H45" s="23">
        <v>5.9</v>
      </c>
      <c r="I45" s="23">
        <v>641.96</v>
      </c>
      <c r="J45" s="23">
        <v>82.75</v>
      </c>
      <c r="K45" s="23"/>
    </row>
    <row r="46" spans="1:11" ht="14.4" hidden="1" customHeight="1" outlineLevel="2">
      <c r="B46" s="9"/>
      <c r="C46" s="84">
        <v>0.05</v>
      </c>
      <c r="D46" s="21">
        <v>10.1</v>
      </c>
      <c r="E46" s="21">
        <v>1.9715</v>
      </c>
      <c r="F46" s="21">
        <v>2.827</v>
      </c>
      <c r="G46" s="21">
        <v>6.5170000000000003</v>
      </c>
      <c r="H46" s="21">
        <v>8.5919999999999899</v>
      </c>
      <c r="I46" s="21">
        <v>665.59500000000003</v>
      </c>
      <c r="J46" s="21">
        <v>96.72</v>
      </c>
      <c r="K46" s="21"/>
    </row>
    <row r="47" spans="1:11" ht="14.4" hidden="1" customHeight="1" outlineLevel="2">
      <c r="B47" s="9"/>
      <c r="C47" s="85">
        <v>0.25</v>
      </c>
      <c r="D47" s="23">
        <v>12.75</v>
      </c>
      <c r="E47" s="23">
        <v>3.76649999999999</v>
      </c>
      <c r="F47" s="23">
        <v>3.8940000000000001</v>
      </c>
      <c r="G47" s="23">
        <v>10.4779999999999</v>
      </c>
      <c r="H47" s="23">
        <v>11.3479999999999</v>
      </c>
      <c r="I47" s="23">
        <v>768.43</v>
      </c>
      <c r="J47" s="23">
        <v>114.645</v>
      </c>
      <c r="K47" s="23"/>
    </row>
    <row r="48" spans="1:11" ht="14.4" hidden="1" customHeight="1" outlineLevel="2">
      <c r="B48" s="9"/>
      <c r="C48" s="84">
        <v>0.5</v>
      </c>
      <c r="D48" s="21">
        <v>15.6</v>
      </c>
      <c r="E48" s="21">
        <v>4.6079999999999997</v>
      </c>
      <c r="F48" s="21">
        <v>4.5540000000000003</v>
      </c>
      <c r="G48" s="21">
        <v>13.856999999999999</v>
      </c>
      <c r="H48" s="21">
        <v>13.775</v>
      </c>
      <c r="I48" s="21">
        <v>858.97</v>
      </c>
      <c r="J48" s="21">
        <v>136.05000000000001</v>
      </c>
      <c r="K48" s="21"/>
    </row>
    <row r="49" spans="1:11" ht="14.4" hidden="1" customHeight="1" outlineLevel="2">
      <c r="B49" s="9"/>
      <c r="C49" s="85">
        <v>0.75</v>
      </c>
      <c r="D49" s="23">
        <v>18.5</v>
      </c>
      <c r="E49" s="23">
        <v>6.4390000000000001</v>
      </c>
      <c r="F49" s="23">
        <v>5.6039999999999903</v>
      </c>
      <c r="G49" s="23">
        <v>16.14</v>
      </c>
      <c r="H49" s="23">
        <v>16.754999999999999</v>
      </c>
      <c r="I49" s="23">
        <v>1007.94499999999</v>
      </c>
      <c r="J49" s="23">
        <v>151.87</v>
      </c>
      <c r="K49" s="23"/>
    </row>
    <row r="50" spans="1:11" ht="14.4" hidden="1" customHeight="1" outlineLevel="2">
      <c r="B50" s="9"/>
      <c r="C50" s="84">
        <v>0.95</v>
      </c>
      <c r="D50" s="21">
        <v>23.1</v>
      </c>
      <c r="E50" s="21">
        <v>8.7139999999999898</v>
      </c>
      <c r="F50" s="21">
        <v>8.3940000000000001</v>
      </c>
      <c r="G50" s="21">
        <v>22</v>
      </c>
      <c r="H50" s="21">
        <v>20.321999999999999</v>
      </c>
      <c r="I50" s="21">
        <v>1254.0999999999999</v>
      </c>
      <c r="J50" s="21">
        <v>172.94</v>
      </c>
      <c r="K50" s="21"/>
    </row>
    <row r="51" spans="1:11" ht="14.4" hidden="1" customHeight="1" outlineLevel="2">
      <c r="B51" s="9"/>
      <c r="C51" s="85" t="s">
        <v>17</v>
      </c>
      <c r="D51" s="23">
        <v>23.9</v>
      </c>
      <c r="E51" s="23">
        <v>9.4499999999999993</v>
      </c>
      <c r="F51" s="23">
        <v>10.038</v>
      </c>
      <c r="G51" s="23">
        <v>23.661000000000001</v>
      </c>
      <c r="H51" s="23">
        <v>21.28</v>
      </c>
      <c r="I51" s="23">
        <v>1301.52</v>
      </c>
      <c r="J51" s="23">
        <v>194.78</v>
      </c>
      <c r="K51" s="23"/>
    </row>
    <row r="52" spans="1:11" ht="14.4" hidden="1" customHeight="1" outlineLevel="2">
      <c r="B52" s="9"/>
      <c r="C52" s="86" t="s">
        <v>18</v>
      </c>
      <c r="D52" s="21">
        <v>18</v>
      </c>
      <c r="E52" s="21">
        <v>7.6579999999999897</v>
      </c>
      <c r="F52" s="21">
        <v>8.4450000000000003</v>
      </c>
      <c r="G52" s="21">
        <v>21.901</v>
      </c>
      <c r="H52" s="21">
        <v>15.38</v>
      </c>
      <c r="I52" s="21">
        <v>659.56</v>
      </c>
      <c r="J52" s="21">
        <v>112.03</v>
      </c>
      <c r="K52" s="21"/>
    </row>
    <row r="53" spans="1:11" ht="14.4" hidden="1" customHeight="1" outlineLevel="2">
      <c r="B53" s="9"/>
      <c r="C53" s="87" t="s">
        <v>19</v>
      </c>
      <c r="D53" s="23">
        <v>5.75</v>
      </c>
      <c r="E53" s="23">
        <v>2.6724999999999999</v>
      </c>
      <c r="F53" s="23">
        <v>1.70999999999999</v>
      </c>
      <c r="G53" s="23">
        <v>5.6619999999999999</v>
      </c>
      <c r="H53" s="23">
        <v>5.407</v>
      </c>
      <c r="I53" s="23">
        <v>239.51499999999899</v>
      </c>
      <c r="J53" s="23">
        <v>37.225000000000001</v>
      </c>
      <c r="K53" s="23"/>
    </row>
    <row r="54" spans="1:11" ht="4.95" hidden="1" customHeight="1" outlineLevel="2">
      <c r="B54" s="9"/>
      <c r="D54" s="6"/>
      <c r="E54" s="6"/>
      <c r="F54" s="6"/>
      <c r="G54" s="6"/>
      <c r="H54" s="6"/>
      <c r="I54" s="6"/>
      <c r="J54" s="6"/>
      <c r="K54" s="6"/>
    </row>
    <row r="55" spans="1:11" ht="19.95" customHeight="1" outlineLevel="1" collapsed="1">
      <c r="A55" s="28"/>
      <c r="B55" s="78" t="s">
        <v>0</v>
      </c>
      <c r="C55" s="80" t="s">
        <v>48</v>
      </c>
      <c r="D55" s="6"/>
      <c r="E55" s="6"/>
      <c r="F55" s="6"/>
      <c r="G55" s="6"/>
      <c r="H55" s="6"/>
      <c r="I55" s="6"/>
      <c r="J55" s="6"/>
      <c r="K55" s="6"/>
    </row>
    <row r="56" spans="1:11" ht="4.95" customHeight="1" outlineLevel="1">
      <c r="A56" s="28"/>
      <c r="B56" s="19"/>
      <c r="D56" s="6"/>
      <c r="E56" s="6"/>
      <c r="F56" s="6"/>
      <c r="G56" s="6"/>
      <c r="H56" s="6"/>
      <c r="I56" s="6"/>
      <c r="J56" s="6"/>
      <c r="K56" s="6"/>
    </row>
    <row r="57" spans="1:11" ht="14.4" hidden="1" customHeight="1" outlineLevel="2">
      <c r="A57" s="28"/>
      <c r="B57" s="28"/>
      <c r="C57" s="81" t="s">
        <v>40</v>
      </c>
      <c r="D57" s="59" t="b">
        <v>0</v>
      </c>
      <c r="E57" s="59" t="b">
        <v>0</v>
      </c>
      <c r="F57" s="59" t="b">
        <v>0</v>
      </c>
      <c r="G57" s="59" t="b">
        <v>0</v>
      </c>
      <c r="H57" s="59" t="b">
        <v>0</v>
      </c>
      <c r="I57" s="59" t="b">
        <v>0</v>
      </c>
      <c r="J57" s="59" t="b">
        <v>0</v>
      </c>
      <c r="K57" s="59" t="b">
        <v>0</v>
      </c>
    </row>
    <row r="58" spans="1:11" ht="14.4" hidden="1" customHeight="1" outlineLevel="2">
      <c r="A58" s="28"/>
      <c r="B58" s="28"/>
      <c r="C58" s="81" t="s">
        <v>41</v>
      </c>
      <c r="D58" s="59" t="b">
        <v>0</v>
      </c>
      <c r="E58" s="59" t="b">
        <v>0</v>
      </c>
      <c r="F58" s="59" t="b">
        <v>0</v>
      </c>
      <c r="G58" s="59" t="b">
        <v>0</v>
      </c>
      <c r="H58" s="59" t="b">
        <v>0</v>
      </c>
      <c r="I58" s="59" t="b">
        <v>0</v>
      </c>
      <c r="J58" s="59" t="b">
        <v>0</v>
      </c>
      <c r="K58" s="59" t="b">
        <v>0</v>
      </c>
    </row>
    <row r="59" spans="1:11" ht="14.4" hidden="1" customHeight="1" outlineLevel="2">
      <c r="A59" s="28"/>
      <c r="B59" s="28"/>
      <c r="C59" s="81" t="s">
        <v>42</v>
      </c>
      <c r="D59" s="59" t="b">
        <v>0</v>
      </c>
      <c r="E59" s="59" t="b">
        <v>0</v>
      </c>
      <c r="F59" s="59" t="b">
        <v>0</v>
      </c>
      <c r="G59" s="59" t="b">
        <v>0</v>
      </c>
      <c r="H59" s="59" t="b">
        <v>0</v>
      </c>
      <c r="I59" s="59" t="b">
        <v>0</v>
      </c>
      <c r="J59" s="59" t="b">
        <v>0</v>
      </c>
      <c r="K59" s="59" t="b">
        <v>0</v>
      </c>
    </row>
    <row r="60" spans="1:11" ht="14.4" hidden="1" customHeight="1" outlineLevel="2">
      <c r="A60" s="28"/>
      <c r="B60" s="28"/>
      <c r="C60" s="81" t="s">
        <v>43</v>
      </c>
      <c r="D60" s="59" t="b">
        <v>0</v>
      </c>
      <c r="E60" s="59" t="b">
        <v>0</v>
      </c>
      <c r="F60" s="59" t="b">
        <v>0</v>
      </c>
      <c r="G60" s="59" t="b">
        <v>0</v>
      </c>
      <c r="H60" s="59" t="b">
        <v>0</v>
      </c>
      <c r="I60" s="59" t="b">
        <v>0</v>
      </c>
      <c r="J60" s="59" t="b">
        <v>0</v>
      </c>
      <c r="K60" s="59" t="b">
        <v>0</v>
      </c>
    </row>
    <row r="61" spans="1:11" ht="14.4" hidden="1" customHeight="1" outlineLevel="2">
      <c r="A61" s="28"/>
      <c r="B61" s="28"/>
      <c r="C61" s="81" t="s">
        <v>44</v>
      </c>
      <c r="D61" s="59" t="b">
        <v>0</v>
      </c>
      <c r="E61" s="59" t="b">
        <v>0</v>
      </c>
      <c r="F61" s="59" t="b">
        <v>0</v>
      </c>
      <c r="G61" s="59" t="b">
        <v>0</v>
      </c>
      <c r="H61" s="59" t="b">
        <v>0</v>
      </c>
      <c r="I61" s="59" t="b">
        <v>0</v>
      </c>
      <c r="J61" s="59" t="b">
        <v>0</v>
      </c>
      <c r="K61" s="59" t="b">
        <v>0</v>
      </c>
    </row>
    <row r="62" spans="1:11" ht="14.4" hidden="1" customHeight="1" outlineLevel="2">
      <c r="A62" s="28"/>
      <c r="B62" s="28"/>
      <c r="C62" s="81" t="s">
        <v>45</v>
      </c>
      <c r="D62" s="59" t="b">
        <v>0</v>
      </c>
      <c r="E62" s="59" t="b">
        <v>0</v>
      </c>
      <c r="F62" s="59" t="b">
        <v>0</v>
      </c>
      <c r="G62" s="59" t="b">
        <v>0</v>
      </c>
      <c r="H62" s="59" t="b">
        <v>0</v>
      </c>
      <c r="I62" s="59" t="b">
        <v>0</v>
      </c>
      <c r="J62" s="59" t="b">
        <v>0</v>
      </c>
      <c r="K62" s="59" t="b">
        <v>0</v>
      </c>
    </row>
    <row r="63" spans="1:11" ht="14.4" hidden="1" customHeight="1" outlineLevel="2">
      <c r="A63" s="28"/>
      <c r="B63" s="28"/>
      <c r="C63" s="81" t="s">
        <v>22</v>
      </c>
      <c r="D63" s="59" t="b">
        <v>0</v>
      </c>
      <c r="E63" s="59" t="b">
        <v>0</v>
      </c>
      <c r="F63" s="59" t="b">
        <v>0</v>
      </c>
      <c r="G63" s="59" t="b">
        <v>0</v>
      </c>
      <c r="H63" s="59" t="b">
        <v>0</v>
      </c>
      <c r="I63" s="59" t="b">
        <v>0</v>
      </c>
      <c r="J63" s="59" t="b">
        <v>0</v>
      </c>
      <c r="K63" s="59" t="b">
        <v>0</v>
      </c>
    </row>
    <row r="64" spans="1:11" ht="14.4" hidden="1" customHeight="1" outlineLevel="2">
      <c r="B64" s="28"/>
      <c r="C64" s="82" t="s">
        <v>23</v>
      </c>
      <c r="D64" s="59" t="b">
        <v>0</v>
      </c>
      <c r="E64" s="59" t="b">
        <v>0</v>
      </c>
      <c r="F64" s="59" t="b">
        <v>0</v>
      </c>
      <c r="G64" s="59" t="b">
        <v>0</v>
      </c>
      <c r="H64" s="59" t="b">
        <v>0</v>
      </c>
      <c r="I64" s="59" t="b">
        <v>0</v>
      </c>
      <c r="J64" s="59" t="b">
        <v>0</v>
      </c>
      <c r="K64" s="59" t="b">
        <v>0</v>
      </c>
    </row>
    <row r="65" spans="1:12" ht="4.95" hidden="1" customHeight="1" outlineLevel="2">
      <c r="B65" s="19"/>
      <c r="D65" s="6"/>
      <c r="E65" s="6"/>
      <c r="F65" s="6"/>
      <c r="G65" s="6"/>
      <c r="H65" s="6"/>
      <c r="I65" s="6"/>
      <c r="J65" s="6"/>
      <c r="K65" s="6"/>
    </row>
    <row r="66" spans="1:12" ht="19.95" customHeight="1" outlineLevel="1" collapsed="1">
      <c r="A66" s="28"/>
      <c r="B66" s="78" t="s">
        <v>0</v>
      </c>
      <c r="C66" s="80" t="s">
        <v>47</v>
      </c>
      <c r="D66" s="6"/>
      <c r="E66" s="6"/>
      <c r="F66" s="6"/>
      <c r="G66" s="6"/>
      <c r="H66" s="6"/>
      <c r="I66" s="6"/>
      <c r="J66" s="6"/>
      <c r="K66" s="6"/>
    </row>
    <row r="67" spans="1:12" ht="4.95" customHeight="1">
      <c r="A67" s="28"/>
      <c r="B67" s="7"/>
      <c r="C67" s="8"/>
      <c r="D67" s="6"/>
      <c r="E67" s="6"/>
      <c r="F67" s="6"/>
      <c r="G67" s="6"/>
      <c r="H67" s="6"/>
      <c r="I67" s="6"/>
      <c r="J67" s="6"/>
      <c r="K67" s="6"/>
    </row>
    <row r="68" spans="1:12" ht="14.4" hidden="1" customHeight="1" outlineLevel="2">
      <c r="A68" s="28"/>
      <c r="B68" s="28"/>
      <c r="C68" s="32" t="str">
        <f>IF(COUNTIF(FieldList1, "&lt;&gt;FALSE") = 0,"",SUBSTITUTE(LOWER(C57)," ","_") &amp;" = ")</f>
        <v/>
      </c>
      <c r="D68" s="31" t="str">
        <f>IF(COUNTIF(FieldList1, "&lt;&gt;FALSE") = 0,"","['"&amp;_xlfn.TEXTJOIN("', '", TRUE, _xlfn._xlws.FILTER(FieldRange,FieldList1&lt;&gt; FALSE, ""))&amp;"']")</f>
        <v/>
      </c>
    </row>
    <row r="69" spans="1:12" ht="14.4" hidden="1" customHeight="1" outlineLevel="2">
      <c r="A69" s="28"/>
      <c r="B69" s="28"/>
      <c r="C69" s="32" t="str">
        <f>IF(COUNTIF(FieldList2, "&lt;&gt;FALSE") = 0,"",SUBSTITUTE(LOWER(C58)," ","_")&amp;" = ")</f>
        <v/>
      </c>
      <c r="D69" s="31" t="str">
        <f>IF(COUNTIF(FieldList2, "&lt;&gt;FALSE") = 0,"","['"&amp;_xlfn.TEXTJOIN("', '", TRUE, _xlfn._xlws.FILTER(FieldRange,FieldList2&lt;&gt; FALSE, ""))&amp;"']")</f>
        <v/>
      </c>
    </row>
    <row r="70" spans="1:12" ht="14.4" hidden="1" customHeight="1" outlineLevel="2">
      <c r="A70" s="28"/>
      <c r="B70" s="28"/>
      <c r="C70" s="32" t="str">
        <f>IF(COUNTIF(FieldList3, "&lt;&gt;FALSE") = 0,"",SUBSTITUTE(LOWER(C59)," ","_")&amp;" = ")</f>
        <v/>
      </c>
      <c r="D70" s="31" t="str">
        <f>IF(COUNTIF(FieldList3, "&lt;&gt;FALSE") = 0,"","['"&amp;_xlfn.TEXTJOIN("', '", TRUE, _xlfn._xlws.FILTER(FieldRange,FieldList3&lt;&gt; FALSE, ""))&amp;"']")</f>
        <v/>
      </c>
    </row>
    <row r="71" spans="1:12" ht="14.4" hidden="1" customHeight="1" outlineLevel="2">
      <c r="A71" s="28"/>
      <c r="B71" s="28"/>
      <c r="C71" s="32" t="str">
        <f>IF(COUNTIF(FieldList4, "&lt;&gt;FALSE") = 0,"",SUBSTITUTE(LOWER(C60)," ","_")&amp;" = ")</f>
        <v/>
      </c>
      <c r="D71" s="31" t="str">
        <f>IF(COUNTIF(FieldList4, "&lt;&gt;FALSE") = 0,"","['"&amp;_xlfn.TEXTJOIN("', '", TRUE, _xlfn._xlws.FILTER(FieldRange,FieldList4&lt;&gt; FALSE, ""))&amp;"']")</f>
        <v/>
      </c>
    </row>
    <row r="72" spans="1:12" ht="14.4" hidden="1" customHeight="1" outlineLevel="2">
      <c r="A72" s="28"/>
      <c r="B72" s="28"/>
      <c r="C72" s="32" t="str">
        <f>IF(COUNTIF(FieldList5, "&lt;&gt;FALSE") = 0,"",SUBSTITUTE(LOWER(C61)," ","_")&amp;" = ")</f>
        <v/>
      </c>
      <c r="D72" s="31" t="str">
        <f>IF(COUNTIF(FieldList5, "&lt;&gt;FALSE") = 0,"","['"&amp;_xlfn.TEXTJOIN("', '", TRUE, _xlfn._xlws.FILTER(FieldRange,FieldList5&lt;&gt; FALSE, ""))&amp;"']")</f>
        <v/>
      </c>
    </row>
    <row r="73" spans="1:12" ht="13.8" hidden="1" customHeight="1" outlineLevel="2">
      <c r="A73" s="28"/>
      <c r="B73" s="28"/>
      <c r="C73" s="32" t="str">
        <f>IF(COUNTIF(FieldList6, "&lt;&gt;FALSE") = 0,"",SUBSTITUTE(LOWER(C62)," ","_")&amp;" = ")</f>
        <v/>
      </c>
      <c r="D73" s="31" t="str">
        <f>IF(COUNTIF(FieldList6, "&lt;&gt;FALSE") = 0,"","['"&amp;_xlfn.TEXTJOIN("', '", TRUE, _xlfn._xlws.FILTER(FieldRange,FieldList6&lt;&gt; FALSE, ""))&amp;"']")</f>
        <v/>
      </c>
    </row>
    <row r="74" spans="1:12" ht="13.8" hidden="1" customHeight="1" outlineLevel="2">
      <c r="A74" s="28"/>
      <c r="B74" s="28"/>
      <c r="C74" s="32" t="str">
        <f>IF(COUNTIF(FieldList7, "&lt;&gt;FALSE") = 0,"",SUBSTITUTE(LOWER(C63)," ","_")&amp;" = ")</f>
        <v/>
      </c>
      <c r="D74" s="31" t="str" cm="1">
        <f t="array" ref="D74">IF(COUNTIF(FieldList7, "&lt;&gt;FALSE") = 0,"","['"&amp;_xlfn.TEXTJOIN("', '", TRUE, _xlfn._xlws.FILTER(FieldRange,FieldList7&lt;&gt; FALSE, ""))&amp;"']")</f>
        <v/>
      </c>
    </row>
    <row r="75" spans="1:12" ht="13.8" hidden="1" customHeight="1" outlineLevel="2">
      <c r="A75" s="28"/>
      <c r="B75" s="28"/>
      <c r="C75" s="32" t="str">
        <f>IF(COUNTIF(FieldList8, "&lt;&gt;FALSE") = 0,"",SUBSTITUTE(LOWER(C64)," ","_")&amp;" = ")</f>
        <v/>
      </c>
      <c r="D75" s="31" t="str" cm="1">
        <f t="array" ref="D75">IF(COUNTIF(FieldList8, "&lt;&gt;FALSE") = 0,"","['"&amp;_xlfn.TEXTJOIN("', '", TRUE, _xlfn._xlws.FILTER(FieldRange,FieldList8&lt;&gt; FALSE, ""))&amp;"']")</f>
        <v/>
      </c>
    </row>
    <row r="76" spans="1:12" ht="14.4" hidden="1" customHeight="1" outlineLevel="2">
      <c r="B76" s="110"/>
      <c r="C76" s="41" t="str">
        <f>IF(COUNTIF(tbl_SourceData[Record List], "&lt;&gt;FALSE") = 0,"",SUBSTITUTE(LOWER(LightHeader)," ", "_") &amp;" = ")</f>
        <v/>
      </c>
      <c r="D76" s="31" t="str" cm="1">
        <f t="array" ref="D76">IF(COUNTIF(tbl_SourceData[Record List], "&lt;&gt;FALSE") = 0,"","['"&amp;_xlfn.TEXTJOIN("', '", TRUE, _xlfn._xlws.FILTER(_xlfn.TAKE(tbl_SourceData[],,-1), tbl_SourceData[Record List] &lt;&gt; FALSE, ""))&amp;"']")</f>
        <v/>
      </c>
    </row>
    <row r="77" spans="1:12" ht="4.95" hidden="1" customHeight="1" outlineLevel="2">
      <c r="B77" s="19"/>
      <c r="C77" s="25"/>
      <c r="D77" s="26"/>
      <c r="E77" s="26"/>
      <c r="F77" s="26"/>
      <c r="G77" s="26"/>
      <c r="H77" s="26"/>
      <c r="I77" s="26"/>
      <c r="J77" s="26"/>
      <c r="K77" s="26"/>
    </row>
    <row r="78" spans="1:12" ht="30" customHeight="1" collapsed="1">
      <c r="C78" s="120" t="s">
        <v>21</v>
      </c>
      <c r="D78" s="27" t="s">
        <v>54</v>
      </c>
      <c r="E78" s="27" t="s">
        <v>55</v>
      </c>
      <c r="F78" s="27" t="s">
        <v>56</v>
      </c>
      <c r="G78" s="27" t="s">
        <v>57</v>
      </c>
      <c r="H78" s="27" t="s">
        <v>58</v>
      </c>
      <c r="I78" s="27" t="s">
        <v>59</v>
      </c>
      <c r="J78" s="27" t="s">
        <v>60</v>
      </c>
      <c r="K78" s="27" t="s">
        <v>61</v>
      </c>
      <c r="L78" s="120" t="s">
        <v>20</v>
      </c>
    </row>
    <row r="79" spans="1:12">
      <c r="C79" s="29" t="b">
        <v>0</v>
      </c>
      <c r="D79" s="30">
        <v>18.8</v>
      </c>
      <c r="E79" s="30">
        <v>7.3319999999999999</v>
      </c>
      <c r="F79" s="30">
        <v>5.64</v>
      </c>
      <c r="G79" s="30">
        <v>18.047999999999998</v>
      </c>
      <c r="H79" s="30">
        <v>15.04</v>
      </c>
      <c r="I79" s="30">
        <v>784.55</v>
      </c>
      <c r="J79" s="30">
        <v>145.08000000000001</v>
      </c>
      <c r="K79" s="30" t="s">
        <v>66</v>
      </c>
      <c r="L79" s="64">
        <v>1.76404223069276E+19</v>
      </c>
    </row>
    <row r="80" spans="1:12">
      <c r="C80" s="29" t="b">
        <v>0</v>
      </c>
      <c r="D80" s="30">
        <v>18.100000000000001</v>
      </c>
      <c r="E80" s="30">
        <v>7.4210000000000003</v>
      </c>
      <c r="F80" s="30">
        <v>4.5250000000000004</v>
      </c>
      <c r="G80" s="30">
        <v>16.29</v>
      </c>
      <c r="H80" s="30">
        <v>17.013999999999999</v>
      </c>
      <c r="I80" s="30">
        <v>1053.48</v>
      </c>
      <c r="J80" s="30">
        <v>133.93</v>
      </c>
      <c r="K80" s="30" t="s">
        <v>65</v>
      </c>
      <c r="L80" s="64">
        <v>3.2893922347626102E+18</v>
      </c>
    </row>
    <row r="81" spans="3:12">
      <c r="C81" s="29" t="b">
        <v>0</v>
      </c>
      <c r="D81" s="30">
        <v>18.600000000000001</v>
      </c>
      <c r="E81" s="30">
        <v>6.51</v>
      </c>
      <c r="F81" s="30">
        <v>5.2080000000000002</v>
      </c>
      <c r="G81" s="30">
        <v>15.624000000000001</v>
      </c>
      <c r="H81" s="30">
        <v>17.856000000000002</v>
      </c>
      <c r="I81" s="30">
        <v>899.47</v>
      </c>
      <c r="J81" s="30">
        <v>110.35</v>
      </c>
      <c r="K81" s="30" t="s">
        <v>67</v>
      </c>
      <c r="L81" s="64">
        <v>2.35059825361265E+18</v>
      </c>
    </row>
    <row r="82" spans="3:12">
      <c r="C82" s="29" t="b">
        <v>0</v>
      </c>
      <c r="D82" s="30">
        <v>22.4</v>
      </c>
      <c r="E82" s="30">
        <v>4.032</v>
      </c>
      <c r="F82" s="30">
        <v>5.8239999999999998</v>
      </c>
      <c r="G82" s="30">
        <v>21.056000000000001</v>
      </c>
      <c r="H82" s="30">
        <v>21.28</v>
      </c>
      <c r="I82" s="30">
        <v>827.34</v>
      </c>
      <c r="J82" s="30">
        <v>142.38999999999999</v>
      </c>
      <c r="K82" s="30" t="s">
        <v>68</v>
      </c>
      <c r="L82" s="64">
        <v>5.39087629873246E+18</v>
      </c>
    </row>
    <row r="83" spans="3:12">
      <c r="C83" s="29" t="b">
        <v>0</v>
      </c>
      <c r="D83" s="30">
        <v>12</v>
      </c>
      <c r="E83" s="30">
        <v>4.2</v>
      </c>
      <c r="F83" s="30">
        <v>3.36</v>
      </c>
      <c r="G83" s="30">
        <v>10.92</v>
      </c>
      <c r="H83" s="30">
        <v>10.68</v>
      </c>
      <c r="I83" s="30">
        <v>878.41</v>
      </c>
      <c r="J83" s="30">
        <v>165.63</v>
      </c>
      <c r="K83" s="30" t="s">
        <v>69</v>
      </c>
      <c r="L83" s="64">
        <v>2.8391193504732401E+18</v>
      </c>
    </row>
    <row r="84" spans="3:12">
      <c r="C84" s="29" t="b">
        <v>0</v>
      </c>
      <c r="D84" s="30">
        <v>13.6</v>
      </c>
      <c r="E84" s="30">
        <v>5.032</v>
      </c>
      <c r="F84" s="30">
        <v>3.8079999999999998</v>
      </c>
      <c r="G84" s="30">
        <v>10.7439999999999</v>
      </c>
      <c r="H84" s="30">
        <v>12.92</v>
      </c>
      <c r="I84" s="30">
        <v>835.5</v>
      </c>
      <c r="J84" s="30">
        <v>139.91</v>
      </c>
      <c r="K84" s="30" t="s">
        <v>70</v>
      </c>
      <c r="L84" s="64">
        <v>8.5587951073480202E+18</v>
      </c>
    </row>
    <row r="85" spans="3:12">
      <c r="C85" s="29" t="b">
        <v>0</v>
      </c>
      <c r="D85" s="30">
        <v>10.8</v>
      </c>
      <c r="E85" s="30">
        <v>4.968</v>
      </c>
      <c r="F85" s="30">
        <v>3.8879999999999999</v>
      </c>
      <c r="G85" s="30">
        <v>9.3960000000000008</v>
      </c>
      <c r="H85" s="30">
        <v>8.8559999999999999</v>
      </c>
      <c r="I85" s="30">
        <v>1068.73</v>
      </c>
      <c r="J85" s="30">
        <v>167.02</v>
      </c>
      <c r="K85" s="30" t="s">
        <v>71</v>
      </c>
      <c r="L85" s="64">
        <v>1.2686068646619099E+19</v>
      </c>
    </row>
    <row r="86" spans="3:12">
      <c r="C86" s="29" t="b">
        <v>0</v>
      </c>
      <c r="D86" s="30">
        <v>16.2</v>
      </c>
      <c r="E86" s="30">
        <v>6.1559999999999997</v>
      </c>
      <c r="F86" s="30">
        <v>4.8600000000000003</v>
      </c>
      <c r="G86" s="30">
        <v>14.093999999999999</v>
      </c>
      <c r="H86" s="30">
        <v>16.038</v>
      </c>
      <c r="I86" s="30">
        <v>1137.8699999999999</v>
      </c>
      <c r="J86" s="30">
        <v>151.47999999999999</v>
      </c>
      <c r="K86" s="30" t="s">
        <v>72</v>
      </c>
      <c r="L86" s="64">
        <v>1.28571832533383E+19</v>
      </c>
    </row>
    <row r="87" spans="3:12">
      <c r="C87" s="29" t="b">
        <v>0</v>
      </c>
      <c r="D87" s="30">
        <v>5.9</v>
      </c>
      <c r="E87" s="30">
        <v>2.0059999999999998</v>
      </c>
      <c r="F87" s="30">
        <v>1.593</v>
      </c>
      <c r="G87" s="30">
        <v>5.9</v>
      </c>
      <c r="H87" s="30">
        <v>5.9</v>
      </c>
      <c r="I87" s="30">
        <v>1273.8900000000001</v>
      </c>
      <c r="J87" s="30">
        <v>136.05000000000001</v>
      </c>
      <c r="K87" s="30" t="s">
        <v>73</v>
      </c>
      <c r="L87" s="64">
        <v>1.59054964723398E+19</v>
      </c>
    </row>
    <row r="88" spans="3:12">
      <c r="C88" s="29" t="b">
        <v>0</v>
      </c>
      <c r="D88" s="30">
        <v>17.899999999999999</v>
      </c>
      <c r="E88" s="30">
        <v>3.7589999999999999</v>
      </c>
      <c r="F88" s="30">
        <v>5.1909999999999901</v>
      </c>
      <c r="G88" s="30">
        <v>16.468</v>
      </c>
      <c r="H88" s="30">
        <v>16.826000000000001</v>
      </c>
      <c r="I88" s="30">
        <v>1160.1300000000001</v>
      </c>
      <c r="J88" s="30">
        <v>144.18</v>
      </c>
      <c r="K88" s="30" t="s">
        <v>74</v>
      </c>
      <c r="L88" s="64">
        <v>1.7686523973342501E+19</v>
      </c>
    </row>
    <row r="89" spans="3:12">
      <c r="C89" s="29" t="b">
        <v>0</v>
      </c>
      <c r="D89" s="30">
        <v>15.6</v>
      </c>
      <c r="E89" s="30">
        <v>2.964</v>
      </c>
      <c r="F89" s="30">
        <v>3.9</v>
      </c>
      <c r="G89" s="30">
        <v>14.82</v>
      </c>
      <c r="H89" s="30">
        <v>14.507999999999999</v>
      </c>
      <c r="I89" s="30">
        <v>913.15</v>
      </c>
      <c r="J89" s="30">
        <v>142.80000000000001</v>
      </c>
      <c r="K89" s="30" t="s">
        <v>75</v>
      </c>
      <c r="L89" s="64">
        <v>1.0256893851756401E+19</v>
      </c>
    </row>
    <row r="90" spans="3:12">
      <c r="C90" s="29" t="b">
        <v>0</v>
      </c>
      <c r="D90" s="30">
        <v>17.5</v>
      </c>
      <c r="E90" s="30">
        <v>9.4499999999999993</v>
      </c>
      <c r="F90" s="30">
        <v>7.1749999999999998</v>
      </c>
      <c r="G90" s="30">
        <v>14.35</v>
      </c>
      <c r="H90" s="30">
        <v>15.225</v>
      </c>
      <c r="I90" s="30">
        <v>861.18</v>
      </c>
      <c r="J90" s="30">
        <v>120.92</v>
      </c>
      <c r="K90" s="30" t="s">
        <v>76</v>
      </c>
      <c r="L90" s="64">
        <v>1.1727691754383E+19</v>
      </c>
    </row>
    <row r="91" spans="3:12">
      <c r="C91" s="29" t="b">
        <v>0</v>
      </c>
      <c r="D91" s="30">
        <v>15.3</v>
      </c>
      <c r="E91" s="30">
        <v>5.508</v>
      </c>
      <c r="F91" s="30">
        <v>4.4370000000000003</v>
      </c>
      <c r="G91" s="30">
        <v>13.005000000000001</v>
      </c>
      <c r="H91" s="30">
        <v>14.994</v>
      </c>
      <c r="I91" s="30">
        <v>641.96</v>
      </c>
      <c r="J91" s="30">
        <v>82.75</v>
      </c>
      <c r="K91" s="30" t="s">
        <v>77</v>
      </c>
      <c r="L91" s="64">
        <v>9.1576648965107999E+18</v>
      </c>
    </row>
    <row r="92" spans="3:12">
      <c r="C92" s="29" t="b">
        <v>0</v>
      </c>
      <c r="D92" s="30">
        <v>12.8</v>
      </c>
      <c r="E92" s="30">
        <v>4.6079999999999997</v>
      </c>
      <c r="F92" s="30">
        <v>4.3520000000000003</v>
      </c>
      <c r="G92" s="30">
        <v>12.032</v>
      </c>
      <c r="H92" s="30">
        <v>12.288</v>
      </c>
      <c r="I92" s="30">
        <v>803.11</v>
      </c>
      <c r="J92" s="30">
        <v>139.15</v>
      </c>
      <c r="K92" s="30" t="s">
        <v>78</v>
      </c>
      <c r="L92" s="64">
        <v>2.2061915324943501E+18</v>
      </c>
    </row>
    <row r="93" spans="3:12">
      <c r="C93" s="29" t="b">
        <v>0</v>
      </c>
      <c r="D93" s="30">
        <v>14.5</v>
      </c>
      <c r="E93" s="30">
        <v>3.625</v>
      </c>
      <c r="F93" s="30">
        <v>4.2050000000000001</v>
      </c>
      <c r="G93" s="30">
        <v>13.775</v>
      </c>
      <c r="H93" s="30">
        <v>13.775</v>
      </c>
      <c r="I93" s="30">
        <v>710.46</v>
      </c>
      <c r="J93" s="30">
        <v>108.92</v>
      </c>
      <c r="K93" s="30" t="s">
        <v>79</v>
      </c>
      <c r="L93" s="64">
        <v>1.0822632612148199E+19</v>
      </c>
    </row>
    <row r="94" spans="3:12">
      <c r="C94" s="29" t="b">
        <v>0</v>
      </c>
      <c r="D94" s="30">
        <v>15.7</v>
      </c>
      <c r="E94" s="30">
        <v>2.669</v>
      </c>
      <c r="F94" s="30">
        <v>3.9249999999999998</v>
      </c>
      <c r="G94" s="30">
        <v>15.228999999999999</v>
      </c>
      <c r="H94" s="30">
        <v>13.659000000000001</v>
      </c>
      <c r="I94" s="30">
        <v>649.05999999999995</v>
      </c>
      <c r="J94" s="30">
        <v>114.47</v>
      </c>
      <c r="K94" s="30" t="s">
        <v>80</v>
      </c>
      <c r="L94" s="64">
        <v>9.0169156514464205E+18</v>
      </c>
    </row>
    <row r="95" spans="3:12">
      <c r="C95" s="29" t="b">
        <v>0</v>
      </c>
      <c r="D95" s="30">
        <v>17.8</v>
      </c>
      <c r="E95" s="30">
        <v>4.806</v>
      </c>
      <c r="F95" s="30">
        <v>4.2720000000000002</v>
      </c>
      <c r="G95" s="30">
        <v>13.706</v>
      </c>
      <c r="H95" s="30">
        <v>15.13</v>
      </c>
      <c r="I95" s="30">
        <v>780.45</v>
      </c>
      <c r="J95" s="30">
        <v>133.80000000000001</v>
      </c>
      <c r="K95" s="30" t="s">
        <v>81</v>
      </c>
      <c r="L95" s="64">
        <v>8.62726541863744E+18</v>
      </c>
    </row>
    <row r="96" spans="3:12">
      <c r="C96" s="29" t="b">
        <v>0</v>
      </c>
      <c r="D96" s="30">
        <v>21.4</v>
      </c>
      <c r="E96" s="30">
        <v>4.0659999999999998</v>
      </c>
      <c r="F96" s="30">
        <v>4.9219999999999997</v>
      </c>
      <c r="G96" s="30">
        <v>16.691999999999901</v>
      </c>
      <c r="H96" s="30">
        <v>16.263999999999999</v>
      </c>
      <c r="I96" s="30">
        <v>872.51</v>
      </c>
      <c r="J96" s="30">
        <v>137.13</v>
      </c>
      <c r="K96" s="30" t="s">
        <v>82</v>
      </c>
      <c r="L96" s="64">
        <v>1.56966903383419E+19</v>
      </c>
    </row>
    <row r="97" spans="3:12">
      <c r="C97" s="29" t="b">
        <v>0</v>
      </c>
      <c r="D97" s="30">
        <v>20.5</v>
      </c>
      <c r="E97" s="30">
        <v>7.1749999999999998</v>
      </c>
      <c r="F97" s="30">
        <v>6.7649999999999997</v>
      </c>
      <c r="G97" s="30">
        <v>14.965</v>
      </c>
      <c r="H97" s="30">
        <v>20.09</v>
      </c>
      <c r="I97" s="30">
        <v>1281.55</v>
      </c>
      <c r="J97" s="30">
        <v>194.78</v>
      </c>
      <c r="K97" s="30" t="s">
        <v>83</v>
      </c>
      <c r="L97" s="64">
        <v>4.0179288378989599E+18</v>
      </c>
    </row>
    <row r="98" spans="3:12">
      <c r="C98" s="29" t="b">
        <v>0</v>
      </c>
      <c r="D98" s="30">
        <v>15.1</v>
      </c>
      <c r="E98" s="30">
        <v>5.7380000000000004</v>
      </c>
      <c r="F98" s="30">
        <v>4.53</v>
      </c>
      <c r="G98" s="30">
        <v>13.137</v>
      </c>
      <c r="H98" s="30">
        <v>12.683999999999999</v>
      </c>
      <c r="I98" s="30">
        <v>661.88</v>
      </c>
      <c r="J98" s="30">
        <v>96.57</v>
      </c>
      <c r="K98" s="30" t="s">
        <v>84</v>
      </c>
      <c r="L98" s="64">
        <v>7.6699857337802004E+18</v>
      </c>
    </row>
    <row r="99" spans="3:12">
      <c r="C99" s="29" t="b">
        <v>0</v>
      </c>
      <c r="D99" s="30">
        <v>12.5</v>
      </c>
      <c r="E99" s="30">
        <v>4.25</v>
      </c>
      <c r="F99" s="30">
        <v>4</v>
      </c>
      <c r="G99" s="30">
        <v>8.875</v>
      </c>
      <c r="H99" s="30">
        <v>12.375</v>
      </c>
      <c r="I99" s="30">
        <v>1048.78</v>
      </c>
      <c r="J99" s="30">
        <v>192.7</v>
      </c>
      <c r="K99" s="30" t="s">
        <v>85</v>
      </c>
      <c r="L99" s="64">
        <v>1.6964519238227599E+19</v>
      </c>
    </row>
    <row r="100" spans="3:12">
      <c r="C100" s="29" t="b">
        <v>0</v>
      </c>
      <c r="D100" s="30">
        <v>8.1999999999999993</v>
      </c>
      <c r="E100" s="30">
        <v>1.8859999999999999</v>
      </c>
      <c r="F100" s="30">
        <v>2.87</v>
      </c>
      <c r="G100" s="30">
        <v>7.1340000000000003</v>
      </c>
      <c r="H100" s="30">
        <v>6.56</v>
      </c>
      <c r="I100" s="30">
        <v>1011.14</v>
      </c>
      <c r="J100" s="30">
        <v>135.63</v>
      </c>
      <c r="K100" s="30" t="s">
        <v>86</v>
      </c>
      <c r="L100" s="64">
        <v>1.6109354771701299E+19</v>
      </c>
    </row>
    <row r="101" spans="3:12">
      <c r="C101" s="29" t="b">
        <v>0</v>
      </c>
      <c r="D101" s="30">
        <v>14.1</v>
      </c>
      <c r="E101" s="30">
        <v>3.3839999999999999</v>
      </c>
      <c r="F101" s="30">
        <v>3.948</v>
      </c>
      <c r="G101" s="30">
        <v>13.395</v>
      </c>
      <c r="H101" s="30">
        <v>10.856999999999999</v>
      </c>
      <c r="I101" s="30">
        <v>1110.6099999999999</v>
      </c>
      <c r="J101" s="30">
        <v>152.26</v>
      </c>
      <c r="K101" s="30" t="s">
        <v>87</v>
      </c>
      <c r="L101" s="64">
        <v>5.1594315422662697E+18</v>
      </c>
    </row>
    <row r="102" spans="3:12">
      <c r="C102" s="29" t="b">
        <v>0</v>
      </c>
      <c r="D102" s="30">
        <v>9.6</v>
      </c>
      <c r="E102" s="30">
        <v>2.2080000000000002</v>
      </c>
      <c r="F102" s="30">
        <v>2.7839999999999998</v>
      </c>
      <c r="G102" s="30">
        <v>8.4480000000000004</v>
      </c>
      <c r="H102" s="30">
        <v>8.4480000000000004</v>
      </c>
      <c r="I102" s="30">
        <v>777.18</v>
      </c>
      <c r="J102" s="30">
        <v>133.35</v>
      </c>
      <c r="K102" s="30" t="s">
        <v>88</v>
      </c>
      <c r="L102" s="64">
        <v>1.9840265171200499E+18</v>
      </c>
    </row>
    <row r="103" spans="3:12">
      <c r="C103" s="29" t="b">
        <v>0</v>
      </c>
      <c r="D103" s="30">
        <v>17.600000000000001</v>
      </c>
      <c r="E103" s="30">
        <v>2.64</v>
      </c>
      <c r="F103" s="30">
        <v>5.4560000000000004</v>
      </c>
      <c r="G103" s="30">
        <v>1.76</v>
      </c>
      <c r="H103" s="30">
        <v>17.600000000000001</v>
      </c>
      <c r="I103" s="30">
        <v>896.07</v>
      </c>
      <c r="J103" s="30">
        <v>155.77000000000001</v>
      </c>
      <c r="K103" s="30" t="s">
        <v>89</v>
      </c>
      <c r="L103" s="64">
        <v>8.1540472782845E+18</v>
      </c>
    </row>
    <row r="104" spans="3:12">
      <c r="C104" s="29" t="b">
        <v>0</v>
      </c>
      <c r="D104" s="30">
        <v>16.100000000000001</v>
      </c>
      <c r="E104" s="30">
        <v>6.923</v>
      </c>
      <c r="F104" s="30">
        <v>5.4740000000000002</v>
      </c>
      <c r="G104" s="30">
        <v>14.811999999999999</v>
      </c>
      <c r="H104" s="30">
        <v>13.523999999999999</v>
      </c>
      <c r="I104" s="30">
        <v>790.32</v>
      </c>
      <c r="J104" s="30">
        <v>144.44999999999999</v>
      </c>
      <c r="K104" s="30" t="s">
        <v>90</v>
      </c>
      <c r="L104" s="64">
        <v>1.11995705297332E+19</v>
      </c>
    </row>
    <row r="105" spans="3:12">
      <c r="C105" s="29" t="b">
        <v>0</v>
      </c>
      <c r="D105" s="30">
        <v>21.4</v>
      </c>
      <c r="E105" s="30">
        <v>8.3459999999999894</v>
      </c>
      <c r="F105" s="30">
        <v>9.4160000000000004</v>
      </c>
      <c r="G105" s="30">
        <v>17.975999999999999</v>
      </c>
      <c r="H105" s="30">
        <v>18.190000000000001</v>
      </c>
      <c r="I105" s="30">
        <v>816.21</v>
      </c>
      <c r="J105" s="30">
        <v>85.15</v>
      </c>
      <c r="K105" s="30" t="s">
        <v>91</v>
      </c>
      <c r="L105" s="64">
        <v>1.72821659940491E+19</v>
      </c>
    </row>
    <row r="106" spans="3:12">
      <c r="C106" s="29" t="b">
        <v>0</v>
      </c>
      <c r="D106" s="30">
        <v>14.9</v>
      </c>
      <c r="E106" s="30">
        <v>1.9370000000000001</v>
      </c>
      <c r="F106" s="30">
        <v>5.2149999999999999</v>
      </c>
      <c r="G106" s="30">
        <v>13.856999999999999</v>
      </c>
      <c r="H106" s="30">
        <v>13.41</v>
      </c>
      <c r="I106" s="30">
        <v>732.28</v>
      </c>
      <c r="J106" s="30">
        <v>114.82</v>
      </c>
      <c r="K106" s="30" t="s">
        <v>92</v>
      </c>
      <c r="L106" s="64">
        <v>9.7115306329567109E+18</v>
      </c>
    </row>
    <row r="107" spans="3:12">
      <c r="C107" s="29" t="b">
        <v>0</v>
      </c>
      <c r="D107" s="30">
        <v>14.7</v>
      </c>
      <c r="E107" s="30">
        <v>5.4390000000000001</v>
      </c>
      <c r="F107" s="30">
        <v>4.7039999999999997</v>
      </c>
      <c r="G107" s="30">
        <v>13.965</v>
      </c>
      <c r="H107" s="30">
        <v>14.553000000000001</v>
      </c>
      <c r="I107" s="30">
        <v>1029.8699999999999</v>
      </c>
      <c r="J107" s="30">
        <v>138.71</v>
      </c>
      <c r="K107" s="30" t="s">
        <v>93</v>
      </c>
      <c r="L107" s="64">
        <v>1.0392683400597899E+19</v>
      </c>
    </row>
    <row r="108" spans="3:12">
      <c r="C108" s="29" t="b">
        <v>0</v>
      </c>
      <c r="D108" s="30">
        <v>11.6</v>
      </c>
      <c r="E108" s="30">
        <v>4.0599999999999996</v>
      </c>
      <c r="F108" s="30">
        <v>3.48</v>
      </c>
      <c r="G108" s="30">
        <v>10.092000000000001</v>
      </c>
      <c r="H108" s="30">
        <v>9.6280000000000001</v>
      </c>
      <c r="I108" s="30">
        <v>746.54</v>
      </c>
      <c r="J108" s="30">
        <v>120.21</v>
      </c>
      <c r="K108" s="30" t="s">
        <v>94</v>
      </c>
      <c r="L108" s="64">
        <v>1.7260000570926201E+19</v>
      </c>
    </row>
    <row r="109" spans="3:12">
      <c r="C109" s="29" t="b">
        <v>0</v>
      </c>
      <c r="D109" s="30">
        <v>11.2</v>
      </c>
      <c r="E109" s="30">
        <v>1.79199999999999</v>
      </c>
      <c r="F109" s="30">
        <v>3.1360000000000001</v>
      </c>
      <c r="G109" s="30">
        <v>9.6319999999999997</v>
      </c>
      <c r="H109" s="30">
        <v>8.73599999999999</v>
      </c>
      <c r="I109" s="30">
        <v>1301.52</v>
      </c>
      <c r="J109" s="30">
        <v>159.85</v>
      </c>
      <c r="K109" s="30" t="s">
        <v>95</v>
      </c>
      <c r="L109" s="64">
        <v>1.1166171365250001E+19</v>
      </c>
    </row>
    <row r="110" spans="3:12">
      <c r="C110" s="29" t="b">
        <v>0</v>
      </c>
      <c r="D110" s="30">
        <v>18.399999999999999</v>
      </c>
      <c r="E110" s="30">
        <v>3.496</v>
      </c>
      <c r="F110" s="30">
        <v>4.968</v>
      </c>
      <c r="G110" s="30">
        <v>12.327999999999999</v>
      </c>
      <c r="H110" s="30">
        <v>18.032</v>
      </c>
      <c r="I110" s="30">
        <v>869.85</v>
      </c>
      <c r="J110" s="30">
        <v>120.75</v>
      </c>
      <c r="K110" s="30" t="s">
        <v>96</v>
      </c>
      <c r="L110" s="64">
        <v>7.6090829625067899E+18</v>
      </c>
    </row>
    <row r="111" spans="3:12">
      <c r="C111" s="29" t="b">
        <v>0</v>
      </c>
      <c r="D111" s="30">
        <v>12.3</v>
      </c>
      <c r="E111" s="30">
        <v>3.9359999999999999</v>
      </c>
      <c r="F111" s="30">
        <v>3.5670000000000002</v>
      </c>
      <c r="G111" s="30">
        <v>10.824</v>
      </c>
      <c r="H111" s="30">
        <v>9.84</v>
      </c>
      <c r="I111" s="30">
        <v>1234.31</v>
      </c>
      <c r="J111" s="30">
        <v>150.01</v>
      </c>
      <c r="K111" s="30" t="s">
        <v>97</v>
      </c>
      <c r="L111" s="64">
        <v>1.58254753809907E+19</v>
      </c>
    </row>
    <row r="112" spans="3:12">
      <c r="C112" s="29" t="b">
        <v>0</v>
      </c>
      <c r="D112" s="30">
        <v>16.8</v>
      </c>
      <c r="E112" s="30">
        <v>6.5519999999999996</v>
      </c>
      <c r="F112" s="30">
        <v>5.2080000000000002</v>
      </c>
      <c r="G112" s="30">
        <v>15.792</v>
      </c>
      <c r="H112" s="30">
        <v>13.608000000000001</v>
      </c>
      <c r="I112" s="30">
        <v>708.24</v>
      </c>
      <c r="J112" s="30">
        <v>127.82</v>
      </c>
      <c r="K112" s="30" t="s">
        <v>98</v>
      </c>
      <c r="L112" s="64">
        <v>1.5932460250781E+19</v>
      </c>
    </row>
    <row r="113" spans="3:12">
      <c r="C113" s="29" t="b">
        <v>0</v>
      </c>
      <c r="D113" s="30">
        <v>23.9</v>
      </c>
      <c r="E113" s="30">
        <v>5.4969999999999901</v>
      </c>
      <c r="F113" s="30">
        <v>10.038</v>
      </c>
      <c r="G113" s="30">
        <v>23.661000000000001</v>
      </c>
      <c r="H113" s="30">
        <v>20.553999999999998</v>
      </c>
      <c r="I113" s="30">
        <v>688.75</v>
      </c>
      <c r="J113" s="30">
        <v>109.72</v>
      </c>
      <c r="K113" s="30" t="s">
        <v>99</v>
      </c>
      <c r="L113" s="64">
        <v>1.54323644224158E+19</v>
      </c>
    </row>
    <row r="114" spans="3:12">
      <c r="C114" s="29" t="b">
        <v>0</v>
      </c>
      <c r="D114" s="30">
        <v>14.1</v>
      </c>
      <c r="E114" s="30">
        <v>3.948</v>
      </c>
      <c r="F114" s="30">
        <v>4.7939999999999996</v>
      </c>
      <c r="G114" s="30">
        <v>13.9589999999999</v>
      </c>
      <c r="H114" s="30">
        <v>11.561999999999999</v>
      </c>
      <c r="I114" s="30">
        <v>697.73</v>
      </c>
      <c r="J114" s="30">
        <v>133.52000000000001</v>
      </c>
      <c r="K114" s="30" t="s">
        <v>100</v>
      </c>
      <c r="L114" s="64">
        <v>1.61853856031237E+19</v>
      </c>
    </row>
    <row r="115" spans="3:12">
      <c r="C115" s="29" t="b">
        <v>0</v>
      </c>
      <c r="D115" s="30">
        <v>19.899999999999999</v>
      </c>
      <c r="E115" s="30">
        <v>6.3679999999999897</v>
      </c>
      <c r="F115" s="30">
        <v>5.7709999999999901</v>
      </c>
      <c r="G115" s="30">
        <v>18.308</v>
      </c>
      <c r="H115" s="30">
        <v>18.706</v>
      </c>
      <c r="I115" s="30">
        <v>881.51</v>
      </c>
      <c r="J115" s="30">
        <v>178.86</v>
      </c>
      <c r="K115" s="30" t="s">
        <v>101</v>
      </c>
      <c r="L115" s="64">
        <v>8.0435172388625797E+18</v>
      </c>
    </row>
    <row r="116" spans="3:12">
      <c r="C116" s="29" t="b">
        <v>0</v>
      </c>
      <c r="D116" s="30">
        <v>12.8</v>
      </c>
      <c r="E116" s="30">
        <v>4.2240000000000002</v>
      </c>
      <c r="F116" s="30">
        <v>3.3279999999999998</v>
      </c>
      <c r="G116" s="30">
        <v>8.5760000000000005</v>
      </c>
      <c r="H116" s="30">
        <v>11.52</v>
      </c>
      <c r="I116" s="30">
        <v>804.71</v>
      </c>
      <c r="J116" s="30">
        <v>104.61</v>
      </c>
      <c r="K116" s="30" t="s">
        <v>102</v>
      </c>
      <c r="L116" s="64">
        <v>6.5151966916560804E+18</v>
      </c>
    </row>
    <row r="117" spans="3:12">
      <c r="C117" s="29" t="b">
        <v>0</v>
      </c>
      <c r="D117" s="30">
        <v>18.2</v>
      </c>
      <c r="E117" s="30">
        <v>9.1</v>
      </c>
      <c r="F117" s="30">
        <v>5.6420000000000003</v>
      </c>
      <c r="G117" s="30">
        <v>17.471999999999898</v>
      </c>
      <c r="H117" s="30">
        <v>16.015999999999998</v>
      </c>
      <c r="I117" s="30">
        <v>905.99</v>
      </c>
      <c r="J117" s="30">
        <v>153.86000000000001</v>
      </c>
      <c r="K117" s="30" t="s">
        <v>103</v>
      </c>
      <c r="L117" s="64">
        <v>1.2200668873636E+19</v>
      </c>
    </row>
    <row r="118" spans="3:12">
      <c r="C118" s="29" t="b">
        <v>0</v>
      </c>
      <c r="D118" s="30">
        <v>11.1</v>
      </c>
      <c r="E118" s="30">
        <v>3.774</v>
      </c>
      <c r="F118" s="30">
        <v>4.218</v>
      </c>
      <c r="G118" s="30">
        <v>10.212</v>
      </c>
      <c r="H118" s="30">
        <v>8.7690000000000001</v>
      </c>
      <c r="I118" s="30">
        <v>1148.99</v>
      </c>
      <c r="J118" s="30">
        <v>148.58000000000001</v>
      </c>
      <c r="K118" s="30" t="s">
        <v>104</v>
      </c>
      <c r="L118" s="64">
        <v>1.2220578329105E+19</v>
      </c>
    </row>
    <row r="119" spans="3:12">
      <c r="C119" s="29" t="b">
        <v>0</v>
      </c>
      <c r="D119" s="30">
        <v>23.9</v>
      </c>
      <c r="E119" s="30">
        <v>9.0820000000000007</v>
      </c>
      <c r="F119" s="30">
        <v>9.7989999999999995</v>
      </c>
      <c r="G119" s="30">
        <v>22.943999999999999</v>
      </c>
      <c r="H119" s="30">
        <v>19.359000000000002</v>
      </c>
      <c r="I119" s="30">
        <v>858.97</v>
      </c>
      <c r="J119" s="30">
        <v>116.29</v>
      </c>
      <c r="K119" s="30" t="s">
        <v>105</v>
      </c>
      <c r="L119" s="64">
        <v>2.80587965081199E+18</v>
      </c>
    </row>
    <row r="120" spans="3:12">
      <c r="C120" s="29" t="b">
        <v>0</v>
      </c>
      <c r="D120" s="30">
        <v>19.399999999999999</v>
      </c>
      <c r="E120" s="30">
        <v>6.0139999999999896</v>
      </c>
      <c r="F120" s="30">
        <v>6.4019999999999904</v>
      </c>
      <c r="G120" s="30">
        <v>19.012</v>
      </c>
      <c r="H120" s="30">
        <v>16.683999999999902</v>
      </c>
      <c r="I120" s="30">
        <v>669.31</v>
      </c>
      <c r="J120" s="30">
        <v>96.87</v>
      </c>
      <c r="K120" s="30" t="s">
        <v>106</v>
      </c>
      <c r="L120" s="64">
        <v>3.54994650678771E+18</v>
      </c>
    </row>
    <row r="121" spans="3:12">
      <c r="C121" s="29" t="b">
        <v>0</v>
      </c>
      <c r="D121" s="30">
        <v>19.5</v>
      </c>
      <c r="E121" s="30">
        <v>4.0949999999999998</v>
      </c>
      <c r="F121" s="30">
        <v>5.6550000000000002</v>
      </c>
      <c r="G121" s="30">
        <v>15.99</v>
      </c>
      <c r="H121" s="30">
        <v>15.795</v>
      </c>
      <c r="I121" s="30">
        <v>767.91</v>
      </c>
      <c r="J121" s="30">
        <v>155.57</v>
      </c>
      <c r="K121" s="30" t="s">
        <v>107</v>
      </c>
      <c r="L121" s="64">
        <v>7.0267144542683802E+18</v>
      </c>
    </row>
    <row r="122" spans="3:12">
      <c r="C122" s="29" t="b">
        <v>0</v>
      </c>
      <c r="D122" s="30">
        <v>19.399999999999999</v>
      </c>
      <c r="E122" s="30">
        <v>7.76</v>
      </c>
      <c r="F122" s="30">
        <v>7.3719999999999901</v>
      </c>
      <c r="G122" s="30">
        <v>17.654</v>
      </c>
      <c r="H122" s="30">
        <v>16.878</v>
      </c>
      <c r="I122" s="30">
        <v>1004.75</v>
      </c>
      <c r="J122" s="30">
        <v>156.83000000000001</v>
      </c>
      <c r="K122" s="30" t="s">
        <v>108</v>
      </c>
      <c r="L122" s="64">
        <v>4.3545620424737101E+18</v>
      </c>
    </row>
    <row r="123" spans="3:12">
      <c r="C123" s="29" t="b">
        <v>0</v>
      </c>
      <c r="D123" s="30">
        <v>11.3</v>
      </c>
      <c r="E123" s="30">
        <v>4.859</v>
      </c>
      <c r="F123" s="30">
        <v>1.8080000000000001</v>
      </c>
      <c r="G123" s="30">
        <v>9.9440000000000008</v>
      </c>
      <c r="H123" s="30">
        <v>10.848000000000001</v>
      </c>
      <c r="I123" s="30">
        <v>809.38</v>
      </c>
      <c r="J123" s="30">
        <v>109.48</v>
      </c>
      <c r="K123" s="30" t="s">
        <v>109</v>
      </c>
      <c r="L123" s="64">
        <v>1.3726012184080501E+19</v>
      </c>
    </row>
    <row r="124" spans="3:12">
      <c r="C124" s="29" t="b">
        <v>0</v>
      </c>
      <c r="D124" s="30">
        <v>13.6</v>
      </c>
      <c r="E124" s="30">
        <v>4.08</v>
      </c>
      <c r="F124" s="30">
        <v>4.08</v>
      </c>
      <c r="G124" s="30">
        <v>13.055999999999999</v>
      </c>
      <c r="H124" s="30">
        <v>12.92</v>
      </c>
      <c r="I124" s="30">
        <v>716.2</v>
      </c>
      <c r="J124" s="30">
        <v>109.61</v>
      </c>
      <c r="K124" s="30" t="s">
        <v>110</v>
      </c>
      <c r="L124" s="64">
        <v>1.28799520220975E+19</v>
      </c>
    </row>
    <row r="125" spans="3:12">
      <c r="C125" s="29" t="b">
        <v>0</v>
      </c>
      <c r="D125" s="30">
        <v>12.7</v>
      </c>
      <c r="E125" s="30">
        <v>2.4129999999999998</v>
      </c>
      <c r="F125" s="30">
        <v>3.4289999999999998</v>
      </c>
      <c r="G125" s="30">
        <v>11.048999999999999</v>
      </c>
      <c r="H125" s="30">
        <v>11.175999999999901</v>
      </c>
      <c r="I125" s="30">
        <v>768.95</v>
      </c>
      <c r="J125" s="30">
        <v>153.72</v>
      </c>
      <c r="K125" s="30" t="s">
        <v>111</v>
      </c>
      <c r="L125" s="64">
        <v>7.4865262669974497E+18</v>
      </c>
    </row>
    <row r="126" spans="3:12">
      <c r="C126" s="29" t="b">
        <v>0</v>
      </c>
      <c r="D126" s="30">
        <v>10.6</v>
      </c>
      <c r="E126" s="30">
        <v>4.452</v>
      </c>
      <c r="F126" s="30">
        <v>3.4980000000000002</v>
      </c>
      <c r="G126" s="30">
        <v>8.6920000000000002</v>
      </c>
      <c r="H126" s="30">
        <v>9.1159999999999997</v>
      </c>
      <c r="I126" s="30">
        <v>890.03</v>
      </c>
      <c r="J126" s="30">
        <v>111.62</v>
      </c>
      <c r="K126" s="30" t="s">
        <v>112</v>
      </c>
      <c r="L126" s="64">
        <v>1.1481651693322E+19</v>
      </c>
    </row>
    <row r="127" spans="3:12">
      <c r="C127" s="29" t="b">
        <v>0</v>
      </c>
      <c r="D127" s="30">
        <v>23.8</v>
      </c>
      <c r="E127" s="30">
        <v>8.0920000000000005</v>
      </c>
      <c r="F127" s="30">
        <v>6.6639999999999997</v>
      </c>
      <c r="G127" s="30">
        <v>23.085999999999999</v>
      </c>
      <c r="H127" s="30">
        <v>20.706</v>
      </c>
      <c r="I127" s="30">
        <v>992.61</v>
      </c>
      <c r="J127" s="30">
        <v>152.56</v>
      </c>
      <c r="K127" s="30" t="s">
        <v>113</v>
      </c>
      <c r="L127" s="64">
        <v>8.6859950399287501E+18</v>
      </c>
    </row>
    <row r="128" spans="3:12">
      <c r="C128" s="29" t="b">
        <v>0</v>
      </c>
      <c r="D128" s="30">
        <v>13.8</v>
      </c>
      <c r="E128" s="30">
        <v>4.968</v>
      </c>
      <c r="F128" s="30">
        <v>4.5540000000000003</v>
      </c>
      <c r="G128" s="30">
        <v>5.3819999999999997</v>
      </c>
      <c r="H128" s="30">
        <v>11.592000000000001</v>
      </c>
      <c r="I128" s="30">
        <v>670.31</v>
      </c>
      <c r="J128" s="30">
        <v>106.62</v>
      </c>
      <c r="K128" s="30" t="s">
        <v>114</v>
      </c>
      <c r="L128" s="64">
        <v>4.8332696807016499E+18</v>
      </c>
    </row>
    <row r="129" spans="3:12">
      <c r="C129" s="29" t="b">
        <v>0</v>
      </c>
      <c r="D129" s="30">
        <v>17.399999999999999</v>
      </c>
      <c r="E129" s="30">
        <v>7.3079999999999998</v>
      </c>
      <c r="F129" s="30">
        <v>5.5679999999999996</v>
      </c>
      <c r="G129" s="30">
        <v>14.093999999999999</v>
      </c>
      <c r="H129" s="30">
        <v>15.659999999999901</v>
      </c>
      <c r="I129" s="30">
        <v>791.14</v>
      </c>
      <c r="J129" s="30">
        <v>122.04</v>
      </c>
      <c r="K129" s="30" t="s">
        <v>115</v>
      </c>
      <c r="L129" s="64">
        <v>2.0610729079285299E+18</v>
      </c>
    </row>
  </sheetData>
  <mergeCells count="1">
    <mergeCell ref="D15:E15"/>
  </mergeCells>
  <phoneticPr fontId="15" type="noConversion"/>
  <conditionalFormatting sqref="D22:F29 D35:F39 D45:F53">
    <cfRule type="cellIs" dxfId="30" priority="58" operator="equal">
      <formula>0</formula>
    </cfRule>
  </conditionalFormatting>
  <conditionalFormatting sqref="C79:C129">
    <cfRule type="cellIs" dxfId="29" priority="54" operator="equal">
      <formula>FALSE</formula>
    </cfRule>
    <cfRule type="cellIs" dxfId="28" priority="55" operator="notEqual">
      <formula>FALSE</formula>
    </cfRule>
  </conditionalFormatting>
  <conditionalFormatting sqref="D9:K9">
    <cfRule type="cellIs" dxfId="27" priority="28" operator="notEqual">
      <formula>"Notes"</formula>
    </cfRule>
  </conditionalFormatting>
  <conditionalFormatting sqref="D23:F25">
    <cfRule type="colorScale" priority="49">
      <colorScale>
        <cfvo type="num" val="0"/>
        <cfvo type="num" val="0.2"/>
        <color theme="1"/>
        <color rgb="FF7A0000"/>
      </colorScale>
    </cfRule>
  </conditionalFormatting>
  <conditionalFormatting sqref="C78 C57:C64">
    <cfRule type="duplicateValues" dxfId="26" priority="29"/>
  </conditionalFormatting>
  <conditionalFormatting sqref="D7:K7">
    <cfRule type="cellIs" dxfId="25" priority="22" operator="notEqual">
      <formula>"Definition"</formula>
    </cfRule>
  </conditionalFormatting>
  <conditionalFormatting sqref="D15">
    <cfRule type="cellIs" dxfId="24" priority="13" operator="notEqual">
      <formula>"Description"</formula>
    </cfRule>
  </conditionalFormatting>
  <conditionalFormatting sqref="D17">
    <cfRule type="colorScale" priority="12">
      <colorScale>
        <cfvo type="num" val="0"/>
        <cfvo type="num" val="100000"/>
        <cfvo type="num" val="1000000"/>
        <color theme="1"/>
        <color rgb="FFB08600"/>
        <color rgb="FF7A0000"/>
      </colorScale>
    </cfRule>
  </conditionalFormatting>
  <conditionalFormatting sqref="D18">
    <cfRule type="colorScale" priority="10">
      <colorScale>
        <cfvo type="num" val="0"/>
        <cfvo type="num" val="100"/>
        <cfvo type="num" val="16000"/>
        <color theme="1"/>
        <color rgb="FFB08600"/>
        <color rgb="FF7A0000"/>
      </colorScale>
    </cfRule>
  </conditionalFormatting>
  <conditionalFormatting sqref="D57:F64">
    <cfRule type="cellIs" dxfId="23" priority="52" operator="equal">
      <formula>FALSE</formula>
    </cfRule>
    <cfRule type="cellIs" dxfId="22" priority="53" operator="notEqual">
      <formula>FALSE</formula>
    </cfRule>
  </conditionalFormatting>
  <conditionalFormatting sqref="G22:K29 G35:K39 G45:K53">
    <cfRule type="cellIs" dxfId="12" priority="5" operator="equal">
      <formula>0</formula>
    </cfRule>
  </conditionalFormatting>
  <conditionalFormatting sqref="G23:K25">
    <cfRule type="colorScale" priority="2">
      <colorScale>
        <cfvo type="num" val="0"/>
        <cfvo type="num" val="0.2"/>
        <color theme="1"/>
        <color rgb="FF7A0000"/>
      </colorScale>
    </cfRule>
  </conditionalFormatting>
  <conditionalFormatting sqref="G57:K64">
    <cfRule type="cellIs" dxfId="11" priority="3" operator="equal">
      <formula>FALSE</formula>
    </cfRule>
    <cfRule type="cellIs" dxfId="10" priority="4" operator="notEqual">
      <formula>FALSE</formula>
    </cfRule>
  </conditionalFormatting>
  <conditionalFormatting sqref="L78">
    <cfRule type="duplicateValues" dxfId="0" priority="1"/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95EEE-047F-419C-9BC8-A7C362742EA6}">
  <sheetPr codeName="Sheet5"/>
  <dimension ref="A2:P17"/>
  <sheetViews>
    <sheetView zoomScale="85" zoomScaleNormal="85" workbookViewId="0">
      <selection activeCell="C8" sqref="C8"/>
    </sheetView>
  </sheetViews>
  <sheetFormatPr defaultRowHeight="14.4"/>
  <cols>
    <col min="1" max="1" width="2.77734375" customWidth="1"/>
    <col min="2" max="2" width="2.77734375" style="2" customWidth="1"/>
    <col min="3" max="3" width="78.6640625" style="6" customWidth="1"/>
    <col min="4" max="4" width="31.88671875" style="1" customWidth="1"/>
    <col min="5" max="16" width="8.88671875" style="1"/>
  </cols>
  <sheetData>
    <row r="2" spans="1:16" ht="43.2" customHeight="1">
      <c r="C2" s="58" t="s">
        <v>24</v>
      </c>
      <c r="P2" s="98"/>
    </row>
    <row r="3" spans="1:16" ht="4.95" customHeight="1">
      <c r="B3" s="1"/>
      <c r="C3" s="4"/>
      <c r="P3" s="97"/>
    </row>
    <row r="4" spans="1:16" ht="19.95" customHeight="1">
      <c r="B4" s="1"/>
      <c r="C4" s="4"/>
      <c r="P4" s="99"/>
    </row>
    <row r="5" spans="1:16" ht="4.95" customHeight="1">
      <c r="B5" s="1"/>
      <c r="C5" s="4"/>
    </row>
    <row r="6" spans="1:16" ht="34.950000000000003" customHeight="1">
      <c r="B6" s="118"/>
      <c r="C6" s="121"/>
      <c r="D6" s="121"/>
      <c r="E6" s="121"/>
      <c r="F6" s="121"/>
      <c r="G6" s="121"/>
      <c r="H6" s="121"/>
      <c r="I6" s="121"/>
      <c r="J6" s="121"/>
      <c r="K6" s="121"/>
      <c r="L6" s="121"/>
      <c r="M6" s="121"/>
      <c r="N6" s="121"/>
      <c r="O6" s="121"/>
      <c r="P6" s="121"/>
    </row>
    <row r="7" spans="1:16" ht="15" customHeight="1">
      <c r="B7"/>
      <c r="C7"/>
      <c r="D7"/>
      <c r="E7"/>
      <c r="F7"/>
      <c r="G7"/>
      <c r="H7"/>
      <c r="I7"/>
      <c r="J7"/>
      <c r="K7"/>
      <c r="L7"/>
      <c r="M7"/>
      <c r="N7"/>
      <c r="O7"/>
      <c r="P7"/>
    </row>
    <row r="8" spans="1:16" ht="15" customHeight="1">
      <c r="C8" s="24"/>
    </row>
    <row r="9" spans="1:16" ht="19.2" customHeight="1">
      <c r="B9" s="1"/>
      <c r="C9" s="4"/>
    </row>
    <row r="16" spans="1:16" s="1" customFormat="1">
      <c r="A16"/>
      <c r="B16" s="2"/>
    </row>
    <row r="17" spans="1:2" s="1" customFormat="1">
      <c r="A17"/>
      <c r="B17" s="2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F1DEB-DE7B-436D-A47E-90F41C9C2F3B}">
  <sheetPr codeName="Sheet4"/>
  <dimension ref="B2:P20"/>
  <sheetViews>
    <sheetView zoomScale="85" zoomScaleNormal="85" workbookViewId="0">
      <pane xSplit="3" ySplit="6" topLeftCell="D7" activePane="bottomRight" state="frozen"/>
      <selection activeCell="C8" sqref="C8"/>
      <selection pane="topRight" activeCell="C8" sqref="C8"/>
      <selection pane="bottomLeft" activeCell="C8" sqref="C8"/>
      <selection pane="bottomRight" activeCell="C8" sqref="C8"/>
    </sheetView>
  </sheetViews>
  <sheetFormatPr defaultRowHeight="14.4"/>
  <cols>
    <col min="1" max="1" width="3" style="1" customWidth="1"/>
    <col min="2" max="2" width="2.77734375" style="2" customWidth="1"/>
    <col min="3" max="3" width="53.33203125" style="6" bestFit="1" customWidth="1"/>
    <col min="4" max="4" width="27.77734375" style="1" customWidth="1"/>
    <col min="5" max="16384" width="8.88671875" style="1"/>
  </cols>
  <sheetData>
    <row r="2" spans="2:16" ht="51.6" customHeight="1">
      <c r="B2" s="40"/>
      <c r="C2" s="58" t="s">
        <v>31</v>
      </c>
      <c r="D2" s="102"/>
      <c r="P2" s="98"/>
    </row>
    <row r="3" spans="2:16" ht="4.95" customHeight="1">
      <c r="B3" s="40"/>
      <c r="C3" s="100"/>
      <c r="D3" s="101"/>
      <c r="P3" s="97"/>
    </row>
    <row r="4" spans="2:16" ht="19.95" customHeight="1">
      <c r="B4" s="40"/>
      <c r="C4" s="100"/>
      <c r="D4" s="101"/>
      <c r="P4" s="99"/>
    </row>
    <row r="5" spans="2:16" ht="4.95" customHeight="1">
      <c r="B5" s="1"/>
      <c r="C5" s="4"/>
    </row>
    <row r="6" spans="2:16" s="5" customFormat="1" ht="30" customHeight="1">
      <c r="B6" s="118"/>
      <c r="C6" s="121"/>
      <c r="D6" s="121"/>
      <c r="E6" s="121"/>
      <c r="F6" s="121"/>
      <c r="G6" s="121"/>
      <c r="H6" s="121"/>
      <c r="I6" s="121"/>
      <c r="J6" s="121"/>
      <c r="K6" s="121"/>
      <c r="L6" s="121"/>
      <c r="M6" s="121"/>
      <c r="N6" s="121"/>
      <c r="O6" s="121"/>
      <c r="P6" s="121"/>
    </row>
    <row r="7" spans="2:16" ht="10.050000000000001" customHeight="1">
      <c r="B7" s="1"/>
      <c r="C7" s="4"/>
    </row>
    <row r="8" spans="2:16" ht="10.050000000000001" customHeight="1">
      <c r="B8" s="9"/>
      <c r="D8" s="6"/>
    </row>
    <row r="9" spans="2:16" ht="150" customHeight="1">
      <c r="B9" s="14"/>
      <c r="C9" s="15"/>
      <c r="D9"/>
      <c r="E9"/>
      <c r="F9"/>
      <c r="G9"/>
      <c r="H9"/>
      <c r="I9"/>
    </row>
    <row r="10" spans="2:16" ht="10.050000000000001" customHeight="1">
      <c r="B10" s="17"/>
      <c r="D10"/>
      <c r="E10"/>
      <c r="F10"/>
      <c r="G10"/>
      <c r="H10"/>
      <c r="I10"/>
    </row>
    <row r="11" spans="2:16" collapsed="1">
      <c r="D11"/>
      <c r="E11"/>
      <c r="F11"/>
      <c r="G11"/>
      <c r="H11"/>
      <c r="I11"/>
    </row>
    <row r="12" spans="2:16">
      <c r="D12"/>
      <c r="E12"/>
      <c r="F12"/>
      <c r="G12"/>
      <c r="H12"/>
      <c r="I12"/>
    </row>
    <row r="13" spans="2:16">
      <c r="C13" s="1"/>
      <c r="D13"/>
      <c r="E13"/>
      <c r="F13"/>
      <c r="G13"/>
      <c r="H13"/>
      <c r="I13"/>
    </row>
    <row r="14" spans="2:16">
      <c r="C14" s="1"/>
    </row>
    <row r="15" spans="2:16">
      <c r="C15" s="1"/>
    </row>
    <row r="16" spans="2:16">
      <c r="C16" s="1"/>
    </row>
    <row r="19" spans="3:3">
      <c r="C19" s="1"/>
    </row>
    <row r="20" spans="3:3">
      <c r="C20" s="1"/>
    </row>
  </sheetData>
  <conditionalFormatting sqref="D8">
    <cfRule type="cellIs" dxfId="16" priority="4" operator="equal">
      <formula>0</formula>
    </cfRule>
  </conditionalFormatting>
  <conditionalFormatting sqref="D2:D4">
    <cfRule type="cellIs" dxfId="15" priority="1" operator="equal">
      <formula>"Notes"</formula>
    </cfRule>
    <cfRule type="cellIs" dxfId="14" priority="2" operator="equal">
      <formula>"Notes"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43</vt:i4>
      </vt:variant>
    </vt:vector>
  </HeadingPairs>
  <TitlesOfParts>
    <vt:vector size="47" baseType="lpstr">
      <vt:lpstr>Overview</vt:lpstr>
      <vt:lpstr>Field Analysis</vt:lpstr>
      <vt:lpstr>SinglePlot</vt:lpstr>
      <vt:lpstr>MultiplePlots</vt:lpstr>
      <vt:lpstr>Compiled_Lists</vt:lpstr>
      <vt:lpstr>Composition</vt:lpstr>
      <vt:lpstr>CompositionTable</vt:lpstr>
      <vt:lpstr>DarkHeader</vt:lpstr>
      <vt:lpstr>Data_Description</vt:lpstr>
      <vt:lpstr>Definitions</vt:lpstr>
      <vt:lpstr>Description</vt:lpstr>
      <vt:lpstr>Dimensions</vt:lpstr>
      <vt:lpstr>Field_Analysis</vt:lpstr>
      <vt:lpstr>Field_Lists</vt:lpstr>
      <vt:lpstr>Field_Notes</vt:lpstr>
      <vt:lpstr>FieldList1</vt:lpstr>
      <vt:lpstr>FieldList2</vt:lpstr>
      <vt:lpstr>FieldList3</vt:lpstr>
      <vt:lpstr>FieldList4</vt:lpstr>
      <vt:lpstr>FieldList5</vt:lpstr>
      <vt:lpstr>FieldList6</vt:lpstr>
      <vt:lpstr>FieldList7</vt:lpstr>
      <vt:lpstr>FieldList8</vt:lpstr>
      <vt:lpstr>FieldLists</vt:lpstr>
      <vt:lpstr>FieldRange</vt:lpstr>
      <vt:lpstr>FormatRange</vt:lpstr>
      <vt:lpstr>Headers</vt:lpstr>
      <vt:lpstr>Headers_Start</vt:lpstr>
      <vt:lpstr>Histogram</vt:lpstr>
      <vt:lpstr>LightHeader</vt:lpstr>
      <vt:lpstr>Metadata</vt:lpstr>
      <vt:lpstr>MultiplePlots</vt:lpstr>
      <vt:lpstr>MultiplePlotsTitle</vt:lpstr>
      <vt:lpstr>Name</vt:lpstr>
      <vt:lpstr>Notes</vt:lpstr>
      <vt:lpstr>Percentiles</vt:lpstr>
      <vt:lpstr>RecordHashes</vt:lpstr>
      <vt:lpstr>SerializedLists</vt:lpstr>
      <vt:lpstr>SinglePlot</vt:lpstr>
      <vt:lpstr>SinglePlotTitle</vt:lpstr>
      <vt:lpstr>Summary_Stats</vt:lpstr>
      <vt:lpstr>MultiplePlots!Theme</vt:lpstr>
      <vt:lpstr>Overview!Theme</vt:lpstr>
      <vt:lpstr>SinglePlot!Theme</vt:lpstr>
      <vt:lpstr>Toggles</vt:lpstr>
      <vt:lpstr>TopToggle</vt:lpstr>
      <vt:lpstr>Warning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Design.In.Data@outlook.com</dc:creator>
  <cp:lastModifiedBy>Michael Rivers</cp:lastModifiedBy>
  <dcterms:created xsi:type="dcterms:W3CDTF">2015-01-25T11:31:25Z</dcterms:created>
  <dcterms:modified xsi:type="dcterms:W3CDTF">2026-05-23T20:40:30Z</dcterms:modified>
</cp:coreProperties>
</file>