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AC9B2437-2AFD-48BC-BB48-AD99286BF9E5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Field Analysis" sheetId="25" r:id="rId2"/>
    <sheet name="Overview" sheetId="27" r:id="rId3"/>
    <sheet name="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'Field Analysis'!$D$69:$D$78</definedName>
    <definedName name="Composition" localSheetId="1">'Field Analysis'!$D$23:$D$33</definedName>
    <definedName name="CompositionTable" localSheetId="1">'Field Analysis'!$E$32</definedName>
    <definedName name="Config" localSheetId="0">debug!$C$6:$C$24</definedName>
    <definedName name="DarkHeader" localSheetId="1">'Field Analysis'!$E$79</definedName>
    <definedName name="Data_Description" localSheetId="1">'Field Analysis'!$D$7:$D$18</definedName>
    <definedName name="debug_metadata" localSheetId="0">debug!$D$28</definedName>
    <definedName name="DefaultWarn" localSheetId="3">Pivot!$C$8</definedName>
    <definedName name="Definitions" localSheetId="1">'Field Analysis'!$E$15:$L$15</definedName>
    <definedName name="Description" localSheetId="1">'Field Analysis'!$E$7</definedName>
    <definedName name="Dimensions" localSheetId="1">'Field Analysis'!$E$9</definedName>
    <definedName name="Field_Analysis" localSheetId="1">'Field Analysis'!$E$20:$E$78</definedName>
    <definedName name="Field_Lists" localSheetId="1">'Field Analysis'!$D$58:$D$66</definedName>
    <definedName name="FieldList1" localSheetId="1">'Field Analysis'!$E$58:$L$58</definedName>
    <definedName name="FieldList1" localSheetId="5">#REF!</definedName>
    <definedName name="FieldList1" localSheetId="4">#REF!</definedName>
    <definedName name="FieldList2" localSheetId="1">'Field Analysis'!$E$59:$L$59</definedName>
    <definedName name="FieldList2" localSheetId="5">#REF!</definedName>
    <definedName name="FieldList2" localSheetId="4">#REF!</definedName>
    <definedName name="FieldList3" localSheetId="1">'Field Analysis'!$E$60:$L$60</definedName>
    <definedName name="FieldList3" localSheetId="5">#REF!</definedName>
    <definedName name="FieldList3" localSheetId="4">#REF!</definedName>
    <definedName name="FieldList4" localSheetId="1">'Field Analysis'!$E$61:$L$61</definedName>
    <definedName name="FieldList4" localSheetId="5">#REF!</definedName>
    <definedName name="FieldList4" localSheetId="4">#REF!</definedName>
    <definedName name="FieldList5" localSheetId="1">'Field Analysis'!$E$62:$L$62</definedName>
    <definedName name="FieldList5" localSheetId="5">#REF!</definedName>
    <definedName name="FieldList5" localSheetId="4">#REF!</definedName>
    <definedName name="FieldList6" localSheetId="1">'Field Analysis'!$E$63:$L$63</definedName>
    <definedName name="FieldList6" localSheetId="5">#REF!</definedName>
    <definedName name="FieldList6" localSheetId="4">#REF!</definedName>
    <definedName name="FieldList7" localSheetId="1">'Field Analysis'!$E$64:$L$64</definedName>
    <definedName name="FieldList7" localSheetId="5">#REF!</definedName>
    <definedName name="FieldList7" localSheetId="4">#REF!</definedName>
    <definedName name="FieldList8" localSheetId="1">'Field Analysis'!$E$65:$L$65</definedName>
    <definedName name="FieldList8" localSheetId="5">#REF!</definedName>
    <definedName name="FieldList8" localSheetId="4">#REF!</definedName>
    <definedName name="FieldLists" localSheetId="1">'Field Analysis'!$D$58:$L$65</definedName>
    <definedName name="FieldRange" localSheetId="1">'Field Analysis'!$E$79:$L$79</definedName>
    <definedName name="FieldRange" localSheetId="5">#REF!</definedName>
    <definedName name="FieldRange" localSheetId="4">#REF!</definedName>
    <definedName name="FormatRange" localSheetId="1">'Field Analysis'!$G:$G</definedName>
    <definedName name="Headers" localSheetId="1">'Field Analysis'!$E$19:$L$19</definedName>
    <definedName name="Headers_Start" localSheetId="1">'Field Analysis'!$E$19</definedName>
    <definedName name="Histogram" localSheetId="1">'Field Analysis'!$E$42</definedName>
    <definedName name="LightHeader" localSheetId="1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1">'Field Analysis'!$C$3</definedName>
    <definedName name="Name" localSheetId="5">#REF!</definedName>
    <definedName name="Name" localSheetId="2">Overview!$B$3</definedName>
    <definedName name="Name" localSheetId="3">Pivot!$C$3</definedName>
    <definedName name="Name" localSheetId="4">#REF!</definedName>
    <definedName name="Notes" localSheetId="1">'Field Analysis'!$E$17:$L$17</definedName>
    <definedName name="Percentiles" localSheetId="1">'Field Analysis'!$D$46:$D$55</definedName>
    <definedName name="SerializedLists" localSheetId="1">'Field Analysis'!$E$69:$E$78</definedName>
    <definedName name="SinglePlot" localSheetId="4">SinglePlot!$C$8</definedName>
    <definedName name="SinglePlotTitle" localSheetId="4">SinglePlot!$C$2</definedName>
    <definedName name="Summary_Stats" localSheetId="1">'Field Analysis'!$D$36:$D$43</definedName>
    <definedName name="Theme" localSheetId="1">'Field Analysis'!$C$19:$L$19</definedName>
    <definedName name="Theme" localSheetId="5">MultiplePlots!$B$6:$P$6</definedName>
    <definedName name="Theme" localSheetId="2">Overview!$B$11:$AA$11</definedName>
    <definedName name="Theme" localSheetId="3">Pivot!$B$5:$Q$5</definedName>
    <definedName name="Theme" localSheetId="4">SinglePlot!$B$6:$P$6</definedName>
    <definedName name="toggle" localSheetId="0">debug!$B$5</definedName>
    <definedName name="Toggles" localSheetId="1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'Field Analysis'!$B$3</definedName>
    <definedName name="Warning" localSheetId="1">'Field Analysis'!$D$1</definedName>
    <definedName name="Warning" localSheetId="2">Overview!$B$1</definedName>
    <definedName name="Warning" localSheetId="3">Pivot!$B$1</definedName>
  </definedNames>
  <calcPr calcId="191029" iterateDelta="1E-4"/>
  <pivotCaches>
    <pivotCache cacheId="11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C12" i="27"/>
  <c r="C13" i="27"/>
  <c r="C14" i="27"/>
  <c r="C15" i="27"/>
  <c r="C16" i="27"/>
  <c r="C17" i="27"/>
  <c r="C18" i="27"/>
  <c r="C19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<sst xmlns="http://schemas.openxmlformats.org/spreadsheetml/2006/main" count="385" uniqueCount="194">
  <si>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</si>
  <si>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</si>
  <si>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</si>
  <si>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</si>
  <si>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</si>
  <si>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</si>
  <si>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</si>
  <si>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</si>
  <si>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</si>
  <si>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</si>
  <si>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</si>
  <si>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</si>
  <si>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</si>
  <si>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</si>
  <si>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</si>
  <si>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</si>
  <si>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</si>
  <si>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</si>
  <si>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</si>
  <si>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</si>
  <si>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</si>
  <si>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</si>
  <si>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</si>
  <si>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</si>
  <si>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</si>
  <si>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</si>
  <si>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</si>
  <si>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</si>
  <si>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</si>
  <si>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</si>
  <si>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</si>
  <si>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</si>
  <si>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</si>
  <si>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</si>
  <si>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</si>
  <si>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</si>
  <si>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</si>
  <si>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</si>
  <si>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</si>
  <si>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</si>
  <si>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</si>
  <si>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</si>
  <si>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</si>
  <si>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</si>
  <si>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</si>
  <si>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</si>
  <si>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</si>
  <si>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</si>
  <si>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</si>
  <si>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</si>
  <si>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</si>
  <si>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</si>
  <si>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</si>
  <si>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</si>
  <si>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</si>
  <si>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</si>
  <si>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</si>
  <si>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</si>
  <si>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</si>
  <si>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</si>
  <si>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</si>
  <si>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</si>
  <si>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</si>
  <si>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</si>
  <si>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</si>
  <si>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</si>
  <si>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</si>
  <si>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</si>
  <si>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</si>
  <si>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</si>
  <si>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</si>
  <si>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</si>
  <si>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</si>
  <si>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</si>
  <si>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</si>
  <si>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</si>
  <si>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</si>
  <si>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</si>
  <si>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</si>
  <si>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</si>
  <si>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</si>
  <si>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</si>
  <si>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</si>
  <si>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</si>
  <si>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</si>
  <si>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</si>
  <si>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</si>
  <si>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</si>
  <si>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</si>
  <si>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</si>
  <si>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</si>
  <si>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</si>
  <si>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index</t>
  </si>
  <si>
    <t>Record Hash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</si>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</sst>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38CAA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00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38CAA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99"/>
      <tableStyleElement type="headerRow" dxfId="198"/>
      <tableStyleElement type="totalRow" dxfId="197"/>
    </tableStyle>
    <tableStyle name="DarkTable" pivot="0" count="2" xr9:uid="{97C242D2-6F6D-4549-9428-17456D609B35}">
      <tableStyleElement type="wholeTable" dxfId="196"/>
      <tableStyleElement type="headerRow" dxfId="195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tal">
          <a:extLst>
            <a:ext uri="{FF2B5EF4-FFF2-40B4-BE49-F238E27FC236}">
              <a16:creationId xmlns:a16="http://schemas.microsoft.com/office/drawing/2014/main" id="{DC6FF6A3-B6B4-660D-7D00-E046EE0A7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total">
          <a:extLst>
            <a:ext uri="{FF2B5EF4-FFF2-40B4-BE49-F238E27FC236}">
              <a16:creationId xmlns:a16="http://schemas.microsoft.com/office/drawing/2014/main" id="{2B023599-3D1A-02D1-CC2D-E1564FA94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speeding">
          <a:extLst>
            <a:ext uri="{FF2B5EF4-FFF2-40B4-BE49-F238E27FC236}">
              <a16:creationId xmlns:a16="http://schemas.microsoft.com/office/drawing/2014/main" id="{35D85F39-DCC0-2E86-8B84-67C7C6C2DD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speeding">
          <a:extLst>
            <a:ext uri="{FF2B5EF4-FFF2-40B4-BE49-F238E27FC236}">
              <a16:creationId xmlns:a16="http://schemas.microsoft.com/office/drawing/2014/main" id="{ACDDEA8F-8CA5-A468-2D72-30C1020D02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lcohol">
          <a:extLst>
            <a:ext uri="{FF2B5EF4-FFF2-40B4-BE49-F238E27FC236}">
              <a16:creationId xmlns:a16="http://schemas.microsoft.com/office/drawing/2014/main" id="{7475EDCE-E261-ADD1-6A13-8315F2C1C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lcohol">
          <a:extLst>
            <a:ext uri="{FF2B5EF4-FFF2-40B4-BE49-F238E27FC236}">
              <a16:creationId xmlns:a16="http://schemas.microsoft.com/office/drawing/2014/main" id="{F48BD7BC-0F20-23F9-ACC2-C6C3074F6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not_distracted">
          <a:extLst>
            <a:ext uri="{FF2B5EF4-FFF2-40B4-BE49-F238E27FC236}">
              <a16:creationId xmlns:a16="http://schemas.microsoft.com/office/drawing/2014/main" id="{3831C9D6-AA73-A1D3-74D2-1E0E4DD67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not_distracted">
          <a:extLst>
            <a:ext uri="{FF2B5EF4-FFF2-40B4-BE49-F238E27FC236}">
              <a16:creationId xmlns:a16="http://schemas.microsoft.com/office/drawing/2014/main" id="{B4C08085-83EF-1FE9-FCB2-33D52904E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no_previous">
          <a:extLst>
            <a:ext uri="{FF2B5EF4-FFF2-40B4-BE49-F238E27FC236}">
              <a16:creationId xmlns:a16="http://schemas.microsoft.com/office/drawing/2014/main" id="{686EF068-1462-2417-0521-BC9552B33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no_previous">
          <a:extLst>
            <a:ext uri="{FF2B5EF4-FFF2-40B4-BE49-F238E27FC236}">
              <a16:creationId xmlns:a16="http://schemas.microsoft.com/office/drawing/2014/main" id="{017062BE-5BB6-ABF8-03E1-BBA073814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ins_premium">
          <a:extLst>
            <a:ext uri="{FF2B5EF4-FFF2-40B4-BE49-F238E27FC236}">
              <a16:creationId xmlns:a16="http://schemas.microsoft.com/office/drawing/2014/main" id="{0C0D4C68-9A59-F81F-AAD7-54F73E532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ins_premium">
          <a:extLst>
            <a:ext uri="{FF2B5EF4-FFF2-40B4-BE49-F238E27FC236}">
              <a16:creationId xmlns:a16="http://schemas.microsoft.com/office/drawing/2014/main" id="{95583B2D-E435-E18D-6B3B-7CE29EE8A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ins_losses">
          <a:extLst>
            <a:ext uri="{FF2B5EF4-FFF2-40B4-BE49-F238E27FC236}">
              <a16:creationId xmlns:a16="http://schemas.microsoft.com/office/drawing/2014/main" id="{D744D41E-F1B6-95B2-01CB-8BA94E3D1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ins_losses">
          <a:extLst>
            <a:ext uri="{FF2B5EF4-FFF2-40B4-BE49-F238E27FC236}">
              <a16:creationId xmlns:a16="http://schemas.microsoft.com/office/drawing/2014/main" id="{9CF518DF-9986-2253-8A64-36E85EC904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abbrev">
          <a:extLst>
            <a:ext uri="{FF2B5EF4-FFF2-40B4-BE49-F238E27FC236}">
              <a16:creationId xmlns:a16="http://schemas.microsoft.com/office/drawing/2014/main" id="{1E653974-2C00-C4BB-A9B5-029FB380C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7.404920138892" createdVersion="8" refreshedVersion="8" minRefreshableVersion="3" recordCount="51" xr:uid="{00DEDBB6-1F4A-4C10-B2D2-FF41FE7983D3}">
  <cacheSource type="worksheet">
    <worksheetSource name="tbl_SourceData"/>
  </cacheSource>
  <cacheFields count="12">
    <cacheField name="Record List" numFmtId="0">
      <sharedItems/>
    </cacheField>
    <cacheField name="total" numFmtId="0">
      <sharedItems containsSemiMixedTypes="0" containsString="0" containsNumber="1" minValue="5.9" maxValue="23.9" count="45">
        <n v="18.8"/>
        <n v="18.100000000000001"/>
        <n v="18.600000000000001"/>
        <n v="22.4"/>
        <n v="12"/>
        <n v="13.6"/>
        <n v="10.8"/>
        <n v="16.2"/>
        <n v="5.9"/>
        <n v="17.899999999999999"/>
        <n v="15.6"/>
        <n v="17.5"/>
        <n v="15.3"/>
        <n v="12.8"/>
        <n v="14.5"/>
        <n v="15.7"/>
        <n v="17.8"/>
        <n v="21.4"/>
        <n v="20.5"/>
        <n v="15.1"/>
        <n v="12.5"/>
        <n v="8.1999999999999993"/>
        <n v="14.1"/>
        <n v="9.6"/>
        <n v="17.600000000000001"/>
        <n v="16.100000000000001"/>
        <n v="14.9"/>
        <n v="14.7"/>
        <n v="11.6"/>
        <n v="11.2"/>
        <n v="18.399999999999999"/>
        <n v="12.3"/>
        <n v="16.8"/>
        <n v="23.9"/>
        <n v="19.899999999999999"/>
        <n v="18.2"/>
        <n v="11.1"/>
        <n v="19.399999999999999"/>
        <n v="19.5"/>
        <n v="11.3"/>
        <n v="12.7"/>
        <n v="10.6"/>
        <n v="23.8"/>
        <n v="13.8"/>
        <n v="17.399999999999999"/>
      </sharedItems>
    </cacheField>
    <cacheField name="speeding" numFmtId="0">
      <sharedItems containsSemiMixedTypes="0" containsString="0" containsNumber="1" minValue="1.7919999999999998" maxValue="9.4499999999999993" count="50">
        <n v="7.3320000000000007"/>
        <n v="7.4210000000000003"/>
        <n v="6.51"/>
        <n v="4.032"/>
        <n v="4.2"/>
        <n v="5.032"/>
        <n v="4.968"/>
        <n v="6.1560000000000006"/>
        <n v="2.0059999999999998"/>
        <n v="3.7589999999999999"/>
        <n v="2.964"/>
        <n v="9.4499999999999993"/>
        <n v="5.5080000000000009"/>
        <n v="4.6080000000000005"/>
        <n v="3.625"/>
        <n v="2.669"/>
        <n v="4.806"/>
        <n v="4.0659999999999998"/>
        <n v="7.1749999999999998"/>
        <n v="5.7380000000000004"/>
        <n v="4.25"/>
        <n v="1.8859999999999999"/>
        <n v="3.3839999999999999"/>
        <n v="2.2080000000000002"/>
        <n v="2.64"/>
        <n v="6.9230000000000009"/>
        <n v="8.3459999999999983"/>
        <n v="1.9370000000000005"/>
        <n v="5.4390000000000001"/>
        <n v="4.0599999999999996"/>
        <n v="1.7919999999999998"/>
        <n v="3.496"/>
        <n v="3.9359999999999999"/>
        <n v="6.5520000000000005"/>
        <n v="5.496999999999999"/>
        <n v="3.948"/>
        <n v="6.3679999999999994"/>
        <n v="4.2240000000000002"/>
        <n v="9.1"/>
        <n v="3.774"/>
        <n v="9.0820000000000007"/>
        <n v="6.0139999999999993"/>
        <n v="4.0949999999999998"/>
        <n v="7.76"/>
        <n v="4.859"/>
        <n v="4.08"/>
        <n v="2.4129999999999998"/>
        <n v="4.452"/>
        <n v="8.0920000000000005"/>
        <n v="7.3079999999999998"/>
      </sharedItems>
    </cacheField>
    <cacheField name="alcohol" numFmtId="0">
      <sharedItems containsSemiMixedTypes="0" containsString="0" containsNumber="1" minValue="1.5930000000000002" maxValue="10.038" count="50">
        <n v="5.64"/>
        <n v="4.5250000000000004"/>
        <n v="5.2080000000000011"/>
        <n v="5.8239999999999998"/>
        <n v="3.36"/>
        <n v="3.8079999999999998"/>
        <n v="3.8879999999999999"/>
        <n v="4.8600000000000003"/>
        <n v="1.5930000000000002"/>
        <n v="5.1909999999999989"/>
        <n v="3.9"/>
        <n v="7.1749999999999998"/>
        <n v="4.4370000000000003"/>
        <n v="4.3520000000000003"/>
        <n v="4.2050000000000001"/>
        <n v="3.9249999999999998"/>
        <n v="4.2720000000000002"/>
        <n v="4.9219999999999997"/>
        <n v="6.7649999999999997"/>
        <n v="4.53"/>
        <n v="4"/>
        <n v="2.87"/>
        <n v="3.948"/>
        <n v="2.7839999999999998"/>
        <n v="5.4560000000000004"/>
        <n v="5.4740000000000011"/>
        <n v="9.4160000000000004"/>
        <n v="5.2149999999999999"/>
        <n v="4.7039999999999997"/>
        <n v="3.48"/>
        <n v="3.1360000000000001"/>
        <n v="4.968"/>
        <n v="3.5670000000000006"/>
        <n v="10.038"/>
        <n v="4.7939999999999996"/>
        <n v="5.770999999999999"/>
        <n v="3.3280000000000003"/>
        <n v="5.6420000000000003"/>
        <n v="4.218"/>
        <n v="9.7989999999999995"/>
        <n v="6.4019999999999992"/>
        <n v="5.6550000000000002"/>
        <n v="7.371999999999999"/>
        <n v="1.8080000000000001"/>
        <n v="4.08"/>
        <n v="3.4289999999999998"/>
        <n v="3.4980000000000002"/>
        <n v="6.6639999999999997"/>
        <n v="4.5540000000000003"/>
        <n v="5.5679999999999996"/>
      </sharedItems>
    </cacheField>
    <cacheField name="not_distracted" numFmtId="0">
      <sharedItems containsSemiMixedTypes="0" containsString="0" containsNumber="1" minValue="1.76" maxValue="23.661000000000001" count="50">
        <n v="18.047999999999998"/>
        <n v="16.290000000000003"/>
        <n v="15.624000000000001"/>
        <n v="21.056000000000001"/>
        <n v="10.92"/>
        <n v="10.743999999999998"/>
        <n v="9.3960000000000008"/>
        <n v="14.093999999999999"/>
        <n v="5.9"/>
        <n v="16.468"/>
        <n v="14.82"/>
        <n v="14.35"/>
        <n v="13.005000000000001"/>
        <n v="12.032"/>
        <n v="13.775"/>
        <n v="15.228999999999999"/>
        <n v="13.706"/>
        <n v="16.691999999999997"/>
        <n v="14.965"/>
        <n v="13.137"/>
        <n v="8.875"/>
        <n v="7.1340000000000003"/>
        <n v="13.395"/>
        <n v="8.4480000000000004"/>
        <n v="1.76"/>
        <n v="14.811999999999999"/>
        <n v="17.975999999999999"/>
        <n v="13.856999999999999"/>
        <n v="13.965"/>
        <n v="10.092000000000001"/>
        <n v="9.6319999999999997"/>
        <n v="12.327999999999999"/>
        <n v="10.824000000000002"/>
        <n v="15.792"/>
        <n v="23.661000000000001"/>
        <n v="13.958999999999998"/>
        <n v="18.308"/>
        <n v="8.5760000000000005"/>
        <n v="17.471999999999998"/>
        <n v="10.212"/>
        <n v="22.943999999999999"/>
        <n v="19.012"/>
        <n v="15.99"/>
        <n v="17.654"/>
        <n v="9.9440000000000008"/>
        <n v="13.055999999999999"/>
        <n v="11.048999999999999"/>
        <n v="8.6920000000000002"/>
        <n v="23.085999999999999"/>
        <n v="5.3820000000000006"/>
      </sharedItems>
    </cacheField>
    <cacheField name="no_previous" numFmtId="0">
      <sharedItems containsSemiMixedTypes="0" containsString="0" containsNumber="1" minValue="5.9" maxValue="21.28" count="50">
        <n v="15.04"/>
        <n v="17.013999999999999"/>
        <n v="17.856000000000002"/>
        <n v="21.28"/>
        <n v="10.68"/>
        <n v="12.92"/>
        <n v="8.8559999999999999"/>
        <n v="16.038"/>
        <n v="5.9"/>
        <n v="16.826000000000001"/>
        <n v="14.507999999999999"/>
        <n v="15.225"/>
        <n v="14.994000000000002"/>
        <n v="12.288000000000002"/>
        <n v="13.775"/>
        <n v="13.659000000000001"/>
        <n v="15.13"/>
        <n v="16.263999999999999"/>
        <n v="20.09"/>
        <n v="12.683999999999999"/>
        <n v="12.375"/>
        <n v="6.56"/>
        <n v="10.856999999999999"/>
        <n v="8.4480000000000004"/>
        <n v="17.600000000000001"/>
        <n v="13.523999999999999"/>
        <n v="18.190000000000001"/>
        <n v="13.41"/>
        <n v="14.553000000000001"/>
        <n v="9.6280000000000001"/>
        <n v="8.7359999999999989"/>
        <n v="18.032"/>
        <n v="9.84"/>
        <n v="13.608000000000001"/>
        <n v="20.553999999999998"/>
        <n v="11.561999999999999"/>
        <n v="18.706"/>
        <n v="11.52"/>
        <n v="16.015999999999998"/>
        <n v="8.7690000000000001"/>
        <n v="19.359000000000002"/>
        <n v="16.683999999999997"/>
        <n v="15.795"/>
        <n v="16.878"/>
        <n v="10.848000000000004"/>
        <n v="11.175999999999998"/>
        <n v="9.1159999999999997"/>
        <n v="20.706"/>
        <n v="11.592000000000001"/>
        <n v="15.659999999999998"/>
      </sharedItems>
    </cacheField>
    <cacheField name="ins_premium" numFmtId="0">
      <sharedItems containsSemiMixedTypes="0" containsString="0" containsNumber="1" minValue="641.96" maxValue="1301.52" count="51">
        <n v="784.55"/>
        <n v="1053.48"/>
        <n v="899.47"/>
        <n v="827.34"/>
        <n v="878.41"/>
        <n v="835.5"/>
        <n v="1068.73"/>
        <n v="1137.8699999999999"/>
        <n v="1273.8900000000001"/>
        <n v="1160.1300000000001"/>
        <n v="913.15"/>
        <n v="861.18"/>
        <n v="641.96"/>
        <n v="803.11"/>
        <n v="710.46"/>
        <n v="649.05999999999995"/>
        <n v="780.45"/>
        <n v="872.51"/>
        <n v="1281.55"/>
        <n v="661.88"/>
        <n v="1048.78"/>
        <n v="1011.14"/>
        <n v="1110.6099999999999"/>
        <n v="777.18"/>
        <n v="896.07"/>
        <n v="790.32"/>
        <n v="816.21"/>
        <n v="732.28"/>
        <n v="1029.8699999999999"/>
        <n v="746.54"/>
        <n v="1301.52"/>
        <n v="869.85"/>
        <n v="1234.31"/>
        <n v="708.24"/>
        <n v="688.75"/>
        <n v="697.73"/>
        <n v="881.51"/>
        <n v="804.71"/>
        <n v="905.99"/>
        <n v="1148.99"/>
        <n v="858.97"/>
        <n v="669.31"/>
        <n v="767.91"/>
        <n v="1004.75"/>
        <n v="809.38"/>
        <n v="716.2"/>
        <n v="768.95"/>
        <n v="890.03"/>
        <n v="992.61"/>
        <n v="670.31"/>
        <n v="791.14"/>
      </sharedItems>
    </cacheField>
    <cacheField name="ins_losses" numFmtId="0">
      <sharedItems containsSemiMixedTypes="0" containsString="0" containsNumber="1" minValue="82.75" maxValue="194.78" count="51">
        <n v="145.08000000000001"/>
        <n v="133.93"/>
        <n v="110.35"/>
        <n v="142.38999999999999"/>
        <n v="165.63"/>
        <n v="139.91"/>
        <n v="167.02"/>
        <n v="151.47999999999999"/>
        <n v="136.05000000000001"/>
        <n v="144.18"/>
        <n v="142.80000000000001"/>
        <n v="120.92"/>
        <n v="82.75"/>
        <n v="139.15"/>
        <n v="108.92"/>
        <n v="114.47"/>
        <n v="133.80000000000001"/>
        <n v="137.13"/>
        <n v="194.78"/>
        <n v="96.57"/>
        <n v="192.7"/>
        <n v="135.63"/>
        <n v="152.26"/>
        <n v="133.35"/>
        <n v="155.77000000000001"/>
        <n v="144.44999999999999"/>
        <n v="85.15"/>
        <n v="114.82"/>
        <n v="138.71"/>
        <n v="120.21"/>
        <n v="159.85"/>
        <n v="120.75"/>
        <n v="150.01"/>
        <n v="127.82"/>
        <n v="109.72"/>
        <n v="133.52000000000001"/>
        <n v="178.86"/>
        <n v="104.61"/>
        <n v="153.86000000000001"/>
        <n v="148.58000000000001"/>
        <n v="116.29"/>
        <n v="96.87"/>
        <n v="155.57"/>
        <n v="156.83000000000001"/>
        <n v="109.48"/>
        <n v="109.61"/>
        <n v="153.72"/>
        <n v="111.62"/>
        <n v="152.56"/>
        <n v="106.62"/>
        <n v="122.04"/>
      </sharedItems>
    </cacheField>
    <cacheField name="abbrev" numFmtId="0">
      <sharedItems count="51"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index" numFmtId="0">
      <sharedItems containsSemiMixedTypes="0" containsString="0" containsNumber="1" containsInteger="1" minValue="0" maxValue="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4834549225603261E+17" maxValue="1.781149612857432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b v="0"/>
    <x v="0"/>
    <x v="0"/>
    <x v="0"/>
    <x v="0"/>
    <x v="0"/>
    <x v="0"/>
    <x v="0"/>
    <x v="0"/>
    <n v="0"/>
    <n v="0"/>
    <n v="4.6326082156998175E+18"/>
  </r>
  <r>
    <b v="0"/>
    <x v="1"/>
    <x v="1"/>
    <x v="1"/>
    <x v="1"/>
    <x v="1"/>
    <x v="1"/>
    <x v="1"/>
    <x v="1"/>
    <n v="1"/>
    <n v="0"/>
    <n v="1.0354735659823745E+19"/>
  </r>
  <r>
    <b v="0"/>
    <x v="2"/>
    <x v="2"/>
    <x v="2"/>
    <x v="2"/>
    <x v="2"/>
    <x v="2"/>
    <x v="2"/>
    <x v="2"/>
    <n v="2"/>
    <n v="0"/>
    <n v="8.2148052693421998E+18"/>
  </r>
  <r>
    <b v="0"/>
    <x v="3"/>
    <x v="3"/>
    <x v="3"/>
    <x v="3"/>
    <x v="3"/>
    <x v="3"/>
    <x v="3"/>
    <x v="3"/>
    <n v="3"/>
    <n v="0"/>
    <n v="4.4828494410551721E+18"/>
  </r>
  <r>
    <b v="0"/>
    <x v="4"/>
    <x v="4"/>
    <x v="4"/>
    <x v="4"/>
    <x v="4"/>
    <x v="4"/>
    <x v="4"/>
    <x v="4"/>
    <n v="4"/>
    <n v="0"/>
    <n v="3.7244398362547231E+18"/>
  </r>
  <r>
    <b v="0"/>
    <x v="5"/>
    <x v="5"/>
    <x v="5"/>
    <x v="5"/>
    <x v="5"/>
    <x v="5"/>
    <x v="5"/>
    <x v="5"/>
    <n v="5"/>
    <n v="0"/>
    <n v="5.5835957081849754E+18"/>
  </r>
  <r>
    <b v="0"/>
    <x v="6"/>
    <x v="6"/>
    <x v="6"/>
    <x v="6"/>
    <x v="6"/>
    <x v="6"/>
    <x v="6"/>
    <x v="6"/>
    <n v="6"/>
    <n v="0"/>
    <n v="2.4834549225603261E+17"/>
  </r>
  <r>
    <b v="0"/>
    <x v="7"/>
    <x v="7"/>
    <x v="7"/>
    <x v="7"/>
    <x v="7"/>
    <x v="7"/>
    <x v="7"/>
    <x v="7"/>
    <n v="7"/>
    <n v="0"/>
    <n v="7.8926597823567739E+18"/>
  </r>
  <r>
    <b v="0"/>
    <x v="8"/>
    <x v="8"/>
    <x v="8"/>
    <x v="8"/>
    <x v="8"/>
    <x v="8"/>
    <x v="8"/>
    <x v="8"/>
    <n v="8"/>
    <n v="0"/>
    <n v="9.2264550790620713E+18"/>
  </r>
  <r>
    <b v="0"/>
    <x v="9"/>
    <x v="9"/>
    <x v="9"/>
    <x v="9"/>
    <x v="9"/>
    <x v="9"/>
    <x v="9"/>
    <x v="9"/>
    <n v="9"/>
    <n v="0"/>
    <n v="7.3395090620845056E+18"/>
  </r>
  <r>
    <b v="0"/>
    <x v="10"/>
    <x v="10"/>
    <x v="10"/>
    <x v="10"/>
    <x v="10"/>
    <x v="10"/>
    <x v="10"/>
    <x v="10"/>
    <n v="10"/>
    <n v="0"/>
    <n v="1.3254140137568328E+19"/>
  </r>
  <r>
    <b v="0"/>
    <x v="11"/>
    <x v="11"/>
    <x v="11"/>
    <x v="11"/>
    <x v="11"/>
    <x v="11"/>
    <x v="11"/>
    <x v="11"/>
    <n v="11"/>
    <n v="0"/>
    <n v="1.5366426124011796E+19"/>
  </r>
  <r>
    <b v="0"/>
    <x v="12"/>
    <x v="12"/>
    <x v="12"/>
    <x v="12"/>
    <x v="12"/>
    <x v="12"/>
    <x v="12"/>
    <x v="12"/>
    <n v="12"/>
    <n v="0"/>
    <n v="3.4239789219678623E+18"/>
  </r>
  <r>
    <b v="0"/>
    <x v="13"/>
    <x v="13"/>
    <x v="13"/>
    <x v="13"/>
    <x v="13"/>
    <x v="13"/>
    <x v="13"/>
    <x v="13"/>
    <n v="13"/>
    <n v="0"/>
    <n v="1.1155552824622021E+19"/>
  </r>
  <r>
    <b v="0"/>
    <x v="14"/>
    <x v="14"/>
    <x v="14"/>
    <x v="14"/>
    <x v="14"/>
    <x v="14"/>
    <x v="14"/>
    <x v="14"/>
    <n v="14"/>
    <n v="0"/>
    <n v="1.3308621350227706E+19"/>
  </r>
  <r>
    <b v="0"/>
    <x v="15"/>
    <x v="15"/>
    <x v="15"/>
    <x v="15"/>
    <x v="15"/>
    <x v="15"/>
    <x v="15"/>
    <x v="15"/>
    <n v="15"/>
    <n v="0"/>
    <n v="3.8393311487363871E+18"/>
  </r>
  <r>
    <b v="0"/>
    <x v="16"/>
    <x v="16"/>
    <x v="16"/>
    <x v="16"/>
    <x v="16"/>
    <x v="16"/>
    <x v="16"/>
    <x v="16"/>
    <n v="16"/>
    <n v="0"/>
    <n v="8.7592784851903939E+18"/>
  </r>
  <r>
    <b v="0"/>
    <x v="17"/>
    <x v="17"/>
    <x v="17"/>
    <x v="17"/>
    <x v="17"/>
    <x v="17"/>
    <x v="17"/>
    <x v="17"/>
    <n v="17"/>
    <n v="0"/>
    <n v="9.9602869643228262E+18"/>
  </r>
  <r>
    <b v="0"/>
    <x v="18"/>
    <x v="18"/>
    <x v="18"/>
    <x v="18"/>
    <x v="18"/>
    <x v="18"/>
    <x v="18"/>
    <x v="18"/>
    <n v="18"/>
    <n v="0"/>
    <n v="3.470374600425002E+18"/>
  </r>
  <r>
    <b v="0"/>
    <x v="19"/>
    <x v="19"/>
    <x v="19"/>
    <x v="19"/>
    <x v="19"/>
    <x v="19"/>
    <x v="19"/>
    <x v="19"/>
    <n v="19"/>
    <n v="0"/>
    <n v="1.577261842682003E+19"/>
  </r>
  <r>
    <b v="0"/>
    <x v="20"/>
    <x v="20"/>
    <x v="20"/>
    <x v="20"/>
    <x v="20"/>
    <x v="20"/>
    <x v="20"/>
    <x v="20"/>
    <n v="20"/>
    <n v="0"/>
    <n v="4.0196847963083131E+18"/>
  </r>
  <r>
    <b v="0"/>
    <x v="21"/>
    <x v="21"/>
    <x v="21"/>
    <x v="21"/>
    <x v="21"/>
    <x v="21"/>
    <x v="21"/>
    <x v="21"/>
    <n v="21"/>
    <n v="0"/>
    <n v="3.3716871247513718E+18"/>
  </r>
  <r>
    <b v="0"/>
    <x v="22"/>
    <x v="22"/>
    <x v="22"/>
    <x v="22"/>
    <x v="22"/>
    <x v="22"/>
    <x v="22"/>
    <x v="22"/>
    <n v="22"/>
    <n v="0"/>
    <n v="6.552962056638464E+18"/>
  </r>
  <r>
    <b v="0"/>
    <x v="23"/>
    <x v="23"/>
    <x v="23"/>
    <x v="23"/>
    <x v="23"/>
    <x v="23"/>
    <x v="23"/>
    <x v="23"/>
    <n v="23"/>
    <n v="0"/>
    <n v="1.5086975572505743E+19"/>
  </r>
  <r>
    <b v="0"/>
    <x v="24"/>
    <x v="24"/>
    <x v="24"/>
    <x v="24"/>
    <x v="24"/>
    <x v="24"/>
    <x v="24"/>
    <x v="24"/>
    <n v="24"/>
    <n v="0"/>
    <n v="1.1525160601263012E+19"/>
  </r>
  <r>
    <b v="0"/>
    <x v="25"/>
    <x v="25"/>
    <x v="25"/>
    <x v="25"/>
    <x v="25"/>
    <x v="25"/>
    <x v="25"/>
    <x v="25"/>
    <n v="25"/>
    <n v="0"/>
    <n v="1.7088892571412914E+19"/>
  </r>
  <r>
    <b v="0"/>
    <x v="17"/>
    <x v="26"/>
    <x v="26"/>
    <x v="26"/>
    <x v="26"/>
    <x v="26"/>
    <x v="26"/>
    <x v="26"/>
    <n v="26"/>
    <n v="0"/>
    <n v="1.5773426638237372E+19"/>
  </r>
  <r>
    <b v="0"/>
    <x v="26"/>
    <x v="27"/>
    <x v="27"/>
    <x v="27"/>
    <x v="27"/>
    <x v="27"/>
    <x v="27"/>
    <x v="27"/>
    <n v="27"/>
    <n v="0"/>
    <n v="1.3109816842341057E+19"/>
  </r>
  <r>
    <b v="0"/>
    <x v="27"/>
    <x v="28"/>
    <x v="28"/>
    <x v="28"/>
    <x v="28"/>
    <x v="28"/>
    <x v="28"/>
    <x v="28"/>
    <n v="28"/>
    <n v="0"/>
    <n v="8.9263223022928087E+18"/>
  </r>
  <r>
    <b v="0"/>
    <x v="28"/>
    <x v="29"/>
    <x v="29"/>
    <x v="29"/>
    <x v="29"/>
    <x v="29"/>
    <x v="29"/>
    <x v="29"/>
    <n v="29"/>
    <n v="0"/>
    <n v="1.56055776982389E+19"/>
  </r>
  <r>
    <b v="0"/>
    <x v="29"/>
    <x v="30"/>
    <x v="30"/>
    <x v="30"/>
    <x v="30"/>
    <x v="30"/>
    <x v="30"/>
    <x v="30"/>
    <n v="30"/>
    <n v="0"/>
    <n v="3.4218919125238415E+18"/>
  </r>
  <r>
    <b v="0"/>
    <x v="30"/>
    <x v="31"/>
    <x v="31"/>
    <x v="31"/>
    <x v="31"/>
    <x v="31"/>
    <x v="31"/>
    <x v="31"/>
    <n v="31"/>
    <n v="0"/>
    <n v="1.624713806916751E+19"/>
  </r>
  <r>
    <b v="0"/>
    <x v="31"/>
    <x v="32"/>
    <x v="32"/>
    <x v="32"/>
    <x v="32"/>
    <x v="32"/>
    <x v="32"/>
    <x v="32"/>
    <n v="32"/>
    <n v="0"/>
    <n v="8.1002230800175657E+18"/>
  </r>
  <r>
    <b v="0"/>
    <x v="32"/>
    <x v="33"/>
    <x v="2"/>
    <x v="33"/>
    <x v="33"/>
    <x v="33"/>
    <x v="33"/>
    <x v="33"/>
    <n v="33"/>
    <n v="0"/>
    <n v="2.3214715655503391E+18"/>
  </r>
  <r>
    <b v="0"/>
    <x v="33"/>
    <x v="34"/>
    <x v="33"/>
    <x v="34"/>
    <x v="34"/>
    <x v="34"/>
    <x v="34"/>
    <x v="34"/>
    <n v="34"/>
    <n v="0"/>
    <n v="1.6997849974749694E+19"/>
  </r>
  <r>
    <b v="0"/>
    <x v="22"/>
    <x v="35"/>
    <x v="34"/>
    <x v="35"/>
    <x v="35"/>
    <x v="35"/>
    <x v="35"/>
    <x v="35"/>
    <n v="35"/>
    <n v="0"/>
    <n v="1.4481800272527096E+19"/>
  </r>
  <r>
    <b v="0"/>
    <x v="34"/>
    <x v="36"/>
    <x v="35"/>
    <x v="36"/>
    <x v="36"/>
    <x v="36"/>
    <x v="36"/>
    <x v="36"/>
    <n v="36"/>
    <n v="0"/>
    <n v="3.057125717689216E+18"/>
  </r>
  <r>
    <b v="0"/>
    <x v="13"/>
    <x v="37"/>
    <x v="36"/>
    <x v="37"/>
    <x v="37"/>
    <x v="37"/>
    <x v="37"/>
    <x v="37"/>
    <n v="37"/>
    <n v="0"/>
    <n v="1.7811496128574325E+19"/>
  </r>
  <r>
    <b v="0"/>
    <x v="35"/>
    <x v="38"/>
    <x v="37"/>
    <x v="38"/>
    <x v="38"/>
    <x v="38"/>
    <x v="38"/>
    <x v="38"/>
    <n v="38"/>
    <n v="0"/>
    <n v="7.5940334320016538E+18"/>
  </r>
  <r>
    <b v="0"/>
    <x v="36"/>
    <x v="39"/>
    <x v="38"/>
    <x v="39"/>
    <x v="39"/>
    <x v="39"/>
    <x v="39"/>
    <x v="39"/>
    <n v="39"/>
    <n v="0"/>
    <n v="1.3826353499460506E+19"/>
  </r>
  <r>
    <b v="0"/>
    <x v="33"/>
    <x v="40"/>
    <x v="39"/>
    <x v="40"/>
    <x v="40"/>
    <x v="40"/>
    <x v="40"/>
    <x v="40"/>
    <n v="40"/>
    <n v="0"/>
    <n v="1.7462686048127762E+19"/>
  </r>
  <r>
    <b v="0"/>
    <x v="37"/>
    <x v="41"/>
    <x v="40"/>
    <x v="41"/>
    <x v="41"/>
    <x v="41"/>
    <x v="41"/>
    <x v="41"/>
    <n v="41"/>
    <n v="0"/>
    <n v="1.5021367770992562E+19"/>
  </r>
  <r>
    <b v="0"/>
    <x v="38"/>
    <x v="42"/>
    <x v="41"/>
    <x v="42"/>
    <x v="42"/>
    <x v="42"/>
    <x v="42"/>
    <x v="42"/>
    <n v="42"/>
    <n v="0"/>
    <n v="1.3353805550090191E+19"/>
  </r>
  <r>
    <b v="0"/>
    <x v="37"/>
    <x v="43"/>
    <x v="42"/>
    <x v="43"/>
    <x v="43"/>
    <x v="43"/>
    <x v="43"/>
    <x v="43"/>
    <n v="43"/>
    <n v="0"/>
    <n v="8.8678330218432256E+18"/>
  </r>
  <r>
    <b v="0"/>
    <x v="39"/>
    <x v="44"/>
    <x v="43"/>
    <x v="44"/>
    <x v="44"/>
    <x v="44"/>
    <x v="44"/>
    <x v="44"/>
    <n v="44"/>
    <n v="0"/>
    <n v="1.1716517170708765E+19"/>
  </r>
  <r>
    <b v="0"/>
    <x v="5"/>
    <x v="45"/>
    <x v="44"/>
    <x v="45"/>
    <x v="5"/>
    <x v="45"/>
    <x v="45"/>
    <x v="45"/>
    <n v="45"/>
    <n v="0"/>
    <n v="1.7211618119023102E+19"/>
  </r>
  <r>
    <b v="0"/>
    <x v="40"/>
    <x v="46"/>
    <x v="45"/>
    <x v="46"/>
    <x v="45"/>
    <x v="46"/>
    <x v="46"/>
    <x v="46"/>
    <n v="46"/>
    <n v="0"/>
    <n v="1.4830999920337308E+19"/>
  </r>
  <r>
    <b v="0"/>
    <x v="41"/>
    <x v="47"/>
    <x v="46"/>
    <x v="47"/>
    <x v="46"/>
    <x v="47"/>
    <x v="47"/>
    <x v="47"/>
    <n v="47"/>
    <n v="0"/>
    <n v="6.9066360779343657E+18"/>
  </r>
  <r>
    <b v="0"/>
    <x v="42"/>
    <x v="48"/>
    <x v="47"/>
    <x v="48"/>
    <x v="47"/>
    <x v="48"/>
    <x v="48"/>
    <x v="48"/>
    <n v="48"/>
    <n v="0"/>
    <n v="1.6806068785352362E+19"/>
  </r>
  <r>
    <b v="0"/>
    <x v="43"/>
    <x v="6"/>
    <x v="48"/>
    <x v="49"/>
    <x v="48"/>
    <x v="49"/>
    <x v="49"/>
    <x v="49"/>
    <n v="49"/>
    <n v="0"/>
    <n v="1.7211031413456316E+19"/>
  </r>
  <r>
    <b v="0"/>
    <x v="44"/>
    <x v="49"/>
    <x v="49"/>
    <x v="7"/>
    <x v="49"/>
    <x v="50"/>
    <x v="50"/>
    <x v="50"/>
    <n v="50"/>
    <n v="0"/>
    <n v="1.562603756665718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M55" firstHeaderRow="0" firstDataRow="1" firstDataCol="8"/>
  <pivotFields count="12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compact="0" outline="0" showAll="0"/>
    <pivotField dataField="1"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0" subtotal="average" baseField="0" baseItem="1" numFmtId="164"/>
    <dataField name="% of Total Blanks" fld="10" showDataAs="percentOfTotal" baseField="0" baseItem="1" numFmtId="164"/>
    <dataField name="% of Records" fld="10" subtotal="count" showDataAs="percentOfTotal" baseField="0" baseItem="2" numFmtId="10"/>
  </dataFields>
  <formats count="106"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grandRow="1" outline="0" fieldPosition="0"/>
    </format>
    <format dxfId="1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0">
      <pivotArea type="all" dataOnly="0" outline="0" fieldPosition="0"/>
    </format>
    <format dxfId="119">
      <pivotArea dataOnly="0" outline="0" fieldPosition="0">
        <references count="1">
          <reference field="4294967294" count="1">
            <x v="0"/>
          </reference>
        </references>
      </pivotArea>
    </format>
    <format dxfId="118">
      <pivotArea outline="0" fieldPosition="0">
        <references count="1">
          <reference field="4294967294" count="1">
            <x v="0"/>
          </reference>
        </references>
      </pivotArea>
    </format>
    <format dxfId="117">
      <pivotArea outline="0" fieldPosition="0">
        <references count="1">
          <reference field="4294967294" count="1">
            <x v="1"/>
          </reference>
        </references>
      </pivotArea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3">
      <pivotArea outline="0" fieldPosition="0">
        <references count="1">
          <reference field="4294967294" count="1" selected="0">
            <x v="1"/>
          </reference>
        </references>
      </pivotArea>
    </format>
    <format dxfId="112">
      <pivotArea dataOnly="0" outline="0" fieldPosition="0">
        <references count="1">
          <reference field="4294967294" count="1">
            <x v="1"/>
          </reference>
        </references>
      </pivotArea>
    </format>
    <format dxfId="111">
      <pivotArea type="all" dataOnly="0" outline="0" fieldPosition="0"/>
    </format>
    <format dxfId="110">
      <pivotArea type="all" dataOnly="0" outline="0" fieldPosition="0"/>
    </format>
    <format dxfId="109">
      <pivotArea outline="0" fieldPosition="0">
        <references count="1">
          <reference field="4294967294" count="1"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7">
      <pivotArea dataOnly="0" labelOnly="1" outline="0" fieldPosition="0">
        <references count="1">
          <reference field="1" count="0"/>
        </references>
      </pivotArea>
    </format>
    <format dxfId="86">
      <pivotArea outline="0" collapsedLevelsAreSubtotals="1" fieldPosition="0"/>
    </format>
    <format dxfId="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field="2" type="button" dataOnly="0" labelOnly="1" outline="0" axis="axisRow" fieldPosition="1"/>
    </format>
    <format dxfId="63">
      <pivotArea field="3" type="button" dataOnly="0" labelOnly="1" outline="0" axis="axisRow" fieldPosition="2"/>
    </format>
    <format dxfId="62">
      <pivotArea field="4" type="button" dataOnly="0" labelOnly="1" outline="0" axis="axisRow" fieldPosition="3"/>
    </format>
    <format dxfId="61">
      <pivotArea field="5" type="button" dataOnly="0" labelOnly="1" outline="0" axis="axisRow" fieldPosition="4"/>
    </format>
    <format dxfId="60">
      <pivotArea field="6" type="button" dataOnly="0" labelOnly="1" outline="0" axis="axisRow" fieldPosition="5"/>
    </format>
    <format dxfId="59">
      <pivotArea field="7" type="button" dataOnly="0" labelOnly="1" outline="0" axis="axisRow" fieldPosition="6"/>
    </format>
    <format dxfId="58">
      <pivotArea field="8" type="button" dataOnly="0" labelOnly="1" outline="0" axis="axisRow" fieldPosition="7"/>
    </format>
    <format dxfId="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field="2" type="button" dataOnly="0" labelOnly="1" outline="0" axis="axisRow" fieldPosition="1"/>
    </format>
    <format dxfId="55">
      <pivotArea field="3" type="button" dataOnly="0" labelOnly="1" outline="0" axis="axisRow" fieldPosition="2"/>
    </format>
    <format dxfId="54">
      <pivotArea field="4" type="button" dataOnly="0" labelOnly="1" outline="0" axis="axisRow" fieldPosition="3"/>
    </format>
    <format dxfId="53">
      <pivotArea field="5" type="button" dataOnly="0" labelOnly="1" outline="0" axis="axisRow" fieldPosition="4"/>
    </format>
    <format dxfId="52">
      <pivotArea field="6" type="button" dataOnly="0" labelOnly="1" outline="0" axis="axisRow" fieldPosition="5"/>
    </format>
    <format dxfId="51">
      <pivotArea field="7" type="button" dataOnly="0" labelOnly="1" outline="0" axis="axisRow" fieldPosition="6"/>
    </format>
    <format dxfId="50">
      <pivotArea field="8" type="button" dataOnly="0" labelOnly="1" outline="0" axis="axisRow" fieldPosition="7"/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field="1" type="button" dataOnly="0" labelOnly="1" outline="0" axis="axisRow" fieldPosition="0"/>
    </format>
    <format dxfId="47">
      <pivotArea dataOnly="0" labelOnly="1" outline="0" fieldPosition="0">
        <references count="1">
          <reference field="1" count="1">
            <x v="0"/>
          </reference>
        </references>
      </pivotArea>
    </format>
    <format dxfId="46">
      <pivotArea dataOnly="0" labelOnly="1" outline="0" fieldPosition="0">
        <references count="1">
          <reference field="1" count="1">
            <x v="1"/>
          </reference>
        </references>
      </pivotArea>
    </format>
    <format dxfId="45">
      <pivotArea dataOnly="0" labelOnly="1" outline="0" fieldPosition="0">
        <references count="1">
          <reference field="1" count="1">
            <x v="2"/>
          </reference>
        </references>
      </pivotArea>
    </format>
    <format dxfId="44">
      <pivotArea dataOnly="0" labelOnly="1" outline="0" fieldPosition="0">
        <references count="1">
          <reference field="1" count="1">
            <x v="3"/>
          </reference>
        </references>
      </pivotArea>
    </format>
    <format dxfId="43">
      <pivotArea dataOnly="0" labelOnly="1" outline="0" fieldPosition="0">
        <references count="1">
          <reference field="1" count="1">
            <x v="4"/>
          </reference>
        </references>
      </pivotArea>
    </format>
    <format dxfId="42">
      <pivotArea dataOnly="0" labelOnly="1" outline="0" fieldPosition="0">
        <references count="1">
          <reference field="1" count="1">
            <x v="5"/>
          </reference>
        </references>
      </pivotArea>
    </format>
    <format dxfId="41">
      <pivotArea dataOnly="0" labelOnly="1" outline="0" fieldPosition="0">
        <references count="1">
          <reference field="1" count="1">
            <x v="6"/>
          </reference>
        </references>
      </pivotArea>
    </format>
    <format dxfId="40">
      <pivotArea dataOnly="0" labelOnly="1" outline="0" fieldPosition="0">
        <references count="1">
          <reference field="1" count="1">
            <x v="7"/>
          </reference>
        </references>
      </pivotArea>
    </format>
    <format dxfId="39">
      <pivotArea dataOnly="0" labelOnly="1" outline="0" fieldPosition="0">
        <references count="1">
          <reference field="1" count="1">
            <x v="8"/>
          </reference>
        </references>
      </pivotArea>
    </format>
    <format dxfId="38">
      <pivotArea dataOnly="0" labelOnly="1" outline="0" fieldPosition="0">
        <references count="1">
          <reference field="1" count="1">
            <x v="9"/>
          </reference>
        </references>
      </pivotArea>
    </format>
    <format dxfId="37">
      <pivotArea dataOnly="0" labelOnly="1" outline="0" fieldPosition="0">
        <references count="1">
          <reference field="1" count="1">
            <x v="10"/>
          </reference>
        </references>
      </pivotArea>
    </format>
    <format dxfId="36">
      <pivotArea dataOnly="0" labelOnly="1" outline="0" fieldPosition="0">
        <references count="1">
          <reference field="1" count="1">
            <x v="11"/>
          </reference>
        </references>
      </pivotArea>
    </format>
    <format dxfId="35">
      <pivotArea dataOnly="0" labelOnly="1" outline="0" fieldPosition="0">
        <references count="1">
          <reference field="1" count="1">
            <x v="12"/>
          </reference>
        </references>
      </pivotArea>
    </format>
    <format dxfId="34">
      <pivotArea dataOnly="0" labelOnly="1" outline="0" fieldPosition="0">
        <references count="1">
          <reference field="1" count="1">
            <x v="13"/>
          </reference>
        </references>
      </pivotArea>
    </format>
    <format dxfId="33">
      <pivotArea dataOnly="0" labelOnly="1" outline="0" fieldPosition="0">
        <references count="1">
          <reference field="1" count="1">
            <x v="14"/>
          </reference>
        </references>
      </pivotArea>
    </format>
    <format dxfId="32">
      <pivotArea dataOnly="0" labelOnly="1" outline="0" fieldPosition="0">
        <references count="1">
          <reference field="1" count="1">
            <x v="15"/>
          </reference>
        </references>
      </pivotArea>
    </format>
    <format dxfId="31">
      <pivotArea dataOnly="0" labelOnly="1" outline="0" fieldPosition="0">
        <references count="1">
          <reference field="1" count="1">
            <x v="16"/>
          </reference>
        </references>
      </pivotArea>
    </format>
    <format dxfId="30">
      <pivotArea dataOnly="0" labelOnly="1" outline="0" fieldPosition="0">
        <references count="1">
          <reference field="1" count="1">
            <x v="17"/>
          </reference>
        </references>
      </pivotArea>
    </format>
    <format dxfId="29">
      <pivotArea dataOnly="0" labelOnly="1" outline="0" fieldPosition="0">
        <references count="1">
          <reference field="1" count="1">
            <x v="18"/>
          </reference>
        </references>
      </pivotArea>
    </format>
    <format dxfId="28">
      <pivotArea dataOnly="0" labelOnly="1" outline="0" fieldPosition="0">
        <references count="1">
          <reference field="1" count="1">
            <x v="19"/>
          </reference>
        </references>
      </pivotArea>
    </format>
    <format dxfId="27">
      <pivotArea dataOnly="0" labelOnly="1" outline="0" fieldPosition="0">
        <references count="1">
          <reference field="1" count="1">
            <x v="20"/>
          </reference>
        </references>
      </pivotArea>
    </format>
    <format dxfId="26">
      <pivotArea dataOnly="0" labelOnly="1" outline="0" fieldPosition="0">
        <references count="1">
          <reference field="1" count="1">
            <x v="21"/>
          </reference>
        </references>
      </pivotArea>
    </format>
    <format dxfId="25">
      <pivotArea dataOnly="0" labelOnly="1" outline="0" fieldPosition="0">
        <references count="1">
          <reference field="1" count="1">
            <x v="22"/>
          </reference>
        </references>
      </pivotArea>
    </format>
    <format dxfId="24">
      <pivotArea dataOnly="0" labelOnly="1" outline="0" fieldPosition="0">
        <references count="1">
          <reference field="1" count="1">
            <x v="23"/>
          </reference>
        </references>
      </pivotArea>
    </format>
    <format dxfId="23">
      <pivotArea dataOnly="0" labelOnly="1" outline="0" fieldPosition="0">
        <references count="1">
          <reference field="1" count="1">
            <x v="24"/>
          </reference>
        </references>
      </pivotArea>
    </format>
    <format dxfId="22">
      <pivotArea dataOnly="0" labelOnly="1" outline="0" fieldPosition="0">
        <references count="1">
          <reference field="1" count="1">
            <x v="25"/>
          </reference>
        </references>
      </pivotArea>
    </format>
    <format dxfId="21">
      <pivotArea dataOnly="0" labelOnly="1" outline="0" fieldPosition="0">
        <references count="1">
          <reference field="1" count="1">
            <x v="26"/>
          </reference>
        </references>
      </pivotArea>
    </format>
    <format dxfId="20">
      <pivotArea dataOnly="0" labelOnly="1" outline="0" fieldPosition="0">
        <references count="1">
          <reference field="1" count="1">
            <x v="27"/>
          </reference>
        </references>
      </pivotArea>
    </format>
    <format dxfId="19">
      <pivotArea dataOnly="0" labelOnly="1" outline="0" fieldPosition="0">
        <references count="1">
          <reference field="1" count="1">
            <x v="28"/>
          </reference>
        </references>
      </pivotArea>
    </format>
    <format dxfId="18">
      <pivotArea dataOnly="0" labelOnly="1" outline="0" fieldPosition="0">
        <references count="1">
          <reference field="1" count="1">
            <x v="29"/>
          </reference>
        </references>
      </pivotArea>
    </format>
    <format dxfId="17">
      <pivotArea dataOnly="0" labelOnly="1" outline="0" fieldPosition="0">
        <references count="1">
          <reference field="1" count="1">
            <x v="30"/>
          </reference>
        </references>
      </pivotArea>
    </format>
    <format dxfId="16">
      <pivotArea dataOnly="0" labelOnly="1" outline="0" fieldPosition="0">
        <references count="1">
          <reference field="1" count="1">
            <x v="31"/>
          </reference>
        </references>
      </pivotArea>
    </format>
    <format dxfId="15">
      <pivotArea dataOnly="0" labelOnly="1" outline="0" fieldPosition="0">
        <references count="1">
          <reference field="1" count="1">
            <x v="32"/>
          </reference>
        </references>
      </pivotArea>
    </format>
    <format dxfId="14">
      <pivotArea dataOnly="0" labelOnly="1" outline="0" fieldPosition="0">
        <references count="1">
          <reference field="1" count="1">
            <x v="33"/>
          </reference>
        </references>
      </pivotArea>
    </format>
    <format dxfId="13">
      <pivotArea dataOnly="0" labelOnly="1" outline="0" fieldPosition="0">
        <references count="1">
          <reference field="1" count="1">
            <x v="34"/>
          </reference>
        </references>
      </pivotArea>
    </format>
    <format dxfId="12">
      <pivotArea dataOnly="0" labelOnly="1" outline="0" fieldPosition="0">
        <references count="1">
          <reference field="1" count="1">
            <x v="35"/>
          </reference>
        </references>
      </pivotArea>
    </format>
    <format dxfId="11">
      <pivotArea dataOnly="0" labelOnly="1" outline="0" fieldPosition="0">
        <references count="1">
          <reference field="1" count="1">
            <x v="36"/>
          </reference>
        </references>
      </pivotArea>
    </format>
    <format dxfId="10">
      <pivotArea dataOnly="0" labelOnly="1" outline="0" fieldPosition="0">
        <references count="1">
          <reference field="1" count="1">
            <x v="37"/>
          </reference>
        </references>
      </pivotArea>
    </format>
    <format dxfId="9">
      <pivotArea dataOnly="0" labelOnly="1" outline="0" fieldPosition="0">
        <references count="1">
          <reference field="1" count="1">
            <x v="38"/>
          </reference>
        </references>
      </pivotArea>
    </format>
    <format dxfId="8">
      <pivotArea dataOnly="0" labelOnly="1" outline="0" fieldPosition="0">
        <references count="1">
          <reference field="1" count="1">
            <x v="39"/>
          </reference>
        </references>
      </pivotArea>
    </format>
    <format dxfId="7">
      <pivotArea dataOnly="0" labelOnly="1" outline="0" fieldPosition="0">
        <references count="1">
          <reference field="1" count="1">
            <x v="40"/>
          </reference>
        </references>
      </pivotArea>
    </format>
    <format dxfId="6">
      <pivotArea dataOnly="0" labelOnly="1" outline="0" fieldPosition="0">
        <references count="1">
          <reference field="1" count="1">
            <x v="41"/>
          </reference>
        </references>
      </pivotArea>
    </format>
    <format dxfId="5">
      <pivotArea dataOnly="0" labelOnly="1" outline="0" fieldPosition="0">
        <references count="1">
          <reference field="1" count="1">
            <x v="42"/>
          </reference>
        </references>
      </pivotArea>
    </format>
    <format dxfId="4">
      <pivotArea dataOnly="0" labelOnly="1" outline="0" fieldPosition="0">
        <references count="1">
          <reference field="1" count="1">
            <x v="43"/>
          </reference>
        </references>
      </pivotArea>
    </format>
    <format dxfId="3">
      <pivotArea dataOnly="0" labelOnly="1" outline="0" fieldPosition="0">
        <references count="1">
          <reference field="1" count="1">
            <x v="44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8" totalsRowShown="0" headerRowDxfId="194" dataDxfId="192" headerRowBorderDxfId="193" tableBorderDxfId="191" totalsRowBorderDxfId="190" headerRowCellStyle="DarkHeader">
  <autoFilter ref="C45:J68" xr:uid="{DD504193-DD3B-4BC5-B491-CD13C900E1D0}"/>
  <tableColumns count="8">
    <tableColumn id="1" xr3:uid="{428A065A-E650-48CD-82D8-DCD52C6ADF49}" name="Dataset" dataDxfId="189"/>
    <tableColumn id="2" xr3:uid="{59A978F6-B8DD-476D-83D1-DF4156BF2B65}" name="Field" dataDxfId="188"/>
    <tableColumn id="4" xr3:uid="{F13FAD31-2DAD-46F1-87AA-89BB89F55C7D}" name="Activity" dataDxfId="187"/>
    <tableColumn id="3" xr3:uid="{EEC05A6B-8FC2-4E70-83F0-CD177B8B3640}" name="Rows" dataDxfId="186"/>
    <tableColumn id="5" xr3:uid="{393C3242-A398-4640-8F14-23E67E5E58DD}" name="Columns" dataDxfId="185" dataCellStyle="Comma"/>
    <tableColumn id="6" xr3:uid="{FD0E5439-87A1-4303-9EA2-539C332536D5}" name="Datatype" dataDxfId="184"/>
    <tableColumn id="7" xr3:uid="{8B1A0719-0FD5-40F2-A5A8-CFCFA32E014A}" name="Production Time in Seconds" dataDxfId="183"/>
    <tableColumn id="8" xr3:uid="{B5BE7F10-5FBA-44EF-8324-B95D2ABA2298}" name="% of Production Time" dataDxfId="182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81" dataDxfId="179" headerRowBorderDxfId="180" tableBorderDxfId="178" totalsRowBorderDxfId="177">
  <tableColumns count="3">
    <tableColumn id="1" xr3:uid="{FFACC0FF-000E-4785-9C1A-22F01E7C2644}" name="Production Section" dataDxfId="176" dataCellStyle="DarkHeader"/>
    <tableColumn id="2" xr3:uid="{6A06C42D-D4AD-45CE-A81D-0918B410EAA9}" name="Production Time in Seconds" dataDxfId="175"/>
    <tableColumn id="3" xr3:uid="{2643AF23-A2E5-4438-810D-7531CB2D2E4E}" name="% of Production Time" dataDxfId="174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73" dataDxfId="171" headerRowBorderDxfId="172" tableBorderDxfId="170">
  <tableColumns count="2">
    <tableColumn id="1" xr3:uid="{9623C5AE-E7C2-4493-9B72-08667C9B2C60}" name="Environment Variable" dataDxfId="169" dataCellStyle="DarkHeader"/>
    <tableColumn id="2" xr3:uid="{E5E357AA-48FB-47EA-928A-80845B0CD7C9}" name="Value" dataDxfId="168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67" tableBorderDxfId="166" totalsRowBorderDxfId="165">
  <autoFilter ref="F9:G20" xr:uid="{A6117933-3C15-4FC8-ADF4-0EC66304DEE1}"/>
  <tableColumns count="2">
    <tableColumn id="1" xr3:uid="{EC70458D-5C3D-497C-AA06-AFCBD688FBDA}" name="Input Argument" dataDxfId="164" dataCellStyle="DarkHeader"/>
    <tableColumn id="2" xr3:uid="{FCA8AE27-3D46-4152-9A03-0F3EFBA2366A}" name="Value" dataDxfId="16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62" tableBorderDxfId="161" totalsRowBorderDxfId="160">
  <autoFilter ref="I9:J10" xr:uid="{6AF89CD0-DF40-4046-87D4-2BF660DDE636}"/>
  <tableColumns count="2">
    <tableColumn id="1" xr3:uid="{27FA7240-202E-4FAB-AD4A-DC169AFD6F56}" name="Error Type" dataDxfId="159" dataCellStyle="DarkHeader"/>
    <tableColumn id="2" xr3:uid="{C21354E4-3682-4AA0-B73A-2E689C89258C}" name="Value" dataDxfId="158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O130" totalsRowShown="0" headerRowDxfId="96" dataDxfId="95" headerRowCellStyle="DarkHeader" dataCellStyle="Normal">
  <autoFilter ref="D79:O130" xr:uid="{DB1D1E60-5E37-456A-AD85-0649D531840E}"/>
  <tableColumns count="12">
    <tableColumn id="1" xr3:uid="{57EDF41E-F06D-4819-BADE-3D62DE46F06C}" name="Record List" dataDxfId="93" dataCellStyle="Normal"/>
    <tableColumn id="2" xr3:uid="{CF70C9CE-83FE-40FA-8089-C68B39CF665A}" name="total" dataDxfId="94" dataCellStyle="Normal"/>
    <tableColumn id="3" xr3:uid="{B8654690-502A-4FAF-9205-0118DABCB954}" name="speeding" dataDxfId="102" dataCellStyle="Normal"/>
    <tableColumn id="4" xr3:uid="{5A5BA001-2F93-4E62-880C-C4E8BDB17EEB}" name="alcohol" dataDxfId="101" dataCellStyle="Normal"/>
    <tableColumn id="5" xr3:uid="{02C747AC-24CB-4C87-86B8-887DD58EEF5D}" name="not_distracted" dataDxfId="100" dataCellStyle="Normal"/>
    <tableColumn id="6" xr3:uid="{6B646FD1-B812-41CB-A723-B737E62525B7}" name="no_previous" dataDxfId="99" dataCellStyle="Normal"/>
    <tableColumn id="7" xr3:uid="{9355D957-9BD0-4603-8974-014236B2B8D5}" name="ins_premium" dataDxfId="98" dataCellStyle="Normal"/>
    <tableColumn id="8" xr3:uid="{3996628E-5E22-4C54-B287-31B0C1040453}" name="ins_losses" dataDxfId="97" dataCellStyle="Normal"/>
    <tableColumn id="9" xr3:uid="{E7686143-244F-4522-8549-9ED727655875}" name="abbrev" dataDxfId="92" dataCellStyle="Normal"/>
    <tableColumn id="10" xr3:uid="{84607654-CA4C-46B4-94FD-C750ED733985}" name="index" dataDxfId="91" dataCellStyle="Normal"/>
    <tableColumn id="11" xr3:uid="{3D7B70F4-9C89-49A3-8847-A6B986E8D62C}" name="HasBlank" dataDxfId="90" dataCellStyle="Normal"/>
    <tableColumn id="12" xr3:uid="{1DC6B8C1-EB66-460A-A4E2-D6C6CA5ECB18}" name="Record Hash" dataDxfId="89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9" totalsRowShown="0" headerRowDxfId="105" dataDxfId="149" headerRowBorderDxfId="150">
  <autoFilter ref="B11:AA19" xr:uid="{034D1C74-BE18-490E-B396-097D407DA97D}"/>
  <tableColumns count="26">
    <tableColumn id="1" xr3:uid="{010A8E62-502A-4B19-B37A-BF59E03A068A}" name="Field" dataDxfId="148"/>
    <tableColumn id="2" xr3:uid="{AD236665-EC7C-404F-8915-AD7CD5510D0F}" name="Definition" dataDxfId="10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10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47"/>
    <tableColumn id="5" xr3:uid="{5006D683-9D12-4B97-9EF2-6D41AF6E0B35}" name="Distinct %" dataDxfId="146"/>
    <tableColumn id="6" xr3:uid="{3AFB42F8-9976-44FF-9239-74914D5BE035}" name="Missing %" dataDxfId="145"/>
    <tableColumn id="7" xr3:uid="{4BA41102-DB06-4180-9754-C88722FE82BD}" name="Memory Usage %" dataDxfId="144"/>
    <tableColumn id="8" xr3:uid="{D22319BD-3A80-40F3-84FC-A6D1627B2F29}" name="Memory Usage" dataDxfId="143"/>
    <tableColumn id="9" xr3:uid="{77FAEE19-B6C7-4056-8EF3-5EB877C820C4}" name="Distinct" dataDxfId="142"/>
    <tableColumn id="10" xr3:uid="{54FF47BF-594E-417B-9028-64A4DFE4D389}" name="Count" dataDxfId="141"/>
    <tableColumn id="11" xr3:uid="{54E587FE-36DC-4522-91DC-8B81B386217B}" name="Count %" dataDxfId="140"/>
    <tableColumn id="12" xr3:uid="{0DE21D83-93B1-480C-BE9C-379DA0E532C7}" name="Missing" dataDxfId="139"/>
    <tableColumn id="13" xr3:uid="{C4B407B9-B7FB-4DFC-A6B3-885C816BAF99}" name="Mean" dataDxfId="138"/>
    <tableColumn id="14" xr3:uid="{9796FD8E-D568-43E1-AC6E-BFAE7C7B7017}" name="Median" dataDxfId="137"/>
    <tableColumn id="15" xr3:uid="{A6A7BCED-DD2F-4B41-A84C-2F2674A38A53}" name="Mode" dataDxfId="136"/>
    <tableColumn id="16" xr3:uid="{46607FA5-244C-49C2-997C-B64EB2E94FDE}" name="Standard Deviation" dataDxfId="135"/>
    <tableColumn id="17" xr3:uid="{80BA1782-4C46-45CE-B3FB-40B70BA09AF9}" name="Variance" dataDxfId="134"/>
    <tableColumn id="18" xr3:uid="{EC3C5A76-EF95-419C-87A8-D8885B542521}" name="Min" dataDxfId="133"/>
    <tableColumn id="19" xr3:uid="{BFE545F8-810C-4F0A-A0B2-FF0AB9764A07}" name="5%" dataDxfId="132"/>
    <tableColumn id="20" xr3:uid="{77D31A9B-57B1-4422-8EF9-6320F00E0DB9}" name="25%" dataDxfId="131"/>
    <tableColumn id="21" xr3:uid="{7A350787-F0EA-4E65-B596-5D7253E75CD6}" name="50%" dataDxfId="130"/>
    <tableColumn id="22" xr3:uid="{FB4C260E-A19F-4908-9DBF-DB4AC630982A}" name="75%" dataDxfId="129"/>
    <tableColumn id="23" xr3:uid="{FBECC9F1-5BC8-4774-9475-EB2D6D28F1E2}" name="95%" dataDxfId="128"/>
    <tableColumn id="24" xr3:uid="{839CD532-ED80-4544-A8C8-E9E036764A84}" name="Max" dataDxfId="127"/>
    <tableColumn id="25" xr3:uid="{9DDA1FD6-82B1-4FBE-8BBD-B40C331930D2}" name="Range" dataDxfId="126"/>
    <tableColumn id="26" xr3:uid="{902A027A-FD65-44D4-B3D0-5B3883ACFA39}" name="IQR" dataDxfId="125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8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149</v>
      </c>
      <c r="D10" s="95" t="s">
        <v>150</v>
      </c>
      <c r="F10" s="110" t="s">
        <v>172</v>
      </c>
      <c r="G10" s="123" t="s">
        <v>83</v>
      </c>
      <c r="I10" s="115" t="s">
        <v>185</v>
      </c>
      <c r="J10" s="116" t="s">
        <v>186</v>
      </c>
      <c r="L10" s="78"/>
    </row>
    <row r="11" spans="2:12" ht="15" hidden="1" customHeight="1" outlineLevel="1">
      <c r="C11" s="94" t="s">
        <v>151</v>
      </c>
      <c r="D11" s="95" t="s">
        <v>152</v>
      </c>
      <c r="F11" s="111" t="s">
        <v>173</v>
      </c>
      <c r="G11" s="124" t="s">
        <v>174</v>
      </c>
      <c r="I11" s="115"/>
      <c r="J11" s="116"/>
    </row>
    <row r="12" spans="2:12" ht="15" hidden="1" customHeight="1" outlineLevel="1">
      <c r="C12" s="94" t="s">
        <v>153</v>
      </c>
      <c r="D12" s="95">
        <v>16</v>
      </c>
      <c r="F12" s="111" t="s">
        <v>175</v>
      </c>
      <c r="G12" s="124" t="s">
        <v>176</v>
      </c>
      <c r="H12"/>
      <c r="I12"/>
      <c r="J12"/>
      <c r="K12"/>
    </row>
    <row r="13" spans="2:12" ht="15" hidden="1" customHeight="1" outlineLevel="1">
      <c r="C13" s="94" t="s">
        <v>154</v>
      </c>
      <c r="D13" s="95" t="b">
        <v>0</v>
      </c>
      <c r="F13" s="111" t="s">
        <v>177</v>
      </c>
      <c r="G13" s="124" t="s">
        <v>176</v>
      </c>
      <c r="H13"/>
      <c r="I13"/>
      <c r="J13"/>
      <c r="K13"/>
    </row>
    <row r="14" spans="2:12" ht="15" hidden="1" customHeight="1" outlineLevel="1">
      <c r="C14" s="94" t="s">
        <v>155</v>
      </c>
      <c r="D14" s="95" t="b">
        <v>1</v>
      </c>
      <c r="F14" s="111" t="s">
        <v>178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156</v>
      </c>
      <c r="D15" s="95" t="s">
        <v>157</v>
      </c>
      <c r="F15" s="111" t="s">
        <v>179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158</v>
      </c>
      <c r="D16" s="95">
        <v>46177</v>
      </c>
      <c r="F16" s="111" t="s">
        <v>180</v>
      </c>
      <c r="G16" s="124" t="s">
        <v>181</v>
      </c>
      <c r="H16"/>
      <c r="I16"/>
      <c r="J16"/>
      <c r="K16"/>
    </row>
    <row r="17" spans="2:25" ht="15" hidden="1" customHeight="1" outlineLevel="1">
      <c r="C17" s="94" t="s">
        <v>159</v>
      </c>
      <c r="D17" s="95">
        <v>11</v>
      </c>
      <c r="F17" s="111" t="s">
        <v>182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160</v>
      </c>
      <c r="D18" s="95" t="s">
        <v>161</v>
      </c>
      <c r="F18" s="111" t="s">
        <v>183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162</v>
      </c>
      <c r="D19" s="95" t="s">
        <v>163</v>
      </c>
      <c r="F19" s="111" t="s">
        <v>184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164</v>
      </c>
      <c r="D20" s="95" t="s">
        <v>165</v>
      </c>
      <c r="F20" s="125" t="s">
        <v>154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166</v>
      </c>
      <c r="D21" s="95" t="s">
        <v>167</v>
      </c>
      <c r="F21"/>
      <c r="G21"/>
      <c r="H21"/>
      <c r="I21"/>
      <c r="J21"/>
      <c r="K21"/>
    </row>
    <row r="22" spans="2:25" ht="15" hidden="1" customHeight="1" outlineLevel="1">
      <c r="C22" s="94" t="s">
        <v>168</v>
      </c>
      <c r="D22" s="95" t="s">
        <v>169</v>
      </c>
      <c r="F22"/>
      <c r="G22"/>
      <c r="H22"/>
      <c r="I22"/>
      <c r="J22"/>
      <c r="K22"/>
    </row>
    <row r="23" spans="2:25" ht="15" hidden="1" customHeight="1" outlineLevel="1">
      <c r="C23" s="94" t="s">
        <v>170</v>
      </c>
      <c r="D23" s="95">
        <v>172</v>
      </c>
      <c r="F23"/>
      <c r="G23"/>
      <c r="H23"/>
      <c r="I23"/>
      <c r="J23"/>
    </row>
    <row r="24" spans="2:25" ht="15" hidden="1" customHeight="1" outlineLevel="1">
      <c r="C24" s="125" t="s">
        <v>171</v>
      </c>
      <c r="D24" s="126">
        <v>16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15</v>
      </c>
      <c r="E29" s="97"/>
      <c r="X29" s="83"/>
      <c r="Y29" s="78"/>
    </row>
    <row r="30" spans="2:25" ht="15" customHeight="1">
      <c r="C30" s="99" t="s">
        <v>68</v>
      </c>
      <c r="D30" s="85">
        <v>8</v>
      </c>
      <c r="E30" s="97"/>
      <c r="X30" s="83"/>
    </row>
    <row r="31" spans="2:25" ht="15" customHeight="1">
      <c r="C31" s="99" t="s">
        <v>69</v>
      </c>
      <c r="D31" s="85">
        <v>51</v>
      </c>
      <c r="E31" s="97"/>
      <c r="K31" s="100"/>
      <c r="X31" s="83"/>
    </row>
    <row r="32" spans="2:25" ht="15" customHeight="1">
      <c r="C32" s="99" t="s">
        <v>70</v>
      </c>
      <c r="D32" s="86">
        <v>11.222535610198975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4.5611953735351563</v>
      </c>
      <c r="E35" s="127">
        <v>0.40643102511755902</v>
      </c>
    </row>
    <row r="36" spans="2:24" ht="15" customHeight="1">
      <c r="C36" s="104" t="s">
        <v>187</v>
      </c>
      <c r="D36" s="129">
        <v>5.4986708164215088</v>
      </c>
      <c r="E36" s="127">
        <v>0.48996594832772816</v>
      </c>
      <c r="K36" s="100"/>
    </row>
    <row r="37" spans="2:24" ht="15" customHeight="1">
      <c r="C37" s="104" t="s">
        <v>188</v>
      </c>
      <c r="D37" s="129">
        <v>0.3534538745880127</v>
      </c>
      <c r="E37" s="127">
        <v>3.14949500769224E-2</v>
      </c>
      <c r="K37" s="100"/>
    </row>
    <row r="38" spans="2:24" ht="15" customHeight="1">
      <c r="C38" s="104" t="s">
        <v>189</v>
      </c>
      <c r="D38" s="129">
        <v>0.58564329147338867</v>
      </c>
      <c r="E38" s="127">
        <v>5.218447880742072E-2</v>
      </c>
      <c r="K38" s="100"/>
    </row>
    <row r="39" spans="2:24" ht="15" customHeight="1">
      <c r="C39" s="104" t="s">
        <v>75</v>
      </c>
      <c r="D39" s="129">
        <v>0.73396873474121094</v>
      </c>
      <c r="E39" s="127">
        <v>6.5401203157387372E-2</v>
      </c>
      <c r="N39" s="79"/>
    </row>
    <row r="40" spans="2:24" ht="15" customHeight="1">
      <c r="C40" s="104" t="s">
        <v>76</v>
      </c>
      <c r="D40" s="129">
        <v>3.229438304901123</v>
      </c>
      <c r="E40" s="127">
        <v>0.2877631439403982</v>
      </c>
    </row>
    <row r="41" spans="2:24" ht="15" customHeight="1">
      <c r="C41" s="105" t="s">
        <v>190</v>
      </c>
      <c r="D41" s="130">
        <v>0.76337599754333496</v>
      </c>
      <c r="E41" s="128">
        <v>6.8021574132048193E-2</v>
      </c>
    </row>
    <row r="42" spans="2:24" ht="15" customHeight="1">
      <c r="C42" s="169" t="s">
        <v>77</v>
      </c>
      <c r="D42" s="130">
        <v>5.797266960144043E-2</v>
      </c>
      <c r="E42" s="128">
        <v>5.1657273160507777E-3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191</v>
      </c>
      <c r="F46" s="113">
        <v>51</v>
      </c>
      <c r="G46" s="109">
        <v>8</v>
      </c>
      <c r="H46" s="108" t="s">
        <v>95</v>
      </c>
      <c r="I46" s="131">
        <v>5.3228616714477539E-2</v>
      </c>
      <c r="J46" s="127">
        <v>4.7430025432318827E-3</v>
      </c>
    </row>
    <row r="47" spans="2:24" ht="15" customHeight="1">
      <c r="C47" s="117" t="s">
        <v>83</v>
      </c>
      <c r="D47" s="118" t="s">
        <v>85</v>
      </c>
      <c r="E47" s="118" t="s">
        <v>191</v>
      </c>
      <c r="F47" s="113">
        <v>51</v>
      </c>
      <c r="G47" s="109">
        <v>8</v>
      </c>
      <c r="H47" s="108" t="s">
        <v>95</v>
      </c>
      <c r="I47" s="131">
        <v>8.9921474456787109E-2</v>
      </c>
      <c r="J47" s="127">
        <v>8.0125655777881569E-3</v>
      </c>
    </row>
    <row r="48" spans="2:24" ht="15" customHeight="1">
      <c r="C48" s="117" t="s">
        <v>83</v>
      </c>
      <c r="D48" s="118" t="s">
        <v>86</v>
      </c>
      <c r="E48" s="118" t="s">
        <v>191</v>
      </c>
      <c r="F48" s="113">
        <v>51</v>
      </c>
      <c r="G48" s="109">
        <v>8</v>
      </c>
      <c r="H48" s="108" t="s">
        <v>95</v>
      </c>
      <c r="I48" s="131">
        <v>8.4947586059570313E-2</v>
      </c>
      <c r="J48" s="127">
        <v>7.5693610240366348E-3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191</v>
      </c>
      <c r="F49" s="171">
        <v>51</v>
      </c>
      <c r="G49" s="109">
        <v>8</v>
      </c>
      <c r="H49" s="113" t="s">
        <v>95</v>
      </c>
      <c r="I49" s="131">
        <v>8.2314729690551758E-2</v>
      </c>
      <c r="J49" s="172">
        <v>7.3347570605106997E-3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191</v>
      </c>
      <c r="F50" s="171">
        <v>51</v>
      </c>
      <c r="G50" s="109">
        <v>8</v>
      </c>
      <c r="H50" s="113" t="s">
        <v>95</v>
      </c>
      <c r="I50" s="131">
        <v>8.4490299224853516E-2</v>
      </c>
      <c r="J50" s="172">
        <v>7.5286139080316776E-3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191</v>
      </c>
      <c r="F51" s="171">
        <v>51</v>
      </c>
      <c r="G51" s="109">
        <v>8</v>
      </c>
      <c r="H51" s="113" t="s">
        <v>95</v>
      </c>
      <c r="I51" s="131">
        <v>8.7357997894287109E-2</v>
      </c>
      <c r="J51" s="172">
        <v>7.7841437887968632E-3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191</v>
      </c>
      <c r="F52" s="171">
        <v>51</v>
      </c>
      <c r="G52" s="109">
        <v>8</v>
      </c>
      <c r="H52" s="113" t="s">
        <v>95</v>
      </c>
      <c r="I52" s="131">
        <v>9.2168092727661133E-2</v>
      </c>
      <c r="J52" s="172">
        <v>8.2127533119459844E-3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191</v>
      </c>
      <c r="F53" s="171">
        <v>51</v>
      </c>
      <c r="G53" s="109">
        <v>8</v>
      </c>
      <c r="H53" s="113" t="s">
        <v>96</v>
      </c>
      <c r="I53" s="131">
        <v>9.6442699432373047E-2</v>
      </c>
      <c r="J53" s="172">
        <v>8.5936474948724063E-3</v>
      </c>
      <c r="K53"/>
    </row>
    <row r="54" spans="1:11" ht="15" customHeight="1">
      <c r="A54"/>
      <c r="B54"/>
      <c r="C54" s="170" t="s">
        <v>83</v>
      </c>
      <c r="D54" s="170" t="s">
        <v>84</v>
      </c>
      <c r="E54" s="117" t="s">
        <v>192</v>
      </c>
      <c r="F54" s="171">
        <v>51</v>
      </c>
      <c r="G54" s="109">
        <v>8</v>
      </c>
      <c r="H54" s="113" t="s">
        <v>95</v>
      </c>
      <c r="I54" s="131">
        <v>0.34445858001708984</v>
      </c>
      <c r="J54" s="172">
        <v>3.0693413090607989E-2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193</v>
      </c>
      <c r="F55" s="171">
        <v>51</v>
      </c>
      <c r="G55" s="109">
        <v>8</v>
      </c>
      <c r="H55" s="113" t="s">
        <v>95</v>
      </c>
      <c r="I55" s="131">
        <v>0.26756525039672852</v>
      </c>
      <c r="J55" s="172">
        <v>2.3841736671826552E-2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192</v>
      </c>
      <c r="F56" s="171">
        <v>51</v>
      </c>
      <c r="G56" s="109">
        <v>8</v>
      </c>
      <c r="H56" s="113" t="s">
        <v>95</v>
      </c>
      <c r="I56" s="131">
        <v>0.4010765552520752</v>
      </c>
      <c r="J56" s="172">
        <v>3.5738428668838036E-2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193</v>
      </c>
      <c r="F57" s="171">
        <v>51</v>
      </c>
      <c r="G57" s="109">
        <v>8</v>
      </c>
      <c r="H57" s="113" t="s">
        <v>95</v>
      </c>
      <c r="I57" s="131">
        <v>0.18397331237792969</v>
      </c>
      <c r="J57" s="172">
        <v>1.639317236395477E-2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192</v>
      </c>
      <c r="F58" s="171">
        <v>51</v>
      </c>
      <c r="G58" s="109">
        <v>8</v>
      </c>
      <c r="H58" s="113" t="s">
        <v>95</v>
      </c>
      <c r="I58" s="131">
        <v>0.28485870361328125</v>
      </c>
      <c r="J58" s="172">
        <v>2.5382691474904535E-2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193</v>
      </c>
      <c r="F59" s="171">
        <v>51</v>
      </c>
      <c r="G59" s="109">
        <v>8</v>
      </c>
      <c r="H59" s="113" t="s">
        <v>95</v>
      </c>
      <c r="I59" s="131">
        <v>0.16683363914489746</v>
      </c>
      <c r="J59" s="172">
        <v>1.486592031886594E-2</v>
      </c>
      <c r="K59"/>
    </row>
    <row r="60" spans="1:11">
      <c r="A60"/>
      <c r="B60"/>
      <c r="C60" s="170" t="s">
        <v>83</v>
      </c>
      <c r="D60" s="170" t="s">
        <v>87</v>
      </c>
      <c r="E60" s="117" t="s">
        <v>192</v>
      </c>
      <c r="F60" s="171">
        <v>51</v>
      </c>
      <c r="G60" s="109">
        <v>8</v>
      </c>
      <c r="H60" s="113" t="s">
        <v>95</v>
      </c>
      <c r="I60" s="131">
        <v>0.2062385082244873</v>
      </c>
      <c r="J60" s="172">
        <v>1.8377140519510008E-2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193</v>
      </c>
      <c r="F61" s="171">
        <v>51</v>
      </c>
      <c r="G61" s="109">
        <v>8</v>
      </c>
      <c r="H61" s="113" t="s">
        <v>95</v>
      </c>
      <c r="I61" s="131">
        <v>0.1580955982208252</v>
      </c>
      <c r="J61" s="172">
        <v>1.4087306240877574E-2</v>
      </c>
      <c r="K61"/>
    </row>
    <row r="62" spans="1:11">
      <c r="C62" s="170" t="s">
        <v>83</v>
      </c>
      <c r="D62" s="170" t="s">
        <v>88</v>
      </c>
      <c r="E62" s="117" t="s">
        <v>192</v>
      </c>
      <c r="F62" s="171">
        <v>51</v>
      </c>
      <c r="G62" s="109">
        <v>8</v>
      </c>
      <c r="H62" s="113" t="s">
        <v>95</v>
      </c>
      <c r="I62" s="131">
        <v>0.18980908393859863</v>
      </c>
      <c r="J62" s="172">
        <v>1.6913176096203644E-2</v>
      </c>
    </row>
    <row r="63" spans="1:11">
      <c r="C63" s="170" t="s">
        <v>83</v>
      </c>
      <c r="D63" s="170" t="s">
        <v>88</v>
      </c>
      <c r="E63" s="117" t="s">
        <v>193</v>
      </c>
      <c r="F63" s="171">
        <v>51</v>
      </c>
      <c r="G63" s="109">
        <v>8</v>
      </c>
      <c r="H63" s="113" t="s">
        <v>95</v>
      </c>
      <c r="I63" s="131">
        <v>0.15253114700317383</v>
      </c>
      <c r="J63" s="172">
        <v>1.3591478847530496E-2</v>
      </c>
    </row>
    <row r="64" spans="1:11">
      <c r="C64" s="170" t="s">
        <v>83</v>
      </c>
      <c r="D64" s="170" t="s">
        <v>89</v>
      </c>
      <c r="E64" s="117" t="s">
        <v>192</v>
      </c>
      <c r="F64" s="171">
        <v>51</v>
      </c>
      <c r="G64" s="109">
        <v>8</v>
      </c>
      <c r="H64" s="113" t="s">
        <v>95</v>
      </c>
      <c r="I64" s="131">
        <v>0.19179892539978027</v>
      </c>
      <c r="J64" s="172">
        <v>1.7090483411207488E-2</v>
      </c>
    </row>
    <row r="65" spans="3:10">
      <c r="C65" s="170" t="s">
        <v>83</v>
      </c>
      <c r="D65" s="170" t="s">
        <v>89</v>
      </c>
      <c r="E65" s="117" t="s">
        <v>193</v>
      </c>
      <c r="F65" s="171">
        <v>51</v>
      </c>
      <c r="G65" s="109">
        <v>8</v>
      </c>
      <c r="H65" s="113" t="s">
        <v>95</v>
      </c>
      <c r="I65" s="131">
        <v>0.13484382629394531</v>
      </c>
      <c r="J65" s="172">
        <v>1.2015427988331454E-2</v>
      </c>
    </row>
    <row r="66" spans="3:10">
      <c r="C66" s="170" t="s">
        <v>83</v>
      </c>
      <c r="D66" s="170" t="s">
        <v>90</v>
      </c>
      <c r="E66" s="117" t="s">
        <v>192</v>
      </c>
      <c r="F66" s="171">
        <v>51</v>
      </c>
      <c r="G66" s="109">
        <v>8</v>
      </c>
      <c r="H66" s="113" t="s">
        <v>95</v>
      </c>
      <c r="I66" s="131">
        <v>0.18869948387145996</v>
      </c>
      <c r="J66" s="172">
        <v>1.6814303792821436E-2</v>
      </c>
    </row>
    <row r="67" spans="3:10">
      <c r="C67" s="170" t="s">
        <v>83</v>
      </c>
      <c r="D67" s="170" t="s">
        <v>90</v>
      </c>
      <c r="E67" s="117" t="s">
        <v>193</v>
      </c>
      <c r="F67" s="171">
        <v>51</v>
      </c>
      <c r="G67" s="109">
        <v>8</v>
      </c>
      <c r="H67" s="113" t="s">
        <v>95</v>
      </c>
      <c r="I67" s="131">
        <v>0.12694168090820313</v>
      </c>
      <c r="J67" s="172">
        <v>1.1311297428963203E-2</v>
      </c>
    </row>
    <row r="68" spans="3:10">
      <c r="C68" s="173" t="s">
        <v>83</v>
      </c>
      <c r="D68" s="173" t="s">
        <v>91</v>
      </c>
      <c r="E68" s="174" t="s">
        <v>192</v>
      </c>
      <c r="F68" s="175">
        <v>51</v>
      </c>
      <c r="G68" s="176">
        <v>8</v>
      </c>
      <c r="H68" s="177" t="s">
        <v>96</v>
      </c>
      <c r="I68" s="178">
        <v>0.18525958061218262</v>
      </c>
      <c r="J68" s="179">
        <v>1.6507786905584982E-2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2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51</v>
      </c>
    </row>
    <row r="10" spans="1:23" ht="15" hidden="1" customHeight="1" outlineLevel="1">
      <c r="B10" s="32"/>
      <c r="C10" s="32"/>
      <c r="D10" s="69" t="s">
        <v>54</v>
      </c>
      <c r="E10" s="37">
        <v>8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94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</row>
    <row r="16" spans="1:23" ht="10.199999999999999" hidden="1" customHeight="1" outlineLevel="1">
      <c r="B16" s="32"/>
      <c r="C16" s="32"/>
    </row>
    <row r="17" spans="1:15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</row>
    <row r="18" spans="1:15" ht="10.199999999999999" hidden="1" customHeight="1" outlineLevel="1"/>
    <row r="19" spans="1:15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35" t="s">
        <v>92</v>
      </c>
      <c r="N19" s="35" t="s">
        <v>39</v>
      </c>
      <c r="O19" s="35" t="s">
        <v>93</v>
      </c>
    </row>
    <row r="20" spans="1:15" ht="10.199999999999999" customHeight="1"/>
    <row r="21" spans="1:15" ht="14.4" outlineLevel="1">
      <c r="B21" s="32"/>
      <c r="C21" s="70" t="s">
        <v>1</v>
      </c>
      <c r="D21" s="2" t="s">
        <v>8</v>
      </c>
    </row>
    <row r="22" spans="1:15" ht="10.199999999999999" customHeight="1" outlineLevel="1">
      <c r="B22" s="32"/>
      <c r="C22" s="32"/>
    </row>
    <row r="23" spans="1:15" ht="15" hidden="1" customHeight="1" outlineLevel="2">
      <c r="B23" s="32"/>
      <c r="C23" s="32"/>
      <c r="D23" s="28" t="s">
        <v>9</v>
      </c>
      <c r="E23" s="18" t="s">
        <v>95</v>
      </c>
      <c r="F23" s="18" t="s">
        <v>95</v>
      </c>
      <c r="G23" s="18" t="s">
        <v>95</v>
      </c>
      <c r="H23" s="18" t="s">
        <v>95</v>
      </c>
      <c r="I23" s="18" t="s">
        <v>95</v>
      </c>
      <c r="J23" s="18" t="s">
        <v>95</v>
      </c>
      <c r="K23" s="18" t="s">
        <v>95</v>
      </c>
      <c r="L23" s="18" t="s">
        <v>96</v>
      </c>
    </row>
    <row r="24" spans="1:15" ht="15" hidden="1" customHeight="1" outlineLevel="2">
      <c r="B24" s="32"/>
      <c r="C24" s="32"/>
      <c r="D24" s="3" t="s">
        <v>10</v>
      </c>
      <c r="E24" s="19">
        <v>0.88235294117647001</v>
      </c>
      <c r="F24" s="19">
        <v>0.98039215686274495</v>
      </c>
      <c r="G24" s="19">
        <v>0.98039215686274495</v>
      </c>
      <c r="H24" s="19">
        <v>0.98039215686274495</v>
      </c>
      <c r="I24" s="19">
        <v>0.98039215686274495</v>
      </c>
      <c r="J24" s="19">
        <v>1</v>
      </c>
      <c r="K24" s="19">
        <v>1</v>
      </c>
      <c r="L24" s="19">
        <v>1</v>
      </c>
    </row>
    <row r="25" spans="1:15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</row>
    <row r="26" spans="1:15" ht="15" hidden="1" customHeight="1" outlineLevel="2">
      <c r="B26" s="32"/>
      <c r="C26" s="32"/>
      <c r="D26" s="27" t="s">
        <v>12</v>
      </c>
      <c r="E26" s="19">
        <v>0.10790796085691599</v>
      </c>
      <c r="F26" s="19">
        <v>0.10790796085691599</v>
      </c>
      <c r="G26" s="19">
        <v>0.10790796085691599</v>
      </c>
      <c r="H26" s="19">
        <v>0.10790796085691599</v>
      </c>
      <c r="I26" s="19">
        <v>0.10790796085691599</v>
      </c>
      <c r="J26" s="19">
        <v>0.10790796085691599</v>
      </c>
      <c r="K26" s="19">
        <v>0.10790796085691599</v>
      </c>
      <c r="L26" s="19">
        <v>0.13673631314467</v>
      </c>
    </row>
    <row r="27" spans="1:15" ht="15" hidden="1" customHeight="1" outlineLevel="2">
      <c r="B27" s="32"/>
      <c r="C27" s="32"/>
      <c r="D27" s="27" t="s">
        <v>13</v>
      </c>
      <c r="E27" s="20">
        <v>408</v>
      </c>
      <c r="F27" s="20">
        <v>408</v>
      </c>
      <c r="G27" s="20">
        <v>408</v>
      </c>
      <c r="H27" s="20">
        <v>408</v>
      </c>
      <c r="I27" s="20">
        <v>408</v>
      </c>
      <c r="J27" s="20">
        <v>408</v>
      </c>
      <c r="K27" s="20">
        <v>408</v>
      </c>
      <c r="L27" s="20">
        <v>517</v>
      </c>
    </row>
    <row r="28" spans="1:15" ht="15" hidden="1" customHeight="1" outlineLevel="2">
      <c r="B28" s="32"/>
      <c r="C28" s="32"/>
      <c r="D28" s="27" t="s">
        <v>14</v>
      </c>
      <c r="E28" s="20">
        <v>45</v>
      </c>
      <c r="F28" s="20">
        <v>50</v>
      </c>
      <c r="G28" s="20">
        <v>50</v>
      </c>
      <c r="H28" s="20">
        <v>50</v>
      </c>
      <c r="I28" s="20">
        <v>50</v>
      </c>
      <c r="J28" s="20">
        <v>51</v>
      </c>
      <c r="K28" s="20">
        <v>51</v>
      </c>
      <c r="L28" s="20">
        <v>51</v>
      </c>
    </row>
    <row r="29" spans="1:15" ht="15" hidden="1" customHeight="1" outlineLevel="2">
      <c r="B29" s="32"/>
      <c r="C29" s="32"/>
      <c r="D29" s="28" t="s">
        <v>15</v>
      </c>
      <c r="E29" s="20">
        <v>51</v>
      </c>
      <c r="F29" s="20">
        <v>51</v>
      </c>
      <c r="G29" s="20">
        <v>51</v>
      </c>
      <c r="H29" s="20">
        <v>51</v>
      </c>
      <c r="I29" s="20">
        <v>51</v>
      </c>
      <c r="J29" s="20">
        <v>51</v>
      </c>
      <c r="K29" s="20">
        <v>51</v>
      </c>
      <c r="L29" s="20">
        <v>51</v>
      </c>
    </row>
    <row r="30" spans="1:15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</row>
    <row r="31" spans="1:15" ht="10.199999999999999" hidden="1" customHeight="1" outlineLevel="2">
      <c r="B31" s="32"/>
      <c r="C31" s="32"/>
    </row>
    <row r="32" spans="1:15" ht="150" hidden="1" customHeight="1" outlineLevel="2"/>
    <row r="33" spans="2:12" ht="10.199999999999999" hidden="1" customHeight="1" outlineLevel="2"/>
    <row r="34" spans="2:12" ht="14.4" outlineLevel="1" collapsed="1">
      <c r="B34" s="32"/>
      <c r="C34" s="70" t="s">
        <v>1</v>
      </c>
      <c r="D34" s="2" t="s">
        <v>17</v>
      </c>
    </row>
    <row r="35" spans="2:12" ht="10.199999999999999" customHeight="1" outlineLevel="1">
      <c r="B35" s="32"/>
      <c r="C35" s="32"/>
    </row>
    <row r="36" spans="2:12" ht="15" hidden="1" customHeight="1" outlineLevel="2">
      <c r="B36" s="32"/>
      <c r="C36" s="32"/>
      <c r="D36" s="3" t="s">
        <v>18</v>
      </c>
      <c r="E36" s="21">
        <v>15.7901960784313</v>
      </c>
      <c r="F36" s="21">
        <v>4.9981960784313699</v>
      </c>
      <c r="G36" s="21">
        <v>4.8867843137254896</v>
      </c>
      <c r="H36" s="21">
        <v>13.5731764705882</v>
      </c>
      <c r="I36" s="21">
        <v>14.004882352941101</v>
      </c>
      <c r="J36" s="21">
        <v>886.957647058823</v>
      </c>
      <c r="K36" s="21">
        <v>134.493137254901</v>
      </c>
      <c r="L36" s="21"/>
    </row>
    <row r="37" spans="2:12" ht="15" hidden="1" customHeight="1" outlineLevel="2">
      <c r="B37" s="32"/>
      <c r="C37" s="32"/>
      <c r="D37" s="27" t="s">
        <v>19</v>
      </c>
      <c r="E37" s="21">
        <v>15.6</v>
      </c>
      <c r="F37" s="21">
        <v>4.6079999999999997</v>
      </c>
      <c r="G37" s="21">
        <v>4.5540000000000003</v>
      </c>
      <c r="H37" s="21">
        <v>13.856999999999999</v>
      </c>
      <c r="I37" s="21">
        <v>13.775</v>
      </c>
      <c r="J37" s="21">
        <v>858.97</v>
      </c>
      <c r="K37" s="21">
        <v>136.05000000000001</v>
      </c>
      <c r="L37" s="21"/>
    </row>
    <row r="38" spans="2:12" ht="15" hidden="1" customHeight="1" outlineLevel="2">
      <c r="B38" s="32"/>
      <c r="C38" s="32"/>
      <c r="D38" s="27" t="s">
        <v>20</v>
      </c>
      <c r="E38" s="21">
        <v>12.8</v>
      </c>
      <c r="F38" s="21">
        <v>4.968</v>
      </c>
      <c r="G38" s="21">
        <v>5.2080000000000002</v>
      </c>
      <c r="H38" s="21">
        <v>14.093999999999999</v>
      </c>
      <c r="I38" s="21">
        <v>12.92</v>
      </c>
      <c r="J38" s="21">
        <v>641.96</v>
      </c>
      <c r="K38" s="21">
        <v>82.75</v>
      </c>
      <c r="L38" s="21" t="s">
        <v>97</v>
      </c>
    </row>
    <row r="39" spans="2:12" ht="15" hidden="1" customHeight="1" outlineLevel="2">
      <c r="B39" s="32"/>
      <c r="C39" s="32"/>
      <c r="D39" s="3" t="s">
        <v>21</v>
      </c>
      <c r="E39" s="21">
        <v>4.1220021786486596</v>
      </c>
      <c r="F39" s="21">
        <v>2.0177470903917301</v>
      </c>
      <c r="G39" s="21">
        <v>1.7291329077167601</v>
      </c>
      <c r="H39" s="21">
        <v>4.5089770844655304</v>
      </c>
      <c r="I39" s="21">
        <v>3.7646718988355801</v>
      </c>
      <c r="J39" s="21">
        <v>178.296284791223</v>
      </c>
      <c r="K39" s="21">
        <v>24.835922490634001</v>
      </c>
      <c r="L39" s="21"/>
    </row>
    <row r="40" spans="2:12" ht="15" hidden="1" customHeight="1" outlineLevel="2">
      <c r="B40" s="32"/>
      <c r="C40" s="32"/>
      <c r="D40" s="29" t="s">
        <v>22</v>
      </c>
      <c r="E40" s="21">
        <v>16.990901960784299</v>
      </c>
      <c r="F40" s="21">
        <v>4.0713033207843097</v>
      </c>
      <c r="G40" s="21">
        <v>2.98990061254902</v>
      </c>
      <c r="H40" s="21">
        <v>20.330874348235199</v>
      </c>
      <c r="I40" s="21">
        <v>14.172754505882301</v>
      </c>
      <c r="J40" s="21">
        <v>31789.5651703529</v>
      </c>
      <c r="K40" s="21">
        <v>616.82304596078404</v>
      </c>
      <c r="L40" s="21"/>
    </row>
    <row r="41" spans="2:12" ht="10.199999999999999" hidden="1" customHeight="1" outlineLevel="2">
      <c r="B41" s="32"/>
      <c r="C41" s="32"/>
    </row>
    <row r="42" spans="2:12" ht="150" hidden="1" customHeight="1" outlineLevel="2"/>
    <row r="43" spans="2:12" ht="10.199999999999999" hidden="1" customHeight="1" outlineLevel="2"/>
    <row r="44" spans="2:12" ht="14.4" outlineLevel="1" collapsed="1">
      <c r="B44" s="32"/>
      <c r="C44" s="70" t="s">
        <v>1</v>
      </c>
      <c r="D44" s="2" t="s">
        <v>23</v>
      </c>
    </row>
    <row r="45" spans="2:12" ht="9.9" customHeight="1" outlineLevel="1">
      <c r="B45" s="32"/>
      <c r="C45" s="32"/>
    </row>
    <row r="46" spans="2:12" ht="15" hidden="1" customHeight="1" outlineLevel="2">
      <c r="B46" s="32"/>
      <c r="C46" s="32"/>
      <c r="D46" s="3" t="s">
        <v>24</v>
      </c>
      <c r="E46" s="21">
        <v>5.9</v>
      </c>
      <c r="F46" s="21">
        <v>1.79199999999999</v>
      </c>
      <c r="G46" s="21">
        <v>1.593</v>
      </c>
      <c r="H46" s="21">
        <v>1.76</v>
      </c>
      <c r="I46" s="21">
        <v>5.9</v>
      </c>
      <c r="J46" s="21">
        <v>641.96</v>
      </c>
      <c r="K46" s="21">
        <v>82.75</v>
      </c>
      <c r="L46" s="21"/>
    </row>
    <row r="47" spans="2:12" ht="15" hidden="1" customHeight="1" outlineLevel="2">
      <c r="B47" s="32"/>
      <c r="C47" s="32"/>
      <c r="D47" s="27">
        <v>0.05</v>
      </c>
      <c r="E47" s="21">
        <v>10.1</v>
      </c>
      <c r="F47" s="21">
        <v>1.9715</v>
      </c>
      <c r="G47" s="21">
        <v>2.827</v>
      </c>
      <c r="H47" s="21">
        <v>6.5170000000000003</v>
      </c>
      <c r="I47" s="21">
        <v>8.5919999999999899</v>
      </c>
      <c r="J47" s="21">
        <v>665.59500000000003</v>
      </c>
      <c r="K47" s="21">
        <v>96.72</v>
      </c>
      <c r="L47" s="21"/>
    </row>
    <row r="48" spans="2:12" ht="15" hidden="1" customHeight="1" outlineLevel="2">
      <c r="B48" s="32"/>
      <c r="C48" s="32"/>
      <c r="D48" s="28">
        <v>0.25</v>
      </c>
      <c r="E48" s="21">
        <v>12.75</v>
      </c>
      <c r="F48" s="21">
        <v>3.76649999999999</v>
      </c>
      <c r="G48" s="21">
        <v>3.8940000000000001</v>
      </c>
      <c r="H48" s="21">
        <v>10.4779999999999</v>
      </c>
      <c r="I48" s="21">
        <v>11.3479999999999</v>
      </c>
      <c r="J48" s="21">
        <v>768.43</v>
      </c>
      <c r="K48" s="21">
        <v>114.645</v>
      </c>
      <c r="L48" s="21"/>
    </row>
    <row r="49" spans="1:12" ht="15" hidden="1" customHeight="1" outlineLevel="2">
      <c r="B49" s="32"/>
      <c r="C49" s="32"/>
      <c r="D49" s="3">
        <v>0.5</v>
      </c>
      <c r="E49" s="21">
        <v>15.6</v>
      </c>
      <c r="F49" s="21">
        <v>4.6079999999999997</v>
      </c>
      <c r="G49" s="21">
        <v>4.5540000000000003</v>
      </c>
      <c r="H49" s="21">
        <v>13.856999999999999</v>
      </c>
      <c r="I49" s="21">
        <v>13.775</v>
      </c>
      <c r="J49" s="21">
        <v>858.97</v>
      </c>
      <c r="K49" s="21">
        <v>136.05000000000001</v>
      </c>
      <c r="L49" s="21"/>
    </row>
    <row r="50" spans="1:12" ht="15" hidden="1" customHeight="1" outlineLevel="2">
      <c r="B50" s="32"/>
      <c r="C50" s="32"/>
      <c r="D50" s="27">
        <v>0.75</v>
      </c>
      <c r="E50" s="21">
        <v>18.5</v>
      </c>
      <c r="F50" s="21">
        <v>6.4390000000000001</v>
      </c>
      <c r="G50" s="21">
        <v>5.6039999999999903</v>
      </c>
      <c r="H50" s="21">
        <v>16.14</v>
      </c>
      <c r="I50" s="21">
        <v>16.754999999999999</v>
      </c>
      <c r="J50" s="21">
        <v>1007.94499999999</v>
      </c>
      <c r="K50" s="21">
        <v>151.87</v>
      </c>
      <c r="L50" s="21"/>
    </row>
    <row r="51" spans="1:12" ht="15" hidden="1" customHeight="1" outlineLevel="2">
      <c r="B51" s="32"/>
      <c r="C51" s="32"/>
      <c r="D51" s="27">
        <v>0.95</v>
      </c>
      <c r="E51" s="21">
        <v>23.1</v>
      </c>
      <c r="F51" s="21">
        <v>8.7139999999999898</v>
      </c>
      <c r="G51" s="21">
        <v>8.3940000000000001</v>
      </c>
      <c r="H51" s="21">
        <v>22</v>
      </c>
      <c r="I51" s="21">
        <v>20.321999999999999</v>
      </c>
      <c r="J51" s="21">
        <v>1254.0999999999999</v>
      </c>
      <c r="K51" s="21">
        <v>172.94</v>
      </c>
      <c r="L51" s="21"/>
    </row>
    <row r="52" spans="1:12" ht="15" hidden="1" customHeight="1" outlineLevel="2">
      <c r="B52" s="32"/>
      <c r="C52" s="32"/>
      <c r="D52" s="3" t="s">
        <v>25</v>
      </c>
      <c r="E52" s="21">
        <v>23.9</v>
      </c>
      <c r="F52" s="21">
        <v>9.4499999999999993</v>
      </c>
      <c r="G52" s="21">
        <v>10.038</v>
      </c>
      <c r="H52" s="21">
        <v>23.661000000000001</v>
      </c>
      <c r="I52" s="21">
        <v>21.28</v>
      </c>
      <c r="J52" s="21">
        <v>1301.52</v>
      </c>
      <c r="K52" s="21">
        <v>194.78</v>
      </c>
      <c r="L52" s="21"/>
    </row>
    <row r="53" spans="1:12" ht="15" hidden="1" customHeight="1" outlineLevel="2">
      <c r="B53" s="32"/>
      <c r="C53" s="32"/>
      <c r="D53" s="27" t="s">
        <v>26</v>
      </c>
      <c r="E53" s="21">
        <v>18</v>
      </c>
      <c r="F53" s="21">
        <v>7.6579999999999897</v>
      </c>
      <c r="G53" s="21">
        <v>8.4450000000000003</v>
      </c>
      <c r="H53" s="21">
        <v>21.901</v>
      </c>
      <c r="I53" s="21">
        <v>15.38</v>
      </c>
      <c r="J53" s="21">
        <v>659.56</v>
      </c>
      <c r="K53" s="21">
        <v>112.03</v>
      </c>
      <c r="L53" s="21"/>
    </row>
    <row r="54" spans="1:12" ht="15" hidden="1" customHeight="1" outlineLevel="2">
      <c r="D54" s="3" t="s">
        <v>27</v>
      </c>
      <c r="E54" s="21">
        <v>5.75</v>
      </c>
      <c r="F54" s="21">
        <v>2.6724999999999999</v>
      </c>
      <c r="G54" s="21">
        <v>1.70999999999999</v>
      </c>
      <c r="H54" s="21">
        <v>5.6619999999999999</v>
      </c>
      <c r="I54" s="21">
        <v>5.407</v>
      </c>
      <c r="J54" s="21">
        <v>239.51499999999899</v>
      </c>
      <c r="K54" s="21">
        <v>37.225000000000001</v>
      </c>
      <c r="L54" s="21"/>
    </row>
    <row r="55" spans="1:12" ht="10.199999999999999" hidden="1" customHeight="1" outlineLevel="2"/>
    <row r="56" spans="1:12" ht="14.4" outlineLevel="1" collapsed="1">
      <c r="A56" s="32"/>
      <c r="B56" s="32"/>
      <c r="C56" s="70" t="s">
        <v>1</v>
      </c>
      <c r="D56" s="2" t="s">
        <v>28</v>
      </c>
    </row>
    <row r="57" spans="1:12" ht="9.9" customHeight="1" outlineLevel="1">
      <c r="A57" s="32"/>
      <c r="B57" s="32"/>
      <c r="C57" s="32"/>
    </row>
    <row r="58" spans="1:12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</row>
    <row r="59" spans="1:12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</row>
    <row r="60" spans="1:12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</row>
    <row r="61" spans="1:12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</row>
    <row r="62" spans="1:12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</row>
    <row r="63" spans="1:12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</row>
    <row r="64" spans="1:12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</row>
    <row r="65" spans="1:15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</row>
    <row r="66" spans="1:15" ht="10.199999999999999" hidden="1" customHeight="1" outlineLevel="2"/>
    <row r="67" spans="1:15" ht="14.4" outlineLevel="1" collapsed="1">
      <c r="A67" s="32"/>
      <c r="B67" s="32"/>
      <c r="C67" s="70" t="s">
        <v>1</v>
      </c>
      <c r="D67" s="2" t="s">
        <v>37</v>
      </c>
    </row>
    <row r="68" spans="1:15" ht="9.9" customHeight="1" outlineLevel="1">
      <c r="A68" s="32"/>
      <c r="B68" s="32"/>
    </row>
    <row r="69" spans="1:15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5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5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5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5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5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5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5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5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5" ht="10.199999999999999" hidden="1" customHeight="1" outlineLevel="1" collapsed="1"/>
    <row r="79" spans="1:15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6" t="s">
        <v>92</v>
      </c>
      <c r="N79" s="156" t="s">
        <v>39</v>
      </c>
      <c r="O79" s="156" t="s">
        <v>93</v>
      </c>
    </row>
    <row r="80" spans="1:15" ht="15" customHeight="1">
      <c r="D80" s="157" t="b">
        <v>0</v>
      </c>
      <c r="E80" s="151">
        <v>18.8</v>
      </c>
      <c r="F80" s="151">
        <v>7.3320000000000007</v>
      </c>
      <c r="G80" s="151">
        <v>5.64</v>
      </c>
      <c r="H80" s="152">
        <v>18.047999999999998</v>
      </c>
      <c r="I80" s="152">
        <v>15.04</v>
      </c>
      <c r="J80" s="152">
        <v>784.55</v>
      </c>
      <c r="K80" s="152">
        <v>145.08000000000001</v>
      </c>
      <c r="L80" s="152" t="s">
        <v>98</v>
      </c>
      <c r="M80" s="160">
        <v>0</v>
      </c>
      <c r="N80" s="160">
        <v>0</v>
      </c>
      <c r="O80" s="160">
        <v>4.6326082156998175E+18</v>
      </c>
    </row>
    <row r="81" spans="4:15" ht="15" customHeight="1">
      <c r="D81" s="157" t="b">
        <v>0</v>
      </c>
      <c r="E81" s="151">
        <v>18.100000000000001</v>
      </c>
      <c r="F81" s="151">
        <v>7.4210000000000003</v>
      </c>
      <c r="G81" s="151">
        <v>4.5250000000000004</v>
      </c>
      <c r="H81" s="152">
        <v>16.290000000000003</v>
      </c>
      <c r="I81" s="152">
        <v>17.013999999999999</v>
      </c>
      <c r="J81" s="152">
        <v>1053.48</v>
      </c>
      <c r="K81" s="152">
        <v>133.93</v>
      </c>
      <c r="L81" s="152" t="s">
        <v>97</v>
      </c>
      <c r="M81" s="160">
        <v>1</v>
      </c>
      <c r="N81" s="160">
        <v>0</v>
      </c>
      <c r="O81" s="160">
        <v>1.0354735659823745E+19</v>
      </c>
    </row>
    <row r="82" spans="4:15" ht="15" customHeight="1">
      <c r="D82" s="158" t="b">
        <v>0</v>
      </c>
      <c r="E82" s="153">
        <v>18.600000000000001</v>
      </c>
      <c r="F82" s="151">
        <v>6.51</v>
      </c>
      <c r="G82" s="151">
        <v>5.2080000000000011</v>
      </c>
      <c r="H82" s="152">
        <v>15.624000000000001</v>
      </c>
      <c r="I82" s="152">
        <v>17.856000000000002</v>
      </c>
      <c r="J82" s="152">
        <v>899.47</v>
      </c>
      <c r="K82" s="152">
        <v>110.35</v>
      </c>
      <c r="L82" s="152" t="s">
        <v>99</v>
      </c>
      <c r="M82" s="160">
        <v>2</v>
      </c>
      <c r="N82" s="160">
        <v>0</v>
      </c>
      <c r="O82" s="160">
        <v>8.2148052693421998E+18</v>
      </c>
    </row>
    <row r="83" spans="4:15" ht="15" customHeight="1">
      <c r="D83" s="158" t="b">
        <v>0</v>
      </c>
      <c r="E83" s="153">
        <v>22.4</v>
      </c>
      <c r="F83" s="151">
        <v>4.032</v>
      </c>
      <c r="G83" s="151">
        <v>5.8239999999999998</v>
      </c>
      <c r="H83" s="152">
        <v>21.056000000000001</v>
      </c>
      <c r="I83" s="152">
        <v>21.28</v>
      </c>
      <c r="J83" s="152">
        <v>827.34</v>
      </c>
      <c r="K83" s="152">
        <v>142.38999999999999</v>
      </c>
      <c r="L83" s="152" t="s">
        <v>100</v>
      </c>
      <c r="M83" s="160">
        <v>3</v>
      </c>
      <c r="N83" s="160">
        <v>0</v>
      </c>
      <c r="O83" s="160">
        <v>4.4828494410551721E+18</v>
      </c>
    </row>
    <row r="84" spans="4:15" ht="15" customHeight="1">
      <c r="D84" s="158" t="b">
        <v>0</v>
      </c>
      <c r="E84" s="153">
        <v>12</v>
      </c>
      <c r="F84" s="151">
        <v>4.2</v>
      </c>
      <c r="G84" s="151">
        <v>3.36</v>
      </c>
      <c r="H84" s="152">
        <v>10.92</v>
      </c>
      <c r="I84" s="152">
        <v>10.68</v>
      </c>
      <c r="J84" s="152">
        <v>878.41</v>
      </c>
      <c r="K84" s="152">
        <v>165.63</v>
      </c>
      <c r="L84" s="152" t="s">
        <v>101</v>
      </c>
      <c r="M84" s="160">
        <v>4</v>
      </c>
      <c r="N84" s="160">
        <v>0</v>
      </c>
      <c r="O84" s="160">
        <v>3.7244398362547231E+18</v>
      </c>
    </row>
    <row r="85" spans="4:15" ht="15" customHeight="1">
      <c r="D85" s="158" t="b">
        <v>0</v>
      </c>
      <c r="E85" s="153">
        <v>13.6</v>
      </c>
      <c r="F85" s="151">
        <v>5.032</v>
      </c>
      <c r="G85" s="151">
        <v>3.8079999999999998</v>
      </c>
      <c r="H85" s="152">
        <v>10.743999999999998</v>
      </c>
      <c r="I85" s="152">
        <v>12.92</v>
      </c>
      <c r="J85" s="152">
        <v>835.5</v>
      </c>
      <c r="K85" s="152">
        <v>139.91</v>
      </c>
      <c r="L85" s="152" t="s">
        <v>102</v>
      </c>
      <c r="M85" s="160">
        <v>5</v>
      </c>
      <c r="N85" s="160">
        <v>0</v>
      </c>
      <c r="O85" s="160">
        <v>5.5835957081849754E+18</v>
      </c>
    </row>
    <row r="86" spans="4:15" ht="15" customHeight="1">
      <c r="D86" s="158" t="b">
        <v>0</v>
      </c>
      <c r="E86" s="153">
        <v>10.8</v>
      </c>
      <c r="F86" s="151">
        <v>4.968</v>
      </c>
      <c r="G86" s="151">
        <v>3.8879999999999999</v>
      </c>
      <c r="H86" s="152">
        <v>9.3960000000000008</v>
      </c>
      <c r="I86" s="152">
        <v>8.8559999999999999</v>
      </c>
      <c r="J86" s="152">
        <v>1068.73</v>
      </c>
      <c r="K86" s="152">
        <v>167.02</v>
      </c>
      <c r="L86" s="152" t="s">
        <v>103</v>
      </c>
      <c r="M86" s="160">
        <v>6</v>
      </c>
      <c r="N86" s="160">
        <v>0</v>
      </c>
      <c r="O86" s="160">
        <v>2.4834549225603261E+17</v>
      </c>
    </row>
    <row r="87" spans="4:15" ht="15" customHeight="1">
      <c r="D87" s="158" t="b">
        <v>0</v>
      </c>
      <c r="E87" s="153">
        <v>16.2</v>
      </c>
      <c r="F87" s="151">
        <v>6.1560000000000006</v>
      </c>
      <c r="G87" s="151">
        <v>4.8600000000000003</v>
      </c>
      <c r="H87" s="152">
        <v>14.093999999999999</v>
      </c>
      <c r="I87" s="152">
        <v>16.038</v>
      </c>
      <c r="J87" s="152">
        <v>1137.8699999999999</v>
      </c>
      <c r="K87" s="152">
        <v>151.47999999999999</v>
      </c>
      <c r="L87" s="152" t="s">
        <v>104</v>
      </c>
      <c r="M87" s="160">
        <v>7</v>
      </c>
      <c r="N87" s="160">
        <v>0</v>
      </c>
      <c r="O87" s="160">
        <v>7.8926597823567739E+18</v>
      </c>
    </row>
    <row r="88" spans="4:15" ht="15" customHeight="1">
      <c r="D88" s="158" t="b">
        <v>0</v>
      </c>
      <c r="E88" s="153">
        <v>5.9</v>
      </c>
      <c r="F88" s="151">
        <v>2.0059999999999998</v>
      </c>
      <c r="G88" s="151">
        <v>1.5930000000000002</v>
      </c>
      <c r="H88" s="152">
        <v>5.9</v>
      </c>
      <c r="I88" s="152">
        <v>5.9</v>
      </c>
      <c r="J88" s="152">
        <v>1273.8900000000001</v>
      </c>
      <c r="K88" s="152">
        <v>136.05000000000001</v>
      </c>
      <c r="L88" s="152" t="s">
        <v>105</v>
      </c>
      <c r="M88" s="160">
        <v>8</v>
      </c>
      <c r="N88" s="160">
        <v>0</v>
      </c>
      <c r="O88" s="160">
        <v>9.2264550790620713E+18</v>
      </c>
    </row>
    <row r="89" spans="4:15" ht="15" customHeight="1">
      <c r="D89" s="158" t="b">
        <v>0</v>
      </c>
      <c r="E89" s="153">
        <v>17.899999999999999</v>
      </c>
      <c r="F89" s="151">
        <v>3.7589999999999999</v>
      </c>
      <c r="G89" s="151">
        <v>5.1909999999999989</v>
      </c>
      <c r="H89" s="152">
        <v>16.468</v>
      </c>
      <c r="I89" s="152">
        <v>16.826000000000001</v>
      </c>
      <c r="J89" s="152">
        <v>1160.1300000000001</v>
      </c>
      <c r="K89" s="152">
        <v>144.18</v>
      </c>
      <c r="L89" s="152" t="s">
        <v>106</v>
      </c>
      <c r="M89" s="160">
        <v>9</v>
      </c>
      <c r="N89" s="160">
        <v>0</v>
      </c>
      <c r="O89" s="160">
        <v>7.3395090620845056E+18</v>
      </c>
    </row>
    <row r="90" spans="4:15" ht="15" customHeight="1">
      <c r="D90" s="158" t="b">
        <v>0</v>
      </c>
      <c r="E90" s="153">
        <v>15.6</v>
      </c>
      <c r="F90" s="151">
        <v>2.964</v>
      </c>
      <c r="G90" s="151">
        <v>3.9</v>
      </c>
      <c r="H90" s="152">
        <v>14.82</v>
      </c>
      <c r="I90" s="152">
        <v>14.507999999999999</v>
      </c>
      <c r="J90" s="152">
        <v>913.15</v>
      </c>
      <c r="K90" s="152">
        <v>142.80000000000001</v>
      </c>
      <c r="L90" s="152" t="s">
        <v>107</v>
      </c>
      <c r="M90" s="160">
        <v>10</v>
      </c>
      <c r="N90" s="160">
        <v>0</v>
      </c>
      <c r="O90" s="160">
        <v>1.3254140137568328E+19</v>
      </c>
    </row>
    <row r="91" spans="4:15" ht="15" customHeight="1">
      <c r="D91" s="158" t="b">
        <v>0</v>
      </c>
      <c r="E91" s="153">
        <v>17.5</v>
      </c>
      <c r="F91" s="151">
        <v>9.4499999999999993</v>
      </c>
      <c r="G91" s="151">
        <v>7.1749999999999998</v>
      </c>
      <c r="H91" s="152">
        <v>14.35</v>
      </c>
      <c r="I91" s="152">
        <v>15.225</v>
      </c>
      <c r="J91" s="152">
        <v>861.18</v>
      </c>
      <c r="K91" s="152">
        <v>120.92</v>
      </c>
      <c r="L91" s="152" t="s">
        <v>108</v>
      </c>
      <c r="M91" s="160">
        <v>11</v>
      </c>
      <c r="N91" s="160">
        <v>0</v>
      </c>
      <c r="O91" s="160">
        <v>1.5366426124011796E+19</v>
      </c>
    </row>
    <row r="92" spans="4:15" ht="15" customHeight="1">
      <c r="D92" s="158" t="b">
        <v>0</v>
      </c>
      <c r="E92" s="153">
        <v>15.3</v>
      </c>
      <c r="F92" s="151">
        <v>5.5080000000000009</v>
      </c>
      <c r="G92" s="151">
        <v>4.4370000000000003</v>
      </c>
      <c r="H92" s="152">
        <v>13.005000000000001</v>
      </c>
      <c r="I92" s="152">
        <v>14.994000000000002</v>
      </c>
      <c r="J92" s="152">
        <v>641.96</v>
      </c>
      <c r="K92" s="152">
        <v>82.75</v>
      </c>
      <c r="L92" s="152" t="s">
        <v>109</v>
      </c>
      <c r="M92" s="160">
        <v>12</v>
      </c>
      <c r="N92" s="160">
        <v>0</v>
      </c>
      <c r="O92" s="160">
        <v>3.4239789219678623E+18</v>
      </c>
    </row>
    <row r="93" spans="4:15" ht="15" customHeight="1">
      <c r="D93" s="158" t="b">
        <v>0</v>
      </c>
      <c r="E93" s="153">
        <v>12.8</v>
      </c>
      <c r="F93" s="151">
        <v>4.6080000000000005</v>
      </c>
      <c r="G93" s="151">
        <v>4.3520000000000003</v>
      </c>
      <c r="H93" s="152">
        <v>12.032</v>
      </c>
      <c r="I93" s="152">
        <v>12.288000000000002</v>
      </c>
      <c r="J93" s="152">
        <v>803.11</v>
      </c>
      <c r="K93" s="152">
        <v>139.15</v>
      </c>
      <c r="L93" s="152" t="s">
        <v>110</v>
      </c>
      <c r="M93" s="160">
        <v>13</v>
      </c>
      <c r="N93" s="160">
        <v>0</v>
      </c>
      <c r="O93" s="160">
        <v>1.1155552824622021E+19</v>
      </c>
    </row>
    <row r="94" spans="4:15" ht="15" customHeight="1">
      <c r="D94" s="158" t="b">
        <v>0</v>
      </c>
      <c r="E94" s="153">
        <v>14.5</v>
      </c>
      <c r="F94" s="151">
        <v>3.625</v>
      </c>
      <c r="G94" s="151">
        <v>4.2050000000000001</v>
      </c>
      <c r="H94" s="152">
        <v>13.775</v>
      </c>
      <c r="I94" s="152">
        <v>13.775</v>
      </c>
      <c r="J94" s="152">
        <v>710.46</v>
      </c>
      <c r="K94" s="152">
        <v>108.92</v>
      </c>
      <c r="L94" s="152" t="s">
        <v>111</v>
      </c>
      <c r="M94" s="160">
        <v>14</v>
      </c>
      <c r="N94" s="160">
        <v>0</v>
      </c>
      <c r="O94" s="160">
        <v>1.3308621350227706E+19</v>
      </c>
    </row>
    <row r="95" spans="4:15" ht="15" customHeight="1">
      <c r="D95" s="158" t="b">
        <v>0</v>
      </c>
      <c r="E95" s="153">
        <v>15.7</v>
      </c>
      <c r="F95" s="151">
        <v>2.669</v>
      </c>
      <c r="G95" s="151">
        <v>3.9249999999999998</v>
      </c>
      <c r="H95" s="152">
        <v>15.228999999999999</v>
      </c>
      <c r="I95" s="152">
        <v>13.659000000000001</v>
      </c>
      <c r="J95" s="152">
        <v>649.05999999999995</v>
      </c>
      <c r="K95" s="152">
        <v>114.47</v>
      </c>
      <c r="L95" s="152" t="s">
        <v>112</v>
      </c>
      <c r="M95" s="160">
        <v>15</v>
      </c>
      <c r="N95" s="160">
        <v>0</v>
      </c>
      <c r="O95" s="160">
        <v>3.8393311487363871E+18</v>
      </c>
    </row>
    <row r="96" spans="4:15" ht="15" customHeight="1">
      <c r="D96" s="158" t="b">
        <v>0</v>
      </c>
      <c r="E96" s="153">
        <v>17.8</v>
      </c>
      <c r="F96" s="151">
        <v>4.806</v>
      </c>
      <c r="G96" s="151">
        <v>4.2720000000000002</v>
      </c>
      <c r="H96" s="152">
        <v>13.706</v>
      </c>
      <c r="I96" s="152">
        <v>15.13</v>
      </c>
      <c r="J96" s="152">
        <v>780.45</v>
      </c>
      <c r="K96" s="152">
        <v>133.80000000000001</v>
      </c>
      <c r="L96" s="152" t="s">
        <v>113</v>
      </c>
      <c r="M96" s="160">
        <v>16</v>
      </c>
      <c r="N96" s="160">
        <v>0</v>
      </c>
      <c r="O96" s="160">
        <v>8.7592784851903939E+18</v>
      </c>
    </row>
    <row r="97" spans="4:15" ht="15" customHeight="1">
      <c r="D97" s="158" t="b">
        <v>0</v>
      </c>
      <c r="E97" s="153">
        <v>21.4</v>
      </c>
      <c r="F97" s="151">
        <v>4.0659999999999998</v>
      </c>
      <c r="G97" s="151">
        <v>4.9219999999999997</v>
      </c>
      <c r="H97" s="152">
        <v>16.691999999999997</v>
      </c>
      <c r="I97" s="152">
        <v>16.263999999999999</v>
      </c>
      <c r="J97" s="152">
        <v>872.51</v>
      </c>
      <c r="K97" s="152">
        <v>137.13</v>
      </c>
      <c r="L97" s="152" t="s">
        <v>114</v>
      </c>
      <c r="M97" s="160">
        <v>17</v>
      </c>
      <c r="N97" s="160">
        <v>0</v>
      </c>
      <c r="O97" s="160">
        <v>9.9602869643228262E+18</v>
      </c>
    </row>
    <row r="98" spans="4:15" ht="15" customHeight="1">
      <c r="D98" s="158" t="b">
        <v>0</v>
      </c>
      <c r="E98" s="153">
        <v>20.5</v>
      </c>
      <c r="F98" s="151">
        <v>7.1749999999999998</v>
      </c>
      <c r="G98" s="151">
        <v>6.7649999999999997</v>
      </c>
      <c r="H98" s="152">
        <v>14.965</v>
      </c>
      <c r="I98" s="152">
        <v>20.09</v>
      </c>
      <c r="J98" s="152">
        <v>1281.55</v>
      </c>
      <c r="K98" s="152">
        <v>194.78</v>
      </c>
      <c r="L98" s="152" t="s">
        <v>115</v>
      </c>
      <c r="M98" s="160">
        <v>18</v>
      </c>
      <c r="N98" s="160">
        <v>0</v>
      </c>
      <c r="O98" s="160">
        <v>3.470374600425002E+18</v>
      </c>
    </row>
    <row r="99" spans="4:15" ht="15" customHeight="1">
      <c r="D99" s="158" t="b">
        <v>0</v>
      </c>
      <c r="E99" s="153">
        <v>15.1</v>
      </c>
      <c r="F99" s="151">
        <v>5.7380000000000004</v>
      </c>
      <c r="G99" s="151">
        <v>4.53</v>
      </c>
      <c r="H99" s="152">
        <v>13.137</v>
      </c>
      <c r="I99" s="152">
        <v>12.683999999999999</v>
      </c>
      <c r="J99" s="152">
        <v>661.88</v>
      </c>
      <c r="K99" s="152">
        <v>96.57</v>
      </c>
      <c r="L99" s="152" t="s">
        <v>116</v>
      </c>
      <c r="M99" s="160">
        <v>19</v>
      </c>
      <c r="N99" s="160">
        <v>0</v>
      </c>
      <c r="O99" s="160">
        <v>1.577261842682003E+19</v>
      </c>
    </row>
    <row r="100" spans="4:15" ht="15" customHeight="1">
      <c r="D100" s="158" t="b">
        <v>0</v>
      </c>
      <c r="E100" s="153">
        <v>12.5</v>
      </c>
      <c r="F100" s="151">
        <v>4.25</v>
      </c>
      <c r="G100" s="151">
        <v>4</v>
      </c>
      <c r="H100" s="152">
        <v>8.875</v>
      </c>
      <c r="I100" s="152">
        <v>12.375</v>
      </c>
      <c r="J100" s="152">
        <v>1048.78</v>
      </c>
      <c r="K100" s="152">
        <v>192.7</v>
      </c>
      <c r="L100" s="152" t="s">
        <v>117</v>
      </c>
      <c r="M100" s="160">
        <v>20</v>
      </c>
      <c r="N100" s="160">
        <v>0</v>
      </c>
      <c r="O100" s="160">
        <v>4.0196847963083131E+18</v>
      </c>
    </row>
    <row r="101" spans="4:15" ht="15" customHeight="1">
      <c r="D101" s="158" t="b">
        <v>0</v>
      </c>
      <c r="E101" s="153">
        <v>8.1999999999999993</v>
      </c>
      <c r="F101" s="151">
        <v>1.8859999999999999</v>
      </c>
      <c r="G101" s="151">
        <v>2.87</v>
      </c>
      <c r="H101" s="152">
        <v>7.1340000000000003</v>
      </c>
      <c r="I101" s="152">
        <v>6.56</v>
      </c>
      <c r="J101" s="152">
        <v>1011.14</v>
      </c>
      <c r="K101" s="152">
        <v>135.63</v>
      </c>
      <c r="L101" s="152" t="s">
        <v>118</v>
      </c>
      <c r="M101" s="160">
        <v>21</v>
      </c>
      <c r="N101" s="160">
        <v>0</v>
      </c>
      <c r="O101" s="160">
        <v>3.3716871247513718E+18</v>
      </c>
    </row>
    <row r="102" spans="4:15" ht="15" customHeight="1">
      <c r="D102" s="158" t="b">
        <v>0</v>
      </c>
      <c r="E102" s="153">
        <v>14.1</v>
      </c>
      <c r="F102" s="151">
        <v>3.3839999999999999</v>
      </c>
      <c r="G102" s="151">
        <v>3.948</v>
      </c>
      <c r="H102" s="152">
        <v>13.395</v>
      </c>
      <c r="I102" s="152">
        <v>10.856999999999999</v>
      </c>
      <c r="J102" s="152">
        <v>1110.6099999999999</v>
      </c>
      <c r="K102" s="152">
        <v>152.26</v>
      </c>
      <c r="L102" s="152" t="s">
        <v>119</v>
      </c>
      <c r="M102" s="160">
        <v>22</v>
      </c>
      <c r="N102" s="160">
        <v>0</v>
      </c>
      <c r="O102" s="160">
        <v>6.552962056638464E+18</v>
      </c>
    </row>
    <row r="103" spans="4:15" ht="15" customHeight="1">
      <c r="D103" s="158" t="b">
        <v>0</v>
      </c>
      <c r="E103" s="153">
        <v>9.6</v>
      </c>
      <c r="F103" s="151">
        <v>2.2080000000000002</v>
      </c>
      <c r="G103" s="151">
        <v>2.7839999999999998</v>
      </c>
      <c r="H103" s="152">
        <v>8.4480000000000004</v>
      </c>
      <c r="I103" s="152">
        <v>8.4480000000000004</v>
      </c>
      <c r="J103" s="152">
        <v>777.18</v>
      </c>
      <c r="K103" s="152">
        <v>133.35</v>
      </c>
      <c r="L103" s="152" t="s">
        <v>120</v>
      </c>
      <c r="M103" s="160">
        <v>23</v>
      </c>
      <c r="N103" s="160">
        <v>0</v>
      </c>
      <c r="O103" s="160">
        <v>1.5086975572505743E+19</v>
      </c>
    </row>
    <row r="104" spans="4:15" ht="15" customHeight="1">
      <c r="D104" s="158" t="b">
        <v>0</v>
      </c>
      <c r="E104" s="153">
        <v>17.600000000000001</v>
      </c>
      <c r="F104" s="151">
        <v>2.64</v>
      </c>
      <c r="G104" s="151">
        <v>5.4560000000000004</v>
      </c>
      <c r="H104" s="152">
        <v>1.76</v>
      </c>
      <c r="I104" s="152">
        <v>17.600000000000001</v>
      </c>
      <c r="J104" s="152">
        <v>896.07</v>
      </c>
      <c r="K104" s="152">
        <v>155.77000000000001</v>
      </c>
      <c r="L104" s="152" t="s">
        <v>121</v>
      </c>
      <c r="M104" s="160">
        <v>24</v>
      </c>
      <c r="N104" s="160">
        <v>0</v>
      </c>
      <c r="O104" s="160">
        <v>1.1525160601263012E+19</v>
      </c>
    </row>
    <row r="105" spans="4:15" ht="15" customHeight="1">
      <c r="D105" s="158" t="b">
        <v>0</v>
      </c>
      <c r="E105" s="153">
        <v>16.100000000000001</v>
      </c>
      <c r="F105" s="151">
        <v>6.9230000000000009</v>
      </c>
      <c r="G105" s="151">
        <v>5.4740000000000011</v>
      </c>
      <c r="H105" s="152">
        <v>14.811999999999999</v>
      </c>
      <c r="I105" s="152">
        <v>13.523999999999999</v>
      </c>
      <c r="J105" s="152">
        <v>790.32</v>
      </c>
      <c r="K105" s="152">
        <v>144.44999999999999</v>
      </c>
      <c r="L105" s="152" t="s">
        <v>122</v>
      </c>
      <c r="M105" s="160">
        <v>25</v>
      </c>
      <c r="N105" s="160">
        <v>0</v>
      </c>
      <c r="O105" s="160">
        <v>1.7088892571412914E+19</v>
      </c>
    </row>
    <row r="106" spans="4:15" ht="15" customHeight="1">
      <c r="D106" s="158" t="b">
        <v>0</v>
      </c>
      <c r="E106" s="153">
        <v>21.4</v>
      </c>
      <c r="F106" s="151">
        <v>8.3459999999999983</v>
      </c>
      <c r="G106" s="151">
        <v>9.4160000000000004</v>
      </c>
      <c r="H106" s="152">
        <v>17.975999999999999</v>
      </c>
      <c r="I106" s="152">
        <v>18.190000000000001</v>
      </c>
      <c r="J106" s="152">
        <v>816.21</v>
      </c>
      <c r="K106" s="152">
        <v>85.15</v>
      </c>
      <c r="L106" s="152" t="s">
        <v>123</v>
      </c>
      <c r="M106" s="160">
        <v>26</v>
      </c>
      <c r="N106" s="160">
        <v>0</v>
      </c>
      <c r="O106" s="160">
        <v>1.5773426638237372E+19</v>
      </c>
    </row>
    <row r="107" spans="4:15" ht="15" customHeight="1">
      <c r="D107" s="158" t="b">
        <v>0</v>
      </c>
      <c r="E107" s="153">
        <v>14.9</v>
      </c>
      <c r="F107" s="151">
        <v>1.9370000000000005</v>
      </c>
      <c r="G107" s="151">
        <v>5.2149999999999999</v>
      </c>
      <c r="H107" s="152">
        <v>13.856999999999999</v>
      </c>
      <c r="I107" s="152">
        <v>13.41</v>
      </c>
      <c r="J107" s="152">
        <v>732.28</v>
      </c>
      <c r="K107" s="152">
        <v>114.82</v>
      </c>
      <c r="L107" s="152" t="s">
        <v>124</v>
      </c>
      <c r="M107" s="160">
        <v>27</v>
      </c>
      <c r="N107" s="160">
        <v>0</v>
      </c>
      <c r="O107" s="160">
        <v>1.3109816842341057E+19</v>
      </c>
    </row>
    <row r="108" spans="4:15" ht="15" customHeight="1">
      <c r="D108" s="158" t="b">
        <v>0</v>
      </c>
      <c r="E108" s="153">
        <v>14.7</v>
      </c>
      <c r="F108" s="151">
        <v>5.4390000000000001</v>
      </c>
      <c r="G108" s="151">
        <v>4.7039999999999997</v>
      </c>
      <c r="H108" s="152">
        <v>13.965</v>
      </c>
      <c r="I108" s="152">
        <v>14.553000000000001</v>
      </c>
      <c r="J108" s="152">
        <v>1029.8699999999999</v>
      </c>
      <c r="K108" s="152">
        <v>138.71</v>
      </c>
      <c r="L108" s="152" t="s">
        <v>125</v>
      </c>
      <c r="M108" s="160">
        <v>28</v>
      </c>
      <c r="N108" s="160">
        <v>0</v>
      </c>
      <c r="O108" s="160">
        <v>8.9263223022928087E+18</v>
      </c>
    </row>
    <row r="109" spans="4:15" ht="15" customHeight="1">
      <c r="D109" s="158" t="b">
        <v>0</v>
      </c>
      <c r="E109" s="153">
        <v>11.6</v>
      </c>
      <c r="F109" s="151">
        <v>4.0599999999999996</v>
      </c>
      <c r="G109" s="151">
        <v>3.48</v>
      </c>
      <c r="H109" s="152">
        <v>10.092000000000001</v>
      </c>
      <c r="I109" s="152">
        <v>9.6280000000000001</v>
      </c>
      <c r="J109" s="152">
        <v>746.54</v>
      </c>
      <c r="K109" s="152">
        <v>120.21</v>
      </c>
      <c r="L109" s="152" t="s">
        <v>126</v>
      </c>
      <c r="M109" s="160">
        <v>29</v>
      </c>
      <c r="N109" s="160">
        <v>0</v>
      </c>
      <c r="O109" s="160">
        <v>1.56055776982389E+19</v>
      </c>
    </row>
    <row r="110" spans="4:15" ht="15" customHeight="1">
      <c r="D110" s="158" t="b">
        <v>0</v>
      </c>
      <c r="E110" s="153">
        <v>11.2</v>
      </c>
      <c r="F110" s="151">
        <v>1.7919999999999998</v>
      </c>
      <c r="G110" s="151">
        <v>3.1360000000000001</v>
      </c>
      <c r="H110" s="152">
        <v>9.6319999999999997</v>
      </c>
      <c r="I110" s="152">
        <v>8.7359999999999989</v>
      </c>
      <c r="J110" s="152">
        <v>1301.52</v>
      </c>
      <c r="K110" s="152">
        <v>159.85</v>
      </c>
      <c r="L110" s="152" t="s">
        <v>127</v>
      </c>
      <c r="M110" s="160">
        <v>30</v>
      </c>
      <c r="N110" s="160">
        <v>0</v>
      </c>
      <c r="O110" s="160">
        <v>3.4218919125238415E+18</v>
      </c>
    </row>
    <row r="111" spans="4:15" ht="15" customHeight="1">
      <c r="D111" s="158" t="b">
        <v>0</v>
      </c>
      <c r="E111" s="153">
        <v>18.399999999999999</v>
      </c>
      <c r="F111" s="151">
        <v>3.496</v>
      </c>
      <c r="G111" s="151">
        <v>4.968</v>
      </c>
      <c r="H111" s="152">
        <v>12.327999999999999</v>
      </c>
      <c r="I111" s="152">
        <v>18.032</v>
      </c>
      <c r="J111" s="152">
        <v>869.85</v>
      </c>
      <c r="K111" s="152">
        <v>120.75</v>
      </c>
      <c r="L111" s="152" t="s">
        <v>128</v>
      </c>
      <c r="M111" s="160">
        <v>31</v>
      </c>
      <c r="N111" s="160">
        <v>0</v>
      </c>
      <c r="O111" s="160">
        <v>1.624713806916751E+19</v>
      </c>
    </row>
    <row r="112" spans="4:15" ht="15" customHeight="1">
      <c r="D112" s="158" t="b">
        <v>0</v>
      </c>
      <c r="E112" s="153">
        <v>12.3</v>
      </c>
      <c r="F112" s="151">
        <v>3.9359999999999999</v>
      </c>
      <c r="G112" s="151">
        <v>3.5670000000000006</v>
      </c>
      <c r="H112" s="152">
        <v>10.824000000000002</v>
      </c>
      <c r="I112" s="152">
        <v>9.84</v>
      </c>
      <c r="J112" s="152">
        <v>1234.31</v>
      </c>
      <c r="K112" s="152">
        <v>150.01</v>
      </c>
      <c r="L112" s="152" t="s">
        <v>129</v>
      </c>
      <c r="M112" s="160">
        <v>32</v>
      </c>
      <c r="N112" s="160">
        <v>0</v>
      </c>
      <c r="O112" s="160">
        <v>8.1002230800175657E+18</v>
      </c>
    </row>
    <row r="113" spans="4:15" ht="15" customHeight="1">
      <c r="D113" s="158" t="b">
        <v>0</v>
      </c>
      <c r="E113" s="153">
        <v>16.8</v>
      </c>
      <c r="F113" s="151">
        <v>6.5520000000000005</v>
      </c>
      <c r="G113" s="151">
        <v>5.2080000000000011</v>
      </c>
      <c r="H113" s="152">
        <v>15.792</v>
      </c>
      <c r="I113" s="152">
        <v>13.608000000000001</v>
      </c>
      <c r="J113" s="152">
        <v>708.24</v>
      </c>
      <c r="K113" s="152">
        <v>127.82</v>
      </c>
      <c r="L113" s="152" t="s">
        <v>130</v>
      </c>
      <c r="M113" s="160">
        <v>33</v>
      </c>
      <c r="N113" s="160">
        <v>0</v>
      </c>
      <c r="O113" s="160">
        <v>2.3214715655503391E+18</v>
      </c>
    </row>
    <row r="114" spans="4:15" ht="15" customHeight="1">
      <c r="D114" s="158" t="b">
        <v>0</v>
      </c>
      <c r="E114" s="153">
        <v>23.9</v>
      </c>
      <c r="F114" s="151">
        <v>5.496999999999999</v>
      </c>
      <c r="G114" s="151">
        <v>10.038</v>
      </c>
      <c r="H114" s="152">
        <v>23.661000000000001</v>
      </c>
      <c r="I114" s="152">
        <v>20.553999999999998</v>
      </c>
      <c r="J114" s="152">
        <v>688.75</v>
      </c>
      <c r="K114" s="152">
        <v>109.72</v>
      </c>
      <c r="L114" s="152" t="s">
        <v>131</v>
      </c>
      <c r="M114" s="160">
        <v>34</v>
      </c>
      <c r="N114" s="160">
        <v>0</v>
      </c>
      <c r="O114" s="160">
        <v>1.6997849974749694E+19</v>
      </c>
    </row>
    <row r="115" spans="4:15" ht="15" customHeight="1">
      <c r="D115" s="158" t="b">
        <v>0</v>
      </c>
      <c r="E115" s="153">
        <v>14.1</v>
      </c>
      <c r="F115" s="151">
        <v>3.948</v>
      </c>
      <c r="G115" s="151">
        <v>4.7939999999999996</v>
      </c>
      <c r="H115" s="152">
        <v>13.958999999999998</v>
      </c>
      <c r="I115" s="152">
        <v>11.561999999999999</v>
      </c>
      <c r="J115" s="152">
        <v>697.73</v>
      </c>
      <c r="K115" s="152">
        <v>133.52000000000001</v>
      </c>
      <c r="L115" s="152" t="s">
        <v>132</v>
      </c>
      <c r="M115" s="160">
        <v>35</v>
      </c>
      <c r="N115" s="160">
        <v>0</v>
      </c>
      <c r="O115" s="160">
        <v>1.4481800272527096E+19</v>
      </c>
    </row>
    <row r="116" spans="4:15" ht="15" customHeight="1">
      <c r="D116" s="158" t="b">
        <v>0</v>
      </c>
      <c r="E116" s="153">
        <v>19.899999999999999</v>
      </c>
      <c r="F116" s="151">
        <v>6.3679999999999994</v>
      </c>
      <c r="G116" s="151">
        <v>5.770999999999999</v>
      </c>
      <c r="H116" s="152">
        <v>18.308</v>
      </c>
      <c r="I116" s="152">
        <v>18.706</v>
      </c>
      <c r="J116" s="152">
        <v>881.51</v>
      </c>
      <c r="K116" s="152">
        <v>178.86</v>
      </c>
      <c r="L116" s="152" t="s">
        <v>133</v>
      </c>
      <c r="M116" s="160">
        <v>36</v>
      </c>
      <c r="N116" s="160">
        <v>0</v>
      </c>
      <c r="O116" s="160">
        <v>3.057125717689216E+18</v>
      </c>
    </row>
    <row r="117" spans="4:15" ht="15" customHeight="1">
      <c r="D117" s="158" t="b">
        <v>0</v>
      </c>
      <c r="E117" s="153">
        <v>12.8</v>
      </c>
      <c r="F117" s="151">
        <v>4.2240000000000002</v>
      </c>
      <c r="G117" s="151">
        <v>3.3280000000000003</v>
      </c>
      <c r="H117" s="152">
        <v>8.5760000000000005</v>
      </c>
      <c r="I117" s="152">
        <v>11.52</v>
      </c>
      <c r="J117" s="152">
        <v>804.71</v>
      </c>
      <c r="K117" s="152">
        <v>104.61</v>
      </c>
      <c r="L117" s="152" t="s">
        <v>134</v>
      </c>
      <c r="M117" s="160">
        <v>37</v>
      </c>
      <c r="N117" s="160">
        <v>0</v>
      </c>
      <c r="O117" s="160">
        <v>1.7811496128574325E+19</v>
      </c>
    </row>
    <row r="118" spans="4:15" ht="15" customHeight="1">
      <c r="D118" s="158" t="b">
        <v>0</v>
      </c>
      <c r="E118" s="153">
        <v>18.2</v>
      </c>
      <c r="F118" s="151">
        <v>9.1</v>
      </c>
      <c r="G118" s="151">
        <v>5.6420000000000003</v>
      </c>
      <c r="H118" s="152">
        <v>17.471999999999998</v>
      </c>
      <c r="I118" s="152">
        <v>16.015999999999998</v>
      </c>
      <c r="J118" s="152">
        <v>905.99</v>
      </c>
      <c r="K118" s="152">
        <v>153.86000000000001</v>
      </c>
      <c r="L118" s="152" t="s">
        <v>135</v>
      </c>
      <c r="M118" s="160">
        <v>38</v>
      </c>
      <c r="N118" s="160">
        <v>0</v>
      </c>
      <c r="O118" s="160">
        <v>7.5940334320016538E+18</v>
      </c>
    </row>
    <row r="119" spans="4:15" ht="15" customHeight="1">
      <c r="D119" s="158" t="b">
        <v>0</v>
      </c>
      <c r="E119" s="153">
        <v>11.1</v>
      </c>
      <c r="F119" s="151">
        <v>3.774</v>
      </c>
      <c r="G119" s="151">
        <v>4.218</v>
      </c>
      <c r="H119" s="152">
        <v>10.212</v>
      </c>
      <c r="I119" s="152">
        <v>8.7690000000000001</v>
      </c>
      <c r="J119" s="152">
        <v>1148.99</v>
      </c>
      <c r="K119" s="152">
        <v>148.58000000000001</v>
      </c>
      <c r="L119" s="152" t="s">
        <v>136</v>
      </c>
      <c r="M119" s="160">
        <v>39</v>
      </c>
      <c r="N119" s="160">
        <v>0</v>
      </c>
      <c r="O119" s="160">
        <v>1.3826353499460506E+19</v>
      </c>
    </row>
    <row r="120" spans="4:15" ht="15" customHeight="1">
      <c r="D120" s="158" t="b">
        <v>0</v>
      </c>
      <c r="E120" s="153">
        <v>23.9</v>
      </c>
      <c r="F120" s="151">
        <v>9.0820000000000007</v>
      </c>
      <c r="G120" s="151">
        <v>9.7989999999999995</v>
      </c>
      <c r="H120" s="152">
        <v>22.943999999999999</v>
      </c>
      <c r="I120" s="152">
        <v>19.359000000000002</v>
      </c>
      <c r="J120" s="152">
        <v>858.97</v>
      </c>
      <c r="K120" s="152">
        <v>116.29</v>
      </c>
      <c r="L120" s="152" t="s">
        <v>137</v>
      </c>
      <c r="M120" s="160">
        <v>40</v>
      </c>
      <c r="N120" s="160">
        <v>0</v>
      </c>
      <c r="O120" s="160">
        <v>1.7462686048127762E+19</v>
      </c>
    </row>
    <row r="121" spans="4:15" ht="15" customHeight="1">
      <c r="D121" s="158" t="b">
        <v>0</v>
      </c>
      <c r="E121" s="153">
        <v>19.399999999999999</v>
      </c>
      <c r="F121" s="151">
        <v>6.0139999999999993</v>
      </c>
      <c r="G121" s="151">
        <v>6.4019999999999992</v>
      </c>
      <c r="H121" s="152">
        <v>19.012</v>
      </c>
      <c r="I121" s="152">
        <v>16.683999999999997</v>
      </c>
      <c r="J121" s="152">
        <v>669.31</v>
      </c>
      <c r="K121" s="152">
        <v>96.87</v>
      </c>
      <c r="L121" s="152" t="s">
        <v>138</v>
      </c>
      <c r="M121" s="160">
        <v>41</v>
      </c>
      <c r="N121" s="160">
        <v>0</v>
      </c>
      <c r="O121" s="160">
        <v>1.5021367770992562E+19</v>
      </c>
    </row>
    <row r="122" spans="4:15" ht="15" customHeight="1">
      <c r="D122" s="158" t="b">
        <v>0</v>
      </c>
      <c r="E122" s="153">
        <v>19.5</v>
      </c>
      <c r="F122" s="151">
        <v>4.0949999999999998</v>
      </c>
      <c r="G122" s="151">
        <v>5.6550000000000002</v>
      </c>
      <c r="H122" s="152">
        <v>15.99</v>
      </c>
      <c r="I122" s="152">
        <v>15.795</v>
      </c>
      <c r="J122" s="152">
        <v>767.91</v>
      </c>
      <c r="K122" s="152">
        <v>155.57</v>
      </c>
      <c r="L122" s="152" t="s">
        <v>139</v>
      </c>
      <c r="M122" s="160">
        <v>42</v>
      </c>
      <c r="N122" s="160">
        <v>0</v>
      </c>
      <c r="O122" s="160">
        <v>1.3353805550090191E+19</v>
      </c>
    </row>
    <row r="123" spans="4:15" ht="15" customHeight="1">
      <c r="D123" s="158" t="b">
        <v>0</v>
      </c>
      <c r="E123" s="153">
        <v>19.399999999999999</v>
      </c>
      <c r="F123" s="151">
        <v>7.76</v>
      </c>
      <c r="G123" s="151">
        <v>7.371999999999999</v>
      </c>
      <c r="H123" s="152">
        <v>17.654</v>
      </c>
      <c r="I123" s="152">
        <v>16.878</v>
      </c>
      <c r="J123" s="152">
        <v>1004.75</v>
      </c>
      <c r="K123" s="152">
        <v>156.83000000000001</v>
      </c>
      <c r="L123" s="152" t="s">
        <v>140</v>
      </c>
      <c r="M123" s="160">
        <v>43</v>
      </c>
      <c r="N123" s="160">
        <v>0</v>
      </c>
      <c r="O123" s="160">
        <v>8.8678330218432256E+18</v>
      </c>
    </row>
    <row r="124" spans="4:15" ht="15" customHeight="1">
      <c r="D124" s="158" t="b">
        <v>0</v>
      </c>
      <c r="E124" s="153">
        <v>11.3</v>
      </c>
      <c r="F124" s="151">
        <v>4.859</v>
      </c>
      <c r="G124" s="151">
        <v>1.8080000000000001</v>
      </c>
      <c r="H124" s="152">
        <v>9.9440000000000008</v>
      </c>
      <c r="I124" s="152">
        <v>10.848000000000004</v>
      </c>
      <c r="J124" s="152">
        <v>809.38</v>
      </c>
      <c r="K124" s="152">
        <v>109.48</v>
      </c>
      <c r="L124" s="152" t="s">
        <v>141</v>
      </c>
      <c r="M124" s="160">
        <v>44</v>
      </c>
      <c r="N124" s="160">
        <v>0</v>
      </c>
      <c r="O124" s="160">
        <v>1.1716517170708765E+19</v>
      </c>
    </row>
    <row r="125" spans="4:15" ht="15" customHeight="1">
      <c r="D125" s="158" t="b">
        <v>0</v>
      </c>
      <c r="E125" s="153">
        <v>13.6</v>
      </c>
      <c r="F125" s="151">
        <v>4.08</v>
      </c>
      <c r="G125" s="151">
        <v>4.08</v>
      </c>
      <c r="H125" s="152">
        <v>13.055999999999999</v>
      </c>
      <c r="I125" s="152">
        <v>12.92</v>
      </c>
      <c r="J125" s="152">
        <v>716.2</v>
      </c>
      <c r="K125" s="152">
        <v>109.61</v>
      </c>
      <c r="L125" s="152" t="s">
        <v>142</v>
      </c>
      <c r="M125" s="160">
        <v>45</v>
      </c>
      <c r="N125" s="160">
        <v>0</v>
      </c>
      <c r="O125" s="160">
        <v>1.7211618119023102E+19</v>
      </c>
    </row>
    <row r="126" spans="4:15" ht="15" customHeight="1">
      <c r="D126" s="158" t="b">
        <v>0</v>
      </c>
      <c r="E126" s="153">
        <v>12.7</v>
      </c>
      <c r="F126" s="151">
        <v>2.4129999999999998</v>
      </c>
      <c r="G126" s="151">
        <v>3.4289999999999998</v>
      </c>
      <c r="H126" s="152">
        <v>11.048999999999999</v>
      </c>
      <c r="I126" s="152">
        <v>11.175999999999998</v>
      </c>
      <c r="J126" s="152">
        <v>768.95</v>
      </c>
      <c r="K126" s="152">
        <v>153.72</v>
      </c>
      <c r="L126" s="152" t="s">
        <v>143</v>
      </c>
      <c r="M126" s="160">
        <v>46</v>
      </c>
      <c r="N126" s="160">
        <v>0</v>
      </c>
      <c r="O126" s="160">
        <v>1.4830999920337308E+19</v>
      </c>
    </row>
    <row r="127" spans="4:15" ht="15" customHeight="1">
      <c r="D127" s="158" t="b">
        <v>0</v>
      </c>
      <c r="E127" s="153">
        <v>10.6</v>
      </c>
      <c r="F127" s="151">
        <v>4.452</v>
      </c>
      <c r="G127" s="151">
        <v>3.4980000000000002</v>
      </c>
      <c r="H127" s="152">
        <v>8.6920000000000002</v>
      </c>
      <c r="I127" s="152">
        <v>9.1159999999999997</v>
      </c>
      <c r="J127" s="152">
        <v>890.03</v>
      </c>
      <c r="K127" s="152">
        <v>111.62</v>
      </c>
      <c r="L127" s="152" t="s">
        <v>144</v>
      </c>
      <c r="M127" s="160">
        <v>47</v>
      </c>
      <c r="N127" s="160">
        <v>0</v>
      </c>
      <c r="O127" s="160">
        <v>6.9066360779343657E+18</v>
      </c>
    </row>
    <row r="128" spans="4:15" ht="15" customHeight="1">
      <c r="D128" s="158" t="b">
        <v>0</v>
      </c>
      <c r="E128" s="153">
        <v>23.8</v>
      </c>
      <c r="F128" s="151">
        <v>8.0920000000000005</v>
      </c>
      <c r="G128" s="151">
        <v>6.6639999999999997</v>
      </c>
      <c r="H128" s="152">
        <v>23.085999999999999</v>
      </c>
      <c r="I128" s="152">
        <v>20.706</v>
      </c>
      <c r="J128" s="152">
        <v>992.61</v>
      </c>
      <c r="K128" s="152">
        <v>152.56</v>
      </c>
      <c r="L128" s="152" t="s">
        <v>145</v>
      </c>
      <c r="M128" s="160">
        <v>48</v>
      </c>
      <c r="N128" s="160">
        <v>0</v>
      </c>
      <c r="O128" s="160">
        <v>1.6806068785352362E+19</v>
      </c>
    </row>
    <row r="129" spans="4:15" ht="15" customHeight="1">
      <c r="D129" s="158" t="b">
        <v>0</v>
      </c>
      <c r="E129" s="153">
        <v>13.8</v>
      </c>
      <c r="F129" s="151">
        <v>4.968</v>
      </c>
      <c r="G129" s="151">
        <v>4.5540000000000003</v>
      </c>
      <c r="H129" s="152">
        <v>5.3820000000000006</v>
      </c>
      <c r="I129" s="152">
        <v>11.592000000000001</v>
      </c>
      <c r="J129" s="152">
        <v>670.31</v>
      </c>
      <c r="K129" s="152">
        <v>106.62</v>
      </c>
      <c r="L129" s="152" t="s">
        <v>146</v>
      </c>
      <c r="M129" s="160">
        <v>49</v>
      </c>
      <c r="N129" s="160">
        <v>0</v>
      </c>
      <c r="O129" s="160">
        <v>1.7211031413456316E+19</v>
      </c>
    </row>
    <row r="130" spans="4:15" ht="15" customHeight="1">
      <c r="D130" s="159" t="b">
        <v>0</v>
      </c>
      <c r="E130" s="154">
        <v>17.399999999999999</v>
      </c>
      <c r="F130" s="155">
        <v>7.3079999999999998</v>
      </c>
      <c r="G130" s="155">
        <v>5.5679999999999996</v>
      </c>
      <c r="H130" s="152">
        <v>14.093999999999999</v>
      </c>
      <c r="I130" s="152">
        <v>15.659999999999998</v>
      </c>
      <c r="J130" s="152">
        <v>791.14</v>
      </c>
      <c r="K130" s="152">
        <v>122.04</v>
      </c>
      <c r="L130" s="152" t="s">
        <v>147</v>
      </c>
      <c r="M130" s="160">
        <v>50</v>
      </c>
      <c r="N130" s="160">
        <v>0</v>
      </c>
      <c r="O130" s="160">
        <v>1.5626037566657184E+19</v>
      </c>
    </row>
  </sheetData>
  <mergeCells count="1">
    <mergeCell ref="E7:F7"/>
  </mergeCells>
  <phoneticPr fontId="34" type="noConversion"/>
  <conditionalFormatting sqref="E23:G30 E36:G40 E46:G54">
    <cfRule type="cellIs" dxfId="157" priority="22" operator="equal">
      <formula>0</formula>
    </cfRule>
  </conditionalFormatting>
  <conditionalFormatting sqref="D80:D130">
    <cfRule type="cellIs" dxfId="156" priority="21" operator="notEqual">
      <formula>FALSE</formula>
    </cfRule>
  </conditionalFormatting>
  <conditionalFormatting sqref="E17:L17">
    <cfRule type="cellIs" dxfId="15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4" priority="16"/>
  </conditionalFormatting>
  <conditionalFormatting sqref="E15:L15">
    <cfRule type="cellIs" dxfId="153" priority="14" operator="notEqual">
      <formula>"Definition"</formula>
    </cfRule>
  </conditionalFormatting>
  <conditionalFormatting sqref="E7">
    <cfRule type="cellIs" dxfId="152" priority="13" operator="notEqual">
      <formula>"Dataset Description"</formula>
    </cfRule>
  </conditionalFormatting>
  <conditionalFormatting sqref="E58:G65">
    <cfRule type="cellIs" dxfId="15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L30 H36:L40 H46:L54">
    <cfRule type="cellIs" dxfId="107" priority="3" operator="equal">
      <formula>0</formula>
    </cfRule>
  </conditionalFormatting>
  <conditionalFormatting sqref="H24:L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L65">
    <cfRule type="cellIs" dxfId="10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9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51</v>
      </c>
      <c r="AA5" s="9"/>
    </row>
    <row r="6" spans="1:27" ht="15" customHeight="1">
      <c r="B6" s="38" t="s">
        <v>54</v>
      </c>
      <c r="C6" s="37">
        <v>8</v>
      </c>
      <c r="AA6" s="4"/>
    </row>
    <row r="7" spans="1:27" ht="15" customHeight="1">
      <c r="B7" s="38" t="s">
        <v>13</v>
      </c>
      <c r="C7" s="37" t="s">
        <v>94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95</v>
      </c>
      <c r="F12" s="64">
        <v>0.88235294117647001</v>
      </c>
      <c r="G12" s="64">
        <v>0</v>
      </c>
      <c r="H12" s="64">
        <v>0.10790796085691599</v>
      </c>
      <c r="I12" s="61">
        <v>408</v>
      </c>
      <c r="J12" s="61">
        <v>45</v>
      </c>
      <c r="K12" s="61">
        <v>51</v>
      </c>
      <c r="L12" s="62">
        <v>1</v>
      </c>
      <c r="M12" s="61">
        <v>0</v>
      </c>
      <c r="N12" s="63">
        <v>15.7901960784313</v>
      </c>
      <c r="O12" s="63">
        <v>15.6</v>
      </c>
      <c r="P12" s="63">
        <v>12.8</v>
      </c>
      <c r="Q12" s="63">
        <v>4.1220021786486596</v>
      </c>
      <c r="R12" s="63">
        <v>16.990901960784299</v>
      </c>
      <c r="S12" s="63">
        <v>5.9</v>
      </c>
      <c r="T12" s="63">
        <v>10.1</v>
      </c>
      <c r="U12" s="63">
        <v>12.75</v>
      </c>
      <c r="V12" s="63">
        <v>15.6</v>
      </c>
      <c r="W12" s="63">
        <v>18.5</v>
      </c>
      <c r="X12" s="63">
        <v>23.1</v>
      </c>
      <c r="Y12" s="63">
        <v>23.9</v>
      </c>
      <c r="Z12" s="63">
        <v>18</v>
      </c>
      <c r="AA12" s="63">
        <v>5.75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95</v>
      </c>
      <c r="F13" s="140">
        <v>0.98039215686274495</v>
      </c>
      <c r="G13" s="140">
        <v>0</v>
      </c>
      <c r="H13" s="140">
        <v>0.10790796085691599</v>
      </c>
      <c r="I13" s="61">
        <v>408</v>
      </c>
      <c r="J13" s="61">
        <v>50</v>
      </c>
      <c r="K13" s="61">
        <v>51</v>
      </c>
      <c r="L13" s="62">
        <v>1</v>
      </c>
      <c r="M13" s="61">
        <v>0</v>
      </c>
      <c r="N13" s="63">
        <v>4.9981960784313699</v>
      </c>
      <c r="O13" s="63">
        <v>4.6079999999999997</v>
      </c>
      <c r="P13" s="63">
        <v>4.968</v>
      </c>
      <c r="Q13" s="63">
        <v>2.0177470903917301</v>
      </c>
      <c r="R13" s="63">
        <v>4.0713033207843097</v>
      </c>
      <c r="S13" s="63">
        <v>1.79199999999999</v>
      </c>
      <c r="T13" s="63">
        <v>1.9715</v>
      </c>
      <c r="U13" s="63">
        <v>3.76649999999999</v>
      </c>
      <c r="V13" s="63">
        <v>4.6079999999999997</v>
      </c>
      <c r="W13" s="63">
        <v>6.4390000000000001</v>
      </c>
      <c r="X13" s="63">
        <v>8.7139999999999898</v>
      </c>
      <c r="Y13" s="63">
        <v>9.4499999999999993</v>
      </c>
      <c r="Z13" s="63">
        <v>7.6579999999999897</v>
      </c>
      <c r="AA13" s="63">
        <v>2.6724999999999999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95</v>
      </c>
      <c r="F14" s="140">
        <v>0.98039215686274495</v>
      </c>
      <c r="G14" s="140">
        <v>0</v>
      </c>
      <c r="H14" s="140">
        <v>0.10790796085691599</v>
      </c>
      <c r="I14" s="61">
        <v>408</v>
      </c>
      <c r="J14" s="61">
        <v>50</v>
      </c>
      <c r="K14" s="61">
        <v>51</v>
      </c>
      <c r="L14" s="62">
        <v>1</v>
      </c>
      <c r="M14" s="61">
        <v>0</v>
      </c>
      <c r="N14" s="63">
        <v>4.8867843137254896</v>
      </c>
      <c r="O14" s="63">
        <v>4.5540000000000003</v>
      </c>
      <c r="P14" s="63">
        <v>5.2080000000000002</v>
      </c>
      <c r="Q14" s="63">
        <v>1.7291329077167601</v>
      </c>
      <c r="R14" s="63">
        <v>2.98990061254902</v>
      </c>
      <c r="S14" s="63">
        <v>1.593</v>
      </c>
      <c r="T14" s="63">
        <v>2.827</v>
      </c>
      <c r="U14" s="63">
        <v>3.8940000000000001</v>
      </c>
      <c r="V14" s="63">
        <v>4.5540000000000003</v>
      </c>
      <c r="W14" s="63">
        <v>5.6039999999999903</v>
      </c>
      <c r="X14" s="63">
        <v>8.3940000000000001</v>
      </c>
      <c r="Y14" s="63">
        <v>10.038</v>
      </c>
      <c r="Z14" s="63">
        <v>8.4450000000000003</v>
      </c>
      <c r="AA14" s="63">
        <v>1.70999999999999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95</v>
      </c>
      <c r="F15" s="140">
        <v>0.98039215686274495</v>
      </c>
      <c r="G15" s="140">
        <v>0</v>
      </c>
      <c r="H15" s="140">
        <v>0.10790796085691599</v>
      </c>
      <c r="I15" s="61">
        <v>408</v>
      </c>
      <c r="J15" s="61">
        <v>50</v>
      </c>
      <c r="K15" s="61">
        <v>51</v>
      </c>
      <c r="L15" s="62">
        <v>1</v>
      </c>
      <c r="M15" s="61">
        <v>0</v>
      </c>
      <c r="N15" s="63">
        <v>13.5731764705882</v>
      </c>
      <c r="O15" s="63">
        <v>13.856999999999999</v>
      </c>
      <c r="P15" s="63">
        <v>14.093999999999999</v>
      </c>
      <c r="Q15" s="63">
        <v>4.5089770844655304</v>
      </c>
      <c r="R15" s="63">
        <v>20.330874348235199</v>
      </c>
      <c r="S15" s="63">
        <v>1.76</v>
      </c>
      <c r="T15" s="63">
        <v>6.5170000000000003</v>
      </c>
      <c r="U15" s="63">
        <v>10.4779999999999</v>
      </c>
      <c r="V15" s="63">
        <v>13.856999999999999</v>
      </c>
      <c r="W15" s="63">
        <v>16.14</v>
      </c>
      <c r="X15" s="63">
        <v>22</v>
      </c>
      <c r="Y15" s="63">
        <v>23.661000000000001</v>
      </c>
      <c r="Z15" s="63">
        <v>21.901</v>
      </c>
      <c r="AA15" s="63">
        <v>5.6619999999999999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95</v>
      </c>
      <c r="F16" s="140">
        <v>0.98039215686274495</v>
      </c>
      <c r="G16" s="140">
        <v>0</v>
      </c>
      <c r="H16" s="140">
        <v>0.10790796085691599</v>
      </c>
      <c r="I16" s="61">
        <v>408</v>
      </c>
      <c r="J16" s="61">
        <v>50</v>
      </c>
      <c r="K16" s="61">
        <v>51</v>
      </c>
      <c r="L16" s="62">
        <v>1</v>
      </c>
      <c r="M16" s="61">
        <v>0</v>
      </c>
      <c r="N16" s="63">
        <v>14.004882352941101</v>
      </c>
      <c r="O16" s="63">
        <v>13.775</v>
      </c>
      <c r="P16" s="63">
        <v>12.92</v>
      </c>
      <c r="Q16" s="63">
        <v>3.7646718988355801</v>
      </c>
      <c r="R16" s="63">
        <v>14.172754505882301</v>
      </c>
      <c r="S16" s="63">
        <v>5.9</v>
      </c>
      <c r="T16" s="63">
        <v>8.5919999999999899</v>
      </c>
      <c r="U16" s="63">
        <v>11.3479999999999</v>
      </c>
      <c r="V16" s="63">
        <v>13.775</v>
      </c>
      <c r="W16" s="63">
        <v>16.754999999999999</v>
      </c>
      <c r="X16" s="63">
        <v>20.321999999999999</v>
      </c>
      <c r="Y16" s="63">
        <v>21.28</v>
      </c>
      <c r="Z16" s="63">
        <v>15.38</v>
      </c>
      <c r="AA16" s="63">
        <v>5.407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95</v>
      </c>
      <c r="F17" s="140">
        <v>1</v>
      </c>
      <c r="G17" s="140">
        <v>0</v>
      </c>
      <c r="H17" s="140">
        <v>0.10790796085691599</v>
      </c>
      <c r="I17" s="61">
        <v>408</v>
      </c>
      <c r="J17" s="61">
        <v>51</v>
      </c>
      <c r="K17" s="61">
        <v>51</v>
      </c>
      <c r="L17" s="62">
        <v>1</v>
      </c>
      <c r="M17" s="61">
        <v>0</v>
      </c>
      <c r="N17" s="63">
        <v>886.957647058823</v>
      </c>
      <c r="O17" s="63">
        <v>858.97</v>
      </c>
      <c r="P17" s="63">
        <v>641.96</v>
      </c>
      <c r="Q17" s="63">
        <v>178.296284791223</v>
      </c>
      <c r="R17" s="63">
        <v>31789.5651703529</v>
      </c>
      <c r="S17" s="63">
        <v>641.96</v>
      </c>
      <c r="T17" s="63">
        <v>665.59500000000003</v>
      </c>
      <c r="U17" s="63">
        <v>768.43</v>
      </c>
      <c r="V17" s="63">
        <v>858.97</v>
      </c>
      <c r="W17" s="63">
        <v>1007.94499999999</v>
      </c>
      <c r="X17" s="63">
        <v>1254.0999999999999</v>
      </c>
      <c r="Y17" s="63">
        <v>1301.52</v>
      </c>
      <c r="Z17" s="63">
        <v>659.56</v>
      </c>
      <c r="AA17" s="63">
        <v>239.51499999999899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95</v>
      </c>
      <c r="F18" s="140">
        <v>1</v>
      </c>
      <c r="G18" s="140">
        <v>0</v>
      </c>
      <c r="H18" s="140">
        <v>0.10790796085691599</v>
      </c>
      <c r="I18" s="61">
        <v>408</v>
      </c>
      <c r="J18" s="61">
        <v>51</v>
      </c>
      <c r="K18" s="61">
        <v>51</v>
      </c>
      <c r="L18" s="62">
        <v>1</v>
      </c>
      <c r="M18" s="61">
        <v>0</v>
      </c>
      <c r="N18" s="63">
        <v>134.493137254901</v>
      </c>
      <c r="O18" s="63">
        <v>136.05000000000001</v>
      </c>
      <c r="P18" s="63">
        <v>82.75</v>
      </c>
      <c r="Q18" s="63">
        <v>24.835922490634001</v>
      </c>
      <c r="R18" s="63">
        <v>616.82304596078404</v>
      </c>
      <c r="S18" s="63">
        <v>82.75</v>
      </c>
      <c r="T18" s="63">
        <v>96.72</v>
      </c>
      <c r="U18" s="63">
        <v>114.645</v>
      </c>
      <c r="V18" s="63">
        <v>136.05000000000001</v>
      </c>
      <c r="W18" s="63">
        <v>151.87</v>
      </c>
      <c r="X18" s="63">
        <v>172.94</v>
      </c>
      <c r="Y18" s="63">
        <v>194.78</v>
      </c>
      <c r="Z18" s="63">
        <v>112.03</v>
      </c>
      <c r="AA18" s="63">
        <v>37.225000000000001</v>
      </c>
    </row>
    <row r="19" spans="2:27" ht="15" customHeight="1">
      <c r="B19" s="141" t="s">
        <v>91</v>
      </c>
      <c r="C19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43" t="s">
        <v>96</v>
      </c>
      <c r="F19" s="144">
        <v>1</v>
      </c>
      <c r="G19" s="144">
        <v>0</v>
      </c>
      <c r="H19" s="144">
        <v>0.13673631314467</v>
      </c>
      <c r="I19" s="145">
        <v>517</v>
      </c>
      <c r="J19" s="145">
        <v>51</v>
      </c>
      <c r="K19" s="145">
        <v>51</v>
      </c>
      <c r="L19" s="146">
        <v>1</v>
      </c>
      <c r="M19" s="145">
        <v>0</v>
      </c>
      <c r="N19" s="147"/>
      <c r="O19" s="147"/>
      <c r="P19" s="147" t="s">
        <v>97</v>
      </c>
      <c r="Q19" s="147"/>
      <c r="R19" s="147"/>
      <c r="S19" s="147"/>
      <c r="T19" s="147"/>
      <c r="U19" s="147"/>
      <c r="V19" s="147"/>
      <c r="W19" s="147"/>
      <c r="X19" s="147"/>
      <c r="Y19" s="147"/>
      <c r="Z19" s="147"/>
      <c r="AA19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9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61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109375" style="12" bestFit="1" customWidth="1"/>
    <col min="5" max="5" width="12.6640625" style="12" bestFit="1" customWidth="1"/>
    <col min="6" max="6" width="19.44140625" style="12" bestFit="1" customWidth="1"/>
    <col min="7" max="7" width="17.21875" style="12" bestFit="1" customWidth="1"/>
    <col min="8" max="8" width="17.77734375" style="12" bestFit="1" customWidth="1"/>
    <col min="9" max="9" width="14.77734375" style="12" bestFit="1" customWidth="1"/>
    <col min="10" max="10" width="12.44140625" style="12" bestFit="1" customWidth="1"/>
    <col min="11" max="13" width="13.77734375" style="12" customWidth="1"/>
    <col min="14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Car Crashes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4" t="s">
        <v>48</v>
      </c>
      <c r="L9" s="164" t="s">
        <v>49</v>
      </c>
      <c r="M9" s="164" t="s">
        <v>53</v>
      </c>
    </row>
    <row r="10" spans="1:17" ht="15" customHeight="1">
      <c r="C10" s="161">
        <v>5.9</v>
      </c>
      <c r="D10" s="50"/>
      <c r="E10" s="50"/>
      <c r="F10" s="50"/>
      <c r="G10" s="50"/>
      <c r="H10" s="50"/>
      <c r="I10" s="50"/>
      <c r="J10" s="50"/>
      <c r="K10" s="165">
        <v>0</v>
      </c>
      <c r="L10" s="166"/>
      <c r="M10" s="167">
        <v>1.9607843137254902E-2</v>
      </c>
    </row>
    <row r="11" spans="1:17" ht="15" customHeight="1">
      <c r="C11" s="161">
        <v>8.1999999999999993</v>
      </c>
      <c r="D11" s="50"/>
      <c r="E11" s="50"/>
      <c r="F11" s="50"/>
      <c r="G11" s="50"/>
      <c r="H11" s="50"/>
      <c r="I11" s="50"/>
      <c r="J11" s="50"/>
      <c r="K11" s="165">
        <v>0</v>
      </c>
      <c r="L11" s="166"/>
      <c r="M11" s="167">
        <v>1.9607843137254902E-2</v>
      </c>
    </row>
    <row r="12" spans="1:17" ht="15" customHeight="1">
      <c r="C12" s="161">
        <v>9.6</v>
      </c>
      <c r="D12" s="50"/>
      <c r="E12" s="50"/>
      <c r="F12" s="50"/>
      <c r="G12" s="50"/>
      <c r="H12" s="50"/>
      <c r="I12" s="50"/>
      <c r="J12" s="50"/>
      <c r="K12" s="165">
        <v>0</v>
      </c>
      <c r="L12" s="166"/>
      <c r="M12" s="167">
        <v>1.9607843137254902E-2</v>
      </c>
    </row>
    <row r="13" spans="1:17" ht="15" customHeight="1">
      <c r="C13" s="161">
        <v>10.6</v>
      </c>
      <c r="D13" s="50"/>
      <c r="E13" s="50"/>
      <c r="F13" s="50"/>
      <c r="G13" s="50"/>
      <c r="H13" s="50"/>
      <c r="I13" s="50"/>
      <c r="J13" s="50"/>
      <c r="K13" s="165">
        <v>0</v>
      </c>
      <c r="L13" s="166"/>
      <c r="M13" s="167">
        <v>1.9607843137254902E-2</v>
      </c>
    </row>
    <row r="14" spans="1:17" ht="15" customHeight="1">
      <c r="C14" s="161">
        <v>10.8</v>
      </c>
      <c r="D14" s="50"/>
      <c r="E14" s="50"/>
      <c r="F14" s="50"/>
      <c r="G14" s="50"/>
      <c r="H14" s="50"/>
      <c r="I14" s="50"/>
      <c r="J14" s="50"/>
      <c r="K14" s="165">
        <v>0</v>
      </c>
      <c r="L14" s="166"/>
      <c r="M14" s="167">
        <v>1.9607843137254902E-2</v>
      </c>
    </row>
    <row r="15" spans="1:17" ht="15" customHeight="1">
      <c r="C15" s="161">
        <v>11.1</v>
      </c>
      <c r="D15" s="50"/>
      <c r="E15" s="50"/>
      <c r="F15" s="50"/>
      <c r="G15" s="50"/>
      <c r="H15" s="50"/>
      <c r="I15" s="50"/>
      <c r="J15" s="50"/>
      <c r="K15" s="165">
        <v>0</v>
      </c>
      <c r="L15" s="166"/>
      <c r="M15" s="167">
        <v>1.9607843137254902E-2</v>
      </c>
    </row>
    <row r="16" spans="1:17" ht="15" customHeight="1">
      <c r="C16" s="161">
        <v>11.2</v>
      </c>
      <c r="D16" s="50"/>
      <c r="E16" s="50"/>
      <c r="F16" s="50"/>
      <c r="G16" s="50"/>
      <c r="H16" s="50"/>
      <c r="I16" s="50"/>
      <c r="J16" s="50"/>
      <c r="K16" s="165">
        <v>0</v>
      </c>
      <c r="L16" s="166"/>
      <c r="M16" s="167">
        <v>1.9607843137254902E-2</v>
      </c>
    </row>
    <row r="17" spans="3:13" ht="15" customHeight="1">
      <c r="C17" s="161">
        <v>11.3</v>
      </c>
      <c r="D17" s="50"/>
      <c r="E17" s="50"/>
      <c r="F17" s="50"/>
      <c r="G17" s="50"/>
      <c r="H17" s="50"/>
      <c r="I17" s="50"/>
      <c r="J17" s="50"/>
      <c r="K17" s="165">
        <v>0</v>
      </c>
      <c r="L17" s="166"/>
      <c r="M17" s="167">
        <v>1.9607843137254902E-2</v>
      </c>
    </row>
    <row r="18" spans="3:13" ht="15" customHeight="1">
      <c r="C18" s="161">
        <v>11.6</v>
      </c>
      <c r="D18" s="50"/>
      <c r="E18" s="50"/>
      <c r="F18" s="50"/>
      <c r="G18" s="50"/>
      <c r="H18" s="50"/>
      <c r="I18" s="50"/>
      <c r="J18" s="50"/>
      <c r="K18" s="165">
        <v>0</v>
      </c>
      <c r="L18" s="166"/>
      <c r="M18" s="167">
        <v>1.9607843137254902E-2</v>
      </c>
    </row>
    <row r="19" spans="3:13" ht="15" customHeight="1">
      <c r="C19" s="161">
        <v>12</v>
      </c>
      <c r="D19" s="50"/>
      <c r="E19" s="50"/>
      <c r="F19" s="50"/>
      <c r="G19" s="50"/>
      <c r="H19" s="50"/>
      <c r="I19" s="50"/>
      <c r="J19" s="50"/>
      <c r="K19" s="165">
        <v>0</v>
      </c>
      <c r="L19" s="166"/>
      <c r="M19" s="167">
        <v>1.9607843137254902E-2</v>
      </c>
    </row>
    <row r="20" spans="3:13" ht="15" customHeight="1">
      <c r="C20" s="161">
        <v>12.3</v>
      </c>
      <c r="D20" s="50"/>
      <c r="E20" s="50"/>
      <c r="F20" s="50"/>
      <c r="G20" s="50"/>
      <c r="H20" s="50"/>
      <c r="I20" s="50"/>
      <c r="J20" s="50"/>
      <c r="K20" s="165">
        <v>0</v>
      </c>
      <c r="L20" s="166"/>
      <c r="M20" s="167">
        <v>1.9607843137254902E-2</v>
      </c>
    </row>
    <row r="21" spans="3:13" ht="15" customHeight="1">
      <c r="C21" s="161">
        <v>12.5</v>
      </c>
      <c r="D21" s="50"/>
      <c r="E21" s="50"/>
      <c r="F21" s="50"/>
      <c r="G21" s="50"/>
      <c r="H21" s="50"/>
      <c r="I21" s="50"/>
      <c r="J21" s="50"/>
      <c r="K21" s="165">
        <v>0</v>
      </c>
      <c r="L21" s="166"/>
      <c r="M21" s="167">
        <v>1.9607843137254902E-2</v>
      </c>
    </row>
    <row r="22" spans="3:13" ht="15" customHeight="1">
      <c r="C22" s="161">
        <v>12.7</v>
      </c>
      <c r="D22" s="50"/>
      <c r="E22" s="50"/>
      <c r="F22" s="50"/>
      <c r="G22" s="50"/>
      <c r="H22" s="50"/>
      <c r="I22" s="50"/>
      <c r="J22" s="50"/>
      <c r="K22" s="165">
        <v>0</v>
      </c>
      <c r="L22" s="166"/>
      <c r="M22" s="167">
        <v>1.9607843137254902E-2</v>
      </c>
    </row>
    <row r="23" spans="3:13" ht="15" customHeight="1">
      <c r="C23" s="161">
        <v>12.8</v>
      </c>
      <c r="D23" s="50"/>
      <c r="E23" s="50"/>
      <c r="F23" s="50"/>
      <c r="G23" s="50"/>
      <c r="H23" s="50"/>
      <c r="I23" s="50"/>
      <c r="J23" s="50"/>
      <c r="K23" s="165">
        <v>0</v>
      </c>
      <c r="L23" s="166"/>
      <c r="M23" s="167">
        <v>3.9215686274509803E-2</v>
      </c>
    </row>
    <row r="24" spans="3:13" ht="15" customHeight="1">
      <c r="C24" s="161">
        <v>13.6</v>
      </c>
      <c r="D24" s="50"/>
      <c r="E24" s="50"/>
      <c r="F24" s="50"/>
      <c r="G24" s="50"/>
      <c r="H24" s="50"/>
      <c r="I24" s="50"/>
      <c r="J24" s="50"/>
      <c r="K24" s="165">
        <v>0</v>
      </c>
      <c r="L24" s="166"/>
      <c r="M24" s="167">
        <v>3.9215686274509803E-2</v>
      </c>
    </row>
    <row r="25" spans="3:13" ht="15" customHeight="1">
      <c r="C25" s="161">
        <v>13.8</v>
      </c>
      <c r="D25" s="50"/>
      <c r="E25" s="50"/>
      <c r="F25" s="50"/>
      <c r="G25" s="50"/>
      <c r="H25" s="50"/>
      <c r="I25" s="50"/>
      <c r="J25" s="50"/>
      <c r="K25" s="165">
        <v>0</v>
      </c>
      <c r="L25" s="166"/>
      <c r="M25" s="167">
        <v>1.9607843137254902E-2</v>
      </c>
    </row>
    <row r="26" spans="3:13" ht="15" customHeight="1">
      <c r="C26" s="161">
        <v>14.1</v>
      </c>
      <c r="D26" s="50"/>
      <c r="E26" s="50"/>
      <c r="F26" s="50"/>
      <c r="G26" s="50"/>
      <c r="H26" s="50"/>
      <c r="I26" s="50"/>
      <c r="J26" s="50"/>
      <c r="K26" s="165">
        <v>0</v>
      </c>
      <c r="L26" s="166"/>
      <c r="M26" s="167">
        <v>3.9215686274509803E-2</v>
      </c>
    </row>
    <row r="27" spans="3:13" ht="15" customHeight="1">
      <c r="C27" s="161">
        <v>14.5</v>
      </c>
      <c r="D27" s="50"/>
      <c r="E27" s="50"/>
      <c r="F27" s="50"/>
      <c r="G27" s="50"/>
      <c r="H27" s="50"/>
      <c r="I27" s="50"/>
      <c r="J27" s="50"/>
      <c r="K27" s="165">
        <v>0</v>
      </c>
      <c r="L27" s="166"/>
      <c r="M27" s="167">
        <v>1.9607843137254902E-2</v>
      </c>
    </row>
    <row r="28" spans="3:13" ht="15" customHeight="1">
      <c r="C28" s="161">
        <v>14.7</v>
      </c>
      <c r="D28" s="50"/>
      <c r="E28" s="50"/>
      <c r="F28" s="50"/>
      <c r="G28" s="50"/>
      <c r="H28" s="50"/>
      <c r="I28" s="50"/>
      <c r="J28" s="50"/>
      <c r="K28" s="165">
        <v>0</v>
      </c>
      <c r="L28" s="166"/>
      <c r="M28" s="167">
        <v>1.9607843137254902E-2</v>
      </c>
    </row>
    <row r="29" spans="3:13" ht="15" customHeight="1">
      <c r="C29" s="161">
        <v>14.9</v>
      </c>
      <c r="D29" s="50"/>
      <c r="E29" s="50"/>
      <c r="F29" s="50"/>
      <c r="G29" s="50"/>
      <c r="H29" s="50"/>
      <c r="I29" s="50"/>
      <c r="J29" s="50"/>
      <c r="K29" s="165">
        <v>0</v>
      </c>
      <c r="L29" s="166"/>
      <c r="M29" s="167">
        <v>1.9607843137254902E-2</v>
      </c>
    </row>
    <row r="30" spans="3:13" ht="15" customHeight="1">
      <c r="C30" s="161">
        <v>15.1</v>
      </c>
      <c r="D30" s="50"/>
      <c r="E30" s="50"/>
      <c r="F30" s="50"/>
      <c r="G30" s="50"/>
      <c r="H30" s="50"/>
      <c r="I30" s="50"/>
      <c r="J30" s="50"/>
      <c r="K30" s="165">
        <v>0</v>
      </c>
      <c r="L30" s="166"/>
      <c r="M30" s="167">
        <v>1.9607843137254902E-2</v>
      </c>
    </row>
    <row r="31" spans="3:13" ht="15" customHeight="1">
      <c r="C31" s="161">
        <v>15.3</v>
      </c>
      <c r="D31" s="50"/>
      <c r="E31" s="50"/>
      <c r="F31" s="50"/>
      <c r="G31" s="50"/>
      <c r="H31" s="50"/>
      <c r="I31" s="50"/>
      <c r="J31" s="50"/>
      <c r="K31" s="165">
        <v>0</v>
      </c>
      <c r="L31" s="166"/>
      <c r="M31" s="167">
        <v>1.9607843137254902E-2</v>
      </c>
    </row>
    <row r="32" spans="3:13" ht="15" customHeight="1">
      <c r="C32" s="161">
        <v>15.6</v>
      </c>
      <c r="D32" s="50"/>
      <c r="E32" s="50"/>
      <c r="F32" s="50"/>
      <c r="G32" s="50"/>
      <c r="H32" s="50"/>
      <c r="I32" s="50"/>
      <c r="J32" s="50"/>
      <c r="K32" s="165">
        <v>0</v>
      </c>
      <c r="L32" s="166"/>
      <c r="M32" s="167">
        <v>1.9607843137254902E-2</v>
      </c>
    </row>
    <row r="33" spans="3:13" ht="15" customHeight="1">
      <c r="C33" s="161">
        <v>15.7</v>
      </c>
      <c r="D33" s="50"/>
      <c r="E33" s="50"/>
      <c r="F33" s="50"/>
      <c r="G33" s="50"/>
      <c r="H33" s="50"/>
      <c r="I33" s="50"/>
      <c r="J33" s="50"/>
      <c r="K33" s="165">
        <v>0</v>
      </c>
      <c r="L33" s="166"/>
      <c r="M33" s="167">
        <v>1.9607843137254902E-2</v>
      </c>
    </row>
    <row r="34" spans="3:13" ht="15" customHeight="1">
      <c r="C34" s="161">
        <v>16.100000000000001</v>
      </c>
      <c r="D34" s="50"/>
      <c r="E34" s="50"/>
      <c r="F34" s="50"/>
      <c r="G34" s="50"/>
      <c r="H34" s="50"/>
      <c r="I34" s="50"/>
      <c r="J34" s="50"/>
      <c r="K34" s="165">
        <v>0</v>
      </c>
      <c r="L34" s="166"/>
      <c r="M34" s="167">
        <v>1.9607843137254902E-2</v>
      </c>
    </row>
    <row r="35" spans="3:13" ht="15" customHeight="1">
      <c r="C35" s="161">
        <v>16.2</v>
      </c>
      <c r="D35" s="50"/>
      <c r="E35" s="50"/>
      <c r="F35" s="50"/>
      <c r="G35" s="50"/>
      <c r="H35" s="50"/>
      <c r="I35" s="50"/>
      <c r="J35" s="50"/>
      <c r="K35" s="165">
        <v>0</v>
      </c>
      <c r="L35" s="166"/>
      <c r="M35" s="167">
        <v>1.9607843137254902E-2</v>
      </c>
    </row>
    <row r="36" spans="3:13" ht="15" customHeight="1">
      <c r="C36" s="161">
        <v>16.8</v>
      </c>
      <c r="D36" s="50"/>
      <c r="E36" s="50"/>
      <c r="F36" s="50"/>
      <c r="G36" s="50"/>
      <c r="H36" s="50"/>
      <c r="I36" s="50"/>
      <c r="J36" s="50"/>
      <c r="K36" s="165">
        <v>0</v>
      </c>
      <c r="L36" s="166"/>
      <c r="M36" s="167">
        <v>1.9607843137254902E-2</v>
      </c>
    </row>
    <row r="37" spans="3:13" ht="15" customHeight="1">
      <c r="C37" s="161">
        <v>17.399999999999999</v>
      </c>
      <c r="D37" s="50"/>
      <c r="E37" s="50"/>
      <c r="F37" s="50"/>
      <c r="G37" s="50"/>
      <c r="H37" s="50"/>
      <c r="I37" s="50"/>
      <c r="J37" s="50"/>
      <c r="K37" s="165">
        <v>0</v>
      </c>
      <c r="L37" s="166"/>
      <c r="M37" s="167">
        <v>1.9607843137254902E-2</v>
      </c>
    </row>
    <row r="38" spans="3:13" ht="15" customHeight="1">
      <c r="C38" s="161">
        <v>17.5</v>
      </c>
      <c r="D38" s="50"/>
      <c r="E38" s="50"/>
      <c r="F38" s="50"/>
      <c r="G38" s="50"/>
      <c r="H38" s="50"/>
      <c r="I38" s="50"/>
      <c r="J38" s="50"/>
      <c r="K38" s="165">
        <v>0</v>
      </c>
      <c r="L38" s="166"/>
      <c r="M38" s="167">
        <v>1.9607843137254902E-2</v>
      </c>
    </row>
    <row r="39" spans="3:13" ht="15" customHeight="1">
      <c r="C39" s="161">
        <v>17.600000000000001</v>
      </c>
      <c r="D39" s="50"/>
      <c r="E39" s="50"/>
      <c r="F39" s="50"/>
      <c r="G39" s="50"/>
      <c r="H39" s="50"/>
      <c r="I39" s="50"/>
      <c r="J39" s="50"/>
      <c r="K39" s="165">
        <v>0</v>
      </c>
      <c r="L39" s="166"/>
      <c r="M39" s="167">
        <v>1.9607843137254902E-2</v>
      </c>
    </row>
    <row r="40" spans="3:13" ht="15" customHeight="1">
      <c r="C40" s="161">
        <v>17.8</v>
      </c>
      <c r="D40" s="50"/>
      <c r="E40" s="50"/>
      <c r="F40" s="50"/>
      <c r="G40" s="50"/>
      <c r="H40" s="50"/>
      <c r="I40" s="50"/>
      <c r="J40" s="50"/>
      <c r="K40" s="165">
        <v>0</v>
      </c>
      <c r="L40" s="166"/>
      <c r="M40" s="167">
        <v>1.9607843137254902E-2</v>
      </c>
    </row>
    <row r="41" spans="3:13" ht="15" customHeight="1">
      <c r="C41" s="161">
        <v>17.899999999999999</v>
      </c>
      <c r="D41" s="50"/>
      <c r="E41" s="50"/>
      <c r="F41" s="50"/>
      <c r="G41" s="50"/>
      <c r="H41" s="50"/>
      <c r="I41" s="50"/>
      <c r="J41" s="50"/>
      <c r="K41" s="165">
        <v>0</v>
      </c>
      <c r="L41" s="166"/>
      <c r="M41" s="167">
        <v>1.9607843137254902E-2</v>
      </c>
    </row>
    <row r="42" spans="3:13" ht="15" customHeight="1">
      <c r="C42" s="161">
        <v>18.100000000000001</v>
      </c>
      <c r="D42" s="50"/>
      <c r="E42" s="50"/>
      <c r="F42" s="50"/>
      <c r="G42" s="50"/>
      <c r="H42" s="50"/>
      <c r="I42" s="50"/>
      <c r="J42" s="50"/>
      <c r="K42" s="165">
        <v>0</v>
      </c>
      <c r="L42" s="166"/>
      <c r="M42" s="167">
        <v>1.9607843137254902E-2</v>
      </c>
    </row>
    <row r="43" spans="3:13" ht="15" customHeight="1">
      <c r="C43" s="161">
        <v>18.2</v>
      </c>
      <c r="D43" s="50"/>
      <c r="E43" s="50"/>
      <c r="F43" s="50"/>
      <c r="G43" s="50"/>
      <c r="H43" s="50"/>
      <c r="I43" s="50"/>
      <c r="J43" s="50"/>
      <c r="K43" s="165">
        <v>0</v>
      </c>
      <c r="L43" s="166"/>
      <c r="M43" s="167">
        <v>1.9607843137254902E-2</v>
      </c>
    </row>
    <row r="44" spans="3:13" ht="15" customHeight="1">
      <c r="C44" s="161">
        <v>18.399999999999999</v>
      </c>
      <c r="D44" s="50"/>
      <c r="E44" s="50"/>
      <c r="F44" s="50"/>
      <c r="G44" s="50"/>
      <c r="H44" s="50"/>
      <c r="I44" s="50"/>
      <c r="J44" s="50"/>
      <c r="K44" s="165">
        <v>0</v>
      </c>
      <c r="L44" s="166"/>
      <c r="M44" s="167">
        <v>1.9607843137254902E-2</v>
      </c>
    </row>
    <row r="45" spans="3:13" ht="15" customHeight="1">
      <c r="C45" s="161">
        <v>18.600000000000001</v>
      </c>
      <c r="D45" s="50"/>
      <c r="E45" s="50"/>
      <c r="F45" s="50"/>
      <c r="G45" s="50"/>
      <c r="H45" s="50"/>
      <c r="I45" s="50"/>
      <c r="J45" s="50"/>
      <c r="K45" s="165">
        <v>0</v>
      </c>
      <c r="L45" s="166"/>
      <c r="M45" s="167">
        <v>1.9607843137254902E-2</v>
      </c>
    </row>
    <row r="46" spans="3:13" ht="15" customHeight="1">
      <c r="C46" s="161">
        <v>18.8</v>
      </c>
      <c r="D46" s="50"/>
      <c r="E46" s="50"/>
      <c r="F46" s="50"/>
      <c r="G46" s="50"/>
      <c r="H46" s="50"/>
      <c r="I46" s="50"/>
      <c r="J46" s="50"/>
      <c r="K46" s="165">
        <v>0</v>
      </c>
      <c r="L46" s="166"/>
      <c r="M46" s="167">
        <v>1.9607843137254902E-2</v>
      </c>
    </row>
    <row r="47" spans="3:13" ht="15" customHeight="1">
      <c r="C47" s="161">
        <v>19.399999999999999</v>
      </c>
      <c r="D47" s="50"/>
      <c r="E47" s="50"/>
      <c r="F47" s="50"/>
      <c r="G47" s="50"/>
      <c r="H47" s="50"/>
      <c r="I47" s="50"/>
      <c r="J47" s="50"/>
      <c r="K47" s="165">
        <v>0</v>
      </c>
      <c r="L47" s="166"/>
      <c r="M47" s="167">
        <v>3.9215686274509803E-2</v>
      </c>
    </row>
    <row r="48" spans="3:13" ht="15" customHeight="1">
      <c r="C48" s="161">
        <v>19.5</v>
      </c>
      <c r="D48" s="50"/>
      <c r="E48" s="50"/>
      <c r="F48" s="50"/>
      <c r="G48" s="50"/>
      <c r="H48" s="50"/>
      <c r="I48" s="50"/>
      <c r="J48" s="50"/>
      <c r="K48" s="165">
        <v>0</v>
      </c>
      <c r="L48" s="166"/>
      <c r="M48" s="167">
        <v>1.9607843137254902E-2</v>
      </c>
    </row>
    <row r="49" spans="3:13" ht="15" customHeight="1">
      <c r="C49" s="161">
        <v>19.899999999999999</v>
      </c>
      <c r="D49" s="50"/>
      <c r="E49" s="50"/>
      <c r="F49" s="50"/>
      <c r="G49" s="50"/>
      <c r="H49" s="50"/>
      <c r="I49" s="50"/>
      <c r="J49" s="50"/>
      <c r="K49" s="165">
        <v>0</v>
      </c>
      <c r="L49" s="166"/>
      <c r="M49" s="167">
        <v>1.9607843137254902E-2</v>
      </c>
    </row>
    <row r="50" spans="3:13" ht="15" customHeight="1">
      <c r="C50" s="161">
        <v>20.5</v>
      </c>
      <c r="D50" s="50"/>
      <c r="E50" s="50"/>
      <c r="F50" s="50"/>
      <c r="G50" s="50"/>
      <c r="H50" s="50"/>
      <c r="I50" s="50"/>
      <c r="J50" s="50"/>
      <c r="K50" s="165">
        <v>0</v>
      </c>
      <c r="L50" s="166"/>
      <c r="M50" s="167">
        <v>1.9607843137254902E-2</v>
      </c>
    </row>
    <row r="51" spans="3:13" ht="15" customHeight="1">
      <c r="C51" s="161">
        <v>21.4</v>
      </c>
      <c r="D51" s="50"/>
      <c r="E51" s="50"/>
      <c r="F51" s="50"/>
      <c r="G51" s="50"/>
      <c r="H51" s="50"/>
      <c r="I51" s="50"/>
      <c r="J51" s="50"/>
      <c r="K51" s="165">
        <v>0</v>
      </c>
      <c r="L51" s="166"/>
      <c r="M51" s="167">
        <v>3.9215686274509803E-2</v>
      </c>
    </row>
    <row r="52" spans="3:13" ht="15" customHeight="1">
      <c r="C52" s="161">
        <v>22.4</v>
      </c>
      <c r="D52" s="50"/>
      <c r="E52" s="50"/>
      <c r="F52" s="50"/>
      <c r="G52" s="50"/>
      <c r="H52" s="50"/>
      <c r="I52" s="50"/>
      <c r="J52" s="50"/>
      <c r="K52" s="165">
        <v>0</v>
      </c>
      <c r="L52" s="166"/>
      <c r="M52" s="167">
        <v>1.9607843137254902E-2</v>
      </c>
    </row>
    <row r="53" spans="3:13" ht="15" customHeight="1">
      <c r="C53" s="161">
        <v>23.8</v>
      </c>
      <c r="D53" s="50"/>
      <c r="E53" s="50"/>
      <c r="F53" s="50"/>
      <c r="G53" s="50"/>
      <c r="H53" s="50"/>
      <c r="I53" s="50"/>
      <c r="J53" s="50"/>
      <c r="K53" s="165">
        <v>0</v>
      </c>
      <c r="L53" s="166"/>
      <c r="M53" s="167">
        <v>1.9607843137254902E-2</v>
      </c>
    </row>
    <row r="54" spans="3:13" ht="15" customHeight="1">
      <c r="C54" s="161">
        <v>23.9</v>
      </c>
      <c r="D54" s="50"/>
      <c r="E54" s="50"/>
      <c r="F54" s="50"/>
      <c r="G54" s="50"/>
      <c r="H54" s="50"/>
      <c r="I54" s="50"/>
      <c r="J54" s="50"/>
      <c r="K54" s="165">
        <v>0</v>
      </c>
      <c r="L54" s="166"/>
      <c r="M54" s="167">
        <v>3.9215686274509803E-2</v>
      </c>
    </row>
    <row r="55" spans="3:13" ht="15" customHeight="1">
      <c r="C55" s="161" t="s">
        <v>148</v>
      </c>
      <c r="D55" s="161"/>
      <c r="E55" s="161"/>
      <c r="F55" s="161"/>
      <c r="G55" s="161"/>
      <c r="H55" s="161"/>
      <c r="I55" s="161"/>
      <c r="J55" s="161"/>
      <c r="K55" s="165">
        <v>0</v>
      </c>
      <c r="L55" s="166"/>
      <c r="M55" s="167">
        <v>1</v>
      </c>
    </row>
    <row r="56" spans="3:13" ht="15" customHeight="1">
      <c r="C56"/>
      <c r="D56"/>
      <c r="E56"/>
      <c r="F56"/>
      <c r="G56"/>
    </row>
    <row r="57" spans="3:13" ht="15" customHeight="1">
      <c r="C57"/>
      <c r="D57"/>
      <c r="E57"/>
      <c r="F57"/>
      <c r="G57"/>
    </row>
    <row r="58" spans="3:13" ht="15" customHeight="1">
      <c r="C58"/>
      <c r="D58"/>
      <c r="E58"/>
      <c r="F58"/>
      <c r="G58"/>
    </row>
    <row r="59" spans="3:13" ht="15" customHeight="1">
      <c r="C59"/>
      <c r="D59"/>
      <c r="E59"/>
      <c r="F59"/>
      <c r="G59"/>
    </row>
    <row r="60" spans="3:13" ht="15" customHeight="1">
      <c r="C60"/>
      <c r="D60"/>
      <c r="E60"/>
      <c r="F60"/>
      <c r="G60"/>
    </row>
    <row r="61" spans="3:13" ht="15" customHeight="1">
      <c r="C61"/>
      <c r="D61"/>
      <c r="E61"/>
      <c r="F61"/>
      <c r="G61"/>
    </row>
  </sheetData>
  <conditionalFormatting pivot="1" sqref="K10:K55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L10:L55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debug</vt:lpstr>
      <vt:lpstr>Field Analysis</vt:lpstr>
      <vt:lpstr>Overview</vt:lpstr>
      <vt:lpstr>Pivot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2026-06-04T16:43:07Z</dcterms:modified>
</cp:coreProperties>
</file>