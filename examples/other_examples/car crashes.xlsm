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8E3CD3CC-5B47-43DD-87A9-593783EC3A53}" xr6:coauthVersionLast="47" xr6:coauthVersionMax="47" xr10:uidLastSave="{00000000-0000-0000-0000-000000000000}"/>
  <bookViews>
    <workbookView xWindow="2724" yWindow="240" windowWidth="17280" windowHeight="8880" activeTab="1" xr2:uid="{040F3586-419E-4585-8ACE-6588AD7C95BD}"/>
  </bookViews>
  <sheets>
    <sheet name="Overview" sheetId="27" r:id="rId1"/>
    <sheet name="Field Analysis" sheetId="25" r:id="rId2"/>
    <sheet name="Pivot" sheetId="28" r:id="rId3"/>
    <sheet name="SinglePlot" sheetId="30" state="hidden" r:id="rId4"/>
    <sheet name="MultiplePlots" sheetId="31" state="hidden" r:id="rId5"/>
  </sheets>
  <functionGroups builtInGroupCount="19">
    <functionGroup name="Python Helper Functions"/>
  </functionGroups>
  <definedNames>
    <definedName name="Compiled_Lists">'Field Analysis'!$D$71:$D$80</definedName>
    <definedName name="Composition">'Field Analysis'!$D$25:$D$35</definedName>
    <definedName name="CompositionTable">'Field Analysis'!$E$34</definedName>
    <definedName name="DarkHeader">'Field Analysis'!$E$81</definedName>
    <definedName name="Data_Description">'Field Analysis'!$D$15:$D$22</definedName>
    <definedName name="DefaultWarn" localSheetId="2">Pivot!$C$7</definedName>
    <definedName name="Definitions">'Field Analysis'!$E$7:$L$7</definedName>
    <definedName name="Description">'Field Analysis'!$E$15</definedName>
    <definedName name="Dimensions">'Field Analysis'!$E$17</definedName>
    <definedName name="Field_Analysis">'Field Analysis'!$E$12:$E$80</definedName>
    <definedName name="Field_Lists">'Field Analysis'!$D$60:$D$68</definedName>
    <definedName name="Field_Notes">'Field Analysis'!$D$7:$D$10</definedName>
    <definedName name="FieldList1" localSheetId="4">#REF!</definedName>
    <definedName name="FieldList1" localSheetId="3">#REF!</definedName>
    <definedName name="FieldList1">'Field Analysis'!$E$60:$L$60</definedName>
    <definedName name="FieldList2" localSheetId="4">#REF!</definedName>
    <definedName name="FieldList2" localSheetId="3">#REF!</definedName>
    <definedName name="FieldList2">'Field Analysis'!$E$61:$L$61</definedName>
    <definedName name="FieldList3" localSheetId="4">#REF!</definedName>
    <definedName name="FieldList3" localSheetId="3">#REF!</definedName>
    <definedName name="FieldList3">'Field Analysis'!$E$62:$L$62</definedName>
    <definedName name="FieldList4" localSheetId="4">#REF!</definedName>
    <definedName name="FieldList4" localSheetId="3">#REF!</definedName>
    <definedName name="FieldList4">'Field Analysis'!$E$63:$L$63</definedName>
    <definedName name="FieldList5" localSheetId="4">#REF!</definedName>
    <definedName name="FieldList5" localSheetId="3">#REF!</definedName>
    <definedName name="FieldList5">'Field Analysis'!$E$64:$L$64</definedName>
    <definedName name="FieldList6" localSheetId="4">#REF!</definedName>
    <definedName name="FieldList6" localSheetId="3">#REF!</definedName>
    <definedName name="FieldList6">'Field Analysis'!$E$65:$L$65</definedName>
    <definedName name="FieldList7" localSheetId="4">#REF!</definedName>
    <definedName name="FieldList7" localSheetId="3">#REF!</definedName>
    <definedName name="FieldList7">'Field Analysis'!$E$66:$L$66</definedName>
    <definedName name="FieldList8" localSheetId="4">#REF!</definedName>
    <definedName name="FieldList8" localSheetId="3">#REF!</definedName>
    <definedName name="FieldList8">'Field Analysis'!$E$67:$L$67</definedName>
    <definedName name="FieldLists">'Field Analysis'!$D$60:$M$67</definedName>
    <definedName name="FieldRange" localSheetId="4">#REF!</definedName>
    <definedName name="FieldRange" localSheetId="3">#REF!</definedName>
    <definedName name="FieldRange">'Field Analysis'!$E$81:$L$81</definedName>
    <definedName name="FormatRange">'Field Analysis'!$G:$G</definedName>
    <definedName name="Headers">'Field Analysis'!$E$11:$L$11</definedName>
    <definedName name="Headers_Start">'Field Analysis'!$E$11</definedName>
    <definedName name="Histogram">'Field Analysis'!$E$44</definedName>
    <definedName name="LightHeader" localSheetId="4">#REF!</definedName>
    <definedName name="LightHeader" localSheetId="3">#REF!</definedName>
    <definedName name="LightHeader">'Field Analysis'!$D$81</definedName>
    <definedName name="Metadata">Overview!$C$4:$C$8</definedName>
    <definedName name="MultiplePlots" localSheetId="4">MultiplePlots!$D$9</definedName>
    <definedName name="MultiplePlotsTitle" localSheetId="4">MultiplePlots!$C$2</definedName>
    <definedName name="Name" localSheetId="4">#REF!</definedName>
    <definedName name="Name" localSheetId="3">#REF!</definedName>
    <definedName name="Name">'Field Analysis'!$C$3</definedName>
    <definedName name="Notes">'Field Analysis'!$E$9:$L$9</definedName>
    <definedName name="Percentiles">'Field Analysis'!$D$48:$D$57</definedName>
    <definedName name="RecordHashes">'Field Analysis'!$O$82:$O$132</definedName>
    <definedName name="SerializedLists">'Field Analysis'!$E$71:$E$80</definedName>
    <definedName name="SinglePlot" localSheetId="3">SinglePlot!$C$8</definedName>
    <definedName name="SinglePlotTitle" localSheetId="3">SinglePlot!$C$2</definedName>
    <definedName name="Summary_Stats">'Field Analysis'!$D$38:$D$45</definedName>
    <definedName name="Theme" localSheetId="1">'Field Analysis'!$C$11:$K$11</definedName>
    <definedName name="Theme" localSheetId="4">MultiplePlots!$B$6:$P$6</definedName>
    <definedName name="Theme" localSheetId="0">Overview!$B$10:$AA$10</definedName>
    <definedName name="Theme" localSheetId="2">Pivot!$B$4:$Q$4</definedName>
    <definedName name="Theme" localSheetId="3">SinglePlot!$B$6:$P$6</definedName>
    <definedName name="Toggles" localSheetId="4">#REF!,#REF!,#REF!,#REF!,#REF!,#REF!,#REF!</definedName>
    <definedName name="Toggles" localSheetId="3">#REF!,#REF!,#REF!,#REF!,#REF!,#REF!,#REF!</definedName>
    <definedName name="Toggles">'Field Analysis'!$C$5,'Field Analysis'!$C$13,'Field Analysis'!$C$23,'Field Analysis'!$C$36,'Field Analysis'!$C$46,'Field Analysis'!$C$58,'Field Analysis'!$C$69</definedName>
    <definedName name="TopToggle">'Field Analysis'!$B$3</definedName>
    <definedName name="Warning">'Field Analysis'!$D$1</definedName>
  </definedNames>
  <calcPr calcId="191029" iterateDelta="1E-4"/>
  <pivotCaches>
    <pivotCache cacheId="11" r:id="rId6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27" l="1"/>
  <c r="D12" i="27"/>
  <c r="D13" i="27"/>
  <c r="D14" i="27"/>
  <c r="D15" i="27"/>
  <c r="D16" i="27"/>
  <c r="D17" i="27"/>
  <c r="D18" i="27"/>
  <c r="C11" i="27"/>
  <c r="C12" i="27"/>
  <c r="C13" i="27"/>
  <c r="C14" i="27"/>
  <c r="C15" i="27"/>
  <c r="C16" i="27"/>
  <c r="C17" i="27"/>
  <c r="C18" i="27"/>
  <c r="E79" i="25" a="1"/>
  <c r="E79" i="25" s="1"/>
  <c r="D79" i="25"/>
  <c r="C2" i="28" l="1"/>
  <c r="B2" i="27"/>
  <c r="E78" i="25" a="1"/>
  <c r="E78" i="25" s="1"/>
  <c r="D78" i="25"/>
  <c r="E77" i="25" a="1"/>
  <c r="E77" i="25" s="1"/>
  <c r="D77" i="25"/>
  <c r="E76" i="25"/>
  <c r="D76" i="25"/>
  <c r="E75" i="25"/>
  <c r="D75" i="25"/>
  <c r="E74" i="25"/>
  <c r="D74" i="25"/>
  <c r="E73" i="25"/>
  <c r="D73" i="25"/>
  <c r="E72" i="25"/>
  <c r="D72" i="25"/>
  <c r="E71" i="25"/>
  <c r="D71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<sst xmlns="http://schemas.openxmlformats.org/spreadsheetml/2006/main" count="214" uniqueCount="124">
  <si>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</si>
  <si>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</si>
  <si>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</si>
  <si>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</si>
  <si>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</si>
  <si>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</si>
  <si>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</si>
  <si>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</si>
  <si>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</si>
  <si>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</si>
  <si>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</si>
  <si>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</si>
  <si>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</si>
  <si>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</si>
  <si>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</si>
  <si>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</si>
  <si>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</si>
  <si>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</si>
  <si>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</si>
  <si>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</si>
  <si>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</si>
  <si>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</si>
  <si>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</si>
  <si>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</si>
  <si>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</si>
  <si>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</si>
  <si>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</si>
  <si>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</si>
  <si>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</si>
  <si>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</si>
  <si>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</si>
  <si>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</si>
  <si>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</si>
  <si>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</si>
  <si>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</si>
  <si>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</si>
  <si>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</si>
  <si>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</si>
  <si>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</si>
  <si>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</si>
  <si>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</si>
  <si>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</si>
  <si>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</si>
  <si>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</si>
  <si>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</si>
  <si>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</si>
  <si>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</si>
  <si>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</si>
  <si>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</si>
  <si>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</si>
  <si>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</si>
  <si>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</si>
  <si>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</si>
  <si>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</si>
  <si>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</si>
  <si>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</si>
  <si>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</si>
  <si>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</si>
  <si>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Car Crashes</t>
  </si>
  <si>
    <t>3,498 bytes</t>
  </si>
  <si>
    <t>total</t>
  </si>
  <si>
    <t>speeding</t>
  </si>
  <si>
    <t>alcohol</t>
  </si>
  <si>
    <t>not_distracted</t>
  </si>
  <si>
    <t>no_previous</t>
  </si>
  <si>
    <t>ins_premium</t>
  </si>
  <si>
    <t>ins_losses</t>
  </si>
  <si>
    <t>abbrev</t>
  </si>
  <si>
    <t>index</t>
  </si>
  <si>
    <t>Record Hash</t>
  </si>
  <si>
    <t>float64</t>
  </si>
  <si>
    <t>str</t>
  </si>
  <si>
    <t>AK</t>
  </si>
  <si>
    <t>AL</t>
  </si>
  <si>
    <t>AZ</t>
  </si>
  <si>
    <t>AR</t>
  </si>
  <si>
    <t>CA</t>
  </si>
  <si>
    <t>CO</t>
  </si>
  <si>
    <t>CT</t>
  </si>
  <si>
    <t>DE</t>
  </si>
  <si>
    <t>DC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</si>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</sst>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CA5890"/>
        <bgColor indexed="64"/>
      </patternFill>
    </fill>
    <fill>
      <patternFill patternType="solid">
        <fgColor rgb="FF262626"/>
        <bgColor theme="1" tint="0.249977111117893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10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3" fillId="2" borderId="0" xfId="5" applyFill="1" applyBorder="1">
      <alignment horizontal="center" vertical="center"/>
    </xf>
    <xf numFmtId="0" fontId="3" fillId="2" borderId="10" xfId="5" applyFill="1" applyBorder="1">
      <alignment horizontal="center" vertical="center"/>
    </xf>
    <xf numFmtId="0" fontId="11" fillId="2" borderId="9" xfId="5" applyFont="1" applyBorder="1">
      <alignment horizontal="center" vertical="center"/>
    </xf>
    <xf numFmtId="0" fontId="11" fillId="2" borderId="0" xfId="5" applyFont="1" applyBorder="1">
      <alignment horizontal="center" vertical="center"/>
    </xf>
    <xf numFmtId="0" fontId="11" fillId="2" borderId="10" xfId="5" applyFont="1" applyBorder="1">
      <alignment horizontal="center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7" borderId="0" xfId="0" applyFont="1" applyFill="1" applyAlignment="1">
      <alignment wrapText="1"/>
    </xf>
    <xf numFmtId="0" fontId="14" fillId="7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7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0" fontId="3" fillId="2" borderId="1" xfId="5">
      <alignment horizontal="center" vertical="center"/>
    </xf>
    <xf numFmtId="0" fontId="21" fillId="8" borderId="0" xfId="0" applyFont="1" applyFill="1"/>
    <xf numFmtId="0" fontId="22" fillId="8" borderId="0" xfId="0" applyFont="1" applyFill="1" applyAlignment="1">
      <alignment horizontal="center" vertical="center"/>
    </xf>
    <xf numFmtId="0" fontId="21" fillId="8" borderId="16" xfId="0" applyFont="1" applyFill="1" applyBorder="1" applyAlignment="1">
      <alignment horizontal="left" vertical="center" indent="1"/>
    </xf>
    <xf numFmtId="0" fontId="21" fillId="8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17" xfId="0" applyFill="1" applyBorder="1" applyAlignment="1">
      <alignment horizontal="left" indent="1"/>
    </xf>
    <xf numFmtId="0" fontId="19" fillId="7" borderId="17" xfId="0" applyFont="1" applyFill="1" applyBorder="1" applyAlignment="1">
      <alignment horizontal="left" indent="1"/>
    </xf>
    <xf numFmtId="0" fontId="0" fillId="2" borderId="17" xfId="0" applyFill="1" applyBorder="1" applyAlignment="1">
      <alignment horizontal="center" vertical="center" wrapText="1"/>
    </xf>
    <xf numFmtId="164" fontId="8" fillId="3" borderId="17" xfId="0" applyNumberFormat="1" applyFont="1" applyFill="1" applyBorder="1" applyAlignment="1">
      <alignment horizontal="center" vertical="top" wrapText="1"/>
    </xf>
    <xf numFmtId="3" fontId="0" fillId="2" borderId="17" xfId="0" applyNumberFormat="1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4" fontId="0" fillId="2" borderId="17" xfId="0" applyNumberFormat="1" applyFill="1" applyBorder="1" applyAlignment="1">
      <alignment horizontal="center" vertical="center" wrapText="1"/>
    </xf>
    <xf numFmtId="9" fontId="21" fillId="8" borderId="16" xfId="0" applyNumberFormat="1" applyFont="1" applyFill="1" applyBorder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4" fillId="7" borderId="0" xfId="7" applyFont="1" applyFill="1" applyAlignment="1">
      <alignment horizontal="center" vertical="center" wrapText="1"/>
    </xf>
    <xf numFmtId="0" fontId="25" fillId="7" borderId="15" xfId="0" applyFont="1" applyFill="1" applyBorder="1" applyAlignment="1">
      <alignment horizontal="center"/>
    </xf>
    <xf numFmtId="0" fontId="25" fillId="7" borderId="2" xfId="0" applyFont="1" applyFill="1" applyBorder="1" applyAlignment="1">
      <alignment horizontal="center"/>
    </xf>
    <xf numFmtId="0" fontId="25" fillId="7" borderId="16" xfId="0" applyFont="1" applyFill="1" applyBorder="1" applyAlignment="1">
      <alignment horizontal="center"/>
    </xf>
    <xf numFmtId="0" fontId="26" fillId="7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26" fillId="7" borderId="0" xfId="0" applyFont="1" applyFill="1" applyAlignment="1">
      <alignment horizontal="center" vertical="center" wrapText="1"/>
    </xf>
    <xf numFmtId="164" fontId="26" fillId="7" borderId="0" xfId="0" applyNumberFormat="1" applyFont="1" applyFill="1" applyAlignment="1">
      <alignment horizontal="center" vertical="center"/>
    </xf>
    <xf numFmtId="164" fontId="27" fillId="9" borderId="0" xfId="0" applyNumberFormat="1" applyFont="1" applyFill="1" applyAlignment="1">
      <alignment horizontal="center" vertical="center" wrapText="1"/>
    </xf>
    <xf numFmtId="10" fontId="26" fillId="7" borderId="0" xfId="0" applyNumberFormat="1" applyFont="1" applyFill="1" applyAlignment="1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134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CA589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33"/>
      <tableStyleElement type="headerRow" dxfId="132"/>
      <tableStyleElement type="totalRow" dxfId="131"/>
    </tableStyle>
    <tableStyle name="DarkTable" pivot="0" count="2" xr9:uid="{97C242D2-6F6D-4549-9428-17456D609B35}">
      <tableStyleElement type="wholeTable" dxfId="130"/>
      <tableStyleElement type="headerRow" dxfId="129"/>
    </tableStyle>
  </tableStyles>
  <colors>
    <mruColors>
      <color rgb="FF262626"/>
      <color rgb="FF1EAC1D"/>
      <color rgb="FF000000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22</xdr:row>
      <xdr:rowOff>11430</xdr:rowOff>
    </xdr:from>
    <xdr:to>
      <xdr:col>3</xdr:col>
      <xdr:colOff>1679448</xdr:colOff>
      <xdr:row>22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35</xdr:row>
      <xdr:rowOff>11430</xdr:rowOff>
    </xdr:from>
    <xdr:to>
      <xdr:col>3</xdr:col>
      <xdr:colOff>1679448</xdr:colOff>
      <xdr:row>35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45</xdr:row>
      <xdr:rowOff>11430</xdr:rowOff>
    </xdr:from>
    <xdr:to>
      <xdr:col>3</xdr:col>
      <xdr:colOff>1679448</xdr:colOff>
      <xdr:row>45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57</xdr:row>
      <xdr:rowOff>11430</xdr:rowOff>
    </xdr:from>
    <xdr:to>
      <xdr:col>3</xdr:col>
      <xdr:colOff>1679448</xdr:colOff>
      <xdr:row>57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68</xdr:row>
      <xdr:rowOff>11430</xdr:rowOff>
    </xdr:from>
    <xdr:to>
      <xdr:col>3</xdr:col>
      <xdr:colOff>1679448</xdr:colOff>
      <xdr:row>68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209FA15D-AE98-440E-9A73-7E38DC139601}"/>
            </a:ext>
          </a:extLst>
        </xdr:cNvPr>
        <xdr:cNvSpPr>
          <a:spLocks/>
        </xdr:cNvSpPr>
      </xdr:nvSpPr>
      <xdr:spPr>
        <a:xfrm>
          <a:off x="484632" y="7200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12</xdr:row>
      <xdr:rowOff>11430</xdr:rowOff>
    </xdr:from>
    <xdr:to>
      <xdr:col>3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1A2B53F1-B9E0-4590-9F49-D00E6827E2D0}"/>
            </a:ext>
          </a:extLst>
        </xdr:cNvPr>
        <xdr:cNvSpPr>
          <a:spLocks/>
        </xdr:cNvSpPr>
      </xdr:nvSpPr>
      <xdr:spPr>
        <a:xfrm>
          <a:off x="484632" y="26784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33</xdr:row>
      <xdr:rowOff>95250</xdr:rowOff>
    </xdr:from>
    <xdr:to>
      <xdr:col>4</xdr:col>
      <xdr:colOff>1809750</xdr:colOff>
      <xdr:row>33</xdr:row>
      <xdr:rowOff>1809750</xdr:rowOff>
    </xdr:to>
    <xdr:pic>
      <xdr:nvPicPr>
        <xdr:cNvPr id="11" name="composition_total">
          <a:extLst>
            <a:ext uri="{FF2B5EF4-FFF2-40B4-BE49-F238E27FC236}">
              <a16:creationId xmlns:a16="http://schemas.microsoft.com/office/drawing/2014/main" id="{25CE62E2-23A0-7382-2EF9-947A23274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43</xdr:row>
      <xdr:rowOff>95250</xdr:rowOff>
    </xdr:from>
    <xdr:to>
      <xdr:col>4</xdr:col>
      <xdr:colOff>1809750</xdr:colOff>
      <xdr:row>43</xdr:row>
      <xdr:rowOff>1809750</xdr:rowOff>
    </xdr:to>
    <xdr:pic>
      <xdr:nvPicPr>
        <xdr:cNvPr id="13" name="histogram_total">
          <a:extLst>
            <a:ext uri="{FF2B5EF4-FFF2-40B4-BE49-F238E27FC236}">
              <a16:creationId xmlns:a16="http://schemas.microsoft.com/office/drawing/2014/main" id="{B38B5F27-3114-25CA-CCB4-ECCAC8901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33</xdr:row>
      <xdr:rowOff>95250</xdr:rowOff>
    </xdr:from>
    <xdr:to>
      <xdr:col>5</xdr:col>
      <xdr:colOff>1809750</xdr:colOff>
      <xdr:row>33</xdr:row>
      <xdr:rowOff>1809750</xdr:rowOff>
    </xdr:to>
    <xdr:pic>
      <xdr:nvPicPr>
        <xdr:cNvPr id="15" name="composition_speeding">
          <a:extLst>
            <a:ext uri="{FF2B5EF4-FFF2-40B4-BE49-F238E27FC236}">
              <a16:creationId xmlns:a16="http://schemas.microsoft.com/office/drawing/2014/main" id="{A9493455-D188-8C33-9538-97EC08688C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43</xdr:row>
      <xdr:rowOff>95250</xdr:rowOff>
    </xdr:from>
    <xdr:to>
      <xdr:col>5</xdr:col>
      <xdr:colOff>1809750</xdr:colOff>
      <xdr:row>43</xdr:row>
      <xdr:rowOff>1809750</xdr:rowOff>
    </xdr:to>
    <xdr:pic>
      <xdr:nvPicPr>
        <xdr:cNvPr id="17" name="histogram_speeding">
          <a:extLst>
            <a:ext uri="{FF2B5EF4-FFF2-40B4-BE49-F238E27FC236}">
              <a16:creationId xmlns:a16="http://schemas.microsoft.com/office/drawing/2014/main" id="{8F265F74-2FB5-0AD5-50FE-1DDE24408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33</xdr:row>
      <xdr:rowOff>95250</xdr:rowOff>
    </xdr:from>
    <xdr:to>
      <xdr:col>6</xdr:col>
      <xdr:colOff>1809750</xdr:colOff>
      <xdr:row>33</xdr:row>
      <xdr:rowOff>1809750</xdr:rowOff>
    </xdr:to>
    <xdr:pic>
      <xdr:nvPicPr>
        <xdr:cNvPr id="19" name="composition_alcohol">
          <a:extLst>
            <a:ext uri="{FF2B5EF4-FFF2-40B4-BE49-F238E27FC236}">
              <a16:creationId xmlns:a16="http://schemas.microsoft.com/office/drawing/2014/main" id="{2236D1CB-2ABA-CA6E-B74E-E370954507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43</xdr:row>
      <xdr:rowOff>95250</xdr:rowOff>
    </xdr:from>
    <xdr:to>
      <xdr:col>6</xdr:col>
      <xdr:colOff>1809750</xdr:colOff>
      <xdr:row>43</xdr:row>
      <xdr:rowOff>1809750</xdr:rowOff>
    </xdr:to>
    <xdr:pic>
      <xdr:nvPicPr>
        <xdr:cNvPr id="21" name="histogram_alcohol">
          <a:extLst>
            <a:ext uri="{FF2B5EF4-FFF2-40B4-BE49-F238E27FC236}">
              <a16:creationId xmlns:a16="http://schemas.microsoft.com/office/drawing/2014/main" id="{1C19BF93-9721-A780-C0E0-0E1ECA409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33</xdr:row>
      <xdr:rowOff>95250</xdr:rowOff>
    </xdr:from>
    <xdr:to>
      <xdr:col>7</xdr:col>
      <xdr:colOff>1809750</xdr:colOff>
      <xdr:row>33</xdr:row>
      <xdr:rowOff>1809750</xdr:rowOff>
    </xdr:to>
    <xdr:pic>
      <xdr:nvPicPr>
        <xdr:cNvPr id="23" name="composition_not_distracted">
          <a:extLst>
            <a:ext uri="{FF2B5EF4-FFF2-40B4-BE49-F238E27FC236}">
              <a16:creationId xmlns:a16="http://schemas.microsoft.com/office/drawing/2014/main" id="{0B7F5424-F31D-34B7-1781-E284D52EC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43</xdr:row>
      <xdr:rowOff>95250</xdr:rowOff>
    </xdr:from>
    <xdr:to>
      <xdr:col>7</xdr:col>
      <xdr:colOff>1809750</xdr:colOff>
      <xdr:row>43</xdr:row>
      <xdr:rowOff>1809750</xdr:rowOff>
    </xdr:to>
    <xdr:pic>
      <xdr:nvPicPr>
        <xdr:cNvPr id="25" name="histogram_not_distracted">
          <a:extLst>
            <a:ext uri="{FF2B5EF4-FFF2-40B4-BE49-F238E27FC236}">
              <a16:creationId xmlns:a16="http://schemas.microsoft.com/office/drawing/2014/main" id="{DC4E7519-D0F6-34AF-A3E6-8CE13AFE14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33</xdr:row>
      <xdr:rowOff>95250</xdr:rowOff>
    </xdr:from>
    <xdr:to>
      <xdr:col>8</xdr:col>
      <xdr:colOff>1809750</xdr:colOff>
      <xdr:row>33</xdr:row>
      <xdr:rowOff>1809750</xdr:rowOff>
    </xdr:to>
    <xdr:pic>
      <xdr:nvPicPr>
        <xdr:cNvPr id="27" name="composition_no_previous">
          <a:extLst>
            <a:ext uri="{FF2B5EF4-FFF2-40B4-BE49-F238E27FC236}">
              <a16:creationId xmlns:a16="http://schemas.microsoft.com/office/drawing/2014/main" id="{D4ECFFCC-8A4F-5A06-C031-1EA1F67FBE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43</xdr:row>
      <xdr:rowOff>95250</xdr:rowOff>
    </xdr:from>
    <xdr:to>
      <xdr:col>8</xdr:col>
      <xdr:colOff>1809750</xdr:colOff>
      <xdr:row>43</xdr:row>
      <xdr:rowOff>1809750</xdr:rowOff>
    </xdr:to>
    <xdr:pic>
      <xdr:nvPicPr>
        <xdr:cNvPr id="29" name="histogram_no_previous">
          <a:extLst>
            <a:ext uri="{FF2B5EF4-FFF2-40B4-BE49-F238E27FC236}">
              <a16:creationId xmlns:a16="http://schemas.microsoft.com/office/drawing/2014/main" id="{EF321C82-E308-468B-9568-AE8C49023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33</xdr:row>
      <xdr:rowOff>95250</xdr:rowOff>
    </xdr:from>
    <xdr:to>
      <xdr:col>9</xdr:col>
      <xdr:colOff>1809750</xdr:colOff>
      <xdr:row>33</xdr:row>
      <xdr:rowOff>1809750</xdr:rowOff>
    </xdr:to>
    <xdr:pic>
      <xdr:nvPicPr>
        <xdr:cNvPr id="31" name="composition_ins_premium">
          <a:extLst>
            <a:ext uri="{FF2B5EF4-FFF2-40B4-BE49-F238E27FC236}">
              <a16:creationId xmlns:a16="http://schemas.microsoft.com/office/drawing/2014/main" id="{07C9A651-F50B-1B7A-038A-6B2AEE06E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43</xdr:row>
      <xdr:rowOff>95250</xdr:rowOff>
    </xdr:from>
    <xdr:to>
      <xdr:col>9</xdr:col>
      <xdr:colOff>1809750</xdr:colOff>
      <xdr:row>43</xdr:row>
      <xdr:rowOff>1809750</xdr:rowOff>
    </xdr:to>
    <xdr:pic>
      <xdr:nvPicPr>
        <xdr:cNvPr id="33" name="histogram_ins_premium">
          <a:extLst>
            <a:ext uri="{FF2B5EF4-FFF2-40B4-BE49-F238E27FC236}">
              <a16:creationId xmlns:a16="http://schemas.microsoft.com/office/drawing/2014/main" id="{56F30009-1FC0-8AEB-ADAC-63E251C3B9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33</xdr:row>
      <xdr:rowOff>95250</xdr:rowOff>
    </xdr:from>
    <xdr:to>
      <xdr:col>10</xdr:col>
      <xdr:colOff>1809749</xdr:colOff>
      <xdr:row>33</xdr:row>
      <xdr:rowOff>1809750</xdr:rowOff>
    </xdr:to>
    <xdr:pic>
      <xdr:nvPicPr>
        <xdr:cNvPr id="35" name="composition_ins_losses">
          <a:extLst>
            <a:ext uri="{FF2B5EF4-FFF2-40B4-BE49-F238E27FC236}">
              <a16:creationId xmlns:a16="http://schemas.microsoft.com/office/drawing/2014/main" id="{52B8BFEB-5213-D1F1-CD61-F27CFB763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50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43</xdr:row>
      <xdr:rowOff>95250</xdr:rowOff>
    </xdr:from>
    <xdr:to>
      <xdr:col>10</xdr:col>
      <xdr:colOff>1809749</xdr:colOff>
      <xdr:row>43</xdr:row>
      <xdr:rowOff>1809750</xdr:rowOff>
    </xdr:to>
    <xdr:pic>
      <xdr:nvPicPr>
        <xdr:cNvPr id="37" name="histogram_ins_losses">
          <a:extLst>
            <a:ext uri="{FF2B5EF4-FFF2-40B4-BE49-F238E27FC236}">
              <a16:creationId xmlns:a16="http://schemas.microsoft.com/office/drawing/2014/main" id="{7D4A014E-F269-C362-E8AE-1EC000473D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50289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95249</xdr:colOff>
      <xdr:row>33</xdr:row>
      <xdr:rowOff>95250</xdr:rowOff>
    </xdr:from>
    <xdr:to>
      <xdr:col>11</xdr:col>
      <xdr:colOff>1809749</xdr:colOff>
      <xdr:row>33</xdr:row>
      <xdr:rowOff>1809750</xdr:rowOff>
    </xdr:to>
    <xdr:pic>
      <xdr:nvPicPr>
        <xdr:cNvPr id="39" name="composition_abbrev">
          <a:extLst>
            <a:ext uri="{FF2B5EF4-FFF2-40B4-BE49-F238E27FC236}">
              <a16:creationId xmlns:a16="http://schemas.microsoft.com/office/drawing/2014/main" id="{B4174682-0200-5719-C633-CEEFC0579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55289" y="222123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1.894904398148" createdVersion="8" refreshedVersion="8" minRefreshableVersion="3" recordCount="51" xr:uid="{00DEDBB6-1F4A-4C10-B2D2-FF41FE7983D3}">
  <cacheSource type="worksheet">
    <worksheetSource name="tbl_SourceData"/>
  </cacheSource>
  <cacheFields count="12">
    <cacheField name="Record List" numFmtId="0">
      <sharedItems/>
    </cacheField>
    <cacheField name="total" numFmtId="0">
      <sharedItems containsSemiMixedTypes="0" containsString="0" containsNumber="1" minValue="5.9" maxValue="23.9" count="45">
        <n v="18.8"/>
        <n v="18.100000000000001"/>
        <n v="18.600000000000001"/>
        <n v="22.4"/>
        <n v="12"/>
        <n v="13.6"/>
        <n v="10.8"/>
        <n v="16.2"/>
        <n v="5.9"/>
        <n v="17.899999999999999"/>
        <n v="15.6"/>
        <n v="17.5"/>
        <n v="15.3"/>
        <n v="12.8"/>
        <n v="14.5"/>
        <n v="15.7"/>
        <n v="17.8"/>
        <n v="21.4"/>
        <n v="20.5"/>
        <n v="15.1"/>
        <n v="12.5"/>
        <n v="8.1999999999999993"/>
        <n v="14.1"/>
        <n v="9.6"/>
        <n v="17.600000000000001"/>
        <n v="16.100000000000001"/>
        <n v="14.9"/>
        <n v="14.7"/>
        <n v="11.6"/>
        <n v="11.2"/>
        <n v="18.399999999999999"/>
        <n v="12.3"/>
        <n v="16.8"/>
        <n v="23.9"/>
        <n v="19.899999999999999"/>
        <n v="18.2"/>
        <n v="11.1"/>
        <n v="19.399999999999999"/>
        <n v="19.5"/>
        <n v="11.3"/>
        <n v="12.7"/>
        <n v="10.6"/>
        <n v="23.8"/>
        <n v="13.8"/>
        <n v="17.399999999999999"/>
      </sharedItems>
    </cacheField>
    <cacheField name="speeding" numFmtId="0">
      <sharedItems containsSemiMixedTypes="0" containsString="0" containsNumber="1" minValue="1.7919999999999998" maxValue="9.4499999999999993" count="50">
        <n v="7.3320000000000007"/>
        <n v="7.4210000000000003"/>
        <n v="6.51"/>
        <n v="4.032"/>
        <n v="4.2"/>
        <n v="5.032"/>
        <n v="4.968"/>
        <n v="6.1560000000000006"/>
        <n v="2.0059999999999998"/>
        <n v="3.7589999999999999"/>
        <n v="2.964"/>
        <n v="9.4499999999999993"/>
        <n v="5.5080000000000009"/>
        <n v="4.6080000000000005"/>
        <n v="3.625"/>
        <n v="2.669"/>
        <n v="4.806"/>
        <n v="4.0659999999999998"/>
        <n v="7.1749999999999998"/>
        <n v="5.7380000000000004"/>
        <n v="4.25"/>
        <n v="1.8859999999999999"/>
        <n v="3.3839999999999999"/>
        <n v="2.2080000000000002"/>
        <n v="2.64"/>
        <n v="6.9230000000000009"/>
        <n v="8.3459999999999983"/>
        <n v="1.9370000000000005"/>
        <n v="5.4390000000000001"/>
        <n v="4.0599999999999996"/>
        <n v="1.7919999999999998"/>
        <n v="3.496"/>
        <n v="3.9359999999999999"/>
        <n v="6.5520000000000005"/>
        <n v="5.496999999999999"/>
        <n v="3.948"/>
        <n v="6.3679999999999994"/>
        <n v="4.2240000000000002"/>
        <n v="9.1"/>
        <n v="3.774"/>
        <n v="9.0820000000000007"/>
        <n v="6.0139999999999993"/>
        <n v="4.0949999999999998"/>
        <n v="7.76"/>
        <n v="4.859"/>
        <n v="4.08"/>
        <n v="2.4129999999999998"/>
        <n v="4.452"/>
        <n v="8.0920000000000005"/>
        <n v="7.3079999999999998"/>
      </sharedItems>
    </cacheField>
    <cacheField name="alcohol" numFmtId="0">
      <sharedItems containsSemiMixedTypes="0" containsString="0" containsNumber="1" minValue="1.5930000000000002" maxValue="10.038" count="50">
        <n v="5.64"/>
        <n v="4.5250000000000004"/>
        <n v="5.2080000000000011"/>
        <n v="5.8239999999999998"/>
        <n v="3.36"/>
        <n v="3.8079999999999998"/>
        <n v="3.8879999999999999"/>
        <n v="4.8600000000000003"/>
        <n v="1.5930000000000002"/>
        <n v="5.1909999999999989"/>
        <n v="3.9"/>
        <n v="7.1749999999999998"/>
        <n v="4.4370000000000003"/>
        <n v="4.3520000000000003"/>
        <n v="4.2050000000000001"/>
        <n v="3.9249999999999998"/>
        <n v="4.2720000000000002"/>
        <n v="4.9219999999999997"/>
        <n v="6.7649999999999997"/>
        <n v="4.53"/>
        <n v="4"/>
        <n v="2.87"/>
        <n v="3.948"/>
        <n v="2.7839999999999998"/>
        <n v="5.4560000000000004"/>
        <n v="5.4740000000000011"/>
        <n v="9.4160000000000004"/>
        <n v="5.2149999999999999"/>
        <n v="4.7039999999999997"/>
        <n v="3.48"/>
        <n v="3.1360000000000001"/>
        <n v="4.968"/>
        <n v="3.5670000000000006"/>
        <n v="10.038"/>
        <n v="4.7939999999999996"/>
        <n v="5.770999999999999"/>
        <n v="3.3280000000000003"/>
        <n v="5.6420000000000003"/>
        <n v="4.218"/>
        <n v="9.7989999999999995"/>
        <n v="6.4019999999999992"/>
        <n v="5.6550000000000002"/>
        <n v="7.371999999999999"/>
        <n v="1.8080000000000001"/>
        <n v="4.08"/>
        <n v="3.4289999999999998"/>
        <n v="3.4980000000000002"/>
        <n v="6.6639999999999997"/>
        <n v="4.5540000000000003"/>
        <n v="5.5679999999999996"/>
      </sharedItems>
    </cacheField>
    <cacheField name="not_distracted" numFmtId="0">
      <sharedItems containsSemiMixedTypes="0" containsString="0" containsNumber="1" minValue="1.76" maxValue="23.661000000000001" count="50">
        <n v="18.047999999999998"/>
        <n v="16.290000000000003"/>
        <n v="15.624000000000001"/>
        <n v="21.056000000000001"/>
        <n v="10.92"/>
        <n v="10.743999999999998"/>
        <n v="9.3960000000000008"/>
        <n v="14.093999999999999"/>
        <n v="5.9"/>
        <n v="16.468"/>
        <n v="14.82"/>
        <n v="14.35"/>
        <n v="13.005000000000001"/>
        <n v="12.032"/>
        <n v="13.775"/>
        <n v="15.228999999999999"/>
        <n v="13.706"/>
        <n v="16.691999999999997"/>
        <n v="14.965"/>
        <n v="13.137"/>
        <n v="8.875"/>
        <n v="7.1340000000000003"/>
        <n v="13.395"/>
        <n v="8.4480000000000004"/>
        <n v="1.76"/>
        <n v="14.811999999999999"/>
        <n v="17.975999999999999"/>
        <n v="13.856999999999999"/>
        <n v="13.965"/>
        <n v="10.092000000000001"/>
        <n v="9.6319999999999997"/>
        <n v="12.327999999999999"/>
        <n v="10.824000000000002"/>
        <n v="15.792"/>
        <n v="23.661000000000001"/>
        <n v="13.958999999999998"/>
        <n v="18.308"/>
        <n v="8.5760000000000005"/>
        <n v="17.471999999999998"/>
        <n v="10.212"/>
        <n v="22.943999999999999"/>
        <n v="19.012"/>
        <n v="15.99"/>
        <n v="17.654"/>
        <n v="9.9440000000000008"/>
        <n v="13.055999999999999"/>
        <n v="11.048999999999999"/>
        <n v="8.6920000000000002"/>
        <n v="23.085999999999999"/>
        <n v="5.3820000000000006"/>
      </sharedItems>
    </cacheField>
    <cacheField name="no_previous" numFmtId="0">
      <sharedItems containsSemiMixedTypes="0" containsString="0" containsNumber="1" minValue="5.9" maxValue="21.28" count="50">
        <n v="15.04"/>
        <n v="17.013999999999999"/>
        <n v="17.856000000000002"/>
        <n v="21.28"/>
        <n v="10.68"/>
        <n v="12.92"/>
        <n v="8.8559999999999999"/>
        <n v="16.038"/>
        <n v="5.9"/>
        <n v="16.826000000000001"/>
        <n v="14.507999999999999"/>
        <n v="15.225"/>
        <n v="14.994000000000002"/>
        <n v="12.288000000000002"/>
        <n v="13.775"/>
        <n v="13.659000000000001"/>
        <n v="15.13"/>
        <n v="16.263999999999999"/>
        <n v="20.09"/>
        <n v="12.683999999999999"/>
        <n v="12.375"/>
        <n v="6.56"/>
        <n v="10.856999999999999"/>
        <n v="8.4480000000000004"/>
        <n v="17.600000000000001"/>
        <n v="13.523999999999999"/>
        <n v="18.190000000000001"/>
        <n v="13.41"/>
        <n v="14.553000000000001"/>
        <n v="9.6280000000000001"/>
        <n v="8.7359999999999989"/>
        <n v="18.032"/>
        <n v="9.84"/>
        <n v="13.608000000000001"/>
        <n v="20.553999999999998"/>
        <n v="11.561999999999999"/>
        <n v="18.706"/>
        <n v="11.52"/>
        <n v="16.015999999999998"/>
        <n v="8.7690000000000001"/>
        <n v="19.359000000000002"/>
        <n v="16.683999999999997"/>
        <n v="15.795"/>
        <n v="16.878"/>
        <n v="10.848000000000004"/>
        <n v="11.175999999999998"/>
        <n v="9.1159999999999997"/>
        <n v="20.706"/>
        <n v="11.592000000000001"/>
        <n v="15.659999999999998"/>
      </sharedItems>
    </cacheField>
    <cacheField name="ins_premium" numFmtId="0">
      <sharedItems containsSemiMixedTypes="0" containsString="0" containsNumber="1" minValue="641.96" maxValue="1301.52" count="51">
        <n v="784.55"/>
        <n v="1053.48"/>
        <n v="899.47"/>
        <n v="827.34"/>
        <n v="878.41"/>
        <n v="835.5"/>
        <n v="1068.73"/>
        <n v="1137.8699999999999"/>
        <n v="1273.8900000000001"/>
        <n v="1160.1300000000001"/>
        <n v="913.15"/>
        <n v="861.18"/>
        <n v="641.96"/>
        <n v="803.11"/>
        <n v="710.46"/>
        <n v="649.05999999999995"/>
        <n v="780.45"/>
        <n v="872.51"/>
        <n v="1281.55"/>
        <n v="661.88"/>
        <n v="1048.78"/>
        <n v="1011.14"/>
        <n v="1110.6099999999999"/>
        <n v="777.18"/>
        <n v="896.07"/>
        <n v="790.32"/>
        <n v="816.21"/>
        <n v="732.28"/>
        <n v="1029.8699999999999"/>
        <n v="746.54"/>
        <n v="1301.52"/>
        <n v="869.85"/>
        <n v="1234.31"/>
        <n v="708.24"/>
        <n v="688.75"/>
        <n v="697.73"/>
        <n v="881.51"/>
        <n v="804.71"/>
        <n v="905.99"/>
        <n v="1148.99"/>
        <n v="858.97"/>
        <n v="669.31"/>
        <n v="767.91"/>
        <n v="1004.75"/>
        <n v="809.38"/>
        <n v="716.2"/>
        <n v="768.95"/>
        <n v="890.03"/>
        <n v="992.61"/>
        <n v="670.31"/>
        <n v="791.14"/>
      </sharedItems>
    </cacheField>
    <cacheField name="ins_losses" numFmtId="0">
      <sharedItems containsSemiMixedTypes="0" containsString="0" containsNumber="1" minValue="82.75" maxValue="194.78" count="51">
        <n v="145.08000000000001"/>
        <n v="133.93"/>
        <n v="110.35"/>
        <n v="142.38999999999999"/>
        <n v="165.63"/>
        <n v="139.91"/>
        <n v="167.02"/>
        <n v="151.47999999999999"/>
        <n v="136.05000000000001"/>
        <n v="144.18"/>
        <n v="142.80000000000001"/>
        <n v="120.92"/>
        <n v="82.75"/>
        <n v="139.15"/>
        <n v="108.92"/>
        <n v="114.47"/>
        <n v="133.80000000000001"/>
        <n v="137.13"/>
        <n v="194.78"/>
        <n v="96.57"/>
        <n v="192.7"/>
        <n v="135.63"/>
        <n v="152.26"/>
        <n v="133.35"/>
        <n v="155.77000000000001"/>
        <n v="144.44999999999999"/>
        <n v="85.15"/>
        <n v="114.82"/>
        <n v="138.71"/>
        <n v="120.21"/>
        <n v="159.85"/>
        <n v="120.75"/>
        <n v="150.01"/>
        <n v="127.82"/>
        <n v="109.72"/>
        <n v="133.52000000000001"/>
        <n v="178.86"/>
        <n v="104.61"/>
        <n v="153.86000000000001"/>
        <n v="148.58000000000001"/>
        <n v="116.29"/>
        <n v="96.87"/>
        <n v="155.57"/>
        <n v="156.83000000000001"/>
        <n v="109.48"/>
        <n v="109.61"/>
        <n v="153.72"/>
        <n v="111.62"/>
        <n v="152.56"/>
        <n v="106.62"/>
        <n v="122.04"/>
      </sharedItems>
    </cacheField>
    <cacheField name="abbrev" numFmtId="0">
      <sharedItems count="51">
        <s v="AL"/>
        <s v="AK"/>
        <s v="AZ"/>
        <s v="AR"/>
        <s v="CA"/>
        <s v="CO"/>
        <s v="CT"/>
        <s v="DE"/>
        <s v="DC"/>
        <s v="FL"/>
        <s v="GA"/>
        <s v="HI"/>
        <s v="ID"/>
        <s v="IL"/>
        <s v="IN"/>
        <s v="IA"/>
        <s v="KS"/>
        <s v="KY"/>
        <s v="LA"/>
        <s v="ME"/>
        <s v="MD"/>
        <s v="MA"/>
        <s v="MI"/>
        <s v="MN"/>
        <s v="MS"/>
        <s v="MO"/>
        <s v="MT"/>
        <s v="NE"/>
        <s v="NV"/>
        <s v="NH"/>
        <s v="NJ"/>
        <s v="NM"/>
        <s v="NY"/>
        <s v="NC"/>
        <s v="ND"/>
        <s v="OH"/>
        <s v="OK"/>
        <s v="OR"/>
        <s v="PA"/>
        <s v="RI"/>
        <s v="SC"/>
        <s v="SD"/>
        <s v="TN"/>
        <s v="TX"/>
        <s v="UT"/>
        <s v="VT"/>
        <s v="VA"/>
        <s v="WA"/>
        <s v="WV"/>
        <s v="WI"/>
        <s v="WY"/>
      </sharedItems>
    </cacheField>
    <cacheField name="index" numFmtId="0">
      <sharedItems containsSemiMixedTypes="0" containsString="0" containsNumber="1" containsInteger="1" minValue="0" maxValue="50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.4834549225603261E+17" maxValue="1.781149612857432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b v="0"/>
    <x v="0"/>
    <x v="0"/>
    <x v="0"/>
    <x v="0"/>
    <x v="0"/>
    <x v="0"/>
    <x v="0"/>
    <x v="0"/>
    <n v="0"/>
    <n v="0"/>
    <n v="4.6326082156998175E+18"/>
  </r>
  <r>
    <b v="0"/>
    <x v="1"/>
    <x v="1"/>
    <x v="1"/>
    <x v="1"/>
    <x v="1"/>
    <x v="1"/>
    <x v="1"/>
    <x v="1"/>
    <n v="1"/>
    <n v="0"/>
    <n v="1.0354735659823745E+19"/>
  </r>
  <r>
    <b v="0"/>
    <x v="2"/>
    <x v="2"/>
    <x v="2"/>
    <x v="2"/>
    <x v="2"/>
    <x v="2"/>
    <x v="2"/>
    <x v="2"/>
    <n v="2"/>
    <n v="0"/>
    <n v="8.2148052693421998E+18"/>
  </r>
  <r>
    <b v="0"/>
    <x v="3"/>
    <x v="3"/>
    <x v="3"/>
    <x v="3"/>
    <x v="3"/>
    <x v="3"/>
    <x v="3"/>
    <x v="3"/>
    <n v="3"/>
    <n v="0"/>
    <n v="4.4828494410551721E+18"/>
  </r>
  <r>
    <b v="0"/>
    <x v="4"/>
    <x v="4"/>
    <x v="4"/>
    <x v="4"/>
    <x v="4"/>
    <x v="4"/>
    <x v="4"/>
    <x v="4"/>
    <n v="4"/>
    <n v="0"/>
    <n v="3.7244398362547231E+18"/>
  </r>
  <r>
    <b v="0"/>
    <x v="5"/>
    <x v="5"/>
    <x v="5"/>
    <x v="5"/>
    <x v="5"/>
    <x v="5"/>
    <x v="5"/>
    <x v="5"/>
    <n v="5"/>
    <n v="0"/>
    <n v="5.5835957081849754E+18"/>
  </r>
  <r>
    <b v="0"/>
    <x v="6"/>
    <x v="6"/>
    <x v="6"/>
    <x v="6"/>
    <x v="6"/>
    <x v="6"/>
    <x v="6"/>
    <x v="6"/>
    <n v="6"/>
    <n v="0"/>
    <n v="2.4834549225603261E+17"/>
  </r>
  <r>
    <b v="0"/>
    <x v="7"/>
    <x v="7"/>
    <x v="7"/>
    <x v="7"/>
    <x v="7"/>
    <x v="7"/>
    <x v="7"/>
    <x v="7"/>
    <n v="7"/>
    <n v="0"/>
    <n v="7.8926597823567739E+18"/>
  </r>
  <r>
    <b v="0"/>
    <x v="8"/>
    <x v="8"/>
    <x v="8"/>
    <x v="8"/>
    <x v="8"/>
    <x v="8"/>
    <x v="8"/>
    <x v="8"/>
    <n v="8"/>
    <n v="0"/>
    <n v="9.2264550790620713E+18"/>
  </r>
  <r>
    <b v="0"/>
    <x v="9"/>
    <x v="9"/>
    <x v="9"/>
    <x v="9"/>
    <x v="9"/>
    <x v="9"/>
    <x v="9"/>
    <x v="9"/>
    <n v="9"/>
    <n v="0"/>
    <n v="7.3395090620845056E+18"/>
  </r>
  <r>
    <b v="0"/>
    <x v="10"/>
    <x v="10"/>
    <x v="10"/>
    <x v="10"/>
    <x v="10"/>
    <x v="10"/>
    <x v="10"/>
    <x v="10"/>
    <n v="10"/>
    <n v="0"/>
    <n v="1.3254140137568328E+19"/>
  </r>
  <r>
    <b v="0"/>
    <x v="11"/>
    <x v="11"/>
    <x v="11"/>
    <x v="11"/>
    <x v="11"/>
    <x v="11"/>
    <x v="11"/>
    <x v="11"/>
    <n v="11"/>
    <n v="0"/>
    <n v="1.5366426124011796E+19"/>
  </r>
  <r>
    <b v="0"/>
    <x v="12"/>
    <x v="12"/>
    <x v="12"/>
    <x v="12"/>
    <x v="12"/>
    <x v="12"/>
    <x v="12"/>
    <x v="12"/>
    <n v="12"/>
    <n v="0"/>
    <n v="3.4239789219678623E+18"/>
  </r>
  <r>
    <b v="0"/>
    <x v="13"/>
    <x v="13"/>
    <x v="13"/>
    <x v="13"/>
    <x v="13"/>
    <x v="13"/>
    <x v="13"/>
    <x v="13"/>
    <n v="13"/>
    <n v="0"/>
    <n v="1.1155552824622021E+19"/>
  </r>
  <r>
    <b v="0"/>
    <x v="14"/>
    <x v="14"/>
    <x v="14"/>
    <x v="14"/>
    <x v="14"/>
    <x v="14"/>
    <x v="14"/>
    <x v="14"/>
    <n v="14"/>
    <n v="0"/>
    <n v="1.3308621350227706E+19"/>
  </r>
  <r>
    <b v="0"/>
    <x v="15"/>
    <x v="15"/>
    <x v="15"/>
    <x v="15"/>
    <x v="15"/>
    <x v="15"/>
    <x v="15"/>
    <x v="15"/>
    <n v="15"/>
    <n v="0"/>
    <n v="3.8393311487363871E+18"/>
  </r>
  <r>
    <b v="0"/>
    <x v="16"/>
    <x v="16"/>
    <x v="16"/>
    <x v="16"/>
    <x v="16"/>
    <x v="16"/>
    <x v="16"/>
    <x v="16"/>
    <n v="16"/>
    <n v="0"/>
    <n v="8.7592784851903939E+18"/>
  </r>
  <r>
    <b v="0"/>
    <x v="17"/>
    <x v="17"/>
    <x v="17"/>
    <x v="17"/>
    <x v="17"/>
    <x v="17"/>
    <x v="17"/>
    <x v="17"/>
    <n v="17"/>
    <n v="0"/>
    <n v="9.9602869643228262E+18"/>
  </r>
  <r>
    <b v="0"/>
    <x v="18"/>
    <x v="18"/>
    <x v="18"/>
    <x v="18"/>
    <x v="18"/>
    <x v="18"/>
    <x v="18"/>
    <x v="18"/>
    <n v="18"/>
    <n v="0"/>
    <n v="3.470374600425002E+18"/>
  </r>
  <r>
    <b v="0"/>
    <x v="19"/>
    <x v="19"/>
    <x v="19"/>
    <x v="19"/>
    <x v="19"/>
    <x v="19"/>
    <x v="19"/>
    <x v="19"/>
    <n v="19"/>
    <n v="0"/>
    <n v="1.577261842682003E+19"/>
  </r>
  <r>
    <b v="0"/>
    <x v="20"/>
    <x v="20"/>
    <x v="20"/>
    <x v="20"/>
    <x v="20"/>
    <x v="20"/>
    <x v="20"/>
    <x v="20"/>
    <n v="20"/>
    <n v="0"/>
    <n v="4.0196847963083131E+18"/>
  </r>
  <r>
    <b v="0"/>
    <x v="21"/>
    <x v="21"/>
    <x v="21"/>
    <x v="21"/>
    <x v="21"/>
    <x v="21"/>
    <x v="21"/>
    <x v="21"/>
    <n v="21"/>
    <n v="0"/>
    <n v="3.3716871247513718E+18"/>
  </r>
  <r>
    <b v="0"/>
    <x v="22"/>
    <x v="22"/>
    <x v="22"/>
    <x v="22"/>
    <x v="22"/>
    <x v="22"/>
    <x v="22"/>
    <x v="22"/>
    <n v="22"/>
    <n v="0"/>
    <n v="6.552962056638464E+18"/>
  </r>
  <r>
    <b v="0"/>
    <x v="23"/>
    <x v="23"/>
    <x v="23"/>
    <x v="23"/>
    <x v="23"/>
    <x v="23"/>
    <x v="23"/>
    <x v="23"/>
    <n v="23"/>
    <n v="0"/>
    <n v="1.5086975572505743E+19"/>
  </r>
  <r>
    <b v="0"/>
    <x v="24"/>
    <x v="24"/>
    <x v="24"/>
    <x v="24"/>
    <x v="24"/>
    <x v="24"/>
    <x v="24"/>
    <x v="24"/>
    <n v="24"/>
    <n v="0"/>
    <n v="1.1525160601263012E+19"/>
  </r>
  <r>
    <b v="0"/>
    <x v="25"/>
    <x v="25"/>
    <x v="25"/>
    <x v="25"/>
    <x v="25"/>
    <x v="25"/>
    <x v="25"/>
    <x v="25"/>
    <n v="25"/>
    <n v="0"/>
    <n v="1.7088892571412914E+19"/>
  </r>
  <r>
    <b v="0"/>
    <x v="17"/>
    <x v="26"/>
    <x v="26"/>
    <x v="26"/>
    <x v="26"/>
    <x v="26"/>
    <x v="26"/>
    <x v="26"/>
    <n v="26"/>
    <n v="0"/>
    <n v="1.5773426638237372E+19"/>
  </r>
  <r>
    <b v="0"/>
    <x v="26"/>
    <x v="27"/>
    <x v="27"/>
    <x v="27"/>
    <x v="27"/>
    <x v="27"/>
    <x v="27"/>
    <x v="27"/>
    <n v="27"/>
    <n v="0"/>
    <n v="1.3109816842341057E+19"/>
  </r>
  <r>
    <b v="0"/>
    <x v="27"/>
    <x v="28"/>
    <x v="28"/>
    <x v="28"/>
    <x v="28"/>
    <x v="28"/>
    <x v="28"/>
    <x v="28"/>
    <n v="28"/>
    <n v="0"/>
    <n v="8.9263223022928087E+18"/>
  </r>
  <r>
    <b v="0"/>
    <x v="28"/>
    <x v="29"/>
    <x v="29"/>
    <x v="29"/>
    <x v="29"/>
    <x v="29"/>
    <x v="29"/>
    <x v="29"/>
    <n v="29"/>
    <n v="0"/>
    <n v="1.56055776982389E+19"/>
  </r>
  <r>
    <b v="0"/>
    <x v="29"/>
    <x v="30"/>
    <x v="30"/>
    <x v="30"/>
    <x v="30"/>
    <x v="30"/>
    <x v="30"/>
    <x v="30"/>
    <n v="30"/>
    <n v="0"/>
    <n v="3.4218919125238415E+18"/>
  </r>
  <r>
    <b v="0"/>
    <x v="30"/>
    <x v="31"/>
    <x v="31"/>
    <x v="31"/>
    <x v="31"/>
    <x v="31"/>
    <x v="31"/>
    <x v="31"/>
    <n v="31"/>
    <n v="0"/>
    <n v="1.624713806916751E+19"/>
  </r>
  <r>
    <b v="0"/>
    <x v="31"/>
    <x v="32"/>
    <x v="32"/>
    <x v="32"/>
    <x v="32"/>
    <x v="32"/>
    <x v="32"/>
    <x v="32"/>
    <n v="32"/>
    <n v="0"/>
    <n v="8.1002230800175657E+18"/>
  </r>
  <r>
    <b v="0"/>
    <x v="32"/>
    <x v="33"/>
    <x v="2"/>
    <x v="33"/>
    <x v="33"/>
    <x v="33"/>
    <x v="33"/>
    <x v="33"/>
    <n v="33"/>
    <n v="0"/>
    <n v="2.3214715655503391E+18"/>
  </r>
  <r>
    <b v="0"/>
    <x v="33"/>
    <x v="34"/>
    <x v="33"/>
    <x v="34"/>
    <x v="34"/>
    <x v="34"/>
    <x v="34"/>
    <x v="34"/>
    <n v="34"/>
    <n v="0"/>
    <n v="1.6997849974749694E+19"/>
  </r>
  <r>
    <b v="0"/>
    <x v="22"/>
    <x v="35"/>
    <x v="34"/>
    <x v="35"/>
    <x v="35"/>
    <x v="35"/>
    <x v="35"/>
    <x v="35"/>
    <n v="35"/>
    <n v="0"/>
    <n v="1.4481800272527096E+19"/>
  </r>
  <r>
    <b v="0"/>
    <x v="34"/>
    <x v="36"/>
    <x v="35"/>
    <x v="36"/>
    <x v="36"/>
    <x v="36"/>
    <x v="36"/>
    <x v="36"/>
    <n v="36"/>
    <n v="0"/>
    <n v="3.057125717689216E+18"/>
  </r>
  <r>
    <b v="0"/>
    <x v="13"/>
    <x v="37"/>
    <x v="36"/>
    <x v="37"/>
    <x v="37"/>
    <x v="37"/>
    <x v="37"/>
    <x v="37"/>
    <n v="37"/>
    <n v="0"/>
    <n v="1.7811496128574325E+19"/>
  </r>
  <r>
    <b v="0"/>
    <x v="35"/>
    <x v="38"/>
    <x v="37"/>
    <x v="38"/>
    <x v="38"/>
    <x v="38"/>
    <x v="38"/>
    <x v="38"/>
    <n v="38"/>
    <n v="0"/>
    <n v="7.5940334320016538E+18"/>
  </r>
  <r>
    <b v="0"/>
    <x v="36"/>
    <x v="39"/>
    <x v="38"/>
    <x v="39"/>
    <x v="39"/>
    <x v="39"/>
    <x v="39"/>
    <x v="39"/>
    <n v="39"/>
    <n v="0"/>
    <n v="1.3826353499460506E+19"/>
  </r>
  <r>
    <b v="0"/>
    <x v="33"/>
    <x v="40"/>
    <x v="39"/>
    <x v="40"/>
    <x v="40"/>
    <x v="40"/>
    <x v="40"/>
    <x v="40"/>
    <n v="40"/>
    <n v="0"/>
    <n v="1.7462686048127762E+19"/>
  </r>
  <r>
    <b v="0"/>
    <x v="37"/>
    <x v="41"/>
    <x v="40"/>
    <x v="41"/>
    <x v="41"/>
    <x v="41"/>
    <x v="41"/>
    <x v="41"/>
    <n v="41"/>
    <n v="0"/>
    <n v="1.5021367770992562E+19"/>
  </r>
  <r>
    <b v="0"/>
    <x v="38"/>
    <x v="42"/>
    <x v="41"/>
    <x v="42"/>
    <x v="42"/>
    <x v="42"/>
    <x v="42"/>
    <x v="42"/>
    <n v="42"/>
    <n v="0"/>
    <n v="1.3353805550090191E+19"/>
  </r>
  <r>
    <b v="0"/>
    <x v="37"/>
    <x v="43"/>
    <x v="42"/>
    <x v="43"/>
    <x v="43"/>
    <x v="43"/>
    <x v="43"/>
    <x v="43"/>
    <n v="43"/>
    <n v="0"/>
    <n v="8.8678330218432256E+18"/>
  </r>
  <r>
    <b v="0"/>
    <x v="39"/>
    <x v="44"/>
    <x v="43"/>
    <x v="44"/>
    <x v="44"/>
    <x v="44"/>
    <x v="44"/>
    <x v="44"/>
    <n v="44"/>
    <n v="0"/>
    <n v="1.1716517170708765E+19"/>
  </r>
  <r>
    <b v="0"/>
    <x v="5"/>
    <x v="45"/>
    <x v="44"/>
    <x v="45"/>
    <x v="5"/>
    <x v="45"/>
    <x v="45"/>
    <x v="45"/>
    <n v="45"/>
    <n v="0"/>
    <n v="1.7211618119023102E+19"/>
  </r>
  <r>
    <b v="0"/>
    <x v="40"/>
    <x v="46"/>
    <x v="45"/>
    <x v="46"/>
    <x v="45"/>
    <x v="46"/>
    <x v="46"/>
    <x v="46"/>
    <n v="46"/>
    <n v="0"/>
    <n v="1.4830999920337308E+19"/>
  </r>
  <r>
    <b v="0"/>
    <x v="41"/>
    <x v="47"/>
    <x v="46"/>
    <x v="47"/>
    <x v="46"/>
    <x v="47"/>
    <x v="47"/>
    <x v="47"/>
    <n v="47"/>
    <n v="0"/>
    <n v="6.9066360779343657E+18"/>
  </r>
  <r>
    <b v="0"/>
    <x v="42"/>
    <x v="48"/>
    <x v="47"/>
    <x v="48"/>
    <x v="47"/>
    <x v="48"/>
    <x v="48"/>
    <x v="48"/>
    <n v="48"/>
    <n v="0"/>
    <n v="1.6806068785352362E+19"/>
  </r>
  <r>
    <b v="0"/>
    <x v="43"/>
    <x v="6"/>
    <x v="48"/>
    <x v="49"/>
    <x v="48"/>
    <x v="49"/>
    <x v="49"/>
    <x v="49"/>
    <n v="49"/>
    <n v="0"/>
    <n v="1.7211031413456316E+19"/>
  </r>
  <r>
    <b v="0"/>
    <x v="44"/>
    <x v="49"/>
    <x v="49"/>
    <x v="7"/>
    <x v="49"/>
    <x v="50"/>
    <x v="50"/>
    <x v="50"/>
    <n v="50"/>
    <n v="0"/>
    <n v="1.5626037566657184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1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M54" firstHeaderRow="0" firstDataRow="1" firstDataCol="8"/>
  <pivotFields count="12">
    <pivotField compact="0" outline="0" showAll="0"/>
    <pivotField axis="axisRow" compact="0" outline="0" showAll="0" defaultSubtotal="0">
      <items count="45">
        <item sd="0" x="8"/>
        <item sd="0" x="21"/>
        <item sd="0" x="23"/>
        <item sd="0" x="41"/>
        <item sd="0" x="6"/>
        <item sd="0" x="36"/>
        <item sd="0" x="29"/>
        <item sd="0" x="39"/>
        <item sd="0" x="28"/>
        <item sd="0" x="4"/>
        <item sd="0" x="31"/>
        <item sd="0" x="20"/>
        <item sd="0" x="40"/>
        <item sd="0" x="13"/>
        <item sd="0" x="5"/>
        <item sd="0" x="43"/>
        <item sd="0" x="22"/>
        <item sd="0" x="14"/>
        <item sd="0" x="27"/>
        <item sd="0" x="26"/>
        <item sd="0" x="19"/>
        <item sd="0" x="12"/>
        <item sd="0" x="10"/>
        <item sd="0" x="15"/>
        <item sd="0" x="25"/>
        <item sd="0" x="7"/>
        <item sd="0" x="32"/>
        <item sd="0" x="44"/>
        <item sd="0" x="11"/>
        <item sd="0" x="24"/>
        <item sd="0" x="16"/>
        <item sd="0" x="9"/>
        <item sd="0" x="1"/>
        <item sd="0" x="35"/>
        <item sd="0" x="30"/>
        <item sd="0" x="2"/>
        <item sd="0" x="0"/>
        <item sd="0" x="37"/>
        <item sd="0" x="38"/>
        <item sd="0" x="34"/>
        <item sd="0" x="18"/>
        <item sd="0" x="17"/>
        <item sd="0" x="3"/>
        <item sd="0" x="42"/>
        <item sd="0" x="33"/>
      </items>
    </pivotField>
    <pivotField axis="axisRow" compact="0" outline="0" showAll="0" defaultSubtotal="0">
      <items count="50">
        <item sd="0" x="30"/>
        <item sd="0" x="21"/>
        <item sd="0" x="27"/>
        <item sd="0" x="8"/>
        <item sd="0" x="23"/>
        <item sd="0" x="46"/>
        <item sd="0" x="24"/>
        <item sd="0" x="15"/>
        <item sd="0" x="10"/>
        <item sd="0" x="22"/>
        <item sd="0" x="31"/>
        <item sd="0" x="14"/>
        <item sd="0" x="9"/>
        <item sd="0" x="39"/>
        <item sd="0" x="32"/>
        <item sd="0" x="35"/>
        <item sd="0" x="3"/>
        <item sd="0" x="29"/>
        <item sd="0" x="17"/>
        <item sd="0" x="45"/>
        <item sd="0" x="42"/>
        <item sd="0" x="4"/>
        <item sd="0" x="37"/>
        <item sd="0" x="20"/>
        <item sd="0" x="47"/>
        <item sd="0" x="13"/>
        <item sd="0" x="16"/>
        <item sd="0" x="44"/>
        <item sd="0" x="6"/>
        <item sd="0" x="5"/>
        <item sd="0" x="28"/>
        <item sd="0" x="34"/>
        <item sd="0" x="12"/>
        <item sd="0" x="19"/>
        <item sd="0" x="41"/>
        <item sd="0" x="7"/>
        <item sd="0" x="36"/>
        <item sd="0" x="2"/>
        <item sd="0" x="33"/>
        <item sd="0" x="25"/>
        <item sd="0" x="18"/>
        <item sd="0" x="49"/>
        <item sd="0" x="0"/>
        <item sd="0" x="1"/>
        <item sd="0" x="43"/>
        <item sd="0" x="48"/>
        <item sd="0" x="26"/>
        <item sd="0" x="40"/>
        <item sd="0" x="38"/>
        <item sd="0" x="11"/>
      </items>
    </pivotField>
    <pivotField axis="axisRow" compact="0" outline="0" showAll="0" defaultSubtotal="0">
      <items count="50">
        <item sd="0" x="8"/>
        <item sd="0" x="43"/>
        <item sd="0" x="23"/>
        <item sd="0" x="21"/>
        <item sd="0" x="30"/>
        <item sd="0" x="36"/>
        <item sd="0" x="4"/>
        <item sd="0" x="45"/>
        <item sd="0" x="29"/>
        <item sd="0" x="46"/>
        <item sd="0" x="32"/>
        <item sd="0" x="5"/>
        <item sd="0" x="6"/>
        <item sd="0" x="10"/>
        <item sd="0" x="15"/>
        <item sd="0" x="22"/>
        <item sd="0" x="20"/>
        <item sd="0" x="44"/>
        <item sd="0" x="14"/>
        <item sd="0" x="38"/>
        <item sd="0" x="16"/>
        <item sd="0" x="13"/>
        <item sd="0" x="12"/>
        <item sd="0" x="1"/>
        <item sd="0" x="19"/>
        <item sd="0" x="48"/>
        <item sd="0" x="28"/>
        <item sd="0" x="34"/>
        <item sd="0" x="7"/>
        <item sd="0" x="17"/>
        <item sd="0" x="31"/>
        <item sd="0" x="9"/>
        <item sd="0" x="2"/>
        <item sd="0" x="27"/>
        <item sd="0" x="24"/>
        <item sd="0" x="25"/>
        <item sd="0" x="49"/>
        <item sd="0" x="0"/>
        <item sd="0" x="37"/>
        <item sd="0" x="41"/>
        <item sd="0" x="35"/>
        <item sd="0" x="3"/>
        <item sd="0" x="40"/>
        <item sd="0" x="47"/>
        <item sd="0" x="18"/>
        <item sd="0" x="11"/>
        <item sd="0" x="42"/>
        <item sd="0" x="26"/>
        <item sd="0" x="39"/>
        <item sd="0" x="33"/>
      </items>
    </pivotField>
    <pivotField axis="axisRow" compact="0" outline="0" showAll="0" defaultSubtotal="0">
      <items count="50">
        <item sd="0" x="24"/>
        <item sd="0" x="49"/>
        <item sd="0" x="8"/>
        <item sd="0" x="21"/>
        <item sd="0" x="23"/>
        <item sd="0" x="37"/>
        <item sd="0" x="47"/>
        <item sd="0" x="20"/>
        <item sd="0" x="6"/>
        <item sd="0" x="30"/>
        <item sd="0" x="44"/>
        <item sd="0" x="29"/>
        <item sd="0" x="39"/>
        <item sd="0" x="5"/>
        <item sd="0" x="32"/>
        <item sd="0" x="4"/>
        <item sd="0" x="46"/>
        <item sd="0" x="13"/>
        <item sd="0" x="31"/>
        <item sd="0" x="12"/>
        <item sd="0" x="45"/>
        <item sd="0" x="19"/>
        <item sd="0" x="22"/>
        <item sd="0" x="16"/>
        <item sd="0" x="14"/>
        <item sd="0" x="27"/>
        <item sd="0" x="35"/>
        <item sd="0" x="28"/>
        <item sd="0" x="7"/>
        <item sd="0" x="11"/>
        <item sd="0" x="25"/>
        <item sd="0" x="10"/>
        <item sd="0" x="18"/>
        <item sd="0" x="15"/>
        <item sd="0" x="2"/>
        <item sd="0" x="33"/>
        <item sd="0" x="42"/>
        <item sd="0" x="1"/>
        <item sd="0" x="9"/>
        <item sd="0" x="17"/>
        <item sd="0" x="38"/>
        <item sd="0" x="43"/>
        <item sd="0" x="26"/>
        <item sd="0" x="0"/>
        <item sd="0" x="36"/>
        <item sd="0" x="41"/>
        <item sd="0" x="3"/>
        <item sd="0" x="40"/>
        <item sd="0" x="48"/>
        <item sd="0" x="34"/>
      </items>
    </pivotField>
    <pivotField axis="axisRow" compact="0" outline="0" showAll="0" defaultSubtotal="0">
      <items count="50">
        <item sd="0" x="8"/>
        <item sd="0" x="21"/>
        <item sd="0" x="23"/>
        <item sd="0" x="30"/>
        <item sd="0" x="39"/>
        <item sd="0" x="6"/>
        <item sd="0" x="46"/>
        <item sd="0" x="29"/>
        <item sd="0" x="32"/>
        <item sd="0" x="4"/>
        <item sd="0" x="44"/>
        <item sd="0" x="22"/>
        <item sd="0" x="45"/>
        <item sd="0" x="37"/>
        <item sd="0" x="35"/>
        <item sd="0" x="48"/>
        <item sd="0" x="13"/>
        <item sd="0" x="20"/>
        <item sd="0" x="19"/>
        <item sd="0" x="5"/>
        <item sd="0" x="27"/>
        <item sd="0" x="25"/>
        <item sd="0" x="33"/>
        <item sd="0" x="15"/>
        <item sd="0" x="14"/>
        <item sd="0" x="10"/>
        <item sd="0" x="28"/>
        <item sd="0" x="12"/>
        <item sd="0" x="0"/>
        <item sd="0" x="16"/>
        <item sd="0" x="11"/>
        <item sd="0" x="49"/>
        <item sd="0" x="42"/>
        <item sd="0" x="38"/>
        <item sd="0" x="7"/>
        <item sd="0" x="17"/>
        <item sd="0" x="41"/>
        <item sd="0" x="9"/>
        <item sd="0" x="43"/>
        <item sd="0" x="1"/>
        <item sd="0" x="24"/>
        <item sd="0" x="2"/>
        <item sd="0" x="31"/>
        <item sd="0" x="26"/>
        <item sd="0" x="36"/>
        <item sd="0" x="40"/>
        <item sd="0" x="18"/>
        <item sd="0" x="34"/>
        <item sd="0" x="47"/>
        <item sd="0" x="3"/>
      </items>
    </pivotField>
    <pivotField axis="axisRow" compact="0" outline="0" showAll="0" defaultSubtotal="0">
      <items count="51">
        <item sd="0" x="12"/>
        <item sd="0" x="15"/>
        <item sd="0" x="19"/>
        <item sd="0" x="41"/>
        <item sd="0" x="49"/>
        <item sd="0" x="34"/>
        <item sd="0" x="35"/>
        <item sd="0" x="33"/>
        <item sd="0" x="14"/>
        <item sd="0" x="45"/>
        <item sd="0" x="27"/>
        <item sd="0" x="29"/>
        <item sd="0" x="42"/>
        <item sd="0" x="46"/>
        <item sd="0" x="23"/>
        <item sd="0" x="16"/>
        <item sd="0" x="0"/>
        <item sd="0" x="25"/>
        <item sd="0" x="50"/>
        <item sd="0" x="13"/>
        <item sd="0" x="37"/>
        <item sd="0" x="44"/>
        <item sd="0" x="26"/>
        <item sd="0" x="3"/>
        <item sd="0" x="5"/>
        <item sd="0" x="40"/>
        <item sd="0" x="11"/>
        <item sd="0" x="31"/>
        <item sd="0" x="17"/>
        <item sd="0" x="4"/>
        <item sd="0" x="36"/>
        <item sd="0" x="47"/>
        <item sd="0" x="24"/>
        <item sd="0" x="2"/>
        <item sd="0" x="38"/>
        <item sd="0" x="10"/>
        <item sd="0" x="48"/>
        <item sd="0" x="43"/>
        <item sd="0" x="21"/>
        <item sd="0" x="28"/>
        <item sd="0" x="20"/>
        <item sd="0" x="1"/>
        <item sd="0" x="6"/>
        <item sd="0" x="22"/>
        <item sd="0" x="7"/>
        <item sd="0" x="39"/>
        <item sd="0" x="9"/>
        <item sd="0" x="32"/>
        <item sd="0" x="8"/>
        <item sd="0" x="18"/>
        <item sd="0" x="30"/>
      </items>
    </pivotField>
    <pivotField axis="axisRow" compact="0" outline="0" showAll="0" defaultSubtotal="0">
      <items count="51">
        <item sd="0" x="12"/>
        <item sd="0" x="26"/>
        <item sd="0" x="19"/>
        <item sd="0" x="41"/>
        <item sd="0" x="37"/>
        <item sd="0" x="49"/>
        <item sd="0" x="14"/>
        <item sd="0" x="44"/>
        <item sd="0" x="45"/>
        <item sd="0" x="34"/>
        <item sd="0" x="2"/>
        <item sd="0" x="47"/>
        <item sd="0" x="15"/>
        <item sd="0" x="27"/>
        <item sd="0" x="40"/>
        <item sd="0" x="29"/>
        <item sd="0" x="31"/>
        <item sd="0" x="11"/>
        <item sd="0" x="50"/>
        <item sd="0" x="33"/>
        <item sd="0" x="23"/>
        <item sd="0" x="35"/>
        <item sd="0" x="16"/>
        <item sd="0" x="1"/>
        <item sd="0" x="21"/>
        <item sd="0" x="8"/>
        <item sd="0" x="17"/>
        <item sd="0" x="28"/>
        <item sd="0" x="13"/>
        <item sd="0" x="5"/>
        <item sd="0" x="3"/>
        <item sd="0" x="10"/>
        <item sd="0" x="9"/>
        <item sd="0" x="25"/>
        <item sd="0" x="0"/>
        <item sd="0" x="39"/>
        <item sd="0" x="32"/>
        <item sd="0" x="7"/>
        <item sd="0" x="22"/>
        <item sd="0" x="48"/>
        <item sd="0" x="46"/>
        <item sd="0" x="38"/>
        <item sd="0" x="42"/>
        <item sd="0" x="24"/>
        <item sd="0" x="43"/>
        <item sd="0" x="30"/>
        <item sd="0" x="4"/>
        <item sd="0" x="6"/>
        <item sd="0" x="36"/>
        <item sd="0" x="20"/>
        <item sd="0" x="18"/>
      </items>
    </pivotField>
    <pivotField axis="axisRow" compact="0" outline="0" showAll="0" defaultSubtotal="0">
      <items count="51">
        <item x="1"/>
        <item x="0"/>
        <item x="3"/>
        <item x="2"/>
        <item x="4"/>
        <item x="5"/>
        <item x="6"/>
        <item x="8"/>
        <item x="7"/>
        <item x="9"/>
        <item x="10"/>
        <item x="11"/>
        <item x="15"/>
        <item x="12"/>
        <item x="13"/>
        <item x="14"/>
        <item x="16"/>
        <item x="17"/>
        <item x="18"/>
        <item x="21"/>
        <item x="20"/>
        <item x="19"/>
        <item x="22"/>
        <item x="23"/>
        <item x="25"/>
        <item x="24"/>
        <item x="26"/>
        <item x="33"/>
        <item x="34"/>
        <item x="27"/>
        <item x="29"/>
        <item x="30"/>
        <item x="31"/>
        <item x="28"/>
        <item x="32"/>
        <item x="35"/>
        <item x="36"/>
        <item x="37"/>
        <item x="38"/>
        <item x="39"/>
        <item x="40"/>
        <item x="41"/>
        <item x="42"/>
        <item x="43"/>
        <item x="44"/>
        <item x="46"/>
        <item x="45"/>
        <item x="47"/>
        <item x="49"/>
        <item x="48"/>
        <item x="50"/>
      </items>
    </pivotField>
    <pivotField compact="0" outline="0" showAll="0"/>
    <pivotField dataField="1" compact="0" outline="0" showAll="0"/>
    <pivotField compact="0" outline="0" showAll="0"/>
  </pivotFields>
  <rowFields count="8">
    <field x="1"/>
    <field x="2"/>
    <field x="3"/>
    <field x="4"/>
    <field x="5"/>
    <field x="6"/>
    <field x="7"/>
    <field x="8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0" subtotal="average" baseField="0" baseItem="1" numFmtId="164"/>
    <dataField name="% of Total Blanks" fld="10" showDataAs="percentOfTotal" baseField="0" baseItem="1" numFmtId="164"/>
    <dataField name="% of Records" fld="10" subtotal="count" showDataAs="percentOfTotal" baseField="0" baseItem="2" numFmtId="10"/>
  </dataFields>
  <formats count="77">
    <format dxfId="95">
      <pivotArea type="all" dataOnly="0" outline="0" fieldPosition="0"/>
    </format>
    <format dxfId="94">
      <pivotArea outline="0" collapsedLevelsAreSubtotals="1" fieldPosition="0"/>
    </format>
    <format dxfId="93">
      <pivotArea dataOnly="0" labelOnly="1" grandRow="1" outline="0" fieldPosition="0"/>
    </format>
    <format dxfId="9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1">
      <pivotArea type="all" dataOnly="0" outline="0" fieldPosition="0"/>
    </format>
    <format dxfId="90">
      <pivotArea dataOnly="0" outline="0" fieldPosition="0">
        <references count="1">
          <reference field="4294967294" count="1">
            <x v="0"/>
          </reference>
        </references>
      </pivotArea>
    </format>
    <format dxfId="89">
      <pivotArea outline="0" fieldPosition="0">
        <references count="1">
          <reference field="4294967294" count="1">
            <x v="0"/>
          </reference>
        </references>
      </pivotArea>
    </format>
    <format dxfId="88">
      <pivotArea outline="0" fieldPosition="0">
        <references count="1">
          <reference field="4294967294" count="1">
            <x v="1"/>
          </reference>
        </references>
      </pivotArea>
    </format>
    <format dxfId="87">
      <pivotArea type="all" dataOnly="0" outline="0" fieldPosition="0"/>
    </format>
    <format dxfId="86">
      <pivotArea outline="0" collapsedLevelsAreSubtotals="1" fieldPosition="0"/>
    </format>
    <format dxfId="8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84">
      <pivotArea outline="0" fieldPosition="0">
        <references count="1">
          <reference field="4294967294" count="1" selected="0">
            <x v="1"/>
          </reference>
        </references>
      </pivotArea>
    </format>
    <format dxfId="83">
      <pivotArea dataOnly="0" outline="0" fieldPosition="0">
        <references count="1">
          <reference field="4294967294" count="1">
            <x v="1"/>
          </reference>
        </references>
      </pivotArea>
    </format>
    <format dxfId="82">
      <pivotArea type="all" dataOnly="0" outline="0" fieldPosition="0"/>
    </format>
    <format dxfId="81">
      <pivotArea type="all" dataOnly="0" outline="0" fieldPosition="0"/>
    </format>
    <format dxfId="80">
      <pivotArea outline="0" fieldPosition="0">
        <references count="1">
          <reference field="4294967294" count="1">
            <x v="2"/>
          </reference>
        </references>
      </pivotArea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field="1" type="button" dataOnly="0" labelOnly="1" outline="0" axis="axisRow" fieldPosition="0"/>
    </format>
    <format dxfId="58">
      <pivotArea field="2" type="button" dataOnly="0" labelOnly="1" outline="0" axis="axisRow" fieldPosition="1"/>
    </format>
    <format dxfId="57">
      <pivotArea field="3" type="button" dataOnly="0" labelOnly="1" outline="0" axis="axisRow" fieldPosition="2"/>
    </format>
    <format dxfId="56">
      <pivotArea field="4" type="button" dataOnly="0" labelOnly="1" outline="0" axis="axisRow" fieldPosition="3"/>
    </format>
    <format dxfId="55">
      <pivotArea field="5" type="button" dataOnly="0" labelOnly="1" outline="0" axis="axisRow" fieldPosition="4"/>
    </format>
    <format dxfId="54">
      <pivotArea field="6" type="button" dataOnly="0" labelOnly="1" outline="0" axis="axisRow" fieldPosition="5"/>
    </format>
    <format dxfId="53">
      <pivotArea field="7" type="button" dataOnly="0" labelOnly="1" outline="0" axis="axisRow" fieldPosition="6"/>
    </format>
    <format dxfId="52">
      <pivotArea field="8" type="button" dataOnly="0" labelOnly="1" outline="0" axis="axisRow" fieldPosition="7"/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field="1" type="button" dataOnly="0" labelOnly="1" outline="0" axis="axisRow" fieldPosition="0"/>
    </format>
    <format dxfId="49">
      <pivotArea dataOnly="0" labelOnly="1" outline="0" fieldPosition="0">
        <references count="1">
          <reference field="1" count="1">
            <x v="0"/>
          </reference>
        </references>
      </pivotArea>
    </format>
    <format dxfId="48">
      <pivotArea dataOnly="0" labelOnly="1" outline="0" fieldPosition="0">
        <references count="1">
          <reference field="1" count="1">
            <x v="1"/>
          </reference>
        </references>
      </pivotArea>
    </format>
    <format dxfId="47">
      <pivotArea dataOnly="0" labelOnly="1" outline="0" fieldPosition="0">
        <references count="1">
          <reference field="1" count="1">
            <x v="2"/>
          </reference>
        </references>
      </pivotArea>
    </format>
    <format dxfId="46">
      <pivotArea dataOnly="0" labelOnly="1" outline="0" fieldPosition="0">
        <references count="1">
          <reference field="1" count="1">
            <x v="3"/>
          </reference>
        </references>
      </pivotArea>
    </format>
    <format dxfId="45">
      <pivotArea dataOnly="0" labelOnly="1" outline="0" fieldPosition="0">
        <references count="1">
          <reference field="1" count="1">
            <x v="4"/>
          </reference>
        </references>
      </pivotArea>
    </format>
    <format dxfId="44">
      <pivotArea dataOnly="0" labelOnly="1" outline="0" fieldPosition="0">
        <references count="1">
          <reference field="1" count="1">
            <x v="5"/>
          </reference>
        </references>
      </pivotArea>
    </format>
    <format dxfId="43">
      <pivotArea dataOnly="0" labelOnly="1" outline="0" fieldPosition="0">
        <references count="1">
          <reference field="1" count="1">
            <x v="6"/>
          </reference>
        </references>
      </pivotArea>
    </format>
    <format dxfId="42">
      <pivotArea dataOnly="0" labelOnly="1" outline="0" fieldPosition="0">
        <references count="1">
          <reference field="1" count="1">
            <x v="7"/>
          </reference>
        </references>
      </pivotArea>
    </format>
    <format dxfId="41">
      <pivotArea dataOnly="0" labelOnly="1" outline="0" fieldPosition="0">
        <references count="1">
          <reference field="1" count="1">
            <x v="8"/>
          </reference>
        </references>
      </pivotArea>
    </format>
    <format dxfId="40">
      <pivotArea dataOnly="0" labelOnly="1" outline="0" fieldPosition="0">
        <references count="1">
          <reference field="1" count="1">
            <x v="9"/>
          </reference>
        </references>
      </pivotArea>
    </format>
    <format dxfId="39">
      <pivotArea dataOnly="0" labelOnly="1" outline="0" fieldPosition="0">
        <references count="1">
          <reference field="1" count="1">
            <x v="10"/>
          </reference>
        </references>
      </pivotArea>
    </format>
    <format dxfId="38">
      <pivotArea dataOnly="0" labelOnly="1" outline="0" fieldPosition="0">
        <references count="1">
          <reference field="1" count="1">
            <x v="11"/>
          </reference>
        </references>
      </pivotArea>
    </format>
    <format dxfId="37">
      <pivotArea dataOnly="0" labelOnly="1" outline="0" fieldPosition="0">
        <references count="1">
          <reference field="1" count="1">
            <x v="12"/>
          </reference>
        </references>
      </pivotArea>
    </format>
    <format dxfId="36">
      <pivotArea dataOnly="0" labelOnly="1" outline="0" fieldPosition="0">
        <references count="1">
          <reference field="1" count="1">
            <x v="13"/>
          </reference>
        </references>
      </pivotArea>
    </format>
    <format dxfId="35">
      <pivotArea dataOnly="0" labelOnly="1" outline="0" fieldPosition="0">
        <references count="1">
          <reference field="1" count="1">
            <x v="14"/>
          </reference>
        </references>
      </pivotArea>
    </format>
    <format dxfId="34">
      <pivotArea dataOnly="0" labelOnly="1" outline="0" fieldPosition="0">
        <references count="1">
          <reference field="1" count="1">
            <x v="15"/>
          </reference>
        </references>
      </pivotArea>
    </format>
    <format dxfId="33">
      <pivotArea dataOnly="0" labelOnly="1" outline="0" fieldPosition="0">
        <references count="1">
          <reference field="1" count="1">
            <x v="16"/>
          </reference>
        </references>
      </pivotArea>
    </format>
    <format dxfId="32">
      <pivotArea dataOnly="0" labelOnly="1" outline="0" fieldPosition="0">
        <references count="1">
          <reference field="1" count="1">
            <x v="17"/>
          </reference>
        </references>
      </pivotArea>
    </format>
    <format dxfId="31">
      <pivotArea dataOnly="0" labelOnly="1" outline="0" fieldPosition="0">
        <references count="1">
          <reference field="1" count="1">
            <x v="18"/>
          </reference>
        </references>
      </pivotArea>
    </format>
    <format dxfId="30">
      <pivotArea dataOnly="0" labelOnly="1" outline="0" fieldPosition="0">
        <references count="1">
          <reference field="1" count="1">
            <x v="19"/>
          </reference>
        </references>
      </pivotArea>
    </format>
    <format dxfId="29">
      <pivotArea dataOnly="0" labelOnly="1" outline="0" fieldPosition="0">
        <references count="1">
          <reference field="1" count="1">
            <x v="20"/>
          </reference>
        </references>
      </pivotArea>
    </format>
    <format dxfId="28">
      <pivotArea dataOnly="0" labelOnly="1" outline="0" fieldPosition="0">
        <references count="1">
          <reference field="1" count="1">
            <x v="21"/>
          </reference>
        </references>
      </pivotArea>
    </format>
    <format dxfId="27">
      <pivotArea dataOnly="0" labelOnly="1" outline="0" fieldPosition="0">
        <references count="1">
          <reference field="1" count="1">
            <x v="22"/>
          </reference>
        </references>
      </pivotArea>
    </format>
    <format dxfId="26">
      <pivotArea dataOnly="0" labelOnly="1" outline="0" fieldPosition="0">
        <references count="1">
          <reference field="1" count="1">
            <x v="23"/>
          </reference>
        </references>
      </pivotArea>
    </format>
    <format dxfId="25">
      <pivotArea dataOnly="0" labelOnly="1" outline="0" fieldPosition="0">
        <references count="1">
          <reference field="1" count="1">
            <x v="24"/>
          </reference>
        </references>
      </pivotArea>
    </format>
    <format dxfId="24">
      <pivotArea dataOnly="0" labelOnly="1" outline="0" fieldPosition="0">
        <references count="1">
          <reference field="1" count="1">
            <x v="25"/>
          </reference>
        </references>
      </pivotArea>
    </format>
    <format dxfId="23">
      <pivotArea dataOnly="0" labelOnly="1" outline="0" fieldPosition="0">
        <references count="1">
          <reference field="1" count="1">
            <x v="26"/>
          </reference>
        </references>
      </pivotArea>
    </format>
    <format dxfId="22">
      <pivotArea dataOnly="0" labelOnly="1" outline="0" fieldPosition="0">
        <references count="1">
          <reference field="1" count="1">
            <x v="27"/>
          </reference>
        </references>
      </pivotArea>
    </format>
    <format dxfId="21">
      <pivotArea dataOnly="0" labelOnly="1" outline="0" fieldPosition="0">
        <references count="1">
          <reference field="1" count="1">
            <x v="28"/>
          </reference>
        </references>
      </pivotArea>
    </format>
    <format dxfId="20">
      <pivotArea dataOnly="0" labelOnly="1" outline="0" fieldPosition="0">
        <references count="1">
          <reference field="1" count="1">
            <x v="29"/>
          </reference>
        </references>
      </pivotArea>
    </format>
    <format dxfId="19">
      <pivotArea dataOnly="0" labelOnly="1" outline="0" fieldPosition="0">
        <references count="1">
          <reference field="1" count="1">
            <x v="30"/>
          </reference>
        </references>
      </pivotArea>
    </format>
    <format dxfId="18">
      <pivotArea dataOnly="0" labelOnly="1" outline="0" fieldPosition="0">
        <references count="1">
          <reference field="1" count="1">
            <x v="31"/>
          </reference>
        </references>
      </pivotArea>
    </format>
    <format dxfId="17">
      <pivotArea dataOnly="0" labelOnly="1" outline="0" fieldPosition="0">
        <references count="1">
          <reference field="1" count="1">
            <x v="32"/>
          </reference>
        </references>
      </pivotArea>
    </format>
    <format dxfId="16">
      <pivotArea dataOnly="0" labelOnly="1" outline="0" fieldPosition="0">
        <references count="1">
          <reference field="1" count="1">
            <x v="33"/>
          </reference>
        </references>
      </pivotArea>
    </format>
    <format dxfId="15">
      <pivotArea dataOnly="0" labelOnly="1" outline="0" fieldPosition="0">
        <references count="1">
          <reference field="1" count="1">
            <x v="34"/>
          </reference>
        </references>
      </pivotArea>
    </format>
    <format dxfId="14">
      <pivotArea dataOnly="0" labelOnly="1" outline="0" fieldPosition="0">
        <references count="1">
          <reference field="1" count="1">
            <x v="35"/>
          </reference>
        </references>
      </pivotArea>
    </format>
    <format dxfId="13">
      <pivotArea dataOnly="0" labelOnly="1" outline="0" fieldPosition="0">
        <references count="1">
          <reference field="1" count="1">
            <x v="36"/>
          </reference>
        </references>
      </pivotArea>
    </format>
    <format dxfId="12">
      <pivotArea dataOnly="0" labelOnly="1" outline="0" fieldPosition="0">
        <references count="1">
          <reference field="1" count="1">
            <x v="37"/>
          </reference>
        </references>
      </pivotArea>
    </format>
    <format dxfId="11">
      <pivotArea dataOnly="0" labelOnly="1" outline="0" fieldPosition="0">
        <references count="1">
          <reference field="1" count="1">
            <x v="38"/>
          </reference>
        </references>
      </pivotArea>
    </format>
    <format dxfId="10">
      <pivotArea dataOnly="0" labelOnly="1" outline="0" fieldPosition="0">
        <references count="1">
          <reference field="1" count="1">
            <x v="39"/>
          </reference>
        </references>
      </pivotArea>
    </format>
    <format dxfId="9">
      <pivotArea dataOnly="0" labelOnly="1" outline="0" fieldPosition="0">
        <references count="1">
          <reference field="1" count="1">
            <x v="40"/>
          </reference>
        </references>
      </pivotArea>
    </format>
    <format dxfId="8">
      <pivotArea dataOnly="0" labelOnly="1" outline="0" fieldPosition="0">
        <references count="1">
          <reference field="1" count="1">
            <x v="41"/>
          </reference>
        </references>
      </pivotArea>
    </format>
    <format dxfId="7">
      <pivotArea dataOnly="0" labelOnly="1" outline="0" fieldPosition="0">
        <references count="1">
          <reference field="1" count="1">
            <x v="42"/>
          </reference>
        </references>
      </pivotArea>
    </format>
    <format dxfId="6">
      <pivotArea dataOnly="0" labelOnly="1" outline="0" fieldPosition="0">
        <references count="1">
          <reference field="1" count="1">
            <x v="43"/>
          </reference>
        </references>
      </pivotArea>
    </format>
    <format dxfId="5">
      <pivotArea dataOnly="0" labelOnly="1" outline="0" fieldPosition="0">
        <references count="1">
          <reference field="1" count="1">
            <x v="44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0:AA18" totalsRowShown="0" headerRowDxfId="76" dataDxfId="127" headerRowBorderDxfId="128">
  <autoFilter ref="B10:AA18" xr:uid="{034D1C74-BE18-490E-B396-097D407DA97D}"/>
  <tableColumns count="26">
    <tableColumn id="1" xr3:uid="{010A8E62-502A-4B19-B37A-BF59E03A068A}" name="Field" dataDxfId="126"/>
    <tableColumn id="2" xr3:uid="{AD236665-EC7C-404F-8915-AD7CD5510D0F}" name="Definition" dataDxfId="75">
      <calculatedColumnFormula>IF(INDEX(Definitions,1,MATCH(tbl_Overview[[#This Row],[Field]],Headers,0))="Definition","",INDEX(Definitions,1,MATCH(tbl_Overview[[#This Row],[Field]],Headers,0)))</calculatedColumnFormula>
    </tableColumn>
    <tableColumn id="3" xr3:uid="{B78AB378-5727-433E-AB9C-BB970FC42B31}" name="Field Notes" dataDxfId="74">
      <calculatedColumnFormula>IF(INDEX(Notes,1,MATCH(tbl_Overview[[#This Row],[Field]],Headers,0))="Note","",INDEX(Notes,1,MATCH(tbl_Overview[[#This Row],[Field]],Headers,0)))</calculatedColumnFormula>
    </tableColumn>
    <tableColumn id="4" xr3:uid="{EF15AE67-FE31-471E-840E-8104B878A3E8}" name="Data type" dataDxfId="125"/>
    <tableColumn id="5" xr3:uid="{5006D683-9D12-4B97-9EF2-6D41AF6E0B35}" name="Distinct %" dataDxfId="124"/>
    <tableColumn id="6" xr3:uid="{3AFB42F8-9976-44FF-9239-74914D5BE035}" name="Missing %" dataDxfId="123"/>
    <tableColumn id="7" xr3:uid="{4BA41102-DB06-4180-9754-C88722FE82BD}" name="Memory Usage %" dataDxfId="122"/>
    <tableColumn id="8" xr3:uid="{D22319BD-3A80-40F3-84FC-A6D1627B2F29}" name="Memory Usage" dataDxfId="121"/>
    <tableColumn id="9" xr3:uid="{77FAEE19-B6C7-4056-8EF3-5EB877C820C4}" name="Distinct" dataDxfId="120"/>
    <tableColumn id="10" xr3:uid="{54FF47BF-594E-417B-9028-64A4DFE4D389}" name="Count" dataDxfId="119"/>
    <tableColumn id="11" xr3:uid="{54E587FE-36DC-4522-91DC-8B81B386217B}" name="Count %" dataDxfId="118"/>
    <tableColumn id="12" xr3:uid="{0DE21D83-93B1-480C-BE9C-379DA0E532C7}" name="Missing" dataDxfId="117"/>
    <tableColumn id="13" xr3:uid="{C4B407B9-B7FB-4DFC-A6B3-885C816BAF99}" name="Mean" dataDxfId="116"/>
    <tableColumn id="14" xr3:uid="{9796FD8E-D568-43E1-AC6E-BFAE7C7B7017}" name="Median" dataDxfId="115"/>
    <tableColumn id="15" xr3:uid="{A6A7BCED-DD2F-4B41-A84C-2F2674A38A53}" name="Mode" dataDxfId="114"/>
    <tableColumn id="16" xr3:uid="{46607FA5-244C-49C2-997C-B64EB2E94FDE}" name="Standard Deviation" dataDxfId="113"/>
    <tableColumn id="17" xr3:uid="{80BA1782-4C46-45CE-B3FB-40B70BA09AF9}" name="Variance" dataDxfId="112"/>
    <tableColumn id="18" xr3:uid="{EC3C5A76-EF95-419C-87A8-D8885B542521}" name="Min" dataDxfId="111"/>
    <tableColumn id="19" xr3:uid="{BFE545F8-810C-4F0A-A0B2-FF0AB9764A07}" name="5%" dataDxfId="110"/>
    <tableColumn id="20" xr3:uid="{77D31A9B-57B1-4422-8EF9-6320F00E0DB9}" name="25%" dataDxfId="109"/>
    <tableColumn id="21" xr3:uid="{7A350787-F0EA-4E65-B596-5D7253E75CD6}" name="50%" dataDxfId="108"/>
    <tableColumn id="22" xr3:uid="{FB4C260E-A19F-4908-9DBF-DB4AC630982A}" name="75%" dataDxfId="107"/>
    <tableColumn id="23" xr3:uid="{FBECC9F1-5BC8-4774-9475-EB2D6D28F1E2}" name="95%" dataDxfId="106"/>
    <tableColumn id="24" xr3:uid="{839CD532-ED80-4544-A8C8-E9E036764A84}" name="Max" dataDxfId="105"/>
    <tableColumn id="25" xr3:uid="{9DDA1FD6-82B1-4FBE-8BBD-B40C331930D2}" name="Range" dataDxfId="104"/>
    <tableColumn id="26" xr3:uid="{902A027A-FD65-44D4-B3D0-5B3883ACFA39}" name="IQR" dataDxfId="103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81:O132" totalsRowShown="0" headerRowDxfId="67" dataDxfId="66" headerRowCellStyle="DarkHeader" dataCellStyle="Normal">
  <autoFilter ref="D81:O132" xr:uid="{DB1D1E60-5E37-456A-AD85-0649D531840E}"/>
  <tableColumns count="12">
    <tableColumn id="1" xr3:uid="{57EDF41E-F06D-4819-BADE-3D62DE46F06C}" name="Record List" dataDxfId="64" dataCellStyle="Normal"/>
    <tableColumn id="2" xr3:uid="{CF70C9CE-83FE-40FA-8089-C68B39CF665A}" name="total" dataDxfId="65" dataCellStyle="Normal"/>
    <tableColumn id="3" xr3:uid="{B8654690-502A-4FAF-9205-0118DABCB954}" name="speeding" dataDxfId="73" dataCellStyle="Normal"/>
    <tableColumn id="4" xr3:uid="{5A5BA001-2F93-4E62-880C-C4E8BDB17EEB}" name="alcohol" dataDxfId="72" dataCellStyle="Normal"/>
    <tableColumn id="5" xr3:uid="{CA479226-1E4F-4D3C-899C-16D11FB31D2A}" name="not_distracted" dataDxfId="71" dataCellStyle="Normal"/>
    <tableColumn id="6" xr3:uid="{AA9B016F-F22B-42C0-BC09-F36E0A58ECF4}" name="no_previous" dataDxfId="70" dataCellStyle="Normal"/>
    <tableColumn id="7" xr3:uid="{E488986E-8078-4FDA-9278-3968D910238D}" name="ins_premium" dataDxfId="69" dataCellStyle="Normal"/>
    <tableColumn id="8" xr3:uid="{CFE39058-1604-4FBB-895E-E5C9B806C26F}" name="ins_losses" dataDxfId="68" dataCellStyle="Normal"/>
    <tableColumn id="9" xr3:uid="{5851EFF0-5BA5-40D6-A773-4D82071DA859}" name="abbrev" dataDxfId="63" dataCellStyle="Normal"/>
    <tableColumn id="10" xr3:uid="{570AC867-908E-4854-870D-E95D860D6F40}" name="index" dataDxfId="62" dataCellStyle="Normal"/>
    <tableColumn id="11" xr3:uid="{DCCFC025-CE02-4CF7-8F0C-B9F934663DA9}" name="HasBlank" dataDxfId="61" dataCellStyle="Normal"/>
    <tableColumn id="12" xr3:uid="{36B26F69-AB39-4F85-A674-6228347D087D}" name="Record Hash" dataDxfId="60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/>
  <dimension ref="B1:AA18"/>
  <sheetViews>
    <sheetView zoomScale="85" zoomScaleNormal="85" workbookViewId="0">
      <selection activeCell="B10" sqref="B10"/>
    </sheetView>
  </sheetViews>
  <sheetFormatPr defaultRowHeight="15" customHeight="1"/>
  <cols>
    <col min="1" max="1" width="2.7773437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2:27" ht="14.4">
      <c r="AA1" s="4"/>
    </row>
    <row r="2" spans="2:27" ht="36.6" customHeight="1">
      <c r="B2" s="10" t="str">
        <f>Name</f>
        <v>Car Crashes</v>
      </c>
      <c r="AA2" s="7"/>
    </row>
    <row r="3" spans="2:27" ht="10.050000000000001" customHeight="1">
      <c r="B3" s="40"/>
      <c r="AA3" s="8"/>
    </row>
    <row r="4" spans="2:27" ht="15" customHeight="1">
      <c r="B4" s="39" t="s">
        <v>8</v>
      </c>
      <c r="C4" s="36">
        <v>51</v>
      </c>
      <c r="AA4" s="9"/>
    </row>
    <row r="5" spans="2:27" ht="15" customHeight="1">
      <c r="B5" s="38" t="s">
        <v>55</v>
      </c>
      <c r="C5" s="37">
        <v>8</v>
      </c>
      <c r="AA5" s="4"/>
    </row>
    <row r="6" spans="2:27" ht="15" customHeight="1">
      <c r="B6" s="38" t="s">
        <v>14</v>
      </c>
      <c r="C6" s="37" t="s">
        <v>59</v>
      </c>
      <c r="AA6" s="4"/>
    </row>
    <row r="7" spans="2:27" ht="15" customHeight="1">
      <c r="B7" s="38" t="s">
        <v>56</v>
      </c>
      <c r="C7" s="70">
        <v>1</v>
      </c>
      <c r="D7" s="4"/>
    </row>
    <row r="8" spans="2:27" ht="15" customHeight="1">
      <c r="B8" s="41" t="s">
        <v>57</v>
      </c>
      <c r="C8" s="71">
        <v>0</v>
      </c>
      <c r="D8" s="6"/>
    </row>
    <row r="9" spans="2:27" ht="24" customHeight="1"/>
    <row r="10" spans="2:27" ht="40.049999999999997" customHeight="1">
      <c r="B10" s="79" t="s">
        <v>41</v>
      </c>
      <c r="C10" s="79" t="s">
        <v>42</v>
      </c>
      <c r="D10" s="79" t="s">
        <v>2</v>
      </c>
      <c r="E10" s="80" t="s">
        <v>10</v>
      </c>
      <c r="F10" s="80" t="s">
        <v>11</v>
      </c>
      <c r="G10" s="80" t="s">
        <v>12</v>
      </c>
      <c r="H10" s="80" t="s">
        <v>13</v>
      </c>
      <c r="I10" s="80" t="s">
        <v>14</v>
      </c>
      <c r="J10" s="80" t="s">
        <v>15</v>
      </c>
      <c r="K10" s="80" t="s">
        <v>16</v>
      </c>
      <c r="L10" s="80" t="s">
        <v>43</v>
      </c>
      <c r="M10" s="80" t="s">
        <v>17</v>
      </c>
      <c r="N10" s="80" t="s">
        <v>19</v>
      </c>
      <c r="O10" s="80" t="s">
        <v>20</v>
      </c>
      <c r="P10" s="80" t="s">
        <v>21</v>
      </c>
      <c r="Q10" s="80" t="s">
        <v>22</v>
      </c>
      <c r="R10" s="80" t="s">
        <v>23</v>
      </c>
      <c r="S10" s="80" t="s">
        <v>25</v>
      </c>
      <c r="T10" s="89" t="s">
        <v>44</v>
      </c>
      <c r="U10" s="89" t="s">
        <v>45</v>
      </c>
      <c r="V10" s="89" t="s">
        <v>46</v>
      </c>
      <c r="W10" s="89" t="s">
        <v>47</v>
      </c>
      <c r="X10" s="89" t="s">
        <v>48</v>
      </c>
      <c r="Y10" s="80" t="s">
        <v>26</v>
      </c>
      <c r="Z10" s="80" t="s">
        <v>27</v>
      </c>
      <c r="AA10" s="80" t="s">
        <v>28</v>
      </c>
    </row>
    <row r="11" spans="2:27" ht="15" customHeight="1">
      <c r="B11" s="64" t="s">
        <v>60</v>
      </c>
      <c r="C11" s="73" t="str">
        <f>IF(INDEX(Definitions,1,MATCH(tbl_Overview[[#This Row],[Field]],Headers,0))="Definition","",INDEX(Definitions,1,MATCH(tbl_Overview[[#This Row],[Field]],Headers,0)))</f>
        <v/>
      </c>
      <c r="D11" s="73" t="str">
        <f>IF(INDEX(Notes,1,MATCH(tbl_Overview[[#This Row],[Field]],Headers,0))="Note","",INDEX(Notes,1,MATCH(tbl_Overview[[#This Row],[Field]],Headers,0)))</f>
        <v/>
      </c>
      <c r="E11" s="65" t="s">
        <v>70</v>
      </c>
      <c r="F11" s="69">
        <v>0.88235294117647001</v>
      </c>
      <c r="G11" s="69">
        <v>0</v>
      </c>
      <c r="H11" s="69">
        <v>0.10790796085691599</v>
      </c>
      <c r="I11" s="66">
        <v>408</v>
      </c>
      <c r="J11" s="66">
        <v>45</v>
      </c>
      <c r="K11" s="66">
        <v>51</v>
      </c>
      <c r="L11" s="67">
        <v>1</v>
      </c>
      <c r="M11" s="66">
        <v>0</v>
      </c>
      <c r="N11" s="68">
        <v>15.7901960784313</v>
      </c>
      <c r="O11" s="68">
        <v>15.6</v>
      </c>
      <c r="P11" s="68">
        <v>12.8</v>
      </c>
      <c r="Q11" s="68">
        <v>4.1220021786486596</v>
      </c>
      <c r="R11" s="68">
        <v>16.990901960784299</v>
      </c>
      <c r="S11" s="68">
        <v>5.9</v>
      </c>
      <c r="T11" s="68">
        <v>10.1</v>
      </c>
      <c r="U11" s="68">
        <v>12.75</v>
      </c>
      <c r="V11" s="68">
        <v>15.6</v>
      </c>
      <c r="W11" s="68">
        <v>18.5</v>
      </c>
      <c r="X11" s="68">
        <v>23.1</v>
      </c>
      <c r="Y11" s="68">
        <v>23.9</v>
      </c>
      <c r="Z11" s="68">
        <v>18</v>
      </c>
      <c r="AA11" s="68">
        <v>5.75</v>
      </c>
    </row>
    <row r="12" spans="2:27" ht="15" customHeight="1">
      <c r="B12" s="64" t="s">
        <v>61</v>
      </c>
      <c r="C12" s="73" t="str">
        <f>IF(INDEX(Definitions,1,MATCH(tbl_Overview[[#This Row],[Field]],Headers,0))="Definition","",INDEX(Definitions,1,MATCH(tbl_Overview[[#This Row],[Field]],Headers,0)))</f>
        <v/>
      </c>
      <c r="D12" s="73" t="str">
        <f>IF(INDEX(Notes,1,MATCH(tbl_Overview[[#This Row],[Field]],Headers,0))="Note","",INDEX(Notes,1,MATCH(tbl_Overview[[#This Row],[Field]],Headers,0)))</f>
        <v/>
      </c>
      <c r="E12" s="65" t="s">
        <v>70</v>
      </c>
      <c r="F12" s="81">
        <v>0.98039215686274495</v>
      </c>
      <c r="G12" s="81">
        <v>0</v>
      </c>
      <c r="H12" s="81">
        <v>0.10790796085691599</v>
      </c>
      <c r="I12" s="66">
        <v>408</v>
      </c>
      <c r="J12" s="66">
        <v>50</v>
      </c>
      <c r="K12" s="66">
        <v>51</v>
      </c>
      <c r="L12" s="67">
        <v>1</v>
      </c>
      <c r="M12" s="66">
        <v>0</v>
      </c>
      <c r="N12" s="68">
        <v>4.9981960784313699</v>
      </c>
      <c r="O12" s="68">
        <v>4.6079999999999997</v>
      </c>
      <c r="P12" s="68">
        <v>4.968</v>
      </c>
      <c r="Q12" s="68">
        <v>2.0177470903917301</v>
      </c>
      <c r="R12" s="68">
        <v>4.0713033207843097</v>
      </c>
      <c r="S12" s="68">
        <v>1.79199999999999</v>
      </c>
      <c r="T12" s="68">
        <v>1.9715</v>
      </c>
      <c r="U12" s="68">
        <v>3.76649999999999</v>
      </c>
      <c r="V12" s="68">
        <v>4.6079999999999997</v>
      </c>
      <c r="W12" s="68">
        <v>6.4390000000000001</v>
      </c>
      <c r="X12" s="68">
        <v>8.7139999999999898</v>
      </c>
      <c r="Y12" s="68">
        <v>9.4499999999999993</v>
      </c>
      <c r="Z12" s="68">
        <v>7.6579999999999897</v>
      </c>
      <c r="AA12" s="68">
        <v>2.6724999999999999</v>
      </c>
    </row>
    <row r="13" spans="2:27" ht="15" customHeight="1">
      <c r="B13" s="64" t="s">
        <v>62</v>
      </c>
      <c r="C13" s="73" t="str">
        <f>IF(INDEX(Definitions,1,MATCH(tbl_Overview[[#This Row],[Field]],Headers,0))="Definition","",INDEX(Definitions,1,MATCH(tbl_Overview[[#This Row],[Field]],Headers,0)))</f>
        <v/>
      </c>
      <c r="D13" s="73" t="str">
        <f>IF(INDEX(Notes,1,MATCH(tbl_Overview[[#This Row],[Field]],Headers,0))="Note","",INDEX(Notes,1,MATCH(tbl_Overview[[#This Row],[Field]],Headers,0)))</f>
        <v/>
      </c>
      <c r="E13" s="65" t="s">
        <v>70</v>
      </c>
      <c r="F13" s="81">
        <v>0.98039215686274495</v>
      </c>
      <c r="G13" s="81">
        <v>0</v>
      </c>
      <c r="H13" s="81">
        <v>0.10790796085691599</v>
      </c>
      <c r="I13" s="66">
        <v>408</v>
      </c>
      <c r="J13" s="66">
        <v>50</v>
      </c>
      <c r="K13" s="66">
        <v>51</v>
      </c>
      <c r="L13" s="67">
        <v>1</v>
      </c>
      <c r="M13" s="66">
        <v>0</v>
      </c>
      <c r="N13" s="68">
        <v>4.8867843137254896</v>
      </c>
      <c r="O13" s="68">
        <v>4.5540000000000003</v>
      </c>
      <c r="P13" s="68">
        <v>5.2080000000000002</v>
      </c>
      <c r="Q13" s="68">
        <v>1.7291329077167601</v>
      </c>
      <c r="R13" s="68">
        <v>2.98990061254902</v>
      </c>
      <c r="S13" s="68">
        <v>1.593</v>
      </c>
      <c r="T13" s="68">
        <v>2.827</v>
      </c>
      <c r="U13" s="68">
        <v>3.8940000000000001</v>
      </c>
      <c r="V13" s="68">
        <v>4.5540000000000003</v>
      </c>
      <c r="W13" s="68">
        <v>5.6039999999999903</v>
      </c>
      <c r="X13" s="68">
        <v>8.3940000000000001</v>
      </c>
      <c r="Y13" s="68">
        <v>10.038</v>
      </c>
      <c r="Z13" s="68">
        <v>8.4450000000000003</v>
      </c>
      <c r="AA13" s="68">
        <v>1.70999999999999</v>
      </c>
    </row>
    <row r="14" spans="2:27" ht="15" customHeight="1">
      <c r="B14" s="64" t="s">
        <v>63</v>
      </c>
      <c r="C14" s="73" t="str">
        <f>IF(INDEX(Definitions,1,MATCH(tbl_Overview[[#This Row],[Field]],Headers,0))="Definition","",INDEX(Definitions,1,MATCH(tbl_Overview[[#This Row],[Field]],Headers,0)))</f>
        <v/>
      </c>
      <c r="D14" s="73" t="str">
        <f>IF(INDEX(Notes,1,MATCH(tbl_Overview[[#This Row],[Field]],Headers,0))="Note","",INDEX(Notes,1,MATCH(tbl_Overview[[#This Row],[Field]],Headers,0)))</f>
        <v/>
      </c>
      <c r="E14" s="65" t="s">
        <v>70</v>
      </c>
      <c r="F14" s="81">
        <v>0.98039215686274495</v>
      </c>
      <c r="G14" s="81">
        <v>0</v>
      </c>
      <c r="H14" s="81">
        <v>0.10790796085691599</v>
      </c>
      <c r="I14" s="66">
        <v>408</v>
      </c>
      <c r="J14" s="66">
        <v>50</v>
      </c>
      <c r="K14" s="66">
        <v>51</v>
      </c>
      <c r="L14" s="67">
        <v>1</v>
      </c>
      <c r="M14" s="66">
        <v>0</v>
      </c>
      <c r="N14" s="68">
        <v>13.5731764705882</v>
      </c>
      <c r="O14" s="68">
        <v>13.856999999999999</v>
      </c>
      <c r="P14" s="68">
        <v>14.093999999999999</v>
      </c>
      <c r="Q14" s="68">
        <v>4.5089770844655304</v>
      </c>
      <c r="R14" s="68">
        <v>20.330874348235199</v>
      </c>
      <c r="S14" s="68">
        <v>1.76</v>
      </c>
      <c r="T14" s="68">
        <v>6.5170000000000003</v>
      </c>
      <c r="U14" s="68">
        <v>10.4779999999999</v>
      </c>
      <c r="V14" s="68">
        <v>13.856999999999999</v>
      </c>
      <c r="W14" s="68">
        <v>16.14</v>
      </c>
      <c r="X14" s="68">
        <v>22</v>
      </c>
      <c r="Y14" s="68">
        <v>23.661000000000001</v>
      </c>
      <c r="Z14" s="68">
        <v>21.901</v>
      </c>
      <c r="AA14" s="68">
        <v>5.6619999999999999</v>
      </c>
    </row>
    <row r="15" spans="2:27" ht="15" customHeight="1">
      <c r="B15" s="64" t="s">
        <v>64</v>
      </c>
      <c r="C15" s="73" t="str">
        <f>IF(INDEX(Definitions,1,MATCH(tbl_Overview[[#This Row],[Field]],Headers,0))="Definition","",INDEX(Definitions,1,MATCH(tbl_Overview[[#This Row],[Field]],Headers,0)))</f>
        <v/>
      </c>
      <c r="D15" s="73" t="str">
        <f>IF(INDEX(Notes,1,MATCH(tbl_Overview[[#This Row],[Field]],Headers,0))="Note","",INDEX(Notes,1,MATCH(tbl_Overview[[#This Row],[Field]],Headers,0)))</f>
        <v/>
      </c>
      <c r="E15" s="65" t="s">
        <v>70</v>
      </c>
      <c r="F15" s="81">
        <v>0.98039215686274495</v>
      </c>
      <c r="G15" s="81">
        <v>0</v>
      </c>
      <c r="H15" s="81">
        <v>0.10790796085691599</v>
      </c>
      <c r="I15" s="66">
        <v>408</v>
      </c>
      <c r="J15" s="66">
        <v>50</v>
      </c>
      <c r="K15" s="66">
        <v>51</v>
      </c>
      <c r="L15" s="67">
        <v>1</v>
      </c>
      <c r="M15" s="66">
        <v>0</v>
      </c>
      <c r="N15" s="68">
        <v>14.004882352941101</v>
      </c>
      <c r="O15" s="68">
        <v>13.775</v>
      </c>
      <c r="P15" s="68">
        <v>12.92</v>
      </c>
      <c r="Q15" s="68">
        <v>3.7646718988355801</v>
      </c>
      <c r="R15" s="68">
        <v>14.172754505882301</v>
      </c>
      <c r="S15" s="68">
        <v>5.9</v>
      </c>
      <c r="T15" s="68">
        <v>8.5919999999999899</v>
      </c>
      <c r="U15" s="68">
        <v>11.3479999999999</v>
      </c>
      <c r="V15" s="68">
        <v>13.775</v>
      </c>
      <c r="W15" s="68">
        <v>16.754999999999999</v>
      </c>
      <c r="X15" s="68">
        <v>20.321999999999999</v>
      </c>
      <c r="Y15" s="68">
        <v>21.28</v>
      </c>
      <c r="Z15" s="68">
        <v>15.38</v>
      </c>
      <c r="AA15" s="68">
        <v>5.407</v>
      </c>
    </row>
    <row r="16" spans="2:27" ht="15" customHeight="1">
      <c r="B16" s="64" t="s">
        <v>65</v>
      </c>
      <c r="C16" s="73" t="str">
        <f>IF(INDEX(Definitions,1,MATCH(tbl_Overview[[#This Row],[Field]],Headers,0))="Definition","",INDEX(Definitions,1,MATCH(tbl_Overview[[#This Row],[Field]],Headers,0)))</f>
        <v/>
      </c>
      <c r="D16" s="73" t="str">
        <f>IF(INDEX(Notes,1,MATCH(tbl_Overview[[#This Row],[Field]],Headers,0))="Note","",INDEX(Notes,1,MATCH(tbl_Overview[[#This Row],[Field]],Headers,0)))</f>
        <v/>
      </c>
      <c r="E16" s="65" t="s">
        <v>70</v>
      </c>
      <c r="F16" s="81">
        <v>1</v>
      </c>
      <c r="G16" s="81">
        <v>0</v>
      </c>
      <c r="H16" s="81">
        <v>0.10790796085691599</v>
      </c>
      <c r="I16" s="66">
        <v>408</v>
      </c>
      <c r="J16" s="66">
        <v>51</v>
      </c>
      <c r="K16" s="66">
        <v>51</v>
      </c>
      <c r="L16" s="67">
        <v>1</v>
      </c>
      <c r="M16" s="66">
        <v>0</v>
      </c>
      <c r="N16" s="68">
        <v>886.957647058823</v>
      </c>
      <c r="O16" s="68">
        <v>858.97</v>
      </c>
      <c r="P16" s="68">
        <v>641.96</v>
      </c>
      <c r="Q16" s="68">
        <v>178.296284791223</v>
      </c>
      <c r="R16" s="68">
        <v>31789.5651703529</v>
      </c>
      <c r="S16" s="68">
        <v>641.96</v>
      </c>
      <c r="T16" s="68">
        <v>665.59500000000003</v>
      </c>
      <c r="U16" s="68">
        <v>768.43</v>
      </c>
      <c r="V16" s="68">
        <v>858.97</v>
      </c>
      <c r="W16" s="68">
        <v>1007.94499999999</v>
      </c>
      <c r="X16" s="68">
        <v>1254.0999999999999</v>
      </c>
      <c r="Y16" s="68">
        <v>1301.52</v>
      </c>
      <c r="Z16" s="68">
        <v>659.56</v>
      </c>
      <c r="AA16" s="68">
        <v>239.51499999999899</v>
      </c>
    </row>
    <row r="17" spans="2:27" ht="15" customHeight="1">
      <c r="B17" s="64" t="s">
        <v>66</v>
      </c>
      <c r="C17" s="73" t="str">
        <f>IF(INDEX(Definitions,1,MATCH(tbl_Overview[[#This Row],[Field]],Headers,0))="Definition","",INDEX(Definitions,1,MATCH(tbl_Overview[[#This Row],[Field]],Headers,0)))</f>
        <v/>
      </c>
      <c r="D17" s="73" t="str">
        <f>IF(INDEX(Notes,1,MATCH(tbl_Overview[[#This Row],[Field]],Headers,0))="Note","",INDEX(Notes,1,MATCH(tbl_Overview[[#This Row],[Field]],Headers,0)))</f>
        <v/>
      </c>
      <c r="E17" s="65" t="s">
        <v>70</v>
      </c>
      <c r="F17" s="81">
        <v>1</v>
      </c>
      <c r="G17" s="81">
        <v>0</v>
      </c>
      <c r="H17" s="81">
        <v>0.10790796085691599</v>
      </c>
      <c r="I17" s="66">
        <v>408</v>
      </c>
      <c r="J17" s="66">
        <v>51</v>
      </c>
      <c r="K17" s="66">
        <v>51</v>
      </c>
      <c r="L17" s="67">
        <v>1</v>
      </c>
      <c r="M17" s="66">
        <v>0</v>
      </c>
      <c r="N17" s="68">
        <v>134.493137254901</v>
      </c>
      <c r="O17" s="68">
        <v>136.05000000000001</v>
      </c>
      <c r="P17" s="68">
        <v>82.75</v>
      </c>
      <c r="Q17" s="68">
        <v>24.835922490634001</v>
      </c>
      <c r="R17" s="68">
        <v>616.82304596078404</v>
      </c>
      <c r="S17" s="68">
        <v>82.75</v>
      </c>
      <c r="T17" s="68">
        <v>96.72</v>
      </c>
      <c r="U17" s="68">
        <v>114.645</v>
      </c>
      <c r="V17" s="68">
        <v>136.05000000000001</v>
      </c>
      <c r="W17" s="68">
        <v>151.87</v>
      </c>
      <c r="X17" s="68">
        <v>172.94</v>
      </c>
      <c r="Y17" s="68">
        <v>194.78</v>
      </c>
      <c r="Z17" s="68">
        <v>112.03</v>
      </c>
      <c r="AA17" s="68">
        <v>37.225000000000001</v>
      </c>
    </row>
    <row r="18" spans="2:27" ht="15" customHeight="1">
      <c r="B18" s="82" t="s">
        <v>67</v>
      </c>
      <c r="C18" s="83" t="str">
        <f>IF(INDEX(Definitions,1,MATCH(tbl_Overview[[#This Row],[Field]],Headers,0))="Definition","",INDEX(Definitions,1,MATCH(tbl_Overview[[#This Row],[Field]],Headers,0)))</f>
        <v/>
      </c>
      <c r="D18" s="83" t="str">
        <f>IF(INDEX(Notes,1,MATCH(tbl_Overview[[#This Row],[Field]],Headers,0))="Note","",INDEX(Notes,1,MATCH(tbl_Overview[[#This Row],[Field]],Headers,0)))</f>
        <v/>
      </c>
      <c r="E18" s="84" t="s">
        <v>71</v>
      </c>
      <c r="F18" s="85">
        <v>1</v>
      </c>
      <c r="G18" s="85">
        <v>0</v>
      </c>
      <c r="H18" s="85">
        <v>0.13673631314467</v>
      </c>
      <c r="I18" s="86">
        <v>517</v>
      </c>
      <c r="J18" s="86">
        <v>51</v>
      </c>
      <c r="K18" s="86">
        <v>51</v>
      </c>
      <c r="L18" s="87">
        <v>1</v>
      </c>
      <c r="M18" s="86">
        <v>0</v>
      </c>
      <c r="N18" s="88"/>
      <c r="O18" s="88"/>
      <c r="P18" s="88" t="s">
        <v>72</v>
      </c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</row>
  </sheetData>
  <conditionalFormatting sqref="C7:C8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1:H1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/>
  <dimension ref="A1:O132"/>
  <sheetViews>
    <sheetView tabSelected="1" zoomScale="85" zoomScaleNormal="85" workbookViewId="0">
      <pane xSplit="4" ySplit="11" topLeftCell="E12" activePane="bottomRight" state="frozen"/>
      <selection activeCell="A2" sqref="A2"/>
      <selection pane="topRight" activeCell="D2" sqref="D2"/>
      <selection pane="bottomLeft" activeCell="A12" sqref="A12"/>
      <selection pane="bottomRight" activeCell="E11" sqref="E11"/>
    </sheetView>
  </sheetViews>
  <sheetFormatPr defaultColWidth="15.77734375" defaultRowHeight="15" customHeight="1" outlineLevelRow="2"/>
  <cols>
    <col min="1" max="1" width="0.88671875" customWidth="1"/>
    <col min="2" max="2" width="3" style="48" customWidth="1"/>
    <col min="3" max="3" width="2.77734375" customWidth="1"/>
    <col min="4" max="4" width="25.77734375" customWidth="1"/>
    <col min="5" max="7" width="27.77734375" customWidth="1"/>
    <col min="8" max="12" width="27.77734375" style="48" customWidth="1"/>
  </cols>
  <sheetData>
    <row r="1" spans="1:15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</row>
    <row r="2" spans="1:15" ht="10.050000000000001" customHeight="1"/>
    <row r="3" spans="1:15" ht="36.6">
      <c r="B3" s="1" t="s">
        <v>1</v>
      </c>
      <c r="C3" s="31" t="s">
        <v>58</v>
      </c>
      <c r="D3" s="31"/>
    </row>
    <row r="4" spans="1:15" ht="10.050000000000001" customHeight="1"/>
    <row r="5" spans="1:15" ht="14.4">
      <c r="B5" s="32"/>
      <c r="C5" s="75" t="s">
        <v>1</v>
      </c>
      <c r="D5" s="2" t="s">
        <v>2</v>
      </c>
    </row>
    <row r="6" spans="1:15" ht="10.050000000000001" customHeight="1">
      <c r="B6" s="32"/>
      <c r="C6" s="32"/>
    </row>
    <row r="7" spans="1:15" ht="34.950000000000003" hidden="1" customHeight="1" outlineLevel="1">
      <c r="B7" s="32"/>
      <c r="C7" s="32"/>
      <c r="D7" s="30" t="s">
        <v>3</v>
      </c>
      <c r="E7" s="42" t="s">
        <v>42</v>
      </c>
      <c r="F7" s="43" t="s">
        <v>42</v>
      </c>
      <c r="G7" s="43" t="s">
        <v>42</v>
      </c>
      <c r="H7" s="43" t="s">
        <v>42</v>
      </c>
      <c r="I7" s="43" t="s">
        <v>42</v>
      </c>
      <c r="J7" s="43" t="s">
        <v>42</v>
      </c>
      <c r="K7" s="43" t="s">
        <v>42</v>
      </c>
      <c r="L7" s="43" t="s">
        <v>42</v>
      </c>
    </row>
    <row r="8" spans="1:15" ht="10.050000000000001" hidden="1" customHeight="1" outlineLevel="1">
      <c r="B8" s="32"/>
      <c r="C8" s="32"/>
    </row>
    <row r="9" spans="1:15" ht="34.950000000000003" hidden="1" customHeight="1" outlineLevel="1">
      <c r="D9" s="30" t="s">
        <v>4</v>
      </c>
      <c r="E9" s="44" t="s">
        <v>51</v>
      </c>
      <c r="F9" s="45" t="s">
        <v>51</v>
      </c>
      <c r="G9" s="46" t="s">
        <v>51</v>
      </c>
      <c r="H9" s="46" t="s">
        <v>51</v>
      </c>
      <c r="I9" s="46" t="s">
        <v>51</v>
      </c>
      <c r="J9" s="46" t="s">
        <v>51</v>
      </c>
      <c r="K9" s="46" t="s">
        <v>51</v>
      </c>
      <c r="L9" s="46" t="s">
        <v>51</v>
      </c>
    </row>
    <row r="10" spans="1:15" ht="10.050000000000001" hidden="1" customHeight="1" outlineLevel="1"/>
    <row r="11" spans="1:15" s="35" customFormat="1" ht="30" customHeight="1" collapsed="1">
      <c r="A11"/>
      <c r="B11" s="48"/>
      <c r="C11" s="77"/>
      <c r="D11" s="77" t="s">
        <v>5</v>
      </c>
      <c r="E11" s="78" t="s">
        <v>60</v>
      </c>
      <c r="F11" s="78" t="s">
        <v>61</v>
      </c>
      <c r="G11" s="78" t="s">
        <v>62</v>
      </c>
      <c r="H11" s="78" t="s">
        <v>63</v>
      </c>
      <c r="I11" s="78" t="s">
        <v>64</v>
      </c>
      <c r="J11" s="78" t="s">
        <v>65</v>
      </c>
      <c r="K11" s="78" t="s">
        <v>66</v>
      </c>
      <c r="L11" s="78" t="s">
        <v>67</v>
      </c>
      <c r="M11" s="35" t="s">
        <v>68</v>
      </c>
      <c r="N11" s="35" t="s">
        <v>40</v>
      </c>
      <c r="O11" s="35" t="s">
        <v>69</v>
      </c>
    </row>
    <row r="12" spans="1:15" ht="10.050000000000001" customHeight="1"/>
    <row r="13" spans="1:15" ht="14.4" outlineLevel="1">
      <c r="B13" s="32"/>
      <c r="C13" s="75" t="s">
        <v>1</v>
      </c>
      <c r="D13" s="33" t="s">
        <v>6</v>
      </c>
    </row>
    <row r="14" spans="1:15" ht="10.050000000000001" customHeight="1" outlineLevel="1">
      <c r="B14" s="32"/>
      <c r="C14" s="32"/>
      <c r="D14" s="32"/>
    </row>
    <row r="15" spans="1:15" ht="34.950000000000003" hidden="1" customHeight="1" outlineLevel="2">
      <c r="B15" s="32"/>
      <c r="C15" s="32"/>
      <c r="D15" s="72"/>
      <c r="E15" s="76" t="s">
        <v>7</v>
      </c>
      <c r="F15" s="76"/>
      <c r="G15" s="40"/>
      <c r="H15" s="40"/>
      <c r="I15" s="40"/>
      <c r="J15" s="40"/>
      <c r="K15" s="40"/>
      <c r="L15" s="40"/>
    </row>
    <row r="16" spans="1:15" ht="14.4" hidden="1" outlineLevel="2">
      <c r="B16" s="32"/>
      <c r="C16" s="32"/>
      <c r="D16" s="32"/>
    </row>
    <row r="17" spans="2:12" ht="15" hidden="1" customHeight="1" outlineLevel="2">
      <c r="B17" s="32"/>
      <c r="C17" s="32"/>
      <c r="D17" s="34" t="s">
        <v>8</v>
      </c>
      <c r="E17" s="36">
        <v>51</v>
      </c>
    </row>
    <row r="18" spans="2:12" ht="15" hidden="1" customHeight="1" outlineLevel="2">
      <c r="B18" s="32"/>
      <c r="C18" s="32"/>
      <c r="D18" s="74" t="s">
        <v>55</v>
      </c>
      <c r="E18" s="37">
        <v>8</v>
      </c>
    </row>
    <row r="19" spans="2:12" s="48" customFormat="1" ht="15" hidden="1" customHeight="1" outlineLevel="2">
      <c r="B19" s="32"/>
      <c r="C19" s="32"/>
      <c r="D19" s="74" t="s">
        <v>14</v>
      </c>
      <c r="E19" s="37" t="s">
        <v>59</v>
      </c>
    </row>
    <row r="20" spans="2:12" s="48" customFormat="1" ht="15" hidden="1" customHeight="1" outlineLevel="2">
      <c r="B20" s="32"/>
      <c r="C20" s="32"/>
      <c r="D20" s="74" t="s">
        <v>56</v>
      </c>
      <c r="E20" s="70">
        <v>1</v>
      </c>
    </row>
    <row r="21" spans="2:12" s="48" customFormat="1" ht="15" hidden="1" customHeight="1" outlineLevel="2">
      <c r="D21" s="3" t="s">
        <v>57</v>
      </c>
      <c r="E21" s="71">
        <v>0</v>
      </c>
    </row>
    <row r="22" spans="2:12" ht="10.050000000000001" hidden="1" customHeight="1" outlineLevel="2"/>
    <row r="23" spans="2:12" ht="14.4" outlineLevel="1" collapsed="1">
      <c r="B23" s="32"/>
      <c r="C23" s="75" t="s">
        <v>1</v>
      </c>
      <c r="D23" s="2" t="s">
        <v>9</v>
      </c>
    </row>
    <row r="24" spans="2:12" ht="10.050000000000001" customHeight="1" outlineLevel="1">
      <c r="B24" s="32"/>
      <c r="C24" s="32"/>
    </row>
    <row r="25" spans="2:12" ht="15" hidden="1" customHeight="1" outlineLevel="2">
      <c r="B25" s="32"/>
      <c r="C25" s="32"/>
      <c r="D25" s="28" t="s">
        <v>10</v>
      </c>
      <c r="E25" s="18" t="s">
        <v>70</v>
      </c>
      <c r="F25" s="18" t="s">
        <v>70</v>
      </c>
      <c r="G25" s="18" t="s">
        <v>70</v>
      </c>
      <c r="H25" s="18" t="s">
        <v>70</v>
      </c>
      <c r="I25" s="18" t="s">
        <v>70</v>
      </c>
      <c r="J25" s="18" t="s">
        <v>70</v>
      </c>
      <c r="K25" s="18" t="s">
        <v>70</v>
      </c>
      <c r="L25" s="18" t="s">
        <v>71</v>
      </c>
    </row>
    <row r="26" spans="2:12" ht="15" hidden="1" customHeight="1" outlineLevel="2">
      <c r="B26" s="32"/>
      <c r="C26" s="32"/>
      <c r="D26" s="3" t="s">
        <v>11</v>
      </c>
      <c r="E26" s="19">
        <v>0.88235294117647001</v>
      </c>
      <c r="F26" s="19">
        <v>0.98039215686274495</v>
      </c>
      <c r="G26" s="19">
        <v>0.98039215686274495</v>
      </c>
      <c r="H26" s="19">
        <v>0.98039215686274495</v>
      </c>
      <c r="I26" s="19">
        <v>0.98039215686274495</v>
      </c>
      <c r="J26" s="19">
        <v>1</v>
      </c>
      <c r="K26" s="19">
        <v>1</v>
      </c>
      <c r="L26" s="19">
        <v>1</v>
      </c>
    </row>
    <row r="27" spans="2:12" ht="15" hidden="1" customHeight="1" outlineLevel="2">
      <c r="B27" s="32"/>
      <c r="C27" s="32"/>
      <c r="D27" s="27" t="s">
        <v>12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19">
        <v>0</v>
      </c>
      <c r="L27" s="19">
        <v>0</v>
      </c>
    </row>
    <row r="28" spans="2:12" ht="15" hidden="1" customHeight="1" outlineLevel="2">
      <c r="B28" s="32"/>
      <c r="C28" s="32"/>
      <c r="D28" s="27" t="s">
        <v>13</v>
      </c>
      <c r="E28" s="19">
        <v>0.10790796085691599</v>
      </c>
      <c r="F28" s="19">
        <v>0.10790796085691599</v>
      </c>
      <c r="G28" s="19">
        <v>0.10790796085691599</v>
      </c>
      <c r="H28" s="19">
        <v>0.10790796085691599</v>
      </c>
      <c r="I28" s="19">
        <v>0.10790796085691599</v>
      </c>
      <c r="J28" s="19">
        <v>0.10790796085691599</v>
      </c>
      <c r="K28" s="19">
        <v>0.10790796085691599</v>
      </c>
      <c r="L28" s="19">
        <v>0.13673631314467</v>
      </c>
    </row>
    <row r="29" spans="2:12" ht="15" hidden="1" customHeight="1" outlineLevel="2">
      <c r="B29" s="32"/>
      <c r="C29" s="32"/>
      <c r="D29" s="27" t="s">
        <v>14</v>
      </c>
      <c r="E29" s="20">
        <v>408</v>
      </c>
      <c r="F29" s="20">
        <v>408</v>
      </c>
      <c r="G29" s="20">
        <v>408</v>
      </c>
      <c r="H29" s="20">
        <v>408</v>
      </c>
      <c r="I29" s="20">
        <v>408</v>
      </c>
      <c r="J29" s="20">
        <v>408</v>
      </c>
      <c r="K29" s="20">
        <v>408</v>
      </c>
      <c r="L29" s="20">
        <v>517</v>
      </c>
    </row>
    <row r="30" spans="2:12" ht="15" hidden="1" customHeight="1" outlineLevel="2">
      <c r="B30" s="32"/>
      <c r="C30" s="32"/>
      <c r="D30" s="27" t="s">
        <v>15</v>
      </c>
      <c r="E30" s="20">
        <v>45</v>
      </c>
      <c r="F30" s="20">
        <v>50</v>
      </c>
      <c r="G30" s="20">
        <v>50</v>
      </c>
      <c r="H30" s="20">
        <v>50</v>
      </c>
      <c r="I30" s="20">
        <v>50</v>
      </c>
      <c r="J30" s="20">
        <v>51</v>
      </c>
      <c r="K30" s="20">
        <v>51</v>
      </c>
      <c r="L30" s="20">
        <v>51</v>
      </c>
    </row>
    <row r="31" spans="2:12" ht="15" hidden="1" customHeight="1" outlineLevel="2">
      <c r="B31" s="32"/>
      <c r="C31" s="32"/>
      <c r="D31" s="28" t="s">
        <v>16</v>
      </c>
      <c r="E31" s="20">
        <v>51</v>
      </c>
      <c r="F31" s="20">
        <v>51</v>
      </c>
      <c r="G31" s="20">
        <v>51</v>
      </c>
      <c r="H31" s="20">
        <v>51</v>
      </c>
      <c r="I31" s="20">
        <v>51</v>
      </c>
      <c r="J31" s="20">
        <v>51</v>
      </c>
      <c r="K31" s="20">
        <v>51</v>
      </c>
      <c r="L31" s="20">
        <v>51</v>
      </c>
    </row>
    <row r="32" spans="2:12" ht="15" hidden="1" customHeight="1" outlineLevel="2">
      <c r="B32" s="32"/>
      <c r="C32" s="32"/>
      <c r="D32" s="3" t="s">
        <v>17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</row>
    <row r="33" spans="2:12" ht="10.050000000000001" hidden="1" customHeight="1" outlineLevel="2">
      <c r="B33" s="32"/>
      <c r="C33" s="32"/>
    </row>
    <row r="34" spans="2:12" ht="150" hidden="1" customHeight="1" outlineLevel="2"/>
    <row r="35" spans="2:12" ht="10.050000000000001" hidden="1" customHeight="1" outlineLevel="2"/>
    <row r="36" spans="2:12" ht="14.4" outlineLevel="1" collapsed="1">
      <c r="B36" s="32"/>
      <c r="C36" s="75" t="s">
        <v>1</v>
      </c>
      <c r="D36" s="2" t="s">
        <v>18</v>
      </c>
    </row>
    <row r="37" spans="2:12" ht="10.050000000000001" customHeight="1" outlineLevel="1">
      <c r="B37" s="32"/>
      <c r="C37" s="32"/>
    </row>
    <row r="38" spans="2:12" ht="15" hidden="1" customHeight="1" outlineLevel="2">
      <c r="B38" s="32"/>
      <c r="C38" s="32"/>
      <c r="D38" s="3" t="s">
        <v>19</v>
      </c>
      <c r="E38" s="21">
        <v>15.7901960784313</v>
      </c>
      <c r="F38" s="21">
        <v>4.9981960784313699</v>
      </c>
      <c r="G38" s="21">
        <v>4.8867843137254896</v>
      </c>
      <c r="H38" s="21">
        <v>13.5731764705882</v>
      </c>
      <c r="I38" s="21">
        <v>14.004882352941101</v>
      </c>
      <c r="J38" s="21">
        <v>886.957647058823</v>
      </c>
      <c r="K38" s="21">
        <v>134.493137254901</v>
      </c>
      <c r="L38" s="21"/>
    </row>
    <row r="39" spans="2:12" ht="15" hidden="1" customHeight="1" outlineLevel="2">
      <c r="B39" s="32"/>
      <c r="C39" s="32"/>
      <c r="D39" s="27" t="s">
        <v>20</v>
      </c>
      <c r="E39" s="21">
        <v>15.6</v>
      </c>
      <c r="F39" s="21">
        <v>4.6079999999999997</v>
      </c>
      <c r="G39" s="21">
        <v>4.5540000000000003</v>
      </c>
      <c r="H39" s="21">
        <v>13.856999999999999</v>
      </c>
      <c r="I39" s="21">
        <v>13.775</v>
      </c>
      <c r="J39" s="21">
        <v>858.97</v>
      </c>
      <c r="K39" s="21">
        <v>136.05000000000001</v>
      </c>
      <c r="L39" s="21"/>
    </row>
    <row r="40" spans="2:12" ht="15" hidden="1" customHeight="1" outlineLevel="2">
      <c r="B40" s="32"/>
      <c r="C40" s="32"/>
      <c r="D40" s="27" t="s">
        <v>21</v>
      </c>
      <c r="E40" s="21">
        <v>12.8</v>
      </c>
      <c r="F40" s="21">
        <v>4.968</v>
      </c>
      <c r="G40" s="21">
        <v>5.2080000000000002</v>
      </c>
      <c r="H40" s="21">
        <v>14.093999999999999</v>
      </c>
      <c r="I40" s="21">
        <v>12.92</v>
      </c>
      <c r="J40" s="21">
        <v>641.96</v>
      </c>
      <c r="K40" s="21">
        <v>82.75</v>
      </c>
      <c r="L40" s="21" t="s">
        <v>72</v>
      </c>
    </row>
    <row r="41" spans="2:12" ht="15" hidden="1" customHeight="1" outlineLevel="2">
      <c r="B41" s="32"/>
      <c r="C41" s="32"/>
      <c r="D41" s="3" t="s">
        <v>22</v>
      </c>
      <c r="E41" s="21">
        <v>4.1220021786486596</v>
      </c>
      <c r="F41" s="21">
        <v>2.0177470903917301</v>
      </c>
      <c r="G41" s="21">
        <v>1.7291329077167601</v>
      </c>
      <c r="H41" s="21">
        <v>4.5089770844655304</v>
      </c>
      <c r="I41" s="21">
        <v>3.7646718988355801</v>
      </c>
      <c r="J41" s="21">
        <v>178.296284791223</v>
      </c>
      <c r="K41" s="21">
        <v>24.835922490634001</v>
      </c>
      <c r="L41" s="21"/>
    </row>
    <row r="42" spans="2:12" ht="15" hidden="1" customHeight="1" outlineLevel="2">
      <c r="B42" s="32"/>
      <c r="C42" s="32"/>
      <c r="D42" s="29" t="s">
        <v>23</v>
      </c>
      <c r="E42" s="21">
        <v>16.990901960784299</v>
      </c>
      <c r="F42" s="21">
        <v>4.0713033207843097</v>
      </c>
      <c r="G42" s="21">
        <v>2.98990061254902</v>
      </c>
      <c r="H42" s="21">
        <v>20.330874348235199</v>
      </c>
      <c r="I42" s="21">
        <v>14.172754505882301</v>
      </c>
      <c r="J42" s="21">
        <v>31789.5651703529</v>
      </c>
      <c r="K42" s="21">
        <v>616.82304596078404</v>
      </c>
      <c r="L42" s="21"/>
    </row>
    <row r="43" spans="2:12" ht="10.050000000000001" hidden="1" customHeight="1" outlineLevel="2">
      <c r="B43" s="32"/>
      <c r="C43" s="32"/>
    </row>
    <row r="44" spans="2:12" ht="150" hidden="1" customHeight="1" outlineLevel="2"/>
    <row r="45" spans="2:12" ht="10.050000000000001" hidden="1" customHeight="1" outlineLevel="2"/>
    <row r="46" spans="2:12" ht="14.4" outlineLevel="1" collapsed="1">
      <c r="B46" s="32"/>
      <c r="C46" s="75" t="s">
        <v>1</v>
      </c>
      <c r="D46" s="2" t="s">
        <v>24</v>
      </c>
    </row>
    <row r="47" spans="2:12" ht="10.050000000000001" customHeight="1" outlineLevel="1">
      <c r="B47" s="32"/>
      <c r="C47" s="32"/>
    </row>
    <row r="48" spans="2:12" ht="15" hidden="1" customHeight="1" outlineLevel="2">
      <c r="B48" s="32"/>
      <c r="C48" s="32"/>
      <c r="D48" s="3" t="s">
        <v>25</v>
      </c>
      <c r="E48" s="21">
        <v>5.9</v>
      </c>
      <c r="F48" s="21">
        <v>1.79199999999999</v>
      </c>
      <c r="G48" s="21">
        <v>1.593</v>
      </c>
      <c r="H48" s="21">
        <v>1.76</v>
      </c>
      <c r="I48" s="21">
        <v>5.9</v>
      </c>
      <c r="J48" s="21">
        <v>641.96</v>
      </c>
      <c r="K48" s="21">
        <v>82.75</v>
      </c>
      <c r="L48" s="21"/>
    </row>
    <row r="49" spans="1:12" ht="15" hidden="1" customHeight="1" outlineLevel="2">
      <c r="B49" s="32"/>
      <c r="C49" s="32"/>
      <c r="D49" s="27">
        <v>0.05</v>
      </c>
      <c r="E49" s="21">
        <v>10.1</v>
      </c>
      <c r="F49" s="21">
        <v>1.9715</v>
      </c>
      <c r="G49" s="21">
        <v>2.827</v>
      </c>
      <c r="H49" s="21">
        <v>6.5170000000000003</v>
      </c>
      <c r="I49" s="21">
        <v>8.5919999999999899</v>
      </c>
      <c r="J49" s="21">
        <v>665.59500000000003</v>
      </c>
      <c r="K49" s="21">
        <v>96.72</v>
      </c>
      <c r="L49" s="21"/>
    </row>
    <row r="50" spans="1:12" ht="15" hidden="1" customHeight="1" outlineLevel="2">
      <c r="B50" s="32"/>
      <c r="C50" s="32"/>
      <c r="D50" s="28">
        <v>0.25</v>
      </c>
      <c r="E50" s="21">
        <v>12.75</v>
      </c>
      <c r="F50" s="21">
        <v>3.76649999999999</v>
      </c>
      <c r="G50" s="21">
        <v>3.8940000000000001</v>
      </c>
      <c r="H50" s="21">
        <v>10.4779999999999</v>
      </c>
      <c r="I50" s="21">
        <v>11.3479999999999</v>
      </c>
      <c r="J50" s="21">
        <v>768.43</v>
      </c>
      <c r="K50" s="21">
        <v>114.645</v>
      </c>
      <c r="L50" s="21"/>
    </row>
    <row r="51" spans="1:12" ht="15" hidden="1" customHeight="1" outlineLevel="2">
      <c r="B51" s="32"/>
      <c r="C51" s="32"/>
      <c r="D51" s="3">
        <v>0.5</v>
      </c>
      <c r="E51" s="21">
        <v>15.6</v>
      </c>
      <c r="F51" s="21">
        <v>4.6079999999999997</v>
      </c>
      <c r="G51" s="21">
        <v>4.5540000000000003</v>
      </c>
      <c r="H51" s="21">
        <v>13.856999999999999</v>
      </c>
      <c r="I51" s="21">
        <v>13.775</v>
      </c>
      <c r="J51" s="21">
        <v>858.97</v>
      </c>
      <c r="K51" s="21">
        <v>136.05000000000001</v>
      </c>
      <c r="L51" s="21"/>
    </row>
    <row r="52" spans="1:12" ht="15" hidden="1" customHeight="1" outlineLevel="2">
      <c r="B52" s="32"/>
      <c r="C52" s="32"/>
      <c r="D52" s="27">
        <v>0.75</v>
      </c>
      <c r="E52" s="21">
        <v>18.5</v>
      </c>
      <c r="F52" s="21">
        <v>6.4390000000000001</v>
      </c>
      <c r="G52" s="21">
        <v>5.6039999999999903</v>
      </c>
      <c r="H52" s="21">
        <v>16.14</v>
      </c>
      <c r="I52" s="21">
        <v>16.754999999999999</v>
      </c>
      <c r="J52" s="21">
        <v>1007.94499999999</v>
      </c>
      <c r="K52" s="21">
        <v>151.87</v>
      </c>
      <c r="L52" s="21"/>
    </row>
    <row r="53" spans="1:12" ht="15" hidden="1" customHeight="1" outlineLevel="2">
      <c r="B53" s="32"/>
      <c r="C53" s="32"/>
      <c r="D53" s="27">
        <v>0.95</v>
      </c>
      <c r="E53" s="21">
        <v>23.1</v>
      </c>
      <c r="F53" s="21">
        <v>8.7139999999999898</v>
      </c>
      <c r="G53" s="21">
        <v>8.3940000000000001</v>
      </c>
      <c r="H53" s="21">
        <v>22</v>
      </c>
      <c r="I53" s="21">
        <v>20.321999999999999</v>
      </c>
      <c r="J53" s="21">
        <v>1254.0999999999999</v>
      </c>
      <c r="K53" s="21">
        <v>172.94</v>
      </c>
      <c r="L53" s="21"/>
    </row>
    <row r="54" spans="1:12" ht="15" hidden="1" customHeight="1" outlineLevel="2">
      <c r="B54" s="32"/>
      <c r="C54" s="32"/>
      <c r="D54" s="3" t="s">
        <v>26</v>
      </c>
      <c r="E54" s="21">
        <v>23.9</v>
      </c>
      <c r="F54" s="21">
        <v>9.4499999999999993</v>
      </c>
      <c r="G54" s="21">
        <v>10.038</v>
      </c>
      <c r="H54" s="21">
        <v>23.661000000000001</v>
      </c>
      <c r="I54" s="21">
        <v>21.28</v>
      </c>
      <c r="J54" s="21">
        <v>1301.52</v>
      </c>
      <c r="K54" s="21">
        <v>194.78</v>
      </c>
      <c r="L54" s="21"/>
    </row>
    <row r="55" spans="1:12" ht="15" hidden="1" customHeight="1" outlineLevel="2">
      <c r="B55" s="32"/>
      <c r="C55" s="32"/>
      <c r="D55" s="27" t="s">
        <v>27</v>
      </c>
      <c r="E55" s="21">
        <v>18</v>
      </c>
      <c r="F55" s="21">
        <v>7.6579999999999897</v>
      </c>
      <c r="G55" s="21">
        <v>8.4450000000000003</v>
      </c>
      <c r="H55" s="21">
        <v>21.901</v>
      </c>
      <c r="I55" s="21">
        <v>15.38</v>
      </c>
      <c r="J55" s="21">
        <v>659.56</v>
      </c>
      <c r="K55" s="21">
        <v>112.03</v>
      </c>
      <c r="L55" s="21"/>
    </row>
    <row r="56" spans="1:12" ht="15" hidden="1" customHeight="1" outlineLevel="2">
      <c r="D56" s="3" t="s">
        <v>28</v>
      </c>
      <c r="E56" s="21">
        <v>5.75</v>
      </c>
      <c r="F56" s="21">
        <v>2.6724999999999999</v>
      </c>
      <c r="G56" s="21">
        <v>1.70999999999999</v>
      </c>
      <c r="H56" s="21">
        <v>5.6619999999999999</v>
      </c>
      <c r="I56" s="21">
        <v>5.407</v>
      </c>
      <c r="J56" s="21">
        <v>239.51499999999899</v>
      </c>
      <c r="K56" s="21">
        <v>37.225000000000001</v>
      </c>
      <c r="L56" s="21"/>
    </row>
    <row r="57" spans="1:12" ht="10.050000000000001" hidden="1" customHeight="1" outlineLevel="2"/>
    <row r="58" spans="1:12" ht="14.4" outlineLevel="1" collapsed="1">
      <c r="A58" s="32"/>
      <c r="B58" s="32"/>
      <c r="C58" s="75" t="s">
        <v>1</v>
      </c>
      <c r="D58" s="2" t="s">
        <v>29</v>
      </c>
    </row>
    <row r="59" spans="1:12" ht="10.050000000000001" customHeight="1" outlineLevel="1">
      <c r="A59" s="32"/>
      <c r="B59" s="32"/>
      <c r="C59" s="32"/>
    </row>
    <row r="60" spans="1:12" ht="15" hidden="1" customHeight="1" outlineLevel="2">
      <c r="A60" s="32"/>
      <c r="B60" s="32"/>
      <c r="C60" s="32"/>
      <c r="D60" s="3" t="s">
        <v>30</v>
      </c>
      <c r="E60" s="63" t="b">
        <v>0</v>
      </c>
      <c r="F60" s="63" t="b">
        <v>0</v>
      </c>
      <c r="G60" s="63" t="b">
        <v>0</v>
      </c>
      <c r="H60" s="63" t="b">
        <v>0</v>
      </c>
      <c r="I60" s="63" t="b">
        <v>0</v>
      </c>
      <c r="J60" s="63" t="b">
        <v>0</v>
      </c>
      <c r="K60" s="63" t="b">
        <v>0</v>
      </c>
      <c r="L60" s="63" t="b">
        <v>0</v>
      </c>
    </row>
    <row r="61" spans="1:12" ht="15" hidden="1" customHeight="1" outlineLevel="2">
      <c r="A61" s="32"/>
      <c r="B61" s="32"/>
      <c r="C61" s="32"/>
      <c r="D61" s="27" t="s">
        <v>31</v>
      </c>
      <c r="E61" s="63" t="b">
        <v>0</v>
      </c>
      <c r="F61" s="63" t="b">
        <v>0</v>
      </c>
      <c r="G61" s="63" t="b">
        <v>0</v>
      </c>
      <c r="H61" s="63" t="b">
        <v>0</v>
      </c>
      <c r="I61" s="63" t="b">
        <v>0</v>
      </c>
      <c r="J61" s="63" t="b">
        <v>0</v>
      </c>
      <c r="K61" s="63" t="b">
        <v>0</v>
      </c>
      <c r="L61" s="63" t="b">
        <v>0</v>
      </c>
    </row>
    <row r="62" spans="1:12" ht="15" hidden="1" customHeight="1" outlineLevel="2">
      <c r="A62" s="32"/>
      <c r="B62" s="32"/>
      <c r="C62" s="32"/>
      <c r="D62" s="27" t="s">
        <v>32</v>
      </c>
      <c r="E62" s="63" t="b">
        <v>0</v>
      </c>
      <c r="F62" s="63" t="b">
        <v>0</v>
      </c>
      <c r="G62" s="63" t="b">
        <v>0</v>
      </c>
      <c r="H62" s="63" t="b">
        <v>0</v>
      </c>
      <c r="I62" s="63" t="b">
        <v>0</v>
      </c>
      <c r="J62" s="63" t="b">
        <v>0</v>
      </c>
      <c r="K62" s="63" t="b">
        <v>0</v>
      </c>
      <c r="L62" s="63" t="b">
        <v>0</v>
      </c>
    </row>
    <row r="63" spans="1:12" ht="15" hidden="1" customHeight="1" outlineLevel="2">
      <c r="A63" s="32"/>
      <c r="B63" s="32"/>
      <c r="C63" s="32"/>
      <c r="D63" s="27" t="s">
        <v>33</v>
      </c>
      <c r="E63" s="63" t="b">
        <v>0</v>
      </c>
      <c r="F63" s="63" t="b">
        <v>0</v>
      </c>
      <c r="G63" s="63" t="b">
        <v>0</v>
      </c>
      <c r="H63" s="63" t="b">
        <v>0</v>
      </c>
      <c r="I63" s="63" t="b">
        <v>0</v>
      </c>
      <c r="J63" s="63" t="b">
        <v>0</v>
      </c>
      <c r="K63" s="63" t="b">
        <v>0</v>
      </c>
      <c r="L63" s="63" t="b">
        <v>0</v>
      </c>
    </row>
    <row r="64" spans="1:12" ht="15" hidden="1" customHeight="1" outlineLevel="2">
      <c r="A64" s="32"/>
      <c r="B64" s="32"/>
      <c r="C64" s="32"/>
      <c r="D64" s="3" t="s">
        <v>34</v>
      </c>
      <c r="E64" s="63" t="b">
        <v>0</v>
      </c>
      <c r="F64" s="63" t="b">
        <v>0</v>
      </c>
      <c r="G64" s="63" t="b">
        <v>0</v>
      </c>
      <c r="H64" s="63" t="b">
        <v>0</v>
      </c>
      <c r="I64" s="63" t="b">
        <v>0</v>
      </c>
      <c r="J64" s="63" t="b">
        <v>0</v>
      </c>
      <c r="K64" s="63" t="b">
        <v>0</v>
      </c>
      <c r="L64" s="63" t="b">
        <v>0</v>
      </c>
    </row>
    <row r="65" spans="1:12" ht="15" hidden="1" customHeight="1" outlineLevel="2">
      <c r="A65" s="32"/>
      <c r="B65" s="32"/>
      <c r="C65" s="32"/>
      <c r="D65" s="27" t="s">
        <v>35</v>
      </c>
      <c r="E65" s="63" t="b">
        <v>0</v>
      </c>
      <c r="F65" s="63" t="b">
        <v>0</v>
      </c>
      <c r="G65" s="63" t="b">
        <v>0</v>
      </c>
      <c r="H65" s="63" t="b">
        <v>0</v>
      </c>
      <c r="I65" s="63" t="b">
        <v>0</v>
      </c>
      <c r="J65" s="63" t="b">
        <v>0</v>
      </c>
      <c r="K65" s="63" t="b">
        <v>0</v>
      </c>
      <c r="L65" s="63" t="b">
        <v>0</v>
      </c>
    </row>
    <row r="66" spans="1:12" ht="15" hidden="1" customHeight="1" outlineLevel="2">
      <c r="A66" s="32"/>
      <c r="B66" s="32"/>
      <c r="C66" s="32"/>
      <c r="D66" s="27" t="s">
        <v>36</v>
      </c>
      <c r="E66" s="63" t="b">
        <v>0</v>
      </c>
      <c r="F66" s="63" t="b">
        <v>0</v>
      </c>
      <c r="G66" s="63" t="b">
        <v>0</v>
      </c>
      <c r="H66" s="63" t="b">
        <v>0</v>
      </c>
      <c r="I66" s="63" t="b">
        <v>0</v>
      </c>
      <c r="J66" s="63" t="b">
        <v>0</v>
      </c>
      <c r="K66" s="63" t="b">
        <v>0</v>
      </c>
      <c r="L66" s="63" t="b">
        <v>0</v>
      </c>
    </row>
    <row r="67" spans="1:12" ht="15" hidden="1" customHeight="1" outlineLevel="2">
      <c r="D67" s="3" t="s">
        <v>37</v>
      </c>
      <c r="E67" s="63" t="b">
        <v>0</v>
      </c>
      <c r="F67" s="63" t="b">
        <v>0</v>
      </c>
      <c r="G67" s="63" t="b">
        <v>0</v>
      </c>
      <c r="H67" s="63" t="b">
        <v>0</v>
      </c>
      <c r="I67" s="63" t="b">
        <v>0</v>
      </c>
      <c r="J67" s="63" t="b">
        <v>0</v>
      </c>
      <c r="K67" s="63" t="b">
        <v>0</v>
      </c>
      <c r="L67" s="63" t="b">
        <v>0</v>
      </c>
    </row>
    <row r="68" spans="1:12" ht="10.050000000000001" hidden="1" customHeight="1" outlineLevel="2"/>
    <row r="69" spans="1:12" ht="14.4" outlineLevel="1" collapsed="1">
      <c r="A69" s="32"/>
      <c r="B69" s="32"/>
      <c r="C69" s="75" t="s">
        <v>1</v>
      </c>
      <c r="D69" s="2" t="s">
        <v>38</v>
      </c>
    </row>
    <row r="70" spans="1:12" ht="15" customHeight="1" outlineLevel="1">
      <c r="A70" s="32"/>
      <c r="B70" s="32"/>
    </row>
    <row r="71" spans="1:12" ht="15" hidden="1" customHeight="1" outlineLevel="1">
      <c r="A71" s="32"/>
      <c r="B71" s="32"/>
      <c r="D71" s="3" t="str">
        <f>IF(COUNTIF(FieldList1, "&lt;&gt;FALSE") = 0,"",SUBSTITUTE(LOWER(D60)," ","_") &amp;" = ")</f>
        <v/>
      </c>
      <c r="E71" t="str">
        <f>IF(COUNTIF(FieldList1, "&lt;&gt;FALSE") = 0,"","['"&amp;_xlfn.TEXTJOIN("', '", TRUE, _xlfn._xlws.FILTER(FieldRange,FieldList1&lt;&gt; FALSE, ""))&amp;"']")</f>
        <v/>
      </c>
    </row>
    <row r="72" spans="1:12" ht="15" hidden="1" customHeight="1" outlineLevel="2">
      <c r="A72" s="32"/>
      <c r="B72" s="32"/>
      <c r="D72" s="26" t="str">
        <f>IF(COUNTIF(FieldList2, "&lt;&gt;FALSE") = 0,"",SUBSTITUTE(LOWER(D61)," ","_")&amp;" = ")</f>
        <v/>
      </c>
      <c r="E72" t="str">
        <f>IF(COUNTIF(FieldList2, "&lt;&gt;FALSE") = 0,"","['"&amp;_xlfn.TEXTJOIN("', '", TRUE, _xlfn._xlws.FILTER(FieldRange,FieldList2&lt;&gt; FALSE, ""))&amp;"']")</f>
        <v/>
      </c>
    </row>
    <row r="73" spans="1:12" ht="15" hidden="1" customHeight="1" outlineLevel="2">
      <c r="A73" s="32"/>
      <c r="B73" s="32"/>
      <c r="D73" s="26" t="str">
        <f>IF(COUNTIF(FieldList3, "&lt;&gt;FALSE") = 0,"",SUBSTITUTE(LOWER(D62)," ","_")&amp;" = ")</f>
        <v/>
      </c>
      <c r="E73" t="str">
        <f>IF(COUNTIF(FieldList3, "&lt;&gt;FALSE") = 0,"","['"&amp;_xlfn.TEXTJOIN("', '", TRUE, _xlfn._xlws.FILTER(FieldRange,FieldList3&lt;&gt; FALSE, ""))&amp;"']")</f>
        <v/>
      </c>
    </row>
    <row r="74" spans="1:12" ht="15" hidden="1" customHeight="1" outlineLevel="2">
      <c r="A74" s="32"/>
      <c r="B74" s="32"/>
      <c r="D74" s="26" t="str">
        <f>IF(COUNTIF(FieldList4, "&lt;&gt;FALSE") = 0,"",SUBSTITUTE(LOWER(D63)," ","_")&amp;" = ")</f>
        <v/>
      </c>
      <c r="E74" t="str">
        <f>IF(COUNTIF(FieldList4, "&lt;&gt;FALSE") = 0,"","['"&amp;_xlfn.TEXTJOIN("', '", TRUE, _xlfn._xlws.FILTER(FieldRange,FieldList4&lt;&gt; FALSE, ""))&amp;"']")</f>
        <v/>
      </c>
    </row>
    <row r="75" spans="1:12" ht="15" hidden="1" customHeight="1" outlineLevel="2">
      <c r="A75" s="32"/>
      <c r="B75" s="32"/>
      <c r="D75" s="26" t="str">
        <f>IF(COUNTIF(FieldList5, "&lt;&gt;FALSE") = 0,"",SUBSTITUTE(LOWER(D64)," ","_")&amp;" = ")</f>
        <v/>
      </c>
      <c r="E75" t="str">
        <f>IF(COUNTIF(FieldList5, "&lt;&gt;FALSE") = 0,"","['"&amp;_xlfn.TEXTJOIN("', '", TRUE, _xlfn._xlws.FILTER(FieldRange,FieldList5&lt;&gt; FALSE, ""))&amp;"']")</f>
        <v/>
      </c>
    </row>
    <row r="76" spans="1:12" ht="15" hidden="1" customHeight="1" outlineLevel="2">
      <c r="A76" s="32"/>
      <c r="B76" s="32"/>
      <c r="D76" s="26" t="str">
        <f>IF(COUNTIF(FieldList6, "&lt;&gt;FALSE") = 0,"",SUBSTITUTE(LOWER(D65)," ","_")&amp;" = ")</f>
        <v/>
      </c>
      <c r="E76" t="str">
        <f>IF(COUNTIF(FieldList6, "&lt;&gt;FALSE") = 0,"","['"&amp;_xlfn.TEXTJOIN("', '", TRUE, _xlfn._xlws.FILTER(FieldRange,FieldList6&lt;&gt; FALSE, ""))&amp;"']")</f>
        <v/>
      </c>
    </row>
    <row r="77" spans="1:12" ht="15" hidden="1" customHeight="1" outlineLevel="2">
      <c r="A77" s="32"/>
      <c r="B77" s="32"/>
      <c r="D77" s="25" t="str">
        <f>IF(COUNTIF(FieldList7, "&lt;&gt;FALSE") = 0,"",SUBSTITUTE(LOWER(D66)," ","_")&amp;" = ")</f>
        <v/>
      </c>
      <c r="E77" t="str" cm="1">
        <f t="array" ref="E77">IF(COUNTIF(FieldList7, "&lt;&gt;FALSE") = 0,"","['"&amp;_xlfn.TEXTJOIN("', '", TRUE, _xlfn._xlws.FILTER(FieldRange,FieldList7&lt;&gt; FALSE, ""))&amp;"']")</f>
        <v/>
      </c>
    </row>
    <row r="78" spans="1:12" ht="15" hidden="1" customHeight="1" outlineLevel="2">
      <c r="A78" s="32"/>
      <c r="B78" s="32"/>
      <c r="D78" s="3" t="str">
        <f>IF(COUNTIF(FieldList8, "&lt;&gt;FALSE") = 0,"",SUBSTITUTE(LOWER(D67)," ","_")&amp;" = ")</f>
        <v/>
      </c>
      <c r="E78" t="str" cm="1">
        <f t="array" ref="E78">IF(COUNTIF(FieldList8, "&lt;&gt;FALSE") = 0,"","['"&amp;_xlfn.TEXTJOIN("', '", TRUE, _xlfn._xlws.FILTER(FieldRange,FieldList8&lt;&gt; FALSE, ""))&amp;"']")</f>
        <v/>
      </c>
    </row>
    <row r="79" spans="1:12" ht="15" hidden="1" customHeight="1" outlineLevel="2">
      <c r="D79" s="24" t="str">
        <f>IF(COUNTIF(tbl_SourceData[Record List], "&lt;&gt;FALSE") = 0,"",SUBSTITUTE(LOWER(LightHeader)," ", "_") &amp;" = ")</f>
        <v/>
      </c>
      <c r="E79" t="str" cm="1">
        <f t="array" ref="E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2" ht="10.050000000000001" hidden="1" customHeight="1" outlineLevel="1" collapsed="1"/>
    <row r="81" spans="4:15" ht="30" customHeight="1">
      <c r="D81" s="97" t="s">
        <v>39</v>
      </c>
      <c r="E81" s="90" t="s">
        <v>60</v>
      </c>
      <c r="F81" s="90" t="s">
        <v>61</v>
      </c>
      <c r="G81" s="90" t="s">
        <v>62</v>
      </c>
      <c r="H81" s="91" t="s">
        <v>63</v>
      </c>
      <c r="I81" s="91" t="s">
        <v>64</v>
      </c>
      <c r="J81" s="91" t="s">
        <v>65</v>
      </c>
      <c r="K81" s="91" t="s">
        <v>66</v>
      </c>
      <c r="L81" s="91" t="s">
        <v>67</v>
      </c>
      <c r="M81" s="97" t="s">
        <v>68</v>
      </c>
      <c r="N81" s="97" t="s">
        <v>40</v>
      </c>
      <c r="O81" s="97" t="s">
        <v>69</v>
      </c>
    </row>
    <row r="82" spans="4:15" ht="15" customHeight="1">
      <c r="D82" s="98" t="b">
        <v>0</v>
      </c>
      <c r="E82" s="92">
        <v>18.8</v>
      </c>
      <c r="F82" s="92">
        <v>7.3320000000000007</v>
      </c>
      <c r="G82" s="92">
        <v>5.64</v>
      </c>
      <c r="H82" s="93">
        <v>18.047999999999998</v>
      </c>
      <c r="I82" s="93">
        <v>15.04</v>
      </c>
      <c r="J82" s="93">
        <v>784.55</v>
      </c>
      <c r="K82" s="93">
        <v>145.08000000000001</v>
      </c>
      <c r="L82" s="93" t="s">
        <v>73</v>
      </c>
      <c r="M82" s="101">
        <v>0</v>
      </c>
      <c r="N82" s="101">
        <v>0</v>
      </c>
      <c r="O82" s="101">
        <v>4.6326082156998175E+18</v>
      </c>
    </row>
    <row r="83" spans="4:15" ht="15" customHeight="1">
      <c r="D83" s="98" t="b">
        <v>0</v>
      </c>
      <c r="E83" s="92">
        <v>18.100000000000001</v>
      </c>
      <c r="F83" s="92">
        <v>7.4210000000000003</v>
      </c>
      <c r="G83" s="92">
        <v>4.5250000000000004</v>
      </c>
      <c r="H83" s="93">
        <v>16.290000000000003</v>
      </c>
      <c r="I83" s="93">
        <v>17.013999999999999</v>
      </c>
      <c r="J83" s="93">
        <v>1053.48</v>
      </c>
      <c r="K83" s="93">
        <v>133.93</v>
      </c>
      <c r="L83" s="93" t="s">
        <v>72</v>
      </c>
      <c r="M83" s="101">
        <v>1</v>
      </c>
      <c r="N83" s="101">
        <v>0</v>
      </c>
      <c r="O83" s="101">
        <v>1.0354735659823745E+19</v>
      </c>
    </row>
    <row r="84" spans="4:15" ht="15" customHeight="1">
      <c r="D84" s="99" t="b">
        <v>0</v>
      </c>
      <c r="E84" s="94">
        <v>18.600000000000001</v>
      </c>
      <c r="F84" s="92">
        <v>6.51</v>
      </c>
      <c r="G84" s="92">
        <v>5.2080000000000011</v>
      </c>
      <c r="H84" s="93">
        <v>15.624000000000001</v>
      </c>
      <c r="I84" s="93">
        <v>17.856000000000002</v>
      </c>
      <c r="J84" s="93">
        <v>899.47</v>
      </c>
      <c r="K84" s="93">
        <v>110.35</v>
      </c>
      <c r="L84" s="93" t="s">
        <v>74</v>
      </c>
      <c r="M84" s="101">
        <v>2</v>
      </c>
      <c r="N84" s="101">
        <v>0</v>
      </c>
      <c r="O84" s="101">
        <v>8.2148052693421998E+18</v>
      </c>
    </row>
    <row r="85" spans="4:15" ht="15" customHeight="1">
      <c r="D85" s="99" t="b">
        <v>0</v>
      </c>
      <c r="E85" s="94">
        <v>22.4</v>
      </c>
      <c r="F85" s="92">
        <v>4.032</v>
      </c>
      <c r="G85" s="92">
        <v>5.8239999999999998</v>
      </c>
      <c r="H85" s="93">
        <v>21.056000000000001</v>
      </c>
      <c r="I85" s="93">
        <v>21.28</v>
      </c>
      <c r="J85" s="93">
        <v>827.34</v>
      </c>
      <c r="K85" s="93">
        <v>142.38999999999999</v>
      </c>
      <c r="L85" s="93" t="s">
        <v>75</v>
      </c>
      <c r="M85" s="101">
        <v>3</v>
      </c>
      <c r="N85" s="101">
        <v>0</v>
      </c>
      <c r="O85" s="101">
        <v>4.4828494410551721E+18</v>
      </c>
    </row>
    <row r="86" spans="4:15" ht="15" customHeight="1">
      <c r="D86" s="99" t="b">
        <v>0</v>
      </c>
      <c r="E86" s="94">
        <v>12</v>
      </c>
      <c r="F86" s="92">
        <v>4.2</v>
      </c>
      <c r="G86" s="92">
        <v>3.36</v>
      </c>
      <c r="H86" s="93">
        <v>10.92</v>
      </c>
      <c r="I86" s="93">
        <v>10.68</v>
      </c>
      <c r="J86" s="93">
        <v>878.41</v>
      </c>
      <c r="K86" s="93">
        <v>165.63</v>
      </c>
      <c r="L86" s="93" t="s">
        <v>76</v>
      </c>
      <c r="M86" s="101">
        <v>4</v>
      </c>
      <c r="N86" s="101">
        <v>0</v>
      </c>
      <c r="O86" s="101">
        <v>3.7244398362547231E+18</v>
      </c>
    </row>
    <row r="87" spans="4:15" ht="15" customHeight="1">
      <c r="D87" s="99" t="b">
        <v>0</v>
      </c>
      <c r="E87" s="94">
        <v>13.6</v>
      </c>
      <c r="F87" s="92">
        <v>5.032</v>
      </c>
      <c r="G87" s="92">
        <v>3.8079999999999998</v>
      </c>
      <c r="H87" s="93">
        <v>10.743999999999998</v>
      </c>
      <c r="I87" s="93">
        <v>12.92</v>
      </c>
      <c r="J87" s="93">
        <v>835.5</v>
      </c>
      <c r="K87" s="93">
        <v>139.91</v>
      </c>
      <c r="L87" s="93" t="s">
        <v>77</v>
      </c>
      <c r="M87" s="101">
        <v>5</v>
      </c>
      <c r="N87" s="101">
        <v>0</v>
      </c>
      <c r="O87" s="101">
        <v>5.5835957081849754E+18</v>
      </c>
    </row>
    <row r="88" spans="4:15" ht="15" customHeight="1">
      <c r="D88" s="99" t="b">
        <v>0</v>
      </c>
      <c r="E88" s="94">
        <v>10.8</v>
      </c>
      <c r="F88" s="92">
        <v>4.968</v>
      </c>
      <c r="G88" s="92">
        <v>3.8879999999999999</v>
      </c>
      <c r="H88" s="93">
        <v>9.3960000000000008</v>
      </c>
      <c r="I88" s="93">
        <v>8.8559999999999999</v>
      </c>
      <c r="J88" s="93">
        <v>1068.73</v>
      </c>
      <c r="K88" s="93">
        <v>167.02</v>
      </c>
      <c r="L88" s="93" t="s">
        <v>78</v>
      </c>
      <c r="M88" s="101">
        <v>6</v>
      </c>
      <c r="N88" s="101">
        <v>0</v>
      </c>
      <c r="O88" s="101">
        <v>2.4834549225603261E+17</v>
      </c>
    </row>
    <row r="89" spans="4:15" ht="15" customHeight="1">
      <c r="D89" s="99" t="b">
        <v>0</v>
      </c>
      <c r="E89" s="94">
        <v>16.2</v>
      </c>
      <c r="F89" s="92">
        <v>6.1560000000000006</v>
      </c>
      <c r="G89" s="92">
        <v>4.8600000000000003</v>
      </c>
      <c r="H89" s="93">
        <v>14.093999999999999</v>
      </c>
      <c r="I89" s="93">
        <v>16.038</v>
      </c>
      <c r="J89" s="93">
        <v>1137.8699999999999</v>
      </c>
      <c r="K89" s="93">
        <v>151.47999999999999</v>
      </c>
      <c r="L89" s="93" t="s">
        <v>79</v>
      </c>
      <c r="M89" s="101">
        <v>7</v>
      </c>
      <c r="N89" s="101">
        <v>0</v>
      </c>
      <c r="O89" s="101">
        <v>7.8926597823567739E+18</v>
      </c>
    </row>
    <row r="90" spans="4:15" ht="15" customHeight="1">
      <c r="D90" s="99" t="b">
        <v>0</v>
      </c>
      <c r="E90" s="94">
        <v>5.9</v>
      </c>
      <c r="F90" s="92">
        <v>2.0059999999999998</v>
      </c>
      <c r="G90" s="92">
        <v>1.5930000000000002</v>
      </c>
      <c r="H90" s="93">
        <v>5.9</v>
      </c>
      <c r="I90" s="93">
        <v>5.9</v>
      </c>
      <c r="J90" s="93">
        <v>1273.8900000000001</v>
      </c>
      <c r="K90" s="93">
        <v>136.05000000000001</v>
      </c>
      <c r="L90" s="93" t="s">
        <v>80</v>
      </c>
      <c r="M90" s="101">
        <v>8</v>
      </c>
      <c r="N90" s="101">
        <v>0</v>
      </c>
      <c r="O90" s="101">
        <v>9.2264550790620713E+18</v>
      </c>
    </row>
    <row r="91" spans="4:15" ht="15" customHeight="1">
      <c r="D91" s="99" t="b">
        <v>0</v>
      </c>
      <c r="E91" s="94">
        <v>17.899999999999999</v>
      </c>
      <c r="F91" s="92">
        <v>3.7589999999999999</v>
      </c>
      <c r="G91" s="92">
        <v>5.1909999999999989</v>
      </c>
      <c r="H91" s="93">
        <v>16.468</v>
      </c>
      <c r="I91" s="93">
        <v>16.826000000000001</v>
      </c>
      <c r="J91" s="93">
        <v>1160.1300000000001</v>
      </c>
      <c r="K91" s="93">
        <v>144.18</v>
      </c>
      <c r="L91" s="93" t="s">
        <v>81</v>
      </c>
      <c r="M91" s="101">
        <v>9</v>
      </c>
      <c r="N91" s="101">
        <v>0</v>
      </c>
      <c r="O91" s="101">
        <v>7.3395090620845056E+18</v>
      </c>
    </row>
    <row r="92" spans="4:15" ht="15" customHeight="1">
      <c r="D92" s="99" t="b">
        <v>0</v>
      </c>
      <c r="E92" s="94">
        <v>15.6</v>
      </c>
      <c r="F92" s="92">
        <v>2.964</v>
      </c>
      <c r="G92" s="92">
        <v>3.9</v>
      </c>
      <c r="H92" s="93">
        <v>14.82</v>
      </c>
      <c r="I92" s="93">
        <v>14.507999999999999</v>
      </c>
      <c r="J92" s="93">
        <v>913.15</v>
      </c>
      <c r="K92" s="93">
        <v>142.80000000000001</v>
      </c>
      <c r="L92" s="93" t="s">
        <v>82</v>
      </c>
      <c r="M92" s="101">
        <v>10</v>
      </c>
      <c r="N92" s="101">
        <v>0</v>
      </c>
      <c r="O92" s="101">
        <v>1.3254140137568328E+19</v>
      </c>
    </row>
    <row r="93" spans="4:15" ht="15" customHeight="1">
      <c r="D93" s="99" t="b">
        <v>0</v>
      </c>
      <c r="E93" s="94">
        <v>17.5</v>
      </c>
      <c r="F93" s="92">
        <v>9.4499999999999993</v>
      </c>
      <c r="G93" s="92">
        <v>7.1749999999999998</v>
      </c>
      <c r="H93" s="93">
        <v>14.35</v>
      </c>
      <c r="I93" s="93">
        <v>15.225</v>
      </c>
      <c r="J93" s="93">
        <v>861.18</v>
      </c>
      <c r="K93" s="93">
        <v>120.92</v>
      </c>
      <c r="L93" s="93" t="s">
        <v>83</v>
      </c>
      <c r="M93" s="101">
        <v>11</v>
      </c>
      <c r="N93" s="101">
        <v>0</v>
      </c>
      <c r="O93" s="101">
        <v>1.5366426124011796E+19</v>
      </c>
    </row>
    <row r="94" spans="4:15" ht="15" customHeight="1">
      <c r="D94" s="99" t="b">
        <v>0</v>
      </c>
      <c r="E94" s="94">
        <v>15.3</v>
      </c>
      <c r="F94" s="92">
        <v>5.5080000000000009</v>
      </c>
      <c r="G94" s="92">
        <v>4.4370000000000003</v>
      </c>
      <c r="H94" s="93">
        <v>13.005000000000001</v>
      </c>
      <c r="I94" s="93">
        <v>14.994000000000002</v>
      </c>
      <c r="J94" s="93">
        <v>641.96</v>
      </c>
      <c r="K94" s="93">
        <v>82.75</v>
      </c>
      <c r="L94" s="93" t="s">
        <v>84</v>
      </c>
      <c r="M94" s="101">
        <v>12</v>
      </c>
      <c r="N94" s="101">
        <v>0</v>
      </c>
      <c r="O94" s="101">
        <v>3.4239789219678623E+18</v>
      </c>
    </row>
    <row r="95" spans="4:15" ht="15" customHeight="1">
      <c r="D95" s="99" t="b">
        <v>0</v>
      </c>
      <c r="E95" s="94">
        <v>12.8</v>
      </c>
      <c r="F95" s="92">
        <v>4.6080000000000005</v>
      </c>
      <c r="G95" s="92">
        <v>4.3520000000000003</v>
      </c>
      <c r="H95" s="93">
        <v>12.032</v>
      </c>
      <c r="I95" s="93">
        <v>12.288000000000002</v>
      </c>
      <c r="J95" s="93">
        <v>803.11</v>
      </c>
      <c r="K95" s="93">
        <v>139.15</v>
      </c>
      <c r="L95" s="93" t="s">
        <v>85</v>
      </c>
      <c r="M95" s="101">
        <v>13</v>
      </c>
      <c r="N95" s="101">
        <v>0</v>
      </c>
      <c r="O95" s="101">
        <v>1.1155552824622021E+19</v>
      </c>
    </row>
    <row r="96" spans="4:15" ht="15" customHeight="1">
      <c r="D96" s="99" t="b">
        <v>0</v>
      </c>
      <c r="E96" s="94">
        <v>14.5</v>
      </c>
      <c r="F96" s="92">
        <v>3.625</v>
      </c>
      <c r="G96" s="92">
        <v>4.2050000000000001</v>
      </c>
      <c r="H96" s="93">
        <v>13.775</v>
      </c>
      <c r="I96" s="93">
        <v>13.775</v>
      </c>
      <c r="J96" s="93">
        <v>710.46</v>
      </c>
      <c r="K96" s="93">
        <v>108.92</v>
      </c>
      <c r="L96" s="93" t="s">
        <v>86</v>
      </c>
      <c r="M96" s="101">
        <v>14</v>
      </c>
      <c r="N96" s="101">
        <v>0</v>
      </c>
      <c r="O96" s="101">
        <v>1.3308621350227706E+19</v>
      </c>
    </row>
    <row r="97" spans="4:15" ht="15" customHeight="1">
      <c r="D97" s="99" t="b">
        <v>0</v>
      </c>
      <c r="E97" s="94">
        <v>15.7</v>
      </c>
      <c r="F97" s="92">
        <v>2.669</v>
      </c>
      <c r="G97" s="92">
        <v>3.9249999999999998</v>
      </c>
      <c r="H97" s="93">
        <v>15.228999999999999</v>
      </c>
      <c r="I97" s="93">
        <v>13.659000000000001</v>
      </c>
      <c r="J97" s="93">
        <v>649.05999999999995</v>
      </c>
      <c r="K97" s="93">
        <v>114.47</v>
      </c>
      <c r="L97" s="93" t="s">
        <v>87</v>
      </c>
      <c r="M97" s="101">
        <v>15</v>
      </c>
      <c r="N97" s="101">
        <v>0</v>
      </c>
      <c r="O97" s="101">
        <v>3.8393311487363871E+18</v>
      </c>
    </row>
    <row r="98" spans="4:15" ht="15" customHeight="1">
      <c r="D98" s="99" t="b">
        <v>0</v>
      </c>
      <c r="E98" s="94">
        <v>17.8</v>
      </c>
      <c r="F98" s="92">
        <v>4.806</v>
      </c>
      <c r="G98" s="92">
        <v>4.2720000000000002</v>
      </c>
      <c r="H98" s="93">
        <v>13.706</v>
      </c>
      <c r="I98" s="93">
        <v>15.13</v>
      </c>
      <c r="J98" s="93">
        <v>780.45</v>
      </c>
      <c r="K98" s="93">
        <v>133.80000000000001</v>
      </c>
      <c r="L98" s="93" t="s">
        <v>88</v>
      </c>
      <c r="M98" s="101">
        <v>16</v>
      </c>
      <c r="N98" s="101">
        <v>0</v>
      </c>
      <c r="O98" s="101">
        <v>8.7592784851903939E+18</v>
      </c>
    </row>
    <row r="99" spans="4:15" ht="15" customHeight="1">
      <c r="D99" s="99" t="b">
        <v>0</v>
      </c>
      <c r="E99" s="94">
        <v>21.4</v>
      </c>
      <c r="F99" s="92">
        <v>4.0659999999999998</v>
      </c>
      <c r="G99" s="92">
        <v>4.9219999999999997</v>
      </c>
      <c r="H99" s="93">
        <v>16.691999999999997</v>
      </c>
      <c r="I99" s="93">
        <v>16.263999999999999</v>
      </c>
      <c r="J99" s="93">
        <v>872.51</v>
      </c>
      <c r="K99" s="93">
        <v>137.13</v>
      </c>
      <c r="L99" s="93" t="s">
        <v>89</v>
      </c>
      <c r="M99" s="101">
        <v>17</v>
      </c>
      <c r="N99" s="101">
        <v>0</v>
      </c>
      <c r="O99" s="101">
        <v>9.9602869643228262E+18</v>
      </c>
    </row>
    <row r="100" spans="4:15" ht="15" customHeight="1">
      <c r="D100" s="99" t="b">
        <v>0</v>
      </c>
      <c r="E100" s="94">
        <v>20.5</v>
      </c>
      <c r="F100" s="92">
        <v>7.1749999999999998</v>
      </c>
      <c r="G100" s="92">
        <v>6.7649999999999997</v>
      </c>
      <c r="H100" s="93">
        <v>14.965</v>
      </c>
      <c r="I100" s="93">
        <v>20.09</v>
      </c>
      <c r="J100" s="93">
        <v>1281.55</v>
      </c>
      <c r="K100" s="93">
        <v>194.78</v>
      </c>
      <c r="L100" s="93" t="s">
        <v>90</v>
      </c>
      <c r="M100" s="101">
        <v>18</v>
      </c>
      <c r="N100" s="101">
        <v>0</v>
      </c>
      <c r="O100" s="101">
        <v>3.470374600425002E+18</v>
      </c>
    </row>
    <row r="101" spans="4:15" ht="15" customHeight="1">
      <c r="D101" s="99" t="b">
        <v>0</v>
      </c>
      <c r="E101" s="94">
        <v>15.1</v>
      </c>
      <c r="F101" s="92">
        <v>5.7380000000000004</v>
      </c>
      <c r="G101" s="92">
        <v>4.53</v>
      </c>
      <c r="H101" s="93">
        <v>13.137</v>
      </c>
      <c r="I101" s="93">
        <v>12.683999999999999</v>
      </c>
      <c r="J101" s="93">
        <v>661.88</v>
      </c>
      <c r="K101" s="93">
        <v>96.57</v>
      </c>
      <c r="L101" s="93" t="s">
        <v>91</v>
      </c>
      <c r="M101" s="101">
        <v>19</v>
      </c>
      <c r="N101" s="101">
        <v>0</v>
      </c>
      <c r="O101" s="101">
        <v>1.577261842682003E+19</v>
      </c>
    </row>
    <row r="102" spans="4:15" ht="15" customHeight="1">
      <c r="D102" s="99" t="b">
        <v>0</v>
      </c>
      <c r="E102" s="94">
        <v>12.5</v>
      </c>
      <c r="F102" s="92">
        <v>4.25</v>
      </c>
      <c r="G102" s="92">
        <v>4</v>
      </c>
      <c r="H102" s="93">
        <v>8.875</v>
      </c>
      <c r="I102" s="93">
        <v>12.375</v>
      </c>
      <c r="J102" s="93">
        <v>1048.78</v>
      </c>
      <c r="K102" s="93">
        <v>192.7</v>
      </c>
      <c r="L102" s="93" t="s">
        <v>92</v>
      </c>
      <c r="M102" s="101">
        <v>20</v>
      </c>
      <c r="N102" s="101">
        <v>0</v>
      </c>
      <c r="O102" s="101">
        <v>4.0196847963083131E+18</v>
      </c>
    </row>
    <row r="103" spans="4:15" ht="15" customHeight="1">
      <c r="D103" s="99" t="b">
        <v>0</v>
      </c>
      <c r="E103" s="94">
        <v>8.1999999999999993</v>
      </c>
      <c r="F103" s="92">
        <v>1.8859999999999999</v>
      </c>
      <c r="G103" s="92">
        <v>2.87</v>
      </c>
      <c r="H103" s="93">
        <v>7.1340000000000003</v>
      </c>
      <c r="I103" s="93">
        <v>6.56</v>
      </c>
      <c r="J103" s="93">
        <v>1011.14</v>
      </c>
      <c r="K103" s="93">
        <v>135.63</v>
      </c>
      <c r="L103" s="93" t="s">
        <v>93</v>
      </c>
      <c r="M103" s="101">
        <v>21</v>
      </c>
      <c r="N103" s="101">
        <v>0</v>
      </c>
      <c r="O103" s="101">
        <v>3.3716871247513718E+18</v>
      </c>
    </row>
    <row r="104" spans="4:15" ht="15" customHeight="1">
      <c r="D104" s="99" t="b">
        <v>0</v>
      </c>
      <c r="E104" s="94">
        <v>14.1</v>
      </c>
      <c r="F104" s="92">
        <v>3.3839999999999999</v>
      </c>
      <c r="G104" s="92">
        <v>3.948</v>
      </c>
      <c r="H104" s="93">
        <v>13.395</v>
      </c>
      <c r="I104" s="93">
        <v>10.856999999999999</v>
      </c>
      <c r="J104" s="93">
        <v>1110.6099999999999</v>
      </c>
      <c r="K104" s="93">
        <v>152.26</v>
      </c>
      <c r="L104" s="93" t="s">
        <v>94</v>
      </c>
      <c r="M104" s="101">
        <v>22</v>
      </c>
      <c r="N104" s="101">
        <v>0</v>
      </c>
      <c r="O104" s="101">
        <v>6.552962056638464E+18</v>
      </c>
    </row>
    <row r="105" spans="4:15" ht="15" customHeight="1">
      <c r="D105" s="99" t="b">
        <v>0</v>
      </c>
      <c r="E105" s="94">
        <v>9.6</v>
      </c>
      <c r="F105" s="92">
        <v>2.2080000000000002</v>
      </c>
      <c r="G105" s="92">
        <v>2.7839999999999998</v>
      </c>
      <c r="H105" s="93">
        <v>8.4480000000000004</v>
      </c>
      <c r="I105" s="93">
        <v>8.4480000000000004</v>
      </c>
      <c r="J105" s="93">
        <v>777.18</v>
      </c>
      <c r="K105" s="93">
        <v>133.35</v>
      </c>
      <c r="L105" s="93" t="s">
        <v>95</v>
      </c>
      <c r="M105" s="101">
        <v>23</v>
      </c>
      <c r="N105" s="101">
        <v>0</v>
      </c>
      <c r="O105" s="101">
        <v>1.5086975572505743E+19</v>
      </c>
    </row>
    <row r="106" spans="4:15" ht="15" customHeight="1">
      <c r="D106" s="99" t="b">
        <v>0</v>
      </c>
      <c r="E106" s="94">
        <v>17.600000000000001</v>
      </c>
      <c r="F106" s="92">
        <v>2.64</v>
      </c>
      <c r="G106" s="92">
        <v>5.4560000000000004</v>
      </c>
      <c r="H106" s="93">
        <v>1.76</v>
      </c>
      <c r="I106" s="93">
        <v>17.600000000000001</v>
      </c>
      <c r="J106" s="93">
        <v>896.07</v>
      </c>
      <c r="K106" s="93">
        <v>155.77000000000001</v>
      </c>
      <c r="L106" s="93" t="s">
        <v>96</v>
      </c>
      <c r="M106" s="101">
        <v>24</v>
      </c>
      <c r="N106" s="101">
        <v>0</v>
      </c>
      <c r="O106" s="101">
        <v>1.1525160601263012E+19</v>
      </c>
    </row>
    <row r="107" spans="4:15" ht="15" customHeight="1">
      <c r="D107" s="99" t="b">
        <v>0</v>
      </c>
      <c r="E107" s="94">
        <v>16.100000000000001</v>
      </c>
      <c r="F107" s="92">
        <v>6.9230000000000009</v>
      </c>
      <c r="G107" s="92">
        <v>5.4740000000000011</v>
      </c>
      <c r="H107" s="93">
        <v>14.811999999999999</v>
      </c>
      <c r="I107" s="93">
        <v>13.523999999999999</v>
      </c>
      <c r="J107" s="93">
        <v>790.32</v>
      </c>
      <c r="K107" s="93">
        <v>144.44999999999999</v>
      </c>
      <c r="L107" s="93" t="s">
        <v>97</v>
      </c>
      <c r="M107" s="101">
        <v>25</v>
      </c>
      <c r="N107" s="101">
        <v>0</v>
      </c>
      <c r="O107" s="101">
        <v>1.7088892571412914E+19</v>
      </c>
    </row>
    <row r="108" spans="4:15" ht="15" customHeight="1">
      <c r="D108" s="99" t="b">
        <v>0</v>
      </c>
      <c r="E108" s="94">
        <v>21.4</v>
      </c>
      <c r="F108" s="92">
        <v>8.3459999999999983</v>
      </c>
      <c r="G108" s="92">
        <v>9.4160000000000004</v>
      </c>
      <c r="H108" s="93">
        <v>17.975999999999999</v>
      </c>
      <c r="I108" s="93">
        <v>18.190000000000001</v>
      </c>
      <c r="J108" s="93">
        <v>816.21</v>
      </c>
      <c r="K108" s="93">
        <v>85.15</v>
      </c>
      <c r="L108" s="93" t="s">
        <v>98</v>
      </c>
      <c r="M108" s="101">
        <v>26</v>
      </c>
      <c r="N108" s="101">
        <v>0</v>
      </c>
      <c r="O108" s="101">
        <v>1.5773426638237372E+19</v>
      </c>
    </row>
    <row r="109" spans="4:15" ht="15" customHeight="1">
      <c r="D109" s="99" t="b">
        <v>0</v>
      </c>
      <c r="E109" s="94">
        <v>14.9</v>
      </c>
      <c r="F109" s="92">
        <v>1.9370000000000005</v>
      </c>
      <c r="G109" s="92">
        <v>5.2149999999999999</v>
      </c>
      <c r="H109" s="93">
        <v>13.856999999999999</v>
      </c>
      <c r="I109" s="93">
        <v>13.41</v>
      </c>
      <c r="J109" s="93">
        <v>732.28</v>
      </c>
      <c r="K109" s="93">
        <v>114.82</v>
      </c>
      <c r="L109" s="93" t="s">
        <v>99</v>
      </c>
      <c r="M109" s="101">
        <v>27</v>
      </c>
      <c r="N109" s="101">
        <v>0</v>
      </c>
      <c r="O109" s="101">
        <v>1.3109816842341057E+19</v>
      </c>
    </row>
    <row r="110" spans="4:15" ht="15" customHeight="1">
      <c r="D110" s="99" t="b">
        <v>0</v>
      </c>
      <c r="E110" s="94">
        <v>14.7</v>
      </c>
      <c r="F110" s="92">
        <v>5.4390000000000001</v>
      </c>
      <c r="G110" s="92">
        <v>4.7039999999999997</v>
      </c>
      <c r="H110" s="93">
        <v>13.965</v>
      </c>
      <c r="I110" s="93">
        <v>14.553000000000001</v>
      </c>
      <c r="J110" s="93">
        <v>1029.8699999999999</v>
      </c>
      <c r="K110" s="93">
        <v>138.71</v>
      </c>
      <c r="L110" s="93" t="s">
        <v>100</v>
      </c>
      <c r="M110" s="101">
        <v>28</v>
      </c>
      <c r="N110" s="101">
        <v>0</v>
      </c>
      <c r="O110" s="101">
        <v>8.9263223022928087E+18</v>
      </c>
    </row>
    <row r="111" spans="4:15" ht="15" customHeight="1">
      <c r="D111" s="99" t="b">
        <v>0</v>
      </c>
      <c r="E111" s="94">
        <v>11.6</v>
      </c>
      <c r="F111" s="92">
        <v>4.0599999999999996</v>
      </c>
      <c r="G111" s="92">
        <v>3.48</v>
      </c>
      <c r="H111" s="93">
        <v>10.092000000000001</v>
      </c>
      <c r="I111" s="93">
        <v>9.6280000000000001</v>
      </c>
      <c r="J111" s="93">
        <v>746.54</v>
      </c>
      <c r="K111" s="93">
        <v>120.21</v>
      </c>
      <c r="L111" s="93" t="s">
        <v>101</v>
      </c>
      <c r="M111" s="101">
        <v>29</v>
      </c>
      <c r="N111" s="101">
        <v>0</v>
      </c>
      <c r="O111" s="101">
        <v>1.56055776982389E+19</v>
      </c>
    </row>
    <row r="112" spans="4:15" ht="15" customHeight="1">
      <c r="D112" s="99" t="b">
        <v>0</v>
      </c>
      <c r="E112" s="94">
        <v>11.2</v>
      </c>
      <c r="F112" s="92">
        <v>1.7919999999999998</v>
      </c>
      <c r="G112" s="92">
        <v>3.1360000000000001</v>
      </c>
      <c r="H112" s="93">
        <v>9.6319999999999997</v>
      </c>
      <c r="I112" s="93">
        <v>8.7359999999999989</v>
      </c>
      <c r="J112" s="93">
        <v>1301.52</v>
      </c>
      <c r="K112" s="93">
        <v>159.85</v>
      </c>
      <c r="L112" s="93" t="s">
        <v>102</v>
      </c>
      <c r="M112" s="101">
        <v>30</v>
      </c>
      <c r="N112" s="101">
        <v>0</v>
      </c>
      <c r="O112" s="101">
        <v>3.4218919125238415E+18</v>
      </c>
    </row>
    <row r="113" spans="4:15" ht="15" customHeight="1">
      <c r="D113" s="99" t="b">
        <v>0</v>
      </c>
      <c r="E113" s="94">
        <v>18.399999999999999</v>
      </c>
      <c r="F113" s="92">
        <v>3.496</v>
      </c>
      <c r="G113" s="92">
        <v>4.968</v>
      </c>
      <c r="H113" s="93">
        <v>12.327999999999999</v>
      </c>
      <c r="I113" s="93">
        <v>18.032</v>
      </c>
      <c r="J113" s="93">
        <v>869.85</v>
      </c>
      <c r="K113" s="93">
        <v>120.75</v>
      </c>
      <c r="L113" s="93" t="s">
        <v>103</v>
      </c>
      <c r="M113" s="101">
        <v>31</v>
      </c>
      <c r="N113" s="101">
        <v>0</v>
      </c>
      <c r="O113" s="101">
        <v>1.624713806916751E+19</v>
      </c>
    </row>
    <row r="114" spans="4:15" ht="15" customHeight="1">
      <c r="D114" s="99" t="b">
        <v>0</v>
      </c>
      <c r="E114" s="94">
        <v>12.3</v>
      </c>
      <c r="F114" s="92">
        <v>3.9359999999999999</v>
      </c>
      <c r="G114" s="92">
        <v>3.5670000000000006</v>
      </c>
      <c r="H114" s="93">
        <v>10.824000000000002</v>
      </c>
      <c r="I114" s="93">
        <v>9.84</v>
      </c>
      <c r="J114" s="93">
        <v>1234.31</v>
      </c>
      <c r="K114" s="93">
        <v>150.01</v>
      </c>
      <c r="L114" s="93" t="s">
        <v>104</v>
      </c>
      <c r="M114" s="101">
        <v>32</v>
      </c>
      <c r="N114" s="101">
        <v>0</v>
      </c>
      <c r="O114" s="101">
        <v>8.1002230800175657E+18</v>
      </c>
    </row>
    <row r="115" spans="4:15" ht="15" customHeight="1">
      <c r="D115" s="99" t="b">
        <v>0</v>
      </c>
      <c r="E115" s="94">
        <v>16.8</v>
      </c>
      <c r="F115" s="92">
        <v>6.5520000000000005</v>
      </c>
      <c r="G115" s="92">
        <v>5.2080000000000011</v>
      </c>
      <c r="H115" s="93">
        <v>15.792</v>
      </c>
      <c r="I115" s="93">
        <v>13.608000000000001</v>
      </c>
      <c r="J115" s="93">
        <v>708.24</v>
      </c>
      <c r="K115" s="93">
        <v>127.82</v>
      </c>
      <c r="L115" s="93" t="s">
        <v>105</v>
      </c>
      <c r="M115" s="101">
        <v>33</v>
      </c>
      <c r="N115" s="101">
        <v>0</v>
      </c>
      <c r="O115" s="101">
        <v>2.3214715655503391E+18</v>
      </c>
    </row>
    <row r="116" spans="4:15" ht="15" customHeight="1">
      <c r="D116" s="99" t="b">
        <v>0</v>
      </c>
      <c r="E116" s="94">
        <v>23.9</v>
      </c>
      <c r="F116" s="92">
        <v>5.496999999999999</v>
      </c>
      <c r="G116" s="92">
        <v>10.038</v>
      </c>
      <c r="H116" s="93">
        <v>23.661000000000001</v>
      </c>
      <c r="I116" s="93">
        <v>20.553999999999998</v>
      </c>
      <c r="J116" s="93">
        <v>688.75</v>
      </c>
      <c r="K116" s="93">
        <v>109.72</v>
      </c>
      <c r="L116" s="93" t="s">
        <v>106</v>
      </c>
      <c r="M116" s="101">
        <v>34</v>
      </c>
      <c r="N116" s="101">
        <v>0</v>
      </c>
      <c r="O116" s="101">
        <v>1.6997849974749694E+19</v>
      </c>
    </row>
    <row r="117" spans="4:15" ht="15" customHeight="1">
      <c r="D117" s="99" t="b">
        <v>0</v>
      </c>
      <c r="E117" s="94">
        <v>14.1</v>
      </c>
      <c r="F117" s="92">
        <v>3.948</v>
      </c>
      <c r="G117" s="92">
        <v>4.7939999999999996</v>
      </c>
      <c r="H117" s="93">
        <v>13.958999999999998</v>
      </c>
      <c r="I117" s="93">
        <v>11.561999999999999</v>
      </c>
      <c r="J117" s="93">
        <v>697.73</v>
      </c>
      <c r="K117" s="93">
        <v>133.52000000000001</v>
      </c>
      <c r="L117" s="93" t="s">
        <v>107</v>
      </c>
      <c r="M117" s="101">
        <v>35</v>
      </c>
      <c r="N117" s="101">
        <v>0</v>
      </c>
      <c r="O117" s="101">
        <v>1.4481800272527096E+19</v>
      </c>
    </row>
    <row r="118" spans="4:15" ht="15" customHeight="1">
      <c r="D118" s="99" t="b">
        <v>0</v>
      </c>
      <c r="E118" s="94">
        <v>19.899999999999999</v>
      </c>
      <c r="F118" s="92">
        <v>6.3679999999999994</v>
      </c>
      <c r="G118" s="92">
        <v>5.770999999999999</v>
      </c>
      <c r="H118" s="93">
        <v>18.308</v>
      </c>
      <c r="I118" s="93">
        <v>18.706</v>
      </c>
      <c r="J118" s="93">
        <v>881.51</v>
      </c>
      <c r="K118" s="93">
        <v>178.86</v>
      </c>
      <c r="L118" s="93" t="s">
        <v>108</v>
      </c>
      <c r="M118" s="101">
        <v>36</v>
      </c>
      <c r="N118" s="101">
        <v>0</v>
      </c>
      <c r="O118" s="101">
        <v>3.057125717689216E+18</v>
      </c>
    </row>
    <row r="119" spans="4:15" ht="15" customHeight="1">
      <c r="D119" s="99" t="b">
        <v>0</v>
      </c>
      <c r="E119" s="94">
        <v>12.8</v>
      </c>
      <c r="F119" s="92">
        <v>4.2240000000000002</v>
      </c>
      <c r="G119" s="92">
        <v>3.3280000000000003</v>
      </c>
      <c r="H119" s="93">
        <v>8.5760000000000005</v>
      </c>
      <c r="I119" s="93">
        <v>11.52</v>
      </c>
      <c r="J119" s="93">
        <v>804.71</v>
      </c>
      <c r="K119" s="93">
        <v>104.61</v>
      </c>
      <c r="L119" s="93" t="s">
        <v>109</v>
      </c>
      <c r="M119" s="101">
        <v>37</v>
      </c>
      <c r="N119" s="101">
        <v>0</v>
      </c>
      <c r="O119" s="101">
        <v>1.7811496128574325E+19</v>
      </c>
    </row>
    <row r="120" spans="4:15" ht="15" customHeight="1">
      <c r="D120" s="99" t="b">
        <v>0</v>
      </c>
      <c r="E120" s="94">
        <v>18.2</v>
      </c>
      <c r="F120" s="92">
        <v>9.1</v>
      </c>
      <c r="G120" s="92">
        <v>5.6420000000000003</v>
      </c>
      <c r="H120" s="93">
        <v>17.471999999999998</v>
      </c>
      <c r="I120" s="93">
        <v>16.015999999999998</v>
      </c>
      <c r="J120" s="93">
        <v>905.99</v>
      </c>
      <c r="K120" s="93">
        <v>153.86000000000001</v>
      </c>
      <c r="L120" s="93" t="s">
        <v>110</v>
      </c>
      <c r="M120" s="101">
        <v>38</v>
      </c>
      <c r="N120" s="101">
        <v>0</v>
      </c>
      <c r="O120" s="101">
        <v>7.5940334320016538E+18</v>
      </c>
    </row>
    <row r="121" spans="4:15" ht="15" customHeight="1">
      <c r="D121" s="99" t="b">
        <v>0</v>
      </c>
      <c r="E121" s="94">
        <v>11.1</v>
      </c>
      <c r="F121" s="92">
        <v>3.774</v>
      </c>
      <c r="G121" s="92">
        <v>4.218</v>
      </c>
      <c r="H121" s="93">
        <v>10.212</v>
      </c>
      <c r="I121" s="93">
        <v>8.7690000000000001</v>
      </c>
      <c r="J121" s="93">
        <v>1148.99</v>
      </c>
      <c r="K121" s="93">
        <v>148.58000000000001</v>
      </c>
      <c r="L121" s="93" t="s">
        <v>111</v>
      </c>
      <c r="M121" s="101">
        <v>39</v>
      </c>
      <c r="N121" s="101">
        <v>0</v>
      </c>
      <c r="O121" s="101">
        <v>1.3826353499460506E+19</v>
      </c>
    </row>
    <row r="122" spans="4:15" ht="15" customHeight="1">
      <c r="D122" s="99" t="b">
        <v>0</v>
      </c>
      <c r="E122" s="94">
        <v>23.9</v>
      </c>
      <c r="F122" s="92">
        <v>9.0820000000000007</v>
      </c>
      <c r="G122" s="92">
        <v>9.7989999999999995</v>
      </c>
      <c r="H122" s="93">
        <v>22.943999999999999</v>
      </c>
      <c r="I122" s="93">
        <v>19.359000000000002</v>
      </c>
      <c r="J122" s="93">
        <v>858.97</v>
      </c>
      <c r="K122" s="93">
        <v>116.29</v>
      </c>
      <c r="L122" s="93" t="s">
        <v>112</v>
      </c>
      <c r="M122" s="101">
        <v>40</v>
      </c>
      <c r="N122" s="101">
        <v>0</v>
      </c>
      <c r="O122" s="101">
        <v>1.7462686048127762E+19</v>
      </c>
    </row>
    <row r="123" spans="4:15" ht="15" customHeight="1">
      <c r="D123" s="99" t="b">
        <v>0</v>
      </c>
      <c r="E123" s="94">
        <v>19.399999999999999</v>
      </c>
      <c r="F123" s="92">
        <v>6.0139999999999993</v>
      </c>
      <c r="G123" s="92">
        <v>6.4019999999999992</v>
      </c>
      <c r="H123" s="93">
        <v>19.012</v>
      </c>
      <c r="I123" s="93">
        <v>16.683999999999997</v>
      </c>
      <c r="J123" s="93">
        <v>669.31</v>
      </c>
      <c r="K123" s="93">
        <v>96.87</v>
      </c>
      <c r="L123" s="93" t="s">
        <v>113</v>
      </c>
      <c r="M123" s="101">
        <v>41</v>
      </c>
      <c r="N123" s="101">
        <v>0</v>
      </c>
      <c r="O123" s="101">
        <v>1.5021367770992562E+19</v>
      </c>
    </row>
    <row r="124" spans="4:15" ht="15" customHeight="1">
      <c r="D124" s="99" t="b">
        <v>0</v>
      </c>
      <c r="E124" s="94">
        <v>19.5</v>
      </c>
      <c r="F124" s="92">
        <v>4.0949999999999998</v>
      </c>
      <c r="G124" s="92">
        <v>5.6550000000000002</v>
      </c>
      <c r="H124" s="93">
        <v>15.99</v>
      </c>
      <c r="I124" s="93">
        <v>15.795</v>
      </c>
      <c r="J124" s="93">
        <v>767.91</v>
      </c>
      <c r="K124" s="93">
        <v>155.57</v>
      </c>
      <c r="L124" s="93" t="s">
        <v>114</v>
      </c>
      <c r="M124" s="101">
        <v>42</v>
      </c>
      <c r="N124" s="101">
        <v>0</v>
      </c>
      <c r="O124" s="101">
        <v>1.3353805550090191E+19</v>
      </c>
    </row>
    <row r="125" spans="4:15" ht="15" customHeight="1">
      <c r="D125" s="99" t="b">
        <v>0</v>
      </c>
      <c r="E125" s="94">
        <v>19.399999999999999</v>
      </c>
      <c r="F125" s="92">
        <v>7.76</v>
      </c>
      <c r="G125" s="92">
        <v>7.371999999999999</v>
      </c>
      <c r="H125" s="93">
        <v>17.654</v>
      </c>
      <c r="I125" s="93">
        <v>16.878</v>
      </c>
      <c r="J125" s="93">
        <v>1004.75</v>
      </c>
      <c r="K125" s="93">
        <v>156.83000000000001</v>
      </c>
      <c r="L125" s="93" t="s">
        <v>115</v>
      </c>
      <c r="M125" s="101">
        <v>43</v>
      </c>
      <c r="N125" s="101">
        <v>0</v>
      </c>
      <c r="O125" s="101">
        <v>8.8678330218432256E+18</v>
      </c>
    </row>
    <row r="126" spans="4:15" ht="15" customHeight="1">
      <c r="D126" s="99" t="b">
        <v>0</v>
      </c>
      <c r="E126" s="94">
        <v>11.3</v>
      </c>
      <c r="F126" s="92">
        <v>4.859</v>
      </c>
      <c r="G126" s="92">
        <v>1.8080000000000001</v>
      </c>
      <c r="H126" s="93">
        <v>9.9440000000000008</v>
      </c>
      <c r="I126" s="93">
        <v>10.848000000000004</v>
      </c>
      <c r="J126" s="93">
        <v>809.38</v>
      </c>
      <c r="K126" s="93">
        <v>109.48</v>
      </c>
      <c r="L126" s="93" t="s">
        <v>116</v>
      </c>
      <c r="M126" s="101">
        <v>44</v>
      </c>
      <c r="N126" s="101">
        <v>0</v>
      </c>
      <c r="O126" s="101">
        <v>1.1716517170708765E+19</v>
      </c>
    </row>
    <row r="127" spans="4:15" ht="15" customHeight="1">
      <c r="D127" s="99" t="b">
        <v>0</v>
      </c>
      <c r="E127" s="94">
        <v>13.6</v>
      </c>
      <c r="F127" s="92">
        <v>4.08</v>
      </c>
      <c r="G127" s="92">
        <v>4.08</v>
      </c>
      <c r="H127" s="93">
        <v>13.055999999999999</v>
      </c>
      <c r="I127" s="93">
        <v>12.92</v>
      </c>
      <c r="J127" s="93">
        <v>716.2</v>
      </c>
      <c r="K127" s="93">
        <v>109.61</v>
      </c>
      <c r="L127" s="93" t="s">
        <v>117</v>
      </c>
      <c r="M127" s="101">
        <v>45</v>
      </c>
      <c r="N127" s="101">
        <v>0</v>
      </c>
      <c r="O127" s="101">
        <v>1.7211618119023102E+19</v>
      </c>
    </row>
    <row r="128" spans="4:15" ht="15" customHeight="1">
      <c r="D128" s="99" t="b">
        <v>0</v>
      </c>
      <c r="E128" s="94">
        <v>12.7</v>
      </c>
      <c r="F128" s="92">
        <v>2.4129999999999998</v>
      </c>
      <c r="G128" s="92">
        <v>3.4289999999999998</v>
      </c>
      <c r="H128" s="93">
        <v>11.048999999999999</v>
      </c>
      <c r="I128" s="93">
        <v>11.175999999999998</v>
      </c>
      <c r="J128" s="93">
        <v>768.95</v>
      </c>
      <c r="K128" s="93">
        <v>153.72</v>
      </c>
      <c r="L128" s="93" t="s">
        <v>118</v>
      </c>
      <c r="M128" s="101">
        <v>46</v>
      </c>
      <c r="N128" s="101">
        <v>0</v>
      </c>
      <c r="O128" s="101">
        <v>1.4830999920337308E+19</v>
      </c>
    </row>
    <row r="129" spans="4:15" ht="15" customHeight="1">
      <c r="D129" s="99" t="b">
        <v>0</v>
      </c>
      <c r="E129" s="94">
        <v>10.6</v>
      </c>
      <c r="F129" s="92">
        <v>4.452</v>
      </c>
      <c r="G129" s="92">
        <v>3.4980000000000002</v>
      </c>
      <c r="H129" s="93">
        <v>8.6920000000000002</v>
      </c>
      <c r="I129" s="93">
        <v>9.1159999999999997</v>
      </c>
      <c r="J129" s="93">
        <v>890.03</v>
      </c>
      <c r="K129" s="93">
        <v>111.62</v>
      </c>
      <c r="L129" s="93" t="s">
        <v>119</v>
      </c>
      <c r="M129" s="101">
        <v>47</v>
      </c>
      <c r="N129" s="101">
        <v>0</v>
      </c>
      <c r="O129" s="101">
        <v>6.9066360779343657E+18</v>
      </c>
    </row>
    <row r="130" spans="4:15" ht="15" customHeight="1">
      <c r="D130" s="99" t="b">
        <v>0</v>
      </c>
      <c r="E130" s="94">
        <v>23.8</v>
      </c>
      <c r="F130" s="92">
        <v>8.0920000000000005</v>
      </c>
      <c r="G130" s="92">
        <v>6.6639999999999997</v>
      </c>
      <c r="H130" s="93">
        <v>23.085999999999999</v>
      </c>
      <c r="I130" s="93">
        <v>20.706</v>
      </c>
      <c r="J130" s="93">
        <v>992.61</v>
      </c>
      <c r="K130" s="93">
        <v>152.56</v>
      </c>
      <c r="L130" s="93" t="s">
        <v>120</v>
      </c>
      <c r="M130" s="101">
        <v>48</v>
      </c>
      <c r="N130" s="101">
        <v>0</v>
      </c>
      <c r="O130" s="101">
        <v>1.6806068785352362E+19</v>
      </c>
    </row>
    <row r="131" spans="4:15" ht="15" customHeight="1">
      <c r="D131" s="99" t="b">
        <v>0</v>
      </c>
      <c r="E131" s="94">
        <v>13.8</v>
      </c>
      <c r="F131" s="92">
        <v>4.968</v>
      </c>
      <c r="G131" s="92">
        <v>4.5540000000000003</v>
      </c>
      <c r="H131" s="93">
        <v>5.3820000000000006</v>
      </c>
      <c r="I131" s="93">
        <v>11.592000000000001</v>
      </c>
      <c r="J131" s="93">
        <v>670.31</v>
      </c>
      <c r="K131" s="93">
        <v>106.62</v>
      </c>
      <c r="L131" s="93" t="s">
        <v>121</v>
      </c>
      <c r="M131" s="101">
        <v>49</v>
      </c>
      <c r="N131" s="101">
        <v>0</v>
      </c>
      <c r="O131" s="101">
        <v>1.7211031413456316E+19</v>
      </c>
    </row>
    <row r="132" spans="4:15" ht="15" customHeight="1">
      <c r="D132" s="100" t="b">
        <v>0</v>
      </c>
      <c r="E132" s="95">
        <v>17.399999999999999</v>
      </c>
      <c r="F132" s="96">
        <v>7.3079999999999998</v>
      </c>
      <c r="G132" s="96">
        <v>5.5679999999999996</v>
      </c>
      <c r="H132" s="93">
        <v>14.093999999999999</v>
      </c>
      <c r="I132" s="93">
        <v>15.659999999999998</v>
      </c>
      <c r="J132" s="93">
        <v>791.14</v>
      </c>
      <c r="K132" s="93">
        <v>122.04</v>
      </c>
      <c r="L132" s="93" t="s">
        <v>122</v>
      </c>
      <c r="M132" s="101">
        <v>50</v>
      </c>
      <c r="N132" s="101">
        <v>0</v>
      </c>
      <c r="O132" s="101">
        <v>1.5626037566657184E+19</v>
      </c>
    </row>
  </sheetData>
  <mergeCells count="1">
    <mergeCell ref="E15:F15"/>
  </mergeCells>
  <phoneticPr fontId="23" type="noConversion"/>
  <conditionalFormatting sqref="E25:G32 E38:G42 E48:G56">
    <cfRule type="cellIs" dxfId="102" priority="22" operator="equal">
      <formula>0</formula>
    </cfRule>
  </conditionalFormatting>
  <conditionalFormatting sqref="D82:D132">
    <cfRule type="cellIs" dxfId="101" priority="21" operator="notEqual">
      <formula>FALSE</formula>
    </cfRule>
  </conditionalFormatting>
  <conditionalFormatting sqref="E9:L9">
    <cfRule type="cellIs" dxfId="100" priority="15" operator="notEqual">
      <formula>"Note"</formula>
    </cfRule>
  </conditionalFormatting>
  <conditionalFormatting sqref="E26:G28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81 D60:D67">
    <cfRule type="duplicateValues" dxfId="99" priority="16"/>
  </conditionalFormatting>
  <conditionalFormatting sqref="E7:L7">
    <cfRule type="cellIs" dxfId="98" priority="14" operator="notEqual">
      <formula>"Definition"</formula>
    </cfRule>
  </conditionalFormatting>
  <conditionalFormatting sqref="E15">
    <cfRule type="cellIs" dxfId="97" priority="13" operator="notEqual">
      <formula>"Description"</formula>
    </cfRule>
  </conditionalFormatting>
  <conditionalFormatting sqref="E60:G67">
    <cfRule type="cellIs" dxfId="96" priority="19" operator="notEqual">
      <formula>FALSE</formula>
    </cfRule>
  </conditionalFormatting>
  <conditionalFormatting sqref="E20:E21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5:L32 H38:L42 H48:L56">
    <cfRule type="cellIs" dxfId="78" priority="3" operator="equal">
      <formula>0</formula>
    </cfRule>
  </conditionalFormatting>
  <conditionalFormatting sqref="H26:L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60:L67">
    <cfRule type="cellIs" dxfId="77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/>
  <dimension ref="B1:Q60"/>
  <sheetViews>
    <sheetView zoomScale="85" zoomScaleNormal="85" workbookViewId="0">
      <selection activeCell="D9" sqref="D9"/>
    </sheetView>
  </sheetViews>
  <sheetFormatPr defaultRowHeight="15" customHeight="1"/>
  <cols>
    <col min="1" max="2" width="2.77734375" style="12" customWidth="1"/>
    <col min="3" max="3" width="10.77734375" style="12" bestFit="1" customWidth="1"/>
    <col min="4" max="4" width="14.109375" style="12" bestFit="1" customWidth="1"/>
    <col min="5" max="5" width="12.6640625" style="12" bestFit="1" customWidth="1"/>
    <col min="6" max="6" width="14.33203125" style="12" bestFit="1" customWidth="1"/>
    <col min="7" max="7" width="14.109375" style="12" bestFit="1" customWidth="1"/>
    <col min="8" max="8" width="14.33203125" style="12" bestFit="1" customWidth="1"/>
    <col min="9" max="9" width="14" style="12" bestFit="1" customWidth="1"/>
    <col min="10" max="10" width="12.44140625" style="12" bestFit="1" customWidth="1"/>
    <col min="11" max="13" width="13.77734375" style="12" customWidth="1"/>
    <col min="14" max="16" width="15.44140625" style="12" customWidth="1"/>
    <col min="17" max="16384" width="8.88671875" style="12"/>
  </cols>
  <sheetData>
    <row r="1" spans="2:17" ht="14.4">
      <c r="C1" s="13"/>
      <c r="D1" s="14"/>
    </row>
    <row r="2" spans="2:17" ht="36.6">
      <c r="C2" s="15" t="str">
        <f>Name</f>
        <v>Car Crashes</v>
      </c>
      <c r="P2" s="11"/>
    </row>
    <row r="3" spans="2:17" ht="10.050000000000001" customHeight="1">
      <c r="D3" s="16"/>
    </row>
    <row r="4" spans="2:17" ht="30" customHeight="1"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</row>
    <row r="7" spans="2:17" ht="15" customHeight="1">
      <c r="C7" s="17"/>
    </row>
    <row r="8" spans="2:17" ht="36.6" customHeight="1">
      <c r="C8" s="104" t="s">
        <v>60</v>
      </c>
      <c r="D8" s="103" t="s">
        <v>61</v>
      </c>
      <c r="E8" s="103" t="s">
        <v>62</v>
      </c>
      <c r="F8" s="103" t="s">
        <v>63</v>
      </c>
      <c r="G8" s="103" t="s">
        <v>64</v>
      </c>
      <c r="H8" s="103" t="s">
        <v>65</v>
      </c>
      <c r="I8" s="103" t="s">
        <v>66</v>
      </c>
      <c r="J8" s="103" t="s">
        <v>67</v>
      </c>
      <c r="K8" s="105" t="s">
        <v>49</v>
      </c>
      <c r="L8" s="105" t="s">
        <v>50</v>
      </c>
      <c r="M8" s="105" t="s">
        <v>54</v>
      </c>
    </row>
    <row r="9" spans="2:17" ht="15" customHeight="1">
      <c r="C9" s="102">
        <v>5.9</v>
      </c>
      <c r="D9" s="55"/>
      <c r="E9" s="55"/>
      <c r="F9" s="55"/>
      <c r="G9" s="55"/>
      <c r="H9" s="55"/>
      <c r="I9" s="55"/>
      <c r="J9" s="55"/>
      <c r="K9" s="106">
        <v>0</v>
      </c>
      <c r="L9" s="107"/>
      <c r="M9" s="108">
        <v>1.9607843137254902E-2</v>
      </c>
    </row>
    <row r="10" spans="2:17" ht="15" customHeight="1">
      <c r="C10" s="102">
        <v>8.1999999999999993</v>
      </c>
      <c r="D10" s="55"/>
      <c r="E10" s="55"/>
      <c r="F10" s="55"/>
      <c r="G10" s="55"/>
      <c r="H10" s="55"/>
      <c r="I10" s="55"/>
      <c r="J10" s="55"/>
      <c r="K10" s="106">
        <v>0</v>
      </c>
      <c r="L10" s="107"/>
      <c r="M10" s="108">
        <v>1.9607843137254902E-2</v>
      </c>
    </row>
    <row r="11" spans="2:17" ht="15" customHeight="1">
      <c r="C11" s="102">
        <v>9.6</v>
      </c>
      <c r="D11" s="55"/>
      <c r="E11" s="55"/>
      <c r="F11" s="55"/>
      <c r="G11" s="55"/>
      <c r="H11" s="55"/>
      <c r="I11" s="55"/>
      <c r="J11" s="55"/>
      <c r="K11" s="106">
        <v>0</v>
      </c>
      <c r="L11" s="107"/>
      <c r="M11" s="108">
        <v>1.9607843137254902E-2</v>
      </c>
    </row>
    <row r="12" spans="2:17" ht="15" customHeight="1">
      <c r="C12" s="102">
        <v>10.6</v>
      </c>
      <c r="D12" s="55"/>
      <c r="E12" s="55"/>
      <c r="F12" s="55"/>
      <c r="G12" s="55"/>
      <c r="H12" s="55"/>
      <c r="I12" s="55"/>
      <c r="J12" s="55"/>
      <c r="K12" s="106">
        <v>0</v>
      </c>
      <c r="L12" s="107"/>
      <c r="M12" s="108">
        <v>1.9607843137254902E-2</v>
      </c>
    </row>
    <row r="13" spans="2:17" ht="15" customHeight="1">
      <c r="C13" s="102">
        <v>10.8</v>
      </c>
      <c r="D13" s="55"/>
      <c r="E13" s="55"/>
      <c r="F13" s="55"/>
      <c r="G13" s="55"/>
      <c r="H13" s="55"/>
      <c r="I13" s="55"/>
      <c r="J13" s="55"/>
      <c r="K13" s="106">
        <v>0</v>
      </c>
      <c r="L13" s="107"/>
      <c r="M13" s="108">
        <v>1.9607843137254902E-2</v>
      </c>
    </row>
    <row r="14" spans="2:17" ht="15" customHeight="1">
      <c r="C14" s="102">
        <v>11.1</v>
      </c>
      <c r="D14" s="55"/>
      <c r="E14" s="55"/>
      <c r="F14" s="55"/>
      <c r="G14" s="55"/>
      <c r="H14" s="55"/>
      <c r="I14" s="55"/>
      <c r="J14" s="55"/>
      <c r="K14" s="106">
        <v>0</v>
      </c>
      <c r="L14" s="107"/>
      <c r="M14" s="108">
        <v>1.9607843137254902E-2</v>
      </c>
    </row>
    <row r="15" spans="2:17" ht="15" customHeight="1">
      <c r="C15" s="102">
        <v>11.2</v>
      </c>
      <c r="D15" s="55"/>
      <c r="E15" s="55"/>
      <c r="F15" s="55"/>
      <c r="G15" s="55"/>
      <c r="H15" s="55"/>
      <c r="I15" s="55"/>
      <c r="J15" s="55"/>
      <c r="K15" s="106">
        <v>0</v>
      </c>
      <c r="L15" s="107"/>
      <c r="M15" s="108">
        <v>1.9607843137254902E-2</v>
      </c>
    </row>
    <row r="16" spans="2:17" ht="15" customHeight="1">
      <c r="C16" s="102">
        <v>11.3</v>
      </c>
      <c r="D16" s="55"/>
      <c r="E16" s="55"/>
      <c r="F16" s="55"/>
      <c r="G16" s="55"/>
      <c r="H16" s="55"/>
      <c r="I16" s="55"/>
      <c r="J16" s="55"/>
      <c r="K16" s="106">
        <v>0</v>
      </c>
      <c r="L16" s="107"/>
      <c r="M16" s="108">
        <v>1.9607843137254902E-2</v>
      </c>
    </row>
    <row r="17" spans="3:13" ht="15" customHeight="1">
      <c r="C17" s="102">
        <v>11.6</v>
      </c>
      <c r="D17" s="55"/>
      <c r="E17" s="55"/>
      <c r="F17" s="55"/>
      <c r="G17" s="55"/>
      <c r="H17" s="55"/>
      <c r="I17" s="55"/>
      <c r="J17" s="55"/>
      <c r="K17" s="106">
        <v>0</v>
      </c>
      <c r="L17" s="107"/>
      <c r="M17" s="108">
        <v>1.9607843137254902E-2</v>
      </c>
    </row>
    <row r="18" spans="3:13" ht="15" customHeight="1">
      <c r="C18" s="102">
        <v>12</v>
      </c>
      <c r="D18" s="55"/>
      <c r="E18" s="55"/>
      <c r="F18" s="55"/>
      <c r="G18" s="55"/>
      <c r="H18" s="55"/>
      <c r="I18" s="55"/>
      <c r="J18" s="55"/>
      <c r="K18" s="106">
        <v>0</v>
      </c>
      <c r="L18" s="107"/>
      <c r="M18" s="108">
        <v>1.9607843137254902E-2</v>
      </c>
    </row>
    <row r="19" spans="3:13" ht="15" customHeight="1">
      <c r="C19" s="102">
        <v>12.3</v>
      </c>
      <c r="D19" s="55"/>
      <c r="E19" s="55"/>
      <c r="F19" s="55"/>
      <c r="G19" s="55"/>
      <c r="H19" s="55"/>
      <c r="I19" s="55"/>
      <c r="J19" s="55"/>
      <c r="K19" s="106">
        <v>0</v>
      </c>
      <c r="L19" s="107"/>
      <c r="M19" s="108">
        <v>1.9607843137254902E-2</v>
      </c>
    </row>
    <row r="20" spans="3:13" ht="15" customHeight="1">
      <c r="C20" s="102">
        <v>12.5</v>
      </c>
      <c r="D20" s="55"/>
      <c r="E20" s="55"/>
      <c r="F20" s="55"/>
      <c r="G20" s="55"/>
      <c r="H20" s="55"/>
      <c r="I20" s="55"/>
      <c r="J20" s="55"/>
      <c r="K20" s="106">
        <v>0</v>
      </c>
      <c r="L20" s="107"/>
      <c r="M20" s="108">
        <v>1.9607843137254902E-2</v>
      </c>
    </row>
    <row r="21" spans="3:13" ht="15" customHeight="1">
      <c r="C21" s="102">
        <v>12.7</v>
      </c>
      <c r="D21" s="55"/>
      <c r="E21" s="55"/>
      <c r="F21" s="55"/>
      <c r="G21" s="55"/>
      <c r="H21" s="55"/>
      <c r="I21" s="55"/>
      <c r="J21" s="55"/>
      <c r="K21" s="106">
        <v>0</v>
      </c>
      <c r="L21" s="107"/>
      <c r="M21" s="108">
        <v>1.9607843137254902E-2</v>
      </c>
    </row>
    <row r="22" spans="3:13" ht="15" customHeight="1">
      <c r="C22" s="102">
        <v>12.8</v>
      </c>
      <c r="D22" s="55"/>
      <c r="E22" s="55"/>
      <c r="F22" s="55"/>
      <c r="G22" s="55"/>
      <c r="H22" s="55"/>
      <c r="I22" s="55"/>
      <c r="J22" s="55"/>
      <c r="K22" s="106">
        <v>0</v>
      </c>
      <c r="L22" s="107"/>
      <c r="M22" s="108">
        <v>3.9215686274509803E-2</v>
      </c>
    </row>
    <row r="23" spans="3:13" ht="15" customHeight="1">
      <c r="C23" s="102">
        <v>13.6</v>
      </c>
      <c r="D23" s="55"/>
      <c r="E23" s="55"/>
      <c r="F23" s="55"/>
      <c r="G23" s="55"/>
      <c r="H23" s="55"/>
      <c r="I23" s="55"/>
      <c r="J23" s="55"/>
      <c r="K23" s="106">
        <v>0</v>
      </c>
      <c r="L23" s="107"/>
      <c r="M23" s="108">
        <v>3.9215686274509803E-2</v>
      </c>
    </row>
    <row r="24" spans="3:13" ht="15" customHeight="1">
      <c r="C24" s="102">
        <v>13.8</v>
      </c>
      <c r="D24" s="55"/>
      <c r="E24" s="55"/>
      <c r="F24" s="55"/>
      <c r="G24" s="55"/>
      <c r="H24" s="55"/>
      <c r="I24" s="55"/>
      <c r="J24" s="55"/>
      <c r="K24" s="106">
        <v>0</v>
      </c>
      <c r="L24" s="107"/>
      <c r="M24" s="108">
        <v>1.9607843137254902E-2</v>
      </c>
    </row>
    <row r="25" spans="3:13" ht="15" customHeight="1">
      <c r="C25" s="102">
        <v>14.1</v>
      </c>
      <c r="D25" s="55"/>
      <c r="E25" s="55"/>
      <c r="F25" s="55"/>
      <c r="G25" s="55"/>
      <c r="H25" s="55"/>
      <c r="I25" s="55"/>
      <c r="J25" s="55"/>
      <c r="K25" s="106">
        <v>0</v>
      </c>
      <c r="L25" s="107"/>
      <c r="M25" s="108">
        <v>3.9215686274509803E-2</v>
      </c>
    </row>
    <row r="26" spans="3:13" ht="15" customHeight="1">
      <c r="C26" s="102">
        <v>14.5</v>
      </c>
      <c r="D26" s="55"/>
      <c r="E26" s="55"/>
      <c r="F26" s="55"/>
      <c r="G26" s="55"/>
      <c r="H26" s="55"/>
      <c r="I26" s="55"/>
      <c r="J26" s="55"/>
      <c r="K26" s="106">
        <v>0</v>
      </c>
      <c r="L26" s="107"/>
      <c r="M26" s="108">
        <v>1.9607843137254902E-2</v>
      </c>
    </row>
    <row r="27" spans="3:13" ht="15" customHeight="1">
      <c r="C27" s="102">
        <v>14.7</v>
      </c>
      <c r="D27" s="55"/>
      <c r="E27" s="55"/>
      <c r="F27" s="55"/>
      <c r="G27" s="55"/>
      <c r="H27" s="55"/>
      <c r="I27" s="55"/>
      <c r="J27" s="55"/>
      <c r="K27" s="106">
        <v>0</v>
      </c>
      <c r="L27" s="107"/>
      <c r="M27" s="108">
        <v>1.9607843137254902E-2</v>
      </c>
    </row>
    <row r="28" spans="3:13" ht="15" customHeight="1">
      <c r="C28" s="102">
        <v>14.9</v>
      </c>
      <c r="D28" s="55"/>
      <c r="E28" s="55"/>
      <c r="F28" s="55"/>
      <c r="G28" s="55"/>
      <c r="H28" s="55"/>
      <c r="I28" s="55"/>
      <c r="J28" s="55"/>
      <c r="K28" s="106">
        <v>0</v>
      </c>
      <c r="L28" s="107"/>
      <c r="M28" s="108">
        <v>1.9607843137254902E-2</v>
      </c>
    </row>
    <row r="29" spans="3:13" ht="15" customHeight="1">
      <c r="C29" s="102">
        <v>15.1</v>
      </c>
      <c r="D29" s="55"/>
      <c r="E29" s="55"/>
      <c r="F29" s="55"/>
      <c r="G29" s="55"/>
      <c r="H29" s="55"/>
      <c r="I29" s="55"/>
      <c r="J29" s="55"/>
      <c r="K29" s="106">
        <v>0</v>
      </c>
      <c r="L29" s="107"/>
      <c r="M29" s="108">
        <v>1.9607843137254902E-2</v>
      </c>
    </row>
    <row r="30" spans="3:13" ht="15" customHeight="1">
      <c r="C30" s="102">
        <v>15.3</v>
      </c>
      <c r="D30" s="55"/>
      <c r="E30" s="55"/>
      <c r="F30" s="55"/>
      <c r="G30" s="55"/>
      <c r="H30" s="55"/>
      <c r="I30" s="55"/>
      <c r="J30" s="55"/>
      <c r="K30" s="106">
        <v>0</v>
      </c>
      <c r="L30" s="107"/>
      <c r="M30" s="108">
        <v>1.9607843137254902E-2</v>
      </c>
    </row>
    <row r="31" spans="3:13" ht="15" customHeight="1">
      <c r="C31" s="102">
        <v>15.6</v>
      </c>
      <c r="D31" s="55"/>
      <c r="E31" s="55"/>
      <c r="F31" s="55"/>
      <c r="G31" s="55"/>
      <c r="H31" s="55"/>
      <c r="I31" s="55"/>
      <c r="J31" s="55"/>
      <c r="K31" s="106">
        <v>0</v>
      </c>
      <c r="L31" s="107"/>
      <c r="M31" s="108">
        <v>1.9607843137254902E-2</v>
      </c>
    </row>
    <row r="32" spans="3:13" ht="15" customHeight="1">
      <c r="C32" s="102">
        <v>15.7</v>
      </c>
      <c r="D32" s="55"/>
      <c r="E32" s="55"/>
      <c r="F32" s="55"/>
      <c r="G32" s="55"/>
      <c r="H32" s="55"/>
      <c r="I32" s="55"/>
      <c r="J32" s="55"/>
      <c r="K32" s="106">
        <v>0</v>
      </c>
      <c r="L32" s="107"/>
      <c r="M32" s="108">
        <v>1.9607843137254902E-2</v>
      </c>
    </row>
    <row r="33" spans="3:13" ht="15" customHeight="1">
      <c r="C33" s="102">
        <v>16.100000000000001</v>
      </c>
      <c r="D33" s="55"/>
      <c r="E33" s="55"/>
      <c r="F33" s="55"/>
      <c r="G33" s="55"/>
      <c r="H33" s="55"/>
      <c r="I33" s="55"/>
      <c r="J33" s="55"/>
      <c r="K33" s="106">
        <v>0</v>
      </c>
      <c r="L33" s="107"/>
      <c r="M33" s="108">
        <v>1.9607843137254902E-2</v>
      </c>
    </row>
    <row r="34" spans="3:13" ht="15" customHeight="1">
      <c r="C34" s="102">
        <v>16.2</v>
      </c>
      <c r="D34" s="55"/>
      <c r="E34" s="55"/>
      <c r="F34" s="55"/>
      <c r="G34" s="55"/>
      <c r="H34" s="55"/>
      <c r="I34" s="55"/>
      <c r="J34" s="55"/>
      <c r="K34" s="106">
        <v>0</v>
      </c>
      <c r="L34" s="107"/>
      <c r="M34" s="108">
        <v>1.9607843137254902E-2</v>
      </c>
    </row>
    <row r="35" spans="3:13" ht="15" customHeight="1">
      <c r="C35" s="102">
        <v>16.8</v>
      </c>
      <c r="D35" s="55"/>
      <c r="E35" s="55"/>
      <c r="F35" s="55"/>
      <c r="G35" s="55"/>
      <c r="H35" s="55"/>
      <c r="I35" s="55"/>
      <c r="J35" s="55"/>
      <c r="K35" s="106">
        <v>0</v>
      </c>
      <c r="L35" s="107"/>
      <c r="M35" s="108">
        <v>1.9607843137254902E-2</v>
      </c>
    </row>
    <row r="36" spans="3:13" ht="15" customHeight="1">
      <c r="C36" s="102">
        <v>17.399999999999999</v>
      </c>
      <c r="D36" s="55"/>
      <c r="E36" s="55"/>
      <c r="F36" s="55"/>
      <c r="G36" s="55"/>
      <c r="H36" s="55"/>
      <c r="I36" s="55"/>
      <c r="J36" s="55"/>
      <c r="K36" s="106">
        <v>0</v>
      </c>
      <c r="L36" s="107"/>
      <c r="M36" s="108">
        <v>1.9607843137254902E-2</v>
      </c>
    </row>
    <row r="37" spans="3:13" ht="15" customHeight="1">
      <c r="C37" s="102">
        <v>17.5</v>
      </c>
      <c r="D37" s="55"/>
      <c r="E37" s="55"/>
      <c r="F37" s="55"/>
      <c r="G37" s="55"/>
      <c r="H37" s="55"/>
      <c r="I37" s="55"/>
      <c r="J37" s="55"/>
      <c r="K37" s="106">
        <v>0</v>
      </c>
      <c r="L37" s="107"/>
      <c r="M37" s="108">
        <v>1.9607843137254902E-2</v>
      </c>
    </row>
    <row r="38" spans="3:13" ht="15" customHeight="1">
      <c r="C38" s="102">
        <v>17.600000000000001</v>
      </c>
      <c r="D38" s="55"/>
      <c r="E38" s="55"/>
      <c r="F38" s="55"/>
      <c r="G38" s="55"/>
      <c r="H38" s="55"/>
      <c r="I38" s="55"/>
      <c r="J38" s="55"/>
      <c r="K38" s="106">
        <v>0</v>
      </c>
      <c r="L38" s="107"/>
      <c r="M38" s="108">
        <v>1.9607843137254902E-2</v>
      </c>
    </row>
    <row r="39" spans="3:13" ht="15" customHeight="1">
      <c r="C39" s="102">
        <v>17.8</v>
      </c>
      <c r="D39" s="55"/>
      <c r="E39" s="55"/>
      <c r="F39" s="55"/>
      <c r="G39" s="55"/>
      <c r="H39" s="55"/>
      <c r="I39" s="55"/>
      <c r="J39" s="55"/>
      <c r="K39" s="106">
        <v>0</v>
      </c>
      <c r="L39" s="107"/>
      <c r="M39" s="108">
        <v>1.9607843137254902E-2</v>
      </c>
    </row>
    <row r="40" spans="3:13" ht="15" customHeight="1">
      <c r="C40" s="102">
        <v>17.899999999999999</v>
      </c>
      <c r="D40" s="55"/>
      <c r="E40" s="55"/>
      <c r="F40" s="55"/>
      <c r="G40" s="55"/>
      <c r="H40" s="55"/>
      <c r="I40" s="55"/>
      <c r="J40" s="55"/>
      <c r="K40" s="106">
        <v>0</v>
      </c>
      <c r="L40" s="107"/>
      <c r="M40" s="108">
        <v>1.9607843137254902E-2</v>
      </c>
    </row>
    <row r="41" spans="3:13" ht="15" customHeight="1">
      <c r="C41" s="102">
        <v>18.100000000000001</v>
      </c>
      <c r="D41" s="55"/>
      <c r="E41" s="55"/>
      <c r="F41" s="55"/>
      <c r="G41" s="55"/>
      <c r="H41" s="55"/>
      <c r="I41" s="55"/>
      <c r="J41" s="55"/>
      <c r="K41" s="106">
        <v>0</v>
      </c>
      <c r="L41" s="107"/>
      <c r="M41" s="108">
        <v>1.9607843137254902E-2</v>
      </c>
    </row>
    <row r="42" spans="3:13" ht="15" customHeight="1">
      <c r="C42" s="102">
        <v>18.2</v>
      </c>
      <c r="D42" s="55"/>
      <c r="E42" s="55"/>
      <c r="F42" s="55"/>
      <c r="G42" s="55"/>
      <c r="H42" s="55"/>
      <c r="I42" s="55"/>
      <c r="J42" s="55"/>
      <c r="K42" s="106">
        <v>0</v>
      </c>
      <c r="L42" s="107"/>
      <c r="M42" s="108">
        <v>1.9607843137254902E-2</v>
      </c>
    </row>
    <row r="43" spans="3:13" ht="15" customHeight="1">
      <c r="C43" s="102">
        <v>18.399999999999999</v>
      </c>
      <c r="D43" s="55"/>
      <c r="E43" s="55"/>
      <c r="F43" s="55"/>
      <c r="G43" s="55"/>
      <c r="H43" s="55"/>
      <c r="I43" s="55"/>
      <c r="J43" s="55"/>
      <c r="K43" s="106">
        <v>0</v>
      </c>
      <c r="L43" s="107"/>
      <c r="M43" s="108">
        <v>1.9607843137254902E-2</v>
      </c>
    </row>
    <row r="44" spans="3:13" ht="15" customHeight="1">
      <c r="C44" s="102">
        <v>18.600000000000001</v>
      </c>
      <c r="D44" s="55"/>
      <c r="E44" s="55"/>
      <c r="F44" s="55"/>
      <c r="G44" s="55"/>
      <c r="H44" s="55"/>
      <c r="I44" s="55"/>
      <c r="J44" s="55"/>
      <c r="K44" s="106">
        <v>0</v>
      </c>
      <c r="L44" s="107"/>
      <c r="M44" s="108">
        <v>1.9607843137254902E-2</v>
      </c>
    </row>
    <row r="45" spans="3:13" ht="15" customHeight="1">
      <c r="C45" s="102">
        <v>18.8</v>
      </c>
      <c r="D45" s="55"/>
      <c r="E45" s="55"/>
      <c r="F45" s="55"/>
      <c r="G45" s="55"/>
      <c r="H45" s="55"/>
      <c r="I45" s="55"/>
      <c r="J45" s="55"/>
      <c r="K45" s="106">
        <v>0</v>
      </c>
      <c r="L45" s="107"/>
      <c r="M45" s="108">
        <v>1.9607843137254902E-2</v>
      </c>
    </row>
    <row r="46" spans="3:13" ht="15" customHeight="1">
      <c r="C46" s="102">
        <v>19.399999999999999</v>
      </c>
      <c r="D46" s="55"/>
      <c r="E46" s="55"/>
      <c r="F46" s="55"/>
      <c r="G46" s="55"/>
      <c r="H46" s="55"/>
      <c r="I46" s="55"/>
      <c r="J46" s="55"/>
      <c r="K46" s="106">
        <v>0</v>
      </c>
      <c r="L46" s="107"/>
      <c r="M46" s="108">
        <v>3.9215686274509803E-2</v>
      </c>
    </row>
    <row r="47" spans="3:13" ht="15" customHeight="1">
      <c r="C47" s="102">
        <v>19.5</v>
      </c>
      <c r="D47" s="55"/>
      <c r="E47" s="55"/>
      <c r="F47" s="55"/>
      <c r="G47" s="55"/>
      <c r="H47" s="55"/>
      <c r="I47" s="55"/>
      <c r="J47" s="55"/>
      <c r="K47" s="106">
        <v>0</v>
      </c>
      <c r="L47" s="107"/>
      <c r="M47" s="108">
        <v>1.9607843137254902E-2</v>
      </c>
    </row>
    <row r="48" spans="3:13" ht="15" customHeight="1">
      <c r="C48" s="102">
        <v>19.899999999999999</v>
      </c>
      <c r="D48" s="55"/>
      <c r="E48" s="55"/>
      <c r="F48" s="55"/>
      <c r="G48" s="55"/>
      <c r="H48" s="55"/>
      <c r="I48" s="55"/>
      <c r="J48" s="55"/>
      <c r="K48" s="106">
        <v>0</v>
      </c>
      <c r="L48" s="107"/>
      <c r="M48" s="108">
        <v>1.9607843137254902E-2</v>
      </c>
    </row>
    <row r="49" spans="3:13" ht="15" customHeight="1">
      <c r="C49" s="102">
        <v>20.5</v>
      </c>
      <c r="D49" s="55"/>
      <c r="E49" s="55"/>
      <c r="F49" s="55"/>
      <c r="G49" s="55"/>
      <c r="H49" s="55"/>
      <c r="I49" s="55"/>
      <c r="J49" s="55"/>
      <c r="K49" s="106">
        <v>0</v>
      </c>
      <c r="L49" s="107"/>
      <c r="M49" s="108">
        <v>1.9607843137254902E-2</v>
      </c>
    </row>
    <row r="50" spans="3:13" ht="15" customHeight="1">
      <c r="C50" s="102">
        <v>21.4</v>
      </c>
      <c r="D50" s="55"/>
      <c r="E50" s="55"/>
      <c r="F50" s="55"/>
      <c r="G50" s="55"/>
      <c r="H50" s="55"/>
      <c r="I50" s="55"/>
      <c r="J50" s="55"/>
      <c r="K50" s="106">
        <v>0</v>
      </c>
      <c r="L50" s="107"/>
      <c r="M50" s="108">
        <v>3.9215686274509803E-2</v>
      </c>
    </row>
    <row r="51" spans="3:13" ht="15" customHeight="1">
      <c r="C51" s="102">
        <v>22.4</v>
      </c>
      <c r="D51" s="55"/>
      <c r="E51" s="55"/>
      <c r="F51" s="55"/>
      <c r="G51" s="55"/>
      <c r="H51" s="55"/>
      <c r="I51" s="55"/>
      <c r="J51" s="55"/>
      <c r="K51" s="106">
        <v>0</v>
      </c>
      <c r="L51" s="107"/>
      <c r="M51" s="108">
        <v>1.9607843137254902E-2</v>
      </c>
    </row>
    <row r="52" spans="3:13" ht="15" customHeight="1">
      <c r="C52" s="102">
        <v>23.8</v>
      </c>
      <c r="D52" s="55"/>
      <c r="E52" s="55"/>
      <c r="F52" s="55"/>
      <c r="G52" s="55"/>
      <c r="H52" s="55"/>
      <c r="I52" s="55"/>
      <c r="J52" s="55"/>
      <c r="K52" s="106">
        <v>0</v>
      </c>
      <c r="L52" s="107"/>
      <c r="M52" s="108">
        <v>1.9607843137254902E-2</v>
      </c>
    </row>
    <row r="53" spans="3:13" ht="15" customHeight="1">
      <c r="C53" s="102">
        <v>23.9</v>
      </c>
      <c r="D53" s="55"/>
      <c r="E53" s="55"/>
      <c r="F53" s="55"/>
      <c r="G53" s="55"/>
      <c r="H53" s="55"/>
      <c r="I53" s="55"/>
      <c r="J53" s="55"/>
      <c r="K53" s="106">
        <v>0</v>
      </c>
      <c r="L53" s="107"/>
      <c r="M53" s="108">
        <v>3.9215686274509803E-2</v>
      </c>
    </row>
    <row r="54" spans="3:13" ht="15" customHeight="1">
      <c r="C54" s="102" t="s">
        <v>123</v>
      </c>
      <c r="D54" s="55"/>
      <c r="E54" s="55"/>
      <c r="F54" s="55"/>
      <c r="G54" s="55"/>
      <c r="H54" s="55"/>
      <c r="I54" s="55"/>
      <c r="J54" s="55"/>
      <c r="K54" s="106">
        <v>0</v>
      </c>
      <c r="L54" s="107"/>
      <c r="M54" s="108">
        <v>1</v>
      </c>
    </row>
    <row r="55" spans="3:13" ht="15" customHeight="1">
      <c r="C55"/>
      <c r="D55"/>
      <c r="E55"/>
      <c r="F55"/>
      <c r="G55"/>
      <c r="H55"/>
      <c r="I55"/>
      <c r="J55"/>
      <c r="K55"/>
      <c r="L55"/>
      <c r="M55"/>
    </row>
    <row r="56" spans="3:13" ht="15" customHeight="1">
      <c r="C56"/>
      <c r="D56"/>
      <c r="E56"/>
      <c r="F56"/>
      <c r="G56"/>
      <c r="H56"/>
      <c r="I56"/>
      <c r="J56"/>
      <c r="K56"/>
      <c r="L56"/>
      <c r="M56"/>
    </row>
    <row r="57" spans="3:13" ht="15" customHeight="1">
      <c r="C57"/>
      <c r="D57"/>
      <c r="E57"/>
      <c r="F57"/>
      <c r="G57"/>
      <c r="H57"/>
      <c r="I57"/>
      <c r="J57"/>
      <c r="K57"/>
      <c r="L57"/>
      <c r="M57"/>
    </row>
    <row r="58" spans="3:13" ht="15" customHeight="1">
      <c r="C58"/>
      <c r="D58"/>
      <c r="E58"/>
      <c r="F58"/>
      <c r="G58"/>
      <c r="H58"/>
      <c r="I58"/>
      <c r="J58"/>
      <c r="K58"/>
      <c r="L58"/>
      <c r="M58"/>
    </row>
    <row r="59" spans="3:13" ht="15" customHeight="1">
      <c r="C59"/>
      <c r="D59"/>
      <c r="E59"/>
      <c r="F59"/>
      <c r="G59"/>
      <c r="H59"/>
      <c r="I59"/>
      <c r="J59"/>
      <c r="K59"/>
      <c r="L59"/>
      <c r="M59"/>
    </row>
    <row r="60" spans="3:13" ht="15" customHeight="1">
      <c r="C60"/>
      <c r="D60"/>
      <c r="E60"/>
      <c r="F60"/>
      <c r="G60"/>
      <c r="H60"/>
      <c r="I60"/>
      <c r="J60"/>
      <c r="K60"/>
      <c r="L60"/>
      <c r="M60"/>
    </row>
  </sheetData>
  <conditionalFormatting pivot="1" sqref="K9:K54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L9:L54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8" customWidth="1"/>
    <col min="2" max="2" width="2.77734375" style="49" customWidth="1"/>
    <col min="3" max="3" width="78.6640625" style="54" customWidth="1"/>
    <col min="4" max="4" width="31.88671875" style="48" customWidth="1"/>
    <col min="5" max="16384" width="8.88671875" style="48"/>
  </cols>
  <sheetData>
    <row r="2" spans="2:16" ht="43.2" customHeight="1">
      <c r="C2" s="47" t="s">
        <v>52</v>
      </c>
      <c r="P2"/>
    </row>
    <row r="3" spans="2:16" ht="4.95" customHeight="1">
      <c r="B3" s="48"/>
      <c r="C3" s="50"/>
      <c r="P3" s="51"/>
    </row>
    <row r="4" spans="2:16" ht="19.95" customHeight="1">
      <c r="B4" s="48"/>
      <c r="C4" s="50"/>
      <c r="P4" s="52"/>
    </row>
    <row r="5" spans="2:16" ht="4.95" customHeight="1">
      <c r="B5" s="48"/>
      <c r="C5" s="50"/>
    </row>
    <row r="6" spans="2:16" ht="34.950000000000003" customHeight="1"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2:16" ht="15" customHeight="1">
      <c r="B7" s="48"/>
      <c r="C7" s="48"/>
    </row>
    <row r="8" spans="2:16" ht="15" customHeight="1">
      <c r="C8" s="53"/>
    </row>
    <row r="9" spans="2:16" ht="19.2" customHeight="1">
      <c r="B9" s="48"/>
      <c r="C9" s="50"/>
    </row>
    <row r="16" spans="2:16">
      <c r="C16" s="48"/>
    </row>
    <row r="17" spans="2:2" s="48" customFormat="1">
      <c r="B17" s="4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8" customWidth="1"/>
    <col min="2" max="2" width="2.77734375" style="49" customWidth="1"/>
    <col min="3" max="3" width="53.33203125" style="54" customWidth="1"/>
    <col min="4" max="4" width="27.77734375" style="48" customWidth="1"/>
    <col min="5" max="16" width="8.88671875" style="48"/>
  </cols>
  <sheetData>
    <row r="2" spans="1:16" ht="51.6" customHeight="1">
      <c r="B2" s="55"/>
      <c r="C2" s="47" t="s">
        <v>53</v>
      </c>
      <c r="D2"/>
      <c r="P2"/>
    </row>
    <row r="3" spans="1:16" ht="4.95" customHeight="1">
      <c r="B3" s="55"/>
      <c r="C3" s="56"/>
      <c r="D3" s="57"/>
      <c r="P3" s="51"/>
    </row>
    <row r="4" spans="1:16" ht="19.95" customHeight="1">
      <c r="B4" s="55"/>
      <c r="C4" s="56"/>
      <c r="D4" s="57"/>
      <c r="P4" s="52"/>
    </row>
    <row r="5" spans="1:16" ht="4.95" customHeight="1">
      <c r="B5" s="48"/>
      <c r="C5" s="50"/>
    </row>
    <row r="6" spans="1:16" ht="30" customHeight="1">
      <c r="A6"/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1:16" ht="10.050000000000001" customHeight="1">
      <c r="B7" s="48"/>
      <c r="C7" s="50"/>
    </row>
    <row r="8" spans="1:16" ht="10.050000000000001" customHeight="1">
      <c r="B8" s="51"/>
      <c r="D8" s="54"/>
    </row>
    <row r="9" spans="1:16" ht="150" customHeight="1">
      <c r="B9" s="58"/>
      <c r="C9" s="59"/>
    </row>
    <row r="10" spans="1:16" ht="10.050000000000001" customHeight="1">
      <c r="B10" s="60"/>
    </row>
    <row r="11" spans="1:16" collapsed="1"/>
    <row r="13" spans="1:16">
      <c r="C13" s="48"/>
    </row>
    <row r="14" spans="1:16">
      <c r="C14" s="48"/>
    </row>
    <row r="15" spans="1:16">
      <c r="C15" s="48"/>
    </row>
    <row r="16" spans="1:16">
      <c r="C16" s="48"/>
    </row>
    <row r="19" spans="3:3">
      <c r="C19" s="48"/>
    </row>
    <row r="20" spans="3:3">
      <c r="C20" s="48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Overview</vt:lpstr>
      <vt:lpstr>Field Analysis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MultiplePlots!MultiplePlots</vt:lpstr>
      <vt:lpstr>MultiplePlots!MultiplePlotsTitle</vt:lpstr>
      <vt:lpstr>Name</vt:lpstr>
      <vt:lpstr>Notes</vt:lpstr>
      <vt:lpstr>Percentiles</vt:lpstr>
      <vt:lpstr>RecordHashes</vt:lpstr>
      <vt:lpstr>SerializedLists</vt:lpstr>
      <vt:lpstr>SinglePlot!SinglePlot</vt:lpstr>
      <vt:lpstr>SinglePlot!SinglePlotTitle</vt:lpstr>
      <vt:lpstr>Summary_Stats</vt:lpstr>
      <vt:lpstr>'Field Analysis'!Theme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2026-05-30T04:28:42Z</dcterms:modified>
</cp:coreProperties>
</file>