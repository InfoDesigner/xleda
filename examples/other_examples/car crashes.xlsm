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D511FD4-58D1-4A26-9EC9-E6801912A98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Analysis'!$D$7:$K$7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Analysis'!$D$57:$K$57</definedName>
    <definedName name="FieldList2">'Field Analysis'!$D$58:$K$58</definedName>
    <definedName name="FieldList3">'Field Analysis'!$D$59:$K$59</definedName>
    <definedName name="FieldList4">'Field Analysis'!$D$60:$K$60</definedName>
    <definedName name="FieldList5">'Field Analysis'!$D$61:$K$61</definedName>
    <definedName name="FieldList6">'Field Analysis'!$D$62:$K$62</definedName>
    <definedName name="FieldList7">'Field Analysis'!$D$63:$K$63</definedName>
    <definedName name="FieldList8">'Field Analysis'!$D$64:$K$64</definedName>
    <definedName name="FieldLists">'Field Analysis'!$C$57:$K$64</definedName>
    <definedName name="FieldRange">'Field Analysis'!$D$78:$K$78</definedName>
    <definedName name="FormatRange">'Field Analysis'!$F:$F</definedName>
    <definedName name="Headers">'Field Analysis'!$D$11:$K$11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Analysis'!$D$9:$K$9</definedName>
    <definedName name="Percentiles">'Field Analysis'!$D$45:$D$54</definedName>
    <definedName name="RecordHashes">'Field Analysis'!$M$79:$M$129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<sst xmlns="http://schemas.openxmlformats.org/spreadsheetml/2006/main" count="216" uniqueCount="120">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</sst>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A827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1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9A827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14"/>
      <tableStyleElement type="headerRow" dxfId="213"/>
      <tableStyleElement type="totalRow" dxfId="212"/>
    </tableStyle>
    <tableStyle name="TableStyleDarker" pivot="0" count="2" xr9:uid="{6808BEA3-E65F-4F4F-A6CC-D0226D87DD56}">
      <tableStyleElement type="wholeTable" dxfId="211"/>
      <tableStyleElement type="headerRow" dxfId="21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">
          <a:extLst>
            <a:ext uri="{FF2B5EF4-FFF2-40B4-BE49-F238E27FC236}">
              <a16:creationId xmlns:a16="http://schemas.microsoft.com/office/drawing/2014/main" id="{6B1E79EB-C264-F2C7-25DF-121C09E11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">
          <a:extLst>
            <a:ext uri="{FF2B5EF4-FFF2-40B4-BE49-F238E27FC236}">
              <a16:creationId xmlns:a16="http://schemas.microsoft.com/office/drawing/2014/main" id="{1DCF529E-E269-585E-0277-D4CF20BA9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peeding">
          <a:extLst>
            <a:ext uri="{FF2B5EF4-FFF2-40B4-BE49-F238E27FC236}">
              <a16:creationId xmlns:a16="http://schemas.microsoft.com/office/drawing/2014/main" id="{4550A5A2-9AA6-F023-2CE4-56DE04251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peeding">
          <a:extLst>
            <a:ext uri="{FF2B5EF4-FFF2-40B4-BE49-F238E27FC236}">
              <a16:creationId xmlns:a16="http://schemas.microsoft.com/office/drawing/2014/main" id="{830EDFA7-3BC9-E521-1334-D448A82D1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lcohol">
          <a:extLst>
            <a:ext uri="{FF2B5EF4-FFF2-40B4-BE49-F238E27FC236}">
              <a16:creationId xmlns:a16="http://schemas.microsoft.com/office/drawing/2014/main" id="{D9E2D16E-97ED-A531-133B-B96C4C70C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alcohol">
          <a:extLst>
            <a:ext uri="{FF2B5EF4-FFF2-40B4-BE49-F238E27FC236}">
              <a16:creationId xmlns:a16="http://schemas.microsoft.com/office/drawing/2014/main" id="{EFFCEB54-C627-9966-5CE2-3F21D6AE3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not_distracted">
          <a:extLst>
            <a:ext uri="{FF2B5EF4-FFF2-40B4-BE49-F238E27FC236}">
              <a16:creationId xmlns:a16="http://schemas.microsoft.com/office/drawing/2014/main" id="{B26E561F-A3B8-D75A-9472-D42213C4A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not_distracted">
          <a:extLst>
            <a:ext uri="{FF2B5EF4-FFF2-40B4-BE49-F238E27FC236}">
              <a16:creationId xmlns:a16="http://schemas.microsoft.com/office/drawing/2014/main" id="{33FDFD8F-B112-065C-8C88-6C7079175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no_previous">
          <a:extLst>
            <a:ext uri="{FF2B5EF4-FFF2-40B4-BE49-F238E27FC236}">
              <a16:creationId xmlns:a16="http://schemas.microsoft.com/office/drawing/2014/main" id="{33E3FF53-E5CB-44FD-7609-FA390CAC5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no_previous">
          <a:extLst>
            <a:ext uri="{FF2B5EF4-FFF2-40B4-BE49-F238E27FC236}">
              <a16:creationId xmlns:a16="http://schemas.microsoft.com/office/drawing/2014/main" id="{AFD823AB-7EE2-2CF8-D95D-49AE44818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ins_premium">
          <a:extLst>
            <a:ext uri="{FF2B5EF4-FFF2-40B4-BE49-F238E27FC236}">
              <a16:creationId xmlns:a16="http://schemas.microsoft.com/office/drawing/2014/main" id="{A13F5D53-432E-FDCE-9599-E94AD21638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ins_premium">
          <a:extLst>
            <a:ext uri="{FF2B5EF4-FFF2-40B4-BE49-F238E27FC236}">
              <a16:creationId xmlns:a16="http://schemas.microsoft.com/office/drawing/2014/main" id="{8CD21280-E097-060D-DDA1-EE669CBAC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ins_losses">
          <a:extLst>
            <a:ext uri="{FF2B5EF4-FFF2-40B4-BE49-F238E27FC236}">
              <a16:creationId xmlns:a16="http://schemas.microsoft.com/office/drawing/2014/main" id="{07DCA031-ED29-8C6C-52B7-5CC8DF423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ins_losses">
          <a:extLst>
            <a:ext uri="{FF2B5EF4-FFF2-40B4-BE49-F238E27FC236}">
              <a16:creationId xmlns:a16="http://schemas.microsoft.com/office/drawing/2014/main" id="{BB179173-79BB-1B67-EE35-81F9F0E7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abbrev">
          <a:extLst>
            <a:ext uri="{FF2B5EF4-FFF2-40B4-BE49-F238E27FC236}">
              <a16:creationId xmlns:a16="http://schemas.microsoft.com/office/drawing/2014/main" id="{D7BA92AC-3485-7D91-058B-919376896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25146</xdr:colOff>
      <xdr:row>30</xdr:row>
      <xdr:rowOff>95250</xdr:rowOff>
    </xdr:from>
    <xdr:to>
      <xdr:col>11</xdr:col>
      <xdr:colOff>477774</xdr:colOff>
      <xdr:row>30</xdr:row>
      <xdr:rowOff>1809750</xdr:rowOff>
    </xdr:to>
    <xdr:pic>
      <xdr:nvPicPr>
        <xdr:cNvPr id="41" name="composition_HasBlank">
          <a:extLst>
            <a:ext uri="{FF2B5EF4-FFF2-40B4-BE49-F238E27FC236}">
              <a16:creationId xmlns:a16="http://schemas.microsoft.com/office/drawing/2014/main" id="{83465697-0675-5885-A4DD-465EE74AB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29226" y="2122170"/>
          <a:ext cx="452628" cy="1714500"/>
        </a:xfrm>
        <a:prstGeom prst="rect">
          <a:avLst/>
        </a:prstGeom>
      </xdr:spPr>
    </xdr:pic>
    <xdr:clientData/>
  </xdr:twoCellAnchor>
  <xdr:twoCellAnchor>
    <xdr:from>
      <xdr:col>11</xdr:col>
      <xdr:colOff>25146</xdr:colOff>
      <xdr:row>40</xdr:row>
      <xdr:rowOff>95250</xdr:rowOff>
    </xdr:from>
    <xdr:to>
      <xdr:col>11</xdr:col>
      <xdr:colOff>477774</xdr:colOff>
      <xdr:row>40</xdr:row>
      <xdr:rowOff>1809750</xdr:rowOff>
    </xdr:to>
    <xdr:pic>
      <xdr:nvPicPr>
        <xdr:cNvPr id="43" name="histogram_HasBlank">
          <a:extLst>
            <a:ext uri="{FF2B5EF4-FFF2-40B4-BE49-F238E27FC236}">
              <a16:creationId xmlns:a16="http://schemas.microsoft.com/office/drawing/2014/main" id="{B34E95DC-0055-E345-2B49-840C62F5D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29226" y="4339590"/>
          <a:ext cx="452628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933912036" createdVersion="8" refreshedVersion="8" minRefreshableVersion="3" recordCount="51" xr:uid="{9CA2673A-A870-437E-AB9F-91D8276FD930}">
  <cacheSource type="worksheet">
    <worksheetSource name="tbl_SourceData"/>
  </cacheSource>
  <cacheFields count="11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" maxValue="9.4499999999999993" count="50">
        <n v="7.3319999999999999"/>
        <n v="7.4210000000000003"/>
        <n v="6.51"/>
        <n v="4.032"/>
        <n v="4.2"/>
        <n v="5.032"/>
        <n v="4.968"/>
        <n v="6.1559999999999997"/>
        <n v="2.0059999999999998"/>
        <n v="3.7589999999999999"/>
        <n v="2.964"/>
        <n v="9.4499999999999993"/>
        <n v="5.508"/>
        <n v="4.6079999999999997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"/>
        <n v="8.3459999999999894"/>
        <n v="1.9370000000000001"/>
        <n v="5.4390000000000001"/>
        <n v="4.0599999999999996"/>
        <n v="1.79199999999999"/>
        <n v="3.496"/>
        <n v="3.9359999999999999"/>
        <n v="6.5519999999999996"/>
        <n v="5.4969999999999901"/>
        <n v="3.948"/>
        <n v="6.3679999999999897"/>
        <n v="4.2240000000000002"/>
        <n v="9.1"/>
        <n v="3.774"/>
        <n v="9.0820000000000007"/>
        <n v="6.0139999999999896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" maxValue="10.038" count="50">
        <n v="5.64"/>
        <n v="4.5250000000000004"/>
        <n v="5.2080000000000002"/>
        <n v="5.8239999999999998"/>
        <n v="3.36"/>
        <n v="3.8079999999999998"/>
        <n v="3.8879999999999999"/>
        <n v="4.8600000000000003"/>
        <n v="1.593"/>
        <n v="5.1909999999999901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02"/>
        <n v="9.4160000000000004"/>
        <n v="5.2149999999999999"/>
        <n v="4.7039999999999997"/>
        <n v="3.48"/>
        <n v="3.1360000000000001"/>
        <n v="4.968"/>
        <n v="3.5670000000000002"/>
        <n v="10.038"/>
        <n v="4.7939999999999996"/>
        <n v="5.7709999999999901"/>
        <n v="3.3279999999999998"/>
        <n v="5.6420000000000003"/>
        <n v="4.218"/>
        <n v="9.7989999999999995"/>
        <n v="6.4019999999999904"/>
        <n v="5.6550000000000002"/>
        <n v="7.3719999999999901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"/>
        <n v="15.624000000000001"/>
        <n v="21.056000000000001"/>
        <n v="10.92"/>
        <n v="10.7439999999999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01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"/>
        <n v="15.792"/>
        <n v="23.661000000000001"/>
        <n v="13.9589999999999"/>
        <n v="18.308"/>
        <n v="8.5760000000000005"/>
        <n v="17.4719999999998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19999999999997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"/>
        <n v="12.288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02"/>
        <n v="15.795"/>
        <n v="16.878"/>
        <n v="10.848000000000001"/>
        <n v="11.175999999999901"/>
        <n v="9.1159999999999997"/>
        <n v="20.706"/>
        <n v="11.592000000000001"/>
        <n v="15.659999999999901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72883695395002E+17" maxValue="1.8090793328984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4.9603767444000604E+18"/>
  </r>
  <r>
    <b v="0"/>
    <x v="1"/>
    <x v="1"/>
    <x v="1"/>
    <x v="1"/>
    <x v="1"/>
    <x v="1"/>
    <x v="1"/>
    <x v="1"/>
    <n v="0"/>
    <n v="8.6014935199999099E+18"/>
  </r>
  <r>
    <b v="0"/>
    <x v="2"/>
    <x v="2"/>
    <x v="2"/>
    <x v="2"/>
    <x v="2"/>
    <x v="2"/>
    <x v="2"/>
    <x v="2"/>
    <n v="0"/>
    <n v="8.3979761839948401E+18"/>
  </r>
  <r>
    <b v="0"/>
    <x v="3"/>
    <x v="3"/>
    <x v="3"/>
    <x v="3"/>
    <x v="3"/>
    <x v="3"/>
    <x v="3"/>
    <x v="3"/>
    <n v="0"/>
    <n v="1.4615719996804399E+19"/>
  </r>
  <r>
    <b v="0"/>
    <x v="4"/>
    <x v="4"/>
    <x v="4"/>
    <x v="4"/>
    <x v="4"/>
    <x v="4"/>
    <x v="4"/>
    <x v="4"/>
    <n v="0"/>
    <n v="1.7556313311656401E+19"/>
  </r>
  <r>
    <b v="0"/>
    <x v="5"/>
    <x v="5"/>
    <x v="5"/>
    <x v="5"/>
    <x v="5"/>
    <x v="5"/>
    <x v="5"/>
    <x v="5"/>
    <n v="0"/>
    <n v="1.38667043848507E+19"/>
  </r>
  <r>
    <b v="0"/>
    <x v="6"/>
    <x v="6"/>
    <x v="6"/>
    <x v="6"/>
    <x v="6"/>
    <x v="6"/>
    <x v="6"/>
    <x v="6"/>
    <n v="0"/>
    <n v="7.2615628709401201E+18"/>
  </r>
  <r>
    <b v="0"/>
    <x v="7"/>
    <x v="7"/>
    <x v="7"/>
    <x v="7"/>
    <x v="7"/>
    <x v="7"/>
    <x v="7"/>
    <x v="7"/>
    <n v="0"/>
    <n v="5.9467470943893197E+17"/>
  </r>
  <r>
    <b v="0"/>
    <x v="8"/>
    <x v="8"/>
    <x v="8"/>
    <x v="8"/>
    <x v="8"/>
    <x v="8"/>
    <x v="8"/>
    <x v="8"/>
    <n v="0"/>
    <n v="7.8181396283453604E+18"/>
  </r>
  <r>
    <b v="0"/>
    <x v="9"/>
    <x v="9"/>
    <x v="9"/>
    <x v="9"/>
    <x v="9"/>
    <x v="9"/>
    <x v="9"/>
    <x v="9"/>
    <n v="0"/>
    <n v="7.8028175632250798E+18"/>
  </r>
  <r>
    <b v="0"/>
    <x v="10"/>
    <x v="10"/>
    <x v="10"/>
    <x v="10"/>
    <x v="10"/>
    <x v="10"/>
    <x v="10"/>
    <x v="10"/>
    <n v="0"/>
    <n v="1.2405098478020801E+19"/>
  </r>
  <r>
    <b v="0"/>
    <x v="11"/>
    <x v="11"/>
    <x v="11"/>
    <x v="11"/>
    <x v="11"/>
    <x v="11"/>
    <x v="11"/>
    <x v="11"/>
    <n v="0"/>
    <n v="1.2878553311090299E+18"/>
  </r>
  <r>
    <b v="0"/>
    <x v="12"/>
    <x v="12"/>
    <x v="12"/>
    <x v="12"/>
    <x v="12"/>
    <x v="12"/>
    <x v="12"/>
    <x v="12"/>
    <n v="0"/>
    <n v="1.55596035541848E+19"/>
  </r>
  <r>
    <b v="0"/>
    <x v="13"/>
    <x v="13"/>
    <x v="13"/>
    <x v="13"/>
    <x v="13"/>
    <x v="13"/>
    <x v="13"/>
    <x v="13"/>
    <n v="0"/>
    <n v="3.7803847119777802E+18"/>
  </r>
  <r>
    <b v="0"/>
    <x v="14"/>
    <x v="14"/>
    <x v="14"/>
    <x v="14"/>
    <x v="14"/>
    <x v="14"/>
    <x v="14"/>
    <x v="14"/>
    <n v="0"/>
    <n v="1.7973132332718899E+19"/>
  </r>
  <r>
    <b v="0"/>
    <x v="15"/>
    <x v="15"/>
    <x v="15"/>
    <x v="15"/>
    <x v="15"/>
    <x v="15"/>
    <x v="15"/>
    <x v="15"/>
    <n v="0"/>
    <n v="1.53221302400664E+19"/>
  </r>
  <r>
    <b v="0"/>
    <x v="16"/>
    <x v="16"/>
    <x v="16"/>
    <x v="16"/>
    <x v="16"/>
    <x v="16"/>
    <x v="16"/>
    <x v="16"/>
    <n v="0"/>
    <n v="1.8034088226061001E+19"/>
  </r>
  <r>
    <b v="0"/>
    <x v="17"/>
    <x v="17"/>
    <x v="17"/>
    <x v="17"/>
    <x v="17"/>
    <x v="17"/>
    <x v="17"/>
    <x v="17"/>
    <n v="0"/>
    <n v="6.62908335519535E+18"/>
  </r>
  <r>
    <b v="0"/>
    <x v="18"/>
    <x v="18"/>
    <x v="18"/>
    <x v="18"/>
    <x v="18"/>
    <x v="18"/>
    <x v="18"/>
    <x v="18"/>
    <n v="0"/>
    <n v="1.1027682586203001E+19"/>
  </r>
  <r>
    <b v="0"/>
    <x v="19"/>
    <x v="19"/>
    <x v="19"/>
    <x v="19"/>
    <x v="19"/>
    <x v="19"/>
    <x v="19"/>
    <x v="19"/>
    <n v="0"/>
    <n v="1.7575535258513E+19"/>
  </r>
  <r>
    <b v="0"/>
    <x v="20"/>
    <x v="20"/>
    <x v="20"/>
    <x v="20"/>
    <x v="20"/>
    <x v="20"/>
    <x v="20"/>
    <x v="20"/>
    <n v="0"/>
    <n v="1.6974255568415701E+19"/>
  </r>
  <r>
    <b v="0"/>
    <x v="21"/>
    <x v="21"/>
    <x v="21"/>
    <x v="21"/>
    <x v="21"/>
    <x v="21"/>
    <x v="21"/>
    <x v="21"/>
    <n v="0"/>
    <n v="7.3826837135078902E+18"/>
  </r>
  <r>
    <b v="0"/>
    <x v="22"/>
    <x v="22"/>
    <x v="22"/>
    <x v="22"/>
    <x v="22"/>
    <x v="22"/>
    <x v="22"/>
    <x v="22"/>
    <n v="0"/>
    <n v="2.6907759323132001E+18"/>
  </r>
  <r>
    <b v="0"/>
    <x v="23"/>
    <x v="23"/>
    <x v="23"/>
    <x v="23"/>
    <x v="23"/>
    <x v="23"/>
    <x v="23"/>
    <x v="23"/>
    <n v="0"/>
    <n v="1.6018124429500801E+19"/>
  </r>
  <r>
    <b v="0"/>
    <x v="24"/>
    <x v="24"/>
    <x v="24"/>
    <x v="24"/>
    <x v="24"/>
    <x v="24"/>
    <x v="24"/>
    <x v="24"/>
    <n v="0"/>
    <n v="1.1153925327126499E+19"/>
  </r>
  <r>
    <b v="0"/>
    <x v="25"/>
    <x v="25"/>
    <x v="25"/>
    <x v="25"/>
    <x v="25"/>
    <x v="25"/>
    <x v="25"/>
    <x v="25"/>
    <n v="0"/>
    <n v="1.6972883695395002E+17"/>
  </r>
  <r>
    <b v="0"/>
    <x v="17"/>
    <x v="26"/>
    <x v="26"/>
    <x v="26"/>
    <x v="26"/>
    <x v="26"/>
    <x v="26"/>
    <x v="26"/>
    <n v="0"/>
    <n v="7.4161550763219599E+18"/>
  </r>
  <r>
    <b v="0"/>
    <x v="26"/>
    <x v="27"/>
    <x v="27"/>
    <x v="27"/>
    <x v="27"/>
    <x v="27"/>
    <x v="27"/>
    <x v="27"/>
    <n v="0"/>
    <n v="1.3955243024023699E+19"/>
  </r>
  <r>
    <b v="0"/>
    <x v="27"/>
    <x v="28"/>
    <x v="28"/>
    <x v="28"/>
    <x v="28"/>
    <x v="28"/>
    <x v="28"/>
    <x v="28"/>
    <n v="0"/>
    <n v="1.3003149564262199E+19"/>
  </r>
  <r>
    <b v="0"/>
    <x v="28"/>
    <x v="29"/>
    <x v="29"/>
    <x v="29"/>
    <x v="29"/>
    <x v="29"/>
    <x v="29"/>
    <x v="29"/>
    <n v="0"/>
    <n v="9.0068756970931599E+18"/>
  </r>
  <r>
    <b v="0"/>
    <x v="29"/>
    <x v="30"/>
    <x v="30"/>
    <x v="30"/>
    <x v="30"/>
    <x v="30"/>
    <x v="30"/>
    <x v="30"/>
    <n v="0"/>
    <n v="1.65641023872897E+19"/>
  </r>
  <r>
    <b v="0"/>
    <x v="30"/>
    <x v="31"/>
    <x v="31"/>
    <x v="31"/>
    <x v="31"/>
    <x v="31"/>
    <x v="31"/>
    <x v="31"/>
    <n v="0"/>
    <n v="1.3396479194121099E+19"/>
  </r>
  <r>
    <b v="0"/>
    <x v="31"/>
    <x v="32"/>
    <x v="32"/>
    <x v="32"/>
    <x v="32"/>
    <x v="32"/>
    <x v="32"/>
    <x v="32"/>
    <n v="0"/>
    <n v="2.8147391484177198E+18"/>
  </r>
  <r>
    <b v="0"/>
    <x v="32"/>
    <x v="33"/>
    <x v="2"/>
    <x v="33"/>
    <x v="33"/>
    <x v="33"/>
    <x v="33"/>
    <x v="33"/>
    <n v="0"/>
    <n v="1.3480772454097701E+19"/>
  </r>
  <r>
    <b v="0"/>
    <x v="33"/>
    <x v="34"/>
    <x v="33"/>
    <x v="34"/>
    <x v="34"/>
    <x v="34"/>
    <x v="34"/>
    <x v="34"/>
    <n v="0"/>
    <n v="1.04712328491806E+19"/>
  </r>
  <r>
    <b v="0"/>
    <x v="22"/>
    <x v="35"/>
    <x v="34"/>
    <x v="35"/>
    <x v="35"/>
    <x v="35"/>
    <x v="35"/>
    <x v="35"/>
    <n v="0"/>
    <n v="3.0886142140107899E+18"/>
  </r>
  <r>
    <b v="0"/>
    <x v="34"/>
    <x v="36"/>
    <x v="35"/>
    <x v="36"/>
    <x v="36"/>
    <x v="36"/>
    <x v="36"/>
    <x v="36"/>
    <n v="0"/>
    <n v="1.46783266895429E+19"/>
  </r>
  <r>
    <b v="0"/>
    <x v="13"/>
    <x v="37"/>
    <x v="36"/>
    <x v="37"/>
    <x v="37"/>
    <x v="37"/>
    <x v="37"/>
    <x v="37"/>
    <n v="0"/>
    <n v="7.2948005673302405E+18"/>
  </r>
  <r>
    <b v="0"/>
    <x v="35"/>
    <x v="38"/>
    <x v="37"/>
    <x v="38"/>
    <x v="38"/>
    <x v="38"/>
    <x v="38"/>
    <x v="38"/>
    <n v="0"/>
    <n v="1.70643762724799E+19"/>
  </r>
  <r>
    <b v="0"/>
    <x v="36"/>
    <x v="39"/>
    <x v="38"/>
    <x v="39"/>
    <x v="39"/>
    <x v="39"/>
    <x v="39"/>
    <x v="39"/>
    <n v="0"/>
    <n v="1.8090537469521601E+19"/>
  </r>
  <r>
    <b v="0"/>
    <x v="33"/>
    <x v="40"/>
    <x v="39"/>
    <x v="40"/>
    <x v="40"/>
    <x v="40"/>
    <x v="40"/>
    <x v="40"/>
    <n v="0"/>
    <n v="5.8348608803023104E+18"/>
  </r>
  <r>
    <b v="0"/>
    <x v="37"/>
    <x v="41"/>
    <x v="40"/>
    <x v="41"/>
    <x v="41"/>
    <x v="41"/>
    <x v="41"/>
    <x v="41"/>
    <n v="0"/>
    <n v="9.7674115975466209E+18"/>
  </r>
  <r>
    <b v="0"/>
    <x v="38"/>
    <x v="42"/>
    <x v="41"/>
    <x v="42"/>
    <x v="42"/>
    <x v="42"/>
    <x v="42"/>
    <x v="42"/>
    <n v="0"/>
    <n v="9.1922853489315103E+18"/>
  </r>
  <r>
    <b v="0"/>
    <x v="37"/>
    <x v="43"/>
    <x v="42"/>
    <x v="43"/>
    <x v="43"/>
    <x v="43"/>
    <x v="43"/>
    <x v="43"/>
    <n v="0"/>
    <n v="1.4979050362964199E+19"/>
  </r>
  <r>
    <b v="0"/>
    <x v="39"/>
    <x v="44"/>
    <x v="43"/>
    <x v="44"/>
    <x v="44"/>
    <x v="44"/>
    <x v="44"/>
    <x v="44"/>
    <n v="0"/>
    <n v="5.2384012868321905E+18"/>
  </r>
  <r>
    <b v="0"/>
    <x v="5"/>
    <x v="45"/>
    <x v="44"/>
    <x v="45"/>
    <x v="5"/>
    <x v="45"/>
    <x v="45"/>
    <x v="45"/>
    <n v="0"/>
    <n v="1.7541299277187799E+19"/>
  </r>
  <r>
    <b v="0"/>
    <x v="40"/>
    <x v="46"/>
    <x v="45"/>
    <x v="46"/>
    <x v="45"/>
    <x v="46"/>
    <x v="46"/>
    <x v="46"/>
    <n v="0"/>
    <n v="1.5807266494199501E+19"/>
  </r>
  <r>
    <b v="0"/>
    <x v="41"/>
    <x v="47"/>
    <x v="46"/>
    <x v="47"/>
    <x v="46"/>
    <x v="47"/>
    <x v="47"/>
    <x v="47"/>
    <n v="0"/>
    <n v="8.7397916369375703E+18"/>
  </r>
  <r>
    <b v="0"/>
    <x v="42"/>
    <x v="48"/>
    <x v="47"/>
    <x v="48"/>
    <x v="47"/>
    <x v="48"/>
    <x v="48"/>
    <x v="48"/>
    <n v="0"/>
    <n v="1.8090793328984701E+19"/>
  </r>
  <r>
    <b v="0"/>
    <x v="43"/>
    <x v="6"/>
    <x v="48"/>
    <x v="49"/>
    <x v="48"/>
    <x v="49"/>
    <x v="49"/>
    <x v="49"/>
    <n v="0"/>
    <n v="1.72807660006027E+19"/>
  </r>
  <r>
    <b v="0"/>
    <x v="44"/>
    <x v="49"/>
    <x v="49"/>
    <x v="7"/>
    <x v="49"/>
    <x v="50"/>
    <x v="50"/>
    <x v="50"/>
    <n v="0"/>
    <n v="1.57554983623194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L54" firstHeaderRow="0" firstDataRow="1" firstDataCol="8"/>
  <pivotFields count="11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9" subtotal="average" baseField="0" baseItem="1" numFmtId="164"/>
    <dataField name="% of Total Blanks" fld="9" showDataAs="percentOfTotal" baseField="0" baseItem="1" numFmtId="164"/>
  </dataFields>
  <formats count="88">
    <format dxfId="169">
      <pivotArea type="all" dataOnly="0" outline="0" fieldPosition="0"/>
    </format>
    <format dxfId="168">
      <pivotArea type="all" dataOnly="0" outline="0" fieldPosition="0"/>
    </format>
    <format dxfId="167">
      <pivotArea dataOnly="0" outline="0" fieldPosition="0">
        <references count="1">
          <reference field="4294967294" count="1">
            <x v="0"/>
          </reference>
        </references>
      </pivotArea>
    </format>
    <format dxfId="166">
      <pivotArea outline="0" fieldPosition="0">
        <references count="1">
          <reference field="4294967294" count="1">
            <x v="0"/>
          </reference>
        </references>
      </pivotArea>
    </format>
    <format dxfId="165">
      <pivotArea outline="0" fieldPosition="0">
        <references count="1">
          <reference field="4294967294" count="1">
            <x v="1"/>
          </reference>
        </references>
      </pivotArea>
    </format>
    <format dxfId="164">
      <pivotArea type="all" dataOnly="0" outline="0" fieldPosition="0"/>
    </format>
    <format dxfId="16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2">
      <pivotArea outline="0" fieldPosition="0">
        <references count="1">
          <reference field="4294967294" count="1" selected="0">
            <x v="1"/>
          </reference>
        </references>
      </pivotArea>
    </format>
    <format dxfId="80">
      <pivotArea field="1" type="button" dataOnly="0" labelOnly="1" outline="0" axis="axisRow" fieldPosition="0"/>
    </format>
    <format dxfId="79">
      <pivotArea field="2" type="button" dataOnly="0" labelOnly="1" outline="0" axis="axisRow" fieldPosition="1"/>
    </format>
    <format dxfId="78">
      <pivotArea field="3" type="button" dataOnly="0" labelOnly="1" outline="0" axis="axisRow" fieldPosition="2"/>
    </format>
    <format dxfId="77">
      <pivotArea field="4" type="button" dataOnly="0" labelOnly="1" outline="0" axis="axisRow" fieldPosition="3"/>
    </format>
    <format dxfId="76">
      <pivotArea field="5" type="button" dataOnly="0" labelOnly="1" outline="0" axis="axisRow" fieldPosition="4"/>
    </format>
    <format dxfId="75">
      <pivotArea field="6" type="button" dataOnly="0" labelOnly="1" outline="0" axis="axisRow" fieldPosition="5"/>
    </format>
    <format dxfId="74">
      <pivotArea field="7" type="button" dataOnly="0" labelOnly="1" outline="0" axis="axisRow" fieldPosition="6"/>
    </format>
    <format dxfId="73">
      <pivotArea field="8" type="button" dataOnly="0" labelOnly="1" outline="0" axis="axisRow" fieldPosition="7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2" type="button" dataOnly="0" labelOnly="1" outline="0" axis="axisRow" fieldPosition="1"/>
    </format>
    <format dxfId="68">
      <pivotArea field="3" type="button" dataOnly="0" labelOnly="1" outline="0" axis="axisRow" fieldPosition="2"/>
    </format>
    <format dxfId="67">
      <pivotArea field="4" type="button" dataOnly="0" labelOnly="1" outline="0" axis="axisRow" fieldPosition="3"/>
    </format>
    <format dxfId="66">
      <pivotArea field="5" type="button" dataOnly="0" labelOnly="1" outline="0" axis="axisRow" fieldPosition="4"/>
    </format>
    <format dxfId="65">
      <pivotArea field="6" type="button" dataOnly="0" labelOnly="1" outline="0" axis="axisRow" fieldPosition="5"/>
    </format>
    <format dxfId="64">
      <pivotArea field="7" type="button" dataOnly="0" labelOnly="1" outline="0" axis="axisRow" fieldPosition="6"/>
    </format>
    <format dxfId="63">
      <pivotArea field="8" type="button" dataOnly="0" labelOnly="1" outline="0" axis="axisRow" fieldPosition="7"/>
    </format>
    <format dxfId="62">
      <pivotArea dataOnly="0" labelOnly="1" outline="0" fieldPosition="0">
        <references count="1">
          <reference field="1" count="0"/>
        </references>
      </pivotArea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" type="button" dataOnly="0" labelOnly="1" outline="0" axis="axisRow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4" type="button" dataOnly="0" labelOnly="1" outline="0" axis="axisRow" fieldPosition="3"/>
    </format>
    <format dxfId="54">
      <pivotArea field="5" type="button" dataOnly="0" labelOnly="1" outline="0" axis="axisRow" fieldPosition="4"/>
    </format>
    <format dxfId="53">
      <pivotArea field="6" type="button" dataOnly="0" labelOnly="1" outline="0" axis="axisRow" fieldPosition="5"/>
    </format>
    <format dxfId="52">
      <pivotArea field="7" type="button" dataOnly="0" labelOnly="1" outline="0" axis="axisRow" fieldPosition="6"/>
    </format>
    <format dxfId="51">
      <pivotArea field="8" type="button" dataOnly="0" labelOnly="1" outline="0" axis="axisRow" fieldPosition="7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1" count="1">
            <x v="0"/>
          </reference>
        </references>
      </pivotArea>
    </format>
    <format dxfId="45">
      <pivotArea dataOnly="0" labelOnly="1" outline="0" fieldPosition="0">
        <references count="1">
          <reference field="1" count="1">
            <x v="1"/>
          </reference>
        </references>
      </pivotArea>
    </format>
    <format dxfId="44">
      <pivotArea dataOnly="0" labelOnly="1" outline="0" fieldPosition="0">
        <references count="1">
          <reference field="1" count="1">
            <x v="2"/>
          </reference>
        </references>
      </pivotArea>
    </format>
    <format dxfId="43">
      <pivotArea dataOnly="0" labelOnly="1" outline="0" fieldPosition="0">
        <references count="1">
          <reference field="1" count="1">
            <x v="3"/>
          </reference>
        </references>
      </pivotArea>
    </format>
    <format dxfId="42">
      <pivotArea dataOnly="0" labelOnly="1" outline="0" fieldPosition="0">
        <references count="1">
          <reference field="1" count="1">
            <x v="4"/>
          </reference>
        </references>
      </pivotArea>
    </format>
    <format dxfId="41">
      <pivotArea dataOnly="0" labelOnly="1" outline="0" fieldPosition="0">
        <references count="1">
          <reference field="1" count="1">
            <x v="5"/>
          </reference>
        </references>
      </pivotArea>
    </format>
    <format dxfId="40">
      <pivotArea dataOnly="0" labelOnly="1" outline="0" fieldPosition="0">
        <references count="1">
          <reference field="1" count="1">
            <x v="6"/>
          </reference>
        </references>
      </pivotArea>
    </format>
    <format dxfId="39">
      <pivotArea dataOnly="0" labelOnly="1" outline="0" fieldPosition="0">
        <references count="1">
          <reference field="1" count="1">
            <x v="7"/>
          </reference>
        </references>
      </pivotArea>
    </format>
    <format dxfId="38">
      <pivotArea dataOnly="0" labelOnly="1" outline="0" fieldPosition="0">
        <references count="1">
          <reference field="1" count="1">
            <x v="8"/>
          </reference>
        </references>
      </pivotArea>
    </format>
    <format dxfId="37">
      <pivotArea dataOnly="0" labelOnly="1" outline="0" fieldPosition="0">
        <references count="1">
          <reference field="1" count="1">
            <x v="9"/>
          </reference>
        </references>
      </pivotArea>
    </format>
    <format dxfId="36">
      <pivotArea dataOnly="0" labelOnly="1" outline="0" fieldPosition="0">
        <references count="1">
          <reference field="1" count="1">
            <x v="10"/>
          </reference>
        </references>
      </pivotArea>
    </format>
    <format dxfId="35">
      <pivotArea dataOnly="0" labelOnly="1" outline="0" fieldPosition="0">
        <references count="1">
          <reference field="1" count="1">
            <x v="11"/>
          </reference>
        </references>
      </pivotArea>
    </format>
    <format dxfId="34">
      <pivotArea dataOnly="0" labelOnly="1" outline="0" fieldPosition="0">
        <references count="1">
          <reference field="1" count="1">
            <x v="12"/>
          </reference>
        </references>
      </pivotArea>
    </format>
    <format dxfId="33">
      <pivotArea dataOnly="0" labelOnly="1" outline="0" fieldPosition="0">
        <references count="1">
          <reference field="1" count="1">
            <x v="13"/>
          </reference>
        </references>
      </pivotArea>
    </format>
    <format dxfId="32">
      <pivotArea dataOnly="0" labelOnly="1" outline="0" fieldPosition="0">
        <references count="1">
          <reference field="1" count="1">
            <x v="14"/>
          </reference>
        </references>
      </pivotArea>
    </format>
    <format dxfId="31">
      <pivotArea dataOnly="0" labelOnly="1" outline="0" fieldPosition="0">
        <references count="1">
          <reference field="1" count="1">
            <x v="15"/>
          </reference>
        </references>
      </pivotArea>
    </format>
    <format dxfId="30">
      <pivotArea dataOnly="0" labelOnly="1" outline="0" fieldPosition="0">
        <references count="1">
          <reference field="1" count="1">
            <x v="16"/>
          </reference>
        </references>
      </pivotArea>
    </format>
    <format dxfId="29">
      <pivotArea dataOnly="0" labelOnly="1" outline="0" fieldPosition="0">
        <references count="1">
          <reference field="1" count="1">
            <x v="17"/>
          </reference>
        </references>
      </pivotArea>
    </format>
    <format dxfId="28">
      <pivotArea dataOnly="0" labelOnly="1" outline="0" fieldPosition="0">
        <references count="1">
          <reference field="1" count="1">
            <x v="18"/>
          </reference>
        </references>
      </pivotArea>
    </format>
    <format dxfId="27">
      <pivotArea dataOnly="0" labelOnly="1" outline="0" fieldPosition="0">
        <references count="1">
          <reference field="1" count="1">
            <x v="19"/>
          </reference>
        </references>
      </pivotArea>
    </format>
    <format dxfId="26">
      <pivotArea dataOnly="0" labelOnly="1" outline="0" fieldPosition="0">
        <references count="1">
          <reference field="1" count="1">
            <x v="20"/>
          </reference>
        </references>
      </pivotArea>
    </format>
    <format dxfId="25">
      <pivotArea dataOnly="0" labelOnly="1" outline="0" fieldPosition="0">
        <references count="1">
          <reference field="1" count="1">
            <x v="21"/>
          </reference>
        </references>
      </pivotArea>
    </format>
    <format dxfId="24">
      <pivotArea dataOnly="0" labelOnly="1" outline="0" fieldPosition="0">
        <references count="1">
          <reference field="1" count="1">
            <x v="22"/>
          </reference>
        </references>
      </pivotArea>
    </format>
    <format dxfId="23">
      <pivotArea dataOnly="0" labelOnly="1" outline="0" fieldPosition="0">
        <references count="1">
          <reference field="1" count="1">
            <x v="23"/>
          </reference>
        </references>
      </pivotArea>
    </format>
    <format dxfId="22">
      <pivotArea dataOnly="0" labelOnly="1" outline="0" fieldPosition="0">
        <references count="1">
          <reference field="1" count="1">
            <x v="24"/>
          </reference>
        </references>
      </pivotArea>
    </format>
    <format dxfId="21">
      <pivotArea dataOnly="0" labelOnly="1" outline="0" fieldPosition="0">
        <references count="1">
          <reference field="1" count="1">
            <x v="25"/>
          </reference>
        </references>
      </pivotArea>
    </format>
    <format dxfId="20">
      <pivotArea dataOnly="0" labelOnly="1" outline="0" fieldPosition="0">
        <references count="1">
          <reference field="1" count="1">
            <x v="26"/>
          </reference>
        </references>
      </pivotArea>
    </format>
    <format dxfId="19">
      <pivotArea dataOnly="0" labelOnly="1" outline="0" fieldPosition="0">
        <references count="1">
          <reference field="1" count="1">
            <x v="27"/>
          </reference>
        </references>
      </pivotArea>
    </format>
    <format dxfId="18">
      <pivotArea dataOnly="0" labelOnly="1" outline="0" fieldPosition="0">
        <references count="1">
          <reference field="1" count="1">
            <x v="28"/>
          </reference>
        </references>
      </pivotArea>
    </format>
    <format dxfId="17">
      <pivotArea dataOnly="0" labelOnly="1" outline="0" fieldPosition="0">
        <references count="1">
          <reference field="1" count="1">
            <x v="29"/>
          </reference>
        </references>
      </pivotArea>
    </format>
    <format dxfId="16">
      <pivotArea dataOnly="0" labelOnly="1" outline="0" fieldPosition="0">
        <references count="1">
          <reference field="1" count="1">
            <x v="30"/>
          </reference>
        </references>
      </pivotArea>
    </format>
    <format dxfId="15">
      <pivotArea dataOnly="0" labelOnly="1" outline="0" fieldPosition="0">
        <references count="1">
          <reference field="1" count="1">
            <x v="31"/>
          </reference>
        </references>
      </pivotArea>
    </format>
    <format dxfId="14">
      <pivotArea dataOnly="0" labelOnly="1" outline="0" fieldPosition="0">
        <references count="1">
          <reference field="1" count="1">
            <x v="32"/>
          </reference>
        </references>
      </pivotArea>
    </format>
    <format dxfId="13">
      <pivotArea dataOnly="0" labelOnly="1" outline="0" fieldPosition="0">
        <references count="1">
          <reference field="1" count="1">
            <x v="33"/>
          </reference>
        </references>
      </pivotArea>
    </format>
    <format dxfId="12">
      <pivotArea dataOnly="0" labelOnly="1" outline="0" fieldPosition="0">
        <references count="1">
          <reference field="1" count="1">
            <x v="34"/>
          </reference>
        </references>
      </pivotArea>
    </format>
    <format dxfId="11">
      <pivotArea dataOnly="0" labelOnly="1" outline="0" fieldPosition="0">
        <references count="1">
          <reference field="1" count="1">
            <x v="35"/>
          </reference>
        </references>
      </pivotArea>
    </format>
    <format dxfId="10">
      <pivotArea dataOnly="0" labelOnly="1" outline="0" fieldPosition="0">
        <references count="1">
          <reference field="1" count="1">
            <x v="36"/>
          </reference>
        </references>
      </pivotArea>
    </format>
    <format dxfId="9">
      <pivotArea dataOnly="0" labelOnly="1" outline="0" fieldPosition="0">
        <references count="1">
          <reference field="1" count="1">
            <x v="37"/>
          </reference>
        </references>
      </pivotArea>
    </format>
    <format dxfId="8">
      <pivotArea dataOnly="0" labelOnly="1" outline="0" fieldPosition="0">
        <references count="1">
          <reference field="1" count="1">
            <x v="38"/>
          </reference>
        </references>
      </pivotArea>
    </format>
    <format dxfId="7">
      <pivotArea dataOnly="0" labelOnly="1" outline="0" fieldPosition="0">
        <references count="1">
          <reference field="1" count="1">
            <x v="39"/>
          </reference>
        </references>
      </pivotArea>
    </format>
    <format dxfId="6">
      <pivotArea dataOnly="0" labelOnly="1" outline="0" fieldPosition="0">
        <references count="1">
          <reference field="1" count="1">
            <x v="40"/>
          </reference>
        </references>
      </pivotArea>
    </format>
    <format dxfId="5">
      <pivotArea dataOnly="0" labelOnly="1" outline="0" fieldPosition="0">
        <references count="1">
          <reference field="1" count="1">
            <x v="41"/>
          </reference>
        </references>
      </pivotArea>
    </format>
    <format dxfId="4">
      <pivotArea dataOnly="0" labelOnly="1" outline="0" fieldPosition="0">
        <references count="1">
          <reference field="1" count="1">
            <x v="42"/>
          </reference>
        </references>
      </pivotArea>
    </format>
    <format dxfId="3">
      <pivotArea dataOnly="0" labelOnly="1" outline="0" fieldPosition="0">
        <references count="1">
          <reference field="1" count="1">
            <x v="43"/>
          </reference>
        </references>
      </pivotArea>
    </format>
    <format dxfId="2">
      <pivotArea dataOnly="0" labelOnly="1" outline="0" fieldPosition="0">
        <references count="1">
          <reference field="1" count="1">
            <x v="44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J54" firstHeaderRow="1" firstDataRow="1" firstDataCol="8"/>
  <pivotFields count="11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formats count="67">
    <format dxfId="161">
      <pivotArea type="all" dataOnly="0" outline="0" fieldPosition="0"/>
    </format>
    <format dxfId="160">
      <pivotArea outline="0" collapsedLevelsAreSubtotals="1" fieldPosition="0"/>
    </format>
    <format dxfId="159">
      <pivotArea dataOnly="0" labelOnly="1" grandRow="1" outline="0" fieldPosition="0"/>
    </format>
    <format dxfId="144">
      <pivotArea field="1" type="button" dataOnly="0" labelOnly="1" outline="0" axis="axisRow" fieldPosition="0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4" type="button" dataOnly="0" labelOnly="1" outline="0" axis="axisRow" fieldPosition="3"/>
    </format>
    <format dxfId="140">
      <pivotArea field="5" type="button" dataOnly="0" labelOnly="1" outline="0" axis="axisRow" fieldPosition="4"/>
    </format>
    <format dxfId="139">
      <pivotArea field="6" type="button" dataOnly="0" labelOnly="1" outline="0" axis="axisRow" fieldPosition="5"/>
    </format>
    <format dxfId="138">
      <pivotArea field="7" type="button" dataOnly="0" labelOnly="1" outline="0" axis="axisRow" fieldPosition="6"/>
    </format>
    <format dxfId="137">
      <pivotArea field="8" type="button" dataOnly="0" labelOnly="1" outline="0" axis="axisRow" fieldPosition="7"/>
    </format>
    <format dxfId="136">
      <pivotArea type="all" dataOnly="0" outline="0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field="4" type="button" dataOnly="0" labelOnly="1" outline="0" axis="axisRow" fieldPosition="3"/>
    </format>
    <format dxfId="132">
      <pivotArea field="5" type="button" dataOnly="0" labelOnly="1" outline="0" axis="axisRow" fieldPosition="4"/>
    </format>
    <format dxfId="131">
      <pivotArea field="6" type="button" dataOnly="0" labelOnly="1" outline="0" axis="axisRow" fieldPosition="5"/>
    </format>
    <format dxfId="130">
      <pivotArea field="7" type="button" dataOnly="0" labelOnly="1" outline="0" axis="axisRow" fieldPosition="6"/>
    </format>
    <format dxfId="129">
      <pivotArea field="8" type="button" dataOnly="0" labelOnly="1" outline="0" axis="axisRow" fieldPosition="7"/>
    </format>
    <format dxfId="128">
      <pivotArea dataOnly="0" labelOnly="1" outline="0" fieldPosition="0">
        <references count="1">
          <reference field="1" count="0"/>
        </references>
      </pivotArea>
    </format>
    <format dxfId="127">
      <pivotArea field="1" type="button" dataOnly="0" labelOnly="1" outline="0" axis="axisRow" fieldPosition="0"/>
    </format>
    <format dxfId="126">
      <pivotArea dataOnly="0" labelOnly="1" outline="0" fieldPosition="0">
        <references count="1">
          <reference field="1" count="1">
            <x v="0"/>
          </reference>
        </references>
      </pivotArea>
    </format>
    <format dxfId="125">
      <pivotArea dataOnly="0" labelOnly="1" outline="0" fieldPosition="0">
        <references count="1">
          <reference field="1" count="1">
            <x v="1"/>
          </reference>
        </references>
      </pivotArea>
    </format>
    <format dxfId="124">
      <pivotArea dataOnly="0" labelOnly="1" outline="0" fieldPosition="0">
        <references count="1">
          <reference field="1" count="1">
            <x v="2"/>
          </reference>
        </references>
      </pivotArea>
    </format>
    <format dxfId="123">
      <pivotArea dataOnly="0" labelOnly="1" outline="0" fieldPosition="0">
        <references count="1">
          <reference field="1" count="1">
            <x v="3"/>
          </reference>
        </references>
      </pivotArea>
    </format>
    <format dxfId="122">
      <pivotArea dataOnly="0" labelOnly="1" outline="0" fieldPosition="0">
        <references count="1">
          <reference field="1" count="1">
            <x v="4"/>
          </reference>
        </references>
      </pivotArea>
    </format>
    <format dxfId="121">
      <pivotArea dataOnly="0" labelOnly="1" outline="0" fieldPosition="0">
        <references count="1">
          <reference field="1" count="1">
            <x v="5"/>
          </reference>
        </references>
      </pivotArea>
    </format>
    <format dxfId="120">
      <pivotArea dataOnly="0" labelOnly="1" outline="0" fieldPosition="0">
        <references count="1">
          <reference field="1" count="1">
            <x v="6"/>
          </reference>
        </references>
      </pivotArea>
    </format>
    <format dxfId="119">
      <pivotArea dataOnly="0" labelOnly="1" outline="0" fieldPosition="0">
        <references count="1">
          <reference field="1" count="1">
            <x v="7"/>
          </reference>
        </references>
      </pivotArea>
    </format>
    <format dxfId="118">
      <pivotArea dataOnly="0" labelOnly="1" outline="0" fieldPosition="0">
        <references count="1">
          <reference field="1" count="1">
            <x v="8"/>
          </reference>
        </references>
      </pivotArea>
    </format>
    <format dxfId="117">
      <pivotArea dataOnly="0" labelOnly="1" outline="0" fieldPosition="0">
        <references count="1">
          <reference field="1" count="1">
            <x v="9"/>
          </reference>
        </references>
      </pivotArea>
    </format>
    <format dxfId="116">
      <pivotArea dataOnly="0" labelOnly="1" outline="0" fieldPosition="0">
        <references count="1">
          <reference field="1" count="1">
            <x v="10"/>
          </reference>
        </references>
      </pivotArea>
    </format>
    <format dxfId="115">
      <pivotArea dataOnly="0" labelOnly="1" outline="0" fieldPosition="0">
        <references count="1">
          <reference field="1" count="1">
            <x v="11"/>
          </reference>
        </references>
      </pivotArea>
    </format>
    <format dxfId="114">
      <pivotArea dataOnly="0" labelOnly="1" outline="0" fieldPosition="0">
        <references count="1">
          <reference field="1" count="1">
            <x v="12"/>
          </reference>
        </references>
      </pivotArea>
    </format>
    <format dxfId="113">
      <pivotArea dataOnly="0" labelOnly="1" outline="0" fieldPosition="0">
        <references count="1">
          <reference field="1" count="1">
            <x v="13"/>
          </reference>
        </references>
      </pivotArea>
    </format>
    <format dxfId="112">
      <pivotArea dataOnly="0" labelOnly="1" outline="0" fieldPosition="0">
        <references count="1">
          <reference field="1" count="1">
            <x v="14"/>
          </reference>
        </references>
      </pivotArea>
    </format>
    <format dxfId="111">
      <pivotArea dataOnly="0" labelOnly="1" outline="0" fieldPosition="0">
        <references count="1">
          <reference field="1" count="1">
            <x v="15"/>
          </reference>
        </references>
      </pivotArea>
    </format>
    <format dxfId="110">
      <pivotArea dataOnly="0" labelOnly="1" outline="0" fieldPosition="0">
        <references count="1">
          <reference field="1" count="1">
            <x v="16"/>
          </reference>
        </references>
      </pivotArea>
    </format>
    <format dxfId="109">
      <pivotArea dataOnly="0" labelOnly="1" outline="0" fieldPosition="0">
        <references count="1">
          <reference field="1" count="1">
            <x v="17"/>
          </reference>
        </references>
      </pivotArea>
    </format>
    <format dxfId="108">
      <pivotArea dataOnly="0" labelOnly="1" outline="0" fieldPosition="0">
        <references count="1">
          <reference field="1" count="1">
            <x v="18"/>
          </reference>
        </references>
      </pivotArea>
    </format>
    <format dxfId="107">
      <pivotArea dataOnly="0" labelOnly="1" outline="0" fieldPosition="0">
        <references count="1">
          <reference field="1" count="1">
            <x v="19"/>
          </reference>
        </references>
      </pivotArea>
    </format>
    <format dxfId="106">
      <pivotArea dataOnly="0" labelOnly="1" outline="0" fieldPosition="0">
        <references count="1">
          <reference field="1" count="1">
            <x v="20"/>
          </reference>
        </references>
      </pivotArea>
    </format>
    <format dxfId="105">
      <pivotArea dataOnly="0" labelOnly="1" outline="0" fieldPosition="0">
        <references count="1">
          <reference field="1" count="1">
            <x v="21"/>
          </reference>
        </references>
      </pivotArea>
    </format>
    <format dxfId="104">
      <pivotArea dataOnly="0" labelOnly="1" outline="0" fieldPosition="0">
        <references count="1">
          <reference field="1" count="1">
            <x v="22"/>
          </reference>
        </references>
      </pivotArea>
    </format>
    <format dxfId="103">
      <pivotArea dataOnly="0" labelOnly="1" outline="0" fieldPosition="0">
        <references count="1">
          <reference field="1" count="1">
            <x v="23"/>
          </reference>
        </references>
      </pivotArea>
    </format>
    <format dxfId="102">
      <pivotArea dataOnly="0" labelOnly="1" outline="0" fieldPosition="0">
        <references count="1">
          <reference field="1" count="1">
            <x v="24"/>
          </reference>
        </references>
      </pivotArea>
    </format>
    <format dxfId="101">
      <pivotArea dataOnly="0" labelOnly="1" outline="0" fieldPosition="0">
        <references count="1">
          <reference field="1" count="1">
            <x v="25"/>
          </reference>
        </references>
      </pivotArea>
    </format>
    <format dxfId="100">
      <pivotArea dataOnly="0" labelOnly="1" outline="0" fieldPosition="0">
        <references count="1">
          <reference field="1" count="1">
            <x v="26"/>
          </reference>
        </references>
      </pivotArea>
    </format>
    <format dxfId="99">
      <pivotArea dataOnly="0" labelOnly="1" outline="0" fieldPosition="0">
        <references count="1">
          <reference field="1" count="1">
            <x v="27"/>
          </reference>
        </references>
      </pivotArea>
    </format>
    <format dxfId="98">
      <pivotArea dataOnly="0" labelOnly="1" outline="0" fieldPosition="0">
        <references count="1">
          <reference field="1" count="1">
            <x v="28"/>
          </reference>
        </references>
      </pivotArea>
    </format>
    <format dxfId="97">
      <pivotArea dataOnly="0" labelOnly="1" outline="0" fieldPosition="0">
        <references count="1">
          <reference field="1" count="1">
            <x v="29"/>
          </reference>
        </references>
      </pivotArea>
    </format>
    <format dxfId="96">
      <pivotArea dataOnly="0" labelOnly="1" outline="0" fieldPosition="0">
        <references count="1">
          <reference field="1" count="1">
            <x v="30"/>
          </reference>
        </references>
      </pivotArea>
    </format>
    <format dxfId="95">
      <pivotArea dataOnly="0" labelOnly="1" outline="0" fieldPosition="0">
        <references count="1">
          <reference field="1" count="1">
            <x v="31"/>
          </reference>
        </references>
      </pivotArea>
    </format>
    <format dxfId="94">
      <pivotArea dataOnly="0" labelOnly="1" outline="0" fieldPosition="0">
        <references count="1">
          <reference field="1" count="1">
            <x v="32"/>
          </reference>
        </references>
      </pivotArea>
    </format>
    <format dxfId="93">
      <pivotArea dataOnly="0" labelOnly="1" outline="0" fieldPosition="0">
        <references count="1">
          <reference field="1" count="1">
            <x v="33"/>
          </reference>
        </references>
      </pivotArea>
    </format>
    <format dxfId="92">
      <pivotArea dataOnly="0" labelOnly="1" outline="0" fieldPosition="0">
        <references count="1">
          <reference field="1" count="1">
            <x v="34"/>
          </reference>
        </references>
      </pivotArea>
    </format>
    <format dxfId="91">
      <pivotArea dataOnly="0" labelOnly="1" outline="0" fieldPosition="0">
        <references count="1">
          <reference field="1" count="1">
            <x v="35"/>
          </reference>
        </references>
      </pivotArea>
    </format>
    <format dxfId="90">
      <pivotArea dataOnly="0" labelOnly="1" outline="0" fieldPosition="0">
        <references count="1">
          <reference field="1" count="1">
            <x v="36"/>
          </reference>
        </references>
      </pivotArea>
    </format>
    <format dxfId="89">
      <pivotArea dataOnly="0" labelOnly="1" outline="0" fieldPosition="0">
        <references count="1">
          <reference field="1" count="1">
            <x v="37"/>
          </reference>
        </references>
      </pivotArea>
    </format>
    <format dxfId="88">
      <pivotArea dataOnly="0" labelOnly="1" outline="0" fieldPosition="0">
        <references count="1">
          <reference field="1" count="1">
            <x v="38"/>
          </reference>
        </references>
      </pivotArea>
    </format>
    <format dxfId="87">
      <pivotArea dataOnly="0" labelOnly="1" outline="0" fieldPosition="0">
        <references count="1">
          <reference field="1" count="1">
            <x v="39"/>
          </reference>
        </references>
      </pivotArea>
    </format>
    <format dxfId="86">
      <pivotArea dataOnly="0" labelOnly="1" outline="0" fieldPosition="0">
        <references count="1">
          <reference field="1" count="1">
            <x v="40"/>
          </reference>
        </references>
      </pivotArea>
    </format>
    <format dxfId="85">
      <pivotArea dataOnly="0" labelOnly="1" outline="0" fieldPosition="0">
        <references count="1">
          <reference field="1" count="1">
            <x v="41"/>
          </reference>
        </references>
      </pivotArea>
    </format>
    <format dxfId="84">
      <pivotArea dataOnly="0" labelOnly="1" outline="0" fieldPosition="0">
        <references count="1">
          <reference field="1" count="1">
            <x v="42"/>
          </reference>
        </references>
      </pivotArea>
    </format>
    <format dxfId="83">
      <pivotArea dataOnly="0" labelOnly="1" outline="0" fieldPosition="0">
        <references count="1">
          <reference field="1" count="1">
            <x v="43"/>
          </reference>
        </references>
      </pivotArea>
    </format>
    <format dxfId="82">
      <pivotArea dataOnly="0" labelOnly="1" outline="0" fieldPosition="0">
        <references count="1">
          <reference field="1" count="1">
            <x v="44"/>
          </reference>
        </references>
      </pivotArea>
    </format>
    <format dxfId="8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58" dataDxfId="208" headerRowBorderDxfId="209" headerRowCellStyle="Normal 2">
  <autoFilter ref="B10:AA18" xr:uid="{7EC467B7-DE9E-48DF-95B5-2995F1F6DE8F}"/>
  <tableColumns count="26">
    <tableColumn id="1" xr3:uid="{CDAE6949-9186-42E8-AEBE-1928381A0155}" name="Field" dataDxfId="207" dataCellStyle="Normal 2"/>
    <tableColumn id="2" xr3:uid="{24D139B7-BFC8-4DD9-8DE4-2245810E04F3}" name="Definition" dataDxfId="15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06"/>
    <tableColumn id="8" xr3:uid="{30CDB1E0-924C-48B4-82F4-9B3E3228BE95}" name="Distinct %" dataDxfId="205"/>
    <tableColumn id="12" xr3:uid="{03824906-BEA5-4B63-A981-21F959B6439E}" name="Missing %" dataDxfId="204" dataCellStyle="Percent 2"/>
    <tableColumn id="6" xr3:uid="{8DFFE5A0-8676-4576-AB4D-97E8B31EC097}" name="Memory Usage %" dataDxfId="203" dataCellStyle="Percent 2"/>
    <tableColumn id="5" xr3:uid="{DD50C3DA-F4A8-40F0-AFBD-DBF916650F7E}" name="Memory Usage" dataDxfId="202"/>
    <tableColumn id="7" xr3:uid="{A0CD56D0-07EF-46CA-BC46-D54CD5E746C7}" name="Distinct" dataDxfId="201"/>
    <tableColumn id="9" xr3:uid="{1C848176-6AC1-44A6-9B3B-F1C9E8BC32EA}" name="Count" dataDxfId="200"/>
    <tableColumn id="10" xr3:uid="{6C6E6A37-4969-459F-AC39-2193366810E2}" name="Count %" dataDxfId="199"/>
    <tableColumn id="11" xr3:uid="{CD47252D-0307-4513-AF7C-13CC4AA1FCD9}" name="Missing" dataDxfId="198"/>
    <tableColumn id="13" xr3:uid="{2B45F7F8-CE35-48A6-BB27-9684B5D7936D}" name="Mean" dataDxfId="197"/>
    <tableColumn id="14" xr3:uid="{293386E4-1FA6-4340-9DC6-54CC26209C0A}" name="Median" dataDxfId="196"/>
    <tableColumn id="15" xr3:uid="{29252F5E-4163-4D62-89FC-FF85F6C4755C}" name="Mode" dataDxfId="195"/>
    <tableColumn id="16" xr3:uid="{69FFA3C1-FD1E-4395-AF2E-177FDFCDE62A}" name="Standard Deviation" dataDxfId="194"/>
    <tableColumn id="17" xr3:uid="{2AAB37E9-8AE2-4771-B92B-C04BFABA0B4E}" name="Variance" dataDxfId="193"/>
    <tableColumn id="18" xr3:uid="{07151E41-6633-4A65-A7E1-091F027DEF95}" name="Min" dataDxfId="192"/>
    <tableColumn id="19" xr3:uid="{41A1FD5D-4E5C-45B3-A0C7-1820F89F417F}" name="5%" dataDxfId="191"/>
    <tableColumn id="20" xr3:uid="{50D70984-5A2E-4A19-9F2B-5DA0502339BC}" name="25%" dataDxfId="190"/>
    <tableColumn id="21" xr3:uid="{75FF5489-8FC0-4894-83BC-802076BF1066}" name="50%" dataDxfId="189"/>
    <tableColumn id="22" xr3:uid="{B7FA20A8-EE17-470E-93AD-54011230C113}" name="75%" dataDxfId="188"/>
    <tableColumn id="23" xr3:uid="{378BE758-7A3F-4C04-A75B-FE899B1B0BAD}" name="95%" dataDxfId="187"/>
    <tableColumn id="24" xr3:uid="{818594E7-DC84-4229-81F6-97C1E2E93633}" name="Max" dataDxfId="186"/>
    <tableColumn id="25" xr3:uid="{D8116583-A886-47C1-85E2-D28AD96194AD}" name="Range" dataDxfId="185"/>
    <tableColumn id="26" xr3:uid="{D061AC6A-EAB2-461F-8AB8-E743DC68E666}" name="IQR" dataDxfId="18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M129" totalsRowShown="0" headerRowDxfId="174" dataDxfId="173">
  <autoFilter ref="C78:M129" xr:uid="{DB263373-2B4F-4302-9CF6-5012CE3F1A47}"/>
  <tableColumns count="11">
    <tableColumn id="1" xr3:uid="{B87F6371-B38F-4AA9-8A9B-F1D62600E38F}" name="Record List" dataDxfId="145" dataCellStyle="Normal 2"/>
    <tableColumn id="2" xr3:uid="{55547D6A-0C4F-44F3-8DA7-D9918F9ECA79}" name="total" dataDxfId="172"/>
    <tableColumn id="8" xr3:uid="{5CEA6B82-08F7-4BBF-BE74-DD211F1E2384}" name="speeding" dataDxfId="171"/>
    <tableColumn id="3" xr3:uid="{6C0B3232-D5C0-4185-AF99-A47484E561D2}" name="alcohol" dataDxfId="170"/>
    <tableColumn id="4" xr3:uid="{C9D982DD-E9BD-4331-ACC6-D2BCD5C3035D}" name="not_distracted" dataDxfId="152"/>
    <tableColumn id="5" xr3:uid="{5BEBD4CD-736B-48D5-8BAA-99FD8ACCD6A5}" name="no_previous" dataDxfId="151"/>
    <tableColumn id="6" xr3:uid="{0A9162D2-0FB7-42AB-BAF8-1588381E6C27}" name="ins_premium" dataDxfId="150"/>
    <tableColumn id="7" xr3:uid="{63D9BE49-CC15-47E6-ADBE-943914C51099}" name="ins_losses" dataDxfId="149"/>
    <tableColumn id="9" xr3:uid="{63192C6B-A8B2-4EE2-9045-EE6F6D09E9D0}" name="abbrev" dataDxfId="148"/>
    <tableColumn id="10" xr3:uid="{196E503D-C955-4666-B257-67FF95FAEDAF}" name="HasBlank" dataDxfId="147"/>
    <tableColumn id="11" xr3:uid="{0A1A8F4B-6E56-4AFE-975E-46B3A046D253}" name="Record Hash" dataDxfId="146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car crashes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51</v>
      </c>
      <c r="AA4" s="99"/>
    </row>
    <row r="5" spans="2:27">
      <c r="B5" s="82" t="s">
        <v>26</v>
      </c>
      <c r="C5" s="47">
        <v>8</v>
      </c>
    </row>
    <row r="6" spans="2:27">
      <c r="B6" s="84" t="s">
        <v>4</v>
      </c>
      <c r="C6" s="47" t="s">
        <v>65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66</v>
      </c>
      <c r="F11" s="49">
        <v>0.88235294117647001</v>
      </c>
      <c r="G11" s="50">
        <v>0</v>
      </c>
      <c r="H11" s="49">
        <v>0.10790796085691599</v>
      </c>
      <c r="I11" s="51">
        <v>408</v>
      </c>
      <c r="J11" s="51">
        <v>45</v>
      </c>
      <c r="K11" s="51">
        <v>51</v>
      </c>
      <c r="L11" s="52">
        <v>1</v>
      </c>
      <c r="M11" s="51">
        <v>0</v>
      </c>
      <c r="N11" s="53">
        <v>15.7901960784313</v>
      </c>
      <c r="O11" s="53">
        <v>15.6</v>
      </c>
      <c r="P11" s="53">
        <v>12.8</v>
      </c>
      <c r="Q11" s="53">
        <v>4.1220021786486596</v>
      </c>
      <c r="R11" s="53">
        <v>16.990901960784299</v>
      </c>
      <c r="S11" s="53">
        <v>5.9</v>
      </c>
      <c r="T11" s="53">
        <v>10.1</v>
      </c>
      <c r="U11" s="53">
        <v>12.75</v>
      </c>
      <c r="V11" s="53">
        <v>15.6</v>
      </c>
      <c r="W11" s="53">
        <v>18.5</v>
      </c>
      <c r="X11" s="53">
        <v>23.1</v>
      </c>
      <c r="Y11" s="53">
        <v>23.9</v>
      </c>
      <c r="Z11" s="53">
        <v>18</v>
      </c>
      <c r="AA11" s="53">
        <v>5.75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66</v>
      </c>
      <c r="F12" s="52">
        <v>0.98039215686274495</v>
      </c>
      <c r="G12" s="126">
        <v>0</v>
      </c>
      <c r="H12" s="127">
        <v>0.10790796085691599</v>
      </c>
      <c r="I12" s="51">
        <v>408</v>
      </c>
      <c r="J12" s="51">
        <v>50</v>
      </c>
      <c r="K12" s="51">
        <v>51</v>
      </c>
      <c r="L12" s="52">
        <v>1</v>
      </c>
      <c r="M12" s="51">
        <v>0</v>
      </c>
      <c r="N12" s="53">
        <v>4.9981960784313699</v>
      </c>
      <c r="O12" s="53">
        <v>4.6079999999999997</v>
      </c>
      <c r="P12" s="53">
        <v>4.968</v>
      </c>
      <c r="Q12" s="53">
        <v>2.0177470903917301</v>
      </c>
      <c r="R12" s="53">
        <v>4.0713033207843097</v>
      </c>
      <c r="S12" s="53">
        <v>1.79199999999999</v>
      </c>
      <c r="T12" s="53">
        <v>1.9715</v>
      </c>
      <c r="U12" s="53">
        <v>3.76649999999999</v>
      </c>
      <c r="V12" s="53">
        <v>4.6079999999999997</v>
      </c>
      <c r="W12" s="53">
        <v>6.4390000000000001</v>
      </c>
      <c r="X12" s="53">
        <v>8.7139999999999898</v>
      </c>
      <c r="Y12" s="53">
        <v>9.4499999999999993</v>
      </c>
      <c r="Z12" s="53">
        <v>7.6579999999999897</v>
      </c>
      <c r="AA12" s="53">
        <v>2.6724999999999999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66</v>
      </c>
      <c r="F13" s="52">
        <v>0.98039215686274495</v>
      </c>
      <c r="G13" s="126">
        <v>0</v>
      </c>
      <c r="H13" s="127">
        <v>0.10790796085691599</v>
      </c>
      <c r="I13" s="51">
        <v>408</v>
      </c>
      <c r="J13" s="51">
        <v>50</v>
      </c>
      <c r="K13" s="51">
        <v>51</v>
      </c>
      <c r="L13" s="52">
        <v>1</v>
      </c>
      <c r="M13" s="51">
        <v>0</v>
      </c>
      <c r="N13" s="53">
        <v>4.8867843137254896</v>
      </c>
      <c r="O13" s="53">
        <v>4.5540000000000003</v>
      </c>
      <c r="P13" s="53">
        <v>5.2080000000000002</v>
      </c>
      <c r="Q13" s="53">
        <v>1.7291329077167601</v>
      </c>
      <c r="R13" s="53">
        <v>2.98990061254902</v>
      </c>
      <c r="S13" s="53">
        <v>1.593</v>
      </c>
      <c r="T13" s="53">
        <v>2.827</v>
      </c>
      <c r="U13" s="53">
        <v>3.8940000000000001</v>
      </c>
      <c r="V13" s="53">
        <v>4.5540000000000003</v>
      </c>
      <c r="W13" s="53">
        <v>5.6039999999999903</v>
      </c>
      <c r="X13" s="53">
        <v>8.3940000000000001</v>
      </c>
      <c r="Y13" s="53">
        <v>10.038</v>
      </c>
      <c r="Z13" s="53">
        <v>8.4450000000000003</v>
      </c>
      <c r="AA13" s="53">
        <v>1.70999999999999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66</v>
      </c>
      <c r="F14" s="52">
        <v>0.98039215686274495</v>
      </c>
      <c r="G14" s="126">
        <v>0</v>
      </c>
      <c r="H14" s="127">
        <v>0.10790796085691599</v>
      </c>
      <c r="I14" s="51">
        <v>408</v>
      </c>
      <c r="J14" s="51">
        <v>50</v>
      </c>
      <c r="K14" s="51">
        <v>51</v>
      </c>
      <c r="L14" s="52">
        <v>1</v>
      </c>
      <c r="M14" s="51">
        <v>0</v>
      </c>
      <c r="N14" s="53">
        <v>13.5731764705882</v>
      </c>
      <c r="O14" s="53">
        <v>13.856999999999999</v>
      </c>
      <c r="P14" s="53">
        <v>14.093999999999999</v>
      </c>
      <c r="Q14" s="53">
        <v>4.5089770844655304</v>
      </c>
      <c r="R14" s="53">
        <v>20.330874348235199</v>
      </c>
      <c r="S14" s="53">
        <v>1.76</v>
      </c>
      <c r="T14" s="53">
        <v>6.5170000000000003</v>
      </c>
      <c r="U14" s="53">
        <v>10.4779999999999</v>
      </c>
      <c r="V14" s="53">
        <v>13.856999999999999</v>
      </c>
      <c r="W14" s="53">
        <v>16.14</v>
      </c>
      <c r="X14" s="53">
        <v>22</v>
      </c>
      <c r="Y14" s="53">
        <v>23.661000000000001</v>
      </c>
      <c r="Z14" s="53">
        <v>21.901</v>
      </c>
      <c r="AA14" s="53">
        <v>5.6619999999999999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66</v>
      </c>
      <c r="F15" s="52">
        <v>0.98039215686274495</v>
      </c>
      <c r="G15" s="126">
        <v>0</v>
      </c>
      <c r="H15" s="127">
        <v>0.10790796085691599</v>
      </c>
      <c r="I15" s="51">
        <v>408</v>
      </c>
      <c r="J15" s="51">
        <v>50</v>
      </c>
      <c r="K15" s="51">
        <v>51</v>
      </c>
      <c r="L15" s="52">
        <v>1</v>
      </c>
      <c r="M15" s="51">
        <v>0</v>
      </c>
      <c r="N15" s="53">
        <v>14.004882352941101</v>
      </c>
      <c r="O15" s="53">
        <v>13.775</v>
      </c>
      <c r="P15" s="53">
        <v>12.92</v>
      </c>
      <c r="Q15" s="53">
        <v>3.7646718988355801</v>
      </c>
      <c r="R15" s="53">
        <v>14.172754505882301</v>
      </c>
      <c r="S15" s="53">
        <v>5.9</v>
      </c>
      <c r="T15" s="53">
        <v>8.5919999999999899</v>
      </c>
      <c r="U15" s="53">
        <v>11.3479999999999</v>
      </c>
      <c r="V15" s="53">
        <v>13.775</v>
      </c>
      <c r="W15" s="53">
        <v>16.754999999999999</v>
      </c>
      <c r="X15" s="53">
        <v>20.321999999999999</v>
      </c>
      <c r="Y15" s="53">
        <v>21.28</v>
      </c>
      <c r="Z15" s="53">
        <v>15.38</v>
      </c>
      <c r="AA15" s="53">
        <v>5.407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66</v>
      </c>
      <c r="F16" s="52">
        <v>1</v>
      </c>
      <c r="G16" s="126">
        <v>0</v>
      </c>
      <c r="H16" s="127">
        <v>0.10790796085691599</v>
      </c>
      <c r="I16" s="51">
        <v>408</v>
      </c>
      <c r="J16" s="51">
        <v>51</v>
      </c>
      <c r="K16" s="51">
        <v>51</v>
      </c>
      <c r="L16" s="52">
        <v>1</v>
      </c>
      <c r="M16" s="51">
        <v>0</v>
      </c>
      <c r="N16" s="53">
        <v>886.957647058823</v>
      </c>
      <c r="O16" s="53">
        <v>858.97</v>
      </c>
      <c r="P16" s="53">
        <v>641.96</v>
      </c>
      <c r="Q16" s="53">
        <v>178.296284791223</v>
      </c>
      <c r="R16" s="53">
        <v>31789.5651703529</v>
      </c>
      <c r="S16" s="53">
        <v>641.96</v>
      </c>
      <c r="T16" s="53">
        <v>665.59500000000003</v>
      </c>
      <c r="U16" s="53">
        <v>768.43</v>
      </c>
      <c r="V16" s="53">
        <v>858.97</v>
      </c>
      <c r="W16" s="53">
        <v>1007.94499999999</v>
      </c>
      <c r="X16" s="53">
        <v>1254.0999999999999</v>
      </c>
      <c r="Y16" s="53">
        <v>1301.52</v>
      </c>
      <c r="Z16" s="53">
        <v>659.56</v>
      </c>
      <c r="AA16" s="53">
        <v>239.51499999999899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9" t="s">
        <v>66</v>
      </c>
      <c r="F17" s="52">
        <v>1</v>
      </c>
      <c r="G17" s="126">
        <v>0</v>
      </c>
      <c r="H17" s="127">
        <v>0.10790796085691599</v>
      </c>
      <c r="I17" s="51">
        <v>408</v>
      </c>
      <c r="J17" s="51">
        <v>51</v>
      </c>
      <c r="K17" s="51">
        <v>51</v>
      </c>
      <c r="L17" s="52">
        <v>1</v>
      </c>
      <c r="M17" s="51">
        <v>0</v>
      </c>
      <c r="N17" s="53">
        <v>134.493137254901</v>
      </c>
      <c r="O17" s="53">
        <v>136.05000000000001</v>
      </c>
      <c r="P17" s="53">
        <v>82.75</v>
      </c>
      <c r="Q17" s="53">
        <v>24.835922490634001</v>
      </c>
      <c r="R17" s="53">
        <v>616.82304596078404</v>
      </c>
      <c r="S17" s="53">
        <v>82.75</v>
      </c>
      <c r="T17" s="53">
        <v>96.72</v>
      </c>
      <c r="U17" s="53">
        <v>114.645</v>
      </c>
      <c r="V17" s="53">
        <v>136.05000000000001</v>
      </c>
      <c r="W17" s="53">
        <v>151.87</v>
      </c>
      <c r="X17" s="53">
        <v>172.94</v>
      </c>
      <c r="Y17" s="53">
        <v>194.78</v>
      </c>
      <c r="Z17" s="53">
        <v>112.03</v>
      </c>
      <c r="AA17" s="53">
        <v>37.225000000000001</v>
      </c>
    </row>
    <row r="18" spans="2:27">
      <c r="B18" s="128" t="s">
        <v>63</v>
      </c>
      <c r="C18" s="129" t="str">
        <f>IF(INDEX(Definitions,1,MATCH(tbl_Overview[[#This Row],[Field]],Headers,0))="Definition","",INDEX(Definitions,1,MATCH(tbl_Overview[[#This Row],[Field]],Headers,0)))</f>
        <v/>
      </c>
      <c r="D18" s="130" t="str">
        <f>IF(INDEX(Notes,1,MATCH(tbl_Overview[[#This Row],[Field]],Headers,0))="Notes","",INDEX(Notes,1,MATCH(tbl_Overview[[#This Row],[Field]],Headers,0)))</f>
        <v/>
      </c>
      <c r="E18" s="131" t="s">
        <v>67</v>
      </c>
      <c r="F18" s="132">
        <v>1</v>
      </c>
      <c r="G18" s="133">
        <v>0</v>
      </c>
      <c r="H18" s="134">
        <v>0.13673631314467</v>
      </c>
      <c r="I18" s="135">
        <v>517</v>
      </c>
      <c r="J18" s="135">
        <v>51</v>
      </c>
      <c r="K18" s="135">
        <v>51</v>
      </c>
      <c r="L18" s="132">
        <v>1</v>
      </c>
      <c r="M18" s="135">
        <v>0</v>
      </c>
      <c r="N18" s="136"/>
      <c r="O18" s="136"/>
      <c r="P18" s="136" t="s">
        <v>68</v>
      </c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1" width="27.77734375" style="1" customWidth="1"/>
    <col min="12" max="13" width="15.7773437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  <c r="K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  <c r="K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  <c r="K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  <c r="K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88" t="s">
        <v>54</v>
      </c>
      <c r="M11" s="88" t="s">
        <v>64</v>
      </c>
    </row>
    <row r="12" spans="1:14" ht="4.95" customHeight="1">
      <c r="A12"/>
      <c r="C12"/>
      <c r="D12"/>
      <c r="E12"/>
      <c r="F12"/>
      <c r="G12"/>
      <c r="H12"/>
      <c r="I12"/>
      <c r="J12"/>
      <c r="K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  <c r="K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  <c r="K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</row>
    <row r="17" spans="1:11" hidden="1" outlineLevel="2">
      <c r="A17" s="61"/>
      <c r="B17" s="63"/>
      <c r="C17" s="85" t="s">
        <v>25</v>
      </c>
      <c r="D17" s="87">
        <v>51</v>
      </c>
      <c r="E17" s="44"/>
      <c r="F17" s="44"/>
      <c r="G17" s="44"/>
      <c r="H17" s="44"/>
      <c r="I17" s="44"/>
      <c r="J17" s="44"/>
      <c r="K17" s="44"/>
    </row>
    <row r="18" spans="1:11" hidden="1" outlineLevel="2">
      <c r="A18" s="61"/>
      <c r="B18" s="63"/>
      <c r="C18" s="85" t="s">
        <v>45</v>
      </c>
      <c r="D18" s="87">
        <v>8</v>
      </c>
      <c r="E18" s="44"/>
      <c r="F18" s="44"/>
      <c r="G18" s="44"/>
      <c r="H18" s="44"/>
      <c r="I18" s="44"/>
      <c r="J18" s="44"/>
      <c r="K18" s="44"/>
    </row>
    <row r="19" spans="1:11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  <c r="K19"/>
    </row>
    <row r="20" spans="1:11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  <c r="K20"/>
    </row>
    <row r="21" spans="1:11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</row>
    <row r="22" spans="1:11" ht="14.4" hidden="1" customHeight="1" outlineLevel="2">
      <c r="A22" s="34"/>
      <c r="B22" s="35"/>
      <c r="C22" s="82" t="s">
        <v>3</v>
      </c>
      <c r="D22" s="11" t="s">
        <v>66</v>
      </c>
      <c r="E22" s="11" t="s">
        <v>66</v>
      </c>
      <c r="F22" s="11" t="s">
        <v>66</v>
      </c>
      <c r="G22" s="11" t="s">
        <v>66</v>
      </c>
      <c r="H22" s="11" t="s">
        <v>66</v>
      </c>
      <c r="I22" s="11" t="s">
        <v>66</v>
      </c>
      <c r="J22" s="11" t="s">
        <v>66</v>
      </c>
      <c r="K22" s="11" t="s">
        <v>67</v>
      </c>
    </row>
    <row r="23" spans="1:11" ht="14.4" hidden="1" customHeight="1" outlineLevel="2">
      <c r="A23" s="34"/>
      <c r="B23" s="36"/>
      <c r="C23" s="80" t="s">
        <v>7</v>
      </c>
      <c r="D23" s="37">
        <v>0.88235294117647001</v>
      </c>
      <c r="E23" s="37">
        <v>0.98039215686274495</v>
      </c>
      <c r="F23" s="37">
        <v>0.98039215686274495</v>
      </c>
      <c r="G23" s="37">
        <v>0.98039215686274495</v>
      </c>
      <c r="H23" s="37">
        <v>0.98039215686274495</v>
      </c>
      <c r="I23" s="37">
        <v>1</v>
      </c>
      <c r="J23" s="37">
        <v>1</v>
      </c>
      <c r="K23" s="37">
        <v>1</v>
      </c>
    </row>
    <row r="24" spans="1:11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</row>
    <row r="25" spans="1:11" ht="14.4" hidden="1" customHeight="1" outlineLevel="2">
      <c r="B25" s="12"/>
      <c r="C25" s="84" t="s">
        <v>5</v>
      </c>
      <c r="D25" s="37">
        <v>0.10790796085691599</v>
      </c>
      <c r="E25" s="37">
        <v>0.10790796085691599</v>
      </c>
      <c r="F25" s="37">
        <v>0.10790796085691599</v>
      </c>
      <c r="G25" s="37">
        <v>0.10790796085691599</v>
      </c>
      <c r="H25" s="37">
        <v>0.10790796085691599</v>
      </c>
      <c r="I25" s="37">
        <v>0.10790796085691599</v>
      </c>
      <c r="J25" s="37">
        <v>0.10790796085691599</v>
      </c>
      <c r="K25" s="37">
        <v>0.13673631314467</v>
      </c>
    </row>
    <row r="26" spans="1:11" ht="14.4" hidden="1" customHeight="1" outlineLevel="2">
      <c r="B26" s="12"/>
      <c r="C26" s="80" t="s">
        <v>4</v>
      </c>
      <c r="D26" s="11">
        <v>408</v>
      </c>
      <c r="E26" s="11">
        <v>408</v>
      </c>
      <c r="F26" s="11">
        <v>408</v>
      </c>
      <c r="G26" s="11">
        <v>408</v>
      </c>
      <c r="H26" s="11">
        <v>408</v>
      </c>
      <c r="I26" s="11">
        <v>408</v>
      </c>
      <c r="J26" s="11">
        <v>408</v>
      </c>
      <c r="K26" s="11">
        <v>517</v>
      </c>
    </row>
    <row r="27" spans="1:11" ht="14.4" hidden="1" customHeight="1" outlineLevel="2">
      <c r="B27" s="12"/>
      <c r="C27" s="80" t="s">
        <v>6</v>
      </c>
      <c r="D27" s="11">
        <v>45</v>
      </c>
      <c r="E27" s="11">
        <v>50</v>
      </c>
      <c r="F27" s="11">
        <v>50</v>
      </c>
      <c r="G27" s="11">
        <v>50</v>
      </c>
      <c r="H27" s="11">
        <v>50</v>
      </c>
      <c r="I27" s="11">
        <v>51</v>
      </c>
      <c r="J27" s="11">
        <v>51</v>
      </c>
      <c r="K27" s="11">
        <v>51</v>
      </c>
    </row>
    <row r="28" spans="1:11" ht="14.4" hidden="1" customHeight="1" outlineLevel="2">
      <c r="B28" s="12"/>
      <c r="C28" s="80" t="s">
        <v>8</v>
      </c>
      <c r="D28" s="11">
        <v>51</v>
      </c>
      <c r="E28" s="11">
        <v>51</v>
      </c>
      <c r="F28" s="11">
        <v>51</v>
      </c>
      <c r="G28" s="11">
        <v>51</v>
      </c>
      <c r="H28" s="11">
        <v>51</v>
      </c>
      <c r="I28" s="11">
        <v>51</v>
      </c>
      <c r="J28" s="11">
        <v>51</v>
      </c>
      <c r="K28" s="11">
        <v>51</v>
      </c>
    </row>
    <row r="29" spans="1:11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1:11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</row>
    <row r="31" spans="1:11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</row>
    <row r="32" spans="1:11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</row>
    <row r="33" spans="1:11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  <c r="K33" s="6"/>
    </row>
    <row r="34" spans="1:11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</row>
    <row r="35" spans="1:11" ht="14.4" hidden="1" customHeight="1" outlineLevel="2">
      <c r="B35" s="10"/>
      <c r="C35" s="82" t="s">
        <v>11</v>
      </c>
      <c r="D35" s="21">
        <v>15.7901960784313</v>
      </c>
      <c r="E35" s="21">
        <v>4.9981960784313699</v>
      </c>
      <c r="F35" s="21">
        <v>4.8867843137254896</v>
      </c>
      <c r="G35" s="21">
        <v>13.5731764705882</v>
      </c>
      <c r="H35" s="21">
        <v>14.004882352941101</v>
      </c>
      <c r="I35" s="21">
        <v>886.957647058823</v>
      </c>
      <c r="J35" s="21">
        <v>134.493137254901</v>
      </c>
      <c r="K35" s="21"/>
    </row>
    <row r="36" spans="1:11" ht="14.4" hidden="1" customHeight="1" outlineLevel="2">
      <c r="B36" s="12"/>
      <c r="C36" s="83" t="s">
        <v>12</v>
      </c>
      <c r="D36" s="22">
        <v>15.6</v>
      </c>
      <c r="E36" s="22">
        <v>4.6079999999999997</v>
      </c>
      <c r="F36" s="22">
        <v>4.5540000000000003</v>
      </c>
      <c r="G36" s="22">
        <v>13.856999999999999</v>
      </c>
      <c r="H36" s="22">
        <v>13.775</v>
      </c>
      <c r="I36" s="22">
        <v>858.97</v>
      </c>
      <c r="J36" s="22">
        <v>136.05000000000001</v>
      </c>
      <c r="K36" s="22"/>
    </row>
    <row r="37" spans="1:11" ht="14.4" hidden="1" customHeight="1" outlineLevel="2">
      <c r="B37" s="12"/>
      <c r="C37" s="80" t="s">
        <v>13</v>
      </c>
      <c r="D37" s="13">
        <v>12.8</v>
      </c>
      <c r="E37" s="13">
        <v>4.968</v>
      </c>
      <c r="F37" s="13">
        <v>5.2080000000000002</v>
      </c>
      <c r="G37" s="13">
        <v>14.093999999999999</v>
      </c>
      <c r="H37" s="13">
        <v>12.92</v>
      </c>
      <c r="I37" s="13">
        <v>641.96</v>
      </c>
      <c r="J37" s="13">
        <v>82.75</v>
      </c>
      <c r="K37" s="13" t="s">
        <v>68</v>
      </c>
    </row>
    <row r="38" spans="1:11" ht="14.4" hidden="1" customHeight="1" outlineLevel="2">
      <c r="B38" s="12"/>
      <c r="C38" s="83" t="s">
        <v>14</v>
      </c>
      <c r="D38" s="23">
        <v>4.1220021786486596</v>
      </c>
      <c r="E38" s="23">
        <v>2.0177470903917301</v>
      </c>
      <c r="F38" s="23">
        <v>1.7291329077167601</v>
      </c>
      <c r="G38" s="23">
        <v>4.5089770844655304</v>
      </c>
      <c r="H38" s="23">
        <v>3.7646718988355801</v>
      </c>
      <c r="I38" s="23">
        <v>178.296284791223</v>
      </c>
      <c r="J38" s="23">
        <v>24.835922490634001</v>
      </c>
      <c r="K38" s="23"/>
    </row>
    <row r="39" spans="1:11" ht="14.4" hidden="1" customHeight="1" outlineLevel="2">
      <c r="B39" s="12"/>
      <c r="C39" s="84" t="s">
        <v>15</v>
      </c>
      <c r="D39" s="21">
        <v>16.990901960784299</v>
      </c>
      <c r="E39" s="21">
        <v>4.0713033207843097</v>
      </c>
      <c r="F39" s="21">
        <v>2.98990061254902</v>
      </c>
      <c r="G39" s="21">
        <v>20.330874348235199</v>
      </c>
      <c r="H39" s="21">
        <v>14.172754505882301</v>
      </c>
      <c r="I39" s="21">
        <v>31789.5651703529</v>
      </c>
      <c r="J39" s="21">
        <v>616.82304596078404</v>
      </c>
      <c r="K39" s="21"/>
    </row>
    <row r="40" spans="1:11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</row>
    <row r="41" spans="1:11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</row>
    <row r="42" spans="1:11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</row>
    <row r="43" spans="1:11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  <c r="K43" s="6"/>
    </row>
    <row r="44" spans="1:11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</row>
    <row r="45" spans="1:11" ht="14.4" hidden="1" customHeight="1" outlineLevel="2">
      <c r="B45" s="10"/>
      <c r="C45" s="77" t="s">
        <v>16</v>
      </c>
      <c r="D45" s="23">
        <v>5.9</v>
      </c>
      <c r="E45" s="23">
        <v>1.79199999999999</v>
      </c>
      <c r="F45" s="23">
        <v>1.593</v>
      </c>
      <c r="G45" s="23">
        <v>1.76</v>
      </c>
      <c r="H45" s="23">
        <v>5.9</v>
      </c>
      <c r="I45" s="23">
        <v>641.96</v>
      </c>
      <c r="J45" s="23">
        <v>82.75</v>
      </c>
      <c r="K45" s="23"/>
    </row>
    <row r="46" spans="1:11" ht="14.4" hidden="1" customHeight="1" outlineLevel="2">
      <c r="B46" s="9"/>
      <c r="C46" s="78">
        <v>0.05</v>
      </c>
      <c r="D46" s="21">
        <v>10.1</v>
      </c>
      <c r="E46" s="21">
        <v>1.9715</v>
      </c>
      <c r="F46" s="21">
        <v>2.827</v>
      </c>
      <c r="G46" s="21">
        <v>6.5170000000000003</v>
      </c>
      <c r="H46" s="21">
        <v>8.5919999999999899</v>
      </c>
      <c r="I46" s="21">
        <v>665.59500000000003</v>
      </c>
      <c r="J46" s="21">
        <v>96.72</v>
      </c>
      <c r="K46" s="21"/>
    </row>
    <row r="47" spans="1:11" ht="14.4" hidden="1" customHeight="1" outlineLevel="2">
      <c r="B47" s="9"/>
      <c r="C47" s="79">
        <v>0.25</v>
      </c>
      <c r="D47" s="23">
        <v>12.75</v>
      </c>
      <c r="E47" s="23">
        <v>3.76649999999999</v>
      </c>
      <c r="F47" s="23">
        <v>3.8940000000000001</v>
      </c>
      <c r="G47" s="23">
        <v>10.4779999999999</v>
      </c>
      <c r="H47" s="23">
        <v>11.3479999999999</v>
      </c>
      <c r="I47" s="23">
        <v>768.43</v>
      </c>
      <c r="J47" s="23">
        <v>114.645</v>
      </c>
      <c r="K47" s="23"/>
    </row>
    <row r="48" spans="1:11" ht="14.4" hidden="1" customHeight="1" outlineLevel="2">
      <c r="B48" s="9"/>
      <c r="C48" s="78">
        <v>0.5</v>
      </c>
      <c r="D48" s="21">
        <v>15.6</v>
      </c>
      <c r="E48" s="21">
        <v>4.6079999999999997</v>
      </c>
      <c r="F48" s="21">
        <v>4.5540000000000003</v>
      </c>
      <c r="G48" s="21">
        <v>13.856999999999999</v>
      </c>
      <c r="H48" s="21">
        <v>13.775</v>
      </c>
      <c r="I48" s="21">
        <v>858.97</v>
      </c>
      <c r="J48" s="21">
        <v>136.05000000000001</v>
      </c>
      <c r="K48" s="21"/>
    </row>
    <row r="49" spans="1:11" ht="14.4" hidden="1" customHeight="1" outlineLevel="2">
      <c r="B49" s="9"/>
      <c r="C49" s="79">
        <v>0.75</v>
      </c>
      <c r="D49" s="23">
        <v>18.5</v>
      </c>
      <c r="E49" s="23">
        <v>6.4390000000000001</v>
      </c>
      <c r="F49" s="23">
        <v>5.6039999999999903</v>
      </c>
      <c r="G49" s="23">
        <v>16.14</v>
      </c>
      <c r="H49" s="23">
        <v>16.754999999999999</v>
      </c>
      <c r="I49" s="23">
        <v>1007.94499999999</v>
      </c>
      <c r="J49" s="23">
        <v>151.87</v>
      </c>
      <c r="K49" s="23"/>
    </row>
    <row r="50" spans="1:11" ht="14.4" hidden="1" customHeight="1" outlineLevel="2">
      <c r="B50" s="9"/>
      <c r="C50" s="78">
        <v>0.95</v>
      </c>
      <c r="D50" s="21">
        <v>23.1</v>
      </c>
      <c r="E50" s="21">
        <v>8.7139999999999898</v>
      </c>
      <c r="F50" s="21">
        <v>8.3940000000000001</v>
      </c>
      <c r="G50" s="21">
        <v>22</v>
      </c>
      <c r="H50" s="21">
        <v>20.321999999999999</v>
      </c>
      <c r="I50" s="21">
        <v>1254.0999999999999</v>
      </c>
      <c r="J50" s="21">
        <v>172.94</v>
      </c>
      <c r="K50" s="21"/>
    </row>
    <row r="51" spans="1:11" ht="14.4" hidden="1" customHeight="1" outlineLevel="2">
      <c r="B51" s="9"/>
      <c r="C51" s="79" t="s">
        <v>17</v>
      </c>
      <c r="D51" s="23">
        <v>23.9</v>
      </c>
      <c r="E51" s="23">
        <v>9.4499999999999993</v>
      </c>
      <c r="F51" s="23">
        <v>10.038</v>
      </c>
      <c r="G51" s="23">
        <v>23.661000000000001</v>
      </c>
      <c r="H51" s="23">
        <v>21.28</v>
      </c>
      <c r="I51" s="23">
        <v>1301.52</v>
      </c>
      <c r="J51" s="23">
        <v>194.78</v>
      </c>
      <c r="K51" s="23"/>
    </row>
    <row r="52" spans="1:11" ht="14.4" hidden="1" customHeight="1" outlineLevel="2">
      <c r="B52" s="9"/>
      <c r="C52" s="80" t="s">
        <v>18</v>
      </c>
      <c r="D52" s="21">
        <v>18</v>
      </c>
      <c r="E52" s="21">
        <v>7.6579999999999897</v>
      </c>
      <c r="F52" s="21">
        <v>8.4450000000000003</v>
      </c>
      <c r="G52" s="21">
        <v>21.901</v>
      </c>
      <c r="H52" s="21">
        <v>15.38</v>
      </c>
      <c r="I52" s="21">
        <v>659.56</v>
      </c>
      <c r="J52" s="21">
        <v>112.03</v>
      </c>
      <c r="K52" s="21"/>
    </row>
    <row r="53" spans="1:11" ht="14.4" hidden="1" customHeight="1" outlineLevel="2">
      <c r="B53" s="9"/>
      <c r="C53" s="81" t="s">
        <v>19</v>
      </c>
      <c r="D53" s="23">
        <v>5.75</v>
      </c>
      <c r="E53" s="23">
        <v>2.6724999999999999</v>
      </c>
      <c r="F53" s="23">
        <v>1.70999999999999</v>
      </c>
      <c r="G53" s="23">
        <v>5.6619999999999999</v>
      </c>
      <c r="H53" s="23">
        <v>5.407</v>
      </c>
      <c r="I53" s="23">
        <v>239.51499999999899</v>
      </c>
      <c r="J53" s="23">
        <v>37.225000000000001</v>
      </c>
      <c r="K53" s="23"/>
    </row>
    <row r="54" spans="1:11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</row>
    <row r="55" spans="1:11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  <c r="K55" s="6"/>
    </row>
    <row r="56" spans="1:11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</row>
    <row r="57" spans="1:11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</row>
    <row r="58" spans="1:11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</row>
    <row r="59" spans="1:11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</row>
    <row r="60" spans="1:11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</row>
    <row r="61" spans="1:11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</row>
    <row r="62" spans="1:11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</row>
    <row r="63" spans="1:11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</row>
    <row r="64" spans="1:11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</row>
    <row r="65" spans="1:13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</row>
    <row r="66" spans="1:13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  <c r="K66" s="6"/>
    </row>
    <row r="67" spans="1:13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</row>
    <row r="68" spans="1:13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3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3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3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3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3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3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3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3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3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</row>
    <row r="78" spans="1:13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120" t="s">
        <v>54</v>
      </c>
      <c r="M78" s="120" t="s">
        <v>64</v>
      </c>
    </row>
    <row r="79" spans="1:13">
      <c r="C79" s="29" t="b">
        <v>0</v>
      </c>
      <c r="D79" s="30">
        <v>18.8</v>
      </c>
      <c r="E79" s="30">
        <v>7.3319999999999999</v>
      </c>
      <c r="F79" s="30">
        <v>5.64</v>
      </c>
      <c r="G79" s="30">
        <v>18.047999999999998</v>
      </c>
      <c r="H79" s="30">
        <v>15.04</v>
      </c>
      <c r="I79" s="30">
        <v>784.55</v>
      </c>
      <c r="J79" s="30">
        <v>145.08000000000001</v>
      </c>
      <c r="K79" s="30" t="s">
        <v>69</v>
      </c>
      <c r="L79" s="58">
        <v>0</v>
      </c>
      <c r="M79" s="58">
        <v>4.9603767444000604E+18</v>
      </c>
    </row>
    <row r="80" spans="1:13">
      <c r="C80" s="29" t="b">
        <v>0</v>
      </c>
      <c r="D80" s="30">
        <v>18.100000000000001</v>
      </c>
      <c r="E80" s="30">
        <v>7.4210000000000003</v>
      </c>
      <c r="F80" s="30">
        <v>4.5250000000000004</v>
      </c>
      <c r="G80" s="30">
        <v>16.29</v>
      </c>
      <c r="H80" s="30">
        <v>17.013999999999999</v>
      </c>
      <c r="I80" s="30">
        <v>1053.48</v>
      </c>
      <c r="J80" s="30">
        <v>133.93</v>
      </c>
      <c r="K80" s="30" t="s">
        <v>68</v>
      </c>
      <c r="L80" s="58">
        <v>0</v>
      </c>
      <c r="M80" s="58">
        <v>8.6014935199999099E+18</v>
      </c>
    </row>
    <row r="81" spans="3:13">
      <c r="C81" s="29" t="b">
        <v>0</v>
      </c>
      <c r="D81" s="30">
        <v>18.600000000000001</v>
      </c>
      <c r="E81" s="137">
        <v>6.51</v>
      </c>
      <c r="F81" s="30">
        <v>5.2080000000000002</v>
      </c>
      <c r="G81" s="30">
        <v>15.624000000000001</v>
      </c>
      <c r="H81" s="30">
        <v>17.856000000000002</v>
      </c>
      <c r="I81" s="30">
        <v>899.47</v>
      </c>
      <c r="J81" s="30">
        <v>110.35</v>
      </c>
      <c r="K81" s="30" t="s">
        <v>70</v>
      </c>
      <c r="L81" s="58">
        <v>0</v>
      </c>
      <c r="M81" s="58">
        <v>8.3979761839948401E+18</v>
      </c>
    </row>
    <row r="82" spans="3:13">
      <c r="C82" s="29" t="b">
        <v>0</v>
      </c>
      <c r="D82" s="30">
        <v>22.4</v>
      </c>
      <c r="E82" s="137">
        <v>4.032</v>
      </c>
      <c r="F82" s="30">
        <v>5.8239999999999998</v>
      </c>
      <c r="G82" s="30">
        <v>21.056000000000001</v>
      </c>
      <c r="H82" s="30">
        <v>21.28</v>
      </c>
      <c r="I82" s="30">
        <v>827.34</v>
      </c>
      <c r="J82" s="30">
        <v>142.38999999999999</v>
      </c>
      <c r="K82" s="30" t="s">
        <v>71</v>
      </c>
      <c r="L82" s="58">
        <v>0</v>
      </c>
      <c r="M82" s="58">
        <v>1.4615719996804399E+19</v>
      </c>
    </row>
    <row r="83" spans="3:13">
      <c r="C83" s="29" t="b">
        <v>0</v>
      </c>
      <c r="D83" s="30">
        <v>12</v>
      </c>
      <c r="E83" s="137">
        <v>4.2</v>
      </c>
      <c r="F83" s="30">
        <v>3.36</v>
      </c>
      <c r="G83" s="30">
        <v>10.92</v>
      </c>
      <c r="H83" s="30">
        <v>10.68</v>
      </c>
      <c r="I83" s="30">
        <v>878.41</v>
      </c>
      <c r="J83" s="30">
        <v>165.63</v>
      </c>
      <c r="K83" s="30" t="s">
        <v>72</v>
      </c>
      <c r="L83" s="58">
        <v>0</v>
      </c>
      <c r="M83" s="58">
        <v>1.7556313311656401E+19</v>
      </c>
    </row>
    <row r="84" spans="3:13">
      <c r="C84" s="29" t="b">
        <v>0</v>
      </c>
      <c r="D84" s="30">
        <v>13.6</v>
      </c>
      <c r="E84" s="137">
        <v>5.032</v>
      </c>
      <c r="F84" s="30">
        <v>3.8079999999999998</v>
      </c>
      <c r="G84" s="30">
        <v>10.7439999999999</v>
      </c>
      <c r="H84" s="30">
        <v>12.92</v>
      </c>
      <c r="I84" s="30">
        <v>835.5</v>
      </c>
      <c r="J84" s="30">
        <v>139.91</v>
      </c>
      <c r="K84" s="30" t="s">
        <v>73</v>
      </c>
      <c r="L84" s="58">
        <v>0</v>
      </c>
      <c r="M84" s="58">
        <v>1.38667043848507E+19</v>
      </c>
    </row>
    <row r="85" spans="3:13">
      <c r="C85" s="29" t="b">
        <v>0</v>
      </c>
      <c r="D85" s="30">
        <v>10.8</v>
      </c>
      <c r="E85" s="137">
        <v>4.968</v>
      </c>
      <c r="F85" s="30">
        <v>3.8879999999999999</v>
      </c>
      <c r="G85" s="30">
        <v>9.3960000000000008</v>
      </c>
      <c r="H85" s="30">
        <v>8.8559999999999999</v>
      </c>
      <c r="I85" s="30">
        <v>1068.73</v>
      </c>
      <c r="J85" s="30">
        <v>167.02</v>
      </c>
      <c r="K85" s="30" t="s">
        <v>74</v>
      </c>
      <c r="L85" s="58">
        <v>0</v>
      </c>
      <c r="M85" s="58">
        <v>7.2615628709401201E+18</v>
      </c>
    </row>
    <row r="86" spans="3:13">
      <c r="C86" s="29" t="b">
        <v>0</v>
      </c>
      <c r="D86" s="30">
        <v>16.2</v>
      </c>
      <c r="E86" s="137">
        <v>6.1559999999999997</v>
      </c>
      <c r="F86" s="30">
        <v>4.8600000000000003</v>
      </c>
      <c r="G86" s="30">
        <v>14.093999999999999</v>
      </c>
      <c r="H86" s="30">
        <v>16.038</v>
      </c>
      <c r="I86" s="30">
        <v>1137.8699999999999</v>
      </c>
      <c r="J86" s="30">
        <v>151.47999999999999</v>
      </c>
      <c r="K86" s="30" t="s">
        <v>75</v>
      </c>
      <c r="L86" s="58">
        <v>0</v>
      </c>
      <c r="M86" s="58">
        <v>5.9467470943893197E+17</v>
      </c>
    </row>
    <row r="87" spans="3:13">
      <c r="C87" s="29" t="b">
        <v>0</v>
      </c>
      <c r="D87" s="30">
        <v>5.9</v>
      </c>
      <c r="E87" s="137">
        <v>2.0059999999999998</v>
      </c>
      <c r="F87" s="30">
        <v>1.593</v>
      </c>
      <c r="G87" s="30">
        <v>5.9</v>
      </c>
      <c r="H87" s="30">
        <v>5.9</v>
      </c>
      <c r="I87" s="30">
        <v>1273.8900000000001</v>
      </c>
      <c r="J87" s="30">
        <v>136.05000000000001</v>
      </c>
      <c r="K87" s="30" t="s">
        <v>76</v>
      </c>
      <c r="L87" s="58">
        <v>0</v>
      </c>
      <c r="M87" s="58">
        <v>7.8181396283453604E+18</v>
      </c>
    </row>
    <row r="88" spans="3:13">
      <c r="C88" s="29" t="b">
        <v>0</v>
      </c>
      <c r="D88" s="30">
        <v>17.899999999999999</v>
      </c>
      <c r="E88" s="137">
        <v>3.7589999999999999</v>
      </c>
      <c r="F88" s="30">
        <v>5.1909999999999901</v>
      </c>
      <c r="G88" s="30">
        <v>16.468</v>
      </c>
      <c r="H88" s="30">
        <v>16.826000000000001</v>
      </c>
      <c r="I88" s="30">
        <v>1160.1300000000001</v>
      </c>
      <c r="J88" s="30">
        <v>144.18</v>
      </c>
      <c r="K88" s="30" t="s">
        <v>77</v>
      </c>
      <c r="L88" s="58">
        <v>0</v>
      </c>
      <c r="M88" s="58">
        <v>7.8028175632250798E+18</v>
      </c>
    </row>
    <row r="89" spans="3:13">
      <c r="C89" s="29" t="b">
        <v>0</v>
      </c>
      <c r="D89" s="30">
        <v>15.6</v>
      </c>
      <c r="E89" s="137">
        <v>2.964</v>
      </c>
      <c r="F89" s="30">
        <v>3.9</v>
      </c>
      <c r="G89" s="30">
        <v>14.82</v>
      </c>
      <c r="H89" s="30">
        <v>14.507999999999999</v>
      </c>
      <c r="I89" s="30">
        <v>913.15</v>
      </c>
      <c r="J89" s="30">
        <v>142.80000000000001</v>
      </c>
      <c r="K89" s="30" t="s">
        <v>78</v>
      </c>
      <c r="L89" s="58">
        <v>0</v>
      </c>
      <c r="M89" s="58">
        <v>1.2405098478020801E+19</v>
      </c>
    </row>
    <row r="90" spans="3:13">
      <c r="C90" s="29" t="b">
        <v>0</v>
      </c>
      <c r="D90" s="30">
        <v>17.5</v>
      </c>
      <c r="E90" s="137">
        <v>9.4499999999999993</v>
      </c>
      <c r="F90" s="30">
        <v>7.1749999999999998</v>
      </c>
      <c r="G90" s="30">
        <v>14.35</v>
      </c>
      <c r="H90" s="30">
        <v>15.225</v>
      </c>
      <c r="I90" s="30">
        <v>861.18</v>
      </c>
      <c r="J90" s="30">
        <v>120.92</v>
      </c>
      <c r="K90" s="30" t="s">
        <v>79</v>
      </c>
      <c r="L90" s="58">
        <v>0</v>
      </c>
      <c r="M90" s="58">
        <v>1.2878553311090299E+18</v>
      </c>
    </row>
    <row r="91" spans="3:13">
      <c r="C91" s="29" t="b">
        <v>0</v>
      </c>
      <c r="D91" s="30">
        <v>15.3</v>
      </c>
      <c r="E91" s="137">
        <v>5.508</v>
      </c>
      <c r="F91" s="30">
        <v>4.4370000000000003</v>
      </c>
      <c r="G91" s="30">
        <v>13.005000000000001</v>
      </c>
      <c r="H91" s="30">
        <v>14.994</v>
      </c>
      <c r="I91" s="30">
        <v>641.96</v>
      </c>
      <c r="J91" s="30">
        <v>82.75</v>
      </c>
      <c r="K91" s="30" t="s">
        <v>80</v>
      </c>
      <c r="L91" s="58">
        <v>0</v>
      </c>
      <c r="M91" s="58">
        <v>1.55596035541848E+19</v>
      </c>
    </row>
    <row r="92" spans="3:13">
      <c r="C92" s="29" t="b">
        <v>0</v>
      </c>
      <c r="D92" s="30">
        <v>12.8</v>
      </c>
      <c r="E92" s="137">
        <v>4.6079999999999997</v>
      </c>
      <c r="F92" s="30">
        <v>4.3520000000000003</v>
      </c>
      <c r="G92" s="30">
        <v>12.032</v>
      </c>
      <c r="H92" s="30">
        <v>12.288</v>
      </c>
      <c r="I92" s="30">
        <v>803.11</v>
      </c>
      <c r="J92" s="30">
        <v>139.15</v>
      </c>
      <c r="K92" s="30" t="s">
        <v>81</v>
      </c>
      <c r="L92" s="58">
        <v>0</v>
      </c>
      <c r="M92" s="58">
        <v>3.7803847119777802E+18</v>
      </c>
    </row>
    <row r="93" spans="3:13">
      <c r="C93" s="29" t="b">
        <v>0</v>
      </c>
      <c r="D93" s="30">
        <v>14.5</v>
      </c>
      <c r="E93" s="137">
        <v>3.625</v>
      </c>
      <c r="F93" s="30">
        <v>4.2050000000000001</v>
      </c>
      <c r="G93" s="30">
        <v>13.775</v>
      </c>
      <c r="H93" s="30">
        <v>13.775</v>
      </c>
      <c r="I93" s="30">
        <v>710.46</v>
      </c>
      <c r="J93" s="30">
        <v>108.92</v>
      </c>
      <c r="K93" s="30" t="s">
        <v>82</v>
      </c>
      <c r="L93" s="58">
        <v>0</v>
      </c>
      <c r="M93" s="58">
        <v>1.7973132332718899E+19</v>
      </c>
    </row>
    <row r="94" spans="3:13">
      <c r="C94" s="29" t="b">
        <v>0</v>
      </c>
      <c r="D94" s="30">
        <v>15.7</v>
      </c>
      <c r="E94" s="137">
        <v>2.669</v>
      </c>
      <c r="F94" s="30">
        <v>3.9249999999999998</v>
      </c>
      <c r="G94" s="30">
        <v>15.228999999999999</v>
      </c>
      <c r="H94" s="30">
        <v>13.659000000000001</v>
      </c>
      <c r="I94" s="30">
        <v>649.05999999999995</v>
      </c>
      <c r="J94" s="30">
        <v>114.47</v>
      </c>
      <c r="K94" s="30" t="s">
        <v>83</v>
      </c>
      <c r="L94" s="58">
        <v>0</v>
      </c>
      <c r="M94" s="58">
        <v>1.53221302400664E+19</v>
      </c>
    </row>
    <row r="95" spans="3:13">
      <c r="C95" s="29" t="b">
        <v>0</v>
      </c>
      <c r="D95" s="30">
        <v>17.8</v>
      </c>
      <c r="E95" s="137">
        <v>4.806</v>
      </c>
      <c r="F95" s="30">
        <v>4.2720000000000002</v>
      </c>
      <c r="G95" s="30">
        <v>13.706</v>
      </c>
      <c r="H95" s="30">
        <v>15.13</v>
      </c>
      <c r="I95" s="30">
        <v>780.45</v>
      </c>
      <c r="J95" s="30">
        <v>133.80000000000001</v>
      </c>
      <c r="K95" s="30" t="s">
        <v>84</v>
      </c>
      <c r="L95" s="58">
        <v>0</v>
      </c>
      <c r="M95" s="58">
        <v>1.8034088226061001E+19</v>
      </c>
    </row>
    <row r="96" spans="3:13">
      <c r="C96" s="29" t="b">
        <v>0</v>
      </c>
      <c r="D96" s="30">
        <v>21.4</v>
      </c>
      <c r="E96" s="137">
        <v>4.0659999999999998</v>
      </c>
      <c r="F96" s="30">
        <v>4.9219999999999997</v>
      </c>
      <c r="G96" s="30">
        <v>16.691999999999901</v>
      </c>
      <c r="H96" s="30">
        <v>16.263999999999999</v>
      </c>
      <c r="I96" s="30">
        <v>872.51</v>
      </c>
      <c r="J96" s="30">
        <v>137.13</v>
      </c>
      <c r="K96" s="30" t="s">
        <v>85</v>
      </c>
      <c r="L96" s="58">
        <v>0</v>
      </c>
      <c r="M96" s="58">
        <v>6.62908335519535E+18</v>
      </c>
    </row>
    <row r="97" spans="3:13">
      <c r="C97" s="29" t="b">
        <v>0</v>
      </c>
      <c r="D97" s="30">
        <v>20.5</v>
      </c>
      <c r="E97" s="137">
        <v>7.1749999999999998</v>
      </c>
      <c r="F97" s="30">
        <v>6.7649999999999997</v>
      </c>
      <c r="G97" s="30">
        <v>14.965</v>
      </c>
      <c r="H97" s="30">
        <v>20.09</v>
      </c>
      <c r="I97" s="30">
        <v>1281.55</v>
      </c>
      <c r="J97" s="30">
        <v>194.78</v>
      </c>
      <c r="K97" s="30" t="s">
        <v>86</v>
      </c>
      <c r="L97" s="58">
        <v>0</v>
      </c>
      <c r="M97" s="58">
        <v>1.1027682586203001E+19</v>
      </c>
    </row>
    <row r="98" spans="3:13">
      <c r="C98" s="29" t="b">
        <v>0</v>
      </c>
      <c r="D98" s="30">
        <v>15.1</v>
      </c>
      <c r="E98" s="137">
        <v>5.7380000000000004</v>
      </c>
      <c r="F98" s="30">
        <v>4.53</v>
      </c>
      <c r="G98" s="30">
        <v>13.137</v>
      </c>
      <c r="H98" s="30">
        <v>12.683999999999999</v>
      </c>
      <c r="I98" s="30">
        <v>661.88</v>
      </c>
      <c r="J98" s="30">
        <v>96.57</v>
      </c>
      <c r="K98" s="30" t="s">
        <v>87</v>
      </c>
      <c r="L98" s="58">
        <v>0</v>
      </c>
      <c r="M98" s="58">
        <v>1.7575535258513E+19</v>
      </c>
    </row>
    <row r="99" spans="3:13">
      <c r="C99" s="29" t="b">
        <v>0</v>
      </c>
      <c r="D99" s="30">
        <v>12.5</v>
      </c>
      <c r="E99" s="137">
        <v>4.25</v>
      </c>
      <c r="F99" s="30">
        <v>4</v>
      </c>
      <c r="G99" s="30">
        <v>8.875</v>
      </c>
      <c r="H99" s="30">
        <v>12.375</v>
      </c>
      <c r="I99" s="30">
        <v>1048.78</v>
      </c>
      <c r="J99" s="30">
        <v>192.7</v>
      </c>
      <c r="K99" s="30" t="s">
        <v>88</v>
      </c>
      <c r="L99" s="58">
        <v>0</v>
      </c>
      <c r="M99" s="58">
        <v>1.6974255568415701E+19</v>
      </c>
    </row>
    <row r="100" spans="3:13">
      <c r="C100" s="29" t="b">
        <v>0</v>
      </c>
      <c r="D100" s="30">
        <v>8.1999999999999993</v>
      </c>
      <c r="E100" s="137">
        <v>1.8859999999999999</v>
      </c>
      <c r="F100" s="30">
        <v>2.87</v>
      </c>
      <c r="G100" s="30">
        <v>7.1340000000000003</v>
      </c>
      <c r="H100" s="30">
        <v>6.56</v>
      </c>
      <c r="I100" s="30">
        <v>1011.14</v>
      </c>
      <c r="J100" s="30">
        <v>135.63</v>
      </c>
      <c r="K100" s="30" t="s">
        <v>89</v>
      </c>
      <c r="L100" s="58">
        <v>0</v>
      </c>
      <c r="M100" s="58">
        <v>7.3826837135078902E+18</v>
      </c>
    </row>
    <row r="101" spans="3:13">
      <c r="C101" s="29" t="b">
        <v>0</v>
      </c>
      <c r="D101" s="30">
        <v>14.1</v>
      </c>
      <c r="E101" s="137">
        <v>3.3839999999999999</v>
      </c>
      <c r="F101" s="30">
        <v>3.948</v>
      </c>
      <c r="G101" s="30">
        <v>13.395</v>
      </c>
      <c r="H101" s="30">
        <v>10.856999999999999</v>
      </c>
      <c r="I101" s="30">
        <v>1110.6099999999999</v>
      </c>
      <c r="J101" s="30">
        <v>152.26</v>
      </c>
      <c r="K101" s="30" t="s">
        <v>90</v>
      </c>
      <c r="L101" s="58">
        <v>0</v>
      </c>
      <c r="M101" s="58">
        <v>2.6907759323132001E+18</v>
      </c>
    </row>
    <row r="102" spans="3:13">
      <c r="C102" s="29" t="b">
        <v>0</v>
      </c>
      <c r="D102" s="30">
        <v>9.6</v>
      </c>
      <c r="E102" s="137">
        <v>2.2080000000000002</v>
      </c>
      <c r="F102" s="30">
        <v>2.7839999999999998</v>
      </c>
      <c r="G102" s="30">
        <v>8.4480000000000004</v>
      </c>
      <c r="H102" s="30">
        <v>8.4480000000000004</v>
      </c>
      <c r="I102" s="30">
        <v>777.18</v>
      </c>
      <c r="J102" s="30">
        <v>133.35</v>
      </c>
      <c r="K102" s="30" t="s">
        <v>91</v>
      </c>
      <c r="L102" s="58">
        <v>0</v>
      </c>
      <c r="M102" s="58">
        <v>1.6018124429500801E+19</v>
      </c>
    </row>
    <row r="103" spans="3:13">
      <c r="C103" s="29" t="b">
        <v>0</v>
      </c>
      <c r="D103" s="30">
        <v>17.600000000000001</v>
      </c>
      <c r="E103" s="137">
        <v>2.64</v>
      </c>
      <c r="F103" s="30">
        <v>5.4560000000000004</v>
      </c>
      <c r="G103" s="30">
        <v>1.76</v>
      </c>
      <c r="H103" s="30">
        <v>17.600000000000001</v>
      </c>
      <c r="I103" s="30">
        <v>896.07</v>
      </c>
      <c r="J103" s="30">
        <v>155.77000000000001</v>
      </c>
      <c r="K103" s="30" t="s">
        <v>92</v>
      </c>
      <c r="L103" s="58">
        <v>0</v>
      </c>
      <c r="M103" s="58">
        <v>1.1153925327126499E+19</v>
      </c>
    </row>
    <row r="104" spans="3:13">
      <c r="C104" s="29" t="b">
        <v>0</v>
      </c>
      <c r="D104" s="30">
        <v>16.100000000000001</v>
      </c>
      <c r="E104" s="137">
        <v>6.923</v>
      </c>
      <c r="F104" s="30">
        <v>5.4740000000000002</v>
      </c>
      <c r="G104" s="30">
        <v>14.811999999999999</v>
      </c>
      <c r="H104" s="30">
        <v>13.523999999999999</v>
      </c>
      <c r="I104" s="30">
        <v>790.32</v>
      </c>
      <c r="J104" s="30">
        <v>144.44999999999999</v>
      </c>
      <c r="K104" s="30" t="s">
        <v>93</v>
      </c>
      <c r="L104" s="58">
        <v>0</v>
      </c>
      <c r="M104" s="58">
        <v>1.6972883695395002E+17</v>
      </c>
    </row>
    <row r="105" spans="3:13">
      <c r="C105" s="29" t="b">
        <v>0</v>
      </c>
      <c r="D105" s="30">
        <v>21.4</v>
      </c>
      <c r="E105" s="137">
        <v>8.3459999999999894</v>
      </c>
      <c r="F105" s="30">
        <v>9.4160000000000004</v>
      </c>
      <c r="G105" s="30">
        <v>17.975999999999999</v>
      </c>
      <c r="H105" s="30">
        <v>18.190000000000001</v>
      </c>
      <c r="I105" s="30">
        <v>816.21</v>
      </c>
      <c r="J105" s="30">
        <v>85.15</v>
      </c>
      <c r="K105" s="30" t="s">
        <v>94</v>
      </c>
      <c r="L105" s="58">
        <v>0</v>
      </c>
      <c r="M105" s="58">
        <v>7.4161550763219599E+18</v>
      </c>
    </row>
    <row r="106" spans="3:13">
      <c r="C106" s="29" t="b">
        <v>0</v>
      </c>
      <c r="D106" s="30">
        <v>14.9</v>
      </c>
      <c r="E106" s="137">
        <v>1.9370000000000001</v>
      </c>
      <c r="F106" s="30">
        <v>5.2149999999999999</v>
      </c>
      <c r="G106" s="30">
        <v>13.856999999999999</v>
      </c>
      <c r="H106" s="30">
        <v>13.41</v>
      </c>
      <c r="I106" s="30">
        <v>732.28</v>
      </c>
      <c r="J106" s="30">
        <v>114.82</v>
      </c>
      <c r="K106" s="30" t="s">
        <v>95</v>
      </c>
      <c r="L106" s="58">
        <v>0</v>
      </c>
      <c r="M106" s="58">
        <v>1.3955243024023699E+19</v>
      </c>
    </row>
    <row r="107" spans="3:13">
      <c r="C107" s="29" t="b">
        <v>0</v>
      </c>
      <c r="D107" s="30">
        <v>14.7</v>
      </c>
      <c r="E107" s="137">
        <v>5.4390000000000001</v>
      </c>
      <c r="F107" s="30">
        <v>4.7039999999999997</v>
      </c>
      <c r="G107" s="30">
        <v>13.965</v>
      </c>
      <c r="H107" s="30">
        <v>14.553000000000001</v>
      </c>
      <c r="I107" s="30">
        <v>1029.8699999999999</v>
      </c>
      <c r="J107" s="30">
        <v>138.71</v>
      </c>
      <c r="K107" s="30" t="s">
        <v>96</v>
      </c>
      <c r="L107" s="58">
        <v>0</v>
      </c>
      <c r="M107" s="58">
        <v>1.3003149564262199E+19</v>
      </c>
    </row>
    <row r="108" spans="3:13">
      <c r="C108" s="29" t="b">
        <v>0</v>
      </c>
      <c r="D108" s="30">
        <v>11.6</v>
      </c>
      <c r="E108" s="137">
        <v>4.0599999999999996</v>
      </c>
      <c r="F108" s="30">
        <v>3.48</v>
      </c>
      <c r="G108" s="30">
        <v>10.092000000000001</v>
      </c>
      <c r="H108" s="30">
        <v>9.6280000000000001</v>
      </c>
      <c r="I108" s="30">
        <v>746.54</v>
      </c>
      <c r="J108" s="30">
        <v>120.21</v>
      </c>
      <c r="K108" s="30" t="s">
        <v>97</v>
      </c>
      <c r="L108" s="58">
        <v>0</v>
      </c>
      <c r="M108" s="58">
        <v>9.0068756970931599E+18</v>
      </c>
    </row>
    <row r="109" spans="3:13">
      <c r="C109" s="29" t="b">
        <v>0</v>
      </c>
      <c r="D109" s="30">
        <v>11.2</v>
      </c>
      <c r="E109" s="137">
        <v>1.79199999999999</v>
      </c>
      <c r="F109" s="30">
        <v>3.1360000000000001</v>
      </c>
      <c r="G109" s="30">
        <v>9.6319999999999997</v>
      </c>
      <c r="H109" s="30">
        <v>8.73599999999999</v>
      </c>
      <c r="I109" s="30">
        <v>1301.52</v>
      </c>
      <c r="J109" s="30">
        <v>159.85</v>
      </c>
      <c r="K109" s="30" t="s">
        <v>98</v>
      </c>
      <c r="L109" s="58">
        <v>0</v>
      </c>
      <c r="M109" s="58">
        <v>1.65641023872897E+19</v>
      </c>
    </row>
    <row r="110" spans="3:13">
      <c r="C110" s="29" t="b">
        <v>0</v>
      </c>
      <c r="D110" s="30">
        <v>18.399999999999999</v>
      </c>
      <c r="E110" s="137">
        <v>3.496</v>
      </c>
      <c r="F110" s="30">
        <v>4.968</v>
      </c>
      <c r="G110" s="30">
        <v>12.327999999999999</v>
      </c>
      <c r="H110" s="30">
        <v>18.032</v>
      </c>
      <c r="I110" s="30">
        <v>869.85</v>
      </c>
      <c r="J110" s="30">
        <v>120.75</v>
      </c>
      <c r="K110" s="30" t="s">
        <v>99</v>
      </c>
      <c r="L110" s="58">
        <v>0</v>
      </c>
      <c r="M110" s="58">
        <v>1.3396479194121099E+19</v>
      </c>
    </row>
    <row r="111" spans="3:13">
      <c r="C111" s="29" t="b">
        <v>0</v>
      </c>
      <c r="D111" s="30">
        <v>12.3</v>
      </c>
      <c r="E111" s="137">
        <v>3.9359999999999999</v>
      </c>
      <c r="F111" s="30">
        <v>3.5670000000000002</v>
      </c>
      <c r="G111" s="30">
        <v>10.824</v>
      </c>
      <c r="H111" s="30">
        <v>9.84</v>
      </c>
      <c r="I111" s="30">
        <v>1234.31</v>
      </c>
      <c r="J111" s="30">
        <v>150.01</v>
      </c>
      <c r="K111" s="30" t="s">
        <v>100</v>
      </c>
      <c r="L111" s="58">
        <v>0</v>
      </c>
      <c r="M111" s="58">
        <v>2.8147391484177198E+18</v>
      </c>
    </row>
    <row r="112" spans="3:13">
      <c r="C112" s="29" t="b">
        <v>0</v>
      </c>
      <c r="D112" s="30">
        <v>16.8</v>
      </c>
      <c r="E112" s="137">
        <v>6.5519999999999996</v>
      </c>
      <c r="F112" s="30">
        <v>5.2080000000000002</v>
      </c>
      <c r="G112" s="30">
        <v>15.792</v>
      </c>
      <c r="H112" s="30">
        <v>13.608000000000001</v>
      </c>
      <c r="I112" s="30">
        <v>708.24</v>
      </c>
      <c r="J112" s="30">
        <v>127.82</v>
      </c>
      <c r="K112" s="30" t="s">
        <v>101</v>
      </c>
      <c r="L112" s="58">
        <v>0</v>
      </c>
      <c r="M112" s="58">
        <v>1.3480772454097701E+19</v>
      </c>
    </row>
    <row r="113" spans="3:13">
      <c r="C113" s="29" t="b">
        <v>0</v>
      </c>
      <c r="D113" s="30">
        <v>23.9</v>
      </c>
      <c r="E113" s="137">
        <v>5.4969999999999901</v>
      </c>
      <c r="F113" s="30">
        <v>10.038</v>
      </c>
      <c r="G113" s="30">
        <v>23.661000000000001</v>
      </c>
      <c r="H113" s="30">
        <v>20.553999999999998</v>
      </c>
      <c r="I113" s="30">
        <v>688.75</v>
      </c>
      <c r="J113" s="30">
        <v>109.72</v>
      </c>
      <c r="K113" s="30" t="s">
        <v>102</v>
      </c>
      <c r="L113" s="58">
        <v>0</v>
      </c>
      <c r="M113" s="58">
        <v>1.04712328491806E+19</v>
      </c>
    </row>
    <row r="114" spans="3:13">
      <c r="C114" s="29" t="b">
        <v>0</v>
      </c>
      <c r="D114" s="30">
        <v>14.1</v>
      </c>
      <c r="E114" s="137">
        <v>3.948</v>
      </c>
      <c r="F114" s="30">
        <v>4.7939999999999996</v>
      </c>
      <c r="G114" s="30">
        <v>13.9589999999999</v>
      </c>
      <c r="H114" s="30">
        <v>11.561999999999999</v>
      </c>
      <c r="I114" s="30">
        <v>697.73</v>
      </c>
      <c r="J114" s="30">
        <v>133.52000000000001</v>
      </c>
      <c r="K114" s="30" t="s">
        <v>103</v>
      </c>
      <c r="L114" s="58">
        <v>0</v>
      </c>
      <c r="M114" s="58">
        <v>3.0886142140107899E+18</v>
      </c>
    </row>
    <row r="115" spans="3:13">
      <c r="C115" s="29" t="b">
        <v>0</v>
      </c>
      <c r="D115" s="30">
        <v>19.899999999999999</v>
      </c>
      <c r="E115" s="137">
        <v>6.3679999999999897</v>
      </c>
      <c r="F115" s="30">
        <v>5.7709999999999901</v>
      </c>
      <c r="G115" s="30">
        <v>18.308</v>
      </c>
      <c r="H115" s="30">
        <v>18.706</v>
      </c>
      <c r="I115" s="30">
        <v>881.51</v>
      </c>
      <c r="J115" s="30">
        <v>178.86</v>
      </c>
      <c r="K115" s="30" t="s">
        <v>104</v>
      </c>
      <c r="L115" s="58">
        <v>0</v>
      </c>
      <c r="M115" s="58">
        <v>1.46783266895429E+19</v>
      </c>
    </row>
    <row r="116" spans="3:13">
      <c r="C116" s="29" t="b">
        <v>0</v>
      </c>
      <c r="D116" s="30">
        <v>12.8</v>
      </c>
      <c r="E116" s="137">
        <v>4.2240000000000002</v>
      </c>
      <c r="F116" s="30">
        <v>3.3279999999999998</v>
      </c>
      <c r="G116" s="30">
        <v>8.5760000000000005</v>
      </c>
      <c r="H116" s="30">
        <v>11.52</v>
      </c>
      <c r="I116" s="30">
        <v>804.71</v>
      </c>
      <c r="J116" s="30">
        <v>104.61</v>
      </c>
      <c r="K116" s="30" t="s">
        <v>105</v>
      </c>
      <c r="L116" s="58">
        <v>0</v>
      </c>
      <c r="M116" s="58">
        <v>7.2948005673302405E+18</v>
      </c>
    </row>
    <row r="117" spans="3:13">
      <c r="C117" s="29" t="b">
        <v>0</v>
      </c>
      <c r="D117" s="30">
        <v>18.2</v>
      </c>
      <c r="E117" s="137">
        <v>9.1</v>
      </c>
      <c r="F117" s="30">
        <v>5.6420000000000003</v>
      </c>
      <c r="G117" s="30">
        <v>17.471999999999898</v>
      </c>
      <c r="H117" s="30">
        <v>16.015999999999998</v>
      </c>
      <c r="I117" s="30">
        <v>905.99</v>
      </c>
      <c r="J117" s="30">
        <v>153.86000000000001</v>
      </c>
      <c r="K117" s="30" t="s">
        <v>106</v>
      </c>
      <c r="L117" s="58">
        <v>0</v>
      </c>
      <c r="M117" s="58">
        <v>1.70643762724799E+19</v>
      </c>
    </row>
    <row r="118" spans="3:13">
      <c r="C118" s="29" t="b">
        <v>0</v>
      </c>
      <c r="D118" s="30">
        <v>11.1</v>
      </c>
      <c r="E118" s="137">
        <v>3.774</v>
      </c>
      <c r="F118" s="30">
        <v>4.218</v>
      </c>
      <c r="G118" s="30">
        <v>10.212</v>
      </c>
      <c r="H118" s="30">
        <v>8.7690000000000001</v>
      </c>
      <c r="I118" s="30">
        <v>1148.99</v>
      </c>
      <c r="J118" s="30">
        <v>148.58000000000001</v>
      </c>
      <c r="K118" s="30" t="s">
        <v>107</v>
      </c>
      <c r="L118" s="58">
        <v>0</v>
      </c>
      <c r="M118" s="58">
        <v>1.8090537469521601E+19</v>
      </c>
    </row>
    <row r="119" spans="3:13">
      <c r="C119" s="29" t="b">
        <v>0</v>
      </c>
      <c r="D119" s="30">
        <v>23.9</v>
      </c>
      <c r="E119" s="137">
        <v>9.0820000000000007</v>
      </c>
      <c r="F119" s="30">
        <v>9.7989999999999995</v>
      </c>
      <c r="G119" s="30">
        <v>22.943999999999999</v>
      </c>
      <c r="H119" s="30">
        <v>19.359000000000002</v>
      </c>
      <c r="I119" s="30">
        <v>858.97</v>
      </c>
      <c r="J119" s="30">
        <v>116.29</v>
      </c>
      <c r="K119" s="30" t="s">
        <v>108</v>
      </c>
      <c r="L119" s="58">
        <v>0</v>
      </c>
      <c r="M119" s="58">
        <v>5.8348608803023104E+18</v>
      </c>
    </row>
    <row r="120" spans="3:13">
      <c r="C120" s="29" t="b">
        <v>0</v>
      </c>
      <c r="D120" s="30">
        <v>19.399999999999999</v>
      </c>
      <c r="E120" s="137">
        <v>6.0139999999999896</v>
      </c>
      <c r="F120" s="30">
        <v>6.4019999999999904</v>
      </c>
      <c r="G120" s="30">
        <v>19.012</v>
      </c>
      <c r="H120" s="30">
        <v>16.683999999999902</v>
      </c>
      <c r="I120" s="30">
        <v>669.31</v>
      </c>
      <c r="J120" s="30">
        <v>96.87</v>
      </c>
      <c r="K120" s="30" t="s">
        <v>109</v>
      </c>
      <c r="L120" s="58">
        <v>0</v>
      </c>
      <c r="M120" s="58">
        <v>9.7674115975466209E+18</v>
      </c>
    </row>
    <row r="121" spans="3:13">
      <c r="C121" s="29" t="b">
        <v>0</v>
      </c>
      <c r="D121" s="30">
        <v>19.5</v>
      </c>
      <c r="E121" s="137">
        <v>4.0949999999999998</v>
      </c>
      <c r="F121" s="30">
        <v>5.6550000000000002</v>
      </c>
      <c r="G121" s="30">
        <v>15.99</v>
      </c>
      <c r="H121" s="30">
        <v>15.795</v>
      </c>
      <c r="I121" s="30">
        <v>767.91</v>
      </c>
      <c r="J121" s="30">
        <v>155.57</v>
      </c>
      <c r="K121" s="30" t="s">
        <v>110</v>
      </c>
      <c r="L121" s="58">
        <v>0</v>
      </c>
      <c r="M121" s="58">
        <v>9.1922853489315103E+18</v>
      </c>
    </row>
    <row r="122" spans="3:13">
      <c r="C122" s="29" t="b">
        <v>0</v>
      </c>
      <c r="D122" s="30">
        <v>19.399999999999999</v>
      </c>
      <c r="E122" s="137">
        <v>7.76</v>
      </c>
      <c r="F122" s="30">
        <v>7.3719999999999901</v>
      </c>
      <c r="G122" s="30">
        <v>17.654</v>
      </c>
      <c r="H122" s="30">
        <v>16.878</v>
      </c>
      <c r="I122" s="30">
        <v>1004.75</v>
      </c>
      <c r="J122" s="30">
        <v>156.83000000000001</v>
      </c>
      <c r="K122" s="30" t="s">
        <v>111</v>
      </c>
      <c r="L122" s="58">
        <v>0</v>
      </c>
      <c r="M122" s="58">
        <v>1.4979050362964199E+19</v>
      </c>
    </row>
    <row r="123" spans="3:13">
      <c r="C123" s="29" t="b">
        <v>0</v>
      </c>
      <c r="D123" s="30">
        <v>11.3</v>
      </c>
      <c r="E123" s="137">
        <v>4.859</v>
      </c>
      <c r="F123" s="30">
        <v>1.8080000000000001</v>
      </c>
      <c r="G123" s="30">
        <v>9.9440000000000008</v>
      </c>
      <c r="H123" s="30">
        <v>10.848000000000001</v>
      </c>
      <c r="I123" s="30">
        <v>809.38</v>
      </c>
      <c r="J123" s="30">
        <v>109.48</v>
      </c>
      <c r="K123" s="30" t="s">
        <v>112</v>
      </c>
      <c r="L123" s="58">
        <v>0</v>
      </c>
      <c r="M123" s="58">
        <v>5.2384012868321905E+18</v>
      </c>
    </row>
    <row r="124" spans="3:13">
      <c r="C124" s="29" t="b">
        <v>0</v>
      </c>
      <c r="D124" s="30">
        <v>13.6</v>
      </c>
      <c r="E124" s="137">
        <v>4.08</v>
      </c>
      <c r="F124" s="30">
        <v>4.08</v>
      </c>
      <c r="G124" s="30">
        <v>13.055999999999999</v>
      </c>
      <c r="H124" s="30">
        <v>12.92</v>
      </c>
      <c r="I124" s="30">
        <v>716.2</v>
      </c>
      <c r="J124" s="30">
        <v>109.61</v>
      </c>
      <c r="K124" s="30" t="s">
        <v>113</v>
      </c>
      <c r="L124" s="58">
        <v>0</v>
      </c>
      <c r="M124" s="58">
        <v>1.7541299277187799E+19</v>
      </c>
    </row>
    <row r="125" spans="3:13">
      <c r="C125" s="29" t="b">
        <v>0</v>
      </c>
      <c r="D125" s="30">
        <v>12.7</v>
      </c>
      <c r="E125" s="137">
        <v>2.4129999999999998</v>
      </c>
      <c r="F125" s="30">
        <v>3.4289999999999998</v>
      </c>
      <c r="G125" s="30">
        <v>11.048999999999999</v>
      </c>
      <c r="H125" s="30">
        <v>11.175999999999901</v>
      </c>
      <c r="I125" s="30">
        <v>768.95</v>
      </c>
      <c r="J125" s="30">
        <v>153.72</v>
      </c>
      <c r="K125" s="30" t="s">
        <v>114</v>
      </c>
      <c r="L125" s="58">
        <v>0</v>
      </c>
      <c r="M125" s="58">
        <v>1.5807266494199501E+19</v>
      </c>
    </row>
    <row r="126" spans="3:13">
      <c r="C126" s="29" t="b">
        <v>0</v>
      </c>
      <c r="D126" s="30">
        <v>10.6</v>
      </c>
      <c r="E126" s="137">
        <v>4.452</v>
      </c>
      <c r="F126" s="30">
        <v>3.4980000000000002</v>
      </c>
      <c r="G126" s="30">
        <v>8.6920000000000002</v>
      </c>
      <c r="H126" s="30">
        <v>9.1159999999999997</v>
      </c>
      <c r="I126" s="30">
        <v>890.03</v>
      </c>
      <c r="J126" s="30">
        <v>111.62</v>
      </c>
      <c r="K126" s="30" t="s">
        <v>115</v>
      </c>
      <c r="L126" s="58">
        <v>0</v>
      </c>
      <c r="M126" s="58">
        <v>8.7397916369375703E+18</v>
      </c>
    </row>
    <row r="127" spans="3:13">
      <c r="C127" s="29" t="b">
        <v>0</v>
      </c>
      <c r="D127" s="30">
        <v>23.8</v>
      </c>
      <c r="E127" s="137">
        <v>8.0920000000000005</v>
      </c>
      <c r="F127" s="30">
        <v>6.6639999999999997</v>
      </c>
      <c r="G127" s="30">
        <v>23.085999999999999</v>
      </c>
      <c r="H127" s="30">
        <v>20.706</v>
      </c>
      <c r="I127" s="30">
        <v>992.61</v>
      </c>
      <c r="J127" s="30">
        <v>152.56</v>
      </c>
      <c r="K127" s="30" t="s">
        <v>116</v>
      </c>
      <c r="L127" s="58">
        <v>0</v>
      </c>
      <c r="M127" s="58">
        <v>1.8090793328984701E+19</v>
      </c>
    </row>
    <row r="128" spans="3:13">
      <c r="C128" s="29" t="b">
        <v>0</v>
      </c>
      <c r="D128" s="30">
        <v>13.8</v>
      </c>
      <c r="E128" s="137">
        <v>4.968</v>
      </c>
      <c r="F128" s="30">
        <v>4.5540000000000003</v>
      </c>
      <c r="G128" s="30">
        <v>5.3819999999999997</v>
      </c>
      <c r="H128" s="30">
        <v>11.592000000000001</v>
      </c>
      <c r="I128" s="30">
        <v>670.31</v>
      </c>
      <c r="J128" s="30">
        <v>106.62</v>
      </c>
      <c r="K128" s="30" t="s">
        <v>117</v>
      </c>
      <c r="L128" s="58">
        <v>0</v>
      </c>
      <c r="M128" s="58">
        <v>1.72807660006027E+19</v>
      </c>
    </row>
    <row r="129" spans="3:13">
      <c r="C129" s="29" t="b">
        <v>0</v>
      </c>
      <c r="D129" s="30">
        <v>17.399999999999999</v>
      </c>
      <c r="E129" s="137">
        <v>7.3079999999999998</v>
      </c>
      <c r="F129" s="30">
        <v>5.5679999999999996</v>
      </c>
      <c r="G129" s="30">
        <v>14.093999999999999</v>
      </c>
      <c r="H129" s="30">
        <v>15.659999999999901</v>
      </c>
      <c r="I129" s="30">
        <v>791.14</v>
      </c>
      <c r="J129" s="30">
        <v>122.04</v>
      </c>
      <c r="K129" s="30" t="s">
        <v>118</v>
      </c>
      <c r="L129" s="58">
        <v>0</v>
      </c>
      <c r="M129" s="58">
        <v>1.5755498362319401E+19</v>
      </c>
    </row>
  </sheetData>
  <mergeCells count="1">
    <mergeCell ref="D15:E15"/>
  </mergeCells>
  <phoneticPr fontId="15" type="noConversion"/>
  <conditionalFormatting sqref="D22:F29 D35:F39 D45:F53">
    <cfRule type="cellIs" dxfId="183" priority="58" operator="equal">
      <formula>0</formula>
    </cfRule>
  </conditionalFormatting>
  <conditionalFormatting sqref="C79:C129">
    <cfRule type="cellIs" dxfId="182" priority="54" operator="equal">
      <formula>FALSE</formula>
    </cfRule>
    <cfRule type="cellIs" dxfId="181" priority="55" operator="notEqual">
      <formula>FALSE</formula>
    </cfRule>
  </conditionalFormatting>
  <conditionalFormatting sqref="D9:K9">
    <cfRule type="cellIs" dxfId="18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9" priority="29"/>
  </conditionalFormatting>
  <conditionalFormatting sqref="D7:K7">
    <cfRule type="cellIs" dxfId="178" priority="22" operator="notEqual">
      <formula>"Definition"</formula>
    </cfRule>
  </conditionalFormatting>
  <conditionalFormatting sqref="D15">
    <cfRule type="cellIs" dxfId="17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76" priority="52" operator="equal">
      <formula>FALSE</formula>
    </cfRule>
    <cfRule type="cellIs" dxfId="175" priority="53" operator="notEqual">
      <formula>FALSE</formula>
    </cfRule>
  </conditionalFormatting>
  <conditionalFormatting sqref="G22:K29 G35:K39 G45:K53">
    <cfRule type="cellIs" dxfId="157" priority="5" operator="equal">
      <formula>0</formula>
    </cfRule>
  </conditionalFormatting>
  <conditionalFormatting sqref="G23:K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K64">
    <cfRule type="cellIs" dxfId="156" priority="3" operator="equal">
      <formula>FALSE</formula>
    </cfRule>
    <cfRule type="cellIs" dxfId="155" priority="4" operator="notEqual">
      <formula>FALSE</formula>
    </cfRule>
  </conditionalFormatting>
  <conditionalFormatting sqref="L78:M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5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" bestFit="1" customWidth="1"/>
    <col min="5" max="5" width="11.5546875" bestFit="1" customWidth="1"/>
    <col min="6" max="6" width="13" bestFit="1" customWidth="1"/>
    <col min="7" max="7" width="12.88671875" bestFit="1" customWidth="1"/>
    <col min="8" max="9" width="13.6640625" bestFit="1" customWidth="1"/>
    <col min="10" max="10" width="11.33203125" bestFit="1" customWidth="1"/>
    <col min="11" max="12" width="15.77734375" customWidth="1"/>
    <col min="13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car crashes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39" t="s">
        <v>63</v>
      </c>
      <c r="K8" s="106" t="s">
        <v>52</v>
      </c>
      <c r="L8" s="106" t="s">
        <v>53</v>
      </c>
    </row>
    <row r="9" spans="2:17" ht="15" customHeight="1">
      <c r="C9" s="138">
        <v>5.9</v>
      </c>
      <c r="D9" s="98"/>
      <c r="E9" s="98"/>
      <c r="F9" s="98"/>
      <c r="G9" s="98"/>
      <c r="H9" s="98"/>
      <c r="I9" s="98"/>
      <c r="J9" s="98"/>
      <c r="K9" s="107">
        <v>0</v>
      </c>
      <c r="L9" s="141"/>
    </row>
    <row r="10" spans="2:17" ht="15" customHeight="1">
      <c r="C10" s="138">
        <v>8.1999999999999993</v>
      </c>
      <c r="D10" s="98"/>
      <c r="E10" s="98"/>
      <c r="F10" s="98"/>
      <c r="G10" s="98"/>
      <c r="H10" s="98"/>
      <c r="I10" s="98"/>
      <c r="J10" s="98"/>
      <c r="K10" s="107">
        <v>0</v>
      </c>
      <c r="L10" s="141"/>
    </row>
    <row r="11" spans="2:17" ht="15" customHeight="1">
      <c r="C11" s="138">
        <v>9.6</v>
      </c>
      <c r="D11" s="98"/>
      <c r="E11" s="98"/>
      <c r="F11" s="98"/>
      <c r="G11" s="98"/>
      <c r="H11" s="98"/>
      <c r="I11" s="98"/>
      <c r="J11" s="98"/>
      <c r="K11" s="107">
        <v>0</v>
      </c>
      <c r="L11" s="141"/>
    </row>
    <row r="12" spans="2:17" ht="15" customHeight="1">
      <c r="C12" s="138">
        <v>10.6</v>
      </c>
      <c r="D12" s="98"/>
      <c r="E12" s="98"/>
      <c r="F12" s="98"/>
      <c r="G12" s="98"/>
      <c r="H12" s="98"/>
      <c r="I12" s="98"/>
      <c r="J12" s="98"/>
      <c r="K12" s="107">
        <v>0</v>
      </c>
      <c r="L12" s="141"/>
    </row>
    <row r="13" spans="2:17" ht="15" customHeight="1">
      <c r="C13" s="138">
        <v>10.8</v>
      </c>
      <c r="D13" s="98"/>
      <c r="E13" s="98"/>
      <c r="F13" s="98"/>
      <c r="G13" s="98"/>
      <c r="H13" s="98"/>
      <c r="I13" s="98"/>
      <c r="J13" s="98"/>
      <c r="K13" s="107">
        <v>0</v>
      </c>
      <c r="L13" s="141"/>
    </row>
    <row r="14" spans="2:17">
      <c r="C14" s="138">
        <v>11.1</v>
      </c>
      <c r="D14" s="98"/>
      <c r="E14" s="98"/>
      <c r="F14" s="98"/>
      <c r="G14" s="98"/>
      <c r="H14" s="98"/>
      <c r="I14" s="98"/>
      <c r="J14" s="98"/>
      <c r="K14" s="107">
        <v>0</v>
      </c>
      <c r="L14" s="141"/>
    </row>
    <row r="15" spans="2:17">
      <c r="C15" s="138">
        <v>11.2</v>
      </c>
      <c r="D15" s="98"/>
      <c r="E15" s="98"/>
      <c r="F15" s="98"/>
      <c r="G15" s="98"/>
      <c r="H15" s="98"/>
      <c r="I15" s="98"/>
      <c r="J15" s="98"/>
      <c r="K15" s="107">
        <v>0</v>
      </c>
      <c r="L15" s="141"/>
    </row>
    <row r="16" spans="2:17">
      <c r="C16" s="138">
        <v>11.3</v>
      </c>
      <c r="D16" s="98"/>
      <c r="E16" s="98"/>
      <c r="F16" s="98"/>
      <c r="G16" s="98"/>
      <c r="H16" s="98"/>
      <c r="I16" s="98"/>
      <c r="J16" s="98"/>
      <c r="K16" s="107">
        <v>0</v>
      </c>
      <c r="L16" s="141"/>
    </row>
    <row r="17" spans="3:12">
      <c r="C17" s="138">
        <v>11.6</v>
      </c>
      <c r="D17" s="98"/>
      <c r="E17" s="98"/>
      <c r="F17" s="98"/>
      <c r="G17" s="98"/>
      <c r="H17" s="98"/>
      <c r="I17" s="98"/>
      <c r="J17" s="98"/>
      <c r="K17" s="107">
        <v>0</v>
      </c>
      <c r="L17" s="141"/>
    </row>
    <row r="18" spans="3:12">
      <c r="C18" s="138">
        <v>12</v>
      </c>
      <c r="D18" s="98"/>
      <c r="E18" s="98"/>
      <c r="F18" s="98"/>
      <c r="G18" s="98"/>
      <c r="H18" s="98"/>
      <c r="I18" s="98"/>
      <c r="J18" s="98"/>
      <c r="K18" s="107">
        <v>0</v>
      </c>
      <c r="L18" s="141"/>
    </row>
    <row r="19" spans="3:12">
      <c r="C19" s="138">
        <v>12.3</v>
      </c>
      <c r="D19" s="98"/>
      <c r="E19" s="98"/>
      <c r="F19" s="98"/>
      <c r="G19" s="98"/>
      <c r="H19" s="98"/>
      <c r="I19" s="98"/>
      <c r="J19" s="98"/>
      <c r="K19" s="107">
        <v>0</v>
      </c>
      <c r="L19" s="141"/>
    </row>
    <row r="20" spans="3:12">
      <c r="C20" s="138">
        <v>12.5</v>
      </c>
      <c r="D20" s="98"/>
      <c r="E20" s="98"/>
      <c r="F20" s="98"/>
      <c r="G20" s="98"/>
      <c r="H20" s="98"/>
      <c r="I20" s="98"/>
      <c r="J20" s="98"/>
      <c r="K20" s="107">
        <v>0</v>
      </c>
      <c r="L20" s="141"/>
    </row>
    <row r="21" spans="3:12">
      <c r="C21" s="138">
        <v>12.7</v>
      </c>
      <c r="D21" s="98"/>
      <c r="E21" s="98"/>
      <c r="F21" s="98"/>
      <c r="G21" s="98"/>
      <c r="H21" s="98"/>
      <c r="I21" s="98"/>
      <c r="J21" s="98"/>
      <c r="K21" s="107">
        <v>0</v>
      </c>
      <c r="L21" s="141"/>
    </row>
    <row r="22" spans="3:12">
      <c r="C22" s="138">
        <v>12.8</v>
      </c>
      <c r="D22" s="98"/>
      <c r="E22" s="98"/>
      <c r="F22" s="98"/>
      <c r="G22" s="98"/>
      <c r="H22" s="98"/>
      <c r="I22" s="98"/>
      <c r="J22" s="98"/>
      <c r="K22" s="107">
        <v>0</v>
      </c>
      <c r="L22" s="141"/>
    </row>
    <row r="23" spans="3:12">
      <c r="C23" s="138">
        <v>13.6</v>
      </c>
      <c r="D23" s="98"/>
      <c r="E23" s="98"/>
      <c r="F23" s="98"/>
      <c r="G23" s="98"/>
      <c r="H23" s="98"/>
      <c r="I23" s="98"/>
      <c r="J23" s="98"/>
      <c r="K23" s="107">
        <v>0</v>
      </c>
      <c r="L23" s="141"/>
    </row>
    <row r="24" spans="3:12">
      <c r="C24" s="138">
        <v>13.8</v>
      </c>
      <c r="D24" s="98"/>
      <c r="E24" s="98"/>
      <c r="F24" s="98"/>
      <c r="G24" s="98"/>
      <c r="H24" s="98"/>
      <c r="I24" s="98"/>
      <c r="J24" s="98"/>
      <c r="K24" s="107">
        <v>0</v>
      </c>
      <c r="L24" s="141"/>
    </row>
    <row r="25" spans="3:12">
      <c r="C25" s="138">
        <v>14.1</v>
      </c>
      <c r="D25" s="98"/>
      <c r="E25" s="98"/>
      <c r="F25" s="98"/>
      <c r="G25" s="98"/>
      <c r="H25" s="98"/>
      <c r="I25" s="98"/>
      <c r="J25" s="98"/>
      <c r="K25" s="107">
        <v>0</v>
      </c>
      <c r="L25" s="141"/>
    </row>
    <row r="26" spans="3:12">
      <c r="C26" s="138">
        <v>14.5</v>
      </c>
      <c r="D26" s="98"/>
      <c r="E26" s="98"/>
      <c r="F26" s="98"/>
      <c r="G26" s="98"/>
      <c r="H26" s="98"/>
      <c r="I26" s="98"/>
      <c r="J26" s="98"/>
      <c r="K26" s="107">
        <v>0</v>
      </c>
      <c r="L26" s="141"/>
    </row>
    <row r="27" spans="3:12">
      <c r="C27" s="138">
        <v>14.7</v>
      </c>
      <c r="D27" s="98"/>
      <c r="E27" s="98"/>
      <c r="F27" s="98"/>
      <c r="G27" s="98"/>
      <c r="H27" s="98"/>
      <c r="I27" s="98"/>
      <c r="J27" s="98"/>
      <c r="K27" s="107">
        <v>0</v>
      </c>
      <c r="L27" s="141"/>
    </row>
    <row r="28" spans="3:12">
      <c r="C28" s="138">
        <v>14.9</v>
      </c>
      <c r="D28" s="98"/>
      <c r="E28" s="98"/>
      <c r="F28" s="98"/>
      <c r="G28" s="98"/>
      <c r="H28" s="98"/>
      <c r="I28" s="98"/>
      <c r="J28" s="98"/>
      <c r="K28" s="107">
        <v>0</v>
      </c>
      <c r="L28" s="141"/>
    </row>
    <row r="29" spans="3:12">
      <c r="C29" s="138">
        <v>15.1</v>
      </c>
      <c r="D29" s="98"/>
      <c r="E29" s="98"/>
      <c r="F29" s="98"/>
      <c r="G29" s="98"/>
      <c r="H29" s="98"/>
      <c r="I29" s="98"/>
      <c r="J29" s="98"/>
      <c r="K29" s="107">
        <v>0</v>
      </c>
      <c r="L29" s="141"/>
    </row>
    <row r="30" spans="3:12">
      <c r="C30" s="138">
        <v>15.3</v>
      </c>
      <c r="D30" s="98"/>
      <c r="E30" s="98"/>
      <c r="F30" s="98"/>
      <c r="G30" s="98"/>
      <c r="H30" s="98"/>
      <c r="I30" s="98"/>
      <c r="J30" s="98"/>
      <c r="K30" s="107">
        <v>0</v>
      </c>
      <c r="L30" s="141"/>
    </row>
    <row r="31" spans="3:12">
      <c r="C31" s="138">
        <v>15.6</v>
      </c>
      <c r="D31" s="98"/>
      <c r="E31" s="98"/>
      <c r="F31" s="98"/>
      <c r="G31" s="98"/>
      <c r="H31" s="98"/>
      <c r="I31" s="98"/>
      <c r="J31" s="98"/>
      <c r="K31" s="107">
        <v>0</v>
      </c>
      <c r="L31" s="141"/>
    </row>
    <row r="32" spans="3:12">
      <c r="C32" s="138">
        <v>15.7</v>
      </c>
      <c r="D32" s="98"/>
      <c r="E32" s="98"/>
      <c r="F32" s="98"/>
      <c r="G32" s="98"/>
      <c r="H32" s="98"/>
      <c r="I32" s="98"/>
      <c r="J32" s="98"/>
      <c r="K32" s="107">
        <v>0</v>
      </c>
      <c r="L32" s="141"/>
    </row>
    <row r="33" spans="3:12">
      <c r="C33" s="138">
        <v>16.100000000000001</v>
      </c>
      <c r="D33" s="98"/>
      <c r="E33" s="98"/>
      <c r="F33" s="98"/>
      <c r="G33" s="98"/>
      <c r="H33" s="98"/>
      <c r="I33" s="98"/>
      <c r="J33" s="98"/>
      <c r="K33" s="107">
        <v>0</v>
      </c>
      <c r="L33" s="141"/>
    </row>
    <row r="34" spans="3:12">
      <c r="C34" s="138">
        <v>16.2</v>
      </c>
      <c r="D34" s="98"/>
      <c r="E34" s="98"/>
      <c r="F34" s="98"/>
      <c r="G34" s="98"/>
      <c r="H34" s="98"/>
      <c r="I34" s="98"/>
      <c r="J34" s="98"/>
      <c r="K34" s="107">
        <v>0</v>
      </c>
      <c r="L34" s="141"/>
    </row>
    <row r="35" spans="3:12">
      <c r="C35" s="138">
        <v>16.8</v>
      </c>
      <c r="D35" s="98"/>
      <c r="E35" s="98"/>
      <c r="F35" s="98"/>
      <c r="G35" s="98"/>
      <c r="H35" s="98"/>
      <c r="I35" s="98"/>
      <c r="J35" s="98"/>
      <c r="K35" s="107">
        <v>0</v>
      </c>
      <c r="L35" s="141"/>
    </row>
    <row r="36" spans="3:12">
      <c r="C36" s="138">
        <v>17.399999999999999</v>
      </c>
      <c r="D36" s="98"/>
      <c r="E36" s="98"/>
      <c r="F36" s="98"/>
      <c r="G36" s="98"/>
      <c r="H36" s="98"/>
      <c r="I36" s="98"/>
      <c r="J36" s="98"/>
      <c r="K36" s="107">
        <v>0</v>
      </c>
      <c r="L36" s="141"/>
    </row>
    <row r="37" spans="3:12">
      <c r="C37" s="138">
        <v>17.5</v>
      </c>
      <c r="D37" s="98"/>
      <c r="E37" s="98"/>
      <c r="F37" s="98"/>
      <c r="G37" s="98"/>
      <c r="H37" s="98"/>
      <c r="I37" s="98"/>
      <c r="J37" s="98"/>
      <c r="K37" s="107">
        <v>0</v>
      </c>
      <c r="L37" s="141"/>
    </row>
    <row r="38" spans="3:12">
      <c r="C38" s="138">
        <v>17.600000000000001</v>
      </c>
      <c r="D38" s="98"/>
      <c r="E38" s="98"/>
      <c r="F38" s="98"/>
      <c r="G38" s="98"/>
      <c r="H38" s="98"/>
      <c r="I38" s="98"/>
      <c r="J38" s="98"/>
      <c r="K38" s="107">
        <v>0</v>
      </c>
      <c r="L38" s="141"/>
    </row>
    <row r="39" spans="3:12">
      <c r="C39" s="138">
        <v>17.8</v>
      </c>
      <c r="D39" s="98"/>
      <c r="E39" s="98"/>
      <c r="F39" s="98"/>
      <c r="G39" s="98"/>
      <c r="H39" s="98"/>
      <c r="I39" s="98"/>
      <c r="J39" s="98"/>
      <c r="K39" s="107">
        <v>0</v>
      </c>
      <c r="L39" s="141"/>
    </row>
    <row r="40" spans="3:12">
      <c r="C40" s="138">
        <v>17.899999999999999</v>
      </c>
      <c r="D40" s="98"/>
      <c r="E40" s="98"/>
      <c r="F40" s="98"/>
      <c r="G40" s="98"/>
      <c r="H40" s="98"/>
      <c r="I40" s="98"/>
      <c r="J40" s="98"/>
      <c r="K40" s="107">
        <v>0</v>
      </c>
      <c r="L40" s="141"/>
    </row>
    <row r="41" spans="3:12">
      <c r="C41" s="138">
        <v>18.100000000000001</v>
      </c>
      <c r="D41" s="98"/>
      <c r="E41" s="98"/>
      <c r="F41" s="98"/>
      <c r="G41" s="98"/>
      <c r="H41" s="98"/>
      <c r="I41" s="98"/>
      <c r="J41" s="98"/>
      <c r="K41" s="107">
        <v>0</v>
      </c>
      <c r="L41" s="141"/>
    </row>
    <row r="42" spans="3:12">
      <c r="C42" s="138">
        <v>18.2</v>
      </c>
      <c r="D42" s="98"/>
      <c r="E42" s="98"/>
      <c r="F42" s="98"/>
      <c r="G42" s="98"/>
      <c r="H42" s="98"/>
      <c r="I42" s="98"/>
      <c r="J42" s="98"/>
      <c r="K42" s="107">
        <v>0</v>
      </c>
      <c r="L42" s="141"/>
    </row>
    <row r="43" spans="3:12">
      <c r="C43" s="138">
        <v>18.399999999999999</v>
      </c>
      <c r="D43" s="98"/>
      <c r="E43" s="98"/>
      <c r="F43" s="98"/>
      <c r="G43" s="98"/>
      <c r="H43" s="98"/>
      <c r="I43" s="98"/>
      <c r="J43" s="98"/>
      <c r="K43" s="107">
        <v>0</v>
      </c>
      <c r="L43" s="141"/>
    </row>
    <row r="44" spans="3:12">
      <c r="C44" s="138">
        <v>18.600000000000001</v>
      </c>
      <c r="D44" s="98"/>
      <c r="E44" s="98"/>
      <c r="F44" s="98"/>
      <c r="G44" s="98"/>
      <c r="H44" s="98"/>
      <c r="I44" s="98"/>
      <c r="J44" s="98"/>
      <c r="K44" s="107">
        <v>0</v>
      </c>
      <c r="L44" s="141"/>
    </row>
    <row r="45" spans="3:12">
      <c r="C45" s="138">
        <v>18.8</v>
      </c>
      <c r="D45" s="98"/>
      <c r="E45" s="98"/>
      <c r="F45" s="98"/>
      <c r="G45" s="98"/>
      <c r="H45" s="98"/>
      <c r="I45" s="98"/>
      <c r="J45" s="98"/>
      <c r="K45" s="107">
        <v>0</v>
      </c>
      <c r="L45" s="141"/>
    </row>
    <row r="46" spans="3:12">
      <c r="C46" s="138">
        <v>19.399999999999999</v>
      </c>
      <c r="D46" s="98"/>
      <c r="E46" s="98"/>
      <c r="F46" s="98"/>
      <c r="G46" s="98"/>
      <c r="H46" s="98"/>
      <c r="I46" s="98"/>
      <c r="J46" s="98"/>
      <c r="K46" s="107">
        <v>0</v>
      </c>
      <c r="L46" s="141"/>
    </row>
    <row r="47" spans="3:12">
      <c r="C47" s="138">
        <v>19.5</v>
      </c>
      <c r="D47" s="98"/>
      <c r="E47" s="98"/>
      <c r="F47" s="98"/>
      <c r="G47" s="98"/>
      <c r="H47" s="98"/>
      <c r="I47" s="98"/>
      <c r="J47" s="98"/>
      <c r="K47" s="107">
        <v>0</v>
      </c>
      <c r="L47" s="141"/>
    </row>
    <row r="48" spans="3:12">
      <c r="C48" s="138">
        <v>19.899999999999999</v>
      </c>
      <c r="D48" s="98"/>
      <c r="E48" s="98"/>
      <c r="F48" s="98"/>
      <c r="G48" s="98"/>
      <c r="H48" s="98"/>
      <c r="I48" s="98"/>
      <c r="J48" s="98"/>
      <c r="K48" s="107">
        <v>0</v>
      </c>
      <c r="L48" s="141"/>
    </row>
    <row r="49" spans="3:12">
      <c r="C49" s="138">
        <v>20.5</v>
      </c>
      <c r="D49" s="98"/>
      <c r="E49" s="98"/>
      <c r="F49" s="98"/>
      <c r="G49" s="98"/>
      <c r="H49" s="98"/>
      <c r="I49" s="98"/>
      <c r="J49" s="98"/>
      <c r="K49" s="107">
        <v>0</v>
      </c>
      <c r="L49" s="141"/>
    </row>
    <row r="50" spans="3:12">
      <c r="C50" s="138">
        <v>21.4</v>
      </c>
      <c r="D50" s="98"/>
      <c r="E50" s="98"/>
      <c r="F50" s="98"/>
      <c r="G50" s="98"/>
      <c r="H50" s="98"/>
      <c r="I50" s="98"/>
      <c r="J50" s="98"/>
      <c r="K50" s="107">
        <v>0</v>
      </c>
      <c r="L50" s="141"/>
    </row>
    <row r="51" spans="3:12">
      <c r="C51" s="138">
        <v>22.4</v>
      </c>
      <c r="D51" s="98"/>
      <c r="E51" s="98"/>
      <c r="F51" s="98"/>
      <c r="G51" s="98"/>
      <c r="H51" s="98"/>
      <c r="I51" s="98"/>
      <c r="J51" s="98"/>
      <c r="K51" s="107">
        <v>0</v>
      </c>
      <c r="L51" s="141"/>
    </row>
    <row r="52" spans="3:12">
      <c r="C52" s="138">
        <v>23.8</v>
      </c>
      <c r="D52" s="98"/>
      <c r="E52" s="98"/>
      <c r="F52" s="98"/>
      <c r="G52" s="98"/>
      <c r="H52" s="98"/>
      <c r="I52" s="98"/>
      <c r="J52" s="98"/>
      <c r="K52" s="107">
        <v>0</v>
      </c>
      <c r="L52" s="141"/>
    </row>
    <row r="53" spans="3:12">
      <c r="C53" s="138">
        <v>23.9</v>
      </c>
      <c r="D53" s="98"/>
      <c r="E53" s="98"/>
      <c r="F53" s="98"/>
      <c r="G53" s="98"/>
      <c r="H53" s="98"/>
      <c r="I53" s="98"/>
      <c r="J53" s="98"/>
      <c r="K53" s="107">
        <v>0</v>
      </c>
      <c r="L53" s="141"/>
    </row>
    <row r="54" spans="3:12">
      <c r="C54" s="138" t="s">
        <v>119</v>
      </c>
      <c r="D54" s="98"/>
      <c r="E54" s="98"/>
      <c r="F54" s="98"/>
      <c r="G54" s="98"/>
      <c r="H54" s="98"/>
      <c r="I54" s="98"/>
      <c r="J54" s="98"/>
      <c r="K54" s="107">
        <v>0</v>
      </c>
      <c r="L54" s="141"/>
    </row>
  </sheetData>
  <conditionalFormatting pivot="1" sqref="K9:K54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L9:L54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5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" bestFit="1" customWidth="1"/>
    <col min="5" max="5" width="11.5546875" bestFit="1" customWidth="1"/>
    <col min="6" max="6" width="16.5546875" bestFit="1" customWidth="1"/>
    <col min="7" max="7" width="15.88671875" bestFit="1" customWidth="1"/>
    <col min="8" max="8" width="16.44140625" bestFit="1" customWidth="1"/>
    <col min="9" max="9" width="13.6640625" bestFit="1" customWidth="1"/>
    <col min="10" max="10" width="11.33203125" bestFit="1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car crashes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39" t="s">
        <v>63</v>
      </c>
    </row>
    <row r="9" spans="2:17" ht="15" customHeight="1">
      <c r="C9" s="138">
        <v>5.9</v>
      </c>
      <c r="D9" s="98"/>
      <c r="E9" s="98"/>
      <c r="F9" s="98"/>
      <c r="G9" s="98"/>
      <c r="H9" s="98"/>
      <c r="I9" s="98"/>
      <c r="J9" s="98"/>
    </row>
    <row r="10" spans="2:17" ht="15" customHeight="1">
      <c r="C10" s="138">
        <v>8.1999999999999993</v>
      </c>
      <c r="D10" s="98"/>
      <c r="E10" s="98"/>
      <c r="F10" s="98"/>
      <c r="G10" s="98"/>
      <c r="H10" s="98"/>
      <c r="I10" s="98"/>
      <c r="J10" s="98"/>
    </row>
    <row r="11" spans="2:17" ht="15" customHeight="1">
      <c r="C11" s="138">
        <v>9.6</v>
      </c>
      <c r="D11" s="98"/>
      <c r="E11" s="98"/>
      <c r="F11" s="98"/>
      <c r="G11" s="98"/>
      <c r="H11" s="98"/>
      <c r="I11" s="98"/>
      <c r="J11" s="98"/>
    </row>
    <row r="12" spans="2:17" ht="15" customHeight="1">
      <c r="C12" s="138">
        <v>10.6</v>
      </c>
      <c r="D12" s="98"/>
      <c r="E12" s="98"/>
      <c r="F12" s="98"/>
      <c r="G12" s="98"/>
      <c r="H12" s="98"/>
      <c r="I12" s="98"/>
      <c r="J12" s="98"/>
    </row>
    <row r="13" spans="2:17" ht="15" customHeight="1">
      <c r="C13" s="138">
        <v>10.8</v>
      </c>
      <c r="D13" s="98"/>
      <c r="E13" s="98"/>
      <c r="F13" s="98"/>
      <c r="G13" s="98"/>
      <c r="H13" s="98"/>
      <c r="I13" s="98"/>
      <c r="J13" s="98"/>
    </row>
    <row r="14" spans="2:17">
      <c r="C14" s="138">
        <v>11.1</v>
      </c>
      <c r="D14" s="98"/>
      <c r="E14" s="98"/>
      <c r="F14" s="98"/>
      <c r="G14" s="98"/>
      <c r="H14" s="98"/>
      <c r="I14" s="98"/>
      <c r="J14" s="98"/>
    </row>
    <row r="15" spans="2:17">
      <c r="C15" s="138">
        <v>11.2</v>
      </c>
      <c r="D15" s="98"/>
      <c r="E15" s="98"/>
      <c r="F15" s="98"/>
      <c r="G15" s="98"/>
      <c r="H15" s="98"/>
      <c r="I15" s="98"/>
      <c r="J15" s="98"/>
    </row>
    <row r="16" spans="2:17">
      <c r="C16" s="138">
        <v>11.3</v>
      </c>
      <c r="D16" s="98"/>
      <c r="E16" s="98"/>
      <c r="F16" s="98"/>
      <c r="G16" s="98"/>
      <c r="H16" s="98"/>
      <c r="I16" s="98"/>
      <c r="J16" s="98"/>
    </row>
    <row r="17" spans="3:10">
      <c r="C17" s="138">
        <v>11.6</v>
      </c>
      <c r="D17" s="98"/>
      <c r="E17" s="98"/>
      <c r="F17" s="98"/>
      <c r="G17" s="98"/>
      <c r="H17" s="98"/>
      <c r="I17" s="98"/>
      <c r="J17" s="98"/>
    </row>
    <row r="18" spans="3:10">
      <c r="C18" s="138">
        <v>12</v>
      </c>
      <c r="D18" s="98"/>
      <c r="E18" s="98"/>
      <c r="F18" s="98"/>
      <c r="G18" s="98"/>
      <c r="H18" s="98"/>
      <c r="I18" s="98"/>
      <c r="J18" s="98"/>
    </row>
    <row r="19" spans="3:10">
      <c r="C19" s="138">
        <v>12.3</v>
      </c>
      <c r="D19" s="98"/>
      <c r="E19" s="98"/>
      <c r="F19" s="98"/>
      <c r="G19" s="98"/>
      <c r="H19" s="98"/>
      <c r="I19" s="98"/>
      <c r="J19" s="98"/>
    </row>
    <row r="20" spans="3:10">
      <c r="C20" s="138">
        <v>12.5</v>
      </c>
      <c r="D20" s="98"/>
      <c r="E20" s="98"/>
      <c r="F20" s="98"/>
      <c r="G20" s="98"/>
      <c r="H20" s="98"/>
      <c r="I20" s="98"/>
      <c r="J20" s="98"/>
    </row>
    <row r="21" spans="3:10">
      <c r="C21" s="138">
        <v>12.7</v>
      </c>
      <c r="D21" s="98"/>
      <c r="E21" s="98"/>
      <c r="F21" s="98"/>
      <c r="G21" s="98"/>
      <c r="H21" s="98"/>
      <c r="I21" s="98"/>
      <c r="J21" s="98"/>
    </row>
    <row r="22" spans="3:10">
      <c r="C22" s="138">
        <v>12.8</v>
      </c>
      <c r="D22" s="98"/>
      <c r="E22" s="98"/>
      <c r="F22" s="98"/>
      <c r="G22" s="98"/>
      <c r="H22" s="98"/>
      <c r="I22" s="98"/>
      <c r="J22" s="98"/>
    </row>
    <row r="23" spans="3:10">
      <c r="C23" s="138">
        <v>13.6</v>
      </c>
      <c r="D23" s="98"/>
      <c r="E23" s="98"/>
      <c r="F23" s="98"/>
      <c r="G23" s="98"/>
      <c r="H23" s="98"/>
      <c r="I23" s="98"/>
      <c r="J23" s="98"/>
    </row>
    <row r="24" spans="3:10">
      <c r="C24" s="138">
        <v>13.8</v>
      </c>
      <c r="D24" s="98"/>
      <c r="E24" s="98"/>
      <c r="F24" s="98"/>
      <c r="G24" s="98"/>
      <c r="H24" s="98"/>
      <c r="I24" s="98"/>
      <c r="J24" s="98"/>
    </row>
    <row r="25" spans="3:10">
      <c r="C25" s="138">
        <v>14.1</v>
      </c>
      <c r="D25" s="98"/>
      <c r="E25" s="98"/>
      <c r="F25" s="98"/>
      <c r="G25" s="98"/>
      <c r="H25" s="98"/>
      <c r="I25" s="98"/>
      <c r="J25" s="98"/>
    </row>
    <row r="26" spans="3:10">
      <c r="C26" s="138">
        <v>14.5</v>
      </c>
      <c r="D26" s="98"/>
      <c r="E26" s="98"/>
      <c r="F26" s="98"/>
      <c r="G26" s="98"/>
      <c r="H26" s="98"/>
      <c r="I26" s="98"/>
      <c r="J26" s="98"/>
    </row>
    <row r="27" spans="3:10">
      <c r="C27" s="138">
        <v>14.7</v>
      </c>
      <c r="D27" s="98"/>
      <c r="E27" s="98"/>
      <c r="F27" s="98"/>
      <c r="G27" s="98"/>
      <c r="H27" s="98"/>
      <c r="I27" s="98"/>
      <c r="J27" s="98"/>
    </row>
    <row r="28" spans="3:10">
      <c r="C28" s="138">
        <v>14.9</v>
      </c>
      <c r="D28" s="98"/>
      <c r="E28" s="98"/>
      <c r="F28" s="98"/>
      <c r="G28" s="98"/>
      <c r="H28" s="98"/>
      <c r="I28" s="98"/>
      <c r="J28" s="98"/>
    </row>
    <row r="29" spans="3:10">
      <c r="C29" s="138">
        <v>15.1</v>
      </c>
      <c r="D29" s="98"/>
      <c r="E29" s="98"/>
      <c r="F29" s="98"/>
      <c r="G29" s="98"/>
      <c r="H29" s="98"/>
      <c r="I29" s="98"/>
      <c r="J29" s="98"/>
    </row>
    <row r="30" spans="3:10">
      <c r="C30" s="138">
        <v>15.3</v>
      </c>
      <c r="D30" s="98"/>
      <c r="E30" s="98"/>
      <c r="F30" s="98"/>
      <c r="G30" s="98"/>
      <c r="H30" s="98"/>
      <c r="I30" s="98"/>
      <c r="J30" s="98"/>
    </row>
    <row r="31" spans="3:10">
      <c r="C31" s="138">
        <v>15.6</v>
      </c>
      <c r="D31" s="98"/>
      <c r="E31" s="98"/>
      <c r="F31" s="98"/>
      <c r="G31" s="98"/>
      <c r="H31" s="98"/>
      <c r="I31" s="98"/>
      <c r="J31" s="98"/>
    </row>
    <row r="32" spans="3:10">
      <c r="C32" s="138">
        <v>15.7</v>
      </c>
      <c r="D32" s="98"/>
      <c r="E32" s="98"/>
      <c r="F32" s="98"/>
      <c r="G32" s="98"/>
      <c r="H32" s="98"/>
      <c r="I32" s="98"/>
      <c r="J32" s="98"/>
    </row>
    <row r="33" spans="3:10">
      <c r="C33" s="138">
        <v>16.100000000000001</v>
      </c>
      <c r="D33" s="98"/>
      <c r="E33" s="98"/>
      <c r="F33" s="98"/>
      <c r="G33" s="98"/>
      <c r="H33" s="98"/>
      <c r="I33" s="98"/>
      <c r="J33" s="98"/>
    </row>
    <row r="34" spans="3:10">
      <c r="C34" s="138">
        <v>16.2</v>
      </c>
      <c r="D34" s="98"/>
      <c r="E34" s="98"/>
      <c r="F34" s="98"/>
      <c r="G34" s="98"/>
      <c r="H34" s="98"/>
      <c r="I34" s="98"/>
      <c r="J34" s="98"/>
    </row>
    <row r="35" spans="3:10">
      <c r="C35" s="138">
        <v>16.8</v>
      </c>
      <c r="D35" s="98"/>
      <c r="E35" s="98"/>
      <c r="F35" s="98"/>
      <c r="G35" s="98"/>
      <c r="H35" s="98"/>
      <c r="I35" s="98"/>
      <c r="J35" s="98"/>
    </row>
    <row r="36" spans="3:10">
      <c r="C36" s="138">
        <v>17.399999999999999</v>
      </c>
      <c r="D36" s="98"/>
      <c r="E36" s="98"/>
      <c r="F36" s="98"/>
      <c r="G36" s="98"/>
      <c r="H36" s="98"/>
      <c r="I36" s="98"/>
      <c r="J36" s="98"/>
    </row>
    <row r="37" spans="3:10">
      <c r="C37" s="138">
        <v>17.5</v>
      </c>
      <c r="D37" s="98"/>
      <c r="E37" s="98"/>
      <c r="F37" s="98"/>
      <c r="G37" s="98"/>
      <c r="H37" s="98"/>
      <c r="I37" s="98"/>
      <c r="J37" s="98"/>
    </row>
    <row r="38" spans="3:10">
      <c r="C38" s="138">
        <v>17.600000000000001</v>
      </c>
      <c r="D38" s="98"/>
      <c r="E38" s="98"/>
      <c r="F38" s="98"/>
      <c r="G38" s="98"/>
      <c r="H38" s="98"/>
      <c r="I38" s="98"/>
      <c r="J38" s="98"/>
    </row>
    <row r="39" spans="3:10">
      <c r="C39" s="138">
        <v>17.8</v>
      </c>
      <c r="D39" s="98"/>
      <c r="E39" s="98"/>
      <c r="F39" s="98"/>
      <c r="G39" s="98"/>
      <c r="H39" s="98"/>
      <c r="I39" s="98"/>
      <c r="J39" s="98"/>
    </row>
    <row r="40" spans="3:10">
      <c r="C40" s="138">
        <v>17.899999999999999</v>
      </c>
      <c r="D40" s="98"/>
      <c r="E40" s="98"/>
      <c r="F40" s="98"/>
      <c r="G40" s="98"/>
      <c r="H40" s="98"/>
      <c r="I40" s="98"/>
      <c r="J40" s="98"/>
    </row>
    <row r="41" spans="3:10">
      <c r="C41" s="138">
        <v>18.100000000000001</v>
      </c>
      <c r="D41" s="98"/>
      <c r="E41" s="98"/>
      <c r="F41" s="98"/>
      <c r="G41" s="98"/>
      <c r="H41" s="98"/>
      <c r="I41" s="98"/>
      <c r="J41" s="98"/>
    </row>
    <row r="42" spans="3:10">
      <c r="C42" s="138">
        <v>18.2</v>
      </c>
      <c r="D42" s="98"/>
      <c r="E42" s="98"/>
      <c r="F42" s="98"/>
      <c r="G42" s="98"/>
      <c r="H42" s="98"/>
      <c r="I42" s="98"/>
      <c r="J42" s="98"/>
    </row>
    <row r="43" spans="3:10">
      <c r="C43" s="138">
        <v>18.399999999999999</v>
      </c>
      <c r="D43" s="98"/>
      <c r="E43" s="98"/>
      <c r="F43" s="98"/>
      <c r="G43" s="98"/>
      <c r="H43" s="98"/>
      <c r="I43" s="98"/>
      <c r="J43" s="98"/>
    </row>
    <row r="44" spans="3:10">
      <c r="C44" s="138">
        <v>18.600000000000001</v>
      </c>
      <c r="D44" s="98"/>
      <c r="E44" s="98"/>
      <c r="F44" s="98"/>
      <c r="G44" s="98"/>
      <c r="H44" s="98"/>
      <c r="I44" s="98"/>
      <c r="J44" s="98"/>
    </row>
    <row r="45" spans="3:10">
      <c r="C45" s="138">
        <v>18.8</v>
      </c>
      <c r="D45" s="98"/>
      <c r="E45" s="98"/>
      <c r="F45" s="98"/>
      <c r="G45" s="98"/>
      <c r="H45" s="98"/>
      <c r="I45" s="98"/>
      <c r="J45" s="98"/>
    </row>
    <row r="46" spans="3:10">
      <c r="C46" s="138">
        <v>19.399999999999999</v>
      </c>
      <c r="D46" s="98"/>
      <c r="E46" s="98"/>
      <c r="F46" s="98"/>
      <c r="G46" s="98"/>
      <c r="H46" s="98"/>
      <c r="I46" s="98"/>
      <c r="J46" s="98"/>
    </row>
    <row r="47" spans="3:10">
      <c r="C47" s="138">
        <v>19.5</v>
      </c>
      <c r="D47" s="98"/>
      <c r="E47" s="98"/>
      <c r="F47" s="98"/>
      <c r="G47" s="98"/>
      <c r="H47" s="98"/>
      <c r="I47" s="98"/>
      <c r="J47" s="98"/>
    </row>
    <row r="48" spans="3:10">
      <c r="C48" s="138">
        <v>19.899999999999999</v>
      </c>
      <c r="D48" s="98"/>
      <c r="E48" s="98"/>
      <c r="F48" s="98"/>
      <c r="G48" s="98"/>
      <c r="H48" s="98"/>
      <c r="I48" s="98"/>
      <c r="J48" s="98"/>
    </row>
    <row r="49" spans="3:10">
      <c r="C49" s="138">
        <v>20.5</v>
      </c>
      <c r="D49" s="98"/>
      <c r="E49" s="98"/>
      <c r="F49" s="98"/>
      <c r="G49" s="98"/>
      <c r="H49" s="98"/>
      <c r="I49" s="98"/>
      <c r="J49" s="98"/>
    </row>
    <row r="50" spans="3:10">
      <c r="C50" s="138">
        <v>21.4</v>
      </c>
      <c r="D50" s="98"/>
      <c r="E50" s="98"/>
      <c r="F50" s="98"/>
      <c r="G50" s="98"/>
      <c r="H50" s="98"/>
      <c r="I50" s="98"/>
      <c r="J50" s="98"/>
    </row>
    <row r="51" spans="3:10">
      <c r="C51" s="138">
        <v>22.4</v>
      </c>
      <c r="D51" s="98"/>
      <c r="E51" s="98"/>
      <c r="F51" s="98"/>
      <c r="G51" s="98"/>
      <c r="H51" s="98"/>
      <c r="I51" s="98"/>
      <c r="J51" s="98"/>
    </row>
    <row r="52" spans="3:10">
      <c r="C52" s="138">
        <v>23.8</v>
      </c>
      <c r="D52" s="98"/>
      <c r="E52" s="98"/>
      <c r="F52" s="98"/>
      <c r="G52" s="98"/>
      <c r="H52" s="98"/>
      <c r="I52" s="98"/>
      <c r="J52" s="98"/>
    </row>
    <row r="53" spans="3:10">
      <c r="C53" s="138">
        <v>23.9</v>
      </c>
      <c r="D53" s="98"/>
      <c r="E53" s="98"/>
      <c r="F53" s="98"/>
      <c r="G53" s="98"/>
      <c r="H53" s="98"/>
      <c r="I53" s="98"/>
      <c r="J53" s="98"/>
    </row>
    <row r="54" spans="3:10">
      <c r="C54" s="138" t="s">
        <v>119</v>
      </c>
      <c r="D54" s="98"/>
      <c r="E54" s="98"/>
      <c r="F54" s="98"/>
      <c r="G54" s="98"/>
      <c r="H54" s="98"/>
      <c r="I54" s="98"/>
      <c r="J54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2026-05-25T06:52:43Z</dcterms:modified>
</cp:coreProperties>
</file>