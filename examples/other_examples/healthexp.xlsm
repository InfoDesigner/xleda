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E83D626-E507-4DF5-BA24-F77E8B3F1521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Analysis'!$E$15:$H$15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Analysis'!$E$58:$H$58</definedName>
    <definedName name="FieldList1" localSheetId="5">#REF!</definedName>
    <definedName name="FieldList1" localSheetId="4">#REF!</definedName>
    <definedName name="FieldList2" localSheetId="1">'Field Analysis'!$E$59:$H$59</definedName>
    <definedName name="FieldList2" localSheetId="5">#REF!</definedName>
    <definedName name="FieldList2" localSheetId="4">#REF!</definedName>
    <definedName name="FieldList3" localSheetId="1">'Field Analysis'!$E$60:$H$60</definedName>
    <definedName name="FieldList3" localSheetId="5">#REF!</definedName>
    <definedName name="FieldList3" localSheetId="4">#REF!</definedName>
    <definedName name="FieldList4" localSheetId="1">'Field Analysis'!$E$61:$H$61</definedName>
    <definedName name="FieldList4" localSheetId="5">#REF!</definedName>
    <definedName name="FieldList4" localSheetId="4">#REF!</definedName>
    <definedName name="FieldList5" localSheetId="1">'Field Analysis'!$E$62:$H$62</definedName>
    <definedName name="FieldList5" localSheetId="5">#REF!</definedName>
    <definedName name="FieldList5" localSheetId="4">#REF!</definedName>
    <definedName name="FieldList6" localSheetId="1">'Field Analysis'!$E$63:$H$63</definedName>
    <definedName name="FieldList6" localSheetId="5">#REF!</definedName>
    <definedName name="FieldList6" localSheetId="4">#REF!</definedName>
    <definedName name="FieldList7" localSheetId="1">'Field Analysis'!$E$64:$H$64</definedName>
    <definedName name="FieldList7" localSheetId="5">#REF!</definedName>
    <definedName name="FieldList7" localSheetId="4">#REF!</definedName>
    <definedName name="FieldList8" localSheetId="1">'Field Analysis'!$E$65:$H$65</definedName>
    <definedName name="FieldList8" localSheetId="5">#REF!</definedName>
    <definedName name="FieldList8" localSheetId="4">#REF!</definedName>
    <definedName name="FieldLists" localSheetId="1">'Field Analysis'!$D$58:$H$65</definedName>
    <definedName name="FieldRange" localSheetId="1">'Field Analysis'!$E$79:$H$79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Analysis'!$E$19:$H$19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Analysis'!$E$17:$H$17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Analysis'!$C$19:$H$19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7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C12" i="27"/>
  <c r="C13" i="27"/>
  <c r="C14" i="27"/>
  <c r="C1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<sst xmlns="http://schemas.openxmlformats.org/spreadsheetml/2006/main" count="528" uniqueCount="146">
  <si>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</si>
  <si>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</si>
  <si>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</si>
  <si>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</si>
  <si>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</si>
  <si>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</si>
  <si>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</si>
  <si>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</si>
  <si>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</si>
  <si>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</si>
  <si>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</si>
  <si>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</si>
  <si>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</si>
  <si>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</si>
  <si>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</si>
  <si>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</si>
  <si>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</si>
  <si>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</si>
  <si>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</si>
  <si>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</si>
  <si>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</si>
  <si>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</si>
  <si>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</si>
  <si>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</si>
  <si>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</si>
  <si>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</si>
  <si>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</si>
  <si>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</si>
  <si>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</si>
  <si>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</si>
  <si>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</si>
  <si>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</si>
  <si>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</si>
  <si>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</si>
  <si>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</si>
  <si>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</si>
  <si>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</si>
  <si>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</si>
  <si>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</si>
  <si>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</si>
  <si>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</si>
  <si>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</si>
  <si>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</si>
  <si>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</si>
  <si>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</si>
  <si>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</si>
  <si>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</si>
  <si>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</si>
  <si>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</si>
  <si>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</si>
  <si>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</si>
  <si>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</si>
  <si>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</si>
  <si>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</si>
  <si>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</si>
  <si>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</si>
  <si>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</si>
  <si>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</si>
  <si>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</si>
  <si>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</si>
  <si>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</si>
  <si>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</si>
  <si>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</si>
  <si>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</si>
  <si>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</si>
  <si>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</si>
  <si>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</si>
  <si>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</si>
  <si>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</si>
  <si>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</si>
  <si>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</si>
  <si>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</si>
  <si>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</si>
  <si>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</si>
  <si>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</si>
  <si>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</si>
  <si>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</si>
  <si>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</si>
  <si>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</si>
  <si>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</si>
  <si>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</si>
  <si>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</si>
  <si>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</si>
  <si>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Healthexp</t>
  </si>
  <si>
    <t>Year</t>
  </si>
  <si>
    <t>Country</t>
  </si>
  <si>
    <t>Spending_USD</t>
  </si>
  <si>
    <t>Life_Expectancy</t>
  </si>
  <si>
    <t>index</t>
  </si>
  <si>
    <t>Record Hash</t>
  </si>
  <si>
    <t>10,691 bytes</t>
  </si>
  <si>
    <t>int64</t>
  </si>
  <si>
    <t>str</t>
  </si>
  <si>
    <t>float64</t>
  </si>
  <si>
    <t>Japan</t>
  </si>
  <si>
    <t>Germany</t>
  </si>
  <si>
    <t>France</t>
  </si>
  <si>
    <t>Great Britain</t>
  </si>
  <si>
    <t>USA</t>
  </si>
  <si>
    <t>Canada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</si>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</sst>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D9D4F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8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D9D4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81"/>
      <tableStyleElement type="headerRow" dxfId="180"/>
      <tableStyleElement type="totalRow" dxfId="179"/>
    </tableStyle>
    <tableStyle name="DarkTable" pivot="0" count="2" xr9:uid="{97C242D2-6F6D-4549-9428-17456D609B35}">
      <tableStyleElement type="wholeTable" dxfId="178"/>
      <tableStyleElement type="headerRow" dxfId="17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Year">
          <a:extLst>
            <a:ext uri="{FF2B5EF4-FFF2-40B4-BE49-F238E27FC236}">
              <a16:creationId xmlns:a16="http://schemas.microsoft.com/office/drawing/2014/main" id="{A9C7089E-43C3-9F13-5E3C-177951A32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Year">
          <a:extLst>
            <a:ext uri="{FF2B5EF4-FFF2-40B4-BE49-F238E27FC236}">
              <a16:creationId xmlns:a16="http://schemas.microsoft.com/office/drawing/2014/main" id="{17F44364-2048-B88D-CBA4-405BF5622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Country">
          <a:extLst>
            <a:ext uri="{FF2B5EF4-FFF2-40B4-BE49-F238E27FC236}">
              <a16:creationId xmlns:a16="http://schemas.microsoft.com/office/drawing/2014/main" id="{C85CC4F8-1EDB-8047-0A98-2CE2211AB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Spending_USD">
          <a:extLst>
            <a:ext uri="{FF2B5EF4-FFF2-40B4-BE49-F238E27FC236}">
              <a16:creationId xmlns:a16="http://schemas.microsoft.com/office/drawing/2014/main" id="{2BC494C9-9804-32DC-28FF-D7776D497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Spending_USD">
          <a:extLst>
            <a:ext uri="{FF2B5EF4-FFF2-40B4-BE49-F238E27FC236}">
              <a16:creationId xmlns:a16="http://schemas.microsoft.com/office/drawing/2014/main" id="{D3F456E0-5212-2500-644A-0434585DBF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Life_Expectancy">
          <a:extLst>
            <a:ext uri="{FF2B5EF4-FFF2-40B4-BE49-F238E27FC236}">
              <a16:creationId xmlns:a16="http://schemas.microsoft.com/office/drawing/2014/main" id="{0A110EC5-A084-049E-68B1-999BEC7D0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Life_Expectancy">
          <a:extLst>
            <a:ext uri="{FF2B5EF4-FFF2-40B4-BE49-F238E27FC236}">
              <a16:creationId xmlns:a16="http://schemas.microsoft.com/office/drawing/2014/main" id="{35A6E736-FC1F-CFB0-51C4-FD86EDD3D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6391550925" createdVersion="8" refreshedVersion="8" minRefreshableVersion="3" recordCount="274" xr:uid="{00DEDBB6-1F4A-4C10-B2D2-FF41FE7983D3}">
  <cacheSource type="worksheet">
    <worksheetSource name="tbl_SourceData"/>
  </cacheSource>
  <cacheFields count="8">
    <cacheField name="Record List" numFmtId="0">
      <sharedItems/>
    </cacheField>
    <cacheField name="Year" numFmtId="0">
      <sharedItems containsSemiMixedTypes="0" containsString="0" containsNumber="1" containsInteger="1" minValue="1970" maxValue="2020" count="51"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</sharedItems>
    </cacheField>
    <cacheField name="Country" numFmtId="0">
      <sharedItems count="6">
        <s v="Germany"/>
        <s v="France"/>
        <s v="Great Britain"/>
        <s v="Japan"/>
        <s v="USA"/>
        <s v="Canada"/>
      </sharedItems>
    </cacheField>
    <cacheField name="Spending_USD" numFmtId="0">
      <sharedItems containsSemiMixedTypes="0" containsString="0" containsNumber="1" minValue="123.99299999999999" maxValue="11859.179" count="274">
        <n v="252.31100000000001"/>
        <n v="192.143"/>
        <n v="123.99299999999999"/>
        <n v="150.43700000000001"/>
        <n v="326.96100000000001"/>
        <n v="313.39100000000002"/>
        <n v="298.25099999999998"/>
        <n v="134.172"/>
        <n v="163.85400000000001"/>
        <n v="357.988"/>
        <n v="337.36399999999998"/>
        <n v="185.39"/>
        <n v="397.09699999999998"/>
        <n v="384.541"/>
        <n v="205.77799999999999"/>
        <n v="439.30200000000002"/>
        <n v="452.74400000000003"/>
        <n v="242.018"/>
        <n v="495.11399999999998"/>
        <n v="532.48099999999999"/>
        <n v="363.61"/>
        <n v="284.26900000000001"/>
        <n v="560.75"/>
        <n v="543.33699999999999"/>
        <n v="591.09799999999996"/>
        <n v="303.72500000000002"/>
        <n v="638.851"/>
        <n v="647.35199999999998"/>
        <n v="340.62799999999999"/>
        <n v="726.24099999999999"/>
        <n v="729.45699999999999"/>
        <n v="392.577"/>
        <n v="808.88400000000001"/>
        <n v="692.26900000000001"/>
        <n v="800.70299999999997"/>
        <n v="452.93099999999998"/>
        <n v="908.96299999999997"/>
        <n v="791.81200000000001"/>
        <n v="908.16600000000005"/>
        <n v="659.82600000000002"/>
        <n v="385.09899999999999"/>
        <n v="535.01599999999996"/>
        <n v="1036.3"/>
        <n v="898.80700000000002"/>
        <n v="1014.713"/>
        <n v="433.95699999999999"/>
        <n v="603.96500000000003"/>
        <n v="1191.537"/>
        <n v="996.08600000000001"/>
        <n v="1044.528"/>
        <n v="448.47699999999998"/>
        <n v="664.77700000000004"/>
        <n v="1329.6690000000001"/>
        <n v="1066.7460000000001"/>
        <n v="1104.5940000000001"/>
        <n v="501.92399999999998"/>
        <n v="714.85699999999997"/>
        <n v="1451.9449999999999"/>
        <n v="1135.02"/>
        <n v="1196.56"/>
        <n v="521.52200000000005"/>
        <n v="745.98099999999999"/>
        <n v="1590.6669999999999"/>
        <n v="1212.8499999999999"/>
        <n v="1298.5550000000001"/>
        <n v="1001.145"/>
        <n v="549.60799999999995"/>
        <n v="818.38199999999995"/>
        <n v="1735.1559999999999"/>
        <n v="1278.816"/>
        <n v="1386.51"/>
        <n v="578.61"/>
        <n v="859.85500000000002"/>
        <n v="1847.7729999999999"/>
        <n v="1357.453"/>
        <n v="1480.096"/>
        <n v="634.95600000000002"/>
        <n v="916.70299999999997"/>
        <n v="1976.1659999999999"/>
        <n v="1461.3"/>
        <n v="1616.3489999999999"/>
        <n v="688.04899999999998"/>
        <n v="969.25099999999998"/>
        <n v="2195.3919999999998"/>
        <n v="1579.5429999999999"/>
        <n v="1596.16"/>
        <n v="739.71400000000006"/>
        <n v="1021.247"/>
        <n v="2424.654"/>
        <n v="1699.7739999999999"/>
        <n v="1724.3320000000001"/>
        <n v="1459.11"/>
        <n v="782.61199999999997"/>
        <n v="1088.9590000000001"/>
        <n v="2684.9839999999999"/>
        <n v="1805.2090000000001"/>
        <n v="1558.0329999999999"/>
        <n v="842.79700000000003"/>
        <n v="1166.43"/>
        <n v="2901.5889999999999"/>
        <n v="1897.4559999999999"/>
        <n v="2019.308"/>
        <n v="1651.1389999999999"/>
        <n v="930.70100000000002"/>
        <n v="1253.415"/>
        <n v="3100.3429999999998"/>
        <n v="1930.8889999999999"/>
        <n v="2040.3130000000001"/>
        <n v="1753.4849999999999"/>
        <n v="995.72799999999995"/>
        <n v="1332.213"/>
        <n v="3286.558"/>
        <n v="1962.1959999999999"/>
        <n v="2188.6759999999999"/>
        <n v="1817.0419999999999"/>
        <n v="1058.68"/>
        <n v="1420.271"/>
        <n v="3432.1010000000001"/>
        <n v="1984.944"/>
        <n v="2349.145"/>
        <n v="2100.9180000000001"/>
        <n v="1094.0340000000001"/>
        <n v="1413.4449999999999"/>
        <n v="3586.7449999999999"/>
        <n v="1999.778"/>
        <n v="2480.2170000000001"/>
        <n v="2169.451"/>
        <n v="1171.5909999999999"/>
        <n v="1436.3720000000001"/>
        <n v="4158.9279999999999"/>
        <n v="2091.9969999999998"/>
        <n v="2496.201"/>
        <n v="2236.5949999999998"/>
        <n v="1507.3520000000001"/>
        <n v="1529.586"/>
        <n v="3894.2820000000002"/>
        <n v="2200.4679999999998"/>
        <n v="2566.0030000000002"/>
        <n v="2321.931"/>
        <n v="1572.097"/>
        <n v="1571.107"/>
        <n v="4061.5360000000001"/>
        <n v="2278.2539999999999"/>
        <n v="2697.8780000000002"/>
        <n v="2431.3029999999999"/>
        <n v="1683.905"/>
        <n v="1667.922"/>
        <n v="4261.9960000000001"/>
        <n v="2450.5929999999998"/>
        <n v="2895.5329999999999"/>
        <n v="2687.53"/>
        <n v="1897.202"/>
        <n v="1847.7860000000001"/>
        <n v="4536.5609999999997"/>
        <n v="2624.2930000000001"/>
        <n v="3009.3679999999999"/>
        <n v="2875.2939999999999"/>
        <n v="2067.1669999999999"/>
        <n v="1945.556"/>
        <n v="4888.518"/>
        <n v="2758.0650000000001"/>
        <n v="3239.77"/>
        <n v="3152.0160000000001"/>
        <n v="2287.4760000000001"/>
        <n v="2065.1329999999998"/>
        <n v="5316.5219999999999"/>
        <n v="2914.2060000000001"/>
        <n v="3329.3739999999998"/>
        <n v="3056.2649999999999"/>
        <n v="2469.1590000000001"/>
        <n v="2194.4369999999999"/>
        <n v="5726.5379999999996"/>
        <n v="3122.3960000000002"/>
        <n v="3391.5210000000002"/>
        <n v="3170.9470000000001"/>
        <n v="2724.8690000000001"/>
        <n v="2303.6799999999998"/>
        <n v="6069.53"/>
        <n v="3291.9119999999998"/>
        <n v="3429.9549999999999"/>
        <n v="3264.5740000000001"/>
        <n v="2731.4450000000002"/>
        <n v="2471.1860000000001"/>
        <n v="6430.7569999999996"/>
        <n v="3486.6210000000001"/>
        <n v="3567.0610000000001"/>
        <n v="3444.855"/>
        <n v="2952.3290000000002"/>
        <n v="2561.2190000000001"/>
        <n v="6808.0540000000001"/>
        <n v="3709.6149999999998"/>
        <n v="3750.7869999999998"/>
        <n v="3588.2269999999999"/>
        <n v="3021.6709999999998"/>
        <n v="2689.9160000000002"/>
        <n v="7166.5129999999999"/>
        <n v="3849.5439999999999"/>
        <n v="3955.136"/>
        <n v="3729.3530000000001"/>
        <n v="3207.8530000000001"/>
        <n v="2799.1979999999999"/>
        <n v="7385.0259999999998"/>
        <n v="3945.873"/>
        <n v="4158.2659999999996"/>
        <n v="3880.8420000000001"/>
        <n v="3334.5059999999999"/>
        <n v="2971.377"/>
        <n v="7645.0020000000004"/>
        <n v="4155.5290000000005"/>
        <n v="4423.07"/>
        <n v="4045.0650000000001"/>
        <n v="3441.71"/>
        <n v="3169.19"/>
        <n v="7879.2529999999997"/>
        <n v="4228.9620000000004"/>
        <n v="4566.6779999999999"/>
        <n v="4161.6980000000003"/>
        <n v="3495.652"/>
        <n v="3740.7559999999999"/>
        <n v="8079.4669999999996"/>
        <n v="4336.2489999999998"/>
        <n v="4745.5460000000003"/>
        <n v="4299.4340000000002"/>
        <n v="3614.1309999999999"/>
        <n v="3970.7649999999999"/>
        <n v="8346.0640000000003"/>
        <n v="4428.7529999999997"/>
        <n v="4951.6769999999997"/>
        <n v="4544.9639999999999"/>
        <n v="3667.636"/>
        <n v="4308.2520000000004"/>
        <n v="8519.6200000000008"/>
        <n v="4536.8100000000004"/>
        <n v="5151.7089999999998"/>
        <n v="4626.6790000000001"/>
        <n v="3758.9349999999999"/>
        <n v="4328.3639999999996"/>
        <n v="8925.8790000000008"/>
        <n v="4635.2849999999999"/>
        <n v="5295.9750000000004"/>
        <n v="4667.1559999999999"/>
        <n v="3805.82"/>
        <n v="4515.5559999999996"/>
        <n v="9355.1180000000004"/>
        <n v="5044.2749999999996"/>
        <n v="5669.0640000000003"/>
        <n v="4928.1279999999997"/>
        <n v="3960.1410000000001"/>
        <n v="4295.8580000000002"/>
        <n v="9717.6489999999994"/>
        <n v="5150.47"/>
        <n v="5970.1629999999996"/>
        <n v="5005.7560000000003"/>
        <n v="4059.125"/>
        <n v="4412.8519999999999"/>
        <n v="10046.472"/>
        <n v="5308.3559999999998"/>
        <n v="6281.84"/>
        <n v="5099.3059999999996"/>
        <n v="4189.7079999999996"/>
        <n v="4554.2759999999998"/>
        <n v="10451.386"/>
        <n v="5189.7209999999995"/>
        <n v="6407.9279999999999"/>
        <n v="5167.8389999999999"/>
        <n v="4385.4629999999997"/>
        <n v="4610.7939999999999"/>
        <n v="10855.517"/>
        <n v="5828.3239999999996"/>
        <n v="6938.9830000000002"/>
        <n v="5468.4179999999997"/>
        <n v="5018.7"/>
        <n v="4665.6409999999996"/>
        <n v="11859.179"/>
      </sharedItems>
    </cacheField>
    <cacheField name="Life_Expectancy" numFmtId="0">
      <sharedItems containsSemiMixedTypes="0" containsString="0" containsNumber="1" minValue="70.599999999999994" maxValue="84.7" count="118">
        <n v="70.599999999999994"/>
        <n v="72.2"/>
        <n v="71.900000000000006"/>
        <n v="72"/>
        <n v="70.900000000000006"/>
        <n v="72.8"/>
        <n v="70.8"/>
        <n v="72.900000000000006"/>
        <n v="71.2"/>
        <n v="71"/>
        <n v="73.2"/>
        <n v="71.3"/>
        <n v="73.400000000000006"/>
        <n v="71.400000000000006"/>
        <n v="71.5"/>
        <n v="73.7"/>
        <n v="73"/>
        <n v="74.3"/>
        <n v="72.7"/>
        <n v="73.8"/>
        <n v="71.8"/>
        <n v="74.8"/>
        <n v="72.5"/>
        <n v="75.3"/>
        <n v="73.3"/>
        <n v="72.400000000000006"/>
        <n v="75.7"/>
        <n v="73.5"/>
        <n v="75.099999999999994"/>
        <n v="76.2"/>
        <n v="73.900000000000006"/>
        <n v="75.2"/>
        <n v="76.099999999999994"/>
        <n v="75.5"/>
        <n v="76.5"/>
        <n v="74.099999999999994"/>
        <n v="75.599999999999994"/>
        <n v="76.900000000000006"/>
        <n v="74.5"/>
        <n v="75.900000000000006"/>
        <n v="77"/>
        <n v="74.599999999999994"/>
        <n v="77.400000000000006"/>
        <n v="74.7"/>
        <n v="76.3"/>
        <n v="75"/>
        <n v="75.400000000000006"/>
        <n v="77.599999999999994"/>
        <n v="78.099999999999994"/>
        <n v="76.7"/>
        <n v="78.5"/>
        <n v="74.900000000000006"/>
        <n v="76.8"/>
        <n v="78.400000000000006"/>
        <n v="77.099999999999994"/>
        <n v="76"/>
        <n v="78.8"/>
        <n v="77.3"/>
        <n v="78.900000000000006"/>
        <n v="77.2"/>
        <n v="79.099999999999994"/>
        <n v="77.8"/>
        <n v="77.5"/>
        <n v="79.2"/>
        <n v="79.400000000000006"/>
        <n v="77.900000000000006"/>
        <n v="78"/>
        <n v="79.8"/>
        <n v="76.599999999999994"/>
        <n v="79.599999999999994"/>
        <n v="78.2"/>
        <n v="80.3"/>
        <n v="78.3"/>
        <n v="78.599999999999994"/>
        <n v="80.5"/>
        <n v="77.7"/>
        <n v="80.599999999999994"/>
        <n v="81.2"/>
        <n v="79.3"/>
        <n v="81.5"/>
        <n v="79.5"/>
        <n v="81.8"/>
        <n v="79.900000000000006"/>
        <n v="79"/>
        <n v="82.1"/>
        <n v="80"/>
        <n v="80.400000000000006"/>
        <n v="82"/>
        <n v="81"/>
        <n v="82.4"/>
        <n v="80.099999999999994"/>
        <n v="79.7"/>
        <n v="82.6"/>
        <n v="80.7"/>
        <n v="80.2"/>
        <n v="81.400000000000006"/>
        <n v="82.7"/>
        <n v="80.900000000000006"/>
        <n v="83"/>
        <n v="82.9"/>
        <n v="82.3"/>
        <n v="78.7"/>
        <n v="81.599999999999994"/>
        <n v="83.2"/>
        <n v="81.7"/>
        <n v="81.099999999999994"/>
        <n v="83.4"/>
        <n v="82.8"/>
        <n v="83.7"/>
        <n v="81.900000000000006"/>
        <n v="83.9"/>
        <n v="84.1"/>
        <n v="81.3"/>
        <n v="84.2"/>
        <n v="84.3"/>
        <n v="82.2"/>
        <n v="84.4"/>
        <n v="84.7"/>
      </sharedItems>
    </cacheField>
    <cacheField name="index" numFmtId="0">
      <sharedItems containsSemiMixedTypes="0" containsString="0" containsNumber="1" containsInteger="1" minValue="0" maxValue="27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5534754202490648E+16" maxValue="1.834024020163613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">
  <r>
    <b v="0"/>
    <x v="0"/>
    <x v="0"/>
    <x v="0"/>
    <x v="0"/>
    <n v="0"/>
    <n v="0"/>
    <n v="1.026595927726881E+19"/>
  </r>
  <r>
    <b v="0"/>
    <x v="0"/>
    <x v="1"/>
    <x v="1"/>
    <x v="1"/>
    <n v="1"/>
    <n v="0"/>
    <n v="1.6529780380477876E+19"/>
  </r>
  <r>
    <b v="0"/>
    <x v="0"/>
    <x v="2"/>
    <x v="2"/>
    <x v="2"/>
    <n v="2"/>
    <n v="0"/>
    <n v="1.2276914855172651E+19"/>
  </r>
  <r>
    <b v="0"/>
    <x v="0"/>
    <x v="3"/>
    <x v="3"/>
    <x v="3"/>
    <n v="3"/>
    <n v="0"/>
    <n v="8.0413937872043479E+18"/>
  </r>
  <r>
    <b v="0"/>
    <x v="0"/>
    <x v="4"/>
    <x v="4"/>
    <x v="4"/>
    <n v="4"/>
    <n v="0"/>
    <n v="1.7425737753402431E+19"/>
  </r>
  <r>
    <b v="0"/>
    <x v="1"/>
    <x v="5"/>
    <x v="5"/>
    <x v="5"/>
    <n v="5"/>
    <n v="0"/>
    <n v="8.7762012114988339E+18"/>
  </r>
  <r>
    <b v="0"/>
    <x v="1"/>
    <x v="0"/>
    <x v="6"/>
    <x v="6"/>
    <n v="6"/>
    <n v="0"/>
    <n v="1.0577926862264668E+19"/>
  </r>
  <r>
    <b v="0"/>
    <x v="1"/>
    <x v="2"/>
    <x v="7"/>
    <x v="2"/>
    <n v="7"/>
    <n v="0"/>
    <n v="1.5908323422912905E+19"/>
  </r>
  <r>
    <b v="0"/>
    <x v="1"/>
    <x v="3"/>
    <x v="8"/>
    <x v="7"/>
    <n v="8"/>
    <n v="0"/>
    <n v="1.2205021890502912E+18"/>
  </r>
  <r>
    <b v="0"/>
    <x v="1"/>
    <x v="4"/>
    <x v="9"/>
    <x v="8"/>
    <n v="9"/>
    <n v="0"/>
    <n v="1.367207483454065E+19"/>
  </r>
  <r>
    <b v="0"/>
    <x v="2"/>
    <x v="0"/>
    <x v="10"/>
    <x v="9"/>
    <n v="10"/>
    <n v="0"/>
    <n v="5.0013804952190341E+18"/>
  </r>
  <r>
    <b v="0"/>
    <x v="2"/>
    <x v="3"/>
    <x v="11"/>
    <x v="10"/>
    <n v="11"/>
    <n v="0"/>
    <n v="1.7374953455969509E+19"/>
  </r>
  <r>
    <b v="0"/>
    <x v="2"/>
    <x v="4"/>
    <x v="12"/>
    <x v="8"/>
    <n v="12"/>
    <n v="0"/>
    <n v="1.6847745182817714E+19"/>
  </r>
  <r>
    <b v="0"/>
    <x v="3"/>
    <x v="0"/>
    <x v="13"/>
    <x v="11"/>
    <n v="13"/>
    <n v="0"/>
    <n v="1.251897345943955E+19"/>
  </r>
  <r>
    <b v="0"/>
    <x v="3"/>
    <x v="3"/>
    <x v="14"/>
    <x v="12"/>
    <n v="14"/>
    <n v="0"/>
    <n v="1.3854349353885417E+19"/>
  </r>
  <r>
    <b v="0"/>
    <x v="3"/>
    <x v="4"/>
    <x v="15"/>
    <x v="13"/>
    <n v="15"/>
    <n v="0"/>
    <n v="1.1805826364129469E+18"/>
  </r>
  <r>
    <b v="0"/>
    <x v="4"/>
    <x v="0"/>
    <x v="16"/>
    <x v="14"/>
    <n v="16"/>
    <n v="0"/>
    <n v="1.7011559798751199E+19"/>
  </r>
  <r>
    <b v="0"/>
    <x v="4"/>
    <x v="3"/>
    <x v="17"/>
    <x v="15"/>
    <n v="17"/>
    <n v="0"/>
    <n v="1.7390919633168036E+19"/>
  </r>
  <r>
    <b v="0"/>
    <x v="4"/>
    <x v="4"/>
    <x v="18"/>
    <x v="3"/>
    <n v="18"/>
    <n v="0"/>
    <n v="9.759858746590722E+18"/>
  </r>
  <r>
    <b v="0"/>
    <x v="5"/>
    <x v="0"/>
    <x v="19"/>
    <x v="13"/>
    <n v="19"/>
    <n v="0"/>
    <n v="9.9602316448082739E+18"/>
  </r>
  <r>
    <b v="0"/>
    <x v="5"/>
    <x v="1"/>
    <x v="20"/>
    <x v="16"/>
    <n v="20"/>
    <n v="0"/>
    <n v="1.7830327247370623E+19"/>
  </r>
  <r>
    <b v="0"/>
    <x v="5"/>
    <x v="3"/>
    <x v="21"/>
    <x v="17"/>
    <n v="21"/>
    <n v="0"/>
    <n v="1.7006050338038368E+19"/>
  </r>
  <r>
    <b v="0"/>
    <x v="5"/>
    <x v="4"/>
    <x v="22"/>
    <x v="18"/>
    <n v="22"/>
    <n v="0"/>
    <n v="5.6737513065557856E+17"/>
  </r>
  <r>
    <b v="0"/>
    <x v="6"/>
    <x v="5"/>
    <x v="23"/>
    <x v="19"/>
    <n v="23"/>
    <n v="0"/>
    <n v="1.776434489628897E+18"/>
  </r>
  <r>
    <b v="0"/>
    <x v="6"/>
    <x v="0"/>
    <x v="24"/>
    <x v="20"/>
    <n v="24"/>
    <n v="0"/>
    <n v="9.7108529381958541E+17"/>
  </r>
  <r>
    <b v="0"/>
    <x v="6"/>
    <x v="3"/>
    <x v="25"/>
    <x v="21"/>
    <n v="25"/>
    <n v="0"/>
    <n v="2.3881868034601103E+18"/>
  </r>
  <r>
    <b v="0"/>
    <x v="6"/>
    <x v="4"/>
    <x v="26"/>
    <x v="7"/>
    <n v="26"/>
    <n v="0"/>
    <n v="3.5855828007084109E+18"/>
  </r>
  <r>
    <b v="0"/>
    <x v="7"/>
    <x v="0"/>
    <x v="27"/>
    <x v="22"/>
    <n v="27"/>
    <n v="0"/>
    <n v="5.9893524430433321E+18"/>
  </r>
  <r>
    <b v="0"/>
    <x v="7"/>
    <x v="3"/>
    <x v="28"/>
    <x v="23"/>
    <n v="28"/>
    <n v="0"/>
    <n v="1.1353058372965708E+19"/>
  </r>
  <r>
    <b v="0"/>
    <x v="7"/>
    <x v="4"/>
    <x v="29"/>
    <x v="24"/>
    <n v="29"/>
    <n v="0"/>
    <n v="8.7645114014718034E+18"/>
  </r>
  <r>
    <b v="0"/>
    <x v="8"/>
    <x v="0"/>
    <x v="30"/>
    <x v="25"/>
    <n v="30"/>
    <n v="0"/>
    <n v="2.0844297069397466E+18"/>
  </r>
  <r>
    <b v="0"/>
    <x v="8"/>
    <x v="3"/>
    <x v="31"/>
    <x v="26"/>
    <n v="31"/>
    <n v="0"/>
    <n v="7.5708313556848118E+18"/>
  </r>
  <r>
    <b v="0"/>
    <x v="8"/>
    <x v="4"/>
    <x v="32"/>
    <x v="27"/>
    <n v="32"/>
    <n v="0"/>
    <n v="7.1500556930599629E+18"/>
  </r>
  <r>
    <b v="0"/>
    <x v="9"/>
    <x v="5"/>
    <x v="33"/>
    <x v="28"/>
    <n v="33"/>
    <n v="0"/>
    <n v="1.3036432810755033E+19"/>
  </r>
  <r>
    <b v="0"/>
    <x v="9"/>
    <x v="0"/>
    <x v="34"/>
    <x v="5"/>
    <n v="34"/>
    <n v="0"/>
    <n v="9.8338886504763617E+18"/>
  </r>
  <r>
    <b v="0"/>
    <x v="9"/>
    <x v="3"/>
    <x v="35"/>
    <x v="29"/>
    <n v="35"/>
    <n v="0"/>
    <n v="3.9442980123411446E+18"/>
  </r>
  <r>
    <b v="0"/>
    <x v="9"/>
    <x v="4"/>
    <x v="36"/>
    <x v="30"/>
    <n v="36"/>
    <n v="0"/>
    <n v="1.4592317989302585E+19"/>
  </r>
  <r>
    <b v="0"/>
    <x v="10"/>
    <x v="5"/>
    <x v="37"/>
    <x v="31"/>
    <n v="37"/>
    <n v="0"/>
    <n v="1.3463403786487996E+19"/>
  </r>
  <r>
    <b v="0"/>
    <x v="10"/>
    <x v="0"/>
    <x v="38"/>
    <x v="7"/>
    <n v="38"/>
    <n v="0"/>
    <n v="9.0923847873103514E+18"/>
  </r>
  <r>
    <b v="0"/>
    <x v="10"/>
    <x v="1"/>
    <x v="39"/>
    <x v="17"/>
    <n v="39"/>
    <n v="0"/>
    <n v="3.2208478567754767E+18"/>
  </r>
  <r>
    <b v="0"/>
    <x v="10"/>
    <x v="2"/>
    <x v="40"/>
    <x v="10"/>
    <n v="40"/>
    <n v="0"/>
    <n v="4.9750408471518669E+18"/>
  </r>
  <r>
    <b v="0"/>
    <x v="10"/>
    <x v="3"/>
    <x v="41"/>
    <x v="32"/>
    <n v="41"/>
    <n v="0"/>
    <n v="3.9945887008038764E+18"/>
  </r>
  <r>
    <b v="0"/>
    <x v="10"/>
    <x v="4"/>
    <x v="42"/>
    <x v="15"/>
    <n v="42"/>
    <n v="0"/>
    <n v="1.2116896492747338E+19"/>
  </r>
  <r>
    <b v="0"/>
    <x v="11"/>
    <x v="5"/>
    <x v="43"/>
    <x v="33"/>
    <n v="43"/>
    <n v="0"/>
    <n v="1.4398264099696411E+19"/>
  </r>
  <r>
    <b v="0"/>
    <x v="11"/>
    <x v="0"/>
    <x v="44"/>
    <x v="10"/>
    <n v="44"/>
    <n v="0"/>
    <n v="1.7239334071534188E+18"/>
  </r>
  <r>
    <b v="0"/>
    <x v="11"/>
    <x v="2"/>
    <x v="45"/>
    <x v="19"/>
    <n v="45"/>
    <n v="0"/>
    <n v="1.7556036535228461E+19"/>
  </r>
  <r>
    <b v="0"/>
    <x v="11"/>
    <x v="3"/>
    <x v="46"/>
    <x v="34"/>
    <n v="46"/>
    <n v="0"/>
    <n v="1.2886845472729938E+19"/>
  </r>
  <r>
    <b v="0"/>
    <x v="11"/>
    <x v="4"/>
    <x v="47"/>
    <x v="35"/>
    <n v="47"/>
    <n v="0"/>
    <n v="1.4249375529378998E+19"/>
  </r>
  <r>
    <b v="0"/>
    <x v="12"/>
    <x v="5"/>
    <x v="48"/>
    <x v="36"/>
    <n v="48"/>
    <n v="0"/>
    <n v="9.7464154477640422E+17"/>
  </r>
  <r>
    <b v="0"/>
    <x v="12"/>
    <x v="0"/>
    <x v="49"/>
    <x v="27"/>
    <n v="49"/>
    <n v="0"/>
    <n v="1.2687792599106214E+19"/>
  </r>
  <r>
    <b v="0"/>
    <x v="12"/>
    <x v="2"/>
    <x v="50"/>
    <x v="35"/>
    <n v="50"/>
    <n v="0"/>
    <n v="8.2325834378636984E+18"/>
  </r>
  <r>
    <b v="0"/>
    <x v="12"/>
    <x v="3"/>
    <x v="51"/>
    <x v="37"/>
    <n v="51"/>
    <n v="0"/>
    <n v="7.4171380212423045E+18"/>
  </r>
  <r>
    <b v="0"/>
    <x v="12"/>
    <x v="4"/>
    <x v="52"/>
    <x v="38"/>
    <n v="52"/>
    <n v="0"/>
    <n v="1.4602268536152695E+19"/>
  </r>
  <r>
    <b v="0"/>
    <x v="13"/>
    <x v="5"/>
    <x v="53"/>
    <x v="39"/>
    <n v="53"/>
    <n v="0"/>
    <n v="1.4827449805350154E+19"/>
  </r>
  <r>
    <b v="0"/>
    <x v="13"/>
    <x v="0"/>
    <x v="54"/>
    <x v="19"/>
    <n v="54"/>
    <n v="0"/>
    <n v="1.8837138853270001E+18"/>
  </r>
  <r>
    <b v="0"/>
    <x v="13"/>
    <x v="2"/>
    <x v="55"/>
    <x v="17"/>
    <n v="55"/>
    <n v="0"/>
    <n v="1.6718773024921401E+19"/>
  </r>
  <r>
    <b v="0"/>
    <x v="13"/>
    <x v="3"/>
    <x v="56"/>
    <x v="40"/>
    <n v="56"/>
    <n v="0"/>
    <n v="1.6454383666248292E+19"/>
  </r>
  <r>
    <b v="0"/>
    <x v="13"/>
    <x v="4"/>
    <x v="57"/>
    <x v="41"/>
    <n v="57"/>
    <n v="0"/>
    <n v="1.1905396153120727E+18"/>
  </r>
  <r>
    <b v="0"/>
    <x v="14"/>
    <x v="5"/>
    <x v="58"/>
    <x v="29"/>
    <n v="58"/>
    <n v="0"/>
    <n v="1.3312292239816698E+19"/>
  </r>
  <r>
    <b v="0"/>
    <x v="14"/>
    <x v="0"/>
    <x v="59"/>
    <x v="17"/>
    <n v="59"/>
    <n v="0"/>
    <n v="1.7329325740525842E+19"/>
  </r>
  <r>
    <b v="0"/>
    <x v="14"/>
    <x v="2"/>
    <x v="60"/>
    <x v="38"/>
    <n v="60"/>
    <n v="0"/>
    <n v="1.7099127146130315E+19"/>
  </r>
  <r>
    <b v="0"/>
    <x v="14"/>
    <x v="3"/>
    <x v="61"/>
    <x v="42"/>
    <n v="61"/>
    <n v="0"/>
    <n v="5.5089462132819538E+18"/>
  </r>
  <r>
    <b v="0"/>
    <x v="14"/>
    <x v="4"/>
    <x v="62"/>
    <x v="43"/>
    <n v="62"/>
    <n v="0"/>
    <n v="4.1487186946386181E+18"/>
  </r>
  <r>
    <b v="0"/>
    <x v="15"/>
    <x v="5"/>
    <x v="63"/>
    <x v="44"/>
    <n v="63"/>
    <n v="0"/>
    <n v="4.6480569844984125E+18"/>
  </r>
  <r>
    <b v="0"/>
    <x v="15"/>
    <x v="0"/>
    <x v="64"/>
    <x v="45"/>
    <n v="64"/>
    <n v="0"/>
    <n v="1.3431594382212887E+19"/>
  </r>
  <r>
    <b v="0"/>
    <x v="15"/>
    <x v="1"/>
    <x v="65"/>
    <x v="46"/>
    <n v="65"/>
    <n v="0"/>
    <n v="4.6472913824260925E+18"/>
  </r>
  <r>
    <b v="0"/>
    <x v="15"/>
    <x v="2"/>
    <x v="66"/>
    <x v="43"/>
    <n v="66"/>
    <n v="0"/>
    <n v="1.6293403295719358E+19"/>
  </r>
  <r>
    <b v="0"/>
    <x v="15"/>
    <x v="3"/>
    <x v="67"/>
    <x v="47"/>
    <n v="67"/>
    <n v="0"/>
    <n v="6.9744540849618463E+18"/>
  </r>
  <r>
    <b v="0"/>
    <x v="15"/>
    <x v="4"/>
    <x v="68"/>
    <x v="43"/>
    <n v="68"/>
    <n v="0"/>
    <n v="1.5999766611375622E+19"/>
  </r>
  <r>
    <b v="0"/>
    <x v="16"/>
    <x v="5"/>
    <x v="69"/>
    <x v="34"/>
    <n v="69"/>
    <n v="0"/>
    <n v="4.3671930028179277E+18"/>
  </r>
  <r>
    <b v="0"/>
    <x v="16"/>
    <x v="0"/>
    <x v="70"/>
    <x v="31"/>
    <n v="70"/>
    <n v="0"/>
    <n v="6.5130856257578557E+18"/>
  </r>
  <r>
    <b v="0"/>
    <x v="16"/>
    <x v="2"/>
    <x v="71"/>
    <x v="21"/>
    <n v="71"/>
    <n v="0"/>
    <n v="1.6587035458057533E+19"/>
  </r>
  <r>
    <b v="0"/>
    <x v="16"/>
    <x v="3"/>
    <x v="72"/>
    <x v="48"/>
    <n v="72"/>
    <n v="0"/>
    <n v="7.0714706947925005E+17"/>
  </r>
  <r>
    <b v="0"/>
    <x v="16"/>
    <x v="4"/>
    <x v="73"/>
    <x v="43"/>
    <n v="73"/>
    <n v="0"/>
    <n v="1.6099442157243314E+19"/>
  </r>
  <r>
    <b v="0"/>
    <x v="17"/>
    <x v="5"/>
    <x v="74"/>
    <x v="49"/>
    <n v="74"/>
    <n v="0"/>
    <n v="3.6249556619397238E+18"/>
  </r>
  <r>
    <b v="0"/>
    <x v="17"/>
    <x v="0"/>
    <x v="75"/>
    <x v="36"/>
    <n v="75"/>
    <n v="0"/>
    <n v="3.2296970536080092E+18"/>
  </r>
  <r>
    <b v="0"/>
    <x v="17"/>
    <x v="2"/>
    <x v="76"/>
    <x v="31"/>
    <n v="76"/>
    <n v="0"/>
    <n v="1.3488773022475657E+19"/>
  </r>
  <r>
    <b v="0"/>
    <x v="17"/>
    <x v="3"/>
    <x v="77"/>
    <x v="50"/>
    <n v="77"/>
    <n v="0"/>
    <n v="3.9465271745484384E+17"/>
  </r>
  <r>
    <b v="0"/>
    <x v="17"/>
    <x v="4"/>
    <x v="78"/>
    <x v="51"/>
    <n v="78"/>
    <n v="0"/>
    <n v="4.0957033815004621E+17"/>
  </r>
  <r>
    <b v="0"/>
    <x v="18"/>
    <x v="5"/>
    <x v="79"/>
    <x v="52"/>
    <n v="79"/>
    <n v="0"/>
    <n v="1.3009505119699505E+19"/>
  </r>
  <r>
    <b v="0"/>
    <x v="18"/>
    <x v="0"/>
    <x v="80"/>
    <x v="39"/>
    <n v="80"/>
    <n v="0"/>
    <n v="7.7554372508529562E+18"/>
  </r>
  <r>
    <b v="0"/>
    <x v="18"/>
    <x v="2"/>
    <x v="81"/>
    <x v="23"/>
    <n v="81"/>
    <n v="0"/>
    <n v="7.9136059041304146E+18"/>
  </r>
  <r>
    <b v="0"/>
    <x v="18"/>
    <x v="3"/>
    <x v="82"/>
    <x v="53"/>
    <n v="82"/>
    <n v="0"/>
    <n v="9.7688007995913564E+18"/>
  </r>
  <r>
    <b v="0"/>
    <x v="18"/>
    <x v="4"/>
    <x v="83"/>
    <x v="51"/>
    <n v="83"/>
    <n v="0"/>
    <n v="7.6302234590468649E+18"/>
  </r>
  <r>
    <b v="0"/>
    <x v="19"/>
    <x v="5"/>
    <x v="84"/>
    <x v="54"/>
    <n v="84"/>
    <n v="0"/>
    <n v="1.7008961607213455E+19"/>
  </r>
  <r>
    <b v="0"/>
    <x v="19"/>
    <x v="0"/>
    <x v="85"/>
    <x v="55"/>
    <n v="85"/>
    <n v="0"/>
    <n v="1.247577729777945E+19"/>
  </r>
  <r>
    <b v="0"/>
    <x v="19"/>
    <x v="2"/>
    <x v="86"/>
    <x v="46"/>
    <n v="86"/>
    <n v="0"/>
    <n v="1.8184463509774291E+19"/>
  </r>
  <r>
    <b v="0"/>
    <x v="19"/>
    <x v="3"/>
    <x v="87"/>
    <x v="56"/>
    <n v="87"/>
    <n v="0"/>
    <n v="1.3453941876003289E+19"/>
  </r>
  <r>
    <b v="0"/>
    <x v="19"/>
    <x v="4"/>
    <x v="88"/>
    <x v="28"/>
    <n v="88"/>
    <n v="0"/>
    <n v="7.9637238101756344E+18"/>
  </r>
  <r>
    <b v="0"/>
    <x v="20"/>
    <x v="5"/>
    <x v="89"/>
    <x v="57"/>
    <n v="89"/>
    <n v="0"/>
    <n v="1.9939290812730685E+18"/>
  </r>
  <r>
    <b v="0"/>
    <x v="20"/>
    <x v="0"/>
    <x v="90"/>
    <x v="57"/>
    <n v="90"/>
    <n v="0"/>
    <n v="1.2416695268250587E+19"/>
  </r>
  <r>
    <b v="0"/>
    <x v="20"/>
    <x v="1"/>
    <x v="91"/>
    <x v="40"/>
    <n v="91"/>
    <n v="0"/>
    <n v="3.5558027195460116E+18"/>
  </r>
  <r>
    <b v="0"/>
    <x v="20"/>
    <x v="2"/>
    <x v="92"/>
    <x v="26"/>
    <n v="92"/>
    <n v="0"/>
    <n v="1.8366057548506272E+17"/>
  </r>
  <r>
    <b v="0"/>
    <x v="20"/>
    <x v="3"/>
    <x v="93"/>
    <x v="58"/>
    <n v="93"/>
    <n v="0"/>
    <n v="9.4756659001822945E+18"/>
  </r>
  <r>
    <b v="0"/>
    <x v="20"/>
    <x v="4"/>
    <x v="94"/>
    <x v="23"/>
    <n v="94"/>
    <n v="0"/>
    <n v="9.6562364879341445E+18"/>
  </r>
  <r>
    <b v="0"/>
    <x v="21"/>
    <x v="5"/>
    <x v="95"/>
    <x v="47"/>
    <n v="95"/>
    <n v="0"/>
    <n v="8.0630730606355661E+18"/>
  </r>
  <r>
    <b v="0"/>
    <x v="21"/>
    <x v="1"/>
    <x v="96"/>
    <x v="59"/>
    <n v="96"/>
    <n v="0"/>
    <n v="4.0243032826631265E+18"/>
  </r>
  <r>
    <b v="0"/>
    <x v="21"/>
    <x v="2"/>
    <x v="97"/>
    <x v="39"/>
    <n v="97"/>
    <n v="0"/>
    <n v="9.2379852471634272E+16"/>
  </r>
  <r>
    <b v="0"/>
    <x v="21"/>
    <x v="3"/>
    <x v="98"/>
    <x v="60"/>
    <n v="98"/>
    <n v="0"/>
    <n v="3.9870189449169517E+17"/>
  </r>
  <r>
    <b v="0"/>
    <x v="21"/>
    <x v="4"/>
    <x v="99"/>
    <x v="33"/>
    <n v="99"/>
    <n v="0"/>
    <n v="1.5159987904040278E+19"/>
  </r>
  <r>
    <b v="0"/>
    <x v="22"/>
    <x v="5"/>
    <x v="100"/>
    <x v="61"/>
    <n v="100"/>
    <n v="0"/>
    <n v="1.8018986992922884E+19"/>
  </r>
  <r>
    <b v="0"/>
    <x v="22"/>
    <x v="0"/>
    <x v="101"/>
    <x v="32"/>
    <n v="101"/>
    <n v="0"/>
    <n v="1.5979802578996369E+19"/>
  </r>
  <r>
    <b v="0"/>
    <x v="22"/>
    <x v="1"/>
    <x v="102"/>
    <x v="62"/>
    <n v="102"/>
    <n v="0"/>
    <n v="3.499731637232341E+18"/>
  </r>
  <r>
    <b v="0"/>
    <x v="22"/>
    <x v="2"/>
    <x v="103"/>
    <x v="44"/>
    <n v="103"/>
    <n v="0"/>
    <n v="9.6627915110510428E+18"/>
  </r>
  <r>
    <b v="0"/>
    <x v="22"/>
    <x v="3"/>
    <x v="104"/>
    <x v="63"/>
    <n v="104"/>
    <n v="0"/>
    <n v="4.5423538008344407E+18"/>
  </r>
  <r>
    <b v="0"/>
    <x v="22"/>
    <x v="4"/>
    <x v="105"/>
    <x v="26"/>
    <n v="105"/>
    <n v="0"/>
    <n v="1.994947247233483E+18"/>
  </r>
  <r>
    <b v="0"/>
    <x v="23"/>
    <x v="5"/>
    <x v="106"/>
    <x v="61"/>
    <n v="106"/>
    <n v="0"/>
    <n v="1.1333067867414229E+19"/>
  </r>
  <r>
    <b v="0"/>
    <x v="23"/>
    <x v="0"/>
    <x v="107"/>
    <x v="32"/>
    <n v="107"/>
    <n v="0"/>
    <n v="1.6066026623141345E+18"/>
  </r>
  <r>
    <b v="0"/>
    <x v="23"/>
    <x v="1"/>
    <x v="108"/>
    <x v="62"/>
    <n v="108"/>
    <n v="0"/>
    <n v="5.8149373915523707E+18"/>
  </r>
  <r>
    <b v="0"/>
    <x v="23"/>
    <x v="2"/>
    <x v="109"/>
    <x v="29"/>
    <n v="109"/>
    <n v="0"/>
    <n v="1.0472162285559075E+19"/>
  </r>
  <r>
    <b v="0"/>
    <x v="23"/>
    <x v="3"/>
    <x v="110"/>
    <x v="64"/>
    <n v="110"/>
    <n v="0"/>
    <n v="6.3767919126918636E+18"/>
  </r>
  <r>
    <b v="0"/>
    <x v="23"/>
    <x v="4"/>
    <x v="111"/>
    <x v="33"/>
    <n v="111"/>
    <n v="0"/>
    <n v="1.3092978979638794E+19"/>
  </r>
  <r>
    <b v="0"/>
    <x v="24"/>
    <x v="5"/>
    <x v="112"/>
    <x v="65"/>
    <n v="112"/>
    <n v="0"/>
    <n v="3.0010557824019958E+18"/>
  </r>
  <r>
    <b v="0"/>
    <x v="24"/>
    <x v="0"/>
    <x v="113"/>
    <x v="34"/>
    <n v="113"/>
    <n v="0"/>
    <n v="2.6388101034279316E+18"/>
  </r>
  <r>
    <b v="0"/>
    <x v="24"/>
    <x v="1"/>
    <x v="114"/>
    <x v="66"/>
    <n v="114"/>
    <n v="0"/>
    <n v="1.4406298471821201E+19"/>
  </r>
  <r>
    <b v="0"/>
    <x v="24"/>
    <x v="2"/>
    <x v="115"/>
    <x v="52"/>
    <n v="115"/>
    <n v="0"/>
    <n v="1.6765041173363464E+19"/>
  </r>
  <r>
    <b v="0"/>
    <x v="24"/>
    <x v="3"/>
    <x v="116"/>
    <x v="67"/>
    <n v="116"/>
    <n v="0"/>
    <n v="8.7987858747071119E+18"/>
  </r>
  <r>
    <b v="0"/>
    <x v="24"/>
    <x v="4"/>
    <x v="117"/>
    <x v="26"/>
    <n v="117"/>
    <n v="0"/>
    <n v="4.6824025405568696E+18"/>
  </r>
  <r>
    <b v="0"/>
    <x v="25"/>
    <x v="5"/>
    <x v="118"/>
    <x v="66"/>
    <n v="118"/>
    <n v="0"/>
    <n v="1.1549237510518094E+19"/>
  </r>
  <r>
    <b v="0"/>
    <x v="25"/>
    <x v="0"/>
    <x v="119"/>
    <x v="68"/>
    <n v="119"/>
    <n v="0"/>
    <n v="1.4689801073375781E+19"/>
  </r>
  <r>
    <b v="0"/>
    <x v="25"/>
    <x v="1"/>
    <x v="120"/>
    <x v="48"/>
    <n v="120"/>
    <n v="0"/>
    <n v="9.6279124056783811E+18"/>
  </r>
  <r>
    <b v="0"/>
    <x v="25"/>
    <x v="2"/>
    <x v="121"/>
    <x v="49"/>
    <n v="121"/>
    <n v="0"/>
    <n v="1.2636543796483015E+19"/>
  </r>
  <r>
    <b v="0"/>
    <x v="25"/>
    <x v="3"/>
    <x v="122"/>
    <x v="69"/>
    <n v="122"/>
    <n v="0"/>
    <n v="4.3337448507282729E+18"/>
  </r>
  <r>
    <b v="0"/>
    <x v="25"/>
    <x v="4"/>
    <x v="123"/>
    <x v="26"/>
    <n v="123"/>
    <n v="0"/>
    <n v="9.9272500637227725E+18"/>
  </r>
  <r>
    <b v="0"/>
    <x v="26"/>
    <x v="5"/>
    <x v="124"/>
    <x v="70"/>
    <n v="124"/>
    <n v="0"/>
    <n v="1.2160719416911884E+19"/>
  </r>
  <r>
    <b v="0"/>
    <x v="26"/>
    <x v="0"/>
    <x v="125"/>
    <x v="37"/>
    <n v="125"/>
    <n v="0"/>
    <n v="1.4668874904096651E+19"/>
  </r>
  <r>
    <b v="0"/>
    <x v="26"/>
    <x v="1"/>
    <x v="126"/>
    <x v="70"/>
    <n v="126"/>
    <n v="0"/>
    <n v="1.2313434312311296E+19"/>
  </r>
  <r>
    <b v="0"/>
    <x v="26"/>
    <x v="2"/>
    <x v="127"/>
    <x v="37"/>
    <n v="127"/>
    <n v="0"/>
    <n v="8.4618367558263255E+18"/>
  </r>
  <r>
    <b v="0"/>
    <x v="26"/>
    <x v="3"/>
    <x v="128"/>
    <x v="71"/>
    <n v="128"/>
    <n v="0"/>
    <n v="1.7081089801546426E+19"/>
  </r>
  <r>
    <b v="0"/>
    <x v="26"/>
    <x v="4"/>
    <x v="129"/>
    <x v="32"/>
    <n v="129"/>
    <n v="0"/>
    <n v="8.550234038155434E+18"/>
  </r>
  <r>
    <b v="0"/>
    <x v="27"/>
    <x v="5"/>
    <x v="130"/>
    <x v="72"/>
    <n v="130"/>
    <n v="0"/>
    <n v="1.119316539506994E+19"/>
  </r>
  <r>
    <b v="0"/>
    <x v="27"/>
    <x v="0"/>
    <x v="131"/>
    <x v="57"/>
    <n v="131"/>
    <n v="0"/>
    <n v="1.4811338812647752E+19"/>
  </r>
  <r>
    <b v="0"/>
    <x v="27"/>
    <x v="1"/>
    <x v="132"/>
    <x v="73"/>
    <n v="132"/>
    <n v="0"/>
    <n v="1.6598837658653082E+19"/>
  </r>
  <r>
    <b v="0"/>
    <x v="27"/>
    <x v="2"/>
    <x v="133"/>
    <x v="59"/>
    <n v="133"/>
    <n v="0"/>
    <n v="1.29222997995589E+19"/>
  </r>
  <r>
    <b v="0"/>
    <x v="27"/>
    <x v="3"/>
    <x v="134"/>
    <x v="74"/>
    <n v="134"/>
    <n v="0"/>
    <n v="7.6023801721524367E+18"/>
  </r>
  <r>
    <b v="0"/>
    <x v="27"/>
    <x v="4"/>
    <x v="135"/>
    <x v="34"/>
    <n v="135"/>
    <n v="0"/>
    <n v="1.2332042229398174E+19"/>
  </r>
  <r>
    <b v="0"/>
    <x v="28"/>
    <x v="5"/>
    <x v="136"/>
    <x v="73"/>
    <n v="136"/>
    <n v="0"/>
    <n v="1.3494690441855892E+18"/>
  </r>
  <r>
    <b v="0"/>
    <x v="28"/>
    <x v="0"/>
    <x v="137"/>
    <x v="75"/>
    <n v="137"/>
    <n v="0"/>
    <n v="3.0762469829989448E+18"/>
  </r>
  <r>
    <b v="0"/>
    <x v="28"/>
    <x v="1"/>
    <x v="138"/>
    <x v="56"/>
    <n v="138"/>
    <n v="0"/>
    <n v="3.1899841350503818E+18"/>
  </r>
  <r>
    <b v="0"/>
    <x v="28"/>
    <x v="2"/>
    <x v="139"/>
    <x v="57"/>
    <n v="139"/>
    <n v="0"/>
    <n v="1.309727739223731E+19"/>
  </r>
  <r>
    <b v="0"/>
    <x v="28"/>
    <x v="3"/>
    <x v="140"/>
    <x v="76"/>
    <n v="140"/>
    <n v="0"/>
    <n v="9.2038044098183004E+18"/>
  </r>
  <r>
    <b v="0"/>
    <x v="28"/>
    <x v="4"/>
    <x v="141"/>
    <x v="49"/>
    <n v="141"/>
    <n v="0"/>
    <n v="2.4590761944577731E+18"/>
  </r>
  <r>
    <b v="0"/>
    <x v="29"/>
    <x v="5"/>
    <x v="142"/>
    <x v="56"/>
    <n v="142"/>
    <n v="0"/>
    <n v="6.9388527429300419E+18"/>
  </r>
  <r>
    <b v="0"/>
    <x v="29"/>
    <x v="0"/>
    <x v="143"/>
    <x v="65"/>
    <n v="143"/>
    <n v="0"/>
    <n v="1.7524714538263071E+19"/>
  </r>
  <r>
    <b v="0"/>
    <x v="29"/>
    <x v="1"/>
    <x v="144"/>
    <x v="58"/>
    <n v="144"/>
    <n v="0"/>
    <n v="8.5164495038456586E+18"/>
  </r>
  <r>
    <b v="0"/>
    <x v="29"/>
    <x v="2"/>
    <x v="145"/>
    <x v="62"/>
    <n v="145"/>
    <n v="0"/>
    <n v="4.8643254635107011E+18"/>
  </r>
  <r>
    <b v="0"/>
    <x v="29"/>
    <x v="3"/>
    <x v="146"/>
    <x v="74"/>
    <n v="146"/>
    <n v="0"/>
    <n v="2.7947505247979628E+18"/>
  </r>
  <r>
    <b v="0"/>
    <x v="29"/>
    <x v="4"/>
    <x v="147"/>
    <x v="49"/>
    <n v="147"/>
    <n v="0"/>
    <n v="1.2850824501931415E+18"/>
  </r>
  <r>
    <b v="0"/>
    <x v="30"/>
    <x v="5"/>
    <x v="148"/>
    <x v="60"/>
    <n v="148"/>
    <n v="0"/>
    <n v="5.4479281057970883E+18"/>
  </r>
  <r>
    <b v="0"/>
    <x v="30"/>
    <x v="0"/>
    <x v="149"/>
    <x v="70"/>
    <n v="149"/>
    <n v="0"/>
    <n v="6.0417535322919444E+18"/>
  </r>
  <r>
    <b v="0"/>
    <x v="30"/>
    <x v="1"/>
    <x v="150"/>
    <x v="63"/>
    <n v="150"/>
    <n v="0"/>
    <n v="1.3781098423679363E+19"/>
  </r>
  <r>
    <b v="0"/>
    <x v="30"/>
    <x v="2"/>
    <x v="151"/>
    <x v="65"/>
    <n v="151"/>
    <n v="0"/>
    <n v="1.3492136655034565E+19"/>
  </r>
  <r>
    <b v="0"/>
    <x v="30"/>
    <x v="3"/>
    <x v="152"/>
    <x v="77"/>
    <n v="152"/>
    <n v="0"/>
    <n v="9.2892365233418629E+18"/>
  </r>
  <r>
    <b v="0"/>
    <x v="30"/>
    <x v="4"/>
    <x v="153"/>
    <x v="49"/>
    <n v="153"/>
    <n v="0"/>
    <n v="1.6613425436142719E+19"/>
  </r>
  <r>
    <b v="0"/>
    <x v="31"/>
    <x v="5"/>
    <x v="154"/>
    <x v="78"/>
    <n v="154"/>
    <n v="0"/>
    <n v="1.1360656208985E+19"/>
  </r>
  <r>
    <b v="0"/>
    <x v="31"/>
    <x v="0"/>
    <x v="155"/>
    <x v="50"/>
    <n v="155"/>
    <n v="0"/>
    <n v="8.4386233087024128E+18"/>
  </r>
  <r>
    <b v="0"/>
    <x v="31"/>
    <x v="1"/>
    <x v="156"/>
    <x v="78"/>
    <n v="156"/>
    <n v="0"/>
    <n v="2.2853356795157791E+18"/>
  </r>
  <r>
    <b v="0"/>
    <x v="31"/>
    <x v="2"/>
    <x v="157"/>
    <x v="70"/>
    <n v="157"/>
    <n v="0"/>
    <n v="5.0729235296296028E+18"/>
  </r>
  <r>
    <b v="0"/>
    <x v="31"/>
    <x v="3"/>
    <x v="158"/>
    <x v="79"/>
    <n v="158"/>
    <n v="0"/>
    <n v="1.900451831989505E+18"/>
  </r>
  <r>
    <b v="0"/>
    <x v="31"/>
    <x v="4"/>
    <x v="159"/>
    <x v="37"/>
    <n v="159"/>
    <n v="0"/>
    <n v="7.2601956030553836E+18"/>
  </r>
  <r>
    <b v="0"/>
    <x v="32"/>
    <x v="5"/>
    <x v="160"/>
    <x v="80"/>
    <n v="160"/>
    <n v="0"/>
    <n v="1.4191194126161564E+19"/>
  </r>
  <r>
    <b v="0"/>
    <x v="32"/>
    <x v="0"/>
    <x v="161"/>
    <x v="50"/>
    <n v="161"/>
    <n v="0"/>
    <n v="1.8185230166426513E+19"/>
  </r>
  <r>
    <b v="0"/>
    <x v="32"/>
    <x v="1"/>
    <x v="162"/>
    <x v="64"/>
    <n v="162"/>
    <n v="0"/>
    <n v="1.4720158219381437E+18"/>
  </r>
  <r>
    <b v="0"/>
    <x v="32"/>
    <x v="2"/>
    <x v="163"/>
    <x v="72"/>
    <n v="163"/>
    <n v="0"/>
    <n v="7.5568367343323382E+18"/>
  </r>
  <r>
    <b v="0"/>
    <x v="32"/>
    <x v="3"/>
    <x v="164"/>
    <x v="81"/>
    <n v="164"/>
    <n v="0"/>
    <n v="1.6662333522548138E+19"/>
  </r>
  <r>
    <b v="0"/>
    <x v="32"/>
    <x v="4"/>
    <x v="165"/>
    <x v="40"/>
    <n v="165"/>
    <n v="0"/>
    <n v="1.5732196806218719E+19"/>
  </r>
  <r>
    <b v="0"/>
    <x v="33"/>
    <x v="5"/>
    <x v="166"/>
    <x v="69"/>
    <n v="166"/>
    <n v="0"/>
    <n v="1.5736050883623675E+18"/>
  </r>
  <r>
    <b v="0"/>
    <x v="33"/>
    <x v="0"/>
    <x v="167"/>
    <x v="73"/>
    <n v="167"/>
    <n v="0"/>
    <n v="3.9363738453546481E+18"/>
  </r>
  <r>
    <b v="0"/>
    <x v="33"/>
    <x v="1"/>
    <x v="168"/>
    <x v="78"/>
    <n v="168"/>
    <n v="0"/>
    <n v="1.7596610178385594E+19"/>
  </r>
  <r>
    <b v="0"/>
    <x v="33"/>
    <x v="2"/>
    <x v="169"/>
    <x v="53"/>
    <n v="169"/>
    <n v="0"/>
    <n v="9.1604369949754071E+18"/>
  </r>
  <r>
    <b v="0"/>
    <x v="33"/>
    <x v="3"/>
    <x v="170"/>
    <x v="81"/>
    <n v="170"/>
    <n v="0"/>
    <n v="1.6887969694267551E+18"/>
  </r>
  <r>
    <b v="0"/>
    <x v="33"/>
    <x v="4"/>
    <x v="171"/>
    <x v="54"/>
    <n v="171"/>
    <n v="0"/>
    <n v="8.5777923916750305E+18"/>
  </r>
  <r>
    <b v="0"/>
    <x v="34"/>
    <x v="5"/>
    <x v="172"/>
    <x v="82"/>
    <n v="172"/>
    <n v="0"/>
    <n v="9.5318830278405059E+18"/>
  </r>
  <r>
    <b v="0"/>
    <x v="34"/>
    <x v="0"/>
    <x v="173"/>
    <x v="63"/>
    <n v="173"/>
    <n v="0"/>
    <n v="8.3402572525556357E+18"/>
  </r>
  <r>
    <b v="0"/>
    <x v="34"/>
    <x v="1"/>
    <x v="174"/>
    <x v="71"/>
    <n v="174"/>
    <n v="0"/>
    <n v="9.9860667130670715E+18"/>
  </r>
  <r>
    <b v="0"/>
    <x v="34"/>
    <x v="2"/>
    <x v="175"/>
    <x v="83"/>
    <n v="175"/>
    <n v="0"/>
    <n v="8.9782757428778516E+18"/>
  </r>
  <r>
    <b v="0"/>
    <x v="34"/>
    <x v="3"/>
    <x v="176"/>
    <x v="84"/>
    <n v="176"/>
    <n v="0"/>
    <n v="8.6129312084899308E+18"/>
  </r>
  <r>
    <b v="0"/>
    <x v="34"/>
    <x v="4"/>
    <x v="177"/>
    <x v="47"/>
    <n v="177"/>
    <n v="0"/>
    <n v="1.7802990126564704E+19"/>
  </r>
  <r>
    <b v="0"/>
    <x v="35"/>
    <x v="5"/>
    <x v="178"/>
    <x v="85"/>
    <n v="178"/>
    <n v="0"/>
    <n v="7.66279816675917E+18"/>
  </r>
  <r>
    <b v="0"/>
    <x v="35"/>
    <x v="0"/>
    <x v="179"/>
    <x v="64"/>
    <n v="179"/>
    <n v="0"/>
    <n v="2.1371223198210419E+18"/>
  </r>
  <r>
    <b v="0"/>
    <x v="35"/>
    <x v="1"/>
    <x v="180"/>
    <x v="86"/>
    <n v="180"/>
    <n v="0"/>
    <n v="7.3932988232961577E+18"/>
  </r>
  <r>
    <b v="0"/>
    <x v="35"/>
    <x v="2"/>
    <x v="181"/>
    <x v="63"/>
    <n v="181"/>
    <n v="0"/>
    <n v="1.0886026909583337E+19"/>
  </r>
  <r>
    <b v="0"/>
    <x v="35"/>
    <x v="3"/>
    <x v="182"/>
    <x v="87"/>
    <n v="182"/>
    <n v="0"/>
    <n v="1.6491250048206737E+19"/>
  </r>
  <r>
    <b v="0"/>
    <x v="35"/>
    <x v="4"/>
    <x v="183"/>
    <x v="47"/>
    <n v="183"/>
    <n v="0"/>
    <n v="1.7520854039775494E+19"/>
  </r>
  <r>
    <b v="0"/>
    <x v="36"/>
    <x v="5"/>
    <x v="184"/>
    <x v="86"/>
    <n v="184"/>
    <n v="0"/>
    <n v="5.7958010333775012E+18"/>
  </r>
  <r>
    <b v="0"/>
    <x v="36"/>
    <x v="0"/>
    <x v="185"/>
    <x v="67"/>
    <n v="185"/>
    <n v="0"/>
    <n v="1.8340240201636139E+19"/>
  </r>
  <r>
    <b v="0"/>
    <x v="36"/>
    <x v="1"/>
    <x v="186"/>
    <x v="88"/>
    <n v="186"/>
    <n v="0"/>
    <n v="1.0449321637763398E+19"/>
  </r>
  <r>
    <b v="0"/>
    <x v="36"/>
    <x v="2"/>
    <x v="187"/>
    <x v="80"/>
    <n v="187"/>
    <n v="0"/>
    <n v="2.7037312599803505E+18"/>
  </r>
  <r>
    <b v="0"/>
    <x v="36"/>
    <x v="3"/>
    <x v="188"/>
    <x v="89"/>
    <n v="188"/>
    <n v="0"/>
    <n v="1.0679253933787806E+19"/>
  </r>
  <r>
    <b v="0"/>
    <x v="36"/>
    <x v="4"/>
    <x v="189"/>
    <x v="61"/>
    <n v="189"/>
    <n v="0"/>
    <n v="7.9988484093622559E+18"/>
  </r>
  <r>
    <b v="0"/>
    <x v="37"/>
    <x v="5"/>
    <x v="190"/>
    <x v="74"/>
    <n v="190"/>
    <n v="0"/>
    <n v="1.0575984034075869E+19"/>
  </r>
  <r>
    <b v="0"/>
    <x v="37"/>
    <x v="0"/>
    <x v="191"/>
    <x v="90"/>
    <n v="191"/>
    <n v="0"/>
    <n v="1.5324236164438747E+19"/>
  </r>
  <r>
    <b v="0"/>
    <x v="37"/>
    <x v="1"/>
    <x v="192"/>
    <x v="77"/>
    <n v="192"/>
    <n v="0"/>
    <n v="2.6106665054039117E+18"/>
  </r>
  <r>
    <b v="0"/>
    <x v="37"/>
    <x v="2"/>
    <x v="193"/>
    <x v="91"/>
    <n v="193"/>
    <n v="0"/>
    <n v="1.1087565079163736E+19"/>
  </r>
  <r>
    <b v="0"/>
    <x v="37"/>
    <x v="3"/>
    <x v="194"/>
    <x v="92"/>
    <n v="194"/>
    <n v="0"/>
    <n v="1.3515766384604E+19"/>
  </r>
  <r>
    <b v="0"/>
    <x v="37"/>
    <x v="4"/>
    <x v="195"/>
    <x v="48"/>
    <n v="195"/>
    <n v="0"/>
    <n v="1.8078593506167278E+19"/>
  </r>
  <r>
    <b v="0"/>
    <x v="38"/>
    <x v="5"/>
    <x v="196"/>
    <x v="93"/>
    <n v="196"/>
    <n v="0"/>
    <n v="2.9034237001842243E+18"/>
  </r>
  <r>
    <b v="0"/>
    <x v="38"/>
    <x v="0"/>
    <x v="197"/>
    <x v="94"/>
    <n v="197"/>
    <n v="0"/>
    <n v="4.1490971586158874E+18"/>
  </r>
  <r>
    <b v="0"/>
    <x v="38"/>
    <x v="1"/>
    <x v="198"/>
    <x v="95"/>
    <n v="198"/>
    <n v="0"/>
    <n v="1.3975382505859357E+19"/>
  </r>
  <r>
    <b v="0"/>
    <x v="38"/>
    <x v="2"/>
    <x v="199"/>
    <x v="67"/>
    <n v="199"/>
    <n v="0"/>
    <n v="1.1607267963976571E+19"/>
  </r>
  <r>
    <b v="0"/>
    <x v="38"/>
    <x v="3"/>
    <x v="200"/>
    <x v="96"/>
    <n v="200"/>
    <n v="0"/>
    <n v="3.2271808643279759E+18"/>
  </r>
  <r>
    <b v="0"/>
    <x v="38"/>
    <x v="4"/>
    <x v="201"/>
    <x v="48"/>
    <n v="201"/>
    <n v="0"/>
    <n v="1.7576974963941967E+18"/>
  </r>
  <r>
    <b v="0"/>
    <x v="39"/>
    <x v="5"/>
    <x v="202"/>
    <x v="97"/>
    <n v="202"/>
    <n v="0"/>
    <n v="7.5970822129668237E+17"/>
  </r>
  <r>
    <b v="0"/>
    <x v="39"/>
    <x v="0"/>
    <x v="203"/>
    <x v="71"/>
    <n v="203"/>
    <n v="0"/>
    <n v="1.1267742722861236E+19"/>
  </r>
  <r>
    <b v="0"/>
    <x v="39"/>
    <x v="1"/>
    <x v="204"/>
    <x v="79"/>
    <n v="204"/>
    <n v="0"/>
    <n v="1.0178524580391889E+19"/>
  </r>
  <r>
    <b v="0"/>
    <x v="39"/>
    <x v="2"/>
    <x v="205"/>
    <x v="86"/>
    <n v="205"/>
    <n v="0"/>
    <n v="1.7026482949169426E+19"/>
  </r>
  <r>
    <b v="0"/>
    <x v="39"/>
    <x v="3"/>
    <x v="206"/>
    <x v="98"/>
    <n v="206"/>
    <n v="0"/>
    <n v="1.014585322841301E+19"/>
  </r>
  <r>
    <b v="0"/>
    <x v="39"/>
    <x v="4"/>
    <x v="207"/>
    <x v="50"/>
    <n v="207"/>
    <n v="0"/>
    <n v="6.6202303008874496E+18"/>
  </r>
  <r>
    <b v="0"/>
    <x v="40"/>
    <x v="5"/>
    <x v="208"/>
    <x v="77"/>
    <n v="208"/>
    <n v="0"/>
    <n v="7.8811575584712438E+18"/>
  </r>
  <r>
    <b v="0"/>
    <x v="40"/>
    <x v="0"/>
    <x v="209"/>
    <x v="74"/>
    <n v="209"/>
    <n v="0"/>
    <n v="1.3914841913869388E+19"/>
  </r>
  <r>
    <b v="0"/>
    <x v="40"/>
    <x v="1"/>
    <x v="210"/>
    <x v="81"/>
    <n v="210"/>
    <n v="0"/>
    <n v="1.4552965542748393E+19"/>
  </r>
  <r>
    <b v="0"/>
    <x v="40"/>
    <x v="2"/>
    <x v="211"/>
    <x v="76"/>
    <n v="211"/>
    <n v="0"/>
    <n v="6.4416338812597268E+18"/>
  </r>
  <r>
    <b v="0"/>
    <x v="40"/>
    <x v="3"/>
    <x v="212"/>
    <x v="99"/>
    <n v="212"/>
    <n v="0"/>
    <n v="1.7164274467043752E+19"/>
  </r>
  <r>
    <b v="0"/>
    <x v="40"/>
    <x v="4"/>
    <x v="213"/>
    <x v="73"/>
    <n v="213"/>
    <n v="0"/>
    <n v="1.2620489339290237E+19"/>
  </r>
  <r>
    <b v="0"/>
    <x v="41"/>
    <x v="5"/>
    <x v="214"/>
    <x v="95"/>
    <n v="214"/>
    <n v="0"/>
    <n v="1.2756982452817713E+19"/>
  </r>
  <r>
    <b v="0"/>
    <x v="41"/>
    <x v="0"/>
    <x v="215"/>
    <x v="74"/>
    <n v="215"/>
    <n v="0"/>
    <n v="3.4183080138494285E+18"/>
  </r>
  <r>
    <b v="0"/>
    <x v="41"/>
    <x v="1"/>
    <x v="216"/>
    <x v="100"/>
    <n v="216"/>
    <n v="0"/>
    <n v="2.4660317644803502E+18"/>
  </r>
  <r>
    <b v="0"/>
    <x v="41"/>
    <x v="2"/>
    <x v="217"/>
    <x v="88"/>
    <n v="217"/>
    <n v="0"/>
    <n v="5.0306665156751329E+18"/>
  </r>
  <r>
    <b v="0"/>
    <x v="41"/>
    <x v="3"/>
    <x v="218"/>
    <x v="96"/>
    <n v="218"/>
    <n v="0"/>
    <n v="1.0093975085779407E+19"/>
  </r>
  <r>
    <b v="0"/>
    <x v="41"/>
    <x v="4"/>
    <x v="219"/>
    <x v="101"/>
    <n v="219"/>
    <n v="0"/>
    <n v="4.356681171458345E+17"/>
  </r>
  <r>
    <b v="0"/>
    <x v="42"/>
    <x v="5"/>
    <x v="220"/>
    <x v="102"/>
    <n v="220"/>
    <n v="0"/>
    <n v="9.4281179903673364E+18"/>
  </r>
  <r>
    <b v="0"/>
    <x v="42"/>
    <x v="0"/>
    <x v="221"/>
    <x v="76"/>
    <n v="221"/>
    <n v="0"/>
    <n v="1.6936230751985659E+18"/>
  </r>
  <r>
    <b v="0"/>
    <x v="42"/>
    <x v="1"/>
    <x v="222"/>
    <x v="84"/>
    <n v="222"/>
    <n v="0"/>
    <n v="1.1416224642025132E+19"/>
  </r>
  <r>
    <b v="0"/>
    <x v="42"/>
    <x v="2"/>
    <x v="223"/>
    <x v="88"/>
    <n v="223"/>
    <n v="0"/>
    <n v="3.5534754202490648E+16"/>
  </r>
  <r>
    <b v="0"/>
    <x v="42"/>
    <x v="3"/>
    <x v="224"/>
    <x v="103"/>
    <n v="224"/>
    <n v="0"/>
    <n v="1.3701639697477087E+19"/>
  </r>
  <r>
    <b v="0"/>
    <x v="42"/>
    <x v="4"/>
    <x v="225"/>
    <x v="56"/>
    <n v="225"/>
    <n v="0"/>
    <n v="2.1066618347693847E+18"/>
  </r>
  <r>
    <b v="0"/>
    <x v="43"/>
    <x v="5"/>
    <x v="226"/>
    <x v="104"/>
    <n v="226"/>
    <n v="0"/>
    <n v="9.4501835552345088E+18"/>
  </r>
  <r>
    <b v="0"/>
    <x v="43"/>
    <x v="0"/>
    <x v="227"/>
    <x v="76"/>
    <n v="227"/>
    <n v="0"/>
    <n v="1.4704046457345892E+19"/>
  </r>
  <r>
    <b v="0"/>
    <x v="43"/>
    <x v="1"/>
    <x v="228"/>
    <x v="100"/>
    <n v="228"/>
    <n v="0"/>
    <n v="7.3974126683972833E+18"/>
  </r>
  <r>
    <b v="0"/>
    <x v="43"/>
    <x v="2"/>
    <x v="229"/>
    <x v="105"/>
    <n v="229"/>
    <n v="0"/>
    <n v="1.1431181095681733E+19"/>
  </r>
  <r>
    <b v="0"/>
    <x v="43"/>
    <x v="3"/>
    <x v="230"/>
    <x v="106"/>
    <n v="230"/>
    <n v="0"/>
    <n v="1.3913410719102863E+19"/>
  </r>
  <r>
    <b v="0"/>
    <x v="43"/>
    <x v="4"/>
    <x v="231"/>
    <x v="56"/>
    <n v="231"/>
    <n v="0"/>
    <n v="8.9518463824955464E+18"/>
  </r>
  <r>
    <b v="0"/>
    <x v="44"/>
    <x v="5"/>
    <x v="232"/>
    <x v="81"/>
    <n v="232"/>
    <n v="0"/>
    <n v="3.6770777282596695E+18"/>
  </r>
  <r>
    <b v="0"/>
    <x v="44"/>
    <x v="0"/>
    <x v="233"/>
    <x v="77"/>
    <n v="233"/>
    <n v="0"/>
    <n v="1.1339316650402693E+19"/>
  </r>
  <r>
    <b v="0"/>
    <x v="44"/>
    <x v="1"/>
    <x v="234"/>
    <x v="107"/>
    <n v="234"/>
    <n v="0"/>
    <n v="1.0723900586576658E+19"/>
  </r>
  <r>
    <b v="0"/>
    <x v="44"/>
    <x v="2"/>
    <x v="235"/>
    <x v="95"/>
    <n v="235"/>
    <n v="0"/>
    <n v="1.7395865274327126E+19"/>
  </r>
  <r>
    <b v="0"/>
    <x v="44"/>
    <x v="3"/>
    <x v="236"/>
    <x v="108"/>
    <n v="236"/>
    <n v="0"/>
    <n v="5.2721619714352292E+18"/>
  </r>
  <r>
    <b v="0"/>
    <x v="44"/>
    <x v="4"/>
    <x v="237"/>
    <x v="58"/>
    <n v="237"/>
    <n v="0"/>
    <n v="1.5328534305397369E+19"/>
  </r>
  <r>
    <b v="0"/>
    <x v="45"/>
    <x v="5"/>
    <x v="238"/>
    <x v="109"/>
    <n v="238"/>
    <n v="0"/>
    <n v="1.5594091648310362E+19"/>
  </r>
  <r>
    <b v="0"/>
    <x v="45"/>
    <x v="0"/>
    <x v="239"/>
    <x v="93"/>
    <n v="239"/>
    <n v="0"/>
    <n v="4.5741649678378092E+18"/>
  </r>
  <r>
    <b v="0"/>
    <x v="45"/>
    <x v="1"/>
    <x v="240"/>
    <x v="89"/>
    <n v="240"/>
    <n v="0"/>
    <n v="1.2964597398822308E+19"/>
  </r>
  <r>
    <b v="0"/>
    <x v="45"/>
    <x v="2"/>
    <x v="241"/>
    <x v="88"/>
    <n v="241"/>
    <n v="0"/>
    <n v="1.6490385155242154E+19"/>
  </r>
  <r>
    <b v="0"/>
    <x v="45"/>
    <x v="3"/>
    <x v="242"/>
    <x v="110"/>
    <n v="242"/>
    <n v="0"/>
    <n v="1.4577872448898611E+19"/>
  </r>
  <r>
    <b v="0"/>
    <x v="45"/>
    <x v="4"/>
    <x v="243"/>
    <x v="101"/>
    <n v="243"/>
    <n v="0"/>
    <n v="1.4526370162614184E+19"/>
  </r>
  <r>
    <b v="0"/>
    <x v="46"/>
    <x v="5"/>
    <x v="244"/>
    <x v="87"/>
    <n v="244"/>
    <n v="0"/>
    <n v="4.6226913442802207E+18"/>
  </r>
  <r>
    <b v="0"/>
    <x v="46"/>
    <x v="0"/>
    <x v="245"/>
    <x v="88"/>
    <n v="245"/>
    <n v="0"/>
    <n v="1.294438639255629E+19"/>
  </r>
  <r>
    <b v="0"/>
    <x v="46"/>
    <x v="1"/>
    <x v="246"/>
    <x v="96"/>
    <n v="246"/>
    <n v="0"/>
    <n v="3.9890734488421037E+17"/>
  </r>
  <r>
    <b v="0"/>
    <x v="46"/>
    <x v="2"/>
    <x v="247"/>
    <x v="77"/>
    <n v="247"/>
    <n v="0"/>
    <n v="5.3006730820572498E+18"/>
  </r>
  <r>
    <b v="0"/>
    <x v="46"/>
    <x v="3"/>
    <x v="248"/>
    <x v="111"/>
    <n v="248"/>
    <n v="0"/>
    <n v="6.0584433077476147E+17"/>
  </r>
  <r>
    <b v="0"/>
    <x v="46"/>
    <x v="4"/>
    <x v="249"/>
    <x v="101"/>
    <n v="249"/>
    <n v="0"/>
    <n v="1.283645314213591E+18"/>
  </r>
  <r>
    <b v="0"/>
    <x v="47"/>
    <x v="5"/>
    <x v="250"/>
    <x v="109"/>
    <n v="250"/>
    <n v="0"/>
    <n v="1.4512281593650311E+19"/>
  </r>
  <r>
    <b v="0"/>
    <x v="47"/>
    <x v="0"/>
    <x v="251"/>
    <x v="105"/>
    <n v="251"/>
    <n v="0"/>
    <n v="1.6094530506397082E+19"/>
  </r>
  <r>
    <b v="0"/>
    <x v="47"/>
    <x v="1"/>
    <x v="252"/>
    <x v="96"/>
    <n v="252"/>
    <n v="0"/>
    <n v="5.97041752431441E+18"/>
  </r>
  <r>
    <b v="0"/>
    <x v="47"/>
    <x v="2"/>
    <x v="253"/>
    <x v="112"/>
    <n v="253"/>
    <n v="0"/>
    <n v="1.5153931314228027E+19"/>
  </r>
  <r>
    <b v="0"/>
    <x v="47"/>
    <x v="3"/>
    <x v="254"/>
    <x v="113"/>
    <n v="254"/>
    <n v="0"/>
    <n v="1.0072182895810762E+18"/>
  </r>
  <r>
    <b v="0"/>
    <x v="47"/>
    <x v="4"/>
    <x v="255"/>
    <x v="73"/>
    <n v="255"/>
    <n v="0"/>
    <n v="1.7468570957700471E+19"/>
  </r>
  <r>
    <b v="0"/>
    <x v="48"/>
    <x v="5"/>
    <x v="256"/>
    <x v="87"/>
    <n v="256"/>
    <n v="0"/>
    <n v="1.5936904061249642E+19"/>
  </r>
  <r>
    <b v="0"/>
    <x v="48"/>
    <x v="0"/>
    <x v="257"/>
    <x v="88"/>
    <n v="257"/>
    <n v="0"/>
    <n v="1.8209563160729846E+19"/>
  </r>
  <r>
    <b v="0"/>
    <x v="48"/>
    <x v="1"/>
    <x v="258"/>
    <x v="107"/>
    <n v="258"/>
    <n v="0"/>
    <n v="1.0995670374534783E+19"/>
  </r>
  <r>
    <b v="0"/>
    <x v="48"/>
    <x v="2"/>
    <x v="259"/>
    <x v="112"/>
    <n v="259"/>
    <n v="0"/>
    <n v="9.9792186574900163E+18"/>
  </r>
  <r>
    <b v="0"/>
    <x v="48"/>
    <x v="3"/>
    <x v="260"/>
    <x v="114"/>
    <n v="260"/>
    <n v="0"/>
    <n v="1.6105895900211304E+19"/>
  </r>
  <r>
    <b v="0"/>
    <x v="48"/>
    <x v="4"/>
    <x v="261"/>
    <x v="101"/>
    <n v="261"/>
    <n v="0"/>
    <n v="7.5622283251454761E+18"/>
  </r>
  <r>
    <b v="0"/>
    <x v="49"/>
    <x v="5"/>
    <x v="262"/>
    <x v="115"/>
    <n v="262"/>
    <n v="0"/>
    <n v="6.9928452174231276E+18"/>
  </r>
  <r>
    <b v="0"/>
    <x v="49"/>
    <x v="0"/>
    <x v="263"/>
    <x v="112"/>
    <n v="263"/>
    <n v="0"/>
    <n v="1.7198410058236377E+19"/>
  </r>
  <r>
    <b v="0"/>
    <x v="49"/>
    <x v="1"/>
    <x v="264"/>
    <x v="99"/>
    <n v="264"/>
    <n v="0"/>
    <n v="9.6815503847855657E+18"/>
  </r>
  <r>
    <b v="0"/>
    <x v="49"/>
    <x v="2"/>
    <x v="265"/>
    <x v="95"/>
    <n v="265"/>
    <n v="0"/>
    <n v="1.4016714455413096E+19"/>
  </r>
  <r>
    <b v="0"/>
    <x v="49"/>
    <x v="3"/>
    <x v="266"/>
    <x v="116"/>
    <n v="266"/>
    <n v="0"/>
    <n v="2.0142343694348344E+18"/>
  </r>
  <r>
    <b v="0"/>
    <x v="49"/>
    <x v="4"/>
    <x v="267"/>
    <x v="56"/>
    <n v="267"/>
    <n v="0"/>
    <n v="6.6896381646960261E+18"/>
  </r>
  <r>
    <b v="0"/>
    <x v="50"/>
    <x v="5"/>
    <x v="268"/>
    <x v="104"/>
    <n v="268"/>
    <n v="0"/>
    <n v="1.3115412520040126E+19"/>
  </r>
  <r>
    <b v="0"/>
    <x v="50"/>
    <x v="0"/>
    <x v="269"/>
    <x v="105"/>
    <n v="269"/>
    <n v="0"/>
    <n v="1.7493603242627203E+18"/>
  </r>
  <r>
    <b v="0"/>
    <x v="50"/>
    <x v="1"/>
    <x v="270"/>
    <x v="100"/>
    <n v="270"/>
    <n v="0"/>
    <n v="1.2235585408411933E+19"/>
  </r>
  <r>
    <b v="0"/>
    <x v="50"/>
    <x v="2"/>
    <x v="271"/>
    <x v="86"/>
    <n v="271"/>
    <n v="0"/>
    <n v="1.063555582829541E+19"/>
  </r>
  <r>
    <b v="0"/>
    <x v="50"/>
    <x v="3"/>
    <x v="272"/>
    <x v="117"/>
    <n v="272"/>
    <n v="0"/>
    <n v="1.3593698873515364E+19"/>
  </r>
  <r>
    <b v="0"/>
    <x v="50"/>
    <x v="4"/>
    <x v="273"/>
    <x v="40"/>
    <n v="273"/>
    <n v="0"/>
    <n v="5.9416102339599135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7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I61" firstHeaderRow="0" firstDataRow="1" firstDataCol="4"/>
  <pivotFields count="8">
    <pivotField compact="0" outline="0" showAll="0"/>
    <pivotField axis="axisRow" compact="0" outline="0" showAll="0" defaultSubtotal="0">
      <items count="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</items>
    </pivotField>
    <pivotField axis="axisRow" compact="0" outline="0" showAll="0" defaultSubtotal="0">
      <items count="6">
        <item sd="0" x="5"/>
        <item sd="0" x="1"/>
        <item sd="0" x="0"/>
        <item sd="0" x="2"/>
        <item sd="0" x="3"/>
        <item sd="0" x="4"/>
      </items>
    </pivotField>
    <pivotField axis="axisRow" compact="0" outline="0" showAll="0" defaultSubtotal="0">
      <items count="274">
        <item sd="0" x="2"/>
        <item sd="0" x="7"/>
        <item sd="0" x="3"/>
        <item sd="0" x="8"/>
        <item sd="0" x="11"/>
        <item sd="0" x="1"/>
        <item sd="0" x="14"/>
        <item sd="0" x="17"/>
        <item sd="0" x="0"/>
        <item sd="0" x="21"/>
        <item sd="0" x="6"/>
        <item sd="0" x="25"/>
        <item sd="0" x="5"/>
        <item sd="0" x="4"/>
        <item sd="0" x="10"/>
        <item sd="0" x="28"/>
        <item sd="0" x="9"/>
        <item sd="0" x="20"/>
        <item sd="0" x="13"/>
        <item sd="0" x="40"/>
        <item sd="0" x="31"/>
        <item sd="0" x="12"/>
        <item sd="0" x="45"/>
        <item sd="0" x="15"/>
        <item sd="0" x="50"/>
        <item sd="0" x="16"/>
        <item sd="0" x="35"/>
        <item sd="0" x="18"/>
        <item sd="0" x="55"/>
        <item sd="0" x="60"/>
        <item sd="0" x="19"/>
        <item sd="0" x="41"/>
        <item sd="0" x="23"/>
        <item sd="0" x="66"/>
        <item sd="0" x="22"/>
        <item sd="0" x="71"/>
        <item sd="0" x="24"/>
        <item sd="0" x="46"/>
        <item sd="0" x="76"/>
        <item sd="0" x="26"/>
        <item sd="0" x="27"/>
        <item sd="0" x="39"/>
        <item sd="0" x="51"/>
        <item sd="0" x="81"/>
        <item sd="0" x="33"/>
        <item sd="0" x="56"/>
        <item sd="0" x="29"/>
        <item sd="0" x="30"/>
        <item sd="0" x="86"/>
        <item sd="0" x="61"/>
        <item sd="0" x="92"/>
        <item sd="0" x="37"/>
        <item sd="0" x="34"/>
        <item sd="0" x="32"/>
        <item sd="0" x="67"/>
        <item sd="0" x="97"/>
        <item sd="0" x="72"/>
        <item sd="0" x="43"/>
        <item sd="0" x="38"/>
        <item sd="0" x="36"/>
        <item sd="0" x="77"/>
        <item sd="0" x="103"/>
        <item sd="0" x="82"/>
        <item sd="0" x="109"/>
        <item sd="0" x="48"/>
        <item sd="0" x="65"/>
        <item sd="0" x="44"/>
        <item sd="0" x="87"/>
        <item sd="0" x="42"/>
        <item sd="0" x="49"/>
        <item sd="0" x="115"/>
        <item sd="0" x="53"/>
        <item sd="0" x="93"/>
        <item sd="0" x="121"/>
        <item sd="0" x="54"/>
        <item sd="0" x="58"/>
        <item sd="0" x="98"/>
        <item sd="0" x="127"/>
        <item sd="0" x="47"/>
        <item sd="0" x="59"/>
        <item sd="0" x="63"/>
        <item sd="0" x="104"/>
        <item sd="0" x="69"/>
        <item sd="0" x="64"/>
        <item sd="0" x="52"/>
        <item sd="0" x="110"/>
        <item sd="0" x="74"/>
        <item sd="0" x="70"/>
        <item sd="0" x="122"/>
        <item sd="0" x="116"/>
        <item sd="0" x="128"/>
        <item sd="0" x="57"/>
        <item sd="0" x="91"/>
        <item sd="0" x="79"/>
        <item sd="0" x="75"/>
        <item sd="0" x="133"/>
        <item sd="0" x="134"/>
        <item sd="0" x="96"/>
        <item sd="0" x="140"/>
        <item sd="0" x="139"/>
        <item sd="0" x="84"/>
        <item sd="0" x="62"/>
        <item sd="0" x="85"/>
        <item sd="0" x="80"/>
        <item sd="0" x="102"/>
        <item sd="0" x="146"/>
        <item sd="0" x="145"/>
        <item sd="0" x="89"/>
        <item sd="0" x="90"/>
        <item sd="0" x="68"/>
        <item sd="0" x="108"/>
        <item sd="0" x="95"/>
        <item sd="0" x="114"/>
        <item sd="0" x="73"/>
        <item sd="0" x="152"/>
        <item sd="0" x="151"/>
        <item sd="0" x="100"/>
        <item sd="0" x="106"/>
        <item sd="0" x="158"/>
        <item sd="0" x="112"/>
        <item sd="0" x="78"/>
        <item sd="0" x="118"/>
        <item sd="0" x="124"/>
        <item sd="0" x="101"/>
        <item sd="0" x="107"/>
        <item sd="0" x="164"/>
        <item sd="0" x="157"/>
        <item sd="0" x="130"/>
        <item sd="0" x="120"/>
        <item sd="0" x="126"/>
        <item sd="0" x="113"/>
        <item sd="0" x="170"/>
        <item sd="0" x="83"/>
        <item sd="0" x="136"/>
        <item sd="0" x="132"/>
        <item sd="0" x="142"/>
        <item sd="0" x="163"/>
        <item sd="0" x="176"/>
        <item sd="0" x="138"/>
        <item sd="0" x="119"/>
        <item sd="0" x="88"/>
        <item sd="0" x="144"/>
        <item sd="0" x="148"/>
        <item sd="0" x="169"/>
        <item sd="0" x="182"/>
        <item sd="0" x="125"/>
        <item sd="0" x="131"/>
        <item sd="0" x="188"/>
        <item sd="0" x="137"/>
        <item sd="0" x="154"/>
        <item sd="0" x="94"/>
        <item sd="0" x="150"/>
        <item sd="0" x="194"/>
        <item sd="0" x="143"/>
        <item sd="0" x="175"/>
        <item sd="0" x="181"/>
        <item sd="0" x="160"/>
        <item sd="0" x="200"/>
        <item sd="0" x="156"/>
        <item sd="0" x="149"/>
        <item sd="0" x="99"/>
        <item sd="0" x="166"/>
        <item sd="0" x="187"/>
        <item sd="0" x="206"/>
        <item sd="0" x="155"/>
        <item sd="0" x="193"/>
        <item sd="0" x="168"/>
        <item sd="0" x="105"/>
        <item sd="0" x="172"/>
        <item sd="0" x="162"/>
        <item sd="0" x="212"/>
        <item sd="0" x="174"/>
        <item sd="0" x="199"/>
        <item sd="0" x="161"/>
        <item sd="0" x="180"/>
        <item sd="0" x="111"/>
        <item sd="0" x="178"/>
        <item sd="0" x="167"/>
        <item sd="0" x="205"/>
        <item sd="0" x="173"/>
        <item sd="0" x="179"/>
        <item sd="0" x="117"/>
        <item sd="0" x="211"/>
        <item sd="0" x="186"/>
        <item sd="0" x="184"/>
        <item sd="0" x="217"/>
        <item sd="0" x="185"/>
        <item sd="0" x="123"/>
        <item sd="0" x="192"/>
        <item sd="0" x="223"/>
        <item sd="0" x="229"/>
        <item sd="0" x="190"/>
        <item sd="0" x="198"/>
        <item sd="0" x="218"/>
        <item sd="0" x="191"/>
        <item sd="0" x="235"/>
        <item sd="0" x="241"/>
        <item sd="0" x="196"/>
        <item sd="0" x="204"/>
        <item sd="0" x="135"/>
        <item sd="0" x="202"/>
        <item sd="0" x="197"/>
        <item sd="0" x="247"/>
        <item sd="0" x="224"/>
        <item sd="0" x="210"/>
        <item sd="0" x="253"/>
        <item sd="0" x="141"/>
        <item sd="0" x="208"/>
        <item sd="0" x="203"/>
        <item sd="0" x="129"/>
        <item sd="0" x="216"/>
        <item sd="0" x="259"/>
        <item sd="0" x="214"/>
        <item sd="0" x="147"/>
        <item sd="0" x="248"/>
        <item sd="0" x="222"/>
        <item sd="0" x="230"/>
        <item sd="0" x="236"/>
        <item sd="0" x="220"/>
        <item sd="0" x="265"/>
        <item sd="0" x="254"/>
        <item sd="0" x="209"/>
        <item sd="0" x="226"/>
        <item sd="0" x="242"/>
        <item sd="0" x="153"/>
        <item sd="0" x="232"/>
        <item sd="0" x="228"/>
        <item sd="0" x="260"/>
        <item sd="0" x="215"/>
        <item sd="0" x="266"/>
        <item sd="0" x="234"/>
        <item sd="0" x="238"/>
        <item sd="0" x="272"/>
        <item sd="0" x="240"/>
        <item sd="0" x="221"/>
        <item sd="0" x="159"/>
        <item sd="0" x="246"/>
        <item sd="0" x="227"/>
        <item sd="0" x="252"/>
        <item sd="0" x="271"/>
        <item sd="0" x="244"/>
        <item sd="0" x="258"/>
        <item sd="0" x="250"/>
        <item sd="0" x="233"/>
        <item sd="0" x="264"/>
        <item sd="0" x="262"/>
        <item sd="0" x="239"/>
        <item sd="0" x="256"/>
        <item sd="0" x="165"/>
        <item sd="0" x="270"/>
        <item sd="0" x="245"/>
        <item sd="0" x="171"/>
        <item sd="0" x="268"/>
        <item sd="0" x="251"/>
        <item sd="0" x="177"/>
        <item sd="0" x="257"/>
        <item sd="0" x="263"/>
        <item sd="0" x="183"/>
        <item sd="0" x="189"/>
        <item sd="0" x="269"/>
        <item sd="0" x="195"/>
        <item sd="0" x="201"/>
        <item sd="0" x="207"/>
        <item sd="0" x="213"/>
        <item sd="0" x="219"/>
        <item sd="0" x="225"/>
        <item sd="0" x="231"/>
        <item sd="0" x="237"/>
        <item sd="0" x="243"/>
        <item sd="0" x="249"/>
        <item sd="0" x="255"/>
        <item sd="0" x="261"/>
        <item sd="0" x="267"/>
        <item sd="0" x="273"/>
      </items>
    </pivotField>
    <pivotField axis="axisRow" compact="0" outline="0" showAll="0" defaultSubtotal="0">
      <items count="118">
        <item x="0"/>
        <item x="6"/>
        <item x="4"/>
        <item x="9"/>
        <item x="8"/>
        <item x="11"/>
        <item x="13"/>
        <item x="14"/>
        <item x="20"/>
        <item x="2"/>
        <item x="3"/>
        <item x="1"/>
        <item x="25"/>
        <item x="22"/>
        <item x="18"/>
        <item x="5"/>
        <item x="7"/>
        <item x="16"/>
        <item x="10"/>
        <item x="24"/>
        <item x="12"/>
        <item x="27"/>
        <item x="15"/>
        <item x="19"/>
        <item x="30"/>
        <item x="35"/>
        <item x="17"/>
        <item x="38"/>
        <item x="41"/>
        <item x="43"/>
        <item x="21"/>
        <item x="51"/>
        <item x="45"/>
        <item x="28"/>
        <item x="31"/>
        <item x="23"/>
        <item x="46"/>
        <item x="33"/>
        <item x="36"/>
        <item x="26"/>
        <item x="39"/>
        <item x="55"/>
        <item x="32"/>
        <item x="29"/>
        <item x="44"/>
        <item x="34"/>
        <item x="68"/>
        <item x="49"/>
        <item x="52"/>
        <item x="37"/>
        <item x="40"/>
        <item x="54"/>
        <item x="59"/>
        <item x="57"/>
        <item x="42"/>
        <item x="62"/>
        <item x="47"/>
        <item x="75"/>
        <item x="61"/>
        <item x="65"/>
        <item x="66"/>
        <item x="48"/>
        <item x="70"/>
        <item x="72"/>
        <item x="53"/>
        <item x="50"/>
        <item x="73"/>
        <item x="101"/>
        <item x="56"/>
        <item x="58"/>
        <item x="83"/>
        <item x="60"/>
        <item x="63"/>
        <item x="78"/>
        <item x="64"/>
        <item x="80"/>
        <item x="69"/>
        <item x="91"/>
        <item x="67"/>
        <item x="82"/>
        <item x="85"/>
        <item x="90"/>
        <item x="94"/>
        <item x="71"/>
        <item x="86"/>
        <item x="74"/>
        <item x="76"/>
        <item x="93"/>
        <item x="97"/>
        <item x="88"/>
        <item x="105"/>
        <item x="77"/>
        <item x="112"/>
        <item x="95"/>
        <item x="79"/>
        <item x="102"/>
        <item x="104"/>
        <item x="81"/>
        <item x="109"/>
        <item x="87"/>
        <item x="84"/>
        <item x="115"/>
        <item x="100"/>
        <item x="89"/>
        <item x="92"/>
        <item x="96"/>
        <item x="107"/>
        <item x="99"/>
        <item x="98"/>
        <item x="103"/>
        <item x="106"/>
        <item x="108"/>
        <item x="110"/>
        <item x="111"/>
        <item x="113"/>
        <item x="114"/>
        <item x="116"/>
        <item x="117"/>
      </items>
    </pivotField>
    <pivotField compact="0" outline="0" showAll="0"/>
    <pivotField dataField="1" compact="0" outline="0" showAll="0"/>
    <pivotField compact="0" outline="0" showAll="0"/>
  </pivotFields>
  <rowFields count="4">
    <field x="1"/>
    <field x="2"/>
    <field x="3"/>
    <field x="4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6" subtotal="average" baseField="0" baseItem="1" numFmtId="164"/>
    <dataField name="% of Total Blanks" fld="6" showDataAs="percentOfTotal" baseField="0" baseItem="1" numFmtId="164"/>
    <dataField name="% of Records" fld="6" subtotal="count" showDataAs="percentOfTotal" baseField="0" baseItem="2" numFmtId="10"/>
  </dataFields>
  <formats count="92">
    <format dxfId="106">
      <pivotArea type="all" dataOnly="0" outline="0" fieldPosition="0"/>
    </format>
    <format dxfId="105">
      <pivotArea outline="0" collapsedLevelsAreSubtotals="1" fieldPosition="0"/>
    </format>
    <format dxfId="104">
      <pivotArea dataOnly="0" labelOnly="1" grandRow="1" outline="0" fieldPosition="0"/>
    </format>
    <format dxfId="10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2">
      <pivotArea type="all" dataOnly="0" outline="0" fieldPosition="0"/>
    </format>
    <format dxfId="101">
      <pivotArea dataOnly="0" outline="0" fieldPosition="0">
        <references count="1">
          <reference field="4294967294" count="1">
            <x v="0"/>
          </reference>
        </references>
      </pivotArea>
    </format>
    <format dxfId="100">
      <pivotArea outline="0" fieldPosition="0">
        <references count="1">
          <reference field="4294967294" count="1">
            <x v="0"/>
          </reference>
        </references>
      </pivotArea>
    </format>
    <format dxfId="99">
      <pivotArea outline="0" fieldPosition="0">
        <references count="1">
          <reference field="4294967294" count="1">
            <x v="1"/>
          </reference>
        </references>
      </pivotArea>
    </format>
    <format dxfId="98">
      <pivotArea type="all" dataOnly="0" outline="0" fieldPosition="0"/>
    </format>
    <format dxfId="97">
      <pivotArea outline="0" collapsedLevelsAreSubtotals="1" fieldPosition="0"/>
    </format>
    <format dxfId="9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5">
      <pivotArea outline="0" fieldPosition="0">
        <references count="1">
          <reference field="4294967294" count="1" selected="0">
            <x v="1"/>
          </reference>
        </references>
      </pivotArea>
    </format>
    <format dxfId="94">
      <pivotArea dataOnly="0" outline="0" fieldPosition="0">
        <references count="1">
          <reference field="4294967294" count="1">
            <x v="1"/>
          </reference>
        </references>
      </pivotArea>
    </format>
    <format dxfId="93">
      <pivotArea type="all" dataOnly="0" outline="0" fieldPosition="0"/>
    </format>
    <format dxfId="92">
      <pivotArea type="all" dataOnly="0" outline="0" fieldPosition="0"/>
    </format>
    <format dxfId="91">
      <pivotArea outline="0" fieldPosition="0">
        <references count="1">
          <reference field="4294967294" count="1">
            <x v="2"/>
          </reference>
        </references>
      </pivotArea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2">
      <pivotArea outline="0" collapsedLevelsAreSubtotals="1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field="1" type="button" dataOnly="0" labelOnly="1" outline="0" axis="axisRow" fieldPosition="0"/>
    </format>
    <format dxfId="62">
      <pivotArea field="2" type="button" dataOnly="0" labelOnly="1" outline="0" axis="axisRow" fieldPosition="1"/>
    </format>
    <format dxfId="61">
      <pivotArea field="3" type="button" dataOnly="0" labelOnly="1" outline="0" axis="axisRow" fieldPosition="2"/>
    </format>
    <format dxfId="60">
      <pivotArea field="4" type="button" dataOnly="0" labelOnly="1" outline="0" axis="axisRow" fieldPosition="3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field="2" type="button" dataOnly="0" labelOnly="1" outline="0" axis="axisRow" fieldPosition="1"/>
    </format>
    <format dxfId="57">
      <pivotArea field="3" type="button" dataOnly="0" labelOnly="1" outline="0" axis="axisRow" fieldPosition="2"/>
    </format>
    <format dxfId="56">
      <pivotArea field="4" type="button" dataOnly="0" labelOnly="1" outline="0" axis="axisRow" fieldPosition="3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1" type="button" dataOnly="0" labelOnly="1" outline="0" axis="axisRow" fieldPosition="0"/>
    </format>
    <format dxfId="53">
      <pivotArea dataOnly="0" labelOnly="1" outline="0" fieldPosition="0">
        <references count="1">
          <reference field="1" count="1">
            <x v="0"/>
          </reference>
        </references>
      </pivotArea>
    </format>
    <format dxfId="52">
      <pivotArea dataOnly="0" labelOnly="1" outline="0" fieldPosition="0">
        <references count="1">
          <reference field="1" count="1">
            <x v="1"/>
          </reference>
        </references>
      </pivotArea>
    </format>
    <format dxfId="51">
      <pivotArea dataOnly="0" labelOnly="1" outline="0" fieldPosition="0">
        <references count="1">
          <reference field="1" count="1">
            <x v="2"/>
          </reference>
        </references>
      </pivotArea>
    </format>
    <format dxfId="50">
      <pivotArea dataOnly="0" labelOnly="1" outline="0" fieldPosition="0">
        <references count="1">
          <reference field="1" count="1">
            <x v="3"/>
          </reference>
        </references>
      </pivotArea>
    </format>
    <format dxfId="49">
      <pivotArea dataOnly="0" labelOnly="1" outline="0" fieldPosition="0">
        <references count="1">
          <reference field="1" count="1">
            <x v="4"/>
          </reference>
        </references>
      </pivotArea>
    </format>
    <format dxfId="48">
      <pivotArea dataOnly="0" labelOnly="1" outline="0" fieldPosition="0">
        <references count="1">
          <reference field="1" count="1">
            <x v="5"/>
          </reference>
        </references>
      </pivotArea>
    </format>
    <format dxfId="47">
      <pivotArea dataOnly="0" labelOnly="1" outline="0" fieldPosition="0">
        <references count="1">
          <reference field="1" count="1">
            <x v="6"/>
          </reference>
        </references>
      </pivotArea>
    </format>
    <format dxfId="46">
      <pivotArea dataOnly="0" labelOnly="1" outline="0" fieldPosition="0">
        <references count="1">
          <reference field="1" count="1">
            <x v="7"/>
          </reference>
        </references>
      </pivotArea>
    </format>
    <format dxfId="45">
      <pivotArea dataOnly="0" labelOnly="1" outline="0" fieldPosition="0">
        <references count="1">
          <reference field="1" count="1">
            <x v="8"/>
          </reference>
        </references>
      </pivotArea>
    </format>
    <format dxfId="44">
      <pivotArea dataOnly="0" labelOnly="1" outline="0" fieldPosition="0">
        <references count="1">
          <reference field="1" count="1">
            <x v="9"/>
          </reference>
        </references>
      </pivotArea>
    </format>
    <format dxfId="43">
      <pivotArea dataOnly="0" labelOnly="1" outline="0" fieldPosition="0">
        <references count="1">
          <reference field="1" count="1">
            <x v="10"/>
          </reference>
        </references>
      </pivotArea>
    </format>
    <format dxfId="42">
      <pivotArea dataOnly="0" labelOnly="1" outline="0" fieldPosition="0">
        <references count="1">
          <reference field="1" count="1">
            <x v="11"/>
          </reference>
        </references>
      </pivotArea>
    </format>
    <format dxfId="41">
      <pivotArea dataOnly="0" labelOnly="1" outline="0" fieldPosition="0">
        <references count="1">
          <reference field="1" count="1">
            <x v="12"/>
          </reference>
        </references>
      </pivotArea>
    </format>
    <format dxfId="40">
      <pivotArea dataOnly="0" labelOnly="1" outline="0" fieldPosition="0">
        <references count="1">
          <reference field="1" count="1">
            <x v="13"/>
          </reference>
        </references>
      </pivotArea>
    </format>
    <format dxfId="39">
      <pivotArea dataOnly="0" labelOnly="1" outline="0" fieldPosition="0">
        <references count="1">
          <reference field="1" count="1">
            <x v="14"/>
          </reference>
        </references>
      </pivotArea>
    </format>
    <format dxfId="38">
      <pivotArea dataOnly="0" labelOnly="1" outline="0" fieldPosition="0">
        <references count="1">
          <reference field="1" count="1">
            <x v="15"/>
          </reference>
        </references>
      </pivotArea>
    </format>
    <format dxfId="37">
      <pivotArea dataOnly="0" labelOnly="1" outline="0" fieldPosition="0">
        <references count="1">
          <reference field="1" count="1">
            <x v="16"/>
          </reference>
        </references>
      </pivotArea>
    </format>
    <format dxfId="36">
      <pivotArea dataOnly="0" labelOnly="1" outline="0" fieldPosition="0">
        <references count="1">
          <reference field="1" count="1">
            <x v="17"/>
          </reference>
        </references>
      </pivotArea>
    </format>
    <format dxfId="35">
      <pivotArea dataOnly="0" labelOnly="1" outline="0" fieldPosition="0">
        <references count="1">
          <reference field="1" count="1">
            <x v="18"/>
          </reference>
        </references>
      </pivotArea>
    </format>
    <format dxfId="34">
      <pivotArea dataOnly="0" labelOnly="1" outline="0" fieldPosition="0">
        <references count="1">
          <reference field="1" count="1">
            <x v="19"/>
          </reference>
        </references>
      </pivotArea>
    </format>
    <format dxfId="33">
      <pivotArea dataOnly="0" labelOnly="1" outline="0" fieldPosition="0">
        <references count="1">
          <reference field="1" count="1">
            <x v="20"/>
          </reference>
        </references>
      </pivotArea>
    </format>
    <format dxfId="32">
      <pivotArea dataOnly="0" labelOnly="1" outline="0" fieldPosition="0">
        <references count="1">
          <reference field="1" count="1">
            <x v="21"/>
          </reference>
        </references>
      </pivotArea>
    </format>
    <format dxfId="31">
      <pivotArea dataOnly="0" labelOnly="1" outline="0" fieldPosition="0">
        <references count="1">
          <reference field="1" count="1">
            <x v="22"/>
          </reference>
        </references>
      </pivotArea>
    </format>
    <format dxfId="30">
      <pivotArea dataOnly="0" labelOnly="1" outline="0" fieldPosition="0">
        <references count="1">
          <reference field="1" count="1">
            <x v="23"/>
          </reference>
        </references>
      </pivotArea>
    </format>
    <format dxfId="29">
      <pivotArea dataOnly="0" labelOnly="1" outline="0" fieldPosition="0">
        <references count="1">
          <reference field="1" count="1">
            <x v="24"/>
          </reference>
        </references>
      </pivotArea>
    </format>
    <format dxfId="28">
      <pivotArea dataOnly="0" labelOnly="1" outline="0" fieldPosition="0">
        <references count="1">
          <reference field="1" count="1">
            <x v="25"/>
          </reference>
        </references>
      </pivotArea>
    </format>
    <format dxfId="27">
      <pivotArea dataOnly="0" labelOnly="1" outline="0" fieldPosition="0">
        <references count="1">
          <reference field="1" count="1">
            <x v="26"/>
          </reference>
        </references>
      </pivotArea>
    </format>
    <format dxfId="26">
      <pivotArea dataOnly="0" labelOnly="1" outline="0" fieldPosition="0">
        <references count="1">
          <reference field="1" count="1">
            <x v="27"/>
          </reference>
        </references>
      </pivotArea>
    </format>
    <format dxfId="25">
      <pivotArea dataOnly="0" labelOnly="1" outline="0" fieldPosition="0">
        <references count="1">
          <reference field="1" count="1">
            <x v="28"/>
          </reference>
        </references>
      </pivotArea>
    </format>
    <format dxfId="24">
      <pivotArea dataOnly="0" labelOnly="1" outline="0" fieldPosition="0">
        <references count="1">
          <reference field="1" count="1">
            <x v="29"/>
          </reference>
        </references>
      </pivotArea>
    </format>
    <format dxfId="23">
      <pivotArea dataOnly="0" labelOnly="1" outline="0" fieldPosition="0">
        <references count="1">
          <reference field="1" count="1">
            <x v="30"/>
          </reference>
        </references>
      </pivotArea>
    </format>
    <format dxfId="22">
      <pivotArea dataOnly="0" labelOnly="1" outline="0" fieldPosition="0">
        <references count="1">
          <reference field="1" count="1">
            <x v="31"/>
          </reference>
        </references>
      </pivotArea>
    </format>
    <format dxfId="21">
      <pivotArea dataOnly="0" labelOnly="1" outline="0" fieldPosition="0">
        <references count="1">
          <reference field="1" count="1">
            <x v="32"/>
          </reference>
        </references>
      </pivotArea>
    </format>
    <format dxfId="20">
      <pivotArea dataOnly="0" labelOnly="1" outline="0" fieldPosition="0">
        <references count="1">
          <reference field="1" count="1">
            <x v="33"/>
          </reference>
        </references>
      </pivotArea>
    </format>
    <format dxfId="19">
      <pivotArea dataOnly="0" labelOnly="1" outline="0" fieldPosition="0">
        <references count="1">
          <reference field="1" count="1">
            <x v="34"/>
          </reference>
        </references>
      </pivotArea>
    </format>
    <format dxfId="18">
      <pivotArea dataOnly="0" labelOnly="1" outline="0" fieldPosition="0">
        <references count="1">
          <reference field="1" count="1">
            <x v="35"/>
          </reference>
        </references>
      </pivotArea>
    </format>
    <format dxfId="17">
      <pivotArea dataOnly="0" labelOnly="1" outline="0" fieldPosition="0">
        <references count="1">
          <reference field="1" count="1">
            <x v="36"/>
          </reference>
        </references>
      </pivotArea>
    </format>
    <format dxfId="16">
      <pivotArea dataOnly="0" labelOnly="1" outline="0" fieldPosition="0">
        <references count="1">
          <reference field="1" count="1">
            <x v="37"/>
          </reference>
        </references>
      </pivotArea>
    </format>
    <format dxfId="15">
      <pivotArea dataOnly="0" labelOnly="1" outline="0" fieldPosition="0">
        <references count="1">
          <reference field="1" count="1">
            <x v="38"/>
          </reference>
        </references>
      </pivotArea>
    </format>
    <format dxfId="14">
      <pivotArea dataOnly="0" labelOnly="1" outline="0" fieldPosition="0">
        <references count="1">
          <reference field="1" count="1">
            <x v="39"/>
          </reference>
        </references>
      </pivotArea>
    </format>
    <format dxfId="13">
      <pivotArea dataOnly="0" labelOnly="1" outline="0" fieldPosition="0">
        <references count="1">
          <reference field="1" count="1">
            <x v="40"/>
          </reference>
        </references>
      </pivotArea>
    </format>
    <format dxfId="12">
      <pivotArea dataOnly="0" labelOnly="1" outline="0" fieldPosition="0">
        <references count="1">
          <reference field="1" count="1">
            <x v="41"/>
          </reference>
        </references>
      </pivotArea>
    </format>
    <format dxfId="11">
      <pivotArea dataOnly="0" labelOnly="1" outline="0" fieldPosition="0">
        <references count="1">
          <reference field="1" count="1">
            <x v="42"/>
          </reference>
        </references>
      </pivotArea>
    </format>
    <format dxfId="10">
      <pivotArea dataOnly="0" labelOnly="1" outline="0" fieldPosition="0">
        <references count="1">
          <reference field="1" count="1">
            <x v="43"/>
          </reference>
        </references>
      </pivotArea>
    </format>
    <format dxfId="9">
      <pivotArea dataOnly="0" labelOnly="1" outline="0" fieldPosition="0">
        <references count="1">
          <reference field="1" count="1">
            <x v="44"/>
          </reference>
        </references>
      </pivotArea>
    </format>
    <format dxfId="8">
      <pivotArea dataOnly="0" labelOnly="1" outline="0" fieldPosition="0">
        <references count="1">
          <reference field="1" count="1">
            <x v="45"/>
          </reference>
        </references>
      </pivotArea>
    </format>
    <format dxfId="7">
      <pivotArea dataOnly="0" labelOnly="1" outline="0" fieldPosition="0">
        <references count="1">
          <reference field="1" count="1">
            <x v="46"/>
          </reference>
        </references>
      </pivotArea>
    </format>
    <format dxfId="6">
      <pivotArea dataOnly="0" labelOnly="1" outline="0" fieldPosition="0">
        <references count="1">
          <reference field="1" count="1">
            <x v="47"/>
          </reference>
        </references>
      </pivotArea>
    </format>
    <format dxfId="5">
      <pivotArea dataOnly="0" labelOnly="1" outline="0" fieldPosition="0">
        <references count="1">
          <reference field="1" count="1">
            <x v="48"/>
          </reference>
        </references>
      </pivotArea>
    </format>
    <format dxfId="4">
      <pivotArea dataOnly="0" labelOnly="1" outline="0" fieldPosition="0">
        <references count="1">
          <reference field="1" count="1">
            <x v="49"/>
          </reference>
        </references>
      </pivotArea>
    </format>
    <format dxfId="3">
      <pivotArea dataOnly="0" labelOnly="1" outline="0" fieldPosition="0">
        <references count="1">
          <reference field="1" count="1">
            <x v="50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6" totalsRowShown="0" headerRowDxfId="176" dataDxfId="174" headerRowBorderDxfId="175" tableBorderDxfId="173" totalsRowBorderDxfId="172" headerRowCellStyle="DarkHeader">
  <autoFilter ref="C45:J56" xr:uid="{DD504193-DD3B-4BC5-B491-CD13C900E1D0}"/>
  <tableColumns count="8">
    <tableColumn id="1" xr3:uid="{428A065A-E650-48CD-82D8-DCD52C6ADF49}" name="Dataset" dataDxfId="171"/>
    <tableColumn id="2" xr3:uid="{59A978F6-B8DD-476D-83D1-DF4156BF2B65}" name="Field" dataDxfId="170"/>
    <tableColumn id="4" xr3:uid="{F13FAD31-2DAD-46F1-87AA-89BB89F55C7D}" name="Activity" dataDxfId="169"/>
    <tableColumn id="3" xr3:uid="{EEC05A6B-8FC2-4E70-83F0-CD177B8B3640}" name="Rows" dataDxfId="168"/>
    <tableColumn id="5" xr3:uid="{393C3242-A398-4640-8F14-23E67E5E58DD}" name="Columns" dataDxfId="167" dataCellStyle="Comma"/>
    <tableColumn id="6" xr3:uid="{FD0E5439-87A1-4303-9EA2-539C332536D5}" name="Datatype" dataDxfId="166"/>
    <tableColumn id="7" xr3:uid="{8B1A0719-0FD5-40F2-A5A8-CFCFA32E014A}" name="Production Time in Seconds" dataDxfId="165"/>
    <tableColumn id="8" xr3:uid="{B5BE7F10-5FBA-44EF-8324-B95D2ABA2298}" name="% of Production Time" dataDxfId="16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63" dataDxfId="161" headerRowBorderDxfId="162" tableBorderDxfId="160" totalsRowBorderDxfId="159">
  <tableColumns count="3">
    <tableColumn id="1" xr3:uid="{FFACC0FF-000E-4785-9C1A-22F01E7C2644}" name="Production Section" dataDxfId="158" dataCellStyle="DarkHeader"/>
    <tableColumn id="2" xr3:uid="{6A06C42D-D4AD-45CE-A81D-0918B410EAA9}" name="Production Time in Seconds" dataDxfId="157"/>
    <tableColumn id="3" xr3:uid="{2643AF23-A2E5-4438-810D-7531CB2D2E4E}" name="% of Production Time" dataDxfId="156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55" dataDxfId="153" headerRowBorderDxfId="154" tableBorderDxfId="152">
  <tableColumns count="2">
    <tableColumn id="1" xr3:uid="{9623C5AE-E7C2-4493-9B72-08667C9B2C60}" name="Environment Variable" dataDxfId="151" dataCellStyle="DarkHeader"/>
    <tableColumn id="2" xr3:uid="{E5E357AA-48FB-47EA-928A-80845B0CD7C9}" name="Value" dataDxfId="15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49" tableBorderDxfId="148" totalsRowBorderDxfId="147">
  <autoFilter ref="F9:G20" xr:uid="{A6117933-3C15-4FC8-ADF4-0EC66304DEE1}"/>
  <tableColumns count="2">
    <tableColumn id="1" xr3:uid="{EC70458D-5C3D-497C-AA06-AFCBD688FBDA}" name="Input Argument" dataDxfId="146" dataCellStyle="DarkHeader"/>
    <tableColumn id="2" xr3:uid="{FCA8AE27-3D46-4152-9A03-0F3EFBA2366A}" name="Value" dataDxfId="14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44" tableBorderDxfId="143" totalsRowBorderDxfId="142">
  <autoFilter ref="I9:J10" xr:uid="{6AF89CD0-DF40-4046-87D4-2BF660DDE636}"/>
  <tableColumns count="2">
    <tableColumn id="1" xr3:uid="{27FA7240-202E-4FAB-AD4A-DC169AFD6F56}" name="Error Type" dataDxfId="141" dataCellStyle="DarkHeader"/>
    <tableColumn id="2" xr3:uid="{C21354E4-3682-4AA0-B73A-2E689C89258C}" name="Value" dataDxfId="14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K353" totalsRowShown="0" headerRowDxfId="82" dataDxfId="81" headerRowCellStyle="DarkHeader" dataCellStyle="Normal">
  <autoFilter ref="D79:K353" xr:uid="{DB1D1E60-5E37-456A-AD85-0649D531840E}"/>
  <tableColumns count="8">
    <tableColumn id="1" xr3:uid="{57EDF41E-F06D-4819-BADE-3D62DE46F06C}" name="Record List" dataDxfId="79" dataCellStyle="Normal"/>
    <tableColumn id="2" xr3:uid="{CF70C9CE-83FE-40FA-8089-C68B39CF665A}" name="Year" dataDxfId="80" dataCellStyle="Normal"/>
    <tableColumn id="3" xr3:uid="{B8654690-502A-4FAF-9205-0118DABCB954}" name="Country" dataDxfId="84" dataCellStyle="Normal"/>
    <tableColumn id="4" xr3:uid="{5A5BA001-2F93-4E62-880C-C4E8BDB17EEB}" name="Spending_USD" dataDxfId="83" dataCellStyle="Normal"/>
    <tableColumn id="5" xr3:uid="{D005E132-CBD5-4D5B-9686-2F3936E5C03B}" name="Life_Expectancy" dataDxfId="78" dataCellStyle="Normal"/>
    <tableColumn id="6" xr3:uid="{876EB62C-9B1C-489D-9306-D1F163B1A611}" name="index" dataDxfId="77" dataCellStyle="Normal"/>
    <tableColumn id="7" xr3:uid="{6DAAB9BB-AAEF-4E7F-8D4C-5B99266DBE37}" name="HasBlank" dataDxfId="76" dataCellStyle="Normal"/>
    <tableColumn id="8" xr3:uid="{4C1A230E-8007-4464-8E1A-9230667D4F0F}" name="Record Hash" dataDxfId="7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5" totalsRowShown="0" headerRowDxfId="87" dataDxfId="131" headerRowBorderDxfId="132">
  <autoFilter ref="B11:AA15" xr:uid="{034D1C74-BE18-490E-B396-097D407DA97D}"/>
  <tableColumns count="26">
    <tableColumn id="1" xr3:uid="{010A8E62-502A-4B19-B37A-BF59E03A068A}" name="Field" dataDxfId="130"/>
    <tableColumn id="2" xr3:uid="{AD236665-EC7C-404F-8915-AD7CD5510D0F}" name="Definition" dataDxfId="8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8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29"/>
    <tableColumn id="5" xr3:uid="{5006D683-9D12-4B97-9EF2-6D41AF6E0B35}" name="Distinct %" dataDxfId="128"/>
    <tableColumn id="6" xr3:uid="{3AFB42F8-9976-44FF-9239-74914D5BE035}" name="Missing %" dataDxfId="127"/>
    <tableColumn id="7" xr3:uid="{4BA41102-DB06-4180-9754-C88722FE82BD}" name="Memory Usage %" dataDxfId="126"/>
    <tableColumn id="8" xr3:uid="{D22319BD-3A80-40F3-84FC-A6D1627B2F29}" name="Memory Usage" dataDxfId="125"/>
    <tableColumn id="9" xr3:uid="{77FAEE19-B6C7-4056-8EF3-5EB877C820C4}" name="Distinct" dataDxfId="124"/>
    <tableColumn id="10" xr3:uid="{54FF47BF-594E-417B-9028-64A4DFE4D389}" name="Count" dataDxfId="123"/>
    <tableColumn id="11" xr3:uid="{54E587FE-36DC-4522-91DC-8B81B386217B}" name="Count %" dataDxfId="122"/>
    <tableColumn id="12" xr3:uid="{0DE21D83-93B1-480C-BE9C-379DA0E532C7}" name="Missing" dataDxfId="121"/>
    <tableColumn id="13" xr3:uid="{C4B407B9-B7FB-4DFC-A6B3-885C816BAF99}" name="Mean" dataDxfId="120"/>
    <tableColumn id="14" xr3:uid="{9796FD8E-D568-43E1-AC6E-BFAE7C7B7017}" name="Median" dataDxfId="119"/>
    <tableColumn id="15" xr3:uid="{A6A7BCED-DD2F-4B41-A84C-2F2674A38A53}" name="Mode" dataDxfId="118"/>
    <tableColumn id="16" xr3:uid="{46607FA5-244C-49C2-997C-B64EB2E94FDE}" name="Standard Deviation" dataDxfId="117"/>
    <tableColumn id="17" xr3:uid="{80BA1782-4C46-45CE-B3FB-40B70BA09AF9}" name="Variance" dataDxfId="116"/>
    <tableColumn id="18" xr3:uid="{EC3C5A76-EF95-419C-87A8-D8885B542521}" name="Min" dataDxfId="115"/>
    <tableColumn id="19" xr3:uid="{BFE545F8-810C-4F0A-A0B2-FF0AB9764A07}" name="5%" dataDxfId="114"/>
    <tableColumn id="20" xr3:uid="{77D31A9B-57B1-4422-8EF9-6320F00E0DB9}" name="25%" dataDxfId="113"/>
    <tableColumn id="21" xr3:uid="{7A350787-F0EA-4E65-B596-5D7253E75CD6}" name="50%" dataDxfId="112"/>
    <tableColumn id="22" xr3:uid="{FB4C260E-A19F-4908-9DBF-DB4AC630982A}" name="75%" dataDxfId="111"/>
    <tableColumn id="23" xr3:uid="{FBECC9F1-5BC8-4774-9475-EB2D6D28F1E2}" name="95%" dataDxfId="110"/>
    <tableColumn id="24" xr3:uid="{839CD532-ED80-4544-A8C8-E9E036764A84}" name="Max" dataDxfId="109"/>
    <tableColumn id="25" xr3:uid="{9DDA1FD6-82B1-4FBE-8BBD-B40C331930D2}" name="Range" dataDxfId="108"/>
    <tableColumn id="26" xr3:uid="{902A027A-FD65-44D4-B3D0-5B3883ACFA39}" name="IQR" dataDxfId="107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101</v>
      </c>
      <c r="D10" s="95" t="s">
        <v>102</v>
      </c>
      <c r="F10" s="110" t="s">
        <v>124</v>
      </c>
      <c r="G10" s="123" t="s">
        <v>83</v>
      </c>
      <c r="I10" s="115" t="s">
        <v>137</v>
      </c>
      <c r="J10" s="116" t="s">
        <v>138</v>
      </c>
      <c r="L10" s="78"/>
    </row>
    <row r="11" spans="2:12" ht="15" hidden="1" customHeight="1" outlineLevel="1">
      <c r="C11" s="94" t="s">
        <v>103</v>
      </c>
      <c r="D11" s="95" t="s">
        <v>104</v>
      </c>
      <c r="F11" s="111" t="s">
        <v>125</v>
      </c>
      <c r="G11" s="124" t="s">
        <v>126</v>
      </c>
      <c r="I11" s="115"/>
      <c r="J11" s="116"/>
    </row>
    <row r="12" spans="2:12" ht="15" hidden="1" customHeight="1" outlineLevel="1">
      <c r="C12" s="94" t="s">
        <v>105</v>
      </c>
      <c r="D12" s="95">
        <v>16</v>
      </c>
      <c r="F12" s="111" t="s">
        <v>127</v>
      </c>
      <c r="G12" s="124" t="s">
        <v>128</v>
      </c>
      <c r="H12"/>
      <c r="I12"/>
      <c r="J12"/>
      <c r="K12"/>
    </row>
    <row r="13" spans="2:12" ht="15" hidden="1" customHeight="1" outlineLevel="1">
      <c r="C13" s="94" t="s">
        <v>106</v>
      </c>
      <c r="D13" s="95" t="b">
        <v>0</v>
      </c>
      <c r="F13" s="111" t="s">
        <v>129</v>
      </c>
      <c r="G13" s="124" t="s">
        <v>128</v>
      </c>
      <c r="H13"/>
      <c r="I13"/>
      <c r="J13"/>
      <c r="K13"/>
    </row>
    <row r="14" spans="2:12" ht="15" hidden="1" customHeight="1" outlineLevel="1">
      <c r="C14" s="94" t="s">
        <v>107</v>
      </c>
      <c r="D14" s="95" t="b">
        <v>1</v>
      </c>
      <c r="F14" s="111" t="s">
        <v>130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108</v>
      </c>
      <c r="D15" s="95" t="s">
        <v>109</v>
      </c>
      <c r="F15" s="111" t="s">
        <v>131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110</v>
      </c>
      <c r="D16" s="95">
        <v>46177</v>
      </c>
      <c r="F16" s="111" t="s">
        <v>132</v>
      </c>
      <c r="G16" s="124" t="s">
        <v>133</v>
      </c>
      <c r="H16"/>
      <c r="I16"/>
      <c r="J16"/>
      <c r="K16"/>
    </row>
    <row r="17" spans="2:25" ht="15" hidden="1" customHeight="1" outlineLevel="1">
      <c r="C17" s="94" t="s">
        <v>111</v>
      </c>
      <c r="D17" s="95">
        <v>11</v>
      </c>
      <c r="F17" s="111" t="s">
        <v>134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112</v>
      </c>
      <c r="D18" s="95" t="s">
        <v>113</v>
      </c>
      <c r="F18" s="111" t="s">
        <v>135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114</v>
      </c>
      <c r="D19" s="95" t="s">
        <v>115</v>
      </c>
      <c r="F19" s="111" t="s">
        <v>136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116</v>
      </c>
      <c r="D20" s="95" t="s">
        <v>117</v>
      </c>
      <c r="F20" s="125" t="s">
        <v>106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118</v>
      </c>
      <c r="D21" s="95" t="s">
        <v>119</v>
      </c>
      <c r="F21"/>
      <c r="G21"/>
      <c r="H21"/>
      <c r="I21"/>
      <c r="J21"/>
      <c r="K21"/>
    </row>
    <row r="22" spans="2:25" ht="15" hidden="1" customHeight="1" outlineLevel="1">
      <c r="C22" s="94" t="s">
        <v>120</v>
      </c>
      <c r="D22" s="95" t="s">
        <v>121</v>
      </c>
      <c r="F22"/>
      <c r="G22"/>
      <c r="H22"/>
      <c r="I22"/>
      <c r="J22"/>
      <c r="K22"/>
    </row>
    <row r="23" spans="2:25" ht="15" hidden="1" customHeight="1" outlineLevel="1">
      <c r="C23" s="94" t="s">
        <v>122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123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7</v>
      </c>
      <c r="E29" s="97"/>
      <c r="X29" s="83"/>
      <c r="Y29" s="78"/>
    </row>
    <row r="30" spans="2:25" ht="15" customHeight="1">
      <c r="C30" s="99" t="s">
        <v>68</v>
      </c>
      <c r="D30" s="85">
        <v>4</v>
      </c>
      <c r="E30" s="97"/>
      <c r="X30" s="83"/>
    </row>
    <row r="31" spans="2:25" ht="15" customHeight="1">
      <c r="C31" s="99" t="s">
        <v>69</v>
      </c>
      <c r="D31" s="85">
        <v>274</v>
      </c>
      <c r="E31" s="97"/>
      <c r="K31" s="100"/>
      <c r="X31" s="83"/>
    </row>
    <row r="32" spans="2:25" ht="15" customHeight="1">
      <c r="C32" s="99" t="s">
        <v>70</v>
      </c>
      <c r="D32" s="86">
        <v>7.4629650115966797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4.7978489398956299</v>
      </c>
      <c r="E35" s="127">
        <v>0.64288649743406223</v>
      </c>
    </row>
    <row r="36" spans="2:24" ht="15" customHeight="1">
      <c r="C36" s="104" t="s">
        <v>139</v>
      </c>
      <c r="D36" s="129">
        <v>5.3948056697845459</v>
      </c>
      <c r="E36" s="127">
        <v>0.72287555628223954</v>
      </c>
      <c r="K36" s="100"/>
    </row>
    <row r="37" spans="2:24" ht="15" customHeight="1">
      <c r="C37" s="104" t="s">
        <v>140</v>
      </c>
      <c r="D37" s="129">
        <v>0.23786139488220215</v>
      </c>
      <c r="E37" s="127">
        <v>3.187217458203797E-2</v>
      </c>
      <c r="K37" s="100"/>
    </row>
    <row r="38" spans="2:24" ht="15" customHeight="1">
      <c r="C38" s="104" t="s">
        <v>141</v>
      </c>
      <c r="D38" s="129">
        <v>0.22036647796630859</v>
      </c>
      <c r="E38" s="127">
        <v>2.9527947825452466E-2</v>
      </c>
      <c r="K38" s="100"/>
    </row>
    <row r="39" spans="2:24" ht="15" customHeight="1">
      <c r="C39" s="104" t="s">
        <v>75</v>
      </c>
      <c r="D39" s="129">
        <v>0.24994754791259766</v>
      </c>
      <c r="E39" s="127">
        <v>3.3491655454925155E-2</v>
      </c>
      <c r="N39" s="79"/>
    </row>
    <row r="40" spans="2:24" ht="15" customHeight="1">
      <c r="C40" s="104" t="s">
        <v>76</v>
      </c>
      <c r="D40" s="129">
        <v>1.0435259342193604</v>
      </c>
      <c r="E40" s="127">
        <v>0.13982698105674121</v>
      </c>
    </row>
    <row r="41" spans="2:24" ht="15" customHeight="1">
      <c r="C41" s="105" t="s">
        <v>142</v>
      </c>
      <c r="D41" s="130">
        <v>0.27695322036743164</v>
      </c>
      <c r="E41" s="128">
        <v>3.7110273379923321E-2</v>
      </c>
    </row>
    <row r="42" spans="2:24" ht="15" customHeight="1">
      <c r="C42" s="169" t="s">
        <v>77</v>
      </c>
      <c r="D42" s="130">
        <v>3.9496421813964844E-2</v>
      </c>
      <c r="E42" s="128">
        <v>5.2923125757499377E-3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143</v>
      </c>
      <c r="F46" s="113">
        <v>274</v>
      </c>
      <c r="G46" s="109">
        <v>4</v>
      </c>
      <c r="H46" s="108" t="s">
        <v>91</v>
      </c>
      <c r="I46" s="131">
        <v>4.0723323822021484E-2</v>
      </c>
      <c r="J46" s="127">
        <v>5.4567109852320644E-3</v>
      </c>
    </row>
    <row r="47" spans="2:24" ht="15" customHeight="1">
      <c r="C47" s="117" t="s">
        <v>83</v>
      </c>
      <c r="D47" s="118" t="s">
        <v>85</v>
      </c>
      <c r="E47" s="118" t="s">
        <v>143</v>
      </c>
      <c r="F47" s="113">
        <v>274</v>
      </c>
      <c r="G47" s="109">
        <v>4</v>
      </c>
      <c r="H47" s="108" t="s">
        <v>92</v>
      </c>
      <c r="I47" s="131">
        <v>5.9917449951171875E-2</v>
      </c>
      <c r="J47" s="127">
        <v>8.0286228301151043E-3</v>
      </c>
    </row>
    <row r="48" spans="2:24" ht="15" customHeight="1">
      <c r="C48" s="117" t="s">
        <v>83</v>
      </c>
      <c r="D48" s="118" t="s">
        <v>86</v>
      </c>
      <c r="E48" s="118" t="s">
        <v>143</v>
      </c>
      <c r="F48" s="113">
        <v>274</v>
      </c>
      <c r="G48" s="109">
        <v>4</v>
      </c>
      <c r="H48" s="108" t="s">
        <v>93</v>
      </c>
      <c r="I48" s="131">
        <v>6.099247932434082E-2</v>
      </c>
      <c r="J48" s="127">
        <v>8.1726711061265531E-3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143</v>
      </c>
      <c r="F49" s="171">
        <v>274</v>
      </c>
      <c r="G49" s="109">
        <v>4</v>
      </c>
      <c r="H49" s="113" t="s">
        <v>93</v>
      </c>
      <c r="I49" s="131">
        <v>6.4845085144042969E-2</v>
      </c>
      <c r="J49" s="172">
        <v>8.6889000021276586E-3</v>
      </c>
      <c r="K49"/>
    </row>
    <row r="50" spans="1:11" ht="15" customHeight="1">
      <c r="A50"/>
      <c r="B50"/>
      <c r="C50" s="170" t="s">
        <v>83</v>
      </c>
      <c r="D50" s="170" t="s">
        <v>84</v>
      </c>
      <c r="E50" s="117" t="s">
        <v>144</v>
      </c>
      <c r="F50" s="171">
        <v>274</v>
      </c>
      <c r="G50" s="109">
        <v>4</v>
      </c>
      <c r="H50" s="113" t="s">
        <v>91</v>
      </c>
      <c r="I50" s="131">
        <v>0.14755010604858398</v>
      </c>
      <c r="J50" s="172">
        <v>1.9770937364205987E-2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145</v>
      </c>
      <c r="F51" s="171">
        <v>274</v>
      </c>
      <c r="G51" s="109">
        <v>4</v>
      </c>
      <c r="H51" s="113" t="s">
        <v>91</v>
      </c>
      <c r="I51" s="131">
        <v>0.11777234077453613</v>
      </c>
      <c r="J51" s="172">
        <v>1.5780873596407848E-2</v>
      </c>
      <c r="K51"/>
    </row>
    <row r="52" spans="1:11" ht="15" customHeight="1">
      <c r="A52"/>
      <c r="B52"/>
      <c r="C52" s="170" t="s">
        <v>83</v>
      </c>
      <c r="D52" s="170" t="s">
        <v>85</v>
      </c>
      <c r="E52" s="117" t="s">
        <v>144</v>
      </c>
      <c r="F52" s="171">
        <v>274</v>
      </c>
      <c r="G52" s="109">
        <v>4</v>
      </c>
      <c r="H52" s="113" t="s">
        <v>92</v>
      </c>
      <c r="I52" s="131">
        <v>0.1599881649017334</v>
      </c>
      <c r="J52" s="172">
        <v>2.1437571764569976E-2</v>
      </c>
      <c r="K52"/>
    </row>
    <row r="53" spans="1:11" ht="15" customHeight="1">
      <c r="A53"/>
      <c r="B53"/>
      <c r="C53" s="170" t="s">
        <v>83</v>
      </c>
      <c r="D53" s="170" t="s">
        <v>86</v>
      </c>
      <c r="E53" s="117" t="s">
        <v>144</v>
      </c>
      <c r="F53" s="171">
        <v>274</v>
      </c>
      <c r="G53" s="109">
        <v>4</v>
      </c>
      <c r="H53" s="113" t="s">
        <v>93</v>
      </c>
      <c r="I53" s="131">
        <v>0.15948081016540527</v>
      </c>
      <c r="J53" s="172">
        <v>2.1369588901107489E-2</v>
      </c>
      <c r="K53"/>
    </row>
    <row r="54" spans="1:11" ht="15" customHeight="1">
      <c r="A54"/>
      <c r="B54"/>
      <c r="C54" s="170" t="s">
        <v>83</v>
      </c>
      <c r="D54" s="170" t="s">
        <v>86</v>
      </c>
      <c r="E54" s="117" t="s">
        <v>145</v>
      </c>
      <c r="F54" s="171">
        <v>274</v>
      </c>
      <c r="G54" s="109">
        <v>4</v>
      </c>
      <c r="H54" s="113" t="s">
        <v>93</v>
      </c>
      <c r="I54" s="131">
        <v>0.11129379272460938</v>
      </c>
      <c r="J54" s="172">
        <v>1.4912782267053427E-2</v>
      </c>
      <c r="K54"/>
    </row>
    <row r="55" spans="1:11" ht="15" customHeight="1">
      <c r="A55"/>
      <c r="B55"/>
      <c r="C55" s="170" t="s">
        <v>83</v>
      </c>
      <c r="D55" s="170" t="s">
        <v>87</v>
      </c>
      <c r="E55" s="117" t="s">
        <v>144</v>
      </c>
      <c r="F55" s="171">
        <v>274</v>
      </c>
      <c r="G55" s="109">
        <v>4</v>
      </c>
      <c r="H55" s="113" t="s">
        <v>93</v>
      </c>
      <c r="I55" s="131">
        <v>0.1782069206237793</v>
      </c>
      <c r="J55" s="172">
        <v>2.387878911019313E-2</v>
      </c>
      <c r="K55"/>
    </row>
    <row r="56" spans="1:11" ht="15" customHeight="1">
      <c r="A56"/>
      <c r="B56"/>
      <c r="C56" s="173" t="s">
        <v>83</v>
      </c>
      <c r="D56" s="173" t="s">
        <v>87</v>
      </c>
      <c r="E56" s="174" t="s">
        <v>145</v>
      </c>
      <c r="F56" s="175">
        <v>274</v>
      </c>
      <c r="G56" s="176">
        <v>4</v>
      </c>
      <c r="H56" s="177" t="s">
        <v>93</v>
      </c>
      <c r="I56" s="178">
        <v>0.12904262542724609</v>
      </c>
      <c r="J56" s="179">
        <v>1.7291032402204511E-2</v>
      </c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6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5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8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274</v>
      </c>
    </row>
    <row r="10" spans="1:23" ht="15" hidden="1" customHeight="1" outlineLevel="1">
      <c r="B10" s="32"/>
      <c r="C10" s="32"/>
      <c r="D10" s="69" t="s">
        <v>54</v>
      </c>
      <c r="E10" s="37">
        <v>4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90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</row>
    <row r="16" spans="1:23" ht="10.199999999999999" hidden="1" customHeight="1" outlineLevel="1">
      <c r="B16" s="32"/>
      <c r="C16" s="32"/>
    </row>
    <row r="17" spans="1:11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</row>
    <row r="18" spans="1:11" ht="10.199999999999999" hidden="1" customHeight="1" outlineLevel="1"/>
    <row r="19" spans="1:11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35" t="s">
        <v>88</v>
      </c>
      <c r="J19" s="35" t="s">
        <v>39</v>
      </c>
      <c r="K19" s="35" t="s">
        <v>89</v>
      </c>
    </row>
    <row r="20" spans="1:11" ht="10.199999999999999" customHeight="1"/>
    <row r="21" spans="1:11" ht="14.4" outlineLevel="1">
      <c r="B21" s="32"/>
      <c r="C21" s="70" t="s">
        <v>1</v>
      </c>
      <c r="D21" s="2" t="s">
        <v>8</v>
      </c>
    </row>
    <row r="22" spans="1:11" ht="10.199999999999999" customHeight="1" outlineLevel="1">
      <c r="B22" s="32"/>
      <c r="C22" s="32"/>
    </row>
    <row r="23" spans="1:11" ht="15" hidden="1" customHeight="1" outlineLevel="2">
      <c r="B23" s="32"/>
      <c r="C23" s="32"/>
      <c r="D23" s="28" t="s">
        <v>9</v>
      </c>
      <c r="E23" s="18" t="s">
        <v>91</v>
      </c>
      <c r="F23" s="18" t="s">
        <v>92</v>
      </c>
      <c r="G23" s="18" t="s">
        <v>93</v>
      </c>
      <c r="H23" s="18" t="s">
        <v>93</v>
      </c>
    </row>
    <row r="24" spans="1:11" ht="15" hidden="1" customHeight="1" outlineLevel="2">
      <c r="B24" s="32"/>
      <c r="C24" s="32"/>
      <c r="D24" s="3" t="s">
        <v>10</v>
      </c>
      <c r="E24" s="19">
        <v>0.186131386861313</v>
      </c>
      <c r="F24" s="19">
        <v>2.18978102189781E-2</v>
      </c>
      <c r="G24" s="19">
        <v>1</v>
      </c>
      <c r="H24" s="19">
        <v>0.43065693430656898</v>
      </c>
    </row>
    <row r="25" spans="1:11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</row>
    <row r="26" spans="1:11" ht="15" hidden="1" customHeight="1" outlineLevel="2">
      <c r="B26" s="32"/>
      <c r="C26" s="32"/>
      <c r="D26" s="27" t="s">
        <v>12</v>
      </c>
      <c r="E26" s="19">
        <v>0.171437509776317</v>
      </c>
      <c r="F26" s="19">
        <v>0.31424996089472801</v>
      </c>
      <c r="G26" s="19">
        <v>0.171437509776317</v>
      </c>
      <c r="H26" s="19">
        <v>0.171437509776317</v>
      </c>
    </row>
    <row r="27" spans="1:11" ht="15" hidden="1" customHeight="1" outlineLevel="2">
      <c r="B27" s="32"/>
      <c r="C27" s="32"/>
      <c r="D27" s="27" t="s">
        <v>13</v>
      </c>
      <c r="E27" s="20">
        <v>2192</v>
      </c>
      <c r="F27" s="20">
        <v>4018</v>
      </c>
      <c r="G27" s="20">
        <v>2192</v>
      </c>
      <c r="H27" s="20">
        <v>2192</v>
      </c>
    </row>
    <row r="28" spans="1:11" ht="15" hidden="1" customHeight="1" outlineLevel="2">
      <c r="B28" s="32"/>
      <c r="C28" s="32"/>
      <c r="D28" s="27" t="s">
        <v>14</v>
      </c>
      <c r="E28" s="20">
        <v>51</v>
      </c>
      <c r="F28" s="20">
        <v>6</v>
      </c>
      <c r="G28" s="20">
        <v>274</v>
      </c>
      <c r="H28" s="20">
        <v>118</v>
      </c>
    </row>
    <row r="29" spans="1:11" ht="15" hidden="1" customHeight="1" outlineLevel="2">
      <c r="B29" s="32"/>
      <c r="C29" s="32"/>
      <c r="D29" s="28" t="s">
        <v>15</v>
      </c>
      <c r="E29" s="20">
        <v>274</v>
      </c>
      <c r="F29" s="20">
        <v>274</v>
      </c>
      <c r="G29" s="20">
        <v>274</v>
      </c>
      <c r="H29" s="20">
        <v>274</v>
      </c>
    </row>
    <row r="30" spans="1:11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</row>
    <row r="31" spans="1:11" ht="10.199999999999999" hidden="1" customHeight="1" outlineLevel="2">
      <c r="B31" s="32"/>
      <c r="C31" s="32"/>
    </row>
    <row r="32" spans="1:11" ht="150" hidden="1" customHeight="1" outlineLevel="2"/>
    <row r="33" spans="2:8" ht="10.199999999999999" hidden="1" customHeight="1" outlineLevel="2"/>
    <row r="34" spans="2:8" ht="14.4" outlineLevel="1" collapsed="1">
      <c r="B34" s="32"/>
      <c r="C34" s="70" t="s">
        <v>1</v>
      </c>
      <c r="D34" s="2" t="s">
        <v>17</v>
      </c>
    </row>
    <row r="35" spans="2:8" ht="10.199999999999999" customHeight="1" outlineLevel="1">
      <c r="B35" s="32"/>
      <c r="C35" s="32"/>
    </row>
    <row r="36" spans="2:8" ht="15" hidden="1" customHeight="1" outlineLevel="2">
      <c r="B36" s="32"/>
      <c r="C36" s="32"/>
      <c r="D36" s="3" t="s">
        <v>18</v>
      </c>
      <c r="E36" s="21">
        <v>1996.99270072992</v>
      </c>
      <c r="F36" s="21"/>
      <c r="G36" s="21">
        <v>2789.33890510948</v>
      </c>
      <c r="H36" s="21">
        <v>77.909489051094795</v>
      </c>
    </row>
    <row r="37" spans="2:8" ht="15" hidden="1" customHeight="1" outlineLevel="2">
      <c r="B37" s="32"/>
      <c r="C37" s="32"/>
      <c r="D37" s="27" t="s">
        <v>19</v>
      </c>
      <c r="E37" s="21">
        <v>1998</v>
      </c>
      <c r="F37" s="21"/>
      <c r="G37" s="21">
        <v>2295.578</v>
      </c>
      <c r="H37" s="21">
        <v>78.099999999999994</v>
      </c>
    </row>
    <row r="38" spans="2:8" ht="15" hidden="1" customHeight="1" outlineLevel="2">
      <c r="B38" s="32"/>
      <c r="C38" s="32"/>
      <c r="D38" s="27" t="s">
        <v>20</v>
      </c>
      <c r="E38" s="21">
        <v>1980</v>
      </c>
      <c r="F38" s="21" t="s">
        <v>94</v>
      </c>
      <c r="G38" s="21">
        <v>123.99299999999999</v>
      </c>
      <c r="H38" s="21">
        <v>78.8</v>
      </c>
    </row>
    <row r="39" spans="2:8" ht="15" hidden="1" customHeight="1" outlineLevel="2">
      <c r="B39" s="32"/>
      <c r="C39" s="32"/>
      <c r="D39" s="3" t="s">
        <v>21</v>
      </c>
      <c r="E39" s="21">
        <v>14.180932537192099</v>
      </c>
      <c r="F39" s="21"/>
      <c r="G39" s="21">
        <v>2194.9397848395702</v>
      </c>
      <c r="H39" s="21">
        <v>3.2762634665236301</v>
      </c>
    </row>
    <row r="40" spans="2:8" ht="15" hidden="1" customHeight="1" outlineLevel="2">
      <c r="B40" s="32"/>
      <c r="C40" s="32"/>
      <c r="D40" s="29" t="s">
        <v>22</v>
      </c>
      <c r="E40" s="21">
        <v>201.09884762439501</v>
      </c>
      <c r="F40" s="21"/>
      <c r="G40" s="21">
        <v>4817760.6590715796</v>
      </c>
      <c r="H40" s="21">
        <v>10.7339023020774</v>
      </c>
    </row>
    <row r="41" spans="2:8" ht="10.199999999999999" hidden="1" customHeight="1" outlineLevel="2">
      <c r="B41" s="32"/>
      <c r="C41" s="32"/>
    </row>
    <row r="42" spans="2:8" ht="150" hidden="1" customHeight="1" outlineLevel="2"/>
    <row r="43" spans="2:8" ht="10.199999999999999" hidden="1" customHeight="1" outlineLevel="2"/>
    <row r="44" spans="2:8" ht="14.4" outlineLevel="1" collapsed="1">
      <c r="B44" s="32"/>
      <c r="C44" s="70" t="s">
        <v>1</v>
      </c>
      <c r="D44" s="2" t="s">
        <v>23</v>
      </c>
    </row>
    <row r="45" spans="2:8" ht="9.9" customHeight="1" outlineLevel="1">
      <c r="B45" s="32"/>
      <c r="C45" s="32"/>
    </row>
    <row r="46" spans="2:8" ht="15" hidden="1" customHeight="1" outlineLevel="2">
      <c r="B46" s="32"/>
      <c r="C46" s="32"/>
      <c r="D46" s="3" t="s">
        <v>24</v>
      </c>
      <c r="E46" s="21">
        <v>1970</v>
      </c>
      <c r="F46" s="21"/>
      <c r="G46" s="21">
        <v>123.99299999999999</v>
      </c>
      <c r="H46" s="21">
        <v>70.599999999999994</v>
      </c>
    </row>
    <row r="47" spans="2:8" ht="15" hidden="1" customHeight="1" outlineLevel="2">
      <c r="B47" s="32"/>
      <c r="C47" s="32"/>
      <c r="D47" s="27">
        <v>0.05</v>
      </c>
      <c r="E47" s="21">
        <v>1973</v>
      </c>
      <c r="F47" s="21"/>
      <c r="G47" s="21">
        <v>333.722949999999</v>
      </c>
      <c r="H47" s="21">
        <v>72</v>
      </c>
    </row>
    <row r="48" spans="2:8" ht="15" hidden="1" customHeight="1" outlineLevel="2">
      <c r="B48" s="32"/>
      <c r="C48" s="32"/>
      <c r="D48" s="28">
        <v>0.25</v>
      </c>
      <c r="E48" s="21">
        <v>1985.25</v>
      </c>
      <c r="F48" s="21"/>
      <c r="G48" s="21">
        <v>1038.357</v>
      </c>
      <c r="H48" s="21">
        <v>75.525000000000006</v>
      </c>
    </row>
    <row r="49" spans="1:8" ht="15" hidden="1" customHeight="1" outlineLevel="2">
      <c r="B49" s="32"/>
      <c r="C49" s="32"/>
      <c r="D49" s="3">
        <v>0.5</v>
      </c>
      <c r="E49" s="21">
        <v>1998</v>
      </c>
      <c r="F49" s="21"/>
      <c r="G49" s="21">
        <v>2295.578</v>
      </c>
      <c r="H49" s="21">
        <v>78.099999999999994</v>
      </c>
    </row>
    <row r="50" spans="1:8" ht="15" hidden="1" customHeight="1" outlineLevel="2">
      <c r="B50" s="32"/>
      <c r="C50" s="32"/>
      <c r="D50" s="27">
        <v>0.75</v>
      </c>
      <c r="E50" s="21">
        <v>2009</v>
      </c>
      <c r="F50" s="21"/>
      <c r="G50" s="21">
        <v>4055.61</v>
      </c>
      <c r="H50" s="21">
        <v>80.574999999999903</v>
      </c>
    </row>
    <row r="51" spans="1:8" ht="15" hidden="1" customHeight="1" outlineLevel="2">
      <c r="B51" s="32"/>
      <c r="C51" s="32"/>
      <c r="D51" s="27">
        <v>0.95</v>
      </c>
      <c r="E51" s="21">
        <v>2018</v>
      </c>
      <c r="F51" s="21"/>
      <c r="G51" s="21">
        <v>7018.6184999999896</v>
      </c>
      <c r="H51" s="21">
        <v>82.734999999999999</v>
      </c>
    </row>
    <row r="52" spans="1:8" ht="15" hidden="1" customHeight="1" outlineLevel="2">
      <c r="B52" s="32"/>
      <c r="C52" s="32"/>
      <c r="D52" s="3" t="s">
        <v>25</v>
      </c>
      <c r="E52" s="21">
        <v>2020</v>
      </c>
      <c r="F52" s="21"/>
      <c r="G52" s="21">
        <v>11859.179</v>
      </c>
      <c r="H52" s="21">
        <v>84.7</v>
      </c>
    </row>
    <row r="53" spans="1:8" ht="15" hidden="1" customHeight="1" outlineLevel="2">
      <c r="B53" s="32"/>
      <c r="C53" s="32"/>
      <c r="D53" s="27" t="s">
        <v>26</v>
      </c>
      <c r="E53" s="21">
        <v>50</v>
      </c>
      <c r="F53" s="21"/>
      <c r="G53" s="21">
        <v>11735.186</v>
      </c>
      <c r="H53" s="21">
        <v>14.1</v>
      </c>
    </row>
    <row r="54" spans="1:8" ht="15" hidden="1" customHeight="1" outlineLevel="2">
      <c r="D54" s="3" t="s">
        <v>27</v>
      </c>
      <c r="E54" s="21">
        <v>23.75</v>
      </c>
      <c r="F54" s="21"/>
      <c r="G54" s="21">
        <v>3017.2530000000002</v>
      </c>
      <c r="H54" s="21">
        <v>5.0499999999999803</v>
      </c>
    </row>
    <row r="55" spans="1:8" ht="10.199999999999999" hidden="1" customHeight="1" outlineLevel="2"/>
    <row r="56" spans="1:8" ht="14.4" outlineLevel="1" collapsed="1">
      <c r="A56" s="32"/>
      <c r="B56" s="32"/>
      <c r="C56" s="70" t="s">
        <v>1</v>
      </c>
      <c r="D56" s="2" t="s">
        <v>28</v>
      </c>
    </row>
    <row r="57" spans="1:8" ht="9.9" customHeight="1" outlineLevel="1">
      <c r="A57" s="32"/>
      <c r="B57" s="32"/>
      <c r="C57" s="32"/>
    </row>
    <row r="58" spans="1:8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</row>
    <row r="59" spans="1:8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</row>
    <row r="60" spans="1:8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</row>
    <row r="61" spans="1:8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</row>
    <row r="62" spans="1:8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</row>
    <row r="63" spans="1:8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</row>
    <row r="64" spans="1:8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</row>
    <row r="65" spans="1:11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</row>
    <row r="66" spans="1:11" ht="10.199999999999999" hidden="1" customHeight="1" outlineLevel="2"/>
    <row r="67" spans="1:11" ht="14.4" outlineLevel="1" collapsed="1">
      <c r="A67" s="32"/>
      <c r="B67" s="32"/>
      <c r="C67" s="70" t="s">
        <v>1</v>
      </c>
      <c r="D67" s="2" t="s">
        <v>37</v>
      </c>
    </row>
    <row r="68" spans="1:11" ht="9.9" customHeight="1" outlineLevel="1">
      <c r="A68" s="32"/>
      <c r="B68" s="32"/>
    </row>
    <row r="69" spans="1:11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1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1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1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1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1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1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1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1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1" ht="10.199999999999999" hidden="1" customHeight="1" outlineLevel="1" collapsed="1"/>
    <row r="79" spans="1:11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6" t="s">
        <v>88</v>
      </c>
      <c r="J79" s="156" t="s">
        <v>39</v>
      </c>
      <c r="K79" s="156" t="s">
        <v>89</v>
      </c>
    </row>
    <row r="80" spans="1:11" ht="15" customHeight="1">
      <c r="D80" s="157" t="b">
        <v>0</v>
      </c>
      <c r="E80" s="151">
        <v>1970</v>
      </c>
      <c r="F80" s="151" t="s">
        <v>95</v>
      </c>
      <c r="G80" s="151">
        <v>252.31100000000001</v>
      </c>
      <c r="H80" s="152">
        <v>70.599999999999994</v>
      </c>
      <c r="I80" s="160">
        <v>0</v>
      </c>
      <c r="J80" s="160">
        <v>0</v>
      </c>
      <c r="K80" s="160">
        <v>1.026595927726881E+19</v>
      </c>
    </row>
    <row r="81" spans="4:11" ht="15" customHeight="1">
      <c r="D81" s="157" t="b">
        <v>0</v>
      </c>
      <c r="E81" s="151">
        <v>1970</v>
      </c>
      <c r="F81" s="151" t="s">
        <v>96</v>
      </c>
      <c r="G81" s="151">
        <v>192.143</v>
      </c>
      <c r="H81" s="152">
        <v>72.2</v>
      </c>
      <c r="I81" s="160">
        <v>1</v>
      </c>
      <c r="J81" s="160">
        <v>0</v>
      </c>
      <c r="K81" s="160">
        <v>1.6529780380477876E+19</v>
      </c>
    </row>
    <row r="82" spans="4:11" ht="15" customHeight="1">
      <c r="D82" s="158" t="b">
        <v>0</v>
      </c>
      <c r="E82" s="153">
        <v>1970</v>
      </c>
      <c r="F82" s="151" t="s">
        <v>97</v>
      </c>
      <c r="G82" s="151">
        <v>123.99299999999999</v>
      </c>
      <c r="H82" s="152">
        <v>71.900000000000006</v>
      </c>
      <c r="I82" s="160">
        <v>2</v>
      </c>
      <c r="J82" s="160">
        <v>0</v>
      </c>
      <c r="K82" s="160">
        <v>1.2276914855172651E+19</v>
      </c>
    </row>
    <row r="83" spans="4:11" ht="15" customHeight="1">
      <c r="D83" s="158" t="b">
        <v>0</v>
      </c>
      <c r="E83" s="153">
        <v>1970</v>
      </c>
      <c r="F83" s="151" t="s">
        <v>94</v>
      </c>
      <c r="G83" s="151">
        <v>150.43700000000001</v>
      </c>
      <c r="H83" s="152">
        <v>72</v>
      </c>
      <c r="I83" s="160">
        <v>3</v>
      </c>
      <c r="J83" s="160">
        <v>0</v>
      </c>
      <c r="K83" s="160">
        <v>8.0413937872043479E+18</v>
      </c>
    </row>
    <row r="84" spans="4:11" ht="15" customHeight="1">
      <c r="D84" s="158" t="b">
        <v>0</v>
      </c>
      <c r="E84" s="153">
        <v>1970</v>
      </c>
      <c r="F84" s="151" t="s">
        <v>98</v>
      </c>
      <c r="G84" s="151">
        <v>326.96100000000001</v>
      </c>
      <c r="H84" s="152">
        <v>70.900000000000006</v>
      </c>
      <c r="I84" s="160">
        <v>4</v>
      </c>
      <c r="J84" s="160">
        <v>0</v>
      </c>
      <c r="K84" s="160">
        <v>1.7425737753402431E+19</v>
      </c>
    </row>
    <row r="85" spans="4:11" ht="15" customHeight="1">
      <c r="D85" s="158" t="b">
        <v>0</v>
      </c>
      <c r="E85" s="153">
        <v>1971</v>
      </c>
      <c r="F85" s="151" t="s">
        <v>99</v>
      </c>
      <c r="G85" s="151">
        <v>313.39100000000002</v>
      </c>
      <c r="H85" s="152">
        <v>72.8</v>
      </c>
      <c r="I85" s="160">
        <v>5</v>
      </c>
      <c r="J85" s="160">
        <v>0</v>
      </c>
      <c r="K85" s="160">
        <v>8.7762012114988339E+18</v>
      </c>
    </row>
    <row r="86" spans="4:11" ht="15" customHeight="1">
      <c r="D86" s="158" t="b">
        <v>0</v>
      </c>
      <c r="E86" s="153">
        <v>1971</v>
      </c>
      <c r="F86" s="151" t="s">
        <v>95</v>
      </c>
      <c r="G86" s="151">
        <v>298.25099999999998</v>
      </c>
      <c r="H86" s="152">
        <v>70.8</v>
      </c>
      <c r="I86" s="160">
        <v>6</v>
      </c>
      <c r="J86" s="160">
        <v>0</v>
      </c>
      <c r="K86" s="160">
        <v>1.0577926862264668E+19</v>
      </c>
    </row>
    <row r="87" spans="4:11" ht="15" customHeight="1">
      <c r="D87" s="158" t="b">
        <v>0</v>
      </c>
      <c r="E87" s="153">
        <v>1971</v>
      </c>
      <c r="F87" s="151" t="s">
        <v>97</v>
      </c>
      <c r="G87" s="151">
        <v>134.172</v>
      </c>
      <c r="H87" s="152">
        <v>71.900000000000006</v>
      </c>
      <c r="I87" s="160">
        <v>7</v>
      </c>
      <c r="J87" s="160">
        <v>0</v>
      </c>
      <c r="K87" s="160">
        <v>1.5908323422912905E+19</v>
      </c>
    </row>
    <row r="88" spans="4:11" ht="15" customHeight="1">
      <c r="D88" s="158" t="b">
        <v>0</v>
      </c>
      <c r="E88" s="153">
        <v>1971</v>
      </c>
      <c r="F88" s="151" t="s">
        <v>94</v>
      </c>
      <c r="G88" s="151">
        <v>163.85400000000001</v>
      </c>
      <c r="H88" s="152">
        <v>72.900000000000006</v>
      </c>
      <c r="I88" s="160">
        <v>8</v>
      </c>
      <c r="J88" s="160">
        <v>0</v>
      </c>
      <c r="K88" s="160">
        <v>1.2205021890502912E+18</v>
      </c>
    </row>
    <row r="89" spans="4:11" ht="15" customHeight="1">
      <c r="D89" s="158" t="b">
        <v>0</v>
      </c>
      <c r="E89" s="153">
        <v>1971</v>
      </c>
      <c r="F89" s="151" t="s">
        <v>98</v>
      </c>
      <c r="G89" s="151">
        <v>357.988</v>
      </c>
      <c r="H89" s="152">
        <v>71.2</v>
      </c>
      <c r="I89" s="160">
        <v>9</v>
      </c>
      <c r="J89" s="160">
        <v>0</v>
      </c>
      <c r="K89" s="160">
        <v>1.367207483454065E+19</v>
      </c>
    </row>
    <row r="90" spans="4:11" ht="15" customHeight="1">
      <c r="D90" s="158" t="b">
        <v>0</v>
      </c>
      <c r="E90" s="153">
        <v>1972</v>
      </c>
      <c r="F90" s="151" t="s">
        <v>95</v>
      </c>
      <c r="G90" s="151">
        <v>337.36399999999998</v>
      </c>
      <c r="H90" s="152">
        <v>71</v>
      </c>
      <c r="I90" s="160">
        <v>10</v>
      </c>
      <c r="J90" s="160">
        <v>0</v>
      </c>
      <c r="K90" s="160">
        <v>5.0013804952190341E+18</v>
      </c>
    </row>
    <row r="91" spans="4:11" ht="15" customHeight="1">
      <c r="D91" s="158" t="b">
        <v>0</v>
      </c>
      <c r="E91" s="153">
        <v>1972</v>
      </c>
      <c r="F91" s="151" t="s">
        <v>94</v>
      </c>
      <c r="G91" s="151">
        <v>185.39</v>
      </c>
      <c r="H91" s="152">
        <v>73.2</v>
      </c>
      <c r="I91" s="160">
        <v>11</v>
      </c>
      <c r="J91" s="160">
        <v>0</v>
      </c>
      <c r="K91" s="160">
        <v>1.7374953455969509E+19</v>
      </c>
    </row>
    <row r="92" spans="4:11" ht="15" customHeight="1">
      <c r="D92" s="158" t="b">
        <v>0</v>
      </c>
      <c r="E92" s="153">
        <v>1972</v>
      </c>
      <c r="F92" s="151" t="s">
        <v>98</v>
      </c>
      <c r="G92" s="151">
        <v>397.09699999999998</v>
      </c>
      <c r="H92" s="152">
        <v>71.2</v>
      </c>
      <c r="I92" s="160">
        <v>12</v>
      </c>
      <c r="J92" s="160">
        <v>0</v>
      </c>
      <c r="K92" s="160">
        <v>1.6847745182817714E+19</v>
      </c>
    </row>
    <row r="93" spans="4:11" ht="15" customHeight="1">
      <c r="D93" s="158" t="b">
        <v>0</v>
      </c>
      <c r="E93" s="153">
        <v>1973</v>
      </c>
      <c r="F93" s="151" t="s">
        <v>95</v>
      </c>
      <c r="G93" s="151">
        <v>384.541</v>
      </c>
      <c r="H93" s="152">
        <v>71.3</v>
      </c>
      <c r="I93" s="160">
        <v>13</v>
      </c>
      <c r="J93" s="160">
        <v>0</v>
      </c>
      <c r="K93" s="160">
        <v>1.251897345943955E+19</v>
      </c>
    </row>
    <row r="94" spans="4:11" ht="15" customHeight="1">
      <c r="D94" s="158" t="b">
        <v>0</v>
      </c>
      <c r="E94" s="153">
        <v>1973</v>
      </c>
      <c r="F94" s="151" t="s">
        <v>94</v>
      </c>
      <c r="G94" s="151">
        <v>205.77799999999999</v>
      </c>
      <c r="H94" s="152">
        <v>73.400000000000006</v>
      </c>
      <c r="I94" s="160">
        <v>14</v>
      </c>
      <c r="J94" s="160">
        <v>0</v>
      </c>
      <c r="K94" s="160">
        <v>1.3854349353885417E+19</v>
      </c>
    </row>
    <row r="95" spans="4:11" ht="15" customHeight="1">
      <c r="D95" s="158" t="b">
        <v>0</v>
      </c>
      <c r="E95" s="153">
        <v>1973</v>
      </c>
      <c r="F95" s="151" t="s">
        <v>98</v>
      </c>
      <c r="G95" s="151">
        <v>439.30200000000002</v>
      </c>
      <c r="H95" s="152">
        <v>71.400000000000006</v>
      </c>
      <c r="I95" s="160">
        <v>15</v>
      </c>
      <c r="J95" s="160">
        <v>0</v>
      </c>
      <c r="K95" s="160">
        <v>1.1805826364129469E+18</v>
      </c>
    </row>
    <row r="96" spans="4:11" ht="15" customHeight="1">
      <c r="D96" s="158" t="b">
        <v>0</v>
      </c>
      <c r="E96" s="153">
        <v>1974</v>
      </c>
      <c r="F96" s="151" t="s">
        <v>95</v>
      </c>
      <c r="G96" s="151">
        <v>452.74400000000003</v>
      </c>
      <c r="H96" s="152">
        <v>71.5</v>
      </c>
      <c r="I96" s="160">
        <v>16</v>
      </c>
      <c r="J96" s="160">
        <v>0</v>
      </c>
      <c r="K96" s="160">
        <v>1.7011559798751199E+19</v>
      </c>
    </row>
    <row r="97" spans="4:11" ht="15" customHeight="1">
      <c r="D97" s="158" t="b">
        <v>0</v>
      </c>
      <c r="E97" s="153">
        <v>1974</v>
      </c>
      <c r="F97" s="151" t="s">
        <v>94</v>
      </c>
      <c r="G97" s="151">
        <v>242.018</v>
      </c>
      <c r="H97" s="152">
        <v>73.7</v>
      </c>
      <c r="I97" s="160">
        <v>17</v>
      </c>
      <c r="J97" s="160">
        <v>0</v>
      </c>
      <c r="K97" s="160">
        <v>1.7390919633168036E+19</v>
      </c>
    </row>
    <row r="98" spans="4:11" ht="15" customHeight="1">
      <c r="D98" s="158" t="b">
        <v>0</v>
      </c>
      <c r="E98" s="153">
        <v>1974</v>
      </c>
      <c r="F98" s="151" t="s">
        <v>98</v>
      </c>
      <c r="G98" s="151">
        <v>495.11399999999998</v>
      </c>
      <c r="H98" s="152">
        <v>72</v>
      </c>
      <c r="I98" s="160">
        <v>18</v>
      </c>
      <c r="J98" s="160">
        <v>0</v>
      </c>
      <c r="K98" s="160">
        <v>9.759858746590722E+18</v>
      </c>
    </row>
    <row r="99" spans="4:11" ht="15" customHeight="1">
      <c r="D99" s="158" t="b">
        <v>0</v>
      </c>
      <c r="E99" s="153">
        <v>1975</v>
      </c>
      <c r="F99" s="151" t="s">
        <v>95</v>
      </c>
      <c r="G99" s="151">
        <v>532.48099999999999</v>
      </c>
      <c r="H99" s="152">
        <v>71.400000000000006</v>
      </c>
      <c r="I99" s="160">
        <v>19</v>
      </c>
      <c r="J99" s="160">
        <v>0</v>
      </c>
      <c r="K99" s="160">
        <v>9.9602316448082739E+18</v>
      </c>
    </row>
    <row r="100" spans="4:11" ht="15" customHeight="1">
      <c r="D100" s="158" t="b">
        <v>0</v>
      </c>
      <c r="E100" s="153">
        <v>1975</v>
      </c>
      <c r="F100" s="151" t="s">
        <v>96</v>
      </c>
      <c r="G100" s="151">
        <v>363.61</v>
      </c>
      <c r="H100" s="152">
        <v>73</v>
      </c>
      <c r="I100" s="160">
        <v>20</v>
      </c>
      <c r="J100" s="160">
        <v>0</v>
      </c>
      <c r="K100" s="160">
        <v>1.7830327247370623E+19</v>
      </c>
    </row>
    <row r="101" spans="4:11" ht="15" customHeight="1">
      <c r="D101" s="158" t="b">
        <v>0</v>
      </c>
      <c r="E101" s="153">
        <v>1975</v>
      </c>
      <c r="F101" s="151" t="s">
        <v>94</v>
      </c>
      <c r="G101" s="151">
        <v>284.26900000000001</v>
      </c>
      <c r="H101" s="152">
        <v>74.3</v>
      </c>
      <c r="I101" s="160">
        <v>21</v>
      </c>
      <c r="J101" s="160">
        <v>0</v>
      </c>
      <c r="K101" s="160">
        <v>1.7006050338038368E+19</v>
      </c>
    </row>
    <row r="102" spans="4:11" ht="15" customHeight="1">
      <c r="D102" s="158" t="b">
        <v>0</v>
      </c>
      <c r="E102" s="153">
        <v>1975</v>
      </c>
      <c r="F102" s="151" t="s">
        <v>98</v>
      </c>
      <c r="G102" s="151">
        <v>560.75</v>
      </c>
      <c r="H102" s="152">
        <v>72.7</v>
      </c>
      <c r="I102" s="160">
        <v>22</v>
      </c>
      <c r="J102" s="160">
        <v>0</v>
      </c>
      <c r="K102" s="160">
        <v>5.6737513065557856E+17</v>
      </c>
    </row>
    <row r="103" spans="4:11" ht="15" customHeight="1">
      <c r="D103" s="158" t="b">
        <v>0</v>
      </c>
      <c r="E103" s="153">
        <v>1976</v>
      </c>
      <c r="F103" s="151" t="s">
        <v>99</v>
      </c>
      <c r="G103" s="151">
        <v>543.33699999999999</v>
      </c>
      <c r="H103" s="152">
        <v>73.8</v>
      </c>
      <c r="I103" s="160">
        <v>23</v>
      </c>
      <c r="J103" s="160">
        <v>0</v>
      </c>
      <c r="K103" s="160">
        <v>1.776434489628897E+18</v>
      </c>
    </row>
    <row r="104" spans="4:11" ht="15" customHeight="1">
      <c r="D104" s="158" t="b">
        <v>0</v>
      </c>
      <c r="E104" s="153">
        <v>1976</v>
      </c>
      <c r="F104" s="151" t="s">
        <v>95</v>
      </c>
      <c r="G104" s="151">
        <v>591.09799999999996</v>
      </c>
      <c r="H104" s="152">
        <v>71.8</v>
      </c>
      <c r="I104" s="160">
        <v>24</v>
      </c>
      <c r="J104" s="160">
        <v>0</v>
      </c>
      <c r="K104" s="160">
        <v>9.7108529381958541E+17</v>
      </c>
    </row>
    <row r="105" spans="4:11" ht="15" customHeight="1">
      <c r="D105" s="158" t="b">
        <v>0</v>
      </c>
      <c r="E105" s="153">
        <v>1976</v>
      </c>
      <c r="F105" s="151" t="s">
        <v>94</v>
      </c>
      <c r="G105" s="151">
        <v>303.72500000000002</v>
      </c>
      <c r="H105" s="152">
        <v>74.8</v>
      </c>
      <c r="I105" s="160">
        <v>25</v>
      </c>
      <c r="J105" s="160">
        <v>0</v>
      </c>
      <c r="K105" s="160">
        <v>2.3881868034601103E+18</v>
      </c>
    </row>
    <row r="106" spans="4:11" ht="15" customHeight="1">
      <c r="D106" s="158" t="b">
        <v>0</v>
      </c>
      <c r="E106" s="153">
        <v>1976</v>
      </c>
      <c r="F106" s="151" t="s">
        <v>98</v>
      </c>
      <c r="G106" s="151">
        <v>638.851</v>
      </c>
      <c r="H106" s="152">
        <v>72.900000000000006</v>
      </c>
      <c r="I106" s="160">
        <v>26</v>
      </c>
      <c r="J106" s="160">
        <v>0</v>
      </c>
      <c r="K106" s="160">
        <v>3.5855828007084109E+18</v>
      </c>
    </row>
    <row r="107" spans="4:11" ht="15" customHeight="1">
      <c r="D107" s="158" t="b">
        <v>0</v>
      </c>
      <c r="E107" s="153">
        <v>1977</v>
      </c>
      <c r="F107" s="151" t="s">
        <v>95</v>
      </c>
      <c r="G107" s="151">
        <v>647.35199999999998</v>
      </c>
      <c r="H107" s="152">
        <v>72.5</v>
      </c>
      <c r="I107" s="160">
        <v>27</v>
      </c>
      <c r="J107" s="160">
        <v>0</v>
      </c>
      <c r="K107" s="160">
        <v>5.9893524430433321E+18</v>
      </c>
    </row>
    <row r="108" spans="4:11" ht="15" customHeight="1">
      <c r="D108" s="158" t="b">
        <v>0</v>
      </c>
      <c r="E108" s="153">
        <v>1977</v>
      </c>
      <c r="F108" s="151" t="s">
        <v>94</v>
      </c>
      <c r="G108" s="151">
        <v>340.62799999999999</v>
      </c>
      <c r="H108" s="152">
        <v>75.3</v>
      </c>
      <c r="I108" s="160">
        <v>28</v>
      </c>
      <c r="J108" s="160">
        <v>0</v>
      </c>
      <c r="K108" s="160">
        <v>1.1353058372965708E+19</v>
      </c>
    </row>
    <row r="109" spans="4:11" ht="15" customHeight="1">
      <c r="D109" s="158" t="b">
        <v>0</v>
      </c>
      <c r="E109" s="153">
        <v>1977</v>
      </c>
      <c r="F109" s="151" t="s">
        <v>98</v>
      </c>
      <c r="G109" s="151">
        <v>726.24099999999999</v>
      </c>
      <c r="H109" s="152">
        <v>73.3</v>
      </c>
      <c r="I109" s="160">
        <v>29</v>
      </c>
      <c r="J109" s="160">
        <v>0</v>
      </c>
      <c r="K109" s="160">
        <v>8.7645114014718034E+18</v>
      </c>
    </row>
    <row r="110" spans="4:11" ht="15" customHeight="1">
      <c r="D110" s="158" t="b">
        <v>0</v>
      </c>
      <c r="E110" s="153">
        <v>1978</v>
      </c>
      <c r="F110" s="151" t="s">
        <v>95</v>
      </c>
      <c r="G110" s="151">
        <v>729.45699999999999</v>
      </c>
      <c r="H110" s="152">
        <v>72.400000000000006</v>
      </c>
      <c r="I110" s="160">
        <v>30</v>
      </c>
      <c r="J110" s="160">
        <v>0</v>
      </c>
      <c r="K110" s="160">
        <v>2.0844297069397466E+18</v>
      </c>
    </row>
    <row r="111" spans="4:11" ht="15" customHeight="1">
      <c r="D111" s="158" t="b">
        <v>0</v>
      </c>
      <c r="E111" s="153">
        <v>1978</v>
      </c>
      <c r="F111" s="151" t="s">
        <v>94</v>
      </c>
      <c r="G111" s="151">
        <v>392.577</v>
      </c>
      <c r="H111" s="152">
        <v>75.7</v>
      </c>
      <c r="I111" s="160">
        <v>31</v>
      </c>
      <c r="J111" s="160">
        <v>0</v>
      </c>
      <c r="K111" s="160">
        <v>7.5708313556848118E+18</v>
      </c>
    </row>
    <row r="112" spans="4:11" ht="15" customHeight="1">
      <c r="D112" s="158" t="b">
        <v>0</v>
      </c>
      <c r="E112" s="153">
        <v>1978</v>
      </c>
      <c r="F112" s="151" t="s">
        <v>98</v>
      </c>
      <c r="G112" s="151">
        <v>808.88400000000001</v>
      </c>
      <c r="H112" s="152">
        <v>73.5</v>
      </c>
      <c r="I112" s="160">
        <v>32</v>
      </c>
      <c r="J112" s="160">
        <v>0</v>
      </c>
      <c r="K112" s="160">
        <v>7.1500556930599629E+18</v>
      </c>
    </row>
    <row r="113" spans="4:11" ht="15" customHeight="1">
      <c r="D113" s="158" t="b">
        <v>0</v>
      </c>
      <c r="E113" s="153">
        <v>1979</v>
      </c>
      <c r="F113" s="151" t="s">
        <v>99</v>
      </c>
      <c r="G113" s="151">
        <v>692.26900000000001</v>
      </c>
      <c r="H113" s="152">
        <v>75.099999999999994</v>
      </c>
      <c r="I113" s="160">
        <v>33</v>
      </c>
      <c r="J113" s="160">
        <v>0</v>
      </c>
      <c r="K113" s="160">
        <v>1.3036432810755033E+19</v>
      </c>
    </row>
    <row r="114" spans="4:11" ht="15" customHeight="1">
      <c r="D114" s="158" t="b">
        <v>0</v>
      </c>
      <c r="E114" s="153">
        <v>1979</v>
      </c>
      <c r="F114" s="151" t="s">
        <v>95</v>
      </c>
      <c r="G114" s="151">
        <v>800.70299999999997</v>
      </c>
      <c r="H114" s="152">
        <v>72.8</v>
      </c>
      <c r="I114" s="160">
        <v>34</v>
      </c>
      <c r="J114" s="160">
        <v>0</v>
      </c>
      <c r="K114" s="160">
        <v>9.8338886504763617E+18</v>
      </c>
    </row>
    <row r="115" spans="4:11" ht="15" customHeight="1">
      <c r="D115" s="158" t="b">
        <v>0</v>
      </c>
      <c r="E115" s="153">
        <v>1979</v>
      </c>
      <c r="F115" s="151" t="s">
        <v>94</v>
      </c>
      <c r="G115" s="151">
        <v>452.93099999999998</v>
      </c>
      <c r="H115" s="152">
        <v>76.2</v>
      </c>
      <c r="I115" s="160">
        <v>35</v>
      </c>
      <c r="J115" s="160">
        <v>0</v>
      </c>
      <c r="K115" s="160">
        <v>3.9442980123411446E+18</v>
      </c>
    </row>
    <row r="116" spans="4:11" ht="15" customHeight="1">
      <c r="D116" s="158" t="b">
        <v>0</v>
      </c>
      <c r="E116" s="153">
        <v>1979</v>
      </c>
      <c r="F116" s="151" t="s">
        <v>98</v>
      </c>
      <c r="G116" s="151">
        <v>908.96299999999997</v>
      </c>
      <c r="H116" s="152">
        <v>73.900000000000006</v>
      </c>
      <c r="I116" s="160">
        <v>36</v>
      </c>
      <c r="J116" s="160">
        <v>0</v>
      </c>
      <c r="K116" s="160">
        <v>1.4592317989302585E+19</v>
      </c>
    </row>
    <row r="117" spans="4:11" ht="15" customHeight="1">
      <c r="D117" s="158" t="b">
        <v>0</v>
      </c>
      <c r="E117" s="153">
        <v>1980</v>
      </c>
      <c r="F117" s="151" t="s">
        <v>99</v>
      </c>
      <c r="G117" s="151">
        <v>791.81200000000001</v>
      </c>
      <c r="H117" s="152">
        <v>75.2</v>
      </c>
      <c r="I117" s="160">
        <v>37</v>
      </c>
      <c r="J117" s="160">
        <v>0</v>
      </c>
      <c r="K117" s="160">
        <v>1.3463403786487996E+19</v>
      </c>
    </row>
    <row r="118" spans="4:11" ht="15" customHeight="1">
      <c r="D118" s="158" t="b">
        <v>0</v>
      </c>
      <c r="E118" s="153">
        <v>1980</v>
      </c>
      <c r="F118" s="151" t="s">
        <v>95</v>
      </c>
      <c r="G118" s="151">
        <v>908.16600000000005</v>
      </c>
      <c r="H118" s="152">
        <v>72.900000000000006</v>
      </c>
      <c r="I118" s="160">
        <v>38</v>
      </c>
      <c r="J118" s="160">
        <v>0</v>
      </c>
      <c r="K118" s="160">
        <v>9.0923847873103514E+18</v>
      </c>
    </row>
    <row r="119" spans="4:11" ht="15" customHeight="1">
      <c r="D119" s="158" t="b">
        <v>0</v>
      </c>
      <c r="E119" s="153">
        <v>1980</v>
      </c>
      <c r="F119" s="151" t="s">
        <v>96</v>
      </c>
      <c r="G119" s="151">
        <v>659.82600000000002</v>
      </c>
      <c r="H119" s="152">
        <v>74.3</v>
      </c>
      <c r="I119" s="160">
        <v>39</v>
      </c>
      <c r="J119" s="160">
        <v>0</v>
      </c>
      <c r="K119" s="160">
        <v>3.2208478567754767E+18</v>
      </c>
    </row>
    <row r="120" spans="4:11" ht="15" customHeight="1">
      <c r="D120" s="158" t="b">
        <v>0</v>
      </c>
      <c r="E120" s="153">
        <v>1980</v>
      </c>
      <c r="F120" s="151" t="s">
        <v>97</v>
      </c>
      <c r="G120" s="151">
        <v>385.09899999999999</v>
      </c>
      <c r="H120" s="152">
        <v>73.2</v>
      </c>
      <c r="I120" s="160">
        <v>40</v>
      </c>
      <c r="J120" s="160">
        <v>0</v>
      </c>
      <c r="K120" s="160">
        <v>4.9750408471518669E+18</v>
      </c>
    </row>
    <row r="121" spans="4:11" ht="15" customHeight="1">
      <c r="D121" s="158" t="b">
        <v>0</v>
      </c>
      <c r="E121" s="153">
        <v>1980</v>
      </c>
      <c r="F121" s="151" t="s">
        <v>94</v>
      </c>
      <c r="G121" s="151">
        <v>535.01599999999996</v>
      </c>
      <c r="H121" s="152">
        <v>76.099999999999994</v>
      </c>
      <c r="I121" s="160">
        <v>41</v>
      </c>
      <c r="J121" s="160">
        <v>0</v>
      </c>
      <c r="K121" s="160">
        <v>3.9945887008038764E+18</v>
      </c>
    </row>
    <row r="122" spans="4:11" ht="15" customHeight="1">
      <c r="D122" s="158" t="b">
        <v>0</v>
      </c>
      <c r="E122" s="153">
        <v>1980</v>
      </c>
      <c r="F122" s="151" t="s">
        <v>98</v>
      </c>
      <c r="G122" s="151">
        <v>1036.3</v>
      </c>
      <c r="H122" s="152">
        <v>73.7</v>
      </c>
      <c r="I122" s="160">
        <v>42</v>
      </c>
      <c r="J122" s="160">
        <v>0</v>
      </c>
      <c r="K122" s="160">
        <v>1.2116896492747338E+19</v>
      </c>
    </row>
    <row r="123" spans="4:11" ht="15" customHeight="1">
      <c r="D123" s="158" t="b">
        <v>0</v>
      </c>
      <c r="E123" s="153">
        <v>1981</v>
      </c>
      <c r="F123" s="151" t="s">
        <v>99</v>
      </c>
      <c r="G123" s="151">
        <v>898.80700000000002</v>
      </c>
      <c r="H123" s="152">
        <v>75.5</v>
      </c>
      <c r="I123" s="160">
        <v>43</v>
      </c>
      <c r="J123" s="160">
        <v>0</v>
      </c>
      <c r="K123" s="160">
        <v>1.4398264099696411E+19</v>
      </c>
    </row>
    <row r="124" spans="4:11" ht="15" customHeight="1">
      <c r="D124" s="158" t="b">
        <v>0</v>
      </c>
      <c r="E124" s="153">
        <v>1981</v>
      </c>
      <c r="F124" s="151" t="s">
        <v>95</v>
      </c>
      <c r="G124" s="151">
        <v>1014.713</v>
      </c>
      <c r="H124" s="152">
        <v>73.2</v>
      </c>
      <c r="I124" s="160">
        <v>44</v>
      </c>
      <c r="J124" s="160">
        <v>0</v>
      </c>
      <c r="K124" s="160">
        <v>1.7239334071534188E+18</v>
      </c>
    </row>
    <row r="125" spans="4:11" ht="15" customHeight="1">
      <c r="D125" s="158" t="b">
        <v>0</v>
      </c>
      <c r="E125" s="153">
        <v>1981</v>
      </c>
      <c r="F125" s="151" t="s">
        <v>97</v>
      </c>
      <c r="G125" s="151">
        <v>433.95699999999999</v>
      </c>
      <c r="H125" s="152">
        <v>73.8</v>
      </c>
      <c r="I125" s="160">
        <v>45</v>
      </c>
      <c r="J125" s="160">
        <v>0</v>
      </c>
      <c r="K125" s="160">
        <v>1.7556036535228461E+19</v>
      </c>
    </row>
    <row r="126" spans="4:11" ht="15" customHeight="1">
      <c r="D126" s="158" t="b">
        <v>0</v>
      </c>
      <c r="E126" s="153">
        <v>1981</v>
      </c>
      <c r="F126" s="151" t="s">
        <v>94</v>
      </c>
      <c r="G126" s="151">
        <v>603.96500000000003</v>
      </c>
      <c r="H126" s="152">
        <v>76.5</v>
      </c>
      <c r="I126" s="160">
        <v>46</v>
      </c>
      <c r="J126" s="160">
        <v>0</v>
      </c>
      <c r="K126" s="160">
        <v>1.2886845472729938E+19</v>
      </c>
    </row>
    <row r="127" spans="4:11" ht="15" customHeight="1">
      <c r="D127" s="158" t="b">
        <v>0</v>
      </c>
      <c r="E127" s="153">
        <v>1981</v>
      </c>
      <c r="F127" s="151" t="s">
        <v>98</v>
      </c>
      <c r="G127" s="151">
        <v>1191.537</v>
      </c>
      <c r="H127" s="152">
        <v>74.099999999999994</v>
      </c>
      <c r="I127" s="160">
        <v>47</v>
      </c>
      <c r="J127" s="160">
        <v>0</v>
      </c>
      <c r="K127" s="160">
        <v>1.4249375529378998E+19</v>
      </c>
    </row>
    <row r="128" spans="4:11" ht="15" customHeight="1">
      <c r="D128" s="158" t="b">
        <v>0</v>
      </c>
      <c r="E128" s="153">
        <v>1982</v>
      </c>
      <c r="F128" s="151" t="s">
        <v>99</v>
      </c>
      <c r="G128" s="151">
        <v>996.08600000000001</v>
      </c>
      <c r="H128" s="152">
        <v>75.599999999999994</v>
      </c>
      <c r="I128" s="160">
        <v>48</v>
      </c>
      <c r="J128" s="160">
        <v>0</v>
      </c>
      <c r="K128" s="160">
        <v>9.7464154477640422E+17</v>
      </c>
    </row>
    <row r="129" spans="4:11" ht="15" customHeight="1">
      <c r="D129" s="158" t="b">
        <v>0</v>
      </c>
      <c r="E129" s="153">
        <v>1982</v>
      </c>
      <c r="F129" s="151" t="s">
        <v>95</v>
      </c>
      <c r="G129" s="151">
        <v>1044.528</v>
      </c>
      <c r="H129" s="152">
        <v>73.5</v>
      </c>
      <c r="I129" s="160">
        <v>49</v>
      </c>
      <c r="J129" s="160">
        <v>0</v>
      </c>
      <c r="K129" s="160">
        <v>1.2687792599106214E+19</v>
      </c>
    </row>
    <row r="130" spans="4:11" ht="15" customHeight="1">
      <c r="D130" s="158" t="b">
        <v>0</v>
      </c>
      <c r="E130" s="153">
        <v>1982</v>
      </c>
      <c r="F130" s="151" t="s">
        <v>97</v>
      </c>
      <c r="G130" s="151">
        <v>448.47699999999998</v>
      </c>
      <c r="H130" s="152">
        <v>74.099999999999994</v>
      </c>
      <c r="I130" s="160">
        <v>50</v>
      </c>
      <c r="J130" s="160">
        <v>0</v>
      </c>
      <c r="K130" s="160">
        <v>8.2325834378636984E+18</v>
      </c>
    </row>
    <row r="131" spans="4:11" ht="15" customHeight="1">
      <c r="D131" s="158" t="b">
        <v>0</v>
      </c>
      <c r="E131" s="153">
        <v>1982</v>
      </c>
      <c r="F131" s="151" t="s">
        <v>94</v>
      </c>
      <c r="G131" s="151">
        <v>664.77700000000004</v>
      </c>
      <c r="H131" s="152">
        <v>76.900000000000006</v>
      </c>
      <c r="I131" s="160">
        <v>51</v>
      </c>
      <c r="J131" s="160">
        <v>0</v>
      </c>
      <c r="K131" s="160">
        <v>7.4171380212423045E+18</v>
      </c>
    </row>
    <row r="132" spans="4:11" ht="15" customHeight="1">
      <c r="D132" s="158" t="b">
        <v>0</v>
      </c>
      <c r="E132" s="153">
        <v>1982</v>
      </c>
      <c r="F132" s="151" t="s">
        <v>98</v>
      </c>
      <c r="G132" s="151">
        <v>1329.6690000000001</v>
      </c>
      <c r="H132" s="152">
        <v>74.5</v>
      </c>
      <c r="I132" s="160">
        <v>52</v>
      </c>
      <c r="J132" s="160">
        <v>0</v>
      </c>
      <c r="K132" s="160">
        <v>1.4602268536152695E+19</v>
      </c>
    </row>
    <row r="133" spans="4:11" ht="15" customHeight="1">
      <c r="D133" s="158" t="b">
        <v>0</v>
      </c>
      <c r="E133" s="153">
        <v>1983</v>
      </c>
      <c r="F133" s="151" t="s">
        <v>99</v>
      </c>
      <c r="G133" s="151">
        <v>1066.7460000000001</v>
      </c>
      <c r="H133" s="152">
        <v>75.900000000000006</v>
      </c>
      <c r="I133" s="160">
        <v>53</v>
      </c>
      <c r="J133" s="160">
        <v>0</v>
      </c>
      <c r="K133" s="160">
        <v>1.4827449805350154E+19</v>
      </c>
    </row>
    <row r="134" spans="4:11" ht="15" customHeight="1">
      <c r="D134" s="158" t="b">
        <v>0</v>
      </c>
      <c r="E134" s="153">
        <v>1983</v>
      </c>
      <c r="F134" s="151" t="s">
        <v>95</v>
      </c>
      <c r="G134" s="151">
        <v>1104.5940000000001</v>
      </c>
      <c r="H134" s="152">
        <v>73.8</v>
      </c>
      <c r="I134" s="160">
        <v>54</v>
      </c>
      <c r="J134" s="160">
        <v>0</v>
      </c>
      <c r="K134" s="160">
        <v>1.8837138853270001E+18</v>
      </c>
    </row>
    <row r="135" spans="4:11" ht="15" customHeight="1">
      <c r="D135" s="158" t="b">
        <v>0</v>
      </c>
      <c r="E135" s="153">
        <v>1983</v>
      </c>
      <c r="F135" s="151" t="s">
        <v>97</v>
      </c>
      <c r="G135" s="151">
        <v>501.92399999999998</v>
      </c>
      <c r="H135" s="152">
        <v>74.3</v>
      </c>
      <c r="I135" s="160">
        <v>55</v>
      </c>
      <c r="J135" s="160">
        <v>0</v>
      </c>
      <c r="K135" s="160">
        <v>1.6718773024921401E+19</v>
      </c>
    </row>
    <row r="136" spans="4:11" ht="15" customHeight="1">
      <c r="D136" s="158" t="b">
        <v>0</v>
      </c>
      <c r="E136" s="153">
        <v>1983</v>
      </c>
      <c r="F136" s="151" t="s">
        <v>94</v>
      </c>
      <c r="G136" s="151">
        <v>714.85699999999997</v>
      </c>
      <c r="H136" s="152">
        <v>77</v>
      </c>
      <c r="I136" s="160">
        <v>56</v>
      </c>
      <c r="J136" s="160">
        <v>0</v>
      </c>
      <c r="K136" s="160">
        <v>1.6454383666248292E+19</v>
      </c>
    </row>
    <row r="137" spans="4:11" ht="15" customHeight="1">
      <c r="D137" s="158" t="b">
        <v>0</v>
      </c>
      <c r="E137" s="153">
        <v>1983</v>
      </c>
      <c r="F137" s="151" t="s">
        <v>98</v>
      </c>
      <c r="G137" s="151">
        <v>1451.9449999999999</v>
      </c>
      <c r="H137" s="152">
        <v>74.599999999999994</v>
      </c>
      <c r="I137" s="160">
        <v>57</v>
      </c>
      <c r="J137" s="160">
        <v>0</v>
      </c>
      <c r="K137" s="160">
        <v>1.1905396153120727E+18</v>
      </c>
    </row>
    <row r="138" spans="4:11" ht="15" customHeight="1">
      <c r="D138" s="158" t="b">
        <v>0</v>
      </c>
      <c r="E138" s="153">
        <v>1984</v>
      </c>
      <c r="F138" s="151" t="s">
        <v>99</v>
      </c>
      <c r="G138" s="151">
        <v>1135.02</v>
      </c>
      <c r="H138" s="152">
        <v>76.2</v>
      </c>
      <c r="I138" s="160">
        <v>58</v>
      </c>
      <c r="J138" s="160">
        <v>0</v>
      </c>
      <c r="K138" s="160">
        <v>1.3312292239816698E+19</v>
      </c>
    </row>
    <row r="139" spans="4:11" ht="15" customHeight="1">
      <c r="D139" s="158" t="b">
        <v>0</v>
      </c>
      <c r="E139" s="153">
        <v>1984</v>
      </c>
      <c r="F139" s="151" t="s">
        <v>95</v>
      </c>
      <c r="G139" s="151">
        <v>1196.56</v>
      </c>
      <c r="H139" s="152">
        <v>74.3</v>
      </c>
      <c r="I139" s="160">
        <v>59</v>
      </c>
      <c r="J139" s="160">
        <v>0</v>
      </c>
      <c r="K139" s="160">
        <v>1.7329325740525842E+19</v>
      </c>
    </row>
    <row r="140" spans="4:11" ht="15" customHeight="1">
      <c r="D140" s="158" t="b">
        <v>0</v>
      </c>
      <c r="E140" s="153">
        <v>1984</v>
      </c>
      <c r="F140" s="151" t="s">
        <v>97</v>
      </c>
      <c r="G140" s="151">
        <v>521.52200000000005</v>
      </c>
      <c r="H140" s="152">
        <v>74.5</v>
      </c>
      <c r="I140" s="160">
        <v>60</v>
      </c>
      <c r="J140" s="160">
        <v>0</v>
      </c>
      <c r="K140" s="160">
        <v>1.7099127146130315E+19</v>
      </c>
    </row>
    <row r="141" spans="4:11" ht="15" customHeight="1">
      <c r="D141" s="158" t="b">
        <v>0</v>
      </c>
      <c r="E141" s="153">
        <v>1984</v>
      </c>
      <c r="F141" s="151" t="s">
        <v>94</v>
      </c>
      <c r="G141" s="151">
        <v>745.98099999999999</v>
      </c>
      <c r="H141" s="152">
        <v>77.400000000000006</v>
      </c>
      <c r="I141" s="160">
        <v>61</v>
      </c>
      <c r="J141" s="160">
        <v>0</v>
      </c>
      <c r="K141" s="160">
        <v>5.5089462132819538E+18</v>
      </c>
    </row>
    <row r="142" spans="4:11" ht="15" customHeight="1">
      <c r="D142" s="158" t="b">
        <v>0</v>
      </c>
      <c r="E142" s="153">
        <v>1984</v>
      </c>
      <c r="F142" s="151" t="s">
        <v>98</v>
      </c>
      <c r="G142" s="151">
        <v>1590.6669999999999</v>
      </c>
      <c r="H142" s="152">
        <v>74.7</v>
      </c>
      <c r="I142" s="160">
        <v>62</v>
      </c>
      <c r="J142" s="160">
        <v>0</v>
      </c>
      <c r="K142" s="160">
        <v>4.1487186946386181E+18</v>
      </c>
    </row>
    <row r="143" spans="4:11" ht="15" customHeight="1">
      <c r="D143" s="158" t="b">
        <v>0</v>
      </c>
      <c r="E143" s="153">
        <v>1985</v>
      </c>
      <c r="F143" s="151" t="s">
        <v>99</v>
      </c>
      <c r="G143" s="151">
        <v>1212.8499999999999</v>
      </c>
      <c r="H143" s="152">
        <v>76.3</v>
      </c>
      <c r="I143" s="160">
        <v>63</v>
      </c>
      <c r="J143" s="160">
        <v>0</v>
      </c>
      <c r="K143" s="160">
        <v>4.6480569844984125E+18</v>
      </c>
    </row>
    <row r="144" spans="4:11" ht="15" customHeight="1">
      <c r="D144" s="158" t="b">
        <v>0</v>
      </c>
      <c r="E144" s="153">
        <v>1985</v>
      </c>
      <c r="F144" s="151" t="s">
        <v>95</v>
      </c>
      <c r="G144" s="151">
        <v>1298.5550000000001</v>
      </c>
      <c r="H144" s="152">
        <v>75</v>
      </c>
      <c r="I144" s="160">
        <v>64</v>
      </c>
      <c r="J144" s="160">
        <v>0</v>
      </c>
      <c r="K144" s="160">
        <v>1.3431594382212887E+19</v>
      </c>
    </row>
    <row r="145" spans="4:11" ht="15" customHeight="1">
      <c r="D145" s="158" t="b">
        <v>0</v>
      </c>
      <c r="E145" s="153">
        <v>1985</v>
      </c>
      <c r="F145" s="151" t="s">
        <v>96</v>
      </c>
      <c r="G145" s="151">
        <v>1001.145</v>
      </c>
      <c r="H145" s="152">
        <v>75.400000000000006</v>
      </c>
      <c r="I145" s="160">
        <v>65</v>
      </c>
      <c r="J145" s="160">
        <v>0</v>
      </c>
      <c r="K145" s="160">
        <v>4.6472913824260925E+18</v>
      </c>
    </row>
    <row r="146" spans="4:11" ht="15" customHeight="1">
      <c r="D146" s="158" t="b">
        <v>0</v>
      </c>
      <c r="E146" s="153">
        <v>1985</v>
      </c>
      <c r="F146" s="151" t="s">
        <v>97</v>
      </c>
      <c r="G146" s="151">
        <v>549.60799999999995</v>
      </c>
      <c r="H146" s="152">
        <v>74.7</v>
      </c>
      <c r="I146" s="160">
        <v>66</v>
      </c>
      <c r="J146" s="160">
        <v>0</v>
      </c>
      <c r="K146" s="160">
        <v>1.6293403295719358E+19</v>
      </c>
    </row>
    <row r="147" spans="4:11" ht="15" customHeight="1">
      <c r="D147" s="158" t="b">
        <v>0</v>
      </c>
      <c r="E147" s="153">
        <v>1985</v>
      </c>
      <c r="F147" s="151" t="s">
        <v>94</v>
      </c>
      <c r="G147" s="151">
        <v>818.38199999999995</v>
      </c>
      <c r="H147" s="152">
        <v>77.599999999999994</v>
      </c>
      <c r="I147" s="160">
        <v>67</v>
      </c>
      <c r="J147" s="160">
        <v>0</v>
      </c>
      <c r="K147" s="160">
        <v>6.9744540849618463E+18</v>
      </c>
    </row>
    <row r="148" spans="4:11" ht="15" customHeight="1">
      <c r="D148" s="158" t="b">
        <v>0</v>
      </c>
      <c r="E148" s="153">
        <v>1985</v>
      </c>
      <c r="F148" s="151" t="s">
        <v>98</v>
      </c>
      <c r="G148" s="151">
        <v>1735.1559999999999</v>
      </c>
      <c r="H148" s="152">
        <v>74.7</v>
      </c>
      <c r="I148" s="160">
        <v>68</v>
      </c>
      <c r="J148" s="160">
        <v>0</v>
      </c>
      <c r="K148" s="160">
        <v>1.5999766611375622E+19</v>
      </c>
    </row>
    <row r="149" spans="4:11" ht="15" customHeight="1">
      <c r="D149" s="158" t="b">
        <v>0</v>
      </c>
      <c r="E149" s="153">
        <v>1986</v>
      </c>
      <c r="F149" s="151" t="s">
        <v>99</v>
      </c>
      <c r="G149" s="151">
        <v>1278.816</v>
      </c>
      <c r="H149" s="152">
        <v>76.5</v>
      </c>
      <c r="I149" s="160">
        <v>69</v>
      </c>
      <c r="J149" s="160">
        <v>0</v>
      </c>
      <c r="K149" s="160">
        <v>4.3671930028179277E+18</v>
      </c>
    </row>
    <row r="150" spans="4:11" ht="15" customHeight="1">
      <c r="D150" s="158" t="b">
        <v>0</v>
      </c>
      <c r="E150" s="153">
        <v>1986</v>
      </c>
      <c r="F150" s="151" t="s">
        <v>95</v>
      </c>
      <c r="G150" s="151">
        <v>1386.51</v>
      </c>
      <c r="H150" s="152">
        <v>75.2</v>
      </c>
      <c r="I150" s="160">
        <v>70</v>
      </c>
      <c r="J150" s="160">
        <v>0</v>
      </c>
      <c r="K150" s="160">
        <v>6.5130856257578557E+18</v>
      </c>
    </row>
    <row r="151" spans="4:11" ht="15" customHeight="1">
      <c r="D151" s="158" t="b">
        <v>0</v>
      </c>
      <c r="E151" s="153">
        <v>1986</v>
      </c>
      <c r="F151" s="151" t="s">
        <v>97</v>
      </c>
      <c r="G151" s="151">
        <v>578.61</v>
      </c>
      <c r="H151" s="152">
        <v>74.8</v>
      </c>
      <c r="I151" s="160">
        <v>71</v>
      </c>
      <c r="J151" s="160">
        <v>0</v>
      </c>
      <c r="K151" s="160">
        <v>1.6587035458057533E+19</v>
      </c>
    </row>
    <row r="152" spans="4:11" ht="15" customHeight="1">
      <c r="D152" s="158" t="b">
        <v>0</v>
      </c>
      <c r="E152" s="153">
        <v>1986</v>
      </c>
      <c r="F152" s="151" t="s">
        <v>94</v>
      </c>
      <c r="G152" s="151">
        <v>859.85500000000002</v>
      </c>
      <c r="H152" s="152">
        <v>78.099999999999994</v>
      </c>
      <c r="I152" s="160">
        <v>72</v>
      </c>
      <c r="J152" s="160">
        <v>0</v>
      </c>
      <c r="K152" s="160">
        <v>7.0714706947925005E+17</v>
      </c>
    </row>
    <row r="153" spans="4:11" ht="15" customHeight="1">
      <c r="D153" s="158" t="b">
        <v>0</v>
      </c>
      <c r="E153" s="153">
        <v>1986</v>
      </c>
      <c r="F153" s="151" t="s">
        <v>98</v>
      </c>
      <c r="G153" s="151">
        <v>1847.7729999999999</v>
      </c>
      <c r="H153" s="152">
        <v>74.7</v>
      </c>
      <c r="I153" s="160">
        <v>73</v>
      </c>
      <c r="J153" s="160">
        <v>0</v>
      </c>
      <c r="K153" s="160">
        <v>1.6099442157243314E+19</v>
      </c>
    </row>
    <row r="154" spans="4:11" ht="15" customHeight="1">
      <c r="D154" s="158" t="b">
        <v>0</v>
      </c>
      <c r="E154" s="153">
        <v>1987</v>
      </c>
      <c r="F154" s="151" t="s">
        <v>99</v>
      </c>
      <c r="G154" s="151">
        <v>1357.453</v>
      </c>
      <c r="H154" s="152">
        <v>76.7</v>
      </c>
      <c r="I154" s="160">
        <v>74</v>
      </c>
      <c r="J154" s="160">
        <v>0</v>
      </c>
      <c r="K154" s="160">
        <v>3.6249556619397238E+18</v>
      </c>
    </row>
    <row r="155" spans="4:11" ht="15" customHeight="1">
      <c r="D155" s="158" t="b">
        <v>0</v>
      </c>
      <c r="E155" s="153">
        <v>1987</v>
      </c>
      <c r="F155" s="151" t="s">
        <v>95</v>
      </c>
      <c r="G155" s="151">
        <v>1480.096</v>
      </c>
      <c r="H155" s="152">
        <v>75.599999999999994</v>
      </c>
      <c r="I155" s="160">
        <v>75</v>
      </c>
      <c r="J155" s="160">
        <v>0</v>
      </c>
      <c r="K155" s="160">
        <v>3.2296970536080092E+18</v>
      </c>
    </row>
    <row r="156" spans="4:11" ht="15" customHeight="1">
      <c r="D156" s="158" t="b">
        <v>0</v>
      </c>
      <c r="E156" s="153">
        <v>1987</v>
      </c>
      <c r="F156" s="151" t="s">
        <v>97</v>
      </c>
      <c r="G156" s="151">
        <v>634.95600000000002</v>
      </c>
      <c r="H156" s="152">
        <v>75.2</v>
      </c>
      <c r="I156" s="160">
        <v>76</v>
      </c>
      <c r="J156" s="160">
        <v>0</v>
      </c>
      <c r="K156" s="160">
        <v>1.3488773022475657E+19</v>
      </c>
    </row>
    <row r="157" spans="4:11" ht="15" customHeight="1">
      <c r="D157" s="158" t="b">
        <v>0</v>
      </c>
      <c r="E157" s="153">
        <v>1987</v>
      </c>
      <c r="F157" s="151" t="s">
        <v>94</v>
      </c>
      <c r="G157" s="151">
        <v>916.70299999999997</v>
      </c>
      <c r="H157" s="152">
        <v>78.5</v>
      </c>
      <c r="I157" s="160">
        <v>77</v>
      </c>
      <c r="J157" s="160">
        <v>0</v>
      </c>
      <c r="K157" s="160">
        <v>3.9465271745484384E+17</v>
      </c>
    </row>
    <row r="158" spans="4:11" ht="15" customHeight="1">
      <c r="D158" s="158" t="b">
        <v>0</v>
      </c>
      <c r="E158" s="153">
        <v>1987</v>
      </c>
      <c r="F158" s="151" t="s">
        <v>98</v>
      </c>
      <c r="G158" s="151">
        <v>1976.1659999999999</v>
      </c>
      <c r="H158" s="152">
        <v>74.900000000000006</v>
      </c>
      <c r="I158" s="160">
        <v>78</v>
      </c>
      <c r="J158" s="160">
        <v>0</v>
      </c>
      <c r="K158" s="160">
        <v>4.0957033815004621E+17</v>
      </c>
    </row>
    <row r="159" spans="4:11" ht="15" customHeight="1">
      <c r="D159" s="158" t="b">
        <v>0</v>
      </c>
      <c r="E159" s="153">
        <v>1988</v>
      </c>
      <c r="F159" s="151" t="s">
        <v>99</v>
      </c>
      <c r="G159" s="151">
        <v>1461.3</v>
      </c>
      <c r="H159" s="152">
        <v>76.8</v>
      </c>
      <c r="I159" s="160">
        <v>79</v>
      </c>
      <c r="J159" s="160">
        <v>0</v>
      </c>
      <c r="K159" s="160">
        <v>1.3009505119699505E+19</v>
      </c>
    </row>
    <row r="160" spans="4:11" ht="15" customHeight="1">
      <c r="D160" s="158" t="b">
        <v>0</v>
      </c>
      <c r="E160" s="153">
        <v>1988</v>
      </c>
      <c r="F160" s="151" t="s">
        <v>95</v>
      </c>
      <c r="G160" s="151">
        <v>1616.3489999999999</v>
      </c>
      <c r="H160" s="152">
        <v>75.900000000000006</v>
      </c>
      <c r="I160" s="160">
        <v>80</v>
      </c>
      <c r="J160" s="160">
        <v>0</v>
      </c>
      <c r="K160" s="160">
        <v>7.7554372508529562E+18</v>
      </c>
    </row>
    <row r="161" spans="4:11" ht="15" customHeight="1">
      <c r="D161" s="158" t="b">
        <v>0</v>
      </c>
      <c r="E161" s="153">
        <v>1988</v>
      </c>
      <c r="F161" s="151" t="s">
        <v>97</v>
      </c>
      <c r="G161" s="151">
        <v>688.04899999999998</v>
      </c>
      <c r="H161" s="152">
        <v>75.3</v>
      </c>
      <c r="I161" s="160">
        <v>81</v>
      </c>
      <c r="J161" s="160">
        <v>0</v>
      </c>
      <c r="K161" s="160">
        <v>7.9136059041304146E+18</v>
      </c>
    </row>
    <row r="162" spans="4:11" ht="15" customHeight="1">
      <c r="D162" s="158" t="b">
        <v>0</v>
      </c>
      <c r="E162" s="153">
        <v>1988</v>
      </c>
      <c r="F162" s="151" t="s">
        <v>94</v>
      </c>
      <c r="G162" s="151">
        <v>969.25099999999998</v>
      </c>
      <c r="H162" s="152">
        <v>78.400000000000006</v>
      </c>
      <c r="I162" s="160">
        <v>82</v>
      </c>
      <c r="J162" s="160">
        <v>0</v>
      </c>
      <c r="K162" s="160">
        <v>9.7688007995913564E+18</v>
      </c>
    </row>
    <row r="163" spans="4:11" ht="15" customHeight="1">
      <c r="D163" s="158" t="b">
        <v>0</v>
      </c>
      <c r="E163" s="153">
        <v>1988</v>
      </c>
      <c r="F163" s="151" t="s">
        <v>98</v>
      </c>
      <c r="G163" s="151">
        <v>2195.3919999999998</v>
      </c>
      <c r="H163" s="152">
        <v>74.900000000000006</v>
      </c>
      <c r="I163" s="160">
        <v>83</v>
      </c>
      <c r="J163" s="160">
        <v>0</v>
      </c>
      <c r="K163" s="160">
        <v>7.6302234590468649E+18</v>
      </c>
    </row>
    <row r="164" spans="4:11" ht="15" customHeight="1">
      <c r="D164" s="158" t="b">
        <v>0</v>
      </c>
      <c r="E164" s="153">
        <v>1989</v>
      </c>
      <c r="F164" s="151" t="s">
        <v>99</v>
      </c>
      <c r="G164" s="151">
        <v>1579.5429999999999</v>
      </c>
      <c r="H164" s="152">
        <v>77.099999999999994</v>
      </c>
      <c r="I164" s="160">
        <v>84</v>
      </c>
      <c r="J164" s="160">
        <v>0</v>
      </c>
      <c r="K164" s="160">
        <v>1.7008961607213455E+19</v>
      </c>
    </row>
    <row r="165" spans="4:11" ht="15" customHeight="1">
      <c r="D165" s="158" t="b">
        <v>0</v>
      </c>
      <c r="E165" s="153">
        <v>1989</v>
      </c>
      <c r="F165" s="151" t="s">
        <v>95</v>
      </c>
      <c r="G165" s="151">
        <v>1596.16</v>
      </c>
      <c r="H165" s="152">
        <v>76</v>
      </c>
      <c r="I165" s="160">
        <v>85</v>
      </c>
      <c r="J165" s="160">
        <v>0</v>
      </c>
      <c r="K165" s="160">
        <v>1.247577729777945E+19</v>
      </c>
    </row>
    <row r="166" spans="4:11" ht="15" customHeight="1">
      <c r="D166" s="158" t="b">
        <v>0</v>
      </c>
      <c r="E166" s="153">
        <v>1989</v>
      </c>
      <c r="F166" s="151" t="s">
        <v>97</v>
      </c>
      <c r="G166" s="151">
        <v>739.71400000000006</v>
      </c>
      <c r="H166" s="152">
        <v>75.400000000000006</v>
      </c>
      <c r="I166" s="160">
        <v>86</v>
      </c>
      <c r="J166" s="160">
        <v>0</v>
      </c>
      <c r="K166" s="160">
        <v>1.8184463509774291E+19</v>
      </c>
    </row>
    <row r="167" spans="4:11" ht="15" customHeight="1">
      <c r="D167" s="158" t="b">
        <v>0</v>
      </c>
      <c r="E167" s="153">
        <v>1989</v>
      </c>
      <c r="F167" s="151" t="s">
        <v>94</v>
      </c>
      <c r="G167" s="151">
        <v>1021.247</v>
      </c>
      <c r="H167" s="152">
        <v>78.8</v>
      </c>
      <c r="I167" s="160">
        <v>87</v>
      </c>
      <c r="J167" s="160">
        <v>0</v>
      </c>
      <c r="K167" s="160">
        <v>1.3453941876003289E+19</v>
      </c>
    </row>
    <row r="168" spans="4:11" ht="15" customHeight="1">
      <c r="D168" s="158" t="b">
        <v>0</v>
      </c>
      <c r="E168" s="153">
        <v>1989</v>
      </c>
      <c r="F168" s="151" t="s">
        <v>98</v>
      </c>
      <c r="G168" s="151">
        <v>2424.654</v>
      </c>
      <c r="H168" s="152">
        <v>75.099999999999994</v>
      </c>
      <c r="I168" s="160">
        <v>88</v>
      </c>
      <c r="J168" s="160">
        <v>0</v>
      </c>
      <c r="K168" s="160">
        <v>7.9637238101756344E+18</v>
      </c>
    </row>
    <row r="169" spans="4:11" ht="15" customHeight="1">
      <c r="D169" s="158" t="b">
        <v>0</v>
      </c>
      <c r="E169" s="153">
        <v>1990</v>
      </c>
      <c r="F169" s="151" t="s">
        <v>99</v>
      </c>
      <c r="G169" s="151">
        <v>1699.7739999999999</v>
      </c>
      <c r="H169" s="152">
        <v>77.3</v>
      </c>
      <c r="I169" s="160">
        <v>89</v>
      </c>
      <c r="J169" s="160">
        <v>0</v>
      </c>
      <c r="K169" s="160">
        <v>1.9939290812730685E+18</v>
      </c>
    </row>
    <row r="170" spans="4:11" ht="15" customHeight="1">
      <c r="D170" s="158" t="b">
        <v>0</v>
      </c>
      <c r="E170" s="153">
        <v>1990</v>
      </c>
      <c r="F170" s="151" t="s">
        <v>95</v>
      </c>
      <c r="G170" s="151">
        <v>1724.3320000000001</v>
      </c>
      <c r="H170" s="152">
        <v>77.3</v>
      </c>
      <c r="I170" s="160">
        <v>90</v>
      </c>
      <c r="J170" s="160">
        <v>0</v>
      </c>
      <c r="K170" s="160">
        <v>1.2416695268250587E+19</v>
      </c>
    </row>
    <row r="171" spans="4:11" ht="15" customHeight="1">
      <c r="D171" s="158" t="b">
        <v>0</v>
      </c>
      <c r="E171" s="153">
        <v>1990</v>
      </c>
      <c r="F171" s="151" t="s">
        <v>96</v>
      </c>
      <c r="G171" s="151">
        <v>1459.11</v>
      </c>
      <c r="H171" s="152">
        <v>77</v>
      </c>
      <c r="I171" s="160">
        <v>91</v>
      </c>
      <c r="J171" s="160">
        <v>0</v>
      </c>
      <c r="K171" s="160">
        <v>3.5558027195460116E+18</v>
      </c>
    </row>
    <row r="172" spans="4:11" ht="15" customHeight="1">
      <c r="D172" s="158" t="b">
        <v>0</v>
      </c>
      <c r="E172" s="153">
        <v>1990</v>
      </c>
      <c r="F172" s="151" t="s">
        <v>97</v>
      </c>
      <c r="G172" s="151">
        <v>782.61199999999997</v>
      </c>
      <c r="H172" s="152">
        <v>75.7</v>
      </c>
      <c r="I172" s="160">
        <v>92</v>
      </c>
      <c r="J172" s="160">
        <v>0</v>
      </c>
      <c r="K172" s="160">
        <v>1.8366057548506272E+17</v>
      </c>
    </row>
    <row r="173" spans="4:11" ht="15" customHeight="1">
      <c r="D173" s="158" t="b">
        <v>0</v>
      </c>
      <c r="E173" s="153">
        <v>1990</v>
      </c>
      <c r="F173" s="151" t="s">
        <v>94</v>
      </c>
      <c r="G173" s="151">
        <v>1088.9590000000001</v>
      </c>
      <c r="H173" s="152">
        <v>78.900000000000006</v>
      </c>
      <c r="I173" s="160">
        <v>93</v>
      </c>
      <c r="J173" s="160">
        <v>0</v>
      </c>
      <c r="K173" s="160">
        <v>9.4756659001822945E+18</v>
      </c>
    </row>
    <row r="174" spans="4:11" ht="15" customHeight="1">
      <c r="D174" s="158" t="b">
        <v>0</v>
      </c>
      <c r="E174" s="153">
        <v>1990</v>
      </c>
      <c r="F174" s="151" t="s">
        <v>98</v>
      </c>
      <c r="G174" s="151">
        <v>2684.9839999999999</v>
      </c>
      <c r="H174" s="152">
        <v>75.3</v>
      </c>
      <c r="I174" s="160">
        <v>94</v>
      </c>
      <c r="J174" s="160">
        <v>0</v>
      </c>
      <c r="K174" s="160">
        <v>9.6562364879341445E+18</v>
      </c>
    </row>
    <row r="175" spans="4:11" ht="15" customHeight="1">
      <c r="D175" s="158" t="b">
        <v>0</v>
      </c>
      <c r="E175" s="153">
        <v>1991</v>
      </c>
      <c r="F175" s="151" t="s">
        <v>99</v>
      </c>
      <c r="G175" s="151">
        <v>1805.2090000000001</v>
      </c>
      <c r="H175" s="152">
        <v>77.599999999999994</v>
      </c>
      <c r="I175" s="160">
        <v>95</v>
      </c>
      <c r="J175" s="160">
        <v>0</v>
      </c>
      <c r="K175" s="160">
        <v>8.0630730606355661E+18</v>
      </c>
    </row>
    <row r="176" spans="4:11" ht="15" customHeight="1">
      <c r="D176" s="158" t="b">
        <v>0</v>
      </c>
      <c r="E176" s="153">
        <v>1991</v>
      </c>
      <c r="F176" s="151" t="s">
        <v>96</v>
      </c>
      <c r="G176" s="151">
        <v>1558.0329999999999</v>
      </c>
      <c r="H176" s="152">
        <v>77.2</v>
      </c>
      <c r="I176" s="160">
        <v>96</v>
      </c>
      <c r="J176" s="160">
        <v>0</v>
      </c>
      <c r="K176" s="160">
        <v>4.0243032826631265E+18</v>
      </c>
    </row>
    <row r="177" spans="4:11" ht="15" customHeight="1">
      <c r="D177" s="158" t="b">
        <v>0</v>
      </c>
      <c r="E177" s="153">
        <v>1991</v>
      </c>
      <c r="F177" s="151" t="s">
        <v>97</v>
      </c>
      <c r="G177" s="151">
        <v>842.79700000000003</v>
      </c>
      <c r="H177" s="152">
        <v>75.900000000000006</v>
      </c>
      <c r="I177" s="160">
        <v>97</v>
      </c>
      <c r="J177" s="160">
        <v>0</v>
      </c>
      <c r="K177" s="160">
        <v>9.2379852471634272E+16</v>
      </c>
    </row>
    <row r="178" spans="4:11" ht="15" customHeight="1">
      <c r="D178" s="158" t="b">
        <v>0</v>
      </c>
      <c r="E178" s="153">
        <v>1991</v>
      </c>
      <c r="F178" s="151" t="s">
        <v>94</v>
      </c>
      <c r="G178" s="151">
        <v>1166.43</v>
      </c>
      <c r="H178" s="152">
        <v>79.099999999999994</v>
      </c>
      <c r="I178" s="160">
        <v>98</v>
      </c>
      <c r="J178" s="160">
        <v>0</v>
      </c>
      <c r="K178" s="160">
        <v>3.9870189449169517E+17</v>
      </c>
    </row>
    <row r="179" spans="4:11" ht="15" customHeight="1">
      <c r="D179" s="158" t="b">
        <v>0</v>
      </c>
      <c r="E179" s="153">
        <v>1991</v>
      </c>
      <c r="F179" s="151" t="s">
        <v>98</v>
      </c>
      <c r="G179" s="151">
        <v>2901.5889999999999</v>
      </c>
      <c r="H179" s="152">
        <v>75.5</v>
      </c>
      <c r="I179" s="160">
        <v>99</v>
      </c>
      <c r="J179" s="160">
        <v>0</v>
      </c>
      <c r="K179" s="160">
        <v>1.5159987904040278E+19</v>
      </c>
    </row>
    <row r="180" spans="4:11" ht="15" customHeight="1">
      <c r="D180" s="158" t="b">
        <v>0</v>
      </c>
      <c r="E180" s="153">
        <v>1992</v>
      </c>
      <c r="F180" s="151" t="s">
        <v>99</v>
      </c>
      <c r="G180" s="151">
        <v>1897.4559999999999</v>
      </c>
      <c r="H180" s="152">
        <v>77.8</v>
      </c>
      <c r="I180" s="160">
        <v>100</v>
      </c>
      <c r="J180" s="160">
        <v>0</v>
      </c>
      <c r="K180" s="160">
        <v>1.8018986992922884E+19</v>
      </c>
    </row>
    <row r="181" spans="4:11" ht="15" customHeight="1">
      <c r="D181" s="158" t="b">
        <v>0</v>
      </c>
      <c r="E181" s="153">
        <v>1992</v>
      </c>
      <c r="F181" s="151" t="s">
        <v>95</v>
      </c>
      <c r="G181" s="151">
        <v>2019.308</v>
      </c>
      <c r="H181" s="152">
        <v>76.099999999999994</v>
      </c>
      <c r="I181" s="160">
        <v>101</v>
      </c>
      <c r="J181" s="160">
        <v>0</v>
      </c>
      <c r="K181" s="160">
        <v>1.5979802578996369E+19</v>
      </c>
    </row>
    <row r="182" spans="4:11" ht="15" customHeight="1">
      <c r="D182" s="158" t="b">
        <v>0</v>
      </c>
      <c r="E182" s="153">
        <v>1992</v>
      </c>
      <c r="F182" s="151" t="s">
        <v>96</v>
      </c>
      <c r="G182" s="151">
        <v>1651.1389999999999</v>
      </c>
      <c r="H182" s="152">
        <v>77.5</v>
      </c>
      <c r="I182" s="160">
        <v>102</v>
      </c>
      <c r="J182" s="160">
        <v>0</v>
      </c>
      <c r="K182" s="160">
        <v>3.499731637232341E+18</v>
      </c>
    </row>
    <row r="183" spans="4:11" ht="15" customHeight="1">
      <c r="D183" s="158" t="b">
        <v>0</v>
      </c>
      <c r="E183" s="153">
        <v>1992</v>
      </c>
      <c r="F183" s="151" t="s">
        <v>97</v>
      </c>
      <c r="G183" s="151">
        <v>930.70100000000002</v>
      </c>
      <c r="H183" s="152">
        <v>76.3</v>
      </c>
      <c r="I183" s="160">
        <v>103</v>
      </c>
      <c r="J183" s="160">
        <v>0</v>
      </c>
      <c r="K183" s="160">
        <v>9.6627915110510428E+18</v>
      </c>
    </row>
    <row r="184" spans="4:11" ht="15" customHeight="1">
      <c r="D184" s="158" t="b">
        <v>0</v>
      </c>
      <c r="E184" s="153">
        <v>1992</v>
      </c>
      <c r="F184" s="151" t="s">
        <v>94</v>
      </c>
      <c r="G184" s="151">
        <v>1253.415</v>
      </c>
      <c r="H184" s="152">
        <v>79.2</v>
      </c>
      <c r="I184" s="160">
        <v>104</v>
      </c>
      <c r="J184" s="160">
        <v>0</v>
      </c>
      <c r="K184" s="160">
        <v>4.5423538008344407E+18</v>
      </c>
    </row>
    <row r="185" spans="4:11" ht="15" customHeight="1">
      <c r="D185" s="158" t="b">
        <v>0</v>
      </c>
      <c r="E185" s="153">
        <v>1992</v>
      </c>
      <c r="F185" s="151" t="s">
        <v>98</v>
      </c>
      <c r="G185" s="151">
        <v>3100.3429999999998</v>
      </c>
      <c r="H185" s="152">
        <v>75.7</v>
      </c>
      <c r="I185" s="160">
        <v>105</v>
      </c>
      <c r="J185" s="160">
        <v>0</v>
      </c>
      <c r="K185" s="160">
        <v>1.994947247233483E+18</v>
      </c>
    </row>
    <row r="186" spans="4:11" ht="15" customHeight="1">
      <c r="D186" s="158" t="b">
        <v>0</v>
      </c>
      <c r="E186" s="153">
        <v>1993</v>
      </c>
      <c r="F186" s="151" t="s">
        <v>99</v>
      </c>
      <c r="G186" s="151">
        <v>1930.8889999999999</v>
      </c>
      <c r="H186" s="152">
        <v>77.8</v>
      </c>
      <c r="I186" s="160">
        <v>106</v>
      </c>
      <c r="J186" s="160">
        <v>0</v>
      </c>
      <c r="K186" s="160">
        <v>1.1333067867414229E+19</v>
      </c>
    </row>
    <row r="187" spans="4:11" ht="15" customHeight="1">
      <c r="D187" s="158" t="b">
        <v>0</v>
      </c>
      <c r="E187" s="153">
        <v>1993</v>
      </c>
      <c r="F187" s="151" t="s">
        <v>95</v>
      </c>
      <c r="G187" s="151">
        <v>2040.3130000000001</v>
      </c>
      <c r="H187" s="152">
        <v>76.099999999999994</v>
      </c>
      <c r="I187" s="160">
        <v>107</v>
      </c>
      <c r="J187" s="160">
        <v>0</v>
      </c>
      <c r="K187" s="160">
        <v>1.6066026623141345E+18</v>
      </c>
    </row>
    <row r="188" spans="4:11" ht="15" customHeight="1">
      <c r="D188" s="158" t="b">
        <v>0</v>
      </c>
      <c r="E188" s="153">
        <v>1993</v>
      </c>
      <c r="F188" s="151" t="s">
        <v>96</v>
      </c>
      <c r="G188" s="151">
        <v>1753.4849999999999</v>
      </c>
      <c r="H188" s="152">
        <v>77.5</v>
      </c>
      <c r="I188" s="160">
        <v>108</v>
      </c>
      <c r="J188" s="160">
        <v>0</v>
      </c>
      <c r="K188" s="160">
        <v>5.8149373915523707E+18</v>
      </c>
    </row>
    <row r="189" spans="4:11" ht="15" customHeight="1">
      <c r="D189" s="158" t="b">
        <v>0</v>
      </c>
      <c r="E189" s="153">
        <v>1993</v>
      </c>
      <c r="F189" s="151" t="s">
        <v>97</v>
      </c>
      <c r="G189" s="151">
        <v>995.72799999999995</v>
      </c>
      <c r="H189" s="152">
        <v>76.2</v>
      </c>
      <c r="I189" s="160">
        <v>109</v>
      </c>
      <c r="J189" s="160">
        <v>0</v>
      </c>
      <c r="K189" s="160">
        <v>1.0472162285559075E+19</v>
      </c>
    </row>
    <row r="190" spans="4:11" ht="15" customHeight="1">
      <c r="D190" s="158" t="b">
        <v>0</v>
      </c>
      <c r="E190" s="153">
        <v>1993</v>
      </c>
      <c r="F190" s="151" t="s">
        <v>94</v>
      </c>
      <c r="G190" s="151">
        <v>1332.213</v>
      </c>
      <c r="H190" s="152">
        <v>79.400000000000006</v>
      </c>
      <c r="I190" s="160">
        <v>110</v>
      </c>
      <c r="J190" s="160">
        <v>0</v>
      </c>
      <c r="K190" s="160">
        <v>6.3767919126918636E+18</v>
      </c>
    </row>
    <row r="191" spans="4:11" ht="15" customHeight="1">
      <c r="D191" s="158" t="b">
        <v>0</v>
      </c>
      <c r="E191" s="153">
        <v>1993</v>
      </c>
      <c r="F191" s="151" t="s">
        <v>98</v>
      </c>
      <c r="G191" s="151">
        <v>3286.558</v>
      </c>
      <c r="H191" s="152">
        <v>75.5</v>
      </c>
      <c r="I191" s="160">
        <v>111</v>
      </c>
      <c r="J191" s="160">
        <v>0</v>
      </c>
      <c r="K191" s="160">
        <v>1.3092978979638794E+19</v>
      </c>
    </row>
    <row r="192" spans="4:11" ht="15" customHeight="1">
      <c r="D192" s="158" t="b">
        <v>0</v>
      </c>
      <c r="E192" s="153">
        <v>1994</v>
      </c>
      <c r="F192" s="151" t="s">
        <v>99</v>
      </c>
      <c r="G192" s="151">
        <v>1962.1959999999999</v>
      </c>
      <c r="H192" s="152">
        <v>77.900000000000006</v>
      </c>
      <c r="I192" s="160">
        <v>112</v>
      </c>
      <c r="J192" s="160">
        <v>0</v>
      </c>
      <c r="K192" s="160">
        <v>3.0010557824019958E+18</v>
      </c>
    </row>
    <row r="193" spans="4:11" ht="15" customHeight="1">
      <c r="D193" s="158" t="b">
        <v>0</v>
      </c>
      <c r="E193" s="153">
        <v>1994</v>
      </c>
      <c r="F193" s="151" t="s">
        <v>95</v>
      </c>
      <c r="G193" s="151">
        <v>2188.6759999999999</v>
      </c>
      <c r="H193" s="152">
        <v>76.5</v>
      </c>
      <c r="I193" s="160">
        <v>113</v>
      </c>
      <c r="J193" s="160">
        <v>0</v>
      </c>
      <c r="K193" s="160">
        <v>2.6388101034279316E+18</v>
      </c>
    </row>
    <row r="194" spans="4:11" ht="15" customHeight="1">
      <c r="D194" s="158" t="b">
        <v>0</v>
      </c>
      <c r="E194" s="153">
        <v>1994</v>
      </c>
      <c r="F194" s="151" t="s">
        <v>96</v>
      </c>
      <c r="G194" s="151">
        <v>1817.0419999999999</v>
      </c>
      <c r="H194" s="152">
        <v>78</v>
      </c>
      <c r="I194" s="160">
        <v>114</v>
      </c>
      <c r="J194" s="160">
        <v>0</v>
      </c>
      <c r="K194" s="160">
        <v>1.4406298471821201E+19</v>
      </c>
    </row>
    <row r="195" spans="4:11" ht="15" customHeight="1">
      <c r="D195" s="158" t="b">
        <v>0</v>
      </c>
      <c r="E195" s="153">
        <v>1994</v>
      </c>
      <c r="F195" s="151" t="s">
        <v>97</v>
      </c>
      <c r="G195" s="151">
        <v>1058.68</v>
      </c>
      <c r="H195" s="152">
        <v>76.8</v>
      </c>
      <c r="I195" s="160">
        <v>115</v>
      </c>
      <c r="J195" s="160">
        <v>0</v>
      </c>
      <c r="K195" s="160">
        <v>1.6765041173363464E+19</v>
      </c>
    </row>
    <row r="196" spans="4:11" ht="15" customHeight="1">
      <c r="D196" s="158" t="b">
        <v>0</v>
      </c>
      <c r="E196" s="153">
        <v>1994</v>
      </c>
      <c r="F196" s="151" t="s">
        <v>94</v>
      </c>
      <c r="G196" s="151">
        <v>1420.271</v>
      </c>
      <c r="H196" s="152">
        <v>79.8</v>
      </c>
      <c r="I196" s="160">
        <v>116</v>
      </c>
      <c r="J196" s="160">
        <v>0</v>
      </c>
      <c r="K196" s="160">
        <v>8.7987858747071119E+18</v>
      </c>
    </row>
    <row r="197" spans="4:11" ht="15" customHeight="1">
      <c r="D197" s="158" t="b">
        <v>0</v>
      </c>
      <c r="E197" s="153">
        <v>1994</v>
      </c>
      <c r="F197" s="151" t="s">
        <v>98</v>
      </c>
      <c r="G197" s="151">
        <v>3432.1010000000001</v>
      </c>
      <c r="H197" s="152">
        <v>75.7</v>
      </c>
      <c r="I197" s="160">
        <v>117</v>
      </c>
      <c r="J197" s="160">
        <v>0</v>
      </c>
      <c r="K197" s="160">
        <v>4.6824025405568696E+18</v>
      </c>
    </row>
    <row r="198" spans="4:11" ht="15" customHeight="1">
      <c r="D198" s="158" t="b">
        <v>0</v>
      </c>
      <c r="E198" s="153">
        <v>1995</v>
      </c>
      <c r="F198" s="151" t="s">
        <v>99</v>
      </c>
      <c r="G198" s="151">
        <v>1984.944</v>
      </c>
      <c r="H198" s="152">
        <v>78</v>
      </c>
      <c r="I198" s="160">
        <v>118</v>
      </c>
      <c r="J198" s="160">
        <v>0</v>
      </c>
      <c r="K198" s="160">
        <v>1.1549237510518094E+19</v>
      </c>
    </row>
    <row r="199" spans="4:11" ht="15" customHeight="1">
      <c r="D199" s="158" t="b">
        <v>0</v>
      </c>
      <c r="E199" s="153">
        <v>1995</v>
      </c>
      <c r="F199" s="151" t="s">
        <v>95</v>
      </c>
      <c r="G199" s="151">
        <v>2349.145</v>
      </c>
      <c r="H199" s="152">
        <v>76.599999999999994</v>
      </c>
      <c r="I199" s="160">
        <v>119</v>
      </c>
      <c r="J199" s="160">
        <v>0</v>
      </c>
      <c r="K199" s="160">
        <v>1.4689801073375781E+19</v>
      </c>
    </row>
    <row r="200" spans="4:11" ht="15" customHeight="1">
      <c r="D200" s="158" t="b">
        <v>0</v>
      </c>
      <c r="E200" s="153">
        <v>1995</v>
      </c>
      <c r="F200" s="151" t="s">
        <v>96</v>
      </c>
      <c r="G200" s="151">
        <v>2100.9180000000001</v>
      </c>
      <c r="H200" s="152">
        <v>78.099999999999994</v>
      </c>
      <c r="I200" s="160">
        <v>120</v>
      </c>
      <c r="J200" s="160">
        <v>0</v>
      </c>
      <c r="K200" s="160">
        <v>9.6279124056783811E+18</v>
      </c>
    </row>
    <row r="201" spans="4:11" ht="15" customHeight="1">
      <c r="D201" s="158" t="b">
        <v>0</v>
      </c>
      <c r="E201" s="153">
        <v>1995</v>
      </c>
      <c r="F201" s="151" t="s">
        <v>97</v>
      </c>
      <c r="G201" s="151">
        <v>1094.0340000000001</v>
      </c>
      <c r="H201" s="152">
        <v>76.7</v>
      </c>
      <c r="I201" s="160">
        <v>121</v>
      </c>
      <c r="J201" s="160">
        <v>0</v>
      </c>
      <c r="K201" s="160">
        <v>1.2636543796483015E+19</v>
      </c>
    </row>
    <row r="202" spans="4:11" ht="15" customHeight="1">
      <c r="D202" s="158" t="b">
        <v>0</v>
      </c>
      <c r="E202" s="153">
        <v>1995</v>
      </c>
      <c r="F202" s="151" t="s">
        <v>94</v>
      </c>
      <c r="G202" s="151">
        <v>1413.4449999999999</v>
      </c>
      <c r="H202" s="152">
        <v>79.599999999999994</v>
      </c>
      <c r="I202" s="160">
        <v>122</v>
      </c>
      <c r="J202" s="160">
        <v>0</v>
      </c>
      <c r="K202" s="160">
        <v>4.3337448507282729E+18</v>
      </c>
    </row>
    <row r="203" spans="4:11" ht="15" customHeight="1">
      <c r="D203" s="158" t="b">
        <v>0</v>
      </c>
      <c r="E203" s="153">
        <v>1995</v>
      </c>
      <c r="F203" s="151" t="s">
        <v>98</v>
      </c>
      <c r="G203" s="151">
        <v>3586.7449999999999</v>
      </c>
      <c r="H203" s="152">
        <v>75.7</v>
      </c>
      <c r="I203" s="160">
        <v>123</v>
      </c>
      <c r="J203" s="160">
        <v>0</v>
      </c>
      <c r="K203" s="160">
        <v>9.9272500637227725E+18</v>
      </c>
    </row>
    <row r="204" spans="4:11" ht="15" customHeight="1">
      <c r="D204" s="158" t="b">
        <v>0</v>
      </c>
      <c r="E204" s="153">
        <v>1996</v>
      </c>
      <c r="F204" s="151" t="s">
        <v>99</v>
      </c>
      <c r="G204" s="151">
        <v>1999.778</v>
      </c>
      <c r="H204" s="152">
        <v>78.2</v>
      </c>
      <c r="I204" s="160">
        <v>124</v>
      </c>
      <c r="J204" s="160">
        <v>0</v>
      </c>
      <c r="K204" s="160">
        <v>1.2160719416911884E+19</v>
      </c>
    </row>
    <row r="205" spans="4:11" ht="15" customHeight="1">
      <c r="D205" s="158" t="b">
        <v>0</v>
      </c>
      <c r="E205" s="153">
        <v>1996</v>
      </c>
      <c r="F205" s="151" t="s">
        <v>95</v>
      </c>
      <c r="G205" s="151">
        <v>2480.2170000000001</v>
      </c>
      <c r="H205" s="152">
        <v>76.900000000000006</v>
      </c>
      <c r="I205" s="160">
        <v>125</v>
      </c>
      <c r="J205" s="160">
        <v>0</v>
      </c>
      <c r="K205" s="160">
        <v>1.4668874904096651E+19</v>
      </c>
    </row>
    <row r="206" spans="4:11" ht="15" customHeight="1">
      <c r="D206" s="158" t="b">
        <v>0</v>
      </c>
      <c r="E206" s="153">
        <v>1996</v>
      </c>
      <c r="F206" s="151" t="s">
        <v>96</v>
      </c>
      <c r="G206" s="151">
        <v>2169.451</v>
      </c>
      <c r="H206" s="152">
        <v>78.2</v>
      </c>
      <c r="I206" s="160">
        <v>126</v>
      </c>
      <c r="J206" s="160">
        <v>0</v>
      </c>
      <c r="K206" s="160">
        <v>1.2313434312311296E+19</v>
      </c>
    </row>
    <row r="207" spans="4:11" ht="15" customHeight="1">
      <c r="D207" s="158" t="b">
        <v>0</v>
      </c>
      <c r="E207" s="153">
        <v>1996</v>
      </c>
      <c r="F207" s="151" t="s">
        <v>97</v>
      </c>
      <c r="G207" s="151">
        <v>1171.5909999999999</v>
      </c>
      <c r="H207" s="152">
        <v>76.900000000000006</v>
      </c>
      <c r="I207" s="160">
        <v>127</v>
      </c>
      <c r="J207" s="160">
        <v>0</v>
      </c>
      <c r="K207" s="160">
        <v>8.4618367558263255E+18</v>
      </c>
    </row>
    <row r="208" spans="4:11" ht="15" customHeight="1">
      <c r="D208" s="158" t="b">
        <v>0</v>
      </c>
      <c r="E208" s="153">
        <v>1996</v>
      </c>
      <c r="F208" s="151" t="s">
        <v>94</v>
      </c>
      <c r="G208" s="151">
        <v>1436.3720000000001</v>
      </c>
      <c r="H208" s="152">
        <v>80.3</v>
      </c>
      <c r="I208" s="160">
        <v>128</v>
      </c>
      <c r="J208" s="160">
        <v>0</v>
      </c>
      <c r="K208" s="160">
        <v>1.7081089801546426E+19</v>
      </c>
    </row>
    <row r="209" spans="4:11" ht="15" customHeight="1">
      <c r="D209" s="158" t="b">
        <v>0</v>
      </c>
      <c r="E209" s="153">
        <v>1996</v>
      </c>
      <c r="F209" s="151" t="s">
        <v>98</v>
      </c>
      <c r="G209" s="151">
        <v>4158.9279999999999</v>
      </c>
      <c r="H209" s="152">
        <v>76.099999999999994</v>
      </c>
      <c r="I209" s="160">
        <v>129</v>
      </c>
      <c r="J209" s="160">
        <v>0</v>
      </c>
      <c r="K209" s="160">
        <v>8.550234038155434E+18</v>
      </c>
    </row>
    <row r="210" spans="4:11" ht="15" customHeight="1">
      <c r="D210" s="158" t="b">
        <v>0</v>
      </c>
      <c r="E210" s="153">
        <v>1997</v>
      </c>
      <c r="F210" s="151" t="s">
        <v>99</v>
      </c>
      <c r="G210" s="151">
        <v>2091.9969999999998</v>
      </c>
      <c r="H210" s="152">
        <v>78.3</v>
      </c>
      <c r="I210" s="160">
        <v>130</v>
      </c>
      <c r="J210" s="160">
        <v>0</v>
      </c>
      <c r="K210" s="160">
        <v>1.119316539506994E+19</v>
      </c>
    </row>
    <row r="211" spans="4:11" ht="15" customHeight="1">
      <c r="D211" s="158" t="b">
        <v>0</v>
      </c>
      <c r="E211" s="153">
        <v>1997</v>
      </c>
      <c r="F211" s="151" t="s">
        <v>95</v>
      </c>
      <c r="G211" s="151">
        <v>2496.201</v>
      </c>
      <c r="H211" s="152">
        <v>77.3</v>
      </c>
      <c r="I211" s="160">
        <v>131</v>
      </c>
      <c r="J211" s="160">
        <v>0</v>
      </c>
      <c r="K211" s="160">
        <v>1.4811338812647752E+19</v>
      </c>
    </row>
    <row r="212" spans="4:11" ht="15" customHeight="1">
      <c r="D212" s="158" t="b">
        <v>0</v>
      </c>
      <c r="E212" s="153">
        <v>1997</v>
      </c>
      <c r="F212" s="151" t="s">
        <v>96</v>
      </c>
      <c r="G212" s="151">
        <v>2236.5949999999998</v>
      </c>
      <c r="H212" s="152">
        <v>78.599999999999994</v>
      </c>
      <c r="I212" s="160">
        <v>132</v>
      </c>
      <c r="J212" s="160">
        <v>0</v>
      </c>
      <c r="K212" s="160">
        <v>1.6598837658653082E+19</v>
      </c>
    </row>
    <row r="213" spans="4:11" ht="15" customHeight="1">
      <c r="D213" s="158" t="b">
        <v>0</v>
      </c>
      <c r="E213" s="153">
        <v>1997</v>
      </c>
      <c r="F213" s="151" t="s">
        <v>97</v>
      </c>
      <c r="G213" s="151">
        <v>1507.3520000000001</v>
      </c>
      <c r="H213" s="152">
        <v>77.2</v>
      </c>
      <c r="I213" s="160">
        <v>133</v>
      </c>
      <c r="J213" s="160">
        <v>0</v>
      </c>
      <c r="K213" s="160">
        <v>1.29222997995589E+19</v>
      </c>
    </row>
    <row r="214" spans="4:11" ht="15" customHeight="1">
      <c r="D214" s="158" t="b">
        <v>0</v>
      </c>
      <c r="E214" s="153">
        <v>1997</v>
      </c>
      <c r="F214" s="151" t="s">
        <v>94</v>
      </c>
      <c r="G214" s="151">
        <v>1529.586</v>
      </c>
      <c r="H214" s="152">
        <v>80.5</v>
      </c>
      <c r="I214" s="160">
        <v>134</v>
      </c>
      <c r="J214" s="160">
        <v>0</v>
      </c>
      <c r="K214" s="160">
        <v>7.6023801721524367E+18</v>
      </c>
    </row>
    <row r="215" spans="4:11" ht="15" customHeight="1">
      <c r="D215" s="158" t="b">
        <v>0</v>
      </c>
      <c r="E215" s="153">
        <v>1997</v>
      </c>
      <c r="F215" s="151" t="s">
        <v>98</v>
      </c>
      <c r="G215" s="151">
        <v>3894.2820000000002</v>
      </c>
      <c r="H215" s="152">
        <v>76.5</v>
      </c>
      <c r="I215" s="160">
        <v>135</v>
      </c>
      <c r="J215" s="160">
        <v>0</v>
      </c>
      <c r="K215" s="160">
        <v>1.2332042229398174E+19</v>
      </c>
    </row>
    <row r="216" spans="4:11" ht="15" customHeight="1">
      <c r="D216" s="158" t="b">
        <v>0</v>
      </c>
      <c r="E216" s="153">
        <v>1998</v>
      </c>
      <c r="F216" s="151" t="s">
        <v>99</v>
      </c>
      <c r="G216" s="151">
        <v>2200.4679999999998</v>
      </c>
      <c r="H216" s="152">
        <v>78.599999999999994</v>
      </c>
      <c r="I216" s="160">
        <v>136</v>
      </c>
      <c r="J216" s="160">
        <v>0</v>
      </c>
      <c r="K216" s="160">
        <v>1.3494690441855892E+18</v>
      </c>
    </row>
    <row r="217" spans="4:11" ht="15" customHeight="1">
      <c r="D217" s="158" t="b">
        <v>0</v>
      </c>
      <c r="E217" s="153">
        <v>1998</v>
      </c>
      <c r="F217" s="151" t="s">
        <v>95</v>
      </c>
      <c r="G217" s="151">
        <v>2566.0030000000002</v>
      </c>
      <c r="H217" s="152">
        <v>77.7</v>
      </c>
      <c r="I217" s="160">
        <v>137</v>
      </c>
      <c r="J217" s="160">
        <v>0</v>
      </c>
      <c r="K217" s="160">
        <v>3.0762469829989448E+18</v>
      </c>
    </row>
    <row r="218" spans="4:11" ht="15" customHeight="1">
      <c r="D218" s="158" t="b">
        <v>0</v>
      </c>
      <c r="E218" s="153">
        <v>1998</v>
      </c>
      <c r="F218" s="151" t="s">
        <v>96</v>
      </c>
      <c r="G218" s="151">
        <v>2321.931</v>
      </c>
      <c r="H218" s="152">
        <v>78.8</v>
      </c>
      <c r="I218" s="160">
        <v>138</v>
      </c>
      <c r="J218" s="160">
        <v>0</v>
      </c>
      <c r="K218" s="160">
        <v>3.1899841350503818E+18</v>
      </c>
    </row>
    <row r="219" spans="4:11" ht="15" customHeight="1">
      <c r="D219" s="158" t="b">
        <v>0</v>
      </c>
      <c r="E219" s="153">
        <v>1998</v>
      </c>
      <c r="F219" s="151" t="s">
        <v>97</v>
      </c>
      <c r="G219" s="151">
        <v>1572.097</v>
      </c>
      <c r="H219" s="152">
        <v>77.3</v>
      </c>
      <c r="I219" s="160">
        <v>139</v>
      </c>
      <c r="J219" s="160">
        <v>0</v>
      </c>
      <c r="K219" s="160">
        <v>1.309727739223731E+19</v>
      </c>
    </row>
    <row r="220" spans="4:11" ht="15" customHeight="1">
      <c r="D220" s="158" t="b">
        <v>0</v>
      </c>
      <c r="E220" s="153">
        <v>1998</v>
      </c>
      <c r="F220" s="151" t="s">
        <v>94</v>
      </c>
      <c r="G220" s="151">
        <v>1571.107</v>
      </c>
      <c r="H220" s="152">
        <v>80.599999999999994</v>
      </c>
      <c r="I220" s="160">
        <v>140</v>
      </c>
      <c r="J220" s="160">
        <v>0</v>
      </c>
      <c r="K220" s="160">
        <v>9.2038044098183004E+18</v>
      </c>
    </row>
    <row r="221" spans="4:11" ht="15" customHeight="1">
      <c r="D221" s="158" t="b">
        <v>0</v>
      </c>
      <c r="E221" s="153">
        <v>1998</v>
      </c>
      <c r="F221" s="151" t="s">
        <v>98</v>
      </c>
      <c r="G221" s="151">
        <v>4061.5360000000001</v>
      </c>
      <c r="H221" s="152">
        <v>76.7</v>
      </c>
      <c r="I221" s="160">
        <v>141</v>
      </c>
      <c r="J221" s="160">
        <v>0</v>
      </c>
      <c r="K221" s="160">
        <v>2.4590761944577731E+18</v>
      </c>
    </row>
    <row r="222" spans="4:11" ht="15" customHeight="1">
      <c r="D222" s="158" t="b">
        <v>0</v>
      </c>
      <c r="E222" s="153">
        <v>1999</v>
      </c>
      <c r="F222" s="151" t="s">
        <v>99</v>
      </c>
      <c r="G222" s="151">
        <v>2278.2539999999999</v>
      </c>
      <c r="H222" s="152">
        <v>78.8</v>
      </c>
      <c r="I222" s="160">
        <v>142</v>
      </c>
      <c r="J222" s="160">
        <v>0</v>
      </c>
      <c r="K222" s="160">
        <v>6.9388527429300419E+18</v>
      </c>
    </row>
    <row r="223" spans="4:11" ht="15" customHeight="1">
      <c r="D223" s="158" t="b">
        <v>0</v>
      </c>
      <c r="E223" s="153">
        <v>1999</v>
      </c>
      <c r="F223" s="151" t="s">
        <v>95</v>
      </c>
      <c r="G223" s="151">
        <v>2697.8780000000002</v>
      </c>
      <c r="H223" s="152">
        <v>77.900000000000006</v>
      </c>
      <c r="I223" s="160">
        <v>143</v>
      </c>
      <c r="J223" s="160">
        <v>0</v>
      </c>
      <c r="K223" s="160">
        <v>1.7524714538263071E+19</v>
      </c>
    </row>
    <row r="224" spans="4:11" ht="15" customHeight="1">
      <c r="D224" s="158" t="b">
        <v>0</v>
      </c>
      <c r="E224" s="153">
        <v>1999</v>
      </c>
      <c r="F224" s="151" t="s">
        <v>96</v>
      </c>
      <c r="G224" s="151">
        <v>2431.3029999999999</v>
      </c>
      <c r="H224" s="152">
        <v>78.900000000000006</v>
      </c>
      <c r="I224" s="160">
        <v>144</v>
      </c>
      <c r="J224" s="160">
        <v>0</v>
      </c>
      <c r="K224" s="160">
        <v>8.5164495038456586E+18</v>
      </c>
    </row>
    <row r="225" spans="4:11" ht="15" customHeight="1">
      <c r="D225" s="158" t="b">
        <v>0</v>
      </c>
      <c r="E225" s="153">
        <v>1999</v>
      </c>
      <c r="F225" s="151" t="s">
        <v>97</v>
      </c>
      <c r="G225" s="151">
        <v>1683.905</v>
      </c>
      <c r="H225" s="152">
        <v>77.5</v>
      </c>
      <c r="I225" s="160">
        <v>145</v>
      </c>
      <c r="J225" s="160">
        <v>0</v>
      </c>
      <c r="K225" s="160">
        <v>4.8643254635107011E+18</v>
      </c>
    </row>
    <row r="226" spans="4:11" ht="15" customHeight="1">
      <c r="D226" s="158" t="b">
        <v>0</v>
      </c>
      <c r="E226" s="153">
        <v>1999</v>
      </c>
      <c r="F226" s="151" t="s">
        <v>94</v>
      </c>
      <c r="G226" s="151">
        <v>1667.922</v>
      </c>
      <c r="H226" s="152">
        <v>80.5</v>
      </c>
      <c r="I226" s="160">
        <v>146</v>
      </c>
      <c r="J226" s="160">
        <v>0</v>
      </c>
      <c r="K226" s="160">
        <v>2.7947505247979628E+18</v>
      </c>
    </row>
    <row r="227" spans="4:11" ht="15" customHeight="1">
      <c r="D227" s="158" t="b">
        <v>0</v>
      </c>
      <c r="E227" s="153">
        <v>1999</v>
      </c>
      <c r="F227" s="151" t="s">
        <v>98</v>
      </c>
      <c r="G227" s="151">
        <v>4261.9960000000001</v>
      </c>
      <c r="H227" s="152">
        <v>76.7</v>
      </c>
      <c r="I227" s="160">
        <v>147</v>
      </c>
      <c r="J227" s="160">
        <v>0</v>
      </c>
      <c r="K227" s="160">
        <v>1.2850824501931415E+18</v>
      </c>
    </row>
    <row r="228" spans="4:11" ht="15" customHeight="1">
      <c r="D228" s="158" t="b">
        <v>0</v>
      </c>
      <c r="E228" s="153">
        <v>2000</v>
      </c>
      <c r="F228" s="151" t="s">
        <v>99</v>
      </c>
      <c r="G228" s="151">
        <v>2450.5929999999998</v>
      </c>
      <c r="H228" s="152">
        <v>79.099999999999994</v>
      </c>
      <c r="I228" s="160">
        <v>148</v>
      </c>
      <c r="J228" s="160">
        <v>0</v>
      </c>
      <c r="K228" s="160">
        <v>5.4479281057970883E+18</v>
      </c>
    </row>
    <row r="229" spans="4:11" ht="15" customHeight="1">
      <c r="D229" s="158" t="b">
        <v>0</v>
      </c>
      <c r="E229" s="153">
        <v>2000</v>
      </c>
      <c r="F229" s="151" t="s">
        <v>95</v>
      </c>
      <c r="G229" s="151">
        <v>2895.5329999999999</v>
      </c>
      <c r="H229" s="152">
        <v>78.2</v>
      </c>
      <c r="I229" s="160">
        <v>149</v>
      </c>
      <c r="J229" s="160">
        <v>0</v>
      </c>
      <c r="K229" s="160">
        <v>6.0417535322919444E+18</v>
      </c>
    </row>
    <row r="230" spans="4:11" ht="15" customHeight="1">
      <c r="D230" s="158" t="b">
        <v>0</v>
      </c>
      <c r="E230" s="153">
        <v>2000</v>
      </c>
      <c r="F230" s="151" t="s">
        <v>96</v>
      </c>
      <c r="G230" s="151">
        <v>2687.53</v>
      </c>
      <c r="H230" s="152">
        <v>79.2</v>
      </c>
      <c r="I230" s="160">
        <v>150</v>
      </c>
      <c r="J230" s="160">
        <v>0</v>
      </c>
      <c r="K230" s="160">
        <v>1.3781098423679363E+19</v>
      </c>
    </row>
    <row r="231" spans="4:11" ht="15" customHeight="1">
      <c r="D231" s="158" t="b">
        <v>0</v>
      </c>
      <c r="E231" s="153">
        <v>2000</v>
      </c>
      <c r="F231" s="151" t="s">
        <v>97</v>
      </c>
      <c r="G231" s="151">
        <v>1897.202</v>
      </c>
      <c r="H231" s="152">
        <v>77.900000000000006</v>
      </c>
      <c r="I231" s="160">
        <v>151</v>
      </c>
      <c r="J231" s="160">
        <v>0</v>
      </c>
      <c r="K231" s="160">
        <v>1.3492136655034565E+19</v>
      </c>
    </row>
    <row r="232" spans="4:11" ht="15" customHeight="1">
      <c r="D232" s="158" t="b">
        <v>0</v>
      </c>
      <c r="E232" s="153">
        <v>2000</v>
      </c>
      <c r="F232" s="151" t="s">
        <v>94</v>
      </c>
      <c r="G232" s="151">
        <v>1847.7860000000001</v>
      </c>
      <c r="H232" s="152">
        <v>81.2</v>
      </c>
      <c r="I232" s="160">
        <v>152</v>
      </c>
      <c r="J232" s="160">
        <v>0</v>
      </c>
      <c r="K232" s="160">
        <v>9.2892365233418629E+18</v>
      </c>
    </row>
    <row r="233" spans="4:11" ht="15" customHeight="1">
      <c r="D233" s="158" t="b">
        <v>0</v>
      </c>
      <c r="E233" s="153">
        <v>2000</v>
      </c>
      <c r="F233" s="151" t="s">
        <v>98</v>
      </c>
      <c r="G233" s="151">
        <v>4536.5609999999997</v>
      </c>
      <c r="H233" s="152">
        <v>76.7</v>
      </c>
      <c r="I233" s="160">
        <v>153</v>
      </c>
      <c r="J233" s="160">
        <v>0</v>
      </c>
      <c r="K233" s="160">
        <v>1.6613425436142719E+19</v>
      </c>
    </row>
    <row r="234" spans="4:11" ht="15" customHeight="1">
      <c r="D234" s="158" t="b">
        <v>0</v>
      </c>
      <c r="E234" s="153">
        <v>2001</v>
      </c>
      <c r="F234" s="151" t="s">
        <v>99</v>
      </c>
      <c r="G234" s="151">
        <v>2624.2930000000001</v>
      </c>
      <c r="H234" s="152">
        <v>79.3</v>
      </c>
      <c r="I234" s="160">
        <v>154</v>
      </c>
      <c r="J234" s="160">
        <v>0</v>
      </c>
      <c r="K234" s="160">
        <v>1.1360656208985E+19</v>
      </c>
    </row>
    <row r="235" spans="4:11" ht="15" customHeight="1">
      <c r="D235" s="158" t="b">
        <v>0</v>
      </c>
      <c r="E235" s="153">
        <v>2001</v>
      </c>
      <c r="F235" s="151" t="s">
        <v>95</v>
      </c>
      <c r="G235" s="151">
        <v>3009.3679999999999</v>
      </c>
      <c r="H235" s="152">
        <v>78.5</v>
      </c>
      <c r="I235" s="160">
        <v>155</v>
      </c>
      <c r="J235" s="160">
        <v>0</v>
      </c>
      <c r="K235" s="160">
        <v>8.4386233087024128E+18</v>
      </c>
    </row>
    <row r="236" spans="4:11" ht="15" customHeight="1">
      <c r="D236" s="158" t="b">
        <v>0</v>
      </c>
      <c r="E236" s="153">
        <v>2001</v>
      </c>
      <c r="F236" s="151" t="s">
        <v>96</v>
      </c>
      <c r="G236" s="151">
        <v>2875.2939999999999</v>
      </c>
      <c r="H236" s="152">
        <v>79.3</v>
      </c>
      <c r="I236" s="160">
        <v>156</v>
      </c>
      <c r="J236" s="160">
        <v>0</v>
      </c>
      <c r="K236" s="160">
        <v>2.2853356795157791E+18</v>
      </c>
    </row>
    <row r="237" spans="4:11" ht="15" customHeight="1">
      <c r="D237" s="158" t="b">
        <v>0</v>
      </c>
      <c r="E237" s="153">
        <v>2001</v>
      </c>
      <c r="F237" s="151" t="s">
        <v>97</v>
      </c>
      <c r="G237" s="151">
        <v>2067.1669999999999</v>
      </c>
      <c r="H237" s="152">
        <v>78.2</v>
      </c>
      <c r="I237" s="160">
        <v>157</v>
      </c>
      <c r="J237" s="160">
        <v>0</v>
      </c>
      <c r="K237" s="160">
        <v>5.0729235296296028E+18</v>
      </c>
    </row>
    <row r="238" spans="4:11" ht="15" customHeight="1">
      <c r="D238" s="158" t="b">
        <v>0</v>
      </c>
      <c r="E238" s="153">
        <v>2001</v>
      </c>
      <c r="F238" s="151" t="s">
        <v>94</v>
      </c>
      <c r="G238" s="151">
        <v>1945.556</v>
      </c>
      <c r="H238" s="152">
        <v>81.5</v>
      </c>
      <c r="I238" s="160">
        <v>158</v>
      </c>
      <c r="J238" s="160">
        <v>0</v>
      </c>
      <c r="K238" s="160">
        <v>1.900451831989505E+18</v>
      </c>
    </row>
    <row r="239" spans="4:11" ht="15" customHeight="1">
      <c r="D239" s="158" t="b">
        <v>0</v>
      </c>
      <c r="E239" s="153">
        <v>2001</v>
      </c>
      <c r="F239" s="151" t="s">
        <v>98</v>
      </c>
      <c r="G239" s="151">
        <v>4888.518</v>
      </c>
      <c r="H239" s="152">
        <v>76.900000000000006</v>
      </c>
      <c r="I239" s="160">
        <v>159</v>
      </c>
      <c r="J239" s="160">
        <v>0</v>
      </c>
      <c r="K239" s="160">
        <v>7.2601956030553836E+18</v>
      </c>
    </row>
    <row r="240" spans="4:11" ht="15" customHeight="1">
      <c r="D240" s="158" t="b">
        <v>0</v>
      </c>
      <c r="E240" s="153">
        <v>2002</v>
      </c>
      <c r="F240" s="151" t="s">
        <v>99</v>
      </c>
      <c r="G240" s="151">
        <v>2758.0650000000001</v>
      </c>
      <c r="H240" s="152">
        <v>79.5</v>
      </c>
      <c r="I240" s="160">
        <v>160</v>
      </c>
      <c r="J240" s="160">
        <v>0</v>
      </c>
      <c r="K240" s="160">
        <v>1.4191194126161564E+19</v>
      </c>
    </row>
    <row r="241" spans="4:11" ht="15" customHeight="1">
      <c r="D241" s="158" t="b">
        <v>0</v>
      </c>
      <c r="E241" s="153">
        <v>2002</v>
      </c>
      <c r="F241" s="151" t="s">
        <v>95</v>
      </c>
      <c r="G241" s="151">
        <v>3239.77</v>
      </c>
      <c r="H241" s="152">
        <v>78.5</v>
      </c>
      <c r="I241" s="160">
        <v>161</v>
      </c>
      <c r="J241" s="160">
        <v>0</v>
      </c>
      <c r="K241" s="160">
        <v>1.8185230166426513E+19</v>
      </c>
    </row>
    <row r="242" spans="4:11" ht="15" customHeight="1">
      <c r="D242" s="158" t="b">
        <v>0</v>
      </c>
      <c r="E242" s="153">
        <v>2002</v>
      </c>
      <c r="F242" s="151" t="s">
        <v>96</v>
      </c>
      <c r="G242" s="151">
        <v>3152.0160000000001</v>
      </c>
      <c r="H242" s="152">
        <v>79.400000000000006</v>
      </c>
      <c r="I242" s="160">
        <v>162</v>
      </c>
      <c r="J242" s="160">
        <v>0</v>
      </c>
      <c r="K242" s="160">
        <v>1.4720158219381437E+18</v>
      </c>
    </row>
    <row r="243" spans="4:11" ht="15" customHeight="1">
      <c r="D243" s="158" t="b">
        <v>0</v>
      </c>
      <c r="E243" s="153">
        <v>2002</v>
      </c>
      <c r="F243" s="151" t="s">
        <v>97</v>
      </c>
      <c r="G243" s="151">
        <v>2287.4760000000001</v>
      </c>
      <c r="H243" s="152">
        <v>78.3</v>
      </c>
      <c r="I243" s="160">
        <v>163</v>
      </c>
      <c r="J243" s="160">
        <v>0</v>
      </c>
      <c r="K243" s="160">
        <v>7.5568367343323382E+18</v>
      </c>
    </row>
    <row r="244" spans="4:11" ht="15" customHeight="1">
      <c r="D244" s="158" t="b">
        <v>0</v>
      </c>
      <c r="E244" s="153">
        <v>2002</v>
      </c>
      <c r="F244" s="151" t="s">
        <v>94</v>
      </c>
      <c r="G244" s="151">
        <v>2065.1329999999998</v>
      </c>
      <c r="H244" s="152">
        <v>81.8</v>
      </c>
      <c r="I244" s="160">
        <v>164</v>
      </c>
      <c r="J244" s="160">
        <v>0</v>
      </c>
      <c r="K244" s="160">
        <v>1.6662333522548138E+19</v>
      </c>
    </row>
    <row r="245" spans="4:11" ht="15" customHeight="1">
      <c r="D245" s="158" t="b">
        <v>0</v>
      </c>
      <c r="E245" s="153">
        <v>2002</v>
      </c>
      <c r="F245" s="151" t="s">
        <v>98</v>
      </c>
      <c r="G245" s="151">
        <v>5316.5219999999999</v>
      </c>
      <c r="H245" s="152">
        <v>77</v>
      </c>
      <c r="I245" s="160">
        <v>165</v>
      </c>
      <c r="J245" s="160">
        <v>0</v>
      </c>
      <c r="K245" s="160">
        <v>1.5732196806218719E+19</v>
      </c>
    </row>
    <row r="246" spans="4:11" ht="15" customHeight="1">
      <c r="D246" s="158" t="b">
        <v>0</v>
      </c>
      <c r="E246" s="153">
        <v>2003</v>
      </c>
      <c r="F246" s="151" t="s">
        <v>99</v>
      </c>
      <c r="G246" s="151">
        <v>2914.2060000000001</v>
      </c>
      <c r="H246" s="152">
        <v>79.599999999999994</v>
      </c>
      <c r="I246" s="160">
        <v>166</v>
      </c>
      <c r="J246" s="160">
        <v>0</v>
      </c>
      <c r="K246" s="160">
        <v>1.5736050883623675E+18</v>
      </c>
    </row>
    <row r="247" spans="4:11" ht="15" customHeight="1">
      <c r="D247" s="158" t="b">
        <v>0</v>
      </c>
      <c r="E247" s="153">
        <v>2003</v>
      </c>
      <c r="F247" s="151" t="s">
        <v>95</v>
      </c>
      <c r="G247" s="151">
        <v>3329.3739999999998</v>
      </c>
      <c r="H247" s="152">
        <v>78.599999999999994</v>
      </c>
      <c r="I247" s="160">
        <v>167</v>
      </c>
      <c r="J247" s="160">
        <v>0</v>
      </c>
      <c r="K247" s="160">
        <v>3.9363738453546481E+18</v>
      </c>
    </row>
    <row r="248" spans="4:11" ht="15" customHeight="1">
      <c r="D248" s="158" t="b">
        <v>0</v>
      </c>
      <c r="E248" s="153">
        <v>2003</v>
      </c>
      <c r="F248" s="151" t="s">
        <v>96</v>
      </c>
      <c r="G248" s="151">
        <v>3056.2649999999999</v>
      </c>
      <c r="H248" s="152">
        <v>79.3</v>
      </c>
      <c r="I248" s="160">
        <v>168</v>
      </c>
      <c r="J248" s="160">
        <v>0</v>
      </c>
      <c r="K248" s="160">
        <v>1.7596610178385594E+19</v>
      </c>
    </row>
    <row r="249" spans="4:11" ht="15" customHeight="1">
      <c r="D249" s="158" t="b">
        <v>0</v>
      </c>
      <c r="E249" s="153">
        <v>2003</v>
      </c>
      <c r="F249" s="151" t="s">
        <v>97</v>
      </c>
      <c r="G249" s="151">
        <v>2469.1590000000001</v>
      </c>
      <c r="H249" s="152">
        <v>78.400000000000006</v>
      </c>
      <c r="I249" s="160">
        <v>169</v>
      </c>
      <c r="J249" s="160">
        <v>0</v>
      </c>
      <c r="K249" s="160">
        <v>9.1604369949754071E+18</v>
      </c>
    </row>
    <row r="250" spans="4:11" ht="15" customHeight="1">
      <c r="D250" s="158" t="b">
        <v>0</v>
      </c>
      <c r="E250" s="153">
        <v>2003</v>
      </c>
      <c r="F250" s="151" t="s">
        <v>94</v>
      </c>
      <c r="G250" s="151">
        <v>2194.4369999999999</v>
      </c>
      <c r="H250" s="152">
        <v>81.8</v>
      </c>
      <c r="I250" s="160">
        <v>170</v>
      </c>
      <c r="J250" s="160">
        <v>0</v>
      </c>
      <c r="K250" s="160">
        <v>1.6887969694267551E+18</v>
      </c>
    </row>
    <row r="251" spans="4:11" ht="15" customHeight="1">
      <c r="D251" s="158" t="b">
        <v>0</v>
      </c>
      <c r="E251" s="153">
        <v>2003</v>
      </c>
      <c r="F251" s="151" t="s">
        <v>98</v>
      </c>
      <c r="G251" s="151">
        <v>5726.5379999999996</v>
      </c>
      <c r="H251" s="152">
        <v>77.099999999999994</v>
      </c>
      <c r="I251" s="160">
        <v>171</v>
      </c>
      <c r="J251" s="160">
        <v>0</v>
      </c>
      <c r="K251" s="160">
        <v>8.5777923916750305E+18</v>
      </c>
    </row>
    <row r="252" spans="4:11" ht="15" customHeight="1">
      <c r="D252" s="158" t="b">
        <v>0</v>
      </c>
      <c r="E252" s="153">
        <v>2004</v>
      </c>
      <c r="F252" s="151" t="s">
        <v>99</v>
      </c>
      <c r="G252" s="151">
        <v>3122.3960000000002</v>
      </c>
      <c r="H252" s="152">
        <v>79.900000000000006</v>
      </c>
      <c r="I252" s="160">
        <v>172</v>
      </c>
      <c r="J252" s="160">
        <v>0</v>
      </c>
      <c r="K252" s="160">
        <v>9.5318830278405059E+18</v>
      </c>
    </row>
    <row r="253" spans="4:11" ht="15" customHeight="1">
      <c r="D253" s="158" t="b">
        <v>0</v>
      </c>
      <c r="E253" s="153">
        <v>2004</v>
      </c>
      <c r="F253" s="151" t="s">
        <v>95</v>
      </c>
      <c r="G253" s="151">
        <v>3391.5210000000002</v>
      </c>
      <c r="H253" s="152">
        <v>79.2</v>
      </c>
      <c r="I253" s="160">
        <v>173</v>
      </c>
      <c r="J253" s="160">
        <v>0</v>
      </c>
      <c r="K253" s="160">
        <v>8.3402572525556357E+18</v>
      </c>
    </row>
    <row r="254" spans="4:11" ht="15" customHeight="1">
      <c r="D254" s="158" t="b">
        <v>0</v>
      </c>
      <c r="E254" s="153">
        <v>2004</v>
      </c>
      <c r="F254" s="151" t="s">
        <v>96</v>
      </c>
      <c r="G254" s="151">
        <v>3170.9470000000001</v>
      </c>
      <c r="H254" s="152">
        <v>80.3</v>
      </c>
      <c r="I254" s="160">
        <v>174</v>
      </c>
      <c r="J254" s="160">
        <v>0</v>
      </c>
      <c r="K254" s="160">
        <v>9.9860667130670715E+18</v>
      </c>
    </row>
    <row r="255" spans="4:11" ht="15" customHeight="1">
      <c r="D255" s="158" t="b">
        <v>0</v>
      </c>
      <c r="E255" s="153">
        <v>2004</v>
      </c>
      <c r="F255" s="151" t="s">
        <v>97</v>
      </c>
      <c r="G255" s="151">
        <v>2724.8690000000001</v>
      </c>
      <c r="H255" s="152">
        <v>79</v>
      </c>
      <c r="I255" s="160">
        <v>175</v>
      </c>
      <c r="J255" s="160">
        <v>0</v>
      </c>
      <c r="K255" s="160">
        <v>8.9782757428778516E+18</v>
      </c>
    </row>
    <row r="256" spans="4:11" ht="15" customHeight="1">
      <c r="D256" s="158" t="b">
        <v>0</v>
      </c>
      <c r="E256" s="153">
        <v>2004</v>
      </c>
      <c r="F256" s="151" t="s">
        <v>94</v>
      </c>
      <c r="G256" s="151">
        <v>2303.6799999999998</v>
      </c>
      <c r="H256" s="152">
        <v>82.1</v>
      </c>
      <c r="I256" s="160">
        <v>176</v>
      </c>
      <c r="J256" s="160">
        <v>0</v>
      </c>
      <c r="K256" s="160">
        <v>8.6129312084899308E+18</v>
      </c>
    </row>
    <row r="257" spans="4:11" ht="15" customHeight="1">
      <c r="D257" s="158" t="b">
        <v>0</v>
      </c>
      <c r="E257" s="153">
        <v>2004</v>
      </c>
      <c r="F257" s="151" t="s">
        <v>98</v>
      </c>
      <c r="G257" s="151">
        <v>6069.53</v>
      </c>
      <c r="H257" s="152">
        <v>77.599999999999994</v>
      </c>
      <c r="I257" s="160">
        <v>177</v>
      </c>
      <c r="J257" s="160">
        <v>0</v>
      </c>
      <c r="K257" s="160">
        <v>1.7802990126564704E+19</v>
      </c>
    </row>
    <row r="258" spans="4:11" ht="15" customHeight="1">
      <c r="D258" s="158" t="b">
        <v>0</v>
      </c>
      <c r="E258" s="153">
        <v>2005</v>
      </c>
      <c r="F258" s="151" t="s">
        <v>99</v>
      </c>
      <c r="G258" s="151">
        <v>3291.9119999999998</v>
      </c>
      <c r="H258" s="152">
        <v>80</v>
      </c>
      <c r="I258" s="160">
        <v>178</v>
      </c>
      <c r="J258" s="160">
        <v>0</v>
      </c>
      <c r="K258" s="160">
        <v>7.66279816675917E+18</v>
      </c>
    </row>
    <row r="259" spans="4:11" ht="15" customHeight="1">
      <c r="D259" s="158" t="b">
        <v>0</v>
      </c>
      <c r="E259" s="153">
        <v>2005</v>
      </c>
      <c r="F259" s="151" t="s">
        <v>95</v>
      </c>
      <c r="G259" s="151">
        <v>3429.9549999999999</v>
      </c>
      <c r="H259" s="152">
        <v>79.400000000000006</v>
      </c>
      <c r="I259" s="160">
        <v>179</v>
      </c>
      <c r="J259" s="160">
        <v>0</v>
      </c>
      <c r="K259" s="160">
        <v>2.1371223198210419E+18</v>
      </c>
    </row>
    <row r="260" spans="4:11" ht="15" customHeight="1">
      <c r="D260" s="158" t="b">
        <v>0</v>
      </c>
      <c r="E260" s="153">
        <v>2005</v>
      </c>
      <c r="F260" s="151" t="s">
        <v>96</v>
      </c>
      <c r="G260" s="151">
        <v>3264.5740000000001</v>
      </c>
      <c r="H260" s="152">
        <v>80.400000000000006</v>
      </c>
      <c r="I260" s="160">
        <v>180</v>
      </c>
      <c r="J260" s="160">
        <v>0</v>
      </c>
      <c r="K260" s="160">
        <v>7.3932988232961577E+18</v>
      </c>
    </row>
    <row r="261" spans="4:11" ht="15" customHeight="1">
      <c r="D261" s="158" t="b">
        <v>0</v>
      </c>
      <c r="E261" s="153">
        <v>2005</v>
      </c>
      <c r="F261" s="151" t="s">
        <v>97</v>
      </c>
      <c r="G261" s="151">
        <v>2731.4450000000002</v>
      </c>
      <c r="H261" s="152">
        <v>79.2</v>
      </c>
      <c r="I261" s="160">
        <v>181</v>
      </c>
      <c r="J261" s="160">
        <v>0</v>
      </c>
      <c r="K261" s="160">
        <v>1.0886026909583337E+19</v>
      </c>
    </row>
    <row r="262" spans="4:11" ht="15" customHeight="1">
      <c r="D262" s="158" t="b">
        <v>0</v>
      </c>
      <c r="E262" s="153">
        <v>2005</v>
      </c>
      <c r="F262" s="151" t="s">
        <v>94</v>
      </c>
      <c r="G262" s="151">
        <v>2471.1860000000001</v>
      </c>
      <c r="H262" s="152">
        <v>82</v>
      </c>
      <c r="I262" s="160">
        <v>182</v>
      </c>
      <c r="J262" s="160">
        <v>0</v>
      </c>
      <c r="K262" s="160">
        <v>1.6491250048206737E+19</v>
      </c>
    </row>
    <row r="263" spans="4:11" ht="15" customHeight="1">
      <c r="D263" s="158" t="b">
        <v>0</v>
      </c>
      <c r="E263" s="153">
        <v>2005</v>
      </c>
      <c r="F263" s="151" t="s">
        <v>98</v>
      </c>
      <c r="G263" s="151">
        <v>6430.7569999999996</v>
      </c>
      <c r="H263" s="152">
        <v>77.599999999999994</v>
      </c>
      <c r="I263" s="160">
        <v>183</v>
      </c>
      <c r="J263" s="160">
        <v>0</v>
      </c>
      <c r="K263" s="160">
        <v>1.7520854039775494E+19</v>
      </c>
    </row>
    <row r="264" spans="4:11" ht="15" customHeight="1">
      <c r="D264" s="158" t="b">
        <v>0</v>
      </c>
      <c r="E264" s="153">
        <v>2006</v>
      </c>
      <c r="F264" s="151" t="s">
        <v>99</v>
      </c>
      <c r="G264" s="151">
        <v>3486.6210000000001</v>
      </c>
      <c r="H264" s="152">
        <v>80.400000000000006</v>
      </c>
      <c r="I264" s="160">
        <v>184</v>
      </c>
      <c r="J264" s="160">
        <v>0</v>
      </c>
      <c r="K264" s="160">
        <v>5.7958010333775012E+18</v>
      </c>
    </row>
    <row r="265" spans="4:11" ht="15" customHeight="1">
      <c r="D265" s="158" t="b">
        <v>0</v>
      </c>
      <c r="E265" s="153">
        <v>2006</v>
      </c>
      <c r="F265" s="151" t="s">
        <v>95</v>
      </c>
      <c r="G265" s="151">
        <v>3567.0610000000001</v>
      </c>
      <c r="H265" s="152">
        <v>79.8</v>
      </c>
      <c r="I265" s="160">
        <v>185</v>
      </c>
      <c r="J265" s="160">
        <v>0</v>
      </c>
      <c r="K265" s="160">
        <v>1.8340240201636139E+19</v>
      </c>
    </row>
    <row r="266" spans="4:11" ht="15" customHeight="1">
      <c r="D266" s="158" t="b">
        <v>0</v>
      </c>
      <c r="E266" s="153">
        <v>2006</v>
      </c>
      <c r="F266" s="151" t="s">
        <v>96</v>
      </c>
      <c r="G266" s="151">
        <v>3444.855</v>
      </c>
      <c r="H266" s="152">
        <v>81</v>
      </c>
      <c r="I266" s="160">
        <v>186</v>
      </c>
      <c r="J266" s="160">
        <v>0</v>
      </c>
      <c r="K266" s="160">
        <v>1.0449321637763398E+19</v>
      </c>
    </row>
    <row r="267" spans="4:11" ht="15" customHeight="1">
      <c r="D267" s="158" t="b">
        <v>0</v>
      </c>
      <c r="E267" s="153">
        <v>2006</v>
      </c>
      <c r="F267" s="151" t="s">
        <v>97</v>
      </c>
      <c r="G267" s="151">
        <v>2952.3290000000002</v>
      </c>
      <c r="H267" s="152">
        <v>79.5</v>
      </c>
      <c r="I267" s="160">
        <v>187</v>
      </c>
      <c r="J267" s="160">
        <v>0</v>
      </c>
      <c r="K267" s="160">
        <v>2.7037312599803505E+18</v>
      </c>
    </row>
    <row r="268" spans="4:11" ht="15" customHeight="1">
      <c r="D268" s="158" t="b">
        <v>0</v>
      </c>
      <c r="E268" s="153">
        <v>2006</v>
      </c>
      <c r="F268" s="151" t="s">
        <v>94</v>
      </c>
      <c r="G268" s="151">
        <v>2561.2190000000001</v>
      </c>
      <c r="H268" s="152">
        <v>82.4</v>
      </c>
      <c r="I268" s="160">
        <v>188</v>
      </c>
      <c r="J268" s="160">
        <v>0</v>
      </c>
      <c r="K268" s="160">
        <v>1.0679253933787806E+19</v>
      </c>
    </row>
    <row r="269" spans="4:11" ht="15" customHeight="1">
      <c r="D269" s="158" t="b">
        <v>0</v>
      </c>
      <c r="E269" s="153">
        <v>2006</v>
      </c>
      <c r="F269" s="151" t="s">
        <v>98</v>
      </c>
      <c r="G269" s="151">
        <v>6808.0540000000001</v>
      </c>
      <c r="H269" s="152">
        <v>77.8</v>
      </c>
      <c r="I269" s="160">
        <v>189</v>
      </c>
      <c r="J269" s="160">
        <v>0</v>
      </c>
      <c r="K269" s="160">
        <v>7.9988484093622559E+18</v>
      </c>
    </row>
    <row r="270" spans="4:11" ht="15" customHeight="1">
      <c r="D270" s="158" t="b">
        <v>0</v>
      </c>
      <c r="E270" s="153">
        <v>2007</v>
      </c>
      <c r="F270" s="151" t="s">
        <v>99</v>
      </c>
      <c r="G270" s="151">
        <v>3709.6149999999998</v>
      </c>
      <c r="H270" s="152">
        <v>80.5</v>
      </c>
      <c r="I270" s="160">
        <v>190</v>
      </c>
      <c r="J270" s="160">
        <v>0</v>
      </c>
      <c r="K270" s="160">
        <v>1.0575984034075869E+19</v>
      </c>
    </row>
    <row r="271" spans="4:11" ht="15" customHeight="1">
      <c r="D271" s="158" t="b">
        <v>0</v>
      </c>
      <c r="E271" s="153">
        <v>2007</v>
      </c>
      <c r="F271" s="151" t="s">
        <v>95</v>
      </c>
      <c r="G271" s="151">
        <v>3750.7869999999998</v>
      </c>
      <c r="H271" s="152">
        <v>80.099999999999994</v>
      </c>
      <c r="I271" s="160">
        <v>191</v>
      </c>
      <c r="J271" s="160">
        <v>0</v>
      </c>
      <c r="K271" s="160">
        <v>1.5324236164438747E+19</v>
      </c>
    </row>
    <row r="272" spans="4:11" ht="15" customHeight="1">
      <c r="D272" s="158" t="b">
        <v>0</v>
      </c>
      <c r="E272" s="153">
        <v>2007</v>
      </c>
      <c r="F272" s="151" t="s">
        <v>96</v>
      </c>
      <c r="G272" s="151">
        <v>3588.2269999999999</v>
      </c>
      <c r="H272" s="152">
        <v>81.2</v>
      </c>
      <c r="I272" s="160">
        <v>192</v>
      </c>
      <c r="J272" s="160">
        <v>0</v>
      </c>
      <c r="K272" s="160">
        <v>2.6106665054039117E+18</v>
      </c>
    </row>
    <row r="273" spans="4:11" ht="15" customHeight="1">
      <c r="D273" s="158" t="b">
        <v>0</v>
      </c>
      <c r="E273" s="153">
        <v>2007</v>
      </c>
      <c r="F273" s="151" t="s">
        <v>97</v>
      </c>
      <c r="G273" s="151">
        <v>3021.6709999999998</v>
      </c>
      <c r="H273" s="152">
        <v>79.7</v>
      </c>
      <c r="I273" s="160">
        <v>193</v>
      </c>
      <c r="J273" s="160">
        <v>0</v>
      </c>
      <c r="K273" s="160">
        <v>1.1087565079163736E+19</v>
      </c>
    </row>
    <row r="274" spans="4:11" ht="15" customHeight="1">
      <c r="D274" s="158" t="b">
        <v>0</v>
      </c>
      <c r="E274" s="153">
        <v>2007</v>
      </c>
      <c r="F274" s="151" t="s">
        <v>94</v>
      </c>
      <c r="G274" s="151">
        <v>2689.9160000000002</v>
      </c>
      <c r="H274" s="152">
        <v>82.6</v>
      </c>
      <c r="I274" s="160">
        <v>194</v>
      </c>
      <c r="J274" s="160">
        <v>0</v>
      </c>
      <c r="K274" s="160">
        <v>1.3515766384604E+19</v>
      </c>
    </row>
    <row r="275" spans="4:11" ht="15" customHeight="1">
      <c r="D275" s="158" t="b">
        <v>0</v>
      </c>
      <c r="E275" s="153">
        <v>2007</v>
      </c>
      <c r="F275" s="151" t="s">
        <v>98</v>
      </c>
      <c r="G275" s="151">
        <v>7166.5129999999999</v>
      </c>
      <c r="H275" s="152">
        <v>78.099999999999994</v>
      </c>
      <c r="I275" s="160">
        <v>195</v>
      </c>
      <c r="J275" s="160">
        <v>0</v>
      </c>
      <c r="K275" s="160">
        <v>1.8078593506167278E+19</v>
      </c>
    </row>
    <row r="276" spans="4:11" ht="15" customHeight="1">
      <c r="D276" s="158" t="b">
        <v>0</v>
      </c>
      <c r="E276" s="153">
        <v>2008</v>
      </c>
      <c r="F276" s="151" t="s">
        <v>99</v>
      </c>
      <c r="G276" s="151">
        <v>3849.5439999999999</v>
      </c>
      <c r="H276" s="152">
        <v>80.7</v>
      </c>
      <c r="I276" s="160">
        <v>196</v>
      </c>
      <c r="J276" s="160">
        <v>0</v>
      </c>
      <c r="K276" s="160">
        <v>2.9034237001842243E+18</v>
      </c>
    </row>
    <row r="277" spans="4:11" ht="15" customHeight="1">
      <c r="D277" s="158" t="b">
        <v>0</v>
      </c>
      <c r="E277" s="153">
        <v>2008</v>
      </c>
      <c r="F277" s="151" t="s">
        <v>95</v>
      </c>
      <c r="G277" s="151">
        <v>3955.136</v>
      </c>
      <c r="H277" s="152">
        <v>80.2</v>
      </c>
      <c r="I277" s="160">
        <v>197</v>
      </c>
      <c r="J277" s="160">
        <v>0</v>
      </c>
      <c r="K277" s="160">
        <v>4.1490971586158874E+18</v>
      </c>
    </row>
    <row r="278" spans="4:11" ht="15" customHeight="1">
      <c r="D278" s="158" t="b">
        <v>0</v>
      </c>
      <c r="E278" s="153">
        <v>2008</v>
      </c>
      <c r="F278" s="151" t="s">
        <v>96</v>
      </c>
      <c r="G278" s="151">
        <v>3729.3530000000001</v>
      </c>
      <c r="H278" s="152">
        <v>81.400000000000006</v>
      </c>
      <c r="I278" s="160">
        <v>198</v>
      </c>
      <c r="J278" s="160">
        <v>0</v>
      </c>
      <c r="K278" s="160">
        <v>1.3975382505859357E+19</v>
      </c>
    </row>
    <row r="279" spans="4:11" ht="15" customHeight="1">
      <c r="D279" s="158" t="b">
        <v>0</v>
      </c>
      <c r="E279" s="153">
        <v>2008</v>
      </c>
      <c r="F279" s="151" t="s">
        <v>97</v>
      </c>
      <c r="G279" s="151">
        <v>3207.8530000000001</v>
      </c>
      <c r="H279" s="152">
        <v>79.8</v>
      </c>
      <c r="I279" s="160">
        <v>199</v>
      </c>
      <c r="J279" s="160">
        <v>0</v>
      </c>
      <c r="K279" s="160">
        <v>1.1607267963976571E+19</v>
      </c>
    </row>
    <row r="280" spans="4:11" ht="15" customHeight="1">
      <c r="D280" s="158" t="b">
        <v>0</v>
      </c>
      <c r="E280" s="153">
        <v>2008</v>
      </c>
      <c r="F280" s="151" t="s">
        <v>94</v>
      </c>
      <c r="G280" s="151">
        <v>2799.1979999999999</v>
      </c>
      <c r="H280" s="152">
        <v>82.7</v>
      </c>
      <c r="I280" s="160">
        <v>200</v>
      </c>
      <c r="J280" s="160">
        <v>0</v>
      </c>
      <c r="K280" s="160">
        <v>3.2271808643279759E+18</v>
      </c>
    </row>
    <row r="281" spans="4:11" ht="15" customHeight="1">
      <c r="D281" s="158" t="b">
        <v>0</v>
      </c>
      <c r="E281" s="153">
        <v>2008</v>
      </c>
      <c r="F281" s="151" t="s">
        <v>98</v>
      </c>
      <c r="G281" s="151">
        <v>7385.0259999999998</v>
      </c>
      <c r="H281" s="152">
        <v>78.099999999999994</v>
      </c>
      <c r="I281" s="160">
        <v>201</v>
      </c>
      <c r="J281" s="160">
        <v>0</v>
      </c>
      <c r="K281" s="160">
        <v>1.7576974963941967E+18</v>
      </c>
    </row>
    <row r="282" spans="4:11" ht="15" customHeight="1">
      <c r="D282" s="158" t="b">
        <v>0</v>
      </c>
      <c r="E282" s="153">
        <v>2009</v>
      </c>
      <c r="F282" s="151" t="s">
        <v>99</v>
      </c>
      <c r="G282" s="151">
        <v>3945.873</v>
      </c>
      <c r="H282" s="152">
        <v>80.900000000000006</v>
      </c>
      <c r="I282" s="160">
        <v>202</v>
      </c>
      <c r="J282" s="160">
        <v>0</v>
      </c>
      <c r="K282" s="160">
        <v>7.5970822129668237E+17</v>
      </c>
    </row>
    <row r="283" spans="4:11" ht="15" customHeight="1">
      <c r="D283" s="158" t="b">
        <v>0</v>
      </c>
      <c r="E283" s="153">
        <v>2009</v>
      </c>
      <c r="F283" s="151" t="s">
        <v>95</v>
      </c>
      <c r="G283" s="151">
        <v>4158.2659999999996</v>
      </c>
      <c r="H283" s="152">
        <v>80.3</v>
      </c>
      <c r="I283" s="160">
        <v>203</v>
      </c>
      <c r="J283" s="160">
        <v>0</v>
      </c>
      <c r="K283" s="160">
        <v>1.1267742722861236E+19</v>
      </c>
    </row>
    <row r="284" spans="4:11" ht="15" customHeight="1">
      <c r="D284" s="158" t="b">
        <v>0</v>
      </c>
      <c r="E284" s="153">
        <v>2009</v>
      </c>
      <c r="F284" s="151" t="s">
        <v>96</v>
      </c>
      <c r="G284" s="151">
        <v>3880.8420000000001</v>
      </c>
      <c r="H284" s="152">
        <v>81.5</v>
      </c>
      <c r="I284" s="160">
        <v>204</v>
      </c>
      <c r="J284" s="160">
        <v>0</v>
      </c>
      <c r="K284" s="160">
        <v>1.0178524580391889E+19</v>
      </c>
    </row>
    <row r="285" spans="4:11" ht="15" customHeight="1">
      <c r="D285" s="158" t="b">
        <v>0</v>
      </c>
      <c r="E285" s="153">
        <v>2009</v>
      </c>
      <c r="F285" s="151" t="s">
        <v>97</v>
      </c>
      <c r="G285" s="151">
        <v>3334.5059999999999</v>
      </c>
      <c r="H285" s="152">
        <v>80.400000000000006</v>
      </c>
      <c r="I285" s="160">
        <v>205</v>
      </c>
      <c r="J285" s="160">
        <v>0</v>
      </c>
      <c r="K285" s="160">
        <v>1.7026482949169426E+19</v>
      </c>
    </row>
    <row r="286" spans="4:11" ht="15" customHeight="1">
      <c r="D286" s="158" t="b">
        <v>0</v>
      </c>
      <c r="E286" s="153">
        <v>2009</v>
      </c>
      <c r="F286" s="151" t="s">
        <v>94</v>
      </c>
      <c r="G286" s="151">
        <v>2971.377</v>
      </c>
      <c r="H286" s="152">
        <v>83</v>
      </c>
      <c r="I286" s="160">
        <v>206</v>
      </c>
      <c r="J286" s="160">
        <v>0</v>
      </c>
      <c r="K286" s="160">
        <v>1.014585322841301E+19</v>
      </c>
    </row>
    <row r="287" spans="4:11" ht="15" customHeight="1">
      <c r="D287" s="158" t="b">
        <v>0</v>
      </c>
      <c r="E287" s="153">
        <v>2009</v>
      </c>
      <c r="F287" s="151" t="s">
        <v>98</v>
      </c>
      <c r="G287" s="151">
        <v>7645.0020000000004</v>
      </c>
      <c r="H287" s="152">
        <v>78.5</v>
      </c>
      <c r="I287" s="160">
        <v>207</v>
      </c>
      <c r="J287" s="160">
        <v>0</v>
      </c>
      <c r="K287" s="160">
        <v>6.6202303008874496E+18</v>
      </c>
    </row>
    <row r="288" spans="4:11" ht="15" customHeight="1">
      <c r="D288" s="158" t="b">
        <v>0</v>
      </c>
      <c r="E288" s="153">
        <v>2010</v>
      </c>
      <c r="F288" s="151" t="s">
        <v>99</v>
      </c>
      <c r="G288" s="151">
        <v>4155.5290000000005</v>
      </c>
      <c r="H288" s="152">
        <v>81.2</v>
      </c>
      <c r="I288" s="160">
        <v>208</v>
      </c>
      <c r="J288" s="160">
        <v>0</v>
      </c>
      <c r="K288" s="160">
        <v>7.8811575584712438E+18</v>
      </c>
    </row>
    <row r="289" spans="4:11" ht="15" customHeight="1">
      <c r="D289" s="158" t="b">
        <v>0</v>
      </c>
      <c r="E289" s="153">
        <v>2010</v>
      </c>
      <c r="F289" s="151" t="s">
        <v>95</v>
      </c>
      <c r="G289" s="151">
        <v>4423.07</v>
      </c>
      <c r="H289" s="152">
        <v>80.5</v>
      </c>
      <c r="I289" s="160">
        <v>209</v>
      </c>
      <c r="J289" s="160">
        <v>0</v>
      </c>
      <c r="K289" s="160">
        <v>1.3914841913869388E+19</v>
      </c>
    </row>
    <row r="290" spans="4:11" ht="15" customHeight="1">
      <c r="D290" s="158" t="b">
        <v>0</v>
      </c>
      <c r="E290" s="153">
        <v>2010</v>
      </c>
      <c r="F290" s="151" t="s">
        <v>96</v>
      </c>
      <c r="G290" s="151">
        <v>4045.0650000000001</v>
      </c>
      <c r="H290" s="152">
        <v>81.8</v>
      </c>
      <c r="I290" s="160">
        <v>210</v>
      </c>
      <c r="J290" s="160">
        <v>0</v>
      </c>
      <c r="K290" s="160">
        <v>1.4552965542748393E+19</v>
      </c>
    </row>
    <row r="291" spans="4:11" ht="15" customHeight="1">
      <c r="D291" s="158" t="b">
        <v>0</v>
      </c>
      <c r="E291" s="153">
        <v>2010</v>
      </c>
      <c r="F291" s="151" t="s">
        <v>97</v>
      </c>
      <c r="G291" s="151">
        <v>3441.71</v>
      </c>
      <c r="H291" s="152">
        <v>80.599999999999994</v>
      </c>
      <c r="I291" s="160">
        <v>211</v>
      </c>
      <c r="J291" s="160">
        <v>0</v>
      </c>
      <c r="K291" s="160">
        <v>6.4416338812597268E+18</v>
      </c>
    </row>
    <row r="292" spans="4:11" ht="15" customHeight="1">
      <c r="D292" s="158" t="b">
        <v>0</v>
      </c>
      <c r="E292" s="153">
        <v>2010</v>
      </c>
      <c r="F292" s="151" t="s">
        <v>94</v>
      </c>
      <c r="G292" s="151">
        <v>3169.19</v>
      </c>
      <c r="H292" s="152">
        <v>82.9</v>
      </c>
      <c r="I292" s="160">
        <v>212</v>
      </c>
      <c r="J292" s="160">
        <v>0</v>
      </c>
      <c r="K292" s="160">
        <v>1.7164274467043752E+19</v>
      </c>
    </row>
    <row r="293" spans="4:11" ht="15" customHeight="1">
      <c r="D293" s="158" t="b">
        <v>0</v>
      </c>
      <c r="E293" s="153">
        <v>2010</v>
      </c>
      <c r="F293" s="151" t="s">
        <v>98</v>
      </c>
      <c r="G293" s="151">
        <v>7879.2529999999997</v>
      </c>
      <c r="H293" s="152">
        <v>78.599999999999994</v>
      </c>
      <c r="I293" s="160">
        <v>213</v>
      </c>
      <c r="J293" s="160">
        <v>0</v>
      </c>
      <c r="K293" s="160">
        <v>1.2620489339290237E+19</v>
      </c>
    </row>
    <row r="294" spans="4:11" ht="15" customHeight="1">
      <c r="D294" s="158" t="b">
        <v>0</v>
      </c>
      <c r="E294" s="153">
        <v>2011</v>
      </c>
      <c r="F294" s="151" t="s">
        <v>99</v>
      </c>
      <c r="G294" s="151">
        <v>4228.9620000000004</v>
      </c>
      <c r="H294" s="152">
        <v>81.400000000000006</v>
      </c>
      <c r="I294" s="160">
        <v>214</v>
      </c>
      <c r="J294" s="160">
        <v>0</v>
      </c>
      <c r="K294" s="160">
        <v>1.2756982452817713E+19</v>
      </c>
    </row>
    <row r="295" spans="4:11" ht="15" customHeight="1">
      <c r="D295" s="158" t="b">
        <v>0</v>
      </c>
      <c r="E295" s="153">
        <v>2011</v>
      </c>
      <c r="F295" s="151" t="s">
        <v>95</v>
      </c>
      <c r="G295" s="151">
        <v>4566.6779999999999</v>
      </c>
      <c r="H295" s="152">
        <v>80.5</v>
      </c>
      <c r="I295" s="160">
        <v>215</v>
      </c>
      <c r="J295" s="160">
        <v>0</v>
      </c>
      <c r="K295" s="160">
        <v>3.4183080138494285E+18</v>
      </c>
    </row>
    <row r="296" spans="4:11" ht="15" customHeight="1">
      <c r="D296" s="158" t="b">
        <v>0</v>
      </c>
      <c r="E296" s="153">
        <v>2011</v>
      </c>
      <c r="F296" s="151" t="s">
        <v>96</v>
      </c>
      <c r="G296" s="151">
        <v>4161.6980000000003</v>
      </c>
      <c r="H296" s="152">
        <v>82.3</v>
      </c>
      <c r="I296" s="160">
        <v>216</v>
      </c>
      <c r="J296" s="160">
        <v>0</v>
      </c>
      <c r="K296" s="160">
        <v>2.4660317644803502E+18</v>
      </c>
    </row>
    <row r="297" spans="4:11" ht="15" customHeight="1">
      <c r="D297" s="158" t="b">
        <v>0</v>
      </c>
      <c r="E297" s="153">
        <v>2011</v>
      </c>
      <c r="F297" s="151" t="s">
        <v>97</v>
      </c>
      <c r="G297" s="151">
        <v>3495.652</v>
      </c>
      <c r="H297" s="152">
        <v>81</v>
      </c>
      <c r="I297" s="160">
        <v>217</v>
      </c>
      <c r="J297" s="160">
        <v>0</v>
      </c>
      <c r="K297" s="160">
        <v>5.0306665156751329E+18</v>
      </c>
    </row>
    <row r="298" spans="4:11" ht="15" customHeight="1">
      <c r="D298" s="158" t="b">
        <v>0</v>
      </c>
      <c r="E298" s="153">
        <v>2011</v>
      </c>
      <c r="F298" s="151" t="s">
        <v>94</v>
      </c>
      <c r="G298" s="151">
        <v>3740.7559999999999</v>
      </c>
      <c r="H298" s="152">
        <v>82.7</v>
      </c>
      <c r="I298" s="160">
        <v>218</v>
      </c>
      <c r="J298" s="160">
        <v>0</v>
      </c>
      <c r="K298" s="160">
        <v>1.0093975085779407E+19</v>
      </c>
    </row>
    <row r="299" spans="4:11" ht="15" customHeight="1">
      <c r="D299" s="158" t="b">
        <v>0</v>
      </c>
      <c r="E299" s="153">
        <v>2011</v>
      </c>
      <c r="F299" s="151" t="s">
        <v>98</v>
      </c>
      <c r="G299" s="151">
        <v>8079.4669999999996</v>
      </c>
      <c r="H299" s="152">
        <v>78.7</v>
      </c>
      <c r="I299" s="160">
        <v>219</v>
      </c>
      <c r="J299" s="160">
        <v>0</v>
      </c>
      <c r="K299" s="160">
        <v>4.356681171458345E+17</v>
      </c>
    </row>
    <row r="300" spans="4:11" ht="15" customHeight="1">
      <c r="D300" s="158" t="b">
        <v>0</v>
      </c>
      <c r="E300" s="153">
        <v>2012</v>
      </c>
      <c r="F300" s="151" t="s">
        <v>99</v>
      </c>
      <c r="G300" s="151">
        <v>4336.2489999999998</v>
      </c>
      <c r="H300" s="152">
        <v>81.599999999999994</v>
      </c>
      <c r="I300" s="160">
        <v>220</v>
      </c>
      <c r="J300" s="160">
        <v>0</v>
      </c>
      <c r="K300" s="160">
        <v>9.4281179903673364E+18</v>
      </c>
    </row>
    <row r="301" spans="4:11" ht="15" customHeight="1">
      <c r="D301" s="158" t="b">
        <v>0</v>
      </c>
      <c r="E301" s="153">
        <v>2012</v>
      </c>
      <c r="F301" s="151" t="s">
        <v>95</v>
      </c>
      <c r="G301" s="151">
        <v>4745.5460000000003</v>
      </c>
      <c r="H301" s="152">
        <v>80.599999999999994</v>
      </c>
      <c r="I301" s="160">
        <v>221</v>
      </c>
      <c r="J301" s="160">
        <v>0</v>
      </c>
      <c r="K301" s="160">
        <v>1.6936230751985659E+18</v>
      </c>
    </row>
    <row r="302" spans="4:11" ht="15" customHeight="1">
      <c r="D302" s="158" t="b">
        <v>0</v>
      </c>
      <c r="E302" s="153">
        <v>2012</v>
      </c>
      <c r="F302" s="151" t="s">
        <v>96</v>
      </c>
      <c r="G302" s="151">
        <v>4299.4340000000002</v>
      </c>
      <c r="H302" s="152">
        <v>82.1</v>
      </c>
      <c r="I302" s="160">
        <v>222</v>
      </c>
      <c r="J302" s="160">
        <v>0</v>
      </c>
      <c r="K302" s="160">
        <v>1.1416224642025132E+19</v>
      </c>
    </row>
    <row r="303" spans="4:11" ht="15" customHeight="1">
      <c r="D303" s="158" t="b">
        <v>0</v>
      </c>
      <c r="E303" s="153">
        <v>2012</v>
      </c>
      <c r="F303" s="151" t="s">
        <v>97</v>
      </c>
      <c r="G303" s="151">
        <v>3614.1309999999999</v>
      </c>
      <c r="H303" s="152">
        <v>81</v>
      </c>
      <c r="I303" s="160">
        <v>223</v>
      </c>
      <c r="J303" s="160">
        <v>0</v>
      </c>
      <c r="K303" s="160">
        <v>3.5534754202490648E+16</v>
      </c>
    </row>
    <row r="304" spans="4:11" ht="15" customHeight="1">
      <c r="D304" s="158" t="b">
        <v>0</v>
      </c>
      <c r="E304" s="153">
        <v>2012</v>
      </c>
      <c r="F304" s="151" t="s">
        <v>94</v>
      </c>
      <c r="G304" s="151">
        <v>3970.7649999999999</v>
      </c>
      <c r="H304" s="152">
        <v>83.2</v>
      </c>
      <c r="I304" s="160">
        <v>224</v>
      </c>
      <c r="J304" s="160">
        <v>0</v>
      </c>
      <c r="K304" s="160">
        <v>1.3701639697477087E+19</v>
      </c>
    </row>
    <row r="305" spans="4:11" ht="15" customHeight="1">
      <c r="D305" s="158" t="b">
        <v>0</v>
      </c>
      <c r="E305" s="153">
        <v>2012</v>
      </c>
      <c r="F305" s="151" t="s">
        <v>98</v>
      </c>
      <c r="G305" s="151">
        <v>8346.0640000000003</v>
      </c>
      <c r="H305" s="152">
        <v>78.8</v>
      </c>
      <c r="I305" s="160">
        <v>225</v>
      </c>
      <c r="J305" s="160">
        <v>0</v>
      </c>
      <c r="K305" s="160">
        <v>2.1066618347693847E+18</v>
      </c>
    </row>
    <row r="306" spans="4:11" ht="15" customHeight="1">
      <c r="D306" s="158" t="b">
        <v>0</v>
      </c>
      <c r="E306" s="153">
        <v>2013</v>
      </c>
      <c r="F306" s="151" t="s">
        <v>99</v>
      </c>
      <c r="G306" s="151">
        <v>4428.7529999999997</v>
      </c>
      <c r="H306" s="152">
        <v>81.7</v>
      </c>
      <c r="I306" s="160">
        <v>226</v>
      </c>
      <c r="J306" s="160">
        <v>0</v>
      </c>
      <c r="K306" s="160">
        <v>9.4501835552345088E+18</v>
      </c>
    </row>
    <row r="307" spans="4:11" ht="15" customHeight="1">
      <c r="D307" s="158" t="b">
        <v>0</v>
      </c>
      <c r="E307" s="153">
        <v>2013</v>
      </c>
      <c r="F307" s="151" t="s">
        <v>95</v>
      </c>
      <c r="G307" s="151">
        <v>4951.6769999999997</v>
      </c>
      <c r="H307" s="152">
        <v>80.599999999999994</v>
      </c>
      <c r="I307" s="160">
        <v>227</v>
      </c>
      <c r="J307" s="160">
        <v>0</v>
      </c>
      <c r="K307" s="160">
        <v>1.4704046457345892E+19</v>
      </c>
    </row>
    <row r="308" spans="4:11" ht="15" customHeight="1">
      <c r="D308" s="158" t="b">
        <v>0</v>
      </c>
      <c r="E308" s="153">
        <v>2013</v>
      </c>
      <c r="F308" s="151" t="s">
        <v>96</v>
      </c>
      <c r="G308" s="151">
        <v>4544.9639999999999</v>
      </c>
      <c r="H308" s="152">
        <v>82.3</v>
      </c>
      <c r="I308" s="160">
        <v>228</v>
      </c>
      <c r="J308" s="160">
        <v>0</v>
      </c>
      <c r="K308" s="160">
        <v>7.3974126683972833E+18</v>
      </c>
    </row>
    <row r="309" spans="4:11" ht="15" customHeight="1">
      <c r="D309" s="158" t="b">
        <v>0</v>
      </c>
      <c r="E309" s="153">
        <v>2013</v>
      </c>
      <c r="F309" s="151" t="s">
        <v>97</v>
      </c>
      <c r="G309" s="151">
        <v>3667.636</v>
      </c>
      <c r="H309" s="152">
        <v>81.099999999999994</v>
      </c>
      <c r="I309" s="160">
        <v>229</v>
      </c>
      <c r="J309" s="160">
        <v>0</v>
      </c>
      <c r="K309" s="160">
        <v>1.1431181095681733E+19</v>
      </c>
    </row>
    <row r="310" spans="4:11" ht="15" customHeight="1">
      <c r="D310" s="158" t="b">
        <v>0</v>
      </c>
      <c r="E310" s="153">
        <v>2013</v>
      </c>
      <c r="F310" s="151" t="s">
        <v>94</v>
      </c>
      <c r="G310" s="151">
        <v>4308.2520000000004</v>
      </c>
      <c r="H310" s="152">
        <v>83.4</v>
      </c>
      <c r="I310" s="160">
        <v>230</v>
      </c>
      <c r="J310" s="160">
        <v>0</v>
      </c>
      <c r="K310" s="160">
        <v>1.3913410719102863E+19</v>
      </c>
    </row>
    <row r="311" spans="4:11" ht="15" customHeight="1">
      <c r="D311" s="158" t="b">
        <v>0</v>
      </c>
      <c r="E311" s="153">
        <v>2013</v>
      </c>
      <c r="F311" s="151" t="s">
        <v>98</v>
      </c>
      <c r="G311" s="151">
        <v>8519.6200000000008</v>
      </c>
      <c r="H311" s="152">
        <v>78.8</v>
      </c>
      <c r="I311" s="160">
        <v>231</v>
      </c>
      <c r="J311" s="160">
        <v>0</v>
      </c>
      <c r="K311" s="160">
        <v>8.9518463824955464E+18</v>
      </c>
    </row>
    <row r="312" spans="4:11" ht="15" customHeight="1">
      <c r="D312" s="158" t="b">
        <v>0</v>
      </c>
      <c r="E312" s="153">
        <v>2014</v>
      </c>
      <c r="F312" s="151" t="s">
        <v>99</v>
      </c>
      <c r="G312" s="151">
        <v>4536.8100000000004</v>
      </c>
      <c r="H312" s="152">
        <v>81.8</v>
      </c>
      <c r="I312" s="160">
        <v>232</v>
      </c>
      <c r="J312" s="160">
        <v>0</v>
      </c>
      <c r="K312" s="160">
        <v>3.6770777282596695E+18</v>
      </c>
    </row>
    <row r="313" spans="4:11" ht="15" customHeight="1">
      <c r="D313" s="158" t="b">
        <v>0</v>
      </c>
      <c r="E313" s="153">
        <v>2014</v>
      </c>
      <c r="F313" s="151" t="s">
        <v>95</v>
      </c>
      <c r="G313" s="151">
        <v>5151.7089999999998</v>
      </c>
      <c r="H313" s="152">
        <v>81.2</v>
      </c>
      <c r="I313" s="160">
        <v>233</v>
      </c>
      <c r="J313" s="160">
        <v>0</v>
      </c>
      <c r="K313" s="160">
        <v>1.1339316650402693E+19</v>
      </c>
    </row>
    <row r="314" spans="4:11" ht="15" customHeight="1">
      <c r="D314" s="158" t="b">
        <v>0</v>
      </c>
      <c r="E314" s="153">
        <v>2014</v>
      </c>
      <c r="F314" s="151" t="s">
        <v>96</v>
      </c>
      <c r="G314" s="151">
        <v>4626.6790000000001</v>
      </c>
      <c r="H314" s="152">
        <v>82.8</v>
      </c>
      <c r="I314" s="160">
        <v>234</v>
      </c>
      <c r="J314" s="160">
        <v>0</v>
      </c>
      <c r="K314" s="160">
        <v>1.0723900586576658E+19</v>
      </c>
    </row>
    <row r="315" spans="4:11" ht="15" customHeight="1">
      <c r="D315" s="158" t="b">
        <v>0</v>
      </c>
      <c r="E315" s="153">
        <v>2014</v>
      </c>
      <c r="F315" s="151" t="s">
        <v>97</v>
      </c>
      <c r="G315" s="151">
        <v>3758.9349999999999</v>
      </c>
      <c r="H315" s="152">
        <v>81.400000000000006</v>
      </c>
      <c r="I315" s="160">
        <v>235</v>
      </c>
      <c r="J315" s="160">
        <v>0</v>
      </c>
      <c r="K315" s="160">
        <v>1.7395865274327126E+19</v>
      </c>
    </row>
    <row r="316" spans="4:11" ht="15" customHeight="1">
      <c r="D316" s="158" t="b">
        <v>0</v>
      </c>
      <c r="E316" s="153">
        <v>2014</v>
      </c>
      <c r="F316" s="151" t="s">
        <v>94</v>
      </c>
      <c r="G316" s="151">
        <v>4328.3639999999996</v>
      </c>
      <c r="H316" s="152">
        <v>83.7</v>
      </c>
      <c r="I316" s="160">
        <v>236</v>
      </c>
      <c r="J316" s="160">
        <v>0</v>
      </c>
      <c r="K316" s="160">
        <v>5.2721619714352292E+18</v>
      </c>
    </row>
    <row r="317" spans="4:11" ht="15" customHeight="1">
      <c r="D317" s="158" t="b">
        <v>0</v>
      </c>
      <c r="E317" s="153">
        <v>2014</v>
      </c>
      <c r="F317" s="151" t="s">
        <v>98</v>
      </c>
      <c r="G317" s="151">
        <v>8925.8790000000008</v>
      </c>
      <c r="H317" s="152">
        <v>78.900000000000006</v>
      </c>
      <c r="I317" s="160">
        <v>237</v>
      </c>
      <c r="J317" s="160">
        <v>0</v>
      </c>
      <c r="K317" s="160">
        <v>1.5328534305397369E+19</v>
      </c>
    </row>
    <row r="318" spans="4:11" ht="15" customHeight="1">
      <c r="D318" s="158" t="b">
        <v>0</v>
      </c>
      <c r="E318" s="153">
        <v>2015</v>
      </c>
      <c r="F318" s="151" t="s">
        <v>99</v>
      </c>
      <c r="G318" s="151">
        <v>4635.2849999999999</v>
      </c>
      <c r="H318" s="152">
        <v>81.900000000000006</v>
      </c>
      <c r="I318" s="160">
        <v>238</v>
      </c>
      <c r="J318" s="160">
        <v>0</v>
      </c>
      <c r="K318" s="160">
        <v>1.5594091648310362E+19</v>
      </c>
    </row>
    <row r="319" spans="4:11" ht="15" customHeight="1">
      <c r="D319" s="158" t="b">
        <v>0</v>
      </c>
      <c r="E319" s="153">
        <v>2015</v>
      </c>
      <c r="F319" s="151" t="s">
        <v>95</v>
      </c>
      <c r="G319" s="151">
        <v>5295.9750000000004</v>
      </c>
      <c r="H319" s="152">
        <v>80.7</v>
      </c>
      <c r="I319" s="160">
        <v>239</v>
      </c>
      <c r="J319" s="160">
        <v>0</v>
      </c>
      <c r="K319" s="160">
        <v>4.5741649678378092E+18</v>
      </c>
    </row>
    <row r="320" spans="4:11" ht="15" customHeight="1">
      <c r="D320" s="158" t="b">
        <v>0</v>
      </c>
      <c r="E320" s="153">
        <v>2015</v>
      </c>
      <c r="F320" s="151" t="s">
        <v>96</v>
      </c>
      <c r="G320" s="151">
        <v>4667.1559999999999</v>
      </c>
      <c r="H320" s="152">
        <v>82.4</v>
      </c>
      <c r="I320" s="160">
        <v>240</v>
      </c>
      <c r="J320" s="160">
        <v>0</v>
      </c>
      <c r="K320" s="160">
        <v>1.2964597398822308E+19</v>
      </c>
    </row>
    <row r="321" spans="4:11" ht="15" customHeight="1">
      <c r="D321" s="158" t="b">
        <v>0</v>
      </c>
      <c r="E321" s="153">
        <v>2015</v>
      </c>
      <c r="F321" s="151" t="s">
        <v>97</v>
      </c>
      <c r="G321" s="151">
        <v>3805.82</v>
      </c>
      <c r="H321" s="152">
        <v>81</v>
      </c>
      <c r="I321" s="160">
        <v>241</v>
      </c>
      <c r="J321" s="160">
        <v>0</v>
      </c>
      <c r="K321" s="160">
        <v>1.6490385155242154E+19</v>
      </c>
    </row>
    <row r="322" spans="4:11" ht="15" customHeight="1">
      <c r="D322" s="158" t="b">
        <v>0</v>
      </c>
      <c r="E322" s="153">
        <v>2015</v>
      </c>
      <c r="F322" s="151" t="s">
        <v>94</v>
      </c>
      <c r="G322" s="151">
        <v>4515.5559999999996</v>
      </c>
      <c r="H322" s="152">
        <v>83.9</v>
      </c>
      <c r="I322" s="160">
        <v>242</v>
      </c>
      <c r="J322" s="160">
        <v>0</v>
      </c>
      <c r="K322" s="160">
        <v>1.4577872448898611E+19</v>
      </c>
    </row>
    <row r="323" spans="4:11" ht="15" customHeight="1">
      <c r="D323" s="158" t="b">
        <v>0</v>
      </c>
      <c r="E323" s="153">
        <v>2015</v>
      </c>
      <c r="F323" s="151" t="s">
        <v>98</v>
      </c>
      <c r="G323" s="151">
        <v>9355.1180000000004</v>
      </c>
      <c r="H323" s="152">
        <v>78.7</v>
      </c>
      <c r="I323" s="160">
        <v>243</v>
      </c>
      <c r="J323" s="160">
        <v>0</v>
      </c>
      <c r="K323" s="160">
        <v>1.4526370162614184E+19</v>
      </c>
    </row>
    <row r="324" spans="4:11" ht="15" customHeight="1">
      <c r="D324" s="158" t="b">
        <v>0</v>
      </c>
      <c r="E324" s="153">
        <v>2016</v>
      </c>
      <c r="F324" s="151" t="s">
        <v>99</v>
      </c>
      <c r="G324" s="151">
        <v>5044.2749999999996</v>
      </c>
      <c r="H324" s="152">
        <v>82</v>
      </c>
      <c r="I324" s="160">
        <v>244</v>
      </c>
      <c r="J324" s="160">
        <v>0</v>
      </c>
      <c r="K324" s="160">
        <v>4.6226913442802207E+18</v>
      </c>
    </row>
    <row r="325" spans="4:11" ht="15" customHeight="1">
      <c r="D325" s="158" t="b">
        <v>0</v>
      </c>
      <c r="E325" s="153">
        <v>2016</v>
      </c>
      <c r="F325" s="151" t="s">
        <v>95</v>
      </c>
      <c r="G325" s="151">
        <v>5669.0640000000003</v>
      </c>
      <c r="H325" s="152">
        <v>81</v>
      </c>
      <c r="I325" s="160">
        <v>245</v>
      </c>
      <c r="J325" s="160">
        <v>0</v>
      </c>
      <c r="K325" s="160">
        <v>1.294438639255629E+19</v>
      </c>
    </row>
    <row r="326" spans="4:11" ht="15" customHeight="1">
      <c r="D326" s="158" t="b">
        <v>0</v>
      </c>
      <c r="E326" s="153">
        <v>2016</v>
      </c>
      <c r="F326" s="151" t="s">
        <v>96</v>
      </c>
      <c r="G326" s="151">
        <v>4928.1279999999997</v>
      </c>
      <c r="H326" s="152">
        <v>82.7</v>
      </c>
      <c r="I326" s="160">
        <v>246</v>
      </c>
      <c r="J326" s="160">
        <v>0</v>
      </c>
      <c r="K326" s="160">
        <v>3.9890734488421037E+17</v>
      </c>
    </row>
    <row r="327" spans="4:11" ht="15" customHeight="1">
      <c r="D327" s="158" t="b">
        <v>0</v>
      </c>
      <c r="E327" s="153">
        <v>2016</v>
      </c>
      <c r="F327" s="151" t="s">
        <v>97</v>
      </c>
      <c r="G327" s="151">
        <v>3960.1410000000001</v>
      </c>
      <c r="H327" s="152">
        <v>81.2</v>
      </c>
      <c r="I327" s="160">
        <v>247</v>
      </c>
      <c r="J327" s="160">
        <v>0</v>
      </c>
      <c r="K327" s="160">
        <v>5.3006730820572498E+18</v>
      </c>
    </row>
    <row r="328" spans="4:11" ht="15" customHeight="1">
      <c r="D328" s="158" t="b">
        <v>0</v>
      </c>
      <c r="E328" s="153">
        <v>2016</v>
      </c>
      <c r="F328" s="151" t="s">
        <v>94</v>
      </c>
      <c r="G328" s="151">
        <v>4295.8580000000002</v>
      </c>
      <c r="H328" s="152">
        <v>84.1</v>
      </c>
      <c r="I328" s="160">
        <v>248</v>
      </c>
      <c r="J328" s="160">
        <v>0</v>
      </c>
      <c r="K328" s="160">
        <v>6.0584433077476147E+17</v>
      </c>
    </row>
    <row r="329" spans="4:11" ht="15" customHeight="1">
      <c r="D329" s="158" t="b">
        <v>0</v>
      </c>
      <c r="E329" s="153">
        <v>2016</v>
      </c>
      <c r="F329" s="151" t="s">
        <v>98</v>
      </c>
      <c r="G329" s="151">
        <v>9717.6489999999994</v>
      </c>
      <c r="H329" s="152">
        <v>78.7</v>
      </c>
      <c r="I329" s="160">
        <v>249</v>
      </c>
      <c r="J329" s="160">
        <v>0</v>
      </c>
      <c r="K329" s="160">
        <v>1.283645314213591E+18</v>
      </c>
    </row>
    <row r="330" spans="4:11" ht="15" customHeight="1">
      <c r="D330" s="158" t="b">
        <v>0</v>
      </c>
      <c r="E330" s="153">
        <v>2017</v>
      </c>
      <c r="F330" s="151" t="s">
        <v>99</v>
      </c>
      <c r="G330" s="151">
        <v>5150.47</v>
      </c>
      <c r="H330" s="152">
        <v>81.900000000000006</v>
      </c>
      <c r="I330" s="160">
        <v>250</v>
      </c>
      <c r="J330" s="160">
        <v>0</v>
      </c>
      <c r="K330" s="160">
        <v>1.4512281593650311E+19</v>
      </c>
    </row>
    <row r="331" spans="4:11" ht="15" customHeight="1">
      <c r="D331" s="158" t="b">
        <v>0</v>
      </c>
      <c r="E331" s="153">
        <v>2017</v>
      </c>
      <c r="F331" s="151" t="s">
        <v>95</v>
      </c>
      <c r="G331" s="151">
        <v>5970.1629999999996</v>
      </c>
      <c r="H331" s="152">
        <v>81.099999999999994</v>
      </c>
      <c r="I331" s="160">
        <v>251</v>
      </c>
      <c r="J331" s="160">
        <v>0</v>
      </c>
      <c r="K331" s="160">
        <v>1.6094530506397082E+19</v>
      </c>
    </row>
    <row r="332" spans="4:11" ht="15" customHeight="1">
      <c r="D332" s="158" t="b">
        <v>0</v>
      </c>
      <c r="E332" s="153">
        <v>2017</v>
      </c>
      <c r="F332" s="151" t="s">
        <v>96</v>
      </c>
      <c r="G332" s="151">
        <v>5005.7560000000003</v>
      </c>
      <c r="H332" s="152">
        <v>82.7</v>
      </c>
      <c r="I332" s="160">
        <v>252</v>
      </c>
      <c r="J332" s="160">
        <v>0</v>
      </c>
      <c r="K332" s="160">
        <v>5.97041752431441E+18</v>
      </c>
    </row>
    <row r="333" spans="4:11" ht="15" customHeight="1">
      <c r="D333" s="158" t="b">
        <v>0</v>
      </c>
      <c r="E333" s="153">
        <v>2017</v>
      </c>
      <c r="F333" s="151" t="s">
        <v>97</v>
      </c>
      <c r="G333" s="151">
        <v>4059.125</v>
      </c>
      <c r="H333" s="152">
        <v>81.3</v>
      </c>
      <c r="I333" s="160">
        <v>253</v>
      </c>
      <c r="J333" s="160">
        <v>0</v>
      </c>
      <c r="K333" s="160">
        <v>1.5153931314228027E+19</v>
      </c>
    </row>
    <row r="334" spans="4:11" ht="15" customHeight="1">
      <c r="D334" s="158" t="b">
        <v>0</v>
      </c>
      <c r="E334" s="153">
        <v>2017</v>
      </c>
      <c r="F334" s="151" t="s">
        <v>94</v>
      </c>
      <c r="G334" s="151">
        <v>4412.8519999999999</v>
      </c>
      <c r="H334" s="152">
        <v>84.2</v>
      </c>
      <c r="I334" s="160">
        <v>254</v>
      </c>
      <c r="J334" s="160">
        <v>0</v>
      </c>
      <c r="K334" s="160">
        <v>1.0072182895810762E+18</v>
      </c>
    </row>
    <row r="335" spans="4:11" ht="15" customHeight="1">
      <c r="D335" s="158" t="b">
        <v>0</v>
      </c>
      <c r="E335" s="153">
        <v>2017</v>
      </c>
      <c r="F335" s="151" t="s">
        <v>98</v>
      </c>
      <c r="G335" s="151">
        <v>10046.472</v>
      </c>
      <c r="H335" s="152">
        <v>78.599999999999994</v>
      </c>
      <c r="I335" s="160">
        <v>255</v>
      </c>
      <c r="J335" s="160">
        <v>0</v>
      </c>
      <c r="K335" s="160">
        <v>1.7468570957700471E+19</v>
      </c>
    </row>
    <row r="336" spans="4:11" ht="15" customHeight="1">
      <c r="D336" s="158" t="b">
        <v>0</v>
      </c>
      <c r="E336" s="153">
        <v>2018</v>
      </c>
      <c r="F336" s="151" t="s">
        <v>99</v>
      </c>
      <c r="G336" s="151">
        <v>5308.3559999999998</v>
      </c>
      <c r="H336" s="152">
        <v>82</v>
      </c>
      <c r="I336" s="160">
        <v>256</v>
      </c>
      <c r="J336" s="160">
        <v>0</v>
      </c>
      <c r="K336" s="160">
        <v>1.5936904061249642E+19</v>
      </c>
    </row>
    <row r="337" spans="4:11" ht="15" customHeight="1">
      <c r="D337" s="158" t="b">
        <v>0</v>
      </c>
      <c r="E337" s="153">
        <v>2018</v>
      </c>
      <c r="F337" s="151" t="s">
        <v>95</v>
      </c>
      <c r="G337" s="151">
        <v>6281.84</v>
      </c>
      <c r="H337" s="152">
        <v>81</v>
      </c>
      <c r="I337" s="160">
        <v>257</v>
      </c>
      <c r="J337" s="160">
        <v>0</v>
      </c>
      <c r="K337" s="160">
        <v>1.8209563160729846E+19</v>
      </c>
    </row>
    <row r="338" spans="4:11" ht="15" customHeight="1">
      <c r="D338" s="158" t="b">
        <v>0</v>
      </c>
      <c r="E338" s="153">
        <v>2018</v>
      </c>
      <c r="F338" s="151" t="s">
        <v>96</v>
      </c>
      <c r="G338" s="151">
        <v>5099.3059999999996</v>
      </c>
      <c r="H338" s="152">
        <v>82.8</v>
      </c>
      <c r="I338" s="160">
        <v>258</v>
      </c>
      <c r="J338" s="160">
        <v>0</v>
      </c>
      <c r="K338" s="160">
        <v>1.0995670374534783E+19</v>
      </c>
    </row>
    <row r="339" spans="4:11" ht="15" customHeight="1">
      <c r="D339" s="158" t="b">
        <v>0</v>
      </c>
      <c r="E339" s="153">
        <v>2018</v>
      </c>
      <c r="F339" s="151" t="s">
        <v>97</v>
      </c>
      <c r="G339" s="151">
        <v>4189.7079999999996</v>
      </c>
      <c r="H339" s="152">
        <v>81.3</v>
      </c>
      <c r="I339" s="160">
        <v>259</v>
      </c>
      <c r="J339" s="160">
        <v>0</v>
      </c>
      <c r="K339" s="160">
        <v>9.9792186574900163E+18</v>
      </c>
    </row>
    <row r="340" spans="4:11" ht="15" customHeight="1">
      <c r="D340" s="158" t="b">
        <v>0</v>
      </c>
      <c r="E340" s="153">
        <v>2018</v>
      </c>
      <c r="F340" s="151" t="s">
        <v>94</v>
      </c>
      <c r="G340" s="151">
        <v>4554.2759999999998</v>
      </c>
      <c r="H340" s="152">
        <v>84.3</v>
      </c>
      <c r="I340" s="160">
        <v>260</v>
      </c>
      <c r="J340" s="160">
        <v>0</v>
      </c>
      <c r="K340" s="160">
        <v>1.6105895900211304E+19</v>
      </c>
    </row>
    <row r="341" spans="4:11" ht="15" customHeight="1">
      <c r="D341" s="158" t="b">
        <v>0</v>
      </c>
      <c r="E341" s="153">
        <v>2018</v>
      </c>
      <c r="F341" s="151" t="s">
        <v>98</v>
      </c>
      <c r="G341" s="151">
        <v>10451.386</v>
      </c>
      <c r="H341" s="152">
        <v>78.7</v>
      </c>
      <c r="I341" s="160">
        <v>261</v>
      </c>
      <c r="J341" s="160">
        <v>0</v>
      </c>
      <c r="K341" s="160">
        <v>7.5622283251454761E+18</v>
      </c>
    </row>
    <row r="342" spans="4:11" ht="15" customHeight="1">
      <c r="D342" s="158" t="b">
        <v>0</v>
      </c>
      <c r="E342" s="153">
        <v>2019</v>
      </c>
      <c r="F342" s="151" t="s">
        <v>99</v>
      </c>
      <c r="G342" s="151">
        <v>5189.7209999999995</v>
      </c>
      <c r="H342" s="152">
        <v>82.2</v>
      </c>
      <c r="I342" s="160">
        <v>262</v>
      </c>
      <c r="J342" s="160">
        <v>0</v>
      </c>
      <c r="K342" s="160">
        <v>6.9928452174231276E+18</v>
      </c>
    </row>
    <row r="343" spans="4:11" ht="15" customHeight="1">
      <c r="D343" s="158" t="b">
        <v>0</v>
      </c>
      <c r="E343" s="153">
        <v>2019</v>
      </c>
      <c r="F343" s="151" t="s">
        <v>95</v>
      </c>
      <c r="G343" s="151">
        <v>6407.9279999999999</v>
      </c>
      <c r="H343" s="152">
        <v>81.3</v>
      </c>
      <c r="I343" s="160">
        <v>263</v>
      </c>
      <c r="J343" s="160">
        <v>0</v>
      </c>
      <c r="K343" s="160">
        <v>1.7198410058236377E+19</v>
      </c>
    </row>
    <row r="344" spans="4:11" ht="15" customHeight="1">
      <c r="D344" s="158" t="b">
        <v>0</v>
      </c>
      <c r="E344" s="153">
        <v>2019</v>
      </c>
      <c r="F344" s="151" t="s">
        <v>96</v>
      </c>
      <c r="G344" s="151">
        <v>5167.8389999999999</v>
      </c>
      <c r="H344" s="152">
        <v>82.9</v>
      </c>
      <c r="I344" s="160">
        <v>264</v>
      </c>
      <c r="J344" s="160">
        <v>0</v>
      </c>
      <c r="K344" s="160">
        <v>9.6815503847855657E+18</v>
      </c>
    </row>
    <row r="345" spans="4:11" ht="15" customHeight="1">
      <c r="D345" s="158" t="b">
        <v>0</v>
      </c>
      <c r="E345" s="153">
        <v>2019</v>
      </c>
      <c r="F345" s="151" t="s">
        <v>97</v>
      </c>
      <c r="G345" s="151">
        <v>4385.4629999999997</v>
      </c>
      <c r="H345" s="152">
        <v>81.400000000000006</v>
      </c>
      <c r="I345" s="160">
        <v>265</v>
      </c>
      <c r="J345" s="160">
        <v>0</v>
      </c>
      <c r="K345" s="160">
        <v>1.4016714455413096E+19</v>
      </c>
    </row>
    <row r="346" spans="4:11" ht="15" customHeight="1">
      <c r="D346" s="158" t="b">
        <v>0</v>
      </c>
      <c r="E346" s="153">
        <v>2019</v>
      </c>
      <c r="F346" s="151" t="s">
        <v>94</v>
      </c>
      <c r="G346" s="151">
        <v>4610.7939999999999</v>
      </c>
      <c r="H346" s="152">
        <v>84.4</v>
      </c>
      <c r="I346" s="160">
        <v>266</v>
      </c>
      <c r="J346" s="160">
        <v>0</v>
      </c>
      <c r="K346" s="160">
        <v>2.0142343694348344E+18</v>
      </c>
    </row>
    <row r="347" spans="4:11" ht="15" customHeight="1">
      <c r="D347" s="158" t="b">
        <v>0</v>
      </c>
      <c r="E347" s="153">
        <v>2019</v>
      </c>
      <c r="F347" s="151" t="s">
        <v>98</v>
      </c>
      <c r="G347" s="151">
        <v>10855.517</v>
      </c>
      <c r="H347" s="152">
        <v>78.8</v>
      </c>
      <c r="I347" s="160">
        <v>267</v>
      </c>
      <c r="J347" s="160">
        <v>0</v>
      </c>
      <c r="K347" s="160">
        <v>6.6896381646960261E+18</v>
      </c>
    </row>
    <row r="348" spans="4:11" ht="15" customHeight="1">
      <c r="D348" s="158" t="b">
        <v>0</v>
      </c>
      <c r="E348" s="153">
        <v>2020</v>
      </c>
      <c r="F348" s="151" t="s">
        <v>99</v>
      </c>
      <c r="G348" s="151">
        <v>5828.3239999999996</v>
      </c>
      <c r="H348" s="152">
        <v>81.7</v>
      </c>
      <c r="I348" s="160">
        <v>268</v>
      </c>
      <c r="J348" s="160">
        <v>0</v>
      </c>
      <c r="K348" s="160">
        <v>1.3115412520040126E+19</v>
      </c>
    </row>
    <row r="349" spans="4:11" ht="15" customHeight="1">
      <c r="D349" s="158" t="b">
        <v>0</v>
      </c>
      <c r="E349" s="153">
        <v>2020</v>
      </c>
      <c r="F349" s="151" t="s">
        <v>95</v>
      </c>
      <c r="G349" s="151">
        <v>6938.9830000000002</v>
      </c>
      <c r="H349" s="152">
        <v>81.099999999999994</v>
      </c>
      <c r="I349" s="160">
        <v>269</v>
      </c>
      <c r="J349" s="160">
        <v>0</v>
      </c>
      <c r="K349" s="160">
        <v>1.7493603242627203E+18</v>
      </c>
    </row>
    <row r="350" spans="4:11" ht="15" customHeight="1">
      <c r="D350" s="158" t="b">
        <v>0</v>
      </c>
      <c r="E350" s="153">
        <v>2020</v>
      </c>
      <c r="F350" s="151" t="s">
        <v>96</v>
      </c>
      <c r="G350" s="151">
        <v>5468.4179999999997</v>
      </c>
      <c r="H350" s="152">
        <v>82.3</v>
      </c>
      <c r="I350" s="160">
        <v>270</v>
      </c>
      <c r="J350" s="160">
        <v>0</v>
      </c>
      <c r="K350" s="160">
        <v>1.2235585408411933E+19</v>
      </c>
    </row>
    <row r="351" spans="4:11" ht="15" customHeight="1">
      <c r="D351" s="158" t="b">
        <v>0</v>
      </c>
      <c r="E351" s="153">
        <v>2020</v>
      </c>
      <c r="F351" s="151" t="s">
        <v>97</v>
      </c>
      <c r="G351" s="151">
        <v>5018.7</v>
      </c>
      <c r="H351" s="152">
        <v>80.400000000000006</v>
      </c>
      <c r="I351" s="160">
        <v>271</v>
      </c>
      <c r="J351" s="160">
        <v>0</v>
      </c>
      <c r="K351" s="160">
        <v>1.063555582829541E+19</v>
      </c>
    </row>
    <row r="352" spans="4:11" ht="15" customHeight="1">
      <c r="D352" s="158" t="b">
        <v>0</v>
      </c>
      <c r="E352" s="153">
        <v>2020</v>
      </c>
      <c r="F352" s="151" t="s">
        <v>94</v>
      </c>
      <c r="G352" s="151">
        <v>4665.6409999999996</v>
      </c>
      <c r="H352" s="152">
        <v>84.7</v>
      </c>
      <c r="I352" s="160">
        <v>272</v>
      </c>
      <c r="J352" s="160">
        <v>0</v>
      </c>
      <c r="K352" s="160">
        <v>1.3593698873515364E+19</v>
      </c>
    </row>
    <row r="353" spans="4:11" ht="15" customHeight="1">
      <c r="D353" s="159" t="b">
        <v>0</v>
      </c>
      <c r="E353" s="154">
        <v>2020</v>
      </c>
      <c r="F353" s="155" t="s">
        <v>98</v>
      </c>
      <c r="G353" s="155">
        <v>11859.179</v>
      </c>
      <c r="H353" s="152">
        <v>77</v>
      </c>
      <c r="I353" s="160">
        <v>273</v>
      </c>
      <c r="J353" s="160">
        <v>0</v>
      </c>
      <c r="K353" s="160">
        <v>5.9416102339599135E+18</v>
      </c>
    </row>
  </sheetData>
  <mergeCells count="1">
    <mergeCell ref="E7:F7"/>
  </mergeCells>
  <phoneticPr fontId="32" type="noConversion"/>
  <conditionalFormatting sqref="E23:G30 E36:G40 E46:G54">
    <cfRule type="cellIs" dxfId="139" priority="22" operator="equal">
      <formula>0</formula>
    </cfRule>
  </conditionalFormatting>
  <conditionalFormatting sqref="D80:D353">
    <cfRule type="cellIs" dxfId="138" priority="21" operator="notEqual">
      <formula>FALSE</formula>
    </cfRule>
  </conditionalFormatting>
  <conditionalFormatting sqref="E17:H17">
    <cfRule type="cellIs" dxfId="13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6" priority="16"/>
  </conditionalFormatting>
  <conditionalFormatting sqref="E15:H15">
    <cfRule type="cellIs" dxfId="135" priority="14" operator="notEqual">
      <formula>"Definition"</formula>
    </cfRule>
  </conditionalFormatting>
  <conditionalFormatting sqref="E7">
    <cfRule type="cellIs" dxfId="134" priority="13" operator="notEqual">
      <formula>"Dataset Description"</formula>
    </cfRule>
  </conditionalFormatting>
  <conditionalFormatting sqref="E58:G65">
    <cfRule type="cellIs" dxfId="13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H30 H36:H40 H46:H54">
    <cfRule type="cellIs" dxfId="89" priority="3" operator="equal">
      <formula>0</formula>
    </cfRule>
  </conditionalFormatting>
  <conditionalFormatting sqref="H24:H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H65">
    <cfRule type="cellIs" dxfId="8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5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274</v>
      </c>
      <c r="AA5" s="9"/>
    </row>
    <row r="6" spans="1:27" ht="15" customHeight="1">
      <c r="B6" s="38" t="s">
        <v>54</v>
      </c>
      <c r="C6" s="37">
        <v>4</v>
      </c>
      <c r="AA6" s="4"/>
    </row>
    <row r="7" spans="1:27" ht="15" customHeight="1">
      <c r="B7" s="38" t="s">
        <v>13</v>
      </c>
      <c r="C7" s="37" t="s">
        <v>90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91</v>
      </c>
      <c r="F12" s="64">
        <v>0.186131386861313</v>
      </c>
      <c r="G12" s="64">
        <v>0</v>
      </c>
      <c r="H12" s="64">
        <v>0.171437509776317</v>
      </c>
      <c r="I12" s="61">
        <v>2192</v>
      </c>
      <c r="J12" s="61">
        <v>51</v>
      </c>
      <c r="K12" s="61">
        <v>274</v>
      </c>
      <c r="L12" s="62">
        <v>1</v>
      </c>
      <c r="M12" s="61">
        <v>0</v>
      </c>
      <c r="N12" s="63">
        <v>1996.99270072992</v>
      </c>
      <c r="O12" s="63">
        <v>1998</v>
      </c>
      <c r="P12" s="63">
        <v>1980</v>
      </c>
      <c r="Q12" s="63">
        <v>14.180932537192099</v>
      </c>
      <c r="R12" s="63">
        <v>201.09884762439501</v>
      </c>
      <c r="S12" s="63">
        <v>1970</v>
      </c>
      <c r="T12" s="63">
        <v>1973</v>
      </c>
      <c r="U12" s="63">
        <v>1985.25</v>
      </c>
      <c r="V12" s="63">
        <v>1998</v>
      </c>
      <c r="W12" s="63">
        <v>2009</v>
      </c>
      <c r="X12" s="63">
        <v>2018</v>
      </c>
      <c r="Y12" s="63">
        <v>2020</v>
      </c>
      <c r="Z12" s="63">
        <v>50</v>
      </c>
      <c r="AA12" s="63">
        <v>23.75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92</v>
      </c>
      <c r="F13" s="140">
        <v>2.18978102189781E-2</v>
      </c>
      <c r="G13" s="140">
        <v>0</v>
      </c>
      <c r="H13" s="140">
        <v>0.31424996089472801</v>
      </c>
      <c r="I13" s="61">
        <v>4018</v>
      </c>
      <c r="J13" s="61">
        <v>6</v>
      </c>
      <c r="K13" s="61">
        <v>274</v>
      </c>
      <c r="L13" s="62">
        <v>1</v>
      </c>
      <c r="M13" s="61">
        <v>0</v>
      </c>
      <c r="N13" s="63"/>
      <c r="O13" s="63"/>
      <c r="P13" s="63" t="s">
        <v>94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93</v>
      </c>
      <c r="F14" s="140">
        <v>1</v>
      </c>
      <c r="G14" s="140">
        <v>0</v>
      </c>
      <c r="H14" s="140">
        <v>0.171437509776317</v>
      </c>
      <c r="I14" s="61">
        <v>2192</v>
      </c>
      <c r="J14" s="61">
        <v>274</v>
      </c>
      <c r="K14" s="61">
        <v>274</v>
      </c>
      <c r="L14" s="62">
        <v>1</v>
      </c>
      <c r="M14" s="61">
        <v>0</v>
      </c>
      <c r="N14" s="63">
        <v>2789.33890510948</v>
      </c>
      <c r="O14" s="63">
        <v>2295.578</v>
      </c>
      <c r="P14" s="63">
        <v>123.99299999999999</v>
      </c>
      <c r="Q14" s="63">
        <v>2194.9397848395702</v>
      </c>
      <c r="R14" s="63">
        <v>4817760.6590715796</v>
      </c>
      <c r="S14" s="63">
        <v>123.99299999999999</v>
      </c>
      <c r="T14" s="63">
        <v>333.722949999999</v>
      </c>
      <c r="U14" s="63">
        <v>1038.357</v>
      </c>
      <c r="V14" s="63">
        <v>2295.578</v>
      </c>
      <c r="W14" s="63">
        <v>4055.61</v>
      </c>
      <c r="X14" s="63">
        <v>7018.6184999999896</v>
      </c>
      <c r="Y14" s="63">
        <v>11859.179</v>
      </c>
      <c r="Z14" s="63">
        <v>11735.186</v>
      </c>
      <c r="AA14" s="63">
        <v>3017.2530000000002</v>
      </c>
    </row>
    <row r="15" spans="1:27" ht="15" customHeight="1">
      <c r="B15" s="141" t="s">
        <v>87</v>
      </c>
      <c r="C15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43" t="s">
        <v>93</v>
      </c>
      <c r="F15" s="144">
        <v>0.43065693430656898</v>
      </c>
      <c r="G15" s="144">
        <v>0</v>
      </c>
      <c r="H15" s="144">
        <v>0.171437509776317</v>
      </c>
      <c r="I15" s="145">
        <v>2192</v>
      </c>
      <c r="J15" s="145">
        <v>118</v>
      </c>
      <c r="K15" s="145">
        <v>274</v>
      </c>
      <c r="L15" s="146">
        <v>1</v>
      </c>
      <c r="M15" s="145">
        <v>0</v>
      </c>
      <c r="N15" s="147">
        <v>77.909489051094795</v>
      </c>
      <c r="O15" s="147">
        <v>78.099999999999994</v>
      </c>
      <c r="P15" s="147">
        <v>78.8</v>
      </c>
      <c r="Q15" s="147">
        <v>3.2762634665236301</v>
      </c>
      <c r="R15" s="147">
        <v>10.7339023020774</v>
      </c>
      <c r="S15" s="147">
        <v>70.599999999999994</v>
      </c>
      <c r="T15" s="147">
        <v>72</v>
      </c>
      <c r="U15" s="147">
        <v>75.525000000000006</v>
      </c>
      <c r="V15" s="147">
        <v>78.099999999999994</v>
      </c>
      <c r="W15" s="147">
        <v>80.574999999999903</v>
      </c>
      <c r="X15" s="147">
        <v>82.734999999999999</v>
      </c>
      <c r="Y15" s="147">
        <v>84.7</v>
      </c>
      <c r="Z15" s="147">
        <v>14.1</v>
      </c>
      <c r="AA15" s="147">
        <v>5.0499999999999803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84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3.33203125" style="12" bestFit="1" customWidth="1"/>
    <col min="5" max="5" width="19.33203125" style="12" bestFit="1" customWidth="1"/>
    <col min="6" max="6" width="18.44140625" style="12" bestFit="1" customWidth="1"/>
    <col min="7" max="9" width="13.7773437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Healthexp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4" t="s">
        <v>48</v>
      </c>
      <c r="H9" s="164" t="s">
        <v>49</v>
      </c>
      <c r="I9" s="164" t="s">
        <v>53</v>
      </c>
    </row>
    <row r="10" spans="1:17" ht="15" customHeight="1">
      <c r="C10" s="161">
        <v>1970</v>
      </c>
      <c r="D10" s="50"/>
      <c r="E10" s="50"/>
      <c r="F10" s="50"/>
      <c r="G10" s="165">
        <v>0</v>
      </c>
      <c r="H10" s="166"/>
      <c r="I10" s="167">
        <v>1.824817518248175E-2</v>
      </c>
    </row>
    <row r="11" spans="1:17" ht="15" customHeight="1">
      <c r="C11" s="161">
        <v>1971</v>
      </c>
      <c r="D11" s="50"/>
      <c r="E11" s="50"/>
      <c r="F11" s="50"/>
      <c r="G11" s="165">
        <v>0</v>
      </c>
      <c r="H11" s="166"/>
      <c r="I11" s="167">
        <v>1.824817518248175E-2</v>
      </c>
    </row>
    <row r="12" spans="1:17" ht="15" customHeight="1">
      <c r="C12" s="161">
        <v>1972</v>
      </c>
      <c r="D12" s="50"/>
      <c r="E12" s="50"/>
      <c r="F12" s="50"/>
      <c r="G12" s="165">
        <v>0</v>
      </c>
      <c r="H12" s="166"/>
      <c r="I12" s="167">
        <v>1.0948905109489052E-2</v>
      </c>
    </row>
    <row r="13" spans="1:17" ht="15" customHeight="1">
      <c r="C13" s="161">
        <v>1973</v>
      </c>
      <c r="D13" s="50"/>
      <c r="E13" s="50"/>
      <c r="F13" s="50"/>
      <c r="G13" s="165">
        <v>0</v>
      </c>
      <c r="H13" s="166"/>
      <c r="I13" s="167">
        <v>1.0948905109489052E-2</v>
      </c>
    </row>
    <row r="14" spans="1:17" ht="15" customHeight="1">
      <c r="C14" s="161">
        <v>1974</v>
      </c>
      <c r="D14" s="50"/>
      <c r="E14" s="50"/>
      <c r="F14" s="50"/>
      <c r="G14" s="165">
        <v>0</v>
      </c>
      <c r="H14" s="166"/>
      <c r="I14" s="167">
        <v>1.0948905109489052E-2</v>
      </c>
    </row>
    <row r="15" spans="1:17" ht="15" customHeight="1">
      <c r="C15" s="161">
        <v>1975</v>
      </c>
      <c r="D15" s="50"/>
      <c r="E15" s="50"/>
      <c r="F15" s="50"/>
      <c r="G15" s="165">
        <v>0</v>
      </c>
      <c r="H15" s="166"/>
      <c r="I15" s="167">
        <v>1.4598540145985401E-2</v>
      </c>
    </row>
    <row r="16" spans="1:17" ht="15" customHeight="1">
      <c r="C16" s="161">
        <v>1976</v>
      </c>
      <c r="D16" s="50"/>
      <c r="E16" s="50"/>
      <c r="F16" s="50"/>
      <c r="G16" s="165">
        <v>0</v>
      </c>
      <c r="H16" s="166"/>
      <c r="I16" s="167">
        <v>1.4598540145985401E-2</v>
      </c>
    </row>
    <row r="17" spans="3:9" ht="15" customHeight="1">
      <c r="C17" s="161">
        <v>1977</v>
      </c>
      <c r="D17" s="50"/>
      <c r="E17" s="50"/>
      <c r="F17" s="50"/>
      <c r="G17" s="165">
        <v>0</v>
      </c>
      <c r="H17" s="166"/>
      <c r="I17" s="167">
        <v>1.0948905109489052E-2</v>
      </c>
    </row>
    <row r="18" spans="3:9" ht="15" customHeight="1">
      <c r="C18" s="161">
        <v>1978</v>
      </c>
      <c r="D18" s="50"/>
      <c r="E18" s="50"/>
      <c r="F18" s="50"/>
      <c r="G18" s="165">
        <v>0</v>
      </c>
      <c r="H18" s="166"/>
      <c r="I18" s="167">
        <v>1.0948905109489052E-2</v>
      </c>
    </row>
    <row r="19" spans="3:9" ht="15" customHeight="1">
      <c r="C19" s="161">
        <v>1979</v>
      </c>
      <c r="D19" s="50"/>
      <c r="E19" s="50"/>
      <c r="F19" s="50"/>
      <c r="G19" s="165">
        <v>0</v>
      </c>
      <c r="H19" s="166"/>
      <c r="I19" s="167">
        <v>1.4598540145985401E-2</v>
      </c>
    </row>
    <row r="20" spans="3:9" ht="15" customHeight="1">
      <c r="C20" s="161">
        <v>1980</v>
      </c>
      <c r="D20" s="50"/>
      <c r="E20" s="50"/>
      <c r="F20" s="50"/>
      <c r="G20" s="165">
        <v>0</v>
      </c>
      <c r="H20" s="166"/>
      <c r="I20" s="167">
        <v>2.1897810218978103E-2</v>
      </c>
    </row>
    <row r="21" spans="3:9" ht="15" customHeight="1">
      <c r="C21" s="161">
        <v>1981</v>
      </c>
      <c r="D21" s="50"/>
      <c r="E21" s="50"/>
      <c r="F21" s="50"/>
      <c r="G21" s="165">
        <v>0</v>
      </c>
      <c r="H21" s="166"/>
      <c r="I21" s="167">
        <v>1.824817518248175E-2</v>
      </c>
    </row>
    <row r="22" spans="3:9" ht="15" customHeight="1">
      <c r="C22" s="161">
        <v>1982</v>
      </c>
      <c r="D22" s="50"/>
      <c r="E22" s="50"/>
      <c r="F22" s="50"/>
      <c r="G22" s="165">
        <v>0</v>
      </c>
      <c r="H22" s="166"/>
      <c r="I22" s="167">
        <v>1.824817518248175E-2</v>
      </c>
    </row>
    <row r="23" spans="3:9" ht="15" customHeight="1">
      <c r="C23" s="161">
        <v>1983</v>
      </c>
      <c r="D23" s="50"/>
      <c r="E23" s="50"/>
      <c r="F23" s="50"/>
      <c r="G23" s="165">
        <v>0</v>
      </c>
      <c r="H23" s="166"/>
      <c r="I23" s="167">
        <v>1.824817518248175E-2</v>
      </c>
    </row>
    <row r="24" spans="3:9" ht="15" customHeight="1">
      <c r="C24" s="161">
        <v>1984</v>
      </c>
      <c r="D24" s="50"/>
      <c r="E24" s="50"/>
      <c r="F24" s="50"/>
      <c r="G24" s="165">
        <v>0</v>
      </c>
      <c r="H24" s="166"/>
      <c r="I24" s="167">
        <v>1.824817518248175E-2</v>
      </c>
    </row>
    <row r="25" spans="3:9" ht="15" customHeight="1">
      <c r="C25" s="161">
        <v>1985</v>
      </c>
      <c r="D25" s="50"/>
      <c r="E25" s="50"/>
      <c r="F25" s="50"/>
      <c r="G25" s="165">
        <v>0</v>
      </c>
      <c r="H25" s="166"/>
      <c r="I25" s="167">
        <v>2.1897810218978103E-2</v>
      </c>
    </row>
    <row r="26" spans="3:9" ht="15" customHeight="1">
      <c r="C26" s="161">
        <v>1986</v>
      </c>
      <c r="D26" s="50"/>
      <c r="E26" s="50"/>
      <c r="F26" s="50"/>
      <c r="G26" s="165">
        <v>0</v>
      </c>
      <c r="H26" s="166"/>
      <c r="I26" s="167">
        <v>1.824817518248175E-2</v>
      </c>
    </row>
    <row r="27" spans="3:9" ht="15" customHeight="1">
      <c r="C27" s="161">
        <v>1987</v>
      </c>
      <c r="D27" s="50"/>
      <c r="E27" s="50"/>
      <c r="F27" s="50"/>
      <c r="G27" s="165">
        <v>0</v>
      </c>
      <c r="H27" s="166"/>
      <c r="I27" s="167">
        <v>1.824817518248175E-2</v>
      </c>
    </row>
    <row r="28" spans="3:9" ht="15" customHeight="1">
      <c r="C28" s="161">
        <v>1988</v>
      </c>
      <c r="D28" s="50"/>
      <c r="E28" s="50"/>
      <c r="F28" s="50"/>
      <c r="G28" s="165">
        <v>0</v>
      </c>
      <c r="H28" s="166"/>
      <c r="I28" s="167">
        <v>1.824817518248175E-2</v>
      </c>
    </row>
    <row r="29" spans="3:9" ht="15" customHeight="1">
      <c r="C29" s="161">
        <v>1989</v>
      </c>
      <c r="D29" s="50"/>
      <c r="E29" s="50"/>
      <c r="F29" s="50"/>
      <c r="G29" s="165">
        <v>0</v>
      </c>
      <c r="H29" s="166"/>
      <c r="I29" s="167">
        <v>1.824817518248175E-2</v>
      </c>
    </row>
    <row r="30" spans="3:9" ht="15" customHeight="1">
      <c r="C30" s="161">
        <v>1990</v>
      </c>
      <c r="D30" s="50"/>
      <c r="E30" s="50"/>
      <c r="F30" s="50"/>
      <c r="G30" s="165">
        <v>0</v>
      </c>
      <c r="H30" s="166"/>
      <c r="I30" s="167">
        <v>2.1897810218978103E-2</v>
      </c>
    </row>
    <row r="31" spans="3:9" ht="15" customHeight="1">
      <c r="C31" s="161">
        <v>1991</v>
      </c>
      <c r="D31" s="50"/>
      <c r="E31" s="50"/>
      <c r="F31" s="50"/>
      <c r="G31" s="165">
        <v>0</v>
      </c>
      <c r="H31" s="166"/>
      <c r="I31" s="167">
        <v>1.824817518248175E-2</v>
      </c>
    </row>
    <row r="32" spans="3:9" ht="15" customHeight="1">
      <c r="C32" s="161">
        <v>1992</v>
      </c>
      <c r="D32" s="50"/>
      <c r="E32" s="50"/>
      <c r="F32" s="50"/>
      <c r="G32" s="165">
        <v>0</v>
      </c>
      <c r="H32" s="166"/>
      <c r="I32" s="167">
        <v>2.1897810218978103E-2</v>
      </c>
    </row>
    <row r="33" spans="3:9" ht="15" customHeight="1">
      <c r="C33" s="161">
        <v>1993</v>
      </c>
      <c r="D33" s="50"/>
      <c r="E33" s="50"/>
      <c r="F33" s="50"/>
      <c r="G33" s="165">
        <v>0</v>
      </c>
      <c r="H33" s="166"/>
      <c r="I33" s="167">
        <v>2.1897810218978103E-2</v>
      </c>
    </row>
    <row r="34" spans="3:9" ht="15" customHeight="1">
      <c r="C34" s="161">
        <v>1994</v>
      </c>
      <c r="D34" s="50"/>
      <c r="E34" s="50"/>
      <c r="F34" s="50"/>
      <c r="G34" s="165">
        <v>0</v>
      </c>
      <c r="H34" s="166"/>
      <c r="I34" s="167">
        <v>2.1897810218978103E-2</v>
      </c>
    </row>
    <row r="35" spans="3:9" ht="15" customHeight="1">
      <c r="C35" s="161">
        <v>1995</v>
      </c>
      <c r="D35" s="50"/>
      <c r="E35" s="50"/>
      <c r="F35" s="50"/>
      <c r="G35" s="165">
        <v>0</v>
      </c>
      <c r="H35" s="166"/>
      <c r="I35" s="167">
        <v>2.1897810218978103E-2</v>
      </c>
    </row>
    <row r="36" spans="3:9" ht="15" customHeight="1">
      <c r="C36" s="161">
        <v>1996</v>
      </c>
      <c r="D36" s="50"/>
      <c r="E36" s="50"/>
      <c r="F36" s="50"/>
      <c r="G36" s="165">
        <v>0</v>
      </c>
      <c r="H36" s="166"/>
      <c r="I36" s="167">
        <v>2.1897810218978103E-2</v>
      </c>
    </row>
    <row r="37" spans="3:9" ht="15" customHeight="1">
      <c r="C37" s="161">
        <v>1997</v>
      </c>
      <c r="D37" s="50"/>
      <c r="E37" s="50"/>
      <c r="F37" s="50"/>
      <c r="G37" s="165">
        <v>0</v>
      </c>
      <c r="H37" s="166"/>
      <c r="I37" s="167">
        <v>2.1897810218978103E-2</v>
      </c>
    </row>
    <row r="38" spans="3:9" ht="15" customHeight="1">
      <c r="C38" s="161">
        <v>1998</v>
      </c>
      <c r="D38" s="50"/>
      <c r="E38" s="50"/>
      <c r="F38" s="50"/>
      <c r="G38" s="165">
        <v>0</v>
      </c>
      <c r="H38" s="166"/>
      <c r="I38" s="167">
        <v>2.1897810218978103E-2</v>
      </c>
    </row>
    <row r="39" spans="3:9" ht="15" customHeight="1">
      <c r="C39" s="161">
        <v>1999</v>
      </c>
      <c r="D39" s="50"/>
      <c r="E39" s="50"/>
      <c r="F39" s="50"/>
      <c r="G39" s="165">
        <v>0</v>
      </c>
      <c r="H39" s="166"/>
      <c r="I39" s="167">
        <v>2.1897810218978103E-2</v>
      </c>
    </row>
    <row r="40" spans="3:9" ht="15" customHeight="1">
      <c r="C40" s="161">
        <v>2000</v>
      </c>
      <c r="D40" s="50"/>
      <c r="E40" s="50"/>
      <c r="F40" s="50"/>
      <c r="G40" s="165">
        <v>0</v>
      </c>
      <c r="H40" s="166"/>
      <c r="I40" s="167">
        <v>2.1897810218978103E-2</v>
      </c>
    </row>
    <row r="41" spans="3:9" ht="15" customHeight="1">
      <c r="C41" s="161">
        <v>2001</v>
      </c>
      <c r="D41" s="50"/>
      <c r="E41" s="50"/>
      <c r="F41" s="50"/>
      <c r="G41" s="165">
        <v>0</v>
      </c>
      <c r="H41" s="166"/>
      <c r="I41" s="167">
        <v>2.1897810218978103E-2</v>
      </c>
    </row>
    <row r="42" spans="3:9" ht="15" customHeight="1">
      <c r="C42" s="161">
        <v>2002</v>
      </c>
      <c r="D42" s="50"/>
      <c r="E42" s="50"/>
      <c r="F42" s="50"/>
      <c r="G42" s="165">
        <v>0</v>
      </c>
      <c r="H42" s="166"/>
      <c r="I42" s="167">
        <v>2.1897810218978103E-2</v>
      </c>
    </row>
    <row r="43" spans="3:9" ht="15" customHeight="1">
      <c r="C43" s="161">
        <v>2003</v>
      </c>
      <c r="D43" s="50"/>
      <c r="E43" s="50"/>
      <c r="F43" s="50"/>
      <c r="G43" s="165">
        <v>0</v>
      </c>
      <c r="H43" s="166"/>
      <c r="I43" s="167">
        <v>2.1897810218978103E-2</v>
      </c>
    </row>
    <row r="44" spans="3:9" ht="15" customHeight="1">
      <c r="C44" s="161">
        <v>2004</v>
      </c>
      <c r="D44" s="50"/>
      <c r="E44" s="50"/>
      <c r="F44" s="50"/>
      <c r="G44" s="165">
        <v>0</v>
      </c>
      <c r="H44" s="166"/>
      <c r="I44" s="167">
        <v>2.1897810218978103E-2</v>
      </c>
    </row>
    <row r="45" spans="3:9" ht="15" customHeight="1">
      <c r="C45" s="161">
        <v>2005</v>
      </c>
      <c r="D45" s="50"/>
      <c r="E45" s="50"/>
      <c r="F45" s="50"/>
      <c r="G45" s="165">
        <v>0</v>
      </c>
      <c r="H45" s="166"/>
      <c r="I45" s="167">
        <v>2.1897810218978103E-2</v>
      </c>
    </row>
    <row r="46" spans="3:9" ht="15" customHeight="1">
      <c r="C46" s="161">
        <v>2006</v>
      </c>
      <c r="D46" s="50"/>
      <c r="E46" s="50"/>
      <c r="F46" s="50"/>
      <c r="G46" s="165">
        <v>0</v>
      </c>
      <c r="H46" s="166"/>
      <c r="I46" s="167">
        <v>2.1897810218978103E-2</v>
      </c>
    </row>
    <row r="47" spans="3:9" ht="15" customHeight="1">
      <c r="C47" s="161">
        <v>2007</v>
      </c>
      <c r="D47" s="50"/>
      <c r="E47" s="50"/>
      <c r="F47" s="50"/>
      <c r="G47" s="165">
        <v>0</v>
      </c>
      <c r="H47" s="166"/>
      <c r="I47" s="167">
        <v>2.1897810218978103E-2</v>
      </c>
    </row>
    <row r="48" spans="3:9" ht="15" customHeight="1">
      <c r="C48" s="161">
        <v>2008</v>
      </c>
      <c r="D48" s="50"/>
      <c r="E48" s="50"/>
      <c r="F48" s="50"/>
      <c r="G48" s="165">
        <v>0</v>
      </c>
      <c r="H48" s="166"/>
      <c r="I48" s="167">
        <v>2.1897810218978103E-2</v>
      </c>
    </row>
    <row r="49" spans="3:9" ht="15" customHeight="1">
      <c r="C49" s="161">
        <v>2009</v>
      </c>
      <c r="D49" s="50"/>
      <c r="E49" s="50"/>
      <c r="F49" s="50"/>
      <c r="G49" s="165">
        <v>0</v>
      </c>
      <c r="H49" s="166"/>
      <c r="I49" s="167">
        <v>2.1897810218978103E-2</v>
      </c>
    </row>
    <row r="50" spans="3:9" ht="15" customHeight="1">
      <c r="C50" s="161">
        <v>2010</v>
      </c>
      <c r="D50" s="50"/>
      <c r="E50" s="50"/>
      <c r="F50" s="50"/>
      <c r="G50" s="165">
        <v>0</v>
      </c>
      <c r="H50" s="166"/>
      <c r="I50" s="167">
        <v>2.1897810218978103E-2</v>
      </c>
    </row>
    <row r="51" spans="3:9" ht="15" customHeight="1">
      <c r="C51" s="161">
        <v>2011</v>
      </c>
      <c r="D51" s="50"/>
      <c r="E51" s="50"/>
      <c r="F51" s="50"/>
      <c r="G51" s="165">
        <v>0</v>
      </c>
      <c r="H51" s="166"/>
      <c r="I51" s="167">
        <v>2.1897810218978103E-2</v>
      </c>
    </row>
    <row r="52" spans="3:9" ht="15" customHeight="1">
      <c r="C52" s="161">
        <v>2012</v>
      </c>
      <c r="D52" s="50"/>
      <c r="E52" s="50"/>
      <c r="F52" s="50"/>
      <c r="G52" s="165">
        <v>0</v>
      </c>
      <c r="H52" s="166"/>
      <c r="I52" s="167">
        <v>2.1897810218978103E-2</v>
      </c>
    </row>
    <row r="53" spans="3:9" ht="15" customHeight="1">
      <c r="C53" s="161">
        <v>2013</v>
      </c>
      <c r="D53" s="50"/>
      <c r="E53" s="50"/>
      <c r="F53" s="50"/>
      <c r="G53" s="165">
        <v>0</v>
      </c>
      <c r="H53" s="166"/>
      <c r="I53" s="167">
        <v>2.1897810218978103E-2</v>
      </c>
    </row>
    <row r="54" spans="3:9" ht="15" customHeight="1">
      <c r="C54" s="161">
        <v>2014</v>
      </c>
      <c r="D54" s="50"/>
      <c r="E54" s="50"/>
      <c r="F54" s="50"/>
      <c r="G54" s="165">
        <v>0</v>
      </c>
      <c r="H54" s="166"/>
      <c r="I54" s="167">
        <v>2.1897810218978103E-2</v>
      </c>
    </row>
    <row r="55" spans="3:9" ht="15" customHeight="1">
      <c r="C55" s="161">
        <v>2015</v>
      </c>
      <c r="D55" s="50"/>
      <c r="E55" s="50"/>
      <c r="F55" s="50"/>
      <c r="G55" s="165">
        <v>0</v>
      </c>
      <c r="H55" s="166"/>
      <c r="I55" s="167">
        <v>2.1897810218978103E-2</v>
      </c>
    </row>
    <row r="56" spans="3:9" ht="15" customHeight="1">
      <c r="C56" s="161">
        <v>2016</v>
      </c>
      <c r="D56" s="50"/>
      <c r="E56" s="50"/>
      <c r="F56" s="50"/>
      <c r="G56" s="165">
        <v>0</v>
      </c>
      <c r="H56" s="166"/>
      <c r="I56" s="167">
        <v>2.1897810218978103E-2</v>
      </c>
    </row>
    <row r="57" spans="3:9" ht="15" customHeight="1">
      <c r="C57" s="161">
        <v>2017</v>
      </c>
      <c r="D57" s="50"/>
      <c r="E57" s="50"/>
      <c r="F57" s="50"/>
      <c r="G57" s="165">
        <v>0</v>
      </c>
      <c r="H57" s="166"/>
      <c r="I57" s="167">
        <v>2.1897810218978103E-2</v>
      </c>
    </row>
    <row r="58" spans="3:9" ht="15" customHeight="1">
      <c r="C58" s="161">
        <v>2018</v>
      </c>
      <c r="D58" s="50"/>
      <c r="E58" s="50"/>
      <c r="F58" s="50"/>
      <c r="G58" s="165">
        <v>0</v>
      </c>
      <c r="H58" s="166"/>
      <c r="I58" s="167">
        <v>2.1897810218978103E-2</v>
      </c>
    </row>
    <row r="59" spans="3:9" ht="15" customHeight="1">
      <c r="C59" s="161">
        <v>2019</v>
      </c>
      <c r="D59" s="50"/>
      <c r="E59" s="50"/>
      <c r="F59" s="50"/>
      <c r="G59" s="165">
        <v>0</v>
      </c>
      <c r="H59" s="166"/>
      <c r="I59" s="167">
        <v>2.1897810218978103E-2</v>
      </c>
    </row>
    <row r="60" spans="3:9" ht="15" customHeight="1">
      <c r="C60" s="161">
        <v>2020</v>
      </c>
      <c r="D60" s="50"/>
      <c r="E60" s="50"/>
      <c r="F60" s="50"/>
      <c r="G60" s="165">
        <v>0</v>
      </c>
      <c r="H60" s="166"/>
      <c r="I60" s="167">
        <v>2.1897810218978103E-2</v>
      </c>
    </row>
    <row r="61" spans="3:9" ht="15" customHeight="1">
      <c r="C61" s="161" t="s">
        <v>100</v>
      </c>
      <c r="D61" s="161"/>
      <c r="E61" s="161"/>
      <c r="F61" s="161"/>
      <c r="G61" s="165">
        <v>0</v>
      </c>
      <c r="H61" s="166"/>
      <c r="I61" s="167">
        <v>1</v>
      </c>
    </row>
    <row r="62" spans="3:9" ht="15" customHeight="1">
      <c r="C62"/>
      <c r="D62"/>
      <c r="E62"/>
      <c r="F62"/>
      <c r="G62"/>
    </row>
    <row r="63" spans="3:9" ht="15" customHeight="1">
      <c r="C63"/>
      <c r="D63"/>
      <c r="E63"/>
      <c r="F63"/>
      <c r="G63"/>
    </row>
    <row r="64" spans="3:9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  <row r="277" spans="3:7" ht="15" customHeight="1">
      <c r="C277"/>
      <c r="D277"/>
      <c r="E277"/>
      <c r="F277"/>
      <c r="G277"/>
    </row>
    <row r="278" spans="3:7" ht="15" customHeight="1">
      <c r="C278"/>
      <c r="D278"/>
      <c r="E278"/>
      <c r="F278"/>
      <c r="G278"/>
    </row>
    <row r="279" spans="3:7" ht="15" customHeight="1">
      <c r="C279"/>
      <c r="D279"/>
      <c r="E279"/>
      <c r="F279"/>
      <c r="G279"/>
    </row>
    <row r="280" spans="3:7" ht="15" customHeight="1">
      <c r="C280"/>
      <c r="D280"/>
      <c r="E280"/>
      <c r="F280"/>
      <c r="G280"/>
    </row>
    <row r="281" spans="3:7" ht="15" customHeight="1">
      <c r="C281"/>
      <c r="D281"/>
      <c r="E281"/>
      <c r="F281"/>
      <c r="G281"/>
    </row>
    <row r="282" spans="3:7" ht="15" customHeight="1">
      <c r="C282"/>
      <c r="D282"/>
      <c r="E282"/>
      <c r="F282"/>
      <c r="G282"/>
    </row>
    <row r="283" spans="3:7" ht="15" customHeight="1">
      <c r="C283"/>
      <c r="D283"/>
      <c r="E283"/>
      <c r="F283"/>
      <c r="G283"/>
    </row>
    <row r="284" spans="3:7" ht="15" customHeight="1">
      <c r="C284"/>
      <c r="D284"/>
      <c r="E284"/>
      <c r="F284"/>
      <c r="G284"/>
    </row>
  </sheetData>
  <conditionalFormatting pivot="1" sqref="G10:G6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H10:H6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2026-06-04T16:45:13Z</dcterms:modified>
</cp:coreProperties>
</file>