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2E67523-7E61-4B49-A176-4B978D5B65C1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Analysis'!$D$7:$G$7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Analysis'!$D$57:$G$57</definedName>
    <definedName name="FieldList2">'Field Analysis'!$D$58:$G$58</definedName>
    <definedName name="FieldList3">'Field Analysis'!$D$59:$G$59</definedName>
    <definedName name="FieldList4">'Field Analysis'!$D$60:$G$60</definedName>
    <definedName name="FieldList5">'Field Analysis'!$D$61:$G$61</definedName>
    <definedName name="FieldList6">'Field Analysis'!$D$62:$G$62</definedName>
    <definedName name="FieldList7">'Field Analysis'!$D$63:$G$63</definedName>
    <definedName name="FieldList8">'Field Analysis'!$D$64:$G$64</definedName>
    <definedName name="FieldLists">'Field Analysis'!$C$57:$G$64</definedName>
    <definedName name="FieldRange">'Field Analysis'!$D$78:$G$78</definedName>
    <definedName name="FormatRange">'Field Analysis'!$F:$F</definedName>
    <definedName name="Headers">'Field Analysis'!$D$11:$G$11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Analysis'!$D$9:$G$9</definedName>
    <definedName name="Percentiles">'Field Analysis'!$D$45:$D$54</definedName>
    <definedName name="RecordHashes">'Field Analysis'!$I$79:$I$352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7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C11" i="9"/>
  <c r="C12" i="9"/>
  <c r="C13" i="9"/>
  <c r="C14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<sst xmlns="http://schemas.openxmlformats.org/spreadsheetml/2006/main" count="403" uniqueCount="72">
  <si>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</si>
  <si>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</si>
  <si>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</si>
  <si>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</si>
  <si>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</si>
  <si>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</si>
  <si>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</si>
  <si>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</si>
  <si>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</si>
  <si>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</si>
  <si>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</si>
  <si>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</si>
  <si>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</si>
  <si>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</si>
  <si>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</si>
  <si>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</si>
  <si>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</si>
  <si>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</si>
  <si>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</si>
  <si>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</si>
  <si>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</si>
  <si>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</si>
  <si>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</si>
  <si>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</si>
  <si>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</si>
  <si>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</si>
  <si>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</si>
  <si>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</si>
  <si>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</si>
  <si>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</si>
  <si>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</si>
  <si>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</si>
  <si>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</si>
  <si>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</si>
  <si>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</si>
  <si>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</si>
  <si>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</si>
  <si>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</si>
  <si>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</si>
  <si>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</si>
  <si>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</si>
  <si>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</si>
  <si>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</si>
  <si>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</si>
  <si>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</si>
  <si>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</si>
  <si>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</si>
  <si>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</si>
  <si>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</si>
  <si>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</si>
  <si>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</si>
  <si>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</si>
  <si>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</si>
  <si>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</si>
  <si>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</si>
  <si>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healthexp</t>
  </si>
  <si>
    <t>Year</t>
  </si>
  <si>
    <t>Country</t>
  </si>
  <si>
    <t>Spending_USD</t>
  </si>
  <si>
    <t>Life_Expectancy</t>
  </si>
  <si>
    <t>Record Hash</t>
  </si>
  <si>
    <t>10,691 bytes</t>
  </si>
  <si>
    <t>int64</t>
  </si>
  <si>
    <t>str</t>
  </si>
  <si>
    <t>Japan</t>
  </si>
  <si>
    <t>float64</t>
  </si>
  <si>
    <t>Germany</t>
  </si>
  <si>
    <t>France</t>
  </si>
  <si>
    <t>Great Britain</t>
  </si>
  <si>
    <t>USA</t>
  </si>
  <si>
    <t>Canada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</si>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</sst>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283C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4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20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B283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03"/>
      <tableStyleElement type="headerRow" dxfId="202"/>
      <tableStyleElement type="totalRow" dxfId="201"/>
    </tableStyle>
    <tableStyle name="TableStyleDarker" pivot="0" count="2" xr9:uid="{6808BEA3-E65F-4F4F-A6CC-D0226D87DD56}">
      <tableStyleElement type="wholeTable" dxfId="200"/>
      <tableStyleElement type="headerRow" dxfId="19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Year">
          <a:extLst>
            <a:ext uri="{FF2B5EF4-FFF2-40B4-BE49-F238E27FC236}">
              <a16:creationId xmlns:a16="http://schemas.microsoft.com/office/drawing/2014/main" id="{72BB25BC-AA06-CCFA-DF33-2F9BCE76B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Year">
          <a:extLst>
            <a:ext uri="{FF2B5EF4-FFF2-40B4-BE49-F238E27FC236}">
              <a16:creationId xmlns:a16="http://schemas.microsoft.com/office/drawing/2014/main" id="{58B6048D-3703-609E-1ECB-B62DE1ECD5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Country">
          <a:extLst>
            <a:ext uri="{FF2B5EF4-FFF2-40B4-BE49-F238E27FC236}">
              <a16:creationId xmlns:a16="http://schemas.microsoft.com/office/drawing/2014/main" id="{F7B8E3DF-D80C-9633-BFBC-5322E1104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Spending_USD">
          <a:extLst>
            <a:ext uri="{FF2B5EF4-FFF2-40B4-BE49-F238E27FC236}">
              <a16:creationId xmlns:a16="http://schemas.microsoft.com/office/drawing/2014/main" id="{7C620FF7-E553-AE6F-A836-E7DF9B286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Spending_USD">
          <a:extLst>
            <a:ext uri="{FF2B5EF4-FFF2-40B4-BE49-F238E27FC236}">
              <a16:creationId xmlns:a16="http://schemas.microsoft.com/office/drawing/2014/main" id="{7AC0758E-A7F7-58D0-6B10-63AA881E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Life_Expectancy">
          <a:extLst>
            <a:ext uri="{FF2B5EF4-FFF2-40B4-BE49-F238E27FC236}">
              <a16:creationId xmlns:a16="http://schemas.microsoft.com/office/drawing/2014/main" id="{7AD75866-B90E-FCEA-2610-570904E84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Life_Expectancy">
          <a:extLst>
            <a:ext uri="{FF2B5EF4-FFF2-40B4-BE49-F238E27FC236}">
              <a16:creationId xmlns:a16="http://schemas.microsoft.com/office/drawing/2014/main" id="{EB847A4C-3E31-AE5A-EA90-B2ABCE2C9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30480</xdr:colOff>
      <xdr:row>30</xdr:row>
      <xdr:rowOff>95250</xdr:rowOff>
    </xdr:from>
    <xdr:to>
      <xdr:col>7</xdr:col>
      <xdr:colOff>579120</xdr:colOff>
      <xdr:row>30</xdr:row>
      <xdr:rowOff>1809750</xdr:rowOff>
    </xdr:to>
    <xdr:pic>
      <xdr:nvPicPr>
        <xdr:cNvPr id="25" name="composition_HasBlank">
          <a:extLst>
            <a:ext uri="{FF2B5EF4-FFF2-40B4-BE49-F238E27FC236}">
              <a16:creationId xmlns:a16="http://schemas.microsoft.com/office/drawing/2014/main" id="{29A5D9F3-01E5-9399-0C33-B7D3E7E54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14560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7</xdr:col>
      <xdr:colOff>30480</xdr:colOff>
      <xdr:row>40</xdr:row>
      <xdr:rowOff>95250</xdr:rowOff>
    </xdr:from>
    <xdr:to>
      <xdr:col>7</xdr:col>
      <xdr:colOff>579120</xdr:colOff>
      <xdr:row>40</xdr:row>
      <xdr:rowOff>1809750</xdr:rowOff>
    </xdr:to>
    <xdr:pic>
      <xdr:nvPicPr>
        <xdr:cNvPr id="27" name="histogram_HasBlank">
          <a:extLst>
            <a:ext uri="{FF2B5EF4-FFF2-40B4-BE49-F238E27FC236}">
              <a16:creationId xmlns:a16="http://schemas.microsoft.com/office/drawing/2014/main" id="{D6FDE870-BCF3-0C5E-4317-E760878DE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14560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6055671298" createdVersion="8" refreshedVersion="8" minRefreshableVersion="3" recordCount="274" xr:uid="{9CA2673A-A870-437E-AB9F-91D8276FD930}">
  <cacheSource type="worksheet">
    <worksheetSource name="tbl_SourceData"/>
  </cacheSource>
  <cacheFields count="7">
    <cacheField name="Record List" numFmtId="0">
      <sharedItems/>
    </cacheField>
    <cacheField name="Year" numFmtId="0">
      <sharedItems containsSemiMixedTypes="0" containsString="0" containsNumber="1" containsInteger="1" minValue="1970" maxValue="2020" count="51"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Country" numFmtId="0">
      <sharedItems count="6">
        <s v="Germany"/>
        <s v="France"/>
        <s v="Great Britain"/>
        <s v="Japan"/>
        <s v="USA"/>
        <s v="Canada"/>
      </sharedItems>
    </cacheField>
    <cacheField name="Spending_USD" numFmtId="0">
      <sharedItems containsSemiMixedTypes="0" containsString="0" containsNumber="1" minValue="123.99299999999999" maxValue="11859.179" count="274">
        <n v="252.31100000000001"/>
        <n v="192.143"/>
        <n v="123.99299999999999"/>
        <n v="150.43700000000001"/>
        <n v="326.96100000000001"/>
        <n v="313.39100000000002"/>
        <n v="298.25099999999998"/>
        <n v="134.172"/>
        <n v="163.85400000000001"/>
        <n v="357.988"/>
        <n v="337.36399999999998"/>
        <n v="185.39"/>
        <n v="397.09699999999998"/>
        <n v="384.541"/>
        <n v="205.77799999999999"/>
        <n v="439.30200000000002"/>
        <n v="452.74400000000003"/>
        <n v="242.018"/>
        <n v="495.11399999999998"/>
        <n v="532.48099999999999"/>
        <n v="363.61"/>
        <n v="284.26900000000001"/>
        <n v="560.75"/>
        <n v="543.33699999999999"/>
        <n v="591.09799999999996"/>
        <n v="303.72500000000002"/>
        <n v="638.851"/>
        <n v="647.35199999999998"/>
        <n v="340.62799999999999"/>
        <n v="726.24099999999999"/>
        <n v="729.45699999999999"/>
        <n v="392.577"/>
        <n v="808.88400000000001"/>
        <n v="692.26900000000001"/>
        <n v="800.70299999999997"/>
        <n v="452.93099999999998"/>
        <n v="908.96299999999997"/>
        <n v="791.81200000000001"/>
        <n v="908.16600000000005"/>
        <n v="659.82600000000002"/>
        <n v="385.09899999999999"/>
        <n v="535.01599999999996"/>
        <n v="1036.3"/>
        <n v="898.80700000000002"/>
        <n v="1014.713"/>
        <n v="433.95699999999999"/>
        <n v="603.96500000000003"/>
        <n v="1191.537"/>
        <n v="996.08600000000001"/>
        <n v="1044.528"/>
        <n v="448.47699999999998"/>
        <n v="664.77700000000004"/>
        <n v="1329.6690000000001"/>
        <n v="1066.7460000000001"/>
        <n v="1104.5940000000001"/>
        <n v="501.92399999999998"/>
        <n v="714.85699999999997"/>
        <n v="1451.9449999999999"/>
        <n v="1135.02"/>
        <n v="1196.56"/>
        <n v="521.52200000000005"/>
        <n v="745.98099999999999"/>
        <n v="1590.6669999999999"/>
        <n v="1212.8499999999999"/>
        <n v="1298.5550000000001"/>
        <n v="1001.145"/>
        <n v="549.60799999999995"/>
        <n v="818.38199999999995"/>
        <n v="1735.1559999999999"/>
        <n v="1278.816"/>
        <n v="1386.51"/>
        <n v="578.61"/>
        <n v="859.85500000000002"/>
        <n v="1847.7729999999999"/>
        <n v="1357.453"/>
        <n v="1480.096"/>
        <n v="634.95600000000002"/>
        <n v="916.70299999999997"/>
        <n v="1976.1659999999999"/>
        <n v="1461.3"/>
        <n v="1616.3489999999999"/>
        <n v="688.04899999999998"/>
        <n v="969.25099999999998"/>
        <n v="2195.3919999999998"/>
        <n v="1579.5429999999999"/>
        <n v="1596.16"/>
        <n v="739.71400000000006"/>
        <n v="1021.247"/>
        <n v="2424.654"/>
        <n v="1699.7739999999999"/>
        <n v="1724.3320000000001"/>
        <n v="1459.11"/>
        <n v="782.61199999999997"/>
        <n v="1088.9590000000001"/>
        <n v="2684.9839999999999"/>
        <n v="1805.2090000000001"/>
        <n v="1558.0329999999999"/>
        <n v="842.79700000000003"/>
        <n v="1166.43"/>
        <n v="2901.5889999999999"/>
        <n v="1897.4559999999999"/>
        <n v="2019.308"/>
        <n v="1651.1389999999999"/>
        <n v="930.70100000000002"/>
        <n v="1253.415"/>
        <n v="3100.3429999999998"/>
        <n v="1930.8889999999999"/>
        <n v="2040.3130000000001"/>
        <n v="1753.4849999999999"/>
        <n v="995.72799999999995"/>
        <n v="1332.213"/>
        <n v="3286.558"/>
        <n v="1962.1959999999999"/>
        <n v="2188.6759999999999"/>
        <n v="1817.0419999999999"/>
        <n v="1058.68"/>
        <n v="1420.271"/>
        <n v="3432.1010000000001"/>
        <n v="1984.944"/>
        <n v="2349.145"/>
        <n v="2100.9180000000001"/>
        <n v="1094.0340000000001"/>
        <n v="1413.4449999999999"/>
        <n v="3586.7449999999999"/>
        <n v="1999.778"/>
        <n v="2480.2170000000001"/>
        <n v="2169.451"/>
        <n v="1171.5909999999999"/>
        <n v="1436.3720000000001"/>
        <n v="4158.9279999999999"/>
        <n v="2091.9969999999998"/>
        <n v="2496.201"/>
        <n v="2236.5949999999998"/>
        <n v="1507.3520000000001"/>
        <n v="1529.586"/>
        <n v="3894.2820000000002"/>
        <n v="2200.4679999999998"/>
        <n v="2566.0030000000002"/>
        <n v="2321.931"/>
        <n v="1572.097"/>
        <n v="1571.107"/>
        <n v="4061.5360000000001"/>
        <n v="2278.2539999999999"/>
        <n v="2697.8780000000002"/>
        <n v="2431.3029999999999"/>
        <n v="1683.905"/>
        <n v="1667.922"/>
        <n v="4261.9960000000001"/>
        <n v="2450.5929999999998"/>
        <n v="2895.5329999999999"/>
        <n v="2687.53"/>
        <n v="1897.202"/>
        <n v="1847.7860000000001"/>
        <n v="4536.5609999999997"/>
        <n v="2624.2930000000001"/>
        <n v="3009.3679999999999"/>
        <n v="2875.2939999999999"/>
        <n v="2067.1669999999999"/>
        <n v="1945.556"/>
        <n v="4888.518"/>
        <n v="2758.0650000000001"/>
        <n v="3239.77"/>
        <n v="3152.0160000000001"/>
        <n v="2287.4760000000001"/>
        <n v="2065.1329999999998"/>
        <n v="5316.5219999999999"/>
        <n v="2914.2060000000001"/>
        <n v="3329.3739999999998"/>
        <n v="3056.2649999999999"/>
        <n v="2469.1590000000001"/>
        <n v="2194.4369999999999"/>
        <n v="5726.5379999999996"/>
        <n v="3122.3960000000002"/>
        <n v="3391.5210000000002"/>
        <n v="3170.9470000000001"/>
        <n v="2724.8690000000001"/>
        <n v="2303.6799999999998"/>
        <n v="6069.53"/>
        <n v="3291.9119999999998"/>
        <n v="3429.9549999999999"/>
        <n v="3264.5740000000001"/>
        <n v="2731.4450000000002"/>
        <n v="2471.1860000000001"/>
        <n v="6430.7569999999996"/>
        <n v="3486.6210000000001"/>
        <n v="3567.0610000000001"/>
        <n v="3444.855"/>
        <n v="2952.3290000000002"/>
        <n v="2561.2190000000001"/>
        <n v="6808.0540000000001"/>
        <n v="3709.6149999999998"/>
        <n v="3750.7869999999998"/>
        <n v="3588.2269999999999"/>
        <n v="3021.6709999999998"/>
        <n v="2689.9160000000002"/>
        <n v="7166.5129999999999"/>
        <n v="3849.5439999999999"/>
        <n v="3955.136"/>
        <n v="3729.3530000000001"/>
        <n v="3207.8530000000001"/>
        <n v="2799.1979999999999"/>
        <n v="7385.0259999999998"/>
        <n v="3945.873"/>
        <n v="4158.2659999999996"/>
        <n v="3880.8420000000001"/>
        <n v="3334.5059999999999"/>
        <n v="2971.377"/>
        <n v="7645.0020000000004"/>
        <n v="4155.5290000000005"/>
        <n v="4423.07"/>
        <n v="4045.0650000000001"/>
        <n v="3441.71"/>
        <n v="3169.19"/>
        <n v="7879.2529999999997"/>
        <n v="4228.9620000000004"/>
        <n v="4566.6779999999999"/>
        <n v="4161.6980000000003"/>
        <n v="3495.652"/>
        <n v="3740.7559999999999"/>
        <n v="8079.4669999999996"/>
        <n v="4336.2489999999998"/>
        <n v="4745.5460000000003"/>
        <n v="4299.4340000000002"/>
        <n v="3614.1309999999999"/>
        <n v="3970.7649999999999"/>
        <n v="8346.0640000000003"/>
        <n v="4428.7529999999997"/>
        <n v="4951.6769999999997"/>
        <n v="4544.9639999999999"/>
        <n v="3667.636"/>
        <n v="4308.2520000000004"/>
        <n v="8519.6200000000008"/>
        <n v="4536.8100000000004"/>
        <n v="5151.7089999999998"/>
        <n v="4626.6790000000001"/>
        <n v="3758.9349999999999"/>
        <n v="4328.3639999999996"/>
        <n v="8925.8790000000008"/>
        <n v="4635.2849999999999"/>
        <n v="5295.9750000000004"/>
        <n v="4667.1559999999999"/>
        <n v="3805.82"/>
        <n v="4515.5559999999996"/>
        <n v="9355.1180000000004"/>
        <n v="5044.2749999999996"/>
        <n v="5669.0640000000003"/>
        <n v="4928.1279999999997"/>
        <n v="3960.1410000000001"/>
        <n v="4295.8580000000002"/>
        <n v="9717.6489999999994"/>
        <n v="5150.47"/>
        <n v="5970.1629999999996"/>
        <n v="5005.7560000000003"/>
        <n v="4059.125"/>
        <n v="4412.8519999999999"/>
        <n v="10046.472"/>
        <n v="5308.3559999999998"/>
        <n v="6281.84"/>
        <n v="5099.3059999999996"/>
        <n v="4189.7079999999996"/>
        <n v="4554.2759999999998"/>
        <n v="10451.386"/>
        <n v="5189.7209999999995"/>
        <n v="6407.9279999999999"/>
        <n v="5167.8389999999999"/>
        <n v="4385.4629999999997"/>
        <n v="4610.7939999999999"/>
        <n v="10855.517"/>
        <n v="5828.3239999999996"/>
        <n v="6938.9830000000002"/>
        <n v="5468.4179999999997"/>
        <n v="5018.7"/>
        <n v="4665.6409999999996"/>
        <n v="11859.179"/>
      </sharedItems>
    </cacheField>
    <cacheField name="Life_Expectancy" numFmtId="0">
      <sharedItems containsSemiMixedTypes="0" containsString="0" containsNumber="1" minValue="70.599999999999994" maxValue="84.7" count="118">
        <n v="70.599999999999994"/>
        <n v="72.2"/>
        <n v="71.900000000000006"/>
        <n v="72"/>
        <n v="70.900000000000006"/>
        <n v="72.8"/>
        <n v="70.8"/>
        <n v="72.900000000000006"/>
        <n v="71.2"/>
        <n v="71"/>
        <n v="73.2"/>
        <n v="71.3"/>
        <n v="73.400000000000006"/>
        <n v="71.400000000000006"/>
        <n v="71.5"/>
        <n v="73.7"/>
        <n v="73"/>
        <n v="74.3"/>
        <n v="72.7"/>
        <n v="73.8"/>
        <n v="71.8"/>
        <n v="74.8"/>
        <n v="72.5"/>
        <n v="75.3"/>
        <n v="73.3"/>
        <n v="72.400000000000006"/>
        <n v="75.7"/>
        <n v="73.5"/>
        <n v="75.099999999999994"/>
        <n v="76.2"/>
        <n v="73.900000000000006"/>
        <n v="75.2"/>
        <n v="76.099999999999994"/>
        <n v="75.5"/>
        <n v="76.5"/>
        <n v="74.099999999999994"/>
        <n v="75.599999999999994"/>
        <n v="76.900000000000006"/>
        <n v="74.5"/>
        <n v="75.900000000000006"/>
        <n v="77"/>
        <n v="74.599999999999994"/>
        <n v="77.400000000000006"/>
        <n v="74.7"/>
        <n v="76.3"/>
        <n v="75"/>
        <n v="75.400000000000006"/>
        <n v="77.599999999999994"/>
        <n v="78.099999999999994"/>
        <n v="76.7"/>
        <n v="78.5"/>
        <n v="74.900000000000006"/>
        <n v="76.8"/>
        <n v="78.400000000000006"/>
        <n v="77.099999999999994"/>
        <n v="76"/>
        <n v="78.8"/>
        <n v="77.3"/>
        <n v="78.900000000000006"/>
        <n v="77.2"/>
        <n v="79.099999999999994"/>
        <n v="77.8"/>
        <n v="77.5"/>
        <n v="79.2"/>
        <n v="79.400000000000006"/>
        <n v="77.900000000000006"/>
        <n v="78"/>
        <n v="79.8"/>
        <n v="76.599999999999994"/>
        <n v="79.599999999999994"/>
        <n v="78.2"/>
        <n v="80.3"/>
        <n v="78.3"/>
        <n v="78.599999999999994"/>
        <n v="80.5"/>
        <n v="77.7"/>
        <n v="80.599999999999994"/>
        <n v="81.2"/>
        <n v="79.3"/>
        <n v="81.5"/>
        <n v="79.5"/>
        <n v="81.8"/>
        <n v="79.900000000000006"/>
        <n v="79"/>
        <n v="82.1"/>
        <n v="80"/>
        <n v="80.400000000000006"/>
        <n v="82"/>
        <n v="81"/>
        <n v="82.4"/>
        <n v="80.099999999999994"/>
        <n v="79.7"/>
        <n v="82.6"/>
        <n v="80.7"/>
        <n v="80.2"/>
        <n v="81.400000000000006"/>
        <n v="82.7"/>
        <n v="80.900000000000006"/>
        <n v="83"/>
        <n v="82.9"/>
        <n v="82.3"/>
        <n v="78.7"/>
        <n v="81.599999999999994"/>
        <n v="83.2"/>
        <n v="81.7"/>
        <n v="81.099999999999994"/>
        <n v="83.4"/>
        <n v="82.8"/>
        <n v="83.7"/>
        <n v="81.900000000000006"/>
        <n v="83.9"/>
        <n v="84.1"/>
        <n v="81.3"/>
        <n v="84.2"/>
        <n v="84.3"/>
        <n v="82.2"/>
        <n v="84.4"/>
        <n v="84.7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375690359146170" maxValue="1.8392028281864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b v="0"/>
    <x v="0"/>
    <x v="0"/>
    <x v="0"/>
    <x v="0"/>
    <n v="0"/>
    <n v="8.9998833392609997E+18"/>
  </r>
  <r>
    <b v="0"/>
    <x v="0"/>
    <x v="1"/>
    <x v="1"/>
    <x v="1"/>
    <n v="0"/>
    <n v="9.4090281542209208E+18"/>
  </r>
  <r>
    <b v="0"/>
    <x v="0"/>
    <x v="2"/>
    <x v="2"/>
    <x v="2"/>
    <n v="0"/>
    <n v="7.5174824476284201E+18"/>
  </r>
  <r>
    <b v="0"/>
    <x v="0"/>
    <x v="3"/>
    <x v="3"/>
    <x v="3"/>
    <n v="0"/>
    <n v="6.7143397556269097E+18"/>
  </r>
  <r>
    <b v="0"/>
    <x v="0"/>
    <x v="4"/>
    <x v="4"/>
    <x v="4"/>
    <n v="0"/>
    <n v="8.1447488930616904E+18"/>
  </r>
  <r>
    <b v="0"/>
    <x v="1"/>
    <x v="5"/>
    <x v="5"/>
    <x v="5"/>
    <n v="0"/>
    <n v="3.9534862233979402E+18"/>
  </r>
  <r>
    <b v="0"/>
    <x v="1"/>
    <x v="0"/>
    <x v="6"/>
    <x v="6"/>
    <n v="0"/>
    <n v="1.12706821768499E+19"/>
  </r>
  <r>
    <b v="0"/>
    <x v="1"/>
    <x v="2"/>
    <x v="7"/>
    <x v="2"/>
    <n v="0"/>
    <n v="3.38332526111806E+18"/>
  </r>
  <r>
    <b v="0"/>
    <x v="1"/>
    <x v="3"/>
    <x v="8"/>
    <x v="7"/>
    <n v="0"/>
    <n v="1.4057014989966701E+19"/>
  </r>
  <r>
    <b v="0"/>
    <x v="1"/>
    <x v="4"/>
    <x v="9"/>
    <x v="8"/>
    <n v="0"/>
    <n v="1.58227716023372E+19"/>
  </r>
  <r>
    <b v="0"/>
    <x v="2"/>
    <x v="0"/>
    <x v="10"/>
    <x v="9"/>
    <n v="0"/>
    <n v="1.36633427356049E+19"/>
  </r>
  <r>
    <b v="0"/>
    <x v="2"/>
    <x v="3"/>
    <x v="11"/>
    <x v="10"/>
    <n v="0"/>
    <n v="1.2331040644013799E+19"/>
  </r>
  <r>
    <b v="0"/>
    <x v="2"/>
    <x v="4"/>
    <x v="12"/>
    <x v="8"/>
    <n v="0"/>
    <n v="1.45314079324381E+19"/>
  </r>
  <r>
    <b v="0"/>
    <x v="3"/>
    <x v="0"/>
    <x v="13"/>
    <x v="11"/>
    <n v="0"/>
    <n v="1.7778674291744399E+19"/>
  </r>
  <r>
    <b v="0"/>
    <x v="3"/>
    <x v="3"/>
    <x v="14"/>
    <x v="12"/>
    <n v="0"/>
    <n v="1.1940082958727299E+19"/>
  </r>
  <r>
    <b v="0"/>
    <x v="3"/>
    <x v="4"/>
    <x v="15"/>
    <x v="13"/>
    <n v="0"/>
    <n v="1.55963479517346E+19"/>
  </r>
  <r>
    <b v="0"/>
    <x v="4"/>
    <x v="0"/>
    <x v="16"/>
    <x v="14"/>
    <n v="0"/>
    <n v="9.1823763947411098E+18"/>
  </r>
  <r>
    <b v="0"/>
    <x v="4"/>
    <x v="3"/>
    <x v="17"/>
    <x v="15"/>
    <n v="0"/>
    <n v="4.3706543106160998E+18"/>
  </r>
  <r>
    <b v="0"/>
    <x v="4"/>
    <x v="4"/>
    <x v="18"/>
    <x v="3"/>
    <n v="0"/>
    <n v="1.1753001495377601E+19"/>
  </r>
  <r>
    <b v="0"/>
    <x v="5"/>
    <x v="0"/>
    <x v="19"/>
    <x v="13"/>
    <n v="0"/>
    <n v="7.6163466261032796E+18"/>
  </r>
  <r>
    <b v="0"/>
    <x v="5"/>
    <x v="1"/>
    <x v="20"/>
    <x v="16"/>
    <n v="0"/>
    <n v="1.20573218268301E+18"/>
  </r>
  <r>
    <b v="0"/>
    <x v="5"/>
    <x v="3"/>
    <x v="21"/>
    <x v="17"/>
    <n v="0"/>
    <n v="1.6324326166634799E+19"/>
  </r>
  <r>
    <b v="0"/>
    <x v="5"/>
    <x v="4"/>
    <x v="22"/>
    <x v="18"/>
    <n v="0"/>
    <n v="1.6571457729180701E+19"/>
  </r>
  <r>
    <b v="0"/>
    <x v="6"/>
    <x v="5"/>
    <x v="23"/>
    <x v="19"/>
    <n v="0"/>
    <n v="1.5957193431289E+19"/>
  </r>
  <r>
    <b v="0"/>
    <x v="6"/>
    <x v="0"/>
    <x v="24"/>
    <x v="20"/>
    <n v="0"/>
    <n v="1.0983051948451299E+19"/>
  </r>
  <r>
    <b v="0"/>
    <x v="6"/>
    <x v="3"/>
    <x v="25"/>
    <x v="21"/>
    <n v="0"/>
    <n v="1.6937797590810499E+19"/>
  </r>
  <r>
    <b v="0"/>
    <x v="6"/>
    <x v="4"/>
    <x v="26"/>
    <x v="7"/>
    <n v="0"/>
    <n v="1.26507287538077E+19"/>
  </r>
  <r>
    <b v="0"/>
    <x v="7"/>
    <x v="0"/>
    <x v="27"/>
    <x v="22"/>
    <n v="0"/>
    <n v="1.6740219477163399E+19"/>
  </r>
  <r>
    <b v="0"/>
    <x v="7"/>
    <x v="3"/>
    <x v="28"/>
    <x v="23"/>
    <n v="0"/>
    <n v="2.07391742958558E+18"/>
  </r>
  <r>
    <b v="0"/>
    <x v="7"/>
    <x v="4"/>
    <x v="29"/>
    <x v="24"/>
    <n v="0"/>
    <n v="1.39839427177607E+19"/>
  </r>
  <r>
    <b v="0"/>
    <x v="8"/>
    <x v="0"/>
    <x v="30"/>
    <x v="25"/>
    <n v="0"/>
    <n v="1.5337074830300899E+19"/>
  </r>
  <r>
    <b v="0"/>
    <x v="8"/>
    <x v="3"/>
    <x v="31"/>
    <x v="26"/>
    <n v="0"/>
    <n v="1.5721810370367199E+19"/>
  </r>
  <r>
    <b v="0"/>
    <x v="8"/>
    <x v="4"/>
    <x v="32"/>
    <x v="27"/>
    <n v="0"/>
    <n v="1.7079188284024601E+19"/>
  </r>
  <r>
    <b v="0"/>
    <x v="9"/>
    <x v="5"/>
    <x v="33"/>
    <x v="28"/>
    <n v="0"/>
    <n v="1.7991327579694899E+19"/>
  </r>
  <r>
    <b v="0"/>
    <x v="9"/>
    <x v="0"/>
    <x v="34"/>
    <x v="5"/>
    <n v="0"/>
    <n v="6.4310351605417503E+18"/>
  </r>
  <r>
    <b v="0"/>
    <x v="9"/>
    <x v="3"/>
    <x v="35"/>
    <x v="29"/>
    <n v="0"/>
    <n v="2.7221880240339702E+18"/>
  </r>
  <r>
    <b v="0"/>
    <x v="9"/>
    <x v="4"/>
    <x v="36"/>
    <x v="30"/>
    <n v="0"/>
    <n v="3.2599424135788401E+18"/>
  </r>
  <r>
    <b v="0"/>
    <x v="10"/>
    <x v="5"/>
    <x v="37"/>
    <x v="31"/>
    <n v="0"/>
    <n v="1.4562803573731701E+19"/>
  </r>
  <r>
    <b v="0"/>
    <x v="10"/>
    <x v="0"/>
    <x v="38"/>
    <x v="7"/>
    <n v="0"/>
    <n v="1.56733988501509E+19"/>
  </r>
  <r>
    <b v="0"/>
    <x v="10"/>
    <x v="1"/>
    <x v="39"/>
    <x v="17"/>
    <n v="0"/>
    <n v="1.6201059218328001E+19"/>
  </r>
  <r>
    <b v="0"/>
    <x v="10"/>
    <x v="2"/>
    <x v="40"/>
    <x v="10"/>
    <n v="0"/>
    <n v="1.1163807486137E+19"/>
  </r>
  <r>
    <b v="0"/>
    <x v="10"/>
    <x v="3"/>
    <x v="41"/>
    <x v="32"/>
    <n v="0"/>
    <n v="2.7345516464520402E+18"/>
  </r>
  <r>
    <b v="0"/>
    <x v="10"/>
    <x v="4"/>
    <x v="42"/>
    <x v="15"/>
    <n v="0"/>
    <n v="1.01986371825034E+18"/>
  </r>
  <r>
    <b v="0"/>
    <x v="11"/>
    <x v="5"/>
    <x v="43"/>
    <x v="33"/>
    <n v="0"/>
    <n v="8.4039119546584699E+18"/>
  </r>
  <r>
    <b v="0"/>
    <x v="11"/>
    <x v="0"/>
    <x v="44"/>
    <x v="10"/>
    <n v="0"/>
    <n v="9.7496711263174902E+18"/>
  </r>
  <r>
    <b v="0"/>
    <x v="11"/>
    <x v="2"/>
    <x v="45"/>
    <x v="19"/>
    <n v="0"/>
    <n v="1.2999820244877199E+19"/>
  </r>
  <r>
    <b v="0"/>
    <x v="11"/>
    <x v="3"/>
    <x v="46"/>
    <x v="34"/>
    <n v="0"/>
    <n v="1.818850802632E+17"/>
  </r>
  <r>
    <b v="0"/>
    <x v="11"/>
    <x v="4"/>
    <x v="47"/>
    <x v="35"/>
    <n v="0"/>
    <n v="1.15488731033362E+19"/>
  </r>
  <r>
    <b v="0"/>
    <x v="12"/>
    <x v="5"/>
    <x v="48"/>
    <x v="36"/>
    <n v="0"/>
    <n v="2.1480429689913001E+18"/>
  </r>
  <r>
    <b v="0"/>
    <x v="12"/>
    <x v="0"/>
    <x v="49"/>
    <x v="27"/>
    <n v="0"/>
    <n v="8.8810737191810499E+18"/>
  </r>
  <r>
    <b v="0"/>
    <x v="12"/>
    <x v="2"/>
    <x v="50"/>
    <x v="35"/>
    <n v="0"/>
    <n v="5.3284354459000003E+18"/>
  </r>
  <r>
    <b v="0"/>
    <x v="12"/>
    <x v="3"/>
    <x v="51"/>
    <x v="37"/>
    <n v="0"/>
    <n v="3.2900609146912E+18"/>
  </r>
  <r>
    <b v="0"/>
    <x v="12"/>
    <x v="4"/>
    <x v="52"/>
    <x v="38"/>
    <n v="0"/>
    <n v="1.6238372688625701E+19"/>
  </r>
  <r>
    <b v="0"/>
    <x v="13"/>
    <x v="5"/>
    <x v="53"/>
    <x v="39"/>
    <n v="0"/>
    <n v="1.46599769382161E+19"/>
  </r>
  <r>
    <b v="0"/>
    <x v="13"/>
    <x v="0"/>
    <x v="54"/>
    <x v="19"/>
    <n v="0"/>
    <n v="1.45479430514962E+18"/>
  </r>
  <r>
    <b v="0"/>
    <x v="13"/>
    <x v="2"/>
    <x v="55"/>
    <x v="17"/>
    <n v="0"/>
    <n v="1.6525923458905399E+19"/>
  </r>
  <r>
    <b v="0"/>
    <x v="13"/>
    <x v="3"/>
    <x v="56"/>
    <x v="40"/>
    <n v="0"/>
    <n v="4.5910387377967002E+18"/>
  </r>
  <r>
    <b v="0"/>
    <x v="13"/>
    <x v="4"/>
    <x v="57"/>
    <x v="41"/>
    <n v="0"/>
    <n v="9.5727733951036109E+18"/>
  </r>
  <r>
    <b v="0"/>
    <x v="14"/>
    <x v="5"/>
    <x v="58"/>
    <x v="29"/>
    <n v="0"/>
    <n v="1.28732837553728E+19"/>
  </r>
  <r>
    <b v="0"/>
    <x v="14"/>
    <x v="0"/>
    <x v="59"/>
    <x v="17"/>
    <n v="0"/>
    <n v="2.3807256675720499E+18"/>
  </r>
  <r>
    <b v="0"/>
    <x v="14"/>
    <x v="2"/>
    <x v="60"/>
    <x v="38"/>
    <n v="0"/>
    <n v="1.63416106114908E+19"/>
  </r>
  <r>
    <b v="0"/>
    <x v="14"/>
    <x v="3"/>
    <x v="61"/>
    <x v="42"/>
    <n v="0"/>
    <n v="4.5953845731795E+18"/>
  </r>
  <r>
    <b v="0"/>
    <x v="14"/>
    <x v="4"/>
    <x v="62"/>
    <x v="43"/>
    <n v="0"/>
    <n v="9.3315351307330703E+18"/>
  </r>
  <r>
    <b v="0"/>
    <x v="15"/>
    <x v="5"/>
    <x v="63"/>
    <x v="44"/>
    <n v="0"/>
    <n v="6.8804039574827203E+18"/>
  </r>
  <r>
    <b v="0"/>
    <x v="15"/>
    <x v="0"/>
    <x v="64"/>
    <x v="45"/>
    <n v="0"/>
    <n v="5.6048477917802496E+18"/>
  </r>
  <r>
    <b v="0"/>
    <x v="15"/>
    <x v="1"/>
    <x v="65"/>
    <x v="46"/>
    <n v="0"/>
    <n v="5.1083550042467697E+18"/>
  </r>
  <r>
    <b v="0"/>
    <x v="15"/>
    <x v="2"/>
    <x v="66"/>
    <x v="43"/>
    <n v="0"/>
    <n v="1.10386902792377E+19"/>
  </r>
  <r>
    <b v="0"/>
    <x v="15"/>
    <x v="3"/>
    <x v="67"/>
    <x v="47"/>
    <n v="0"/>
    <n v="7.5135014717700905E+18"/>
  </r>
  <r>
    <b v="0"/>
    <x v="15"/>
    <x v="4"/>
    <x v="68"/>
    <x v="43"/>
    <n v="0"/>
    <n v="1.7333537342404399E+19"/>
  </r>
  <r>
    <b v="0"/>
    <x v="16"/>
    <x v="5"/>
    <x v="69"/>
    <x v="34"/>
    <n v="0"/>
    <n v="1.16253054515142E+19"/>
  </r>
  <r>
    <b v="0"/>
    <x v="16"/>
    <x v="0"/>
    <x v="70"/>
    <x v="31"/>
    <n v="0"/>
    <n v="9.6986072335963402E+18"/>
  </r>
  <r>
    <b v="0"/>
    <x v="16"/>
    <x v="2"/>
    <x v="71"/>
    <x v="21"/>
    <n v="0"/>
    <n v="7.0892997127544003E+18"/>
  </r>
  <r>
    <b v="0"/>
    <x v="16"/>
    <x v="3"/>
    <x v="72"/>
    <x v="48"/>
    <n v="0"/>
    <n v="1.0370760272440799E+19"/>
  </r>
  <r>
    <b v="0"/>
    <x v="16"/>
    <x v="4"/>
    <x v="73"/>
    <x v="43"/>
    <n v="0"/>
    <n v="2.2466355291621701E+18"/>
  </r>
  <r>
    <b v="0"/>
    <x v="17"/>
    <x v="5"/>
    <x v="74"/>
    <x v="49"/>
    <n v="0"/>
    <n v="1.60081557657321E+19"/>
  </r>
  <r>
    <b v="0"/>
    <x v="17"/>
    <x v="0"/>
    <x v="75"/>
    <x v="36"/>
    <n v="0"/>
    <n v="9.4956802105191398E+17"/>
  </r>
  <r>
    <b v="0"/>
    <x v="17"/>
    <x v="2"/>
    <x v="76"/>
    <x v="31"/>
    <n v="0"/>
    <n v="5.66137737354671E+18"/>
  </r>
  <r>
    <b v="0"/>
    <x v="17"/>
    <x v="3"/>
    <x v="77"/>
    <x v="50"/>
    <n v="0"/>
    <n v="4.50600056624192E+18"/>
  </r>
  <r>
    <b v="0"/>
    <x v="17"/>
    <x v="4"/>
    <x v="78"/>
    <x v="51"/>
    <n v="0"/>
    <n v="7.1940736243765299E+18"/>
  </r>
  <r>
    <b v="0"/>
    <x v="18"/>
    <x v="5"/>
    <x v="79"/>
    <x v="52"/>
    <n v="0"/>
    <n v="5.2526868838653604E+18"/>
  </r>
  <r>
    <b v="0"/>
    <x v="18"/>
    <x v="0"/>
    <x v="80"/>
    <x v="39"/>
    <n v="0"/>
    <n v="2.2077693989742799E+18"/>
  </r>
  <r>
    <b v="0"/>
    <x v="18"/>
    <x v="2"/>
    <x v="81"/>
    <x v="23"/>
    <n v="0"/>
    <n v="1.8330369061047699E+19"/>
  </r>
  <r>
    <b v="0"/>
    <x v="18"/>
    <x v="3"/>
    <x v="82"/>
    <x v="53"/>
    <n v="0"/>
    <n v="3.1426260776712402E+18"/>
  </r>
  <r>
    <b v="0"/>
    <x v="18"/>
    <x v="4"/>
    <x v="83"/>
    <x v="51"/>
    <n v="0"/>
    <n v="9.8194466923827098E+18"/>
  </r>
  <r>
    <b v="0"/>
    <x v="19"/>
    <x v="5"/>
    <x v="84"/>
    <x v="54"/>
    <n v="0"/>
    <n v="5.9374886200215204E+18"/>
  </r>
  <r>
    <b v="0"/>
    <x v="19"/>
    <x v="0"/>
    <x v="85"/>
    <x v="55"/>
    <n v="0"/>
    <n v="1.6969524627960901E+18"/>
  </r>
  <r>
    <b v="0"/>
    <x v="19"/>
    <x v="2"/>
    <x v="86"/>
    <x v="46"/>
    <n v="0"/>
    <n v="7.6602062013269996E+18"/>
  </r>
  <r>
    <b v="0"/>
    <x v="19"/>
    <x v="3"/>
    <x v="87"/>
    <x v="56"/>
    <n v="0"/>
    <n v="1.1970824105299401E+19"/>
  </r>
  <r>
    <b v="0"/>
    <x v="19"/>
    <x v="4"/>
    <x v="88"/>
    <x v="28"/>
    <n v="0"/>
    <n v="9.4573192590975304E+18"/>
  </r>
  <r>
    <b v="0"/>
    <x v="20"/>
    <x v="5"/>
    <x v="89"/>
    <x v="57"/>
    <n v="0"/>
    <n v="1.0455425774237301E+19"/>
  </r>
  <r>
    <b v="0"/>
    <x v="20"/>
    <x v="0"/>
    <x v="90"/>
    <x v="57"/>
    <n v="0"/>
    <n v="2.0991093515258601E+18"/>
  </r>
  <r>
    <b v="0"/>
    <x v="20"/>
    <x v="1"/>
    <x v="91"/>
    <x v="40"/>
    <n v="0"/>
    <n v="1.83920282818646E+19"/>
  </r>
  <r>
    <b v="0"/>
    <x v="20"/>
    <x v="2"/>
    <x v="92"/>
    <x v="26"/>
    <n v="0"/>
    <n v="9.9499909915058906E+17"/>
  </r>
  <r>
    <b v="0"/>
    <x v="20"/>
    <x v="3"/>
    <x v="93"/>
    <x v="58"/>
    <n v="0"/>
    <n v="1.57765045584781E+19"/>
  </r>
  <r>
    <b v="0"/>
    <x v="20"/>
    <x v="4"/>
    <x v="94"/>
    <x v="23"/>
    <n v="0"/>
    <n v="1.7883733154307899E+19"/>
  </r>
  <r>
    <b v="0"/>
    <x v="21"/>
    <x v="5"/>
    <x v="95"/>
    <x v="47"/>
    <n v="0"/>
    <n v="4.44005431188002E+18"/>
  </r>
  <r>
    <b v="0"/>
    <x v="21"/>
    <x v="1"/>
    <x v="96"/>
    <x v="59"/>
    <n v="0"/>
    <n v="1.2636655986044101E+18"/>
  </r>
  <r>
    <b v="0"/>
    <x v="21"/>
    <x v="2"/>
    <x v="97"/>
    <x v="39"/>
    <n v="0"/>
    <n v="1.3475980991090801E+19"/>
  </r>
  <r>
    <b v="0"/>
    <x v="21"/>
    <x v="3"/>
    <x v="98"/>
    <x v="60"/>
    <n v="0"/>
    <n v="1.6152494409167999E+19"/>
  </r>
  <r>
    <b v="0"/>
    <x v="21"/>
    <x v="4"/>
    <x v="99"/>
    <x v="33"/>
    <n v="0"/>
    <n v="8.40799079907213E+18"/>
  </r>
  <r>
    <b v="0"/>
    <x v="22"/>
    <x v="5"/>
    <x v="100"/>
    <x v="61"/>
    <n v="0"/>
    <n v="2.3516386602814403E+18"/>
  </r>
  <r>
    <b v="0"/>
    <x v="22"/>
    <x v="0"/>
    <x v="101"/>
    <x v="32"/>
    <n v="0"/>
    <n v="1.4385548853251101E+19"/>
  </r>
  <r>
    <b v="0"/>
    <x v="22"/>
    <x v="1"/>
    <x v="102"/>
    <x v="62"/>
    <n v="0"/>
    <n v="1.16654230028533E+19"/>
  </r>
  <r>
    <b v="0"/>
    <x v="22"/>
    <x v="2"/>
    <x v="103"/>
    <x v="44"/>
    <n v="0"/>
    <n v="1.5354706021922699E+19"/>
  </r>
  <r>
    <b v="0"/>
    <x v="22"/>
    <x v="3"/>
    <x v="104"/>
    <x v="63"/>
    <n v="0"/>
    <n v="7.1065083444661596E+18"/>
  </r>
  <r>
    <b v="0"/>
    <x v="22"/>
    <x v="4"/>
    <x v="105"/>
    <x v="26"/>
    <n v="0"/>
    <n v="1.16302153841443E+19"/>
  </r>
  <r>
    <b v="0"/>
    <x v="23"/>
    <x v="5"/>
    <x v="106"/>
    <x v="61"/>
    <n v="0"/>
    <n v="1.79803649498444E+19"/>
  </r>
  <r>
    <b v="0"/>
    <x v="23"/>
    <x v="0"/>
    <x v="107"/>
    <x v="32"/>
    <n v="0"/>
    <n v="1.38122107864239E+19"/>
  </r>
  <r>
    <b v="0"/>
    <x v="23"/>
    <x v="1"/>
    <x v="108"/>
    <x v="62"/>
    <n v="0"/>
    <n v="1.5505846650782599E+19"/>
  </r>
  <r>
    <b v="0"/>
    <x v="23"/>
    <x v="2"/>
    <x v="109"/>
    <x v="29"/>
    <n v="0"/>
    <n v="3.6915427859192202E+18"/>
  </r>
  <r>
    <b v="0"/>
    <x v="23"/>
    <x v="3"/>
    <x v="110"/>
    <x v="64"/>
    <n v="0"/>
    <n v="1.09909334025886E+18"/>
  </r>
  <r>
    <b v="0"/>
    <x v="23"/>
    <x v="4"/>
    <x v="111"/>
    <x v="33"/>
    <n v="0"/>
    <n v="8.3130401424335002E+17"/>
  </r>
  <r>
    <b v="0"/>
    <x v="24"/>
    <x v="5"/>
    <x v="112"/>
    <x v="65"/>
    <n v="0"/>
    <n v="3.3146532125501501E+18"/>
  </r>
  <r>
    <b v="0"/>
    <x v="24"/>
    <x v="0"/>
    <x v="113"/>
    <x v="34"/>
    <n v="0"/>
    <n v="8.7250812892057498E+18"/>
  </r>
  <r>
    <b v="0"/>
    <x v="24"/>
    <x v="1"/>
    <x v="114"/>
    <x v="66"/>
    <n v="0"/>
    <n v="2.4027643062994099E+18"/>
  </r>
  <r>
    <b v="0"/>
    <x v="24"/>
    <x v="2"/>
    <x v="115"/>
    <x v="52"/>
    <n v="0"/>
    <n v="2.1577882887775301E+18"/>
  </r>
  <r>
    <b v="0"/>
    <x v="24"/>
    <x v="3"/>
    <x v="116"/>
    <x v="67"/>
    <n v="0"/>
    <n v="7.49166075680755E+18"/>
  </r>
  <r>
    <b v="0"/>
    <x v="24"/>
    <x v="4"/>
    <x v="117"/>
    <x v="26"/>
    <n v="0"/>
    <n v="1.59136485065925E+19"/>
  </r>
  <r>
    <b v="0"/>
    <x v="25"/>
    <x v="5"/>
    <x v="118"/>
    <x v="66"/>
    <n v="0"/>
    <n v="1.00091161958109E+19"/>
  </r>
  <r>
    <b v="0"/>
    <x v="25"/>
    <x v="0"/>
    <x v="119"/>
    <x v="68"/>
    <n v="0"/>
    <n v="1.55705765036741E+19"/>
  </r>
  <r>
    <b v="0"/>
    <x v="25"/>
    <x v="1"/>
    <x v="120"/>
    <x v="48"/>
    <n v="0"/>
    <n v="7.6054096266058803E+18"/>
  </r>
  <r>
    <b v="0"/>
    <x v="25"/>
    <x v="2"/>
    <x v="121"/>
    <x v="49"/>
    <n v="0"/>
    <n v="1.77771297311035E+19"/>
  </r>
  <r>
    <b v="0"/>
    <x v="25"/>
    <x v="3"/>
    <x v="122"/>
    <x v="69"/>
    <n v="0"/>
    <n v="2.6904733978636401E+18"/>
  </r>
  <r>
    <b v="0"/>
    <x v="25"/>
    <x v="4"/>
    <x v="123"/>
    <x v="26"/>
    <n v="0"/>
    <n v="8.7670714631499305E+18"/>
  </r>
  <r>
    <b v="0"/>
    <x v="26"/>
    <x v="5"/>
    <x v="124"/>
    <x v="70"/>
    <n v="0"/>
    <n v="7.1719172714883502E+18"/>
  </r>
  <r>
    <b v="0"/>
    <x v="26"/>
    <x v="0"/>
    <x v="125"/>
    <x v="37"/>
    <n v="0"/>
    <n v="1.80536101616507E+19"/>
  </r>
  <r>
    <b v="0"/>
    <x v="26"/>
    <x v="1"/>
    <x v="126"/>
    <x v="70"/>
    <n v="0"/>
    <n v="5.5929303914733599E+18"/>
  </r>
  <r>
    <b v="0"/>
    <x v="26"/>
    <x v="2"/>
    <x v="127"/>
    <x v="37"/>
    <n v="0"/>
    <n v="1.5968269634973301E+19"/>
  </r>
  <r>
    <b v="0"/>
    <x v="26"/>
    <x v="3"/>
    <x v="128"/>
    <x v="71"/>
    <n v="0"/>
    <n v="4.8445872918995599E+18"/>
  </r>
  <r>
    <b v="0"/>
    <x v="26"/>
    <x v="4"/>
    <x v="129"/>
    <x v="32"/>
    <n v="0"/>
    <n v="1.6986336055239299E+19"/>
  </r>
  <r>
    <b v="0"/>
    <x v="27"/>
    <x v="5"/>
    <x v="130"/>
    <x v="72"/>
    <n v="0"/>
    <n v="1.1885344925493701E+18"/>
  </r>
  <r>
    <b v="0"/>
    <x v="27"/>
    <x v="0"/>
    <x v="131"/>
    <x v="57"/>
    <n v="0"/>
    <n v="1.2707436134525901E+19"/>
  </r>
  <r>
    <b v="0"/>
    <x v="27"/>
    <x v="1"/>
    <x v="132"/>
    <x v="73"/>
    <n v="0"/>
    <n v="1.4599099106353E+19"/>
  </r>
  <r>
    <b v="0"/>
    <x v="27"/>
    <x v="2"/>
    <x v="133"/>
    <x v="59"/>
    <n v="0"/>
    <n v="7.21825283600465E+18"/>
  </r>
  <r>
    <b v="0"/>
    <x v="27"/>
    <x v="3"/>
    <x v="134"/>
    <x v="74"/>
    <n v="0"/>
    <n v="8.8842052459346104E+18"/>
  </r>
  <r>
    <b v="0"/>
    <x v="27"/>
    <x v="4"/>
    <x v="135"/>
    <x v="34"/>
    <n v="0"/>
    <n v="9.519904523062399E+18"/>
  </r>
  <r>
    <b v="0"/>
    <x v="28"/>
    <x v="5"/>
    <x v="136"/>
    <x v="73"/>
    <n v="0"/>
    <n v="1.5888811263377601E+19"/>
  </r>
  <r>
    <b v="0"/>
    <x v="28"/>
    <x v="0"/>
    <x v="137"/>
    <x v="75"/>
    <n v="0"/>
    <n v="8.3160834716034099E+18"/>
  </r>
  <r>
    <b v="0"/>
    <x v="28"/>
    <x v="1"/>
    <x v="138"/>
    <x v="56"/>
    <n v="0"/>
    <n v="1.6499435983413201E+19"/>
  </r>
  <r>
    <b v="0"/>
    <x v="28"/>
    <x v="2"/>
    <x v="139"/>
    <x v="57"/>
    <n v="0"/>
    <n v="6.0434590087760599E+18"/>
  </r>
  <r>
    <b v="0"/>
    <x v="28"/>
    <x v="3"/>
    <x v="140"/>
    <x v="76"/>
    <n v="0"/>
    <n v="9.6225750458428908E+18"/>
  </r>
  <r>
    <b v="0"/>
    <x v="28"/>
    <x v="4"/>
    <x v="141"/>
    <x v="49"/>
    <n v="0"/>
    <n v="9.7339379511535206E+18"/>
  </r>
  <r>
    <b v="0"/>
    <x v="29"/>
    <x v="5"/>
    <x v="142"/>
    <x v="56"/>
    <n v="0"/>
    <n v="1.0601816864988201E+19"/>
  </r>
  <r>
    <b v="0"/>
    <x v="29"/>
    <x v="0"/>
    <x v="143"/>
    <x v="65"/>
    <n v="0"/>
    <n v="1.00034131760588E+19"/>
  </r>
  <r>
    <b v="0"/>
    <x v="29"/>
    <x v="1"/>
    <x v="144"/>
    <x v="58"/>
    <n v="0"/>
    <n v="1.49006979788864E+19"/>
  </r>
  <r>
    <b v="0"/>
    <x v="29"/>
    <x v="2"/>
    <x v="145"/>
    <x v="62"/>
    <n v="0"/>
    <n v="7.8935067140269496E+18"/>
  </r>
  <r>
    <b v="0"/>
    <x v="29"/>
    <x v="3"/>
    <x v="146"/>
    <x v="74"/>
    <n v="0"/>
    <n v="1.28652040624431E+19"/>
  </r>
  <r>
    <b v="0"/>
    <x v="29"/>
    <x v="4"/>
    <x v="147"/>
    <x v="49"/>
    <n v="0"/>
    <n v="4.00111525683407E+18"/>
  </r>
  <r>
    <b v="0"/>
    <x v="30"/>
    <x v="5"/>
    <x v="148"/>
    <x v="60"/>
    <n v="0"/>
    <n v="8.7534203720711199E+18"/>
  </r>
  <r>
    <b v="0"/>
    <x v="30"/>
    <x v="0"/>
    <x v="149"/>
    <x v="70"/>
    <n v="0"/>
    <n v="1.5709058558235501E+19"/>
  </r>
  <r>
    <b v="0"/>
    <x v="30"/>
    <x v="1"/>
    <x v="150"/>
    <x v="63"/>
    <n v="0"/>
    <n v="2.9193792215787203E+18"/>
  </r>
  <r>
    <b v="0"/>
    <x v="30"/>
    <x v="2"/>
    <x v="151"/>
    <x v="65"/>
    <n v="0"/>
    <n v="1.64838075135807E+19"/>
  </r>
  <r>
    <b v="0"/>
    <x v="30"/>
    <x v="3"/>
    <x v="152"/>
    <x v="77"/>
    <n v="0"/>
    <n v="5.08434088687859E+18"/>
  </r>
  <r>
    <b v="0"/>
    <x v="30"/>
    <x v="4"/>
    <x v="153"/>
    <x v="49"/>
    <n v="0"/>
    <n v="1.7445108679614501E+19"/>
  </r>
  <r>
    <b v="0"/>
    <x v="31"/>
    <x v="5"/>
    <x v="154"/>
    <x v="78"/>
    <n v="0"/>
    <n v="6.1124855665077197E+18"/>
  </r>
  <r>
    <b v="0"/>
    <x v="31"/>
    <x v="0"/>
    <x v="155"/>
    <x v="50"/>
    <n v="0"/>
    <n v="2.1567352186949701E+18"/>
  </r>
  <r>
    <b v="0"/>
    <x v="31"/>
    <x v="1"/>
    <x v="156"/>
    <x v="78"/>
    <n v="0"/>
    <n v="1.5053749772028899E+19"/>
  </r>
  <r>
    <b v="0"/>
    <x v="31"/>
    <x v="2"/>
    <x v="157"/>
    <x v="70"/>
    <n v="0"/>
    <n v="1.8143086114294301E+19"/>
  </r>
  <r>
    <b v="0"/>
    <x v="31"/>
    <x v="3"/>
    <x v="158"/>
    <x v="79"/>
    <n v="0"/>
    <n v="5.0008796688541604E+18"/>
  </r>
  <r>
    <b v="0"/>
    <x v="31"/>
    <x v="4"/>
    <x v="159"/>
    <x v="37"/>
    <n v="0"/>
    <n v="1.00983367014942E+19"/>
  </r>
  <r>
    <b v="0"/>
    <x v="32"/>
    <x v="5"/>
    <x v="160"/>
    <x v="80"/>
    <n v="0"/>
    <n v="2.7350191011653499E+18"/>
  </r>
  <r>
    <b v="0"/>
    <x v="32"/>
    <x v="0"/>
    <x v="161"/>
    <x v="50"/>
    <n v="0"/>
    <n v="1.3099679644589E+18"/>
  </r>
  <r>
    <b v="0"/>
    <x v="32"/>
    <x v="1"/>
    <x v="162"/>
    <x v="64"/>
    <n v="0"/>
    <n v="3.5528304833541202E+18"/>
  </r>
  <r>
    <b v="0"/>
    <x v="32"/>
    <x v="2"/>
    <x v="163"/>
    <x v="72"/>
    <n v="0"/>
    <n v="6.7952743166640404E+18"/>
  </r>
  <r>
    <b v="0"/>
    <x v="32"/>
    <x v="3"/>
    <x v="164"/>
    <x v="81"/>
    <n v="0"/>
    <n v="3.8418938656999199E+18"/>
  </r>
  <r>
    <b v="0"/>
    <x v="32"/>
    <x v="4"/>
    <x v="165"/>
    <x v="40"/>
    <n v="0"/>
    <n v="1.55732839423645E+19"/>
  </r>
  <r>
    <b v="0"/>
    <x v="33"/>
    <x v="5"/>
    <x v="166"/>
    <x v="69"/>
    <n v="0"/>
    <n v="7.38612669803985E+18"/>
  </r>
  <r>
    <b v="0"/>
    <x v="33"/>
    <x v="0"/>
    <x v="167"/>
    <x v="73"/>
    <n v="0"/>
    <n v="7.2353114029761597E+18"/>
  </r>
  <r>
    <b v="0"/>
    <x v="33"/>
    <x v="1"/>
    <x v="168"/>
    <x v="78"/>
    <n v="0"/>
    <n v="1.29483381214463E+19"/>
  </r>
  <r>
    <b v="0"/>
    <x v="33"/>
    <x v="2"/>
    <x v="169"/>
    <x v="53"/>
    <n v="0"/>
    <n v="1.7491408827551101E+19"/>
  </r>
  <r>
    <b v="0"/>
    <x v="33"/>
    <x v="3"/>
    <x v="170"/>
    <x v="81"/>
    <n v="0"/>
    <n v="1.4373778076464001E+19"/>
  </r>
  <r>
    <b v="0"/>
    <x v="33"/>
    <x v="4"/>
    <x v="171"/>
    <x v="54"/>
    <n v="0"/>
    <n v="6.32734223606272E+18"/>
  </r>
  <r>
    <b v="0"/>
    <x v="34"/>
    <x v="5"/>
    <x v="172"/>
    <x v="82"/>
    <n v="0"/>
    <n v="1.54179734780893E+19"/>
  </r>
  <r>
    <b v="0"/>
    <x v="34"/>
    <x v="0"/>
    <x v="173"/>
    <x v="63"/>
    <n v="0"/>
    <n v="4.0622424246352701E+18"/>
  </r>
  <r>
    <b v="0"/>
    <x v="34"/>
    <x v="1"/>
    <x v="174"/>
    <x v="71"/>
    <n v="0"/>
    <n v="1.4427285747473601E+19"/>
  </r>
  <r>
    <b v="0"/>
    <x v="34"/>
    <x v="2"/>
    <x v="175"/>
    <x v="83"/>
    <n v="0"/>
    <n v="1.3118890782614499E+19"/>
  </r>
  <r>
    <b v="0"/>
    <x v="34"/>
    <x v="3"/>
    <x v="176"/>
    <x v="84"/>
    <n v="0"/>
    <n v="1.7440009441888299E+19"/>
  </r>
  <r>
    <b v="0"/>
    <x v="34"/>
    <x v="4"/>
    <x v="177"/>
    <x v="47"/>
    <n v="0"/>
    <n v="1.6988815198148301E+19"/>
  </r>
  <r>
    <b v="0"/>
    <x v="35"/>
    <x v="5"/>
    <x v="178"/>
    <x v="85"/>
    <n v="0"/>
    <n v="1.67944544849914E+19"/>
  </r>
  <r>
    <b v="0"/>
    <x v="35"/>
    <x v="0"/>
    <x v="179"/>
    <x v="64"/>
    <n v="0"/>
    <n v="1.50100868240722E+19"/>
  </r>
  <r>
    <b v="0"/>
    <x v="35"/>
    <x v="1"/>
    <x v="180"/>
    <x v="86"/>
    <n v="0"/>
    <n v="7.4012079282599803E+18"/>
  </r>
  <r>
    <b v="0"/>
    <x v="35"/>
    <x v="2"/>
    <x v="181"/>
    <x v="63"/>
    <n v="0"/>
    <n v="6.0017566105974804E+18"/>
  </r>
  <r>
    <b v="0"/>
    <x v="35"/>
    <x v="3"/>
    <x v="182"/>
    <x v="87"/>
    <n v="0"/>
    <n v="1.79269340307044E+19"/>
  </r>
  <r>
    <b v="0"/>
    <x v="35"/>
    <x v="4"/>
    <x v="183"/>
    <x v="47"/>
    <n v="0"/>
    <n v="4.1366631444922899E+17"/>
  </r>
  <r>
    <b v="0"/>
    <x v="36"/>
    <x v="5"/>
    <x v="184"/>
    <x v="86"/>
    <n v="0"/>
    <n v="1.8232867727535401E+19"/>
  </r>
  <r>
    <b v="0"/>
    <x v="36"/>
    <x v="0"/>
    <x v="185"/>
    <x v="67"/>
    <n v="0"/>
    <n v="1.61760378522514E+19"/>
  </r>
  <r>
    <b v="0"/>
    <x v="36"/>
    <x v="1"/>
    <x v="186"/>
    <x v="88"/>
    <n v="0"/>
    <n v="1.7773549966359699E+19"/>
  </r>
  <r>
    <b v="0"/>
    <x v="36"/>
    <x v="2"/>
    <x v="187"/>
    <x v="80"/>
    <n v="0"/>
    <n v="1.5708352100170299E+19"/>
  </r>
  <r>
    <b v="0"/>
    <x v="36"/>
    <x v="3"/>
    <x v="188"/>
    <x v="89"/>
    <n v="0"/>
    <n v="3.3868880293312998E+18"/>
  </r>
  <r>
    <b v="0"/>
    <x v="36"/>
    <x v="4"/>
    <x v="189"/>
    <x v="61"/>
    <n v="0"/>
    <n v="1.2842482995424899E+19"/>
  </r>
  <r>
    <b v="0"/>
    <x v="37"/>
    <x v="5"/>
    <x v="190"/>
    <x v="74"/>
    <n v="0"/>
    <n v="5375690359146170"/>
  </r>
  <r>
    <b v="0"/>
    <x v="37"/>
    <x v="0"/>
    <x v="191"/>
    <x v="90"/>
    <n v="0"/>
    <n v="4.79442504770402E+18"/>
  </r>
  <r>
    <b v="0"/>
    <x v="37"/>
    <x v="1"/>
    <x v="192"/>
    <x v="77"/>
    <n v="0"/>
    <n v="4.09230938286413E+18"/>
  </r>
  <r>
    <b v="0"/>
    <x v="37"/>
    <x v="2"/>
    <x v="193"/>
    <x v="91"/>
    <n v="0"/>
    <n v="1.01815576840913E+19"/>
  </r>
  <r>
    <b v="0"/>
    <x v="37"/>
    <x v="3"/>
    <x v="194"/>
    <x v="92"/>
    <n v="0"/>
    <n v="9.407735099584E+18"/>
  </r>
  <r>
    <b v="0"/>
    <x v="37"/>
    <x v="4"/>
    <x v="195"/>
    <x v="48"/>
    <n v="0"/>
    <n v="1.57374344371507E+19"/>
  </r>
  <r>
    <b v="0"/>
    <x v="38"/>
    <x v="5"/>
    <x v="196"/>
    <x v="93"/>
    <n v="0"/>
    <n v="3.9404997359655798E+18"/>
  </r>
  <r>
    <b v="0"/>
    <x v="38"/>
    <x v="0"/>
    <x v="197"/>
    <x v="94"/>
    <n v="0"/>
    <n v="1.4535712286980801E+19"/>
  </r>
  <r>
    <b v="0"/>
    <x v="38"/>
    <x v="1"/>
    <x v="198"/>
    <x v="95"/>
    <n v="0"/>
    <n v="2.7614385303353298E+18"/>
  </r>
  <r>
    <b v="0"/>
    <x v="38"/>
    <x v="2"/>
    <x v="199"/>
    <x v="67"/>
    <n v="0"/>
    <n v="9.0659587833443205E+18"/>
  </r>
  <r>
    <b v="0"/>
    <x v="38"/>
    <x v="3"/>
    <x v="200"/>
    <x v="96"/>
    <n v="0"/>
    <n v="1.62326476342669E+19"/>
  </r>
  <r>
    <b v="0"/>
    <x v="38"/>
    <x v="4"/>
    <x v="201"/>
    <x v="48"/>
    <n v="0"/>
    <n v="2.8199101294863201E+18"/>
  </r>
  <r>
    <b v="0"/>
    <x v="39"/>
    <x v="5"/>
    <x v="202"/>
    <x v="97"/>
    <n v="0"/>
    <n v="6.7663915854063104E+18"/>
  </r>
  <r>
    <b v="0"/>
    <x v="39"/>
    <x v="0"/>
    <x v="203"/>
    <x v="71"/>
    <n v="0"/>
    <n v="2.8707824583982198E+18"/>
  </r>
  <r>
    <b v="0"/>
    <x v="39"/>
    <x v="1"/>
    <x v="204"/>
    <x v="79"/>
    <n v="0"/>
    <n v="1.7981990473714301E+19"/>
  </r>
  <r>
    <b v="0"/>
    <x v="39"/>
    <x v="2"/>
    <x v="205"/>
    <x v="86"/>
    <n v="0"/>
    <n v="1.5824025496076301E+18"/>
  </r>
  <r>
    <b v="0"/>
    <x v="39"/>
    <x v="3"/>
    <x v="206"/>
    <x v="98"/>
    <n v="0"/>
    <n v="1.27908277558337E+19"/>
  </r>
  <r>
    <b v="0"/>
    <x v="39"/>
    <x v="4"/>
    <x v="207"/>
    <x v="50"/>
    <n v="0"/>
    <n v="5.4562650629324503E+18"/>
  </r>
  <r>
    <b v="0"/>
    <x v="40"/>
    <x v="5"/>
    <x v="208"/>
    <x v="77"/>
    <n v="0"/>
    <n v="3.75475453740128E+18"/>
  </r>
  <r>
    <b v="0"/>
    <x v="40"/>
    <x v="0"/>
    <x v="209"/>
    <x v="74"/>
    <n v="0"/>
    <n v="1.11519711293672E+18"/>
  </r>
  <r>
    <b v="0"/>
    <x v="40"/>
    <x v="1"/>
    <x v="210"/>
    <x v="81"/>
    <n v="0"/>
    <n v="8.4522305602059704E+18"/>
  </r>
  <r>
    <b v="0"/>
    <x v="40"/>
    <x v="2"/>
    <x v="211"/>
    <x v="76"/>
    <n v="0"/>
    <n v="1.37369559396835E+19"/>
  </r>
  <r>
    <b v="0"/>
    <x v="40"/>
    <x v="3"/>
    <x v="212"/>
    <x v="99"/>
    <n v="0"/>
    <n v="4.6944922733616302E+18"/>
  </r>
  <r>
    <b v="0"/>
    <x v="40"/>
    <x v="4"/>
    <x v="213"/>
    <x v="73"/>
    <n v="0"/>
    <n v="4.8043131658453504E+18"/>
  </r>
  <r>
    <b v="0"/>
    <x v="41"/>
    <x v="5"/>
    <x v="214"/>
    <x v="95"/>
    <n v="0"/>
    <n v="4.6073896029037599E+18"/>
  </r>
  <r>
    <b v="0"/>
    <x v="41"/>
    <x v="0"/>
    <x v="215"/>
    <x v="74"/>
    <n v="0"/>
    <n v="9.7171484488651699E+17"/>
  </r>
  <r>
    <b v="0"/>
    <x v="41"/>
    <x v="1"/>
    <x v="216"/>
    <x v="100"/>
    <n v="0"/>
    <n v="4.2470978840460298E+18"/>
  </r>
  <r>
    <b v="0"/>
    <x v="41"/>
    <x v="2"/>
    <x v="217"/>
    <x v="88"/>
    <n v="0"/>
    <n v="8.3115759489979003E+18"/>
  </r>
  <r>
    <b v="0"/>
    <x v="41"/>
    <x v="3"/>
    <x v="218"/>
    <x v="96"/>
    <n v="0"/>
    <n v="1.6575407677458999E+19"/>
  </r>
  <r>
    <b v="0"/>
    <x v="41"/>
    <x v="4"/>
    <x v="219"/>
    <x v="101"/>
    <n v="0"/>
    <n v="7.0759027375199201E+18"/>
  </r>
  <r>
    <b v="0"/>
    <x v="42"/>
    <x v="5"/>
    <x v="220"/>
    <x v="102"/>
    <n v="0"/>
    <n v="1.64125713704819E+19"/>
  </r>
  <r>
    <b v="0"/>
    <x v="42"/>
    <x v="0"/>
    <x v="221"/>
    <x v="76"/>
    <n v="0"/>
    <n v="7.3087864298175304E+18"/>
  </r>
  <r>
    <b v="0"/>
    <x v="42"/>
    <x v="1"/>
    <x v="222"/>
    <x v="84"/>
    <n v="0"/>
    <n v="3.4903681677142001E+18"/>
  </r>
  <r>
    <b v="0"/>
    <x v="42"/>
    <x v="2"/>
    <x v="223"/>
    <x v="88"/>
    <n v="0"/>
    <n v="4.9433642537256397E+18"/>
  </r>
  <r>
    <b v="0"/>
    <x v="42"/>
    <x v="3"/>
    <x v="224"/>
    <x v="103"/>
    <n v="0"/>
    <n v="1.2822566331883801E+19"/>
  </r>
  <r>
    <b v="0"/>
    <x v="42"/>
    <x v="4"/>
    <x v="225"/>
    <x v="56"/>
    <n v="0"/>
    <n v="7.7973967109629696E+18"/>
  </r>
  <r>
    <b v="0"/>
    <x v="43"/>
    <x v="5"/>
    <x v="226"/>
    <x v="104"/>
    <n v="0"/>
    <n v="1.4269609518646399E+19"/>
  </r>
  <r>
    <b v="0"/>
    <x v="43"/>
    <x v="0"/>
    <x v="227"/>
    <x v="76"/>
    <n v="0"/>
    <n v="4.1849019401566602E+18"/>
  </r>
  <r>
    <b v="0"/>
    <x v="43"/>
    <x v="1"/>
    <x v="228"/>
    <x v="100"/>
    <n v="0"/>
    <n v="1.22677609804556E+19"/>
  </r>
  <r>
    <b v="0"/>
    <x v="43"/>
    <x v="2"/>
    <x v="229"/>
    <x v="105"/>
    <n v="0"/>
    <n v="1.18215949403158E+19"/>
  </r>
  <r>
    <b v="0"/>
    <x v="43"/>
    <x v="3"/>
    <x v="230"/>
    <x v="106"/>
    <n v="0"/>
    <n v="2.54625895346227E+18"/>
  </r>
  <r>
    <b v="0"/>
    <x v="43"/>
    <x v="4"/>
    <x v="231"/>
    <x v="56"/>
    <n v="0"/>
    <n v="1.7427041570533401E+19"/>
  </r>
  <r>
    <b v="0"/>
    <x v="44"/>
    <x v="5"/>
    <x v="232"/>
    <x v="81"/>
    <n v="0"/>
    <n v="1.4851025112697801E+19"/>
  </r>
  <r>
    <b v="0"/>
    <x v="44"/>
    <x v="0"/>
    <x v="233"/>
    <x v="77"/>
    <n v="0"/>
    <n v="3.9200158092605501E+18"/>
  </r>
  <r>
    <b v="0"/>
    <x v="44"/>
    <x v="1"/>
    <x v="234"/>
    <x v="107"/>
    <n v="0"/>
    <n v="1.30482999630364E+19"/>
  </r>
  <r>
    <b v="0"/>
    <x v="44"/>
    <x v="2"/>
    <x v="235"/>
    <x v="95"/>
    <n v="0"/>
    <n v="1.1830382027228E+19"/>
  </r>
  <r>
    <b v="0"/>
    <x v="44"/>
    <x v="3"/>
    <x v="236"/>
    <x v="108"/>
    <n v="0"/>
    <n v="5.5405169511180998E+17"/>
  </r>
  <r>
    <b v="0"/>
    <x v="44"/>
    <x v="4"/>
    <x v="237"/>
    <x v="58"/>
    <n v="0"/>
    <n v="6.6024122596706304E+18"/>
  </r>
  <r>
    <b v="0"/>
    <x v="45"/>
    <x v="5"/>
    <x v="238"/>
    <x v="109"/>
    <n v="0"/>
    <n v="1.6243453700093999E+19"/>
  </r>
  <r>
    <b v="0"/>
    <x v="45"/>
    <x v="0"/>
    <x v="239"/>
    <x v="93"/>
    <n v="0"/>
    <n v="3.7857821428100101E+18"/>
  </r>
  <r>
    <b v="0"/>
    <x v="45"/>
    <x v="1"/>
    <x v="240"/>
    <x v="89"/>
    <n v="0"/>
    <n v="8.5748008239637105E+18"/>
  </r>
  <r>
    <b v="0"/>
    <x v="45"/>
    <x v="2"/>
    <x v="241"/>
    <x v="88"/>
    <n v="0"/>
    <n v="7.2881866086721802E+18"/>
  </r>
  <r>
    <b v="0"/>
    <x v="45"/>
    <x v="3"/>
    <x v="242"/>
    <x v="110"/>
    <n v="0"/>
    <n v="1.8296466682110598E+17"/>
  </r>
  <r>
    <b v="0"/>
    <x v="45"/>
    <x v="4"/>
    <x v="243"/>
    <x v="101"/>
    <n v="0"/>
    <n v="1.5038269103757099E+19"/>
  </r>
  <r>
    <b v="0"/>
    <x v="46"/>
    <x v="5"/>
    <x v="244"/>
    <x v="87"/>
    <n v="0"/>
    <n v="1.44110570566925E+19"/>
  </r>
  <r>
    <b v="0"/>
    <x v="46"/>
    <x v="0"/>
    <x v="245"/>
    <x v="88"/>
    <n v="0"/>
    <n v="4.5946279716635402E+18"/>
  </r>
  <r>
    <b v="0"/>
    <x v="46"/>
    <x v="1"/>
    <x v="246"/>
    <x v="96"/>
    <n v="0"/>
    <n v="1.50094294207658E+19"/>
  </r>
  <r>
    <b v="0"/>
    <x v="46"/>
    <x v="2"/>
    <x v="247"/>
    <x v="77"/>
    <n v="0"/>
    <n v="9.0177904822861998E+18"/>
  </r>
  <r>
    <b v="0"/>
    <x v="46"/>
    <x v="3"/>
    <x v="248"/>
    <x v="111"/>
    <n v="0"/>
    <n v="1.69695905208588E+19"/>
  </r>
  <r>
    <b v="0"/>
    <x v="46"/>
    <x v="4"/>
    <x v="249"/>
    <x v="101"/>
    <n v="0"/>
    <n v="4.6710526388204998E+17"/>
  </r>
  <r>
    <b v="0"/>
    <x v="47"/>
    <x v="5"/>
    <x v="250"/>
    <x v="109"/>
    <n v="0"/>
    <n v="1.54505917805795E+18"/>
  </r>
  <r>
    <b v="0"/>
    <x v="47"/>
    <x v="0"/>
    <x v="251"/>
    <x v="105"/>
    <n v="0"/>
    <n v="1.0682599682313501E+19"/>
  </r>
  <r>
    <b v="0"/>
    <x v="47"/>
    <x v="1"/>
    <x v="252"/>
    <x v="96"/>
    <n v="0"/>
    <n v="8.6405846131943301E+18"/>
  </r>
  <r>
    <b v="0"/>
    <x v="47"/>
    <x v="2"/>
    <x v="253"/>
    <x v="112"/>
    <n v="0"/>
    <n v="2.08135492911405E+18"/>
  </r>
  <r>
    <b v="0"/>
    <x v="47"/>
    <x v="3"/>
    <x v="254"/>
    <x v="113"/>
    <n v="0"/>
    <n v="1.59126966697547E+19"/>
  </r>
  <r>
    <b v="0"/>
    <x v="47"/>
    <x v="4"/>
    <x v="255"/>
    <x v="73"/>
    <n v="0"/>
    <n v="6.0525485456700805E+18"/>
  </r>
  <r>
    <b v="0"/>
    <x v="48"/>
    <x v="5"/>
    <x v="256"/>
    <x v="87"/>
    <n v="0"/>
    <n v="1.16436561022826E+19"/>
  </r>
  <r>
    <b v="0"/>
    <x v="48"/>
    <x v="0"/>
    <x v="257"/>
    <x v="88"/>
    <n v="0"/>
    <n v="1.1815891645698099E+19"/>
  </r>
  <r>
    <b v="0"/>
    <x v="48"/>
    <x v="1"/>
    <x v="258"/>
    <x v="107"/>
    <n v="0"/>
    <n v="1.77904041778269E+19"/>
  </r>
  <r>
    <b v="0"/>
    <x v="48"/>
    <x v="2"/>
    <x v="259"/>
    <x v="112"/>
    <n v="0"/>
    <n v="5.30592010148032E+18"/>
  </r>
  <r>
    <b v="0"/>
    <x v="48"/>
    <x v="3"/>
    <x v="260"/>
    <x v="114"/>
    <n v="0"/>
    <n v="1.26547018121982E+18"/>
  </r>
  <r>
    <b v="0"/>
    <x v="48"/>
    <x v="4"/>
    <x v="261"/>
    <x v="101"/>
    <n v="0"/>
    <n v="1.2345863421930199E+19"/>
  </r>
  <r>
    <b v="0"/>
    <x v="49"/>
    <x v="5"/>
    <x v="262"/>
    <x v="115"/>
    <n v="0"/>
    <n v="1.41477571540991E+19"/>
  </r>
  <r>
    <b v="0"/>
    <x v="49"/>
    <x v="0"/>
    <x v="263"/>
    <x v="112"/>
    <n v="0"/>
    <n v="2.1724576001514399E+18"/>
  </r>
  <r>
    <b v="0"/>
    <x v="49"/>
    <x v="1"/>
    <x v="264"/>
    <x v="99"/>
    <n v="0"/>
    <n v="7.4748099259181302E+18"/>
  </r>
  <r>
    <b v="0"/>
    <x v="49"/>
    <x v="2"/>
    <x v="265"/>
    <x v="95"/>
    <n v="0"/>
    <n v="3.1457638880970998E+18"/>
  </r>
  <r>
    <b v="0"/>
    <x v="49"/>
    <x v="3"/>
    <x v="266"/>
    <x v="116"/>
    <n v="0"/>
    <n v="1.05520962225182E+19"/>
  </r>
  <r>
    <b v="0"/>
    <x v="49"/>
    <x v="4"/>
    <x v="267"/>
    <x v="56"/>
    <n v="0"/>
    <n v="1.23814890378421E+19"/>
  </r>
  <r>
    <b v="0"/>
    <x v="50"/>
    <x v="5"/>
    <x v="268"/>
    <x v="104"/>
    <n v="0"/>
    <n v="1.68403681203503E+18"/>
  </r>
  <r>
    <b v="0"/>
    <x v="50"/>
    <x v="0"/>
    <x v="269"/>
    <x v="105"/>
    <n v="0"/>
    <n v="3.26546325970127E+18"/>
  </r>
  <r>
    <b v="0"/>
    <x v="50"/>
    <x v="1"/>
    <x v="270"/>
    <x v="100"/>
    <n v="0"/>
    <n v="9.7847207771484692E+18"/>
  </r>
  <r>
    <b v="0"/>
    <x v="50"/>
    <x v="2"/>
    <x v="271"/>
    <x v="86"/>
    <n v="0"/>
    <n v="4.7069355598758605E+18"/>
  </r>
  <r>
    <b v="0"/>
    <x v="50"/>
    <x v="3"/>
    <x v="272"/>
    <x v="117"/>
    <n v="0"/>
    <n v="1.32185081603095E+19"/>
  </r>
  <r>
    <b v="0"/>
    <x v="50"/>
    <x v="4"/>
    <x v="273"/>
    <x v="40"/>
    <n v="0"/>
    <n v="8.0421164964533996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H60" firstHeaderRow="0" firstDataRow="1" firstDataCol="4"/>
  <pivotFields count="7">
    <pivotField compact="0" outline="0" showAll="0"/>
    <pivotField axis="axisRow" compact="0" outline="0" showAll="0" defaultSubtota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</items>
    </pivotField>
    <pivotField axis="axisRow" compact="0" outline="0" showAll="0" defaultSubtotal="0">
      <items count="6">
        <item sd="0" x="5"/>
        <item sd="0" x="1"/>
        <item sd="0" x="0"/>
        <item sd="0" x="2"/>
        <item sd="0" x="3"/>
        <item sd="0" x="4"/>
      </items>
    </pivotField>
    <pivotField axis="axisRow" compact="0" outline="0" showAll="0" defaultSubtotal="0">
      <items count="274">
        <item sd="0" x="2"/>
        <item sd="0" x="7"/>
        <item sd="0" x="3"/>
        <item sd="0" x="8"/>
        <item sd="0" x="11"/>
        <item sd="0" x="1"/>
        <item sd="0" x="14"/>
        <item sd="0" x="17"/>
        <item sd="0" x="0"/>
        <item sd="0" x="21"/>
        <item sd="0" x="6"/>
        <item sd="0" x="25"/>
        <item sd="0" x="5"/>
        <item sd="0" x="4"/>
        <item sd="0" x="10"/>
        <item sd="0" x="28"/>
        <item sd="0" x="9"/>
        <item sd="0" x="20"/>
        <item sd="0" x="13"/>
        <item sd="0" x="40"/>
        <item sd="0" x="31"/>
        <item sd="0" x="12"/>
        <item sd="0" x="45"/>
        <item sd="0" x="15"/>
        <item sd="0" x="50"/>
        <item sd="0" x="16"/>
        <item sd="0" x="35"/>
        <item sd="0" x="18"/>
        <item sd="0" x="55"/>
        <item sd="0" x="60"/>
        <item sd="0" x="19"/>
        <item sd="0" x="41"/>
        <item sd="0" x="23"/>
        <item sd="0" x="66"/>
        <item sd="0" x="22"/>
        <item sd="0" x="71"/>
        <item sd="0" x="24"/>
        <item sd="0" x="46"/>
        <item sd="0" x="76"/>
        <item sd="0" x="26"/>
        <item sd="0" x="27"/>
        <item sd="0" x="39"/>
        <item sd="0" x="51"/>
        <item sd="0" x="81"/>
        <item sd="0" x="33"/>
        <item sd="0" x="56"/>
        <item sd="0" x="29"/>
        <item sd="0" x="30"/>
        <item sd="0" x="86"/>
        <item sd="0" x="61"/>
        <item sd="0" x="92"/>
        <item sd="0" x="37"/>
        <item sd="0" x="34"/>
        <item sd="0" x="32"/>
        <item sd="0" x="67"/>
        <item sd="0" x="97"/>
        <item sd="0" x="72"/>
        <item sd="0" x="43"/>
        <item sd="0" x="38"/>
        <item sd="0" x="36"/>
        <item sd="0" x="77"/>
        <item sd="0" x="103"/>
        <item sd="0" x="82"/>
        <item sd="0" x="109"/>
        <item sd="0" x="48"/>
        <item sd="0" x="65"/>
        <item sd="0" x="44"/>
        <item sd="0" x="87"/>
        <item sd="0" x="42"/>
        <item sd="0" x="49"/>
        <item sd="0" x="115"/>
        <item sd="0" x="53"/>
        <item sd="0" x="93"/>
        <item sd="0" x="121"/>
        <item sd="0" x="54"/>
        <item sd="0" x="58"/>
        <item sd="0" x="98"/>
        <item sd="0" x="127"/>
        <item sd="0" x="47"/>
        <item sd="0" x="59"/>
        <item sd="0" x="63"/>
        <item sd="0" x="104"/>
        <item sd="0" x="69"/>
        <item sd="0" x="64"/>
        <item sd="0" x="52"/>
        <item sd="0" x="110"/>
        <item sd="0" x="74"/>
        <item sd="0" x="70"/>
        <item sd="0" x="122"/>
        <item sd="0" x="116"/>
        <item sd="0" x="128"/>
        <item sd="0" x="57"/>
        <item sd="0" x="91"/>
        <item sd="0" x="79"/>
        <item sd="0" x="75"/>
        <item sd="0" x="133"/>
        <item sd="0" x="134"/>
        <item sd="0" x="96"/>
        <item sd="0" x="140"/>
        <item sd="0" x="139"/>
        <item sd="0" x="84"/>
        <item sd="0" x="62"/>
        <item sd="0" x="85"/>
        <item sd="0" x="80"/>
        <item sd="0" x="102"/>
        <item sd="0" x="146"/>
        <item sd="0" x="145"/>
        <item sd="0" x="89"/>
        <item sd="0" x="90"/>
        <item sd="0" x="68"/>
        <item sd="0" x="108"/>
        <item sd="0" x="95"/>
        <item sd="0" x="114"/>
        <item sd="0" x="73"/>
        <item sd="0" x="152"/>
        <item sd="0" x="151"/>
        <item sd="0" x="100"/>
        <item sd="0" x="106"/>
        <item sd="0" x="158"/>
        <item sd="0" x="112"/>
        <item sd="0" x="78"/>
        <item sd="0" x="118"/>
        <item sd="0" x="124"/>
        <item sd="0" x="101"/>
        <item sd="0" x="107"/>
        <item sd="0" x="164"/>
        <item sd="0" x="157"/>
        <item sd="0" x="130"/>
        <item sd="0" x="120"/>
        <item sd="0" x="126"/>
        <item sd="0" x="113"/>
        <item sd="0" x="170"/>
        <item sd="0" x="83"/>
        <item sd="0" x="136"/>
        <item sd="0" x="132"/>
        <item sd="0" x="142"/>
        <item sd="0" x="163"/>
        <item sd="0" x="176"/>
        <item sd="0" x="138"/>
        <item sd="0" x="119"/>
        <item sd="0" x="88"/>
        <item sd="0" x="144"/>
        <item sd="0" x="148"/>
        <item sd="0" x="169"/>
        <item sd="0" x="182"/>
        <item sd="0" x="125"/>
        <item sd="0" x="131"/>
        <item sd="0" x="188"/>
        <item sd="0" x="137"/>
        <item sd="0" x="154"/>
        <item sd="0" x="94"/>
        <item sd="0" x="150"/>
        <item sd="0" x="194"/>
        <item sd="0" x="143"/>
        <item sd="0" x="175"/>
        <item sd="0" x="181"/>
        <item sd="0" x="160"/>
        <item sd="0" x="200"/>
        <item sd="0" x="156"/>
        <item sd="0" x="149"/>
        <item sd="0" x="99"/>
        <item sd="0" x="166"/>
        <item sd="0" x="187"/>
        <item sd="0" x="206"/>
        <item sd="0" x="155"/>
        <item sd="0" x="193"/>
        <item sd="0" x="168"/>
        <item sd="0" x="105"/>
        <item sd="0" x="172"/>
        <item sd="0" x="162"/>
        <item sd="0" x="212"/>
        <item sd="0" x="174"/>
        <item sd="0" x="199"/>
        <item sd="0" x="161"/>
        <item sd="0" x="180"/>
        <item sd="0" x="111"/>
        <item sd="0" x="178"/>
        <item sd="0" x="167"/>
        <item sd="0" x="205"/>
        <item sd="0" x="173"/>
        <item sd="0" x="179"/>
        <item sd="0" x="117"/>
        <item sd="0" x="211"/>
        <item sd="0" x="186"/>
        <item sd="0" x="184"/>
        <item sd="0" x="217"/>
        <item sd="0" x="185"/>
        <item sd="0" x="123"/>
        <item sd="0" x="192"/>
        <item sd="0" x="223"/>
        <item sd="0" x="229"/>
        <item sd="0" x="190"/>
        <item sd="0" x="198"/>
        <item sd="0" x="218"/>
        <item sd="0" x="191"/>
        <item sd="0" x="235"/>
        <item sd="0" x="241"/>
        <item sd="0" x="196"/>
        <item sd="0" x="204"/>
        <item sd="0" x="135"/>
        <item sd="0" x="202"/>
        <item sd="0" x="197"/>
        <item sd="0" x="247"/>
        <item sd="0" x="224"/>
        <item sd="0" x="210"/>
        <item sd="0" x="253"/>
        <item sd="0" x="141"/>
        <item sd="0" x="208"/>
        <item sd="0" x="203"/>
        <item sd="0" x="129"/>
        <item sd="0" x="216"/>
        <item sd="0" x="259"/>
        <item sd="0" x="214"/>
        <item sd="0" x="147"/>
        <item sd="0" x="248"/>
        <item sd="0" x="222"/>
        <item sd="0" x="230"/>
        <item sd="0" x="236"/>
        <item sd="0" x="220"/>
        <item sd="0" x="265"/>
        <item sd="0" x="254"/>
        <item sd="0" x="209"/>
        <item sd="0" x="226"/>
        <item sd="0" x="242"/>
        <item sd="0" x="153"/>
        <item sd="0" x="232"/>
        <item sd="0" x="228"/>
        <item sd="0" x="260"/>
        <item sd="0" x="215"/>
        <item sd="0" x="266"/>
        <item sd="0" x="234"/>
        <item sd="0" x="238"/>
        <item sd="0" x="272"/>
        <item sd="0" x="240"/>
        <item sd="0" x="221"/>
        <item sd="0" x="159"/>
        <item sd="0" x="246"/>
        <item sd="0" x="227"/>
        <item sd="0" x="252"/>
        <item sd="0" x="271"/>
        <item sd="0" x="244"/>
        <item sd="0" x="258"/>
        <item sd="0" x="250"/>
        <item sd="0" x="233"/>
        <item sd="0" x="264"/>
        <item sd="0" x="262"/>
        <item sd="0" x="239"/>
        <item sd="0" x="256"/>
        <item sd="0" x="165"/>
        <item sd="0" x="270"/>
        <item sd="0" x="245"/>
        <item sd="0" x="171"/>
        <item sd="0" x="268"/>
        <item sd="0" x="251"/>
        <item sd="0" x="177"/>
        <item sd="0" x="257"/>
        <item sd="0" x="263"/>
        <item sd="0" x="183"/>
        <item sd="0" x="189"/>
        <item sd="0" x="269"/>
        <item sd="0" x="195"/>
        <item sd="0" x="201"/>
        <item sd="0" x="207"/>
        <item sd="0" x="213"/>
        <item sd="0" x="219"/>
        <item sd="0" x="225"/>
        <item sd="0" x="231"/>
        <item sd="0" x="237"/>
        <item sd="0" x="243"/>
        <item sd="0" x="249"/>
        <item sd="0" x="255"/>
        <item sd="0" x="261"/>
        <item sd="0" x="267"/>
        <item sd="0" x="273"/>
      </items>
    </pivotField>
    <pivotField axis="axisRow" compact="0" outline="0" showAll="0" defaultSubtotal="0">
      <items count="118">
        <item x="0"/>
        <item x="6"/>
        <item x="4"/>
        <item x="9"/>
        <item x="8"/>
        <item x="11"/>
        <item x="13"/>
        <item x="14"/>
        <item x="20"/>
        <item x="2"/>
        <item x="3"/>
        <item x="1"/>
        <item x="25"/>
        <item x="22"/>
        <item x="18"/>
        <item x="5"/>
        <item x="7"/>
        <item x="16"/>
        <item x="10"/>
        <item x="24"/>
        <item x="12"/>
        <item x="27"/>
        <item x="15"/>
        <item x="19"/>
        <item x="30"/>
        <item x="35"/>
        <item x="17"/>
        <item x="38"/>
        <item x="41"/>
        <item x="43"/>
        <item x="21"/>
        <item x="51"/>
        <item x="45"/>
        <item x="28"/>
        <item x="31"/>
        <item x="23"/>
        <item x="46"/>
        <item x="33"/>
        <item x="36"/>
        <item x="26"/>
        <item x="39"/>
        <item x="55"/>
        <item x="32"/>
        <item x="29"/>
        <item x="44"/>
        <item x="34"/>
        <item x="68"/>
        <item x="49"/>
        <item x="52"/>
        <item x="37"/>
        <item x="40"/>
        <item x="54"/>
        <item x="59"/>
        <item x="57"/>
        <item x="42"/>
        <item x="62"/>
        <item x="47"/>
        <item x="75"/>
        <item x="61"/>
        <item x="65"/>
        <item x="66"/>
        <item x="48"/>
        <item x="70"/>
        <item x="72"/>
        <item x="53"/>
        <item x="50"/>
        <item x="73"/>
        <item x="101"/>
        <item x="56"/>
        <item x="58"/>
        <item x="83"/>
        <item x="60"/>
        <item x="63"/>
        <item x="78"/>
        <item x="64"/>
        <item x="80"/>
        <item x="69"/>
        <item x="91"/>
        <item x="67"/>
        <item x="82"/>
        <item x="85"/>
        <item x="90"/>
        <item x="94"/>
        <item x="71"/>
        <item x="86"/>
        <item x="74"/>
        <item x="76"/>
        <item x="93"/>
        <item x="97"/>
        <item x="88"/>
        <item x="105"/>
        <item x="77"/>
        <item x="112"/>
        <item x="95"/>
        <item x="79"/>
        <item x="102"/>
        <item x="104"/>
        <item x="81"/>
        <item x="109"/>
        <item x="87"/>
        <item x="84"/>
        <item x="115"/>
        <item x="100"/>
        <item x="89"/>
        <item x="92"/>
        <item x="96"/>
        <item x="107"/>
        <item x="99"/>
        <item x="98"/>
        <item x="103"/>
        <item x="106"/>
        <item x="108"/>
        <item x="110"/>
        <item x="111"/>
        <item x="113"/>
        <item x="114"/>
        <item x="116"/>
        <item x="117"/>
      </items>
    </pivotField>
    <pivotField dataField="1" compact="0" outline="0" showAll="0"/>
    <pivotField compact="0" outline="0" showAll="0"/>
  </pivotFields>
  <rowFields count="4">
    <field x="1"/>
    <field x="2"/>
    <field x="3"/>
    <field x="4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5" subtotal="average" baseField="0" baseItem="1" numFmtId="164"/>
    <dataField name="% of Total Blanks" fld="5" showDataAs="percentOfTotal" baseField="0" baseItem="1" numFmtId="164"/>
  </dataFields>
  <formats count="83">
    <format dxfId="158">
      <pivotArea type="all" dataOnly="0" outline="0" fieldPosition="0"/>
    </format>
    <format dxfId="157">
      <pivotArea type="all" dataOnly="0" outline="0" fieldPosition="0"/>
    </format>
    <format dxfId="156">
      <pivotArea dataOnly="0" outline="0" fieldPosition="0">
        <references count="1">
          <reference field="4294967294" count="1">
            <x v="0"/>
          </reference>
        </references>
      </pivotArea>
    </format>
    <format dxfId="155">
      <pivotArea outline="0" fieldPosition="0">
        <references count="1">
          <reference field="4294967294" count="1">
            <x v="0"/>
          </reference>
        </references>
      </pivotArea>
    </format>
    <format dxfId="154">
      <pivotArea outline="0" fieldPosition="0">
        <references count="1">
          <reference field="4294967294" count="1">
            <x v="1"/>
          </reference>
        </references>
      </pivotArea>
    </format>
    <format dxfId="153">
      <pivotArea type="all" dataOnly="0" outline="0" fieldPosition="0"/>
    </format>
    <format dxfId="15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51">
      <pivotArea outline="0" fieldPosition="0">
        <references count="1">
          <reference field="4294967294" count="1" selected="0">
            <x v="1"/>
          </reference>
        </references>
      </pivotArea>
    </format>
    <format dxfId="75">
      <pivotArea field="1" type="button" dataOnly="0" labelOnly="1" outline="0" axis="axisRow" fieldPosition="0"/>
    </format>
    <format dxfId="74">
      <pivotArea field="2" type="button" dataOnly="0" labelOnly="1" outline="0" axis="axisRow" fieldPosition="1"/>
    </format>
    <format dxfId="73">
      <pivotArea field="3" type="button" dataOnly="0" labelOnly="1" outline="0" axis="axisRow" fieldPosition="2"/>
    </format>
    <format dxfId="72">
      <pivotArea field="4" type="button" dataOnly="0" labelOnly="1" outline="0" axis="axisRow" fieldPosition="3"/>
    </format>
    <format dxfId="7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2" type="button" dataOnly="0" labelOnly="1" outline="0" axis="axisRow" fieldPosition="1"/>
    </format>
    <format dxfId="67">
      <pivotArea field="3" type="button" dataOnly="0" labelOnly="1" outline="0" axis="axisRow" fieldPosition="2"/>
    </format>
    <format dxfId="66">
      <pivotArea field="4" type="button" dataOnly="0" labelOnly="1" outline="0" axis="axisRow" fieldPosition="3"/>
    </format>
    <format dxfId="6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1" type="button" dataOnly="0" labelOnly="1" outline="0" axis="axisRow" fieldPosition="0"/>
    </format>
    <format dxfId="60">
      <pivotArea field="2" type="button" dataOnly="0" labelOnly="1" outline="0" axis="axisRow" fieldPosition="1"/>
    </format>
    <format dxfId="59">
      <pivotArea field="3" type="button" dataOnly="0" labelOnly="1" outline="0" axis="axisRow" fieldPosition="2"/>
    </format>
    <format dxfId="58">
      <pivotArea field="4" type="button" dataOnly="0" labelOnly="1" outline="0" axis="axisRow" fieldPosition="3"/>
    </format>
    <format dxfId="57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6">
      <pivotArea dataOnly="0" labelOnly="1" outline="0" fieldPosition="0">
        <references count="1">
          <reference field="1" count="1">
            <x v="50"/>
          </reference>
        </references>
      </pivotArea>
    </format>
    <format dxfId="55">
      <pivotArea dataOnly="0" labelOnly="1" grandRow="1" outline="0" fieldPosition="0"/>
    </format>
    <format dxfId="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3">
      <pivotArea field="1" type="button" dataOnly="0" labelOnly="1" outline="0" axis="axisRow" fieldPosition="0"/>
    </format>
    <format dxfId="52">
      <pivotArea dataOnly="0" labelOnly="1" outline="0" fieldPosition="0">
        <references count="1">
          <reference field="1" count="1">
            <x v="0"/>
          </reference>
        </references>
      </pivotArea>
    </format>
    <format dxfId="51">
      <pivotArea dataOnly="0" labelOnly="1" outline="0" fieldPosition="0">
        <references count="1">
          <reference field="1" count="1">
            <x v="1"/>
          </reference>
        </references>
      </pivotArea>
    </format>
    <format dxfId="50">
      <pivotArea dataOnly="0" labelOnly="1" outline="0" fieldPosition="0">
        <references count="1">
          <reference field="1" count="1">
            <x v="2"/>
          </reference>
        </references>
      </pivotArea>
    </format>
    <format dxfId="49">
      <pivotArea dataOnly="0" labelOnly="1" outline="0" fieldPosition="0">
        <references count="1">
          <reference field="1" count="1">
            <x v="3"/>
          </reference>
        </references>
      </pivotArea>
    </format>
    <format dxfId="48">
      <pivotArea dataOnly="0" labelOnly="1" outline="0" fieldPosition="0">
        <references count="1">
          <reference field="1" count="1">
            <x v="4"/>
          </reference>
        </references>
      </pivotArea>
    </format>
    <format dxfId="47">
      <pivotArea dataOnly="0" labelOnly="1" outline="0" fieldPosition="0">
        <references count="1">
          <reference field="1" count="1">
            <x v="5"/>
          </reference>
        </references>
      </pivotArea>
    </format>
    <format dxfId="46">
      <pivotArea dataOnly="0" labelOnly="1" outline="0" fieldPosition="0">
        <references count="1">
          <reference field="1" count="1">
            <x v="6"/>
          </reference>
        </references>
      </pivotArea>
    </format>
    <format dxfId="45">
      <pivotArea dataOnly="0" labelOnly="1" outline="0" fieldPosition="0">
        <references count="1">
          <reference field="1" count="1">
            <x v="7"/>
          </reference>
        </references>
      </pivotArea>
    </format>
    <format dxfId="44">
      <pivotArea dataOnly="0" labelOnly="1" outline="0" fieldPosition="0">
        <references count="1">
          <reference field="1" count="1">
            <x v="8"/>
          </reference>
        </references>
      </pivotArea>
    </format>
    <format dxfId="43">
      <pivotArea dataOnly="0" labelOnly="1" outline="0" fieldPosition="0">
        <references count="1">
          <reference field="1" count="1">
            <x v="9"/>
          </reference>
        </references>
      </pivotArea>
    </format>
    <format dxfId="42">
      <pivotArea dataOnly="0" labelOnly="1" outline="0" fieldPosition="0">
        <references count="1">
          <reference field="1" count="1">
            <x v="10"/>
          </reference>
        </references>
      </pivotArea>
    </format>
    <format dxfId="41">
      <pivotArea dataOnly="0" labelOnly="1" outline="0" fieldPosition="0">
        <references count="1">
          <reference field="1" count="1">
            <x v="11"/>
          </reference>
        </references>
      </pivotArea>
    </format>
    <format dxfId="40">
      <pivotArea dataOnly="0" labelOnly="1" outline="0" fieldPosition="0">
        <references count="1">
          <reference field="1" count="1">
            <x v="12"/>
          </reference>
        </references>
      </pivotArea>
    </format>
    <format dxfId="39">
      <pivotArea dataOnly="0" labelOnly="1" outline="0" fieldPosition="0">
        <references count="1">
          <reference field="1" count="1">
            <x v="13"/>
          </reference>
        </references>
      </pivotArea>
    </format>
    <format dxfId="38">
      <pivotArea dataOnly="0" labelOnly="1" outline="0" fieldPosition="0">
        <references count="1">
          <reference field="1" count="1">
            <x v="14"/>
          </reference>
        </references>
      </pivotArea>
    </format>
    <format dxfId="37">
      <pivotArea dataOnly="0" labelOnly="1" outline="0" fieldPosition="0">
        <references count="1">
          <reference field="1" count="1">
            <x v="15"/>
          </reference>
        </references>
      </pivotArea>
    </format>
    <format dxfId="36">
      <pivotArea dataOnly="0" labelOnly="1" outline="0" fieldPosition="0">
        <references count="1">
          <reference field="1" count="1">
            <x v="16"/>
          </reference>
        </references>
      </pivotArea>
    </format>
    <format dxfId="35">
      <pivotArea dataOnly="0" labelOnly="1" outline="0" fieldPosition="0">
        <references count="1">
          <reference field="1" count="1">
            <x v="17"/>
          </reference>
        </references>
      </pivotArea>
    </format>
    <format dxfId="34">
      <pivotArea dataOnly="0" labelOnly="1" outline="0" fieldPosition="0">
        <references count="1">
          <reference field="1" count="1">
            <x v="18"/>
          </reference>
        </references>
      </pivotArea>
    </format>
    <format dxfId="33">
      <pivotArea dataOnly="0" labelOnly="1" outline="0" fieldPosition="0">
        <references count="1">
          <reference field="1" count="1">
            <x v="19"/>
          </reference>
        </references>
      </pivotArea>
    </format>
    <format dxfId="32">
      <pivotArea dataOnly="0" labelOnly="1" outline="0" fieldPosition="0">
        <references count="1">
          <reference field="1" count="1">
            <x v="20"/>
          </reference>
        </references>
      </pivotArea>
    </format>
    <format dxfId="31">
      <pivotArea dataOnly="0" labelOnly="1" outline="0" fieldPosition="0">
        <references count="1">
          <reference field="1" count="1">
            <x v="21"/>
          </reference>
        </references>
      </pivotArea>
    </format>
    <format dxfId="30">
      <pivotArea dataOnly="0" labelOnly="1" outline="0" fieldPosition="0">
        <references count="1">
          <reference field="1" count="1">
            <x v="22"/>
          </reference>
        </references>
      </pivotArea>
    </format>
    <format dxfId="29">
      <pivotArea dataOnly="0" labelOnly="1" outline="0" fieldPosition="0">
        <references count="1">
          <reference field="1" count="1">
            <x v="23"/>
          </reference>
        </references>
      </pivotArea>
    </format>
    <format dxfId="28">
      <pivotArea dataOnly="0" labelOnly="1" outline="0" fieldPosition="0">
        <references count="1">
          <reference field="1" count="1">
            <x v="24"/>
          </reference>
        </references>
      </pivotArea>
    </format>
    <format dxfId="27">
      <pivotArea dataOnly="0" labelOnly="1" outline="0" fieldPosition="0">
        <references count="1">
          <reference field="1" count="1">
            <x v="25"/>
          </reference>
        </references>
      </pivotArea>
    </format>
    <format dxfId="26">
      <pivotArea dataOnly="0" labelOnly="1" outline="0" fieldPosition="0">
        <references count="1">
          <reference field="1" count="1">
            <x v="26"/>
          </reference>
        </references>
      </pivotArea>
    </format>
    <format dxfId="25">
      <pivotArea dataOnly="0" labelOnly="1" outline="0" fieldPosition="0">
        <references count="1">
          <reference field="1" count="1">
            <x v="27"/>
          </reference>
        </references>
      </pivotArea>
    </format>
    <format dxfId="24">
      <pivotArea dataOnly="0" labelOnly="1" outline="0" fieldPosition="0">
        <references count="1">
          <reference field="1" count="1">
            <x v="28"/>
          </reference>
        </references>
      </pivotArea>
    </format>
    <format dxfId="23">
      <pivotArea dataOnly="0" labelOnly="1" outline="0" fieldPosition="0">
        <references count="1">
          <reference field="1" count="1">
            <x v="29"/>
          </reference>
        </references>
      </pivotArea>
    </format>
    <format dxfId="22">
      <pivotArea dataOnly="0" labelOnly="1" outline="0" fieldPosition="0">
        <references count="1">
          <reference field="1" count="1">
            <x v="30"/>
          </reference>
        </references>
      </pivotArea>
    </format>
    <format dxfId="21">
      <pivotArea dataOnly="0" labelOnly="1" outline="0" fieldPosition="0">
        <references count="1">
          <reference field="1" count="1">
            <x v="31"/>
          </reference>
        </references>
      </pivotArea>
    </format>
    <format dxfId="20">
      <pivotArea dataOnly="0" labelOnly="1" outline="0" fieldPosition="0">
        <references count="1">
          <reference field="1" count="1">
            <x v="32"/>
          </reference>
        </references>
      </pivotArea>
    </format>
    <format dxfId="19">
      <pivotArea dataOnly="0" labelOnly="1" outline="0" fieldPosition="0">
        <references count="1">
          <reference field="1" count="1">
            <x v="33"/>
          </reference>
        </references>
      </pivotArea>
    </format>
    <format dxfId="18">
      <pivotArea dataOnly="0" labelOnly="1" outline="0" fieldPosition="0">
        <references count="1">
          <reference field="1" count="1">
            <x v="34"/>
          </reference>
        </references>
      </pivotArea>
    </format>
    <format dxfId="17">
      <pivotArea dataOnly="0" labelOnly="1" outline="0" fieldPosition="0">
        <references count="1">
          <reference field="1" count="1">
            <x v="35"/>
          </reference>
        </references>
      </pivotArea>
    </format>
    <format dxfId="16">
      <pivotArea dataOnly="0" labelOnly="1" outline="0" fieldPosition="0">
        <references count="1">
          <reference field="1" count="1">
            <x v="36"/>
          </reference>
        </references>
      </pivotArea>
    </format>
    <format dxfId="15">
      <pivotArea dataOnly="0" labelOnly="1" outline="0" fieldPosition="0">
        <references count="1">
          <reference field="1" count="1">
            <x v="37"/>
          </reference>
        </references>
      </pivotArea>
    </format>
    <format dxfId="14">
      <pivotArea dataOnly="0" labelOnly="1" outline="0" fieldPosition="0">
        <references count="1">
          <reference field="1" count="1">
            <x v="38"/>
          </reference>
        </references>
      </pivotArea>
    </format>
    <format dxfId="13">
      <pivotArea dataOnly="0" labelOnly="1" outline="0" fieldPosition="0">
        <references count="1">
          <reference field="1" count="1">
            <x v="39"/>
          </reference>
        </references>
      </pivotArea>
    </format>
    <format dxfId="12">
      <pivotArea dataOnly="0" labelOnly="1" outline="0" fieldPosition="0">
        <references count="1">
          <reference field="1" count="1">
            <x v="40"/>
          </reference>
        </references>
      </pivotArea>
    </format>
    <format dxfId="11">
      <pivotArea dataOnly="0" labelOnly="1" outline="0" fieldPosition="0">
        <references count="1">
          <reference field="1" count="1">
            <x v="41"/>
          </reference>
        </references>
      </pivotArea>
    </format>
    <format dxfId="10">
      <pivotArea dataOnly="0" labelOnly="1" outline="0" fieldPosition="0">
        <references count="1">
          <reference field="1" count="1">
            <x v="42"/>
          </reference>
        </references>
      </pivotArea>
    </format>
    <format dxfId="9">
      <pivotArea dataOnly="0" labelOnly="1" outline="0" fieldPosition="0">
        <references count="1">
          <reference field="1" count="1">
            <x v="43"/>
          </reference>
        </references>
      </pivotArea>
    </format>
    <format dxfId="8">
      <pivotArea dataOnly="0" labelOnly="1" outline="0" fieldPosition="0">
        <references count="1">
          <reference field="1" count="1">
            <x v="44"/>
          </reference>
        </references>
      </pivotArea>
    </format>
    <format dxfId="7">
      <pivotArea dataOnly="0" labelOnly="1" outline="0" fieldPosition="0">
        <references count="1">
          <reference field="1" count="1">
            <x v="45"/>
          </reference>
        </references>
      </pivotArea>
    </format>
    <format dxfId="6">
      <pivotArea dataOnly="0" labelOnly="1" outline="0" fieldPosition="0">
        <references count="1">
          <reference field="1" count="1">
            <x v="46"/>
          </reference>
        </references>
      </pivotArea>
    </format>
    <format dxfId="5">
      <pivotArea dataOnly="0" labelOnly="1" outline="0" fieldPosition="0">
        <references count="1">
          <reference field="1" count="1">
            <x v="47"/>
          </reference>
        </references>
      </pivotArea>
    </format>
    <format dxfId="4">
      <pivotArea dataOnly="0" labelOnly="1" outline="0" fieldPosition="0">
        <references count="1">
          <reference field="1" count="1">
            <x v="48"/>
          </reference>
        </references>
      </pivotArea>
    </format>
    <format dxfId="3">
      <pivotArea dataOnly="0" labelOnly="1" outline="0" fieldPosition="0">
        <references count="1">
          <reference field="1" count="1">
            <x v="49"/>
          </reference>
        </references>
      </pivotArea>
    </format>
    <format dxfId="2">
      <pivotArea dataOnly="0" labelOnly="1" outline="0" fieldPosition="0">
        <references count="1">
          <reference field="1" count="1">
            <x v="50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F60" firstHeaderRow="1" firstDataRow="1" firstDataCol="4"/>
  <pivotFields count="7">
    <pivotField compact="0" outline="0" showAll="0"/>
    <pivotField axis="axisRow" compact="0" outline="0" showAll="0" defaultSubtota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</items>
    </pivotField>
    <pivotField axis="axisRow" compact="0" outline="0" showAll="0" defaultSubtotal="0">
      <items count="6">
        <item sd="0" x="5"/>
        <item sd="0" x="1"/>
        <item sd="0" x="0"/>
        <item sd="0" x="2"/>
        <item sd="0" x="3"/>
        <item sd="0" x="4"/>
      </items>
    </pivotField>
    <pivotField axis="axisRow" compact="0" outline="0" showAll="0" defaultSubtotal="0">
      <items count="274">
        <item sd="0" x="2"/>
        <item sd="0" x="7"/>
        <item sd="0" x="3"/>
        <item sd="0" x="8"/>
        <item sd="0" x="11"/>
        <item sd="0" x="1"/>
        <item sd="0" x="14"/>
        <item sd="0" x="17"/>
        <item sd="0" x="0"/>
        <item sd="0" x="21"/>
        <item sd="0" x="6"/>
        <item sd="0" x="25"/>
        <item sd="0" x="5"/>
        <item sd="0" x="4"/>
        <item sd="0" x="10"/>
        <item sd="0" x="28"/>
        <item sd="0" x="9"/>
        <item sd="0" x="20"/>
        <item sd="0" x="13"/>
        <item sd="0" x="40"/>
        <item sd="0" x="31"/>
        <item sd="0" x="12"/>
        <item sd="0" x="45"/>
        <item sd="0" x="15"/>
        <item sd="0" x="50"/>
        <item sd="0" x="16"/>
        <item sd="0" x="35"/>
        <item sd="0" x="18"/>
        <item sd="0" x="55"/>
        <item sd="0" x="60"/>
        <item sd="0" x="19"/>
        <item sd="0" x="41"/>
        <item sd="0" x="23"/>
        <item sd="0" x="66"/>
        <item sd="0" x="22"/>
        <item sd="0" x="71"/>
        <item sd="0" x="24"/>
        <item sd="0" x="46"/>
        <item sd="0" x="76"/>
        <item sd="0" x="26"/>
        <item sd="0" x="27"/>
        <item sd="0" x="39"/>
        <item sd="0" x="51"/>
        <item sd="0" x="81"/>
        <item sd="0" x="33"/>
        <item sd="0" x="56"/>
        <item sd="0" x="29"/>
        <item sd="0" x="30"/>
        <item sd="0" x="86"/>
        <item sd="0" x="61"/>
        <item sd="0" x="92"/>
        <item sd="0" x="37"/>
        <item sd="0" x="34"/>
        <item sd="0" x="32"/>
        <item sd="0" x="67"/>
        <item sd="0" x="97"/>
        <item sd="0" x="72"/>
        <item sd="0" x="43"/>
        <item sd="0" x="38"/>
        <item sd="0" x="36"/>
        <item sd="0" x="77"/>
        <item sd="0" x="103"/>
        <item sd="0" x="82"/>
        <item sd="0" x="109"/>
        <item sd="0" x="48"/>
        <item sd="0" x="65"/>
        <item sd="0" x="44"/>
        <item sd="0" x="87"/>
        <item sd="0" x="42"/>
        <item sd="0" x="49"/>
        <item sd="0" x="115"/>
        <item sd="0" x="53"/>
        <item sd="0" x="93"/>
        <item sd="0" x="121"/>
        <item sd="0" x="54"/>
        <item sd="0" x="58"/>
        <item sd="0" x="98"/>
        <item sd="0" x="127"/>
        <item sd="0" x="47"/>
        <item sd="0" x="59"/>
        <item sd="0" x="63"/>
        <item sd="0" x="104"/>
        <item sd="0" x="69"/>
        <item sd="0" x="64"/>
        <item sd="0" x="52"/>
        <item sd="0" x="110"/>
        <item sd="0" x="74"/>
        <item sd="0" x="70"/>
        <item sd="0" x="122"/>
        <item sd="0" x="116"/>
        <item sd="0" x="128"/>
        <item sd="0" x="57"/>
        <item sd="0" x="91"/>
        <item sd="0" x="79"/>
        <item sd="0" x="75"/>
        <item sd="0" x="133"/>
        <item sd="0" x="134"/>
        <item sd="0" x="96"/>
        <item sd="0" x="140"/>
        <item sd="0" x="139"/>
        <item sd="0" x="84"/>
        <item sd="0" x="62"/>
        <item sd="0" x="85"/>
        <item sd="0" x="80"/>
        <item sd="0" x="102"/>
        <item sd="0" x="146"/>
        <item sd="0" x="145"/>
        <item sd="0" x="89"/>
        <item sd="0" x="90"/>
        <item sd="0" x="68"/>
        <item sd="0" x="108"/>
        <item sd="0" x="95"/>
        <item sd="0" x="114"/>
        <item sd="0" x="73"/>
        <item sd="0" x="152"/>
        <item sd="0" x="151"/>
        <item sd="0" x="100"/>
        <item sd="0" x="106"/>
        <item sd="0" x="158"/>
        <item sd="0" x="112"/>
        <item sd="0" x="78"/>
        <item sd="0" x="118"/>
        <item sd="0" x="124"/>
        <item sd="0" x="101"/>
        <item sd="0" x="107"/>
        <item sd="0" x="164"/>
        <item sd="0" x="157"/>
        <item sd="0" x="130"/>
        <item sd="0" x="120"/>
        <item sd="0" x="126"/>
        <item sd="0" x="113"/>
        <item sd="0" x="170"/>
        <item sd="0" x="83"/>
        <item sd="0" x="136"/>
        <item sd="0" x="132"/>
        <item sd="0" x="142"/>
        <item sd="0" x="163"/>
        <item sd="0" x="176"/>
        <item sd="0" x="138"/>
        <item sd="0" x="119"/>
        <item sd="0" x="88"/>
        <item sd="0" x="144"/>
        <item sd="0" x="148"/>
        <item sd="0" x="169"/>
        <item sd="0" x="182"/>
        <item sd="0" x="125"/>
        <item sd="0" x="131"/>
        <item sd="0" x="188"/>
        <item sd="0" x="137"/>
        <item sd="0" x="154"/>
        <item sd="0" x="94"/>
        <item sd="0" x="150"/>
        <item sd="0" x="194"/>
        <item sd="0" x="143"/>
        <item sd="0" x="175"/>
        <item sd="0" x="181"/>
        <item sd="0" x="160"/>
        <item sd="0" x="200"/>
        <item sd="0" x="156"/>
        <item sd="0" x="149"/>
        <item sd="0" x="99"/>
        <item sd="0" x="166"/>
        <item sd="0" x="187"/>
        <item sd="0" x="206"/>
        <item sd="0" x="155"/>
        <item sd="0" x="193"/>
        <item sd="0" x="168"/>
        <item sd="0" x="105"/>
        <item sd="0" x="172"/>
        <item sd="0" x="162"/>
        <item sd="0" x="212"/>
        <item sd="0" x="174"/>
        <item sd="0" x="199"/>
        <item sd="0" x="161"/>
        <item sd="0" x="180"/>
        <item sd="0" x="111"/>
        <item sd="0" x="178"/>
        <item sd="0" x="167"/>
        <item sd="0" x="205"/>
        <item sd="0" x="173"/>
        <item sd="0" x="179"/>
        <item sd="0" x="117"/>
        <item sd="0" x="211"/>
        <item sd="0" x="186"/>
        <item sd="0" x="184"/>
        <item sd="0" x="217"/>
        <item sd="0" x="185"/>
        <item sd="0" x="123"/>
        <item sd="0" x="192"/>
        <item sd="0" x="223"/>
        <item sd="0" x="229"/>
        <item sd="0" x="190"/>
        <item sd="0" x="198"/>
        <item sd="0" x="218"/>
        <item sd="0" x="191"/>
        <item sd="0" x="235"/>
        <item sd="0" x="241"/>
        <item sd="0" x="196"/>
        <item sd="0" x="204"/>
        <item sd="0" x="135"/>
        <item sd="0" x="202"/>
        <item sd="0" x="197"/>
        <item sd="0" x="247"/>
        <item sd="0" x="224"/>
        <item sd="0" x="210"/>
        <item sd="0" x="253"/>
        <item sd="0" x="141"/>
        <item sd="0" x="208"/>
        <item sd="0" x="203"/>
        <item sd="0" x="129"/>
        <item sd="0" x="216"/>
        <item sd="0" x="259"/>
        <item sd="0" x="214"/>
        <item sd="0" x="147"/>
        <item sd="0" x="248"/>
        <item sd="0" x="222"/>
        <item sd="0" x="230"/>
        <item sd="0" x="236"/>
        <item sd="0" x="220"/>
        <item sd="0" x="265"/>
        <item sd="0" x="254"/>
        <item sd="0" x="209"/>
        <item sd="0" x="226"/>
        <item sd="0" x="242"/>
        <item sd="0" x="153"/>
        <item sd="0" x="232"/>
        <item sd="0" x="228"/>
        <item sd="0" x="260"/>
        <item sd="0" x="215"/>
        <item sd="0" x="266"/>
        <item sd="0" x="234"/>
        <item sd="0" x="238"/>
        <item sd="0" x="272"/>
        <item sd="0" x="240"/>
        <item sd="0" x="221"/>
        <item sd="0" x="159"/>
        <item sd="0" x="246"/>
        <item sd="0" x="227"/>
        <item sd="0" x="252"/>
        <item sd="0" x="271"/>
        <item sd="0" x="244"/>
        <item sd="0" x="258"/>
        <item sd="0" x="250"/>
        <item sd="0" x="233"/>
        <item sd="0" x="264"/>
        <item sd="0" x="262"/>
        <item sd="0" x="239"/>
        <item sd="0" x="256"/>
        <item sd="0" x="165"/>
        <item sd="0" x="270"/>
        <item sd="0" x="245"/>
        <item sd="0" x="171"/>
        <item sd="0" x="268"/>
        <item sd="0" x="251"/>
        <item sd="0" x="177"/>
        <item sd="0" x="257"/>
        <item sd="0" x="263"/>
        <item sd="0" x="183"/>
        <item sd="0" x="189"/>
        <item sd="0" x="269"/>
        <item sd="0" x="195"/>
        <item sd="0" x="201"/>
        <item sd="0" x="207"/>
        <item sd="0" x="213"/>
        <item sd="0" x="219"/>
        <item sd="0" x="225"/>
        <item sd="0" x="231"/>
        <item sd="0" x="237"/>
        <item sd="0" x="243"/>
        <item sd="0" x="249"/>
        <item sd="0" x="255"/>
        <item sd="0" x="261"/>
        <item sd="0" x="267"/>
        <item sd="0" x="273"/>
      </items>
    </pivotField>
    <pivotField axis="axisRow" compact="0" outline="0" showAll="0" defaultSubtotal="0">
      <items count="118">
        <item x="0"/>
        <item x="6"/>
        <item x="4"/>
        <item x="9"/>
        <item x="8"/>
        <item x="11"/>
        <item x="13"/>
        <item x="14"/>
        <item x="20"/>
        <item x="2"/>
        <item x="3"/>
        <item x="1"/>
        <item x="25"/>
        <item x="22"/>
        <item x="18"/>
        <item x="5"/>
        <item x="7"/>
        <item x="16"/>
        <item x="10"/>
        <item x="24"/>
        <item x="12"/>
        <item x="27"/>
        <item x="15"/>
        <item x="19"/>
        <item x="30"/>
        <item x="35"/>
        <item x="17"/>
        <item x="38"/>
        <item x="41"/>
        <item x="43"/>
        <item x="21"/>
        <item x="51"/>
        <item x="45"/>
        <item x="28"/>
        <item x="31"/>
        <item x="23"/>
        <item x="46"/>
        <item x="33"/>
        <item x="36"/>
        <item x="26"/>
        <item x="39"/>
        <item x="55"/>
        <item x="32"/>
        <item x="29"/>
        <item x="44"/>
        <item x="34"/>
        <item x="68"/>
        <item x="49"/>
        <item x="52"/>
        <item x="37"/>
        <item x="40"/>
        <item x="54"/>
        <item x="59"/>
        <item x="57"/>
        <item x="42"/>
        <item x="62"/>
        <item x="47"/>
        <item x="75"/>
        <item x="61"/>
        <item x="65"/>
        <item x="66"/>
        <item x="48"/>
        <item x="70"/>
        <item x="72"/>
        <item x="53"/>
        <item x="50"/>
        <item x="73"/>
        <item x="101"/>
        <item x="56"/>
        <item x="58"/>
        <item x="83"/>
        <item x="60"/>
        <item x="63"/>
        <item x="78"/>
        <item x="64"/>
        <item x="80"/>
        <item x="69"/>
        <item x="91"/>
        <item x="67"/>
        <item x="82"/>
        <item x="85"/>
        <item x="90"/>
        <item x="94"/>
        <item x="71"/>
        <item x="86"/>
        <item x="74"/>
        <item x="76"/>
        <item x="93"/>
        <item x="97"/>
        <item x="88"/>
        <item x="105"/>
        <item x="77"/>
        <item x="112"/>
        <item x="95"/>
        <item x="79"/>
        <item x="102"/>
        <item x="104"/>
        <item x="81"/>
        <item x="109"/>
        <item x="87"/>
        <item x="84"/>
        <item x="115"/>
        <item x="100"/>
        <item x="89"/>
        <item x="92"/>
        <item x="96"/>
        <item x="107"/>
        <item x="99"/>
        <item x="98"/>
        <item x="103"/>
        <item x="106"/>
        <item x="108"/>
        <item x="110"/>
        <item x="111"/>
        <item x="113"/>
        <item x="114"/>
        <item x="116"/>
        <item x="117"/>
      </items>
    </pivotField>
    <pivotField compact="0" outline="0" showAll="0"/>
    <pivotField compact="0" outline="0" showAll="0"/>
  </pivotFields>
  <rowFields count="4">
    <field x="1"/>
    <field x="2"/>
    <field x="3"/>
    <field x="4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Items count="1">
    <i/>
  </colItems>
  <formats count="65">
    <format dxfId="150">
      <pivotArea type="all" dataOnly="0" outline="0" fieldPosition="0"/>
    </format>
    <format dxfId="149">
      <pivotArea outline="0" collapsedLevelsAreSubtotals="1" fieldPosition="0"/>
    </format>
    <format dxfId="148">
      <pivotArea dataOnly="0" labelOnly="1" grandRow="1" outline="0" fieldPosition="0"/>
    </format>
    <format dxfId="137">
      <pivotArea field="1" type="button" dataOnly="0" labelOnly="1" outline="0" axis="axisRow" fieldPosition="0"/>
    </format>
    <format dxfId="136">
      <pivotArea field="2" type="button" dataOnly="0" labelOnly="1" outline="0" axis="axisRow" fieldPosition="1"/>
    </format>
    <format dxfId="135">
      <pivotArea field="3" type="button" dataOnly="0" labelOnly="1" outline="0" axis="axisRow" fieldPosition="2"/>
    </format>
    <format dxfId="134">
      <pivotArea field="4" type="button" dataOnly="0" labelOnly="1" outline="0" axis="axisRow" fieldPosition="3"/>
    </format>
    <format dxfId="133">
      <pivotArea type="all" dataOnly="0" outline="0" fieldPosition="0"/>
    </format>
    <format dxfId="132">
      <pivotArea field="2" type="button" dataOnly="0" labelOnly="1" outline="0" axis="axisRow" fieldPosition="1"/>
    </format>
    <format dxfId="131">
      <pivotArea field="3" type="button" dataOnly="0" labelOnly="1" outline="0" axis="axisRow" fieldPosition="2"/>
    </format>
    <format dxfId="130">
      <pivotArea field="4" type="button" dataOnly="0" labelOnly="1" outline="0" axis="axisRow" fieldPosition="3"/>
    </format>
    <format dxfId="129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8">
      <pivotArea field="1" type="button" dataOnly="0" labelOnly="1" outline="0" axis="axisRow" fieldPosition="0"/>
    </format>
    <format dxfId="127">
      <pivotArea dataOnly="0" labelOnly="1" outline="0" fieldPosition="0">
        <references count="1">
          <reference field="1" count="1">
            <x v="0"/>
          </reference>
        </references>
      </pivotArea>
    </format>
    <format dxfId="126">
      <pivotArea dataOnly="0" labelOnly="1" outline="0" fieldPosition="0">
        <references count="1">
          <reference field="1" count="1">
            <x v="1"/>
          </reference>
        </references>
      </pivotArea>
    </format>
    <format dxfId="125">
      <pivotArea dataOnly="0" labelOnly="1" outline="0" fieldPosition="0">
        <references count="1">
          <reference field="1" count="1">
            <x v="2"/>
          </reference>
        </references>
      </pivotArea>
    </format>
    <format dxfId="124">
      <pivotArea dataOnly="0" labelOnly="1" outline="0" fieldPosition="0">
        <references count="1">
          <reference field="1" count="1">
            <x v="3"/>
          </reference>
        </references>
      </pivotArea>
    </format>
    <format dxfId="123">
      <pivotArea dataOnly="0" labelOnly="1" outline="0" fieldPosition="0">
        <references count="1">
          <reference field="1" count="1">
            <x v="4"/>
          </reference>
        </references>
      </pivotArea>
    </format>
    <format dxfId="122">
      <pivotArea dataOnly="0" labelOnly="1" outline="0" fieldPosition="0">
        <references count="1">
          <reference field="1" count="1">
            <x v="5"/>
          </reference>
        </references>
      </pivotArea>
    </format>
    <format dxfId="121">
      <pivotArea dataOnly="0" labelOnly="1" outline="0" fieldPosition="0">
        <references count="1">
          <reference field="1" count="1">
            <x v="6"/>
          </reference>
        </references>
      </pivotArea>
    </format>
    <format dxfId="120">
      <pivotArea dataOnly="0" labelOnly="1" outline="0" fieldPosition="0">
        <references count="1">
          <reference field="1" count="1">
            <x v="7"/>
          </reference>
        </references>
      </pivotArea>
    </format>
    <format dxfId="119">
      <pivotArea dataOnly="0" labelOnly="1" outline="0" fieldPosition="0">
        <references count="1">
          <reference field="1" count="1">
            <x v="8"/>
          </reference>
        </references>
      </pivotArea>
    </format>
    <format dxfId="118">
      <pivotArea dataOnly="0" labelOnly="1" outline="0" fieldPosition="0">
        <references count="1">
          <reference field="1" count="1">
            <x v="9"/>
          </reference>
        </references>
      </pivotArea>
    </format>
    <format dxfId="117">
      <pivotArea dataOnly="0" labelOnly="1" outline="0" fieldPosition="0">
        <references count="1">
          <reference field="1" count="1">
            <x v="10"/>
          </reference>
        </references>
      </pivotArea>
    </format>
    <format dxfId="116">
      <pivotArea dataOnly="0" labelOnly="1" outline="0" fieldPosition="0">
        <references count="1">
          <reference field="1" count="1">
            <x v="11"/>
          </reference>
        </references>
      </pivotArea>
    </format>
    <format dxfId="115">
      <pivotArea dataOnly="0" labelOnly="1" outline="0" fieldPosition="0">
        <references count="1">
          <reference field="1" count="1">
            <x v="12"/>
          </reference>
        </references>
      </pivotArea>
    </format>
    <format dxfId="114">
      <pivotArea dataOnly="0" labelOnly="1" outline="0" fieldPosition="0">
        <references count="1">
          <reference field="1" count="1">
            <x v="13"/>
          </reference>
        </references>
      </pivotArea>
    </format>
    <format dxfId="113">
      <pivotArea dataOnly="0" labelOnly="1" outline="0" fieldPosition="0">
        <references count="1">
          <reference field="1" count="1">
            <x v="14"/>
          </reference>
        </references>
      </pivotArea>
    </format>
    <format dxfId="112">
      <pivotArea dataOnly="0" labelOnly="1" outline="0" fieldPosition="0">
        <references count="1">
          <reference field="1" count="1">
            <x v="15"/>
          </reference>
        </references>
      </pivotArea>
    </format>
    <format dxfId="111">
      <pivotArea dataOnly="0" labelOnly="1" outline="0" fieldPosition="0">
        <references count="1">
          <reference field="1" count="1">
            <x v="16"/>
          </reference>
        </references>
      </pivotArea>
    </format>
    <format dxfId="110">
      <pivotArea dataOnly="0" labelOnly="1" outline="0" fieldPosition="0">
        <references count="1">
          <reference field="1" count="1">
            <x v="17"/>
          </reference>
        </references>
      </pivotArea>
    </format>
    <format dxfId="109">
      <pivotArea dataOnly="0" labelOnly="1" outline="0" fieldPosition="0">
        <references count="1">
          <reference field="1" count="1">
            <x v="18"/>
          </reference>
        </references>
      </pivotArea>
    </format>
    <format dxfId="108">
      <pivotArea dataOnly="0" labelOnly="1" outline="0" fieldPosition="0">
        <references count="1">
          <reference field="1" count="1">
            <x v="19"/>
          </reference>
        </references>
      </pivotArea>
    </format>
    <format dxfId="107">
      <pivotArea dataOnly="0" labelOnly="1" outline="0" fieldPosition="0">
        <references count="1">
          <reference field="1" count="1">
            <x v="20"/>
          </reference>
        </references>
      </pivotArea>
    </format>
    <format dxfId="106">
      <pivotArea dataOnly="0" labelOnly="1" outline="0" fieldPosition="0">
        <references count="1">
          <reference field="1" count="1">
            <x v="21"/>
          </reference>
        </references>
      </pivotArea>
    </format>
    <format dxfId="105">
      <pivotArea dataOnly="0" labelOnly="1" outline="0" fieldPosition="0">
        <references count="1">
          <reference field="1" count="1">
            <x v="22"/>
          </reference>
        </references>
      </pivotArea>
    </format>
    <format dxfId="104">
      <pivotArea dataOnly="0" labelOnly="1" outline="0" fieldPosition="0">
        <references count="1">
          <reference field="1" count="1">
            <x v="23"/>
          </reference>
        </references>
      </pivotArea>
    </format>
    <format dxfId="103">
      <pivotArea dataOnly="0" labelOnly="1" outline="0" fieldPosition="0">
        <references count="1">
          <reference field="1" count="1">
            <x v="24"/>
          </reference>
        </references>
      </pivotArea>
    </format>
    <format dxfId="102">
      <pivotArea dataOnly="0" labelOnly="1" outline="0" fieldPosition="0">
        <references count="1">
          <reference field="1" count="1">
            <x v="25"/>
          </reference>
        </references>
      </pivotArea>
    </format>
    <format dxfId="101">
      <pivotArea dataOnly="0" labelOnly="1" outline="0" fieldPosition="0">
        <references count="1">
          <reference field="1" count="1">
            <x v="26"/>
          </reference>
        </references>
      </pivotArea>
    </format>
    <format dxfId="100">
      <pivotArea dataOnly="0" labelOnly="1" outline="0" fieldPosition="0">
        <references count="1">
          <reference field="1" count="1">
            <x v="27"/>
          </reference>
        </references>
      </pivotArea>
    </format>
    <format dxfId="99">
      <pivotArea dataOnly="0" labelOnly="1" outline="0" fieldPosition="0">
        <references count="1">
          <reference field="1" count="1">
            <x v="28"/>
          </reference>
        </references>
      </pivotArea>
    </format>
    <format dxfId="98">
      <pivotArea dataOnly="0" labelOnly="1" outline="0" fieldPosition="0">
        <references count="1">
          <reference field="1" count="1">
            <x v="29"/>
          </reference>
        </references>
      </pivotArea>
    </format>
    <format dxfId="97">
      <pivotArea dataOnly="0" labelOnly="1" outline="0" fieldPosition="0">
        <references count="1">
          <reference field="1" count="1">
            <x v="30"/>
          </reference>
        </references>
      </pivotArea>
    </format>
    <format dxfId="96">
      <pivotArea dataOnly="0" labelOnly="1" outline="0" fieldPosition="0">
        <references count="1">
          <reference field="1" count="1">
            <x v="31"/>
          </reference>
        </references>
      </pivotArea>
    </format>
    <format dxfId="95">
      <pivotArea dataOnly="0" labelOnly="1" outline="0" fieldPosition="0">
        <references count="1">
          <reference field="1" count="1">
            <x v="32"/>
          </reference>
        </references>
      </pivotArea>
    </format>
    <format dxfId="94">
      <pivotArea dataOnly="0" labelOnly="1" outline="0" fieldPosition="0">
        <references count="1">
          <reference field="1" count="1">
            <x v="33"/>
          </reference>
        </references>
      </pivotArea>
    </format>
    <format dxfId="93">
      <pivotArea dataOnly="0" labelOnly="1" outline="0" fieldPosition="0">
        <references count="1">
          <reference field="1" count="1">
            <x v="34"/>
          </reference>
        </references>
      </pivotArea>
    </format>
    <format dxfId="92">
      <pivotArea dataOnly="0" labelOnly="1" outline="0" fieldPosition="0">
        <references count="1">
          <reference field="1" count="1">
            <x v="35"/>
          </reference>
        </references>
      </pivotArea>
    </format>
    <format dxfId="91">
      <pivotArea dataOnly="0" labelOnly="1" outline="0" fieldPosition="0">
        <references count="1">
          <reference field="1" count="1">
            <x v="36"/>
          </reference>
        </references>
      </pivotArea>
    </format>
    <format dxfId="90">
      <pivotArea dataOnly="0" labelOnly="1" outline="0" fieldPosition="0">
        <references count="1">
          <reference field="1" count="1">
            <x v="37"/>
          </reference>
        </references>
      </pivotArea>
    </format>
    <format dxfId="89">
      <pivotArea dataOnly="0" labelOnly="1" outline="0" fieldPosition="0">
        <references count="1">
          <reference field="1" count="1">
            <x v="38"/>
          </reference>
        </references>
      </pivotArea>
    </format>
    <format dxfId="88">
      <pivotArea dataOnly="0" labelOnly="1" outline="0" fieldPosition="0">
        <references count="1">
          <reference field="1" count="1">
            <x v="39"/>
          </reference>
        </references>
      </pivotArea>
    </format>
    <format dxfId="87">
      <pivotArea dataOnly="0" labelOnly="1" outline="0" fieldPosition="0">
        <references count="1">
          <reference field="1" count="1">
            <x v="40"/>
          </reference>
        </references>
      </pivotArea>
    </format>
    <format dxfId="86">
      <pivotArea dataOnly="0" labelOnly="1" outline="0" fieldPosition="0">
        <references count="1">
          <reference field="1" count="1">
            <x v="41"/>
          </reference>
        </references>
      </pivotArea>
    </format>
    <format dxfId="85">
      <pivotArea dataOnly="0" labelOnly="1" outline="0" fieldPosition="0">
        <references count="1">
          <reference field="1" count="1">
            <x v="42"/>
          </reference>
        </references>
      </pivotArea>
    </format>
    <format dxfId="84">
      <pivotArea dataOnly="0" labelOnly="1" outline="0" fieldPosition="0">
        <references count="1">
          <reference field="1" count="1">
            <x v="43"/>
          </reference>
        </references>
      </pivotArea>
    </format>
    <format dxfId="83">
      <pivotArea dataOnly="0" labelOnly="1" outline="0" fieldPosition="0">
        <references count="1">
          <reference field="1" count="1">
            <x v="44"/>
          </reference>
        </references>
      </pivotArea>
    </format>
    <format dxfId="82">
      <pivotArea dataOnly="0" labelOnly="1" outline="0" fieldPosition="0">
        <references count="1">
          <reference field="1" count="1">
            <x v="45"/>
          </reference>
        </references>
      </pivotArea>
    </format>
    <format dxfId="81">
      <pivotArea dataOnly="0" labelOnly="1" outline="0" fieldPosition="0">
        <references count="1">
          <reference field="1" count="1">
            <x v="46"/>
          </reference>
        </references>
      </pivotArea>
    </format>
    <format dxfId="80">
      <pivotArea dataOnly="0" labelOnly="1" outline="0" fieldPosition="0">
        <references count="1">
          <reference field="1" count="1">
            <x v="47"/>
          </reference>
        </references>
      </pivotArea>
    </format>
    <format dxfId="79">
      <pivotArea dataOnly="0" labelOnly="1" outline="0" fieldPosition="0">
        <references count="1">
          <reference field="1" count="1">
            <x v="48"/>
          </reference>
        </references>
      </pivotArea>
    </format>
    <format dxfId="78">
      <pivotArea dataOnly="0" labelOnly="1" outline="0" fieldPosition="0">
        <references count="1">
          <reference field="1" count="1">
            <x v="49"/>
          </reference>
        </references>
      </pivotArea>
    </format>
    <format dxfId="77">
      <pivotArea dataOnly="0" labelOnly="1" outline="0" fieldPosition="0">
        <references count="1">
          <reference field="1" count="1">
            <x v="50"/>
          </reference>
        </references>
      </pivotArea>
    </format>
    <format dxfId="76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4" totalsRowShown="0" headerRowDxfId="147" dataDxfId="197" headerRowBorderDxfId="198" headerRowCellStyle="Normal 2">
  <autoFilter ref="B10:AA14" xr:uid="{7EC467B7-DE9E-48DF-95B5-2995F1F6DE8F}"/>
  <tableColumns count="26">
    <tableColumn id="1" xr3:uid="{CDAE6949-9186-42E8-AEBE-1928381A0155}" name="Field" dataDxfId="196" dataCellStyle="Normal 2"/>
    <tableColumn id="2" xr3:uid="{24D139B7-BFC8-4DD9-8DE4-2245810E04F3}" name="Definition" dataDxfId="143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42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95"/>
    <tableColumn id="8" xr3:uid="{30CDB1E0-924C-48B4-82F4-9B3E3228BE95}" name="Distinct %" dataDxfId="194"/>
    <tableColumn id="12" xr3:uid="{03824906-BEA5-4B63-A981-21F959B6439E}" name="Missing %" dataDxfId="193" dataCellStyle="Percent 2"/>
    <tableColumn id="6" xr3:uid="{8DFFE5A0-8676-4576-AB4D-97E8B31EC097}" name="Memory Usage %" dataDxfId="192" dataCellStyle="Percent 2"/>
    <tableColumn id="5" xr3:uid="{DD50C3DA-F4A8-40F0-AFBD-DBF916650F7E}" name="Memory Usage" dataDxfId="191"/>
    <tableColumn id="7" xr3:uid="{A0CD56D0-07EF-46CA-BC46-D54CD5E746C7}" name="Distinct" dataDxfId="190"/>
    <tableColumn id="9" xr3:uid="{1C848176-6AC1-44A6-9B3B-F1C9E8BC32EA}" name="Count" dataDxfId="189"/>
    <tableColumn id="10" xr3:uid="{6C6E6A37-4969-459F-AC39-2193366810E2}" name="Count %" dataDxfId="188"/>
    <tableColumn id="11" xr3:uid="{CD47252D-0307-4513-AF7C-13CC4AA1FCD9}" name="Missing" dataDxfId="187"/>
    <tableColumn id="13" xr3:uid="{2B45F7F8-CE35-48A6-BB27-9684B5D7936D}" name="Mean" dataDxfId="186"/>
    <tableColumn id="14" xr3:uid="{293386E4-1FA6-4340-9DC6-54CC26209C0A}" name="Median" dataDxfId="185"/>
    <tableColumn id="15" xr3:uid="{29252F5E-4163-4D62-89FC-FF85F6C4755C}" name="Mode" dataDxfId="184"/>
    <tableColumn id="16" xr3:uid="{69FFA3C1-FD1E-4395-AF2E-177FDFCDE62A}" name="Standard Deviation" dataDxfId="183"/>
    <tableColumn id="17" xr3:uid="{2AAB37E9-8AE2-4771-B92B-C04BFABA0B4E}" name="Variance" dataDxfId="182"/>
    <tableColumn id="18" xr3:uid="{07151E41-6633-4A65-A7E1-091F027DEF95}" name="Min" dataDxfId="181"/>
    <tableColumn id="19" xr3:uid="{41A1FD5D-4E5C-45B3-A0C7-1820F89F417F}" name="5%" dataDxfId="180"/>
    <tableColumn id="20" xr3:uid="{50D70984-5A2E-4A19-9F2B-5DA0502339BC}" name="25%" dataDxfId="179"/>
    <tableColumn id="21" xr3:uid="{75FF5489-8FC0-4894-83BC-802076BF1066}" name="50%" dataDxfId="178"/>
    <tableColumn id="22" xr3:uid="{B7FA20A8-EE17-470E-93AD-54011230C113}" name="75%" dataDxfId="177"/>
    <tableColumn id="23" xr3:uid="{378BE758-7A3F-4C04-A75B-FE899B1B0BAD}" name="95%" dataDxfId="176"/>
    <tableColumn id="24" xr3:uid="{818594E7-DC84-4229-81F6-97C1E2E93633}" name="Max" dataDxfId="175"/>
    <tableColumn id="25" xr3:uid="{D8116583-A886-47C1-85E2-D28AD96194AD}" name="Range" dataDxfId="174"/>
    <tableColumn id="26" xr3:uid="{D061AC6A-EAB2-461F-8AB8-E743DC68E666}" name="IQR" dataDxfId="17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352" totalsRowShown="0" headerRowDxfId="163" dataDxfId="162">
  <autoFilter ref="C78:I352" xr:uid="{DB263373-2B4F-4302-9CF6-5012CE3F1A47}"/>
  <tableColumns count="7">
    <tableColumn id="1" xr3:uid="{B87F6371-B38F-4AA9-8A9B-F1D62600E38F}" name="Record List" dataDxfId="138" dataCellStyle="Normal 2"/>
    <tableColumn id="2" xr3:uid="{55547D6A-0C4F-44F3-8DA7-D9918F9ECA79}" name="Year" dataDxfId="161"/>
    <tableColumn id="8" xr3:uid="{5CEA6B82-08F7-4BBF-BE74-DD211F1E2384}" name="Country" dataDxfId="160"/>
    <tableColumn id="3" xr3:uid="{6C0B3232-D5C0-4185-AF99-A47484E561D2}" name="Spending_USD" dataDxfId="159"/>
    <tableColumn id="4" xr3:uid="{13526265-B21E-4D6D-B342-9DDCC3FC676B}" name="Life_Expectancy" dataDxfId="141"/>
    <tableColumn id="5" xr3:uid="{ED887769-4C2F-4521-BE04-0939F18117AB}" name="HasBlank" dataDxfId="140"/>
    <tableColumn id="6" xr3:uid="{AED92F87-48FF-4CB5-98BE-147F572E72FA}" name="Record Hash" dataDxfId="139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4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healthexp</v>
      </c>
      <c r="C2"/>
      <c r="AA2" s="98"/>
    </row>
    <row r="3" spans="2:27" ht="10.050000000000001" customHeight="1">
      <c r="B3"/>
      <c r="C3"/>
      <c r="AA3" s="99"/>
    </row>
    <row r="4" spans="2:27">
      <c r="B4" s="82" t="s">
        <v>25</v>
      </c>
      <c r="C4" s="46">
        <v>274</v>
      </c>
      <c r="AA4" s="100"/>
    </row>
    <row r="5" spans="2:27">
      <c r="B5" s="82" t="s">
        <v>26</v>
      </c>
      <c r="C5" s="47">
        <v>4</v>
      </c>
    </row>
    <row r="6" spans="2:27">
      <c r="B6" s="84" t="s">
        <v>4</v>
      </c>
      <c r="C6" s="47" t="s">
        <v>61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4" t="s">
        <v>27</v>
      </c>
      <c r="C10" s="115" t="s">
        <v>28</v>
      </c>
      <c r="D10" s="115" t="s">
        <v>29</v>
      </c>
      <c r="E10" s="116" t="s">
        <v>3</v>
      </c>
      <c r="F10" s="116" t="s">
        <v>7</v>
      </c>
      <c r="G10" s="116" t="s">
        <v>10</v>
      </c>
      <c r="H10" s="116" t="s">
        <v>5</v>
      </c>
      <c r="I10" s="116" t="s">
        <v>4</v>
      </c>
      <c r="J10" s="116" t="s">
        <v>6</v>
      </c>
      <c r="K10" s="116" t="s">
        <v>8</v>
      </c>
      <c r="L10" s="116" t="s">
        <v>31</v>
      </c>
      <c r="M10" s="116" t="s">
        <v>9</v>
      </c>
      <c r="N10" s="116" t="s">
        <v>11</v>
      </c>
      <c r="O10" s="116" t="s">
        <v>12</v>
      </c>
      <c r="P10" s="116" t="s">
        <v>13</v>
      </c>
      <c r="Q10" s="116" t="s">
        <v>14</v>
      </c>
      <c r="R10" s="116" t="s">
        <v>15</v>
      </c>
      <c r="S10" s="116" t="s">
        <v>16</v>
      </c>
      <c r="T10" s="117" t="s">
        <v>32</v>
      </c>
      <c r="U10" s="117" t="s">
        <v>33</v>
      </c>
      <c r="V10" s="117" t="s">
        <v>34</v>
      </c>
      <c r="W10" s="117" t="s">
        <v>35</v>
      </c>
      <c r="X10" s="117" t="s">
        <v>36</v>
      </c>
      <c r="Y10" s="116" t="s">
        <v>17</v>
      </c>
      <c r="Z10" s="116" t="s">
        <v>18</v>
      </c>
      <c r="AA10" s="116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62</v>
      </c>
      <c r="F11" s="49">
        <v>0.186131386861313</v>
      </c>
      <c r="G11" s="50">
        <v>0</v>
      </c>
      <c r="H11" s="49">
        <v>0.171437509776317</v>
      </c>
      <c r="I11" s="51">
        <v>2192</v>
      </c>
      <c r="J11" s="51">
        <v>51</v>
      </c>
      <c r="K11" s="51">
        <v>274</v>
      </c>
      <c r="L11" s="52">
        <v>1</v>
      </c>
      <c r="M11" s="51">
        <v>0</v>
      </c>
      <c r="N11" s="53">
        <v>1996.99270072992</v>
      </c>
      <c r="O11" s="53">
        <v>1998</v>
      </c>
      <c r="P11" s="53">
        <v>1980</v>
      </c>
      <c r="Q11" s="53">
        <v>14.180932537192099</v>
      </c>
      <c r="R11" s="53">
        <v>201.09884762439501</v>
      </c>
      <c r="S11" s="53">
        <v>1970</v>
      </c>
      <c r="T11" s="53">
        <v>1973</v>
      </c>
      <c r="U11" s="53">
        <v>1985.25</v>
      </c>
      <c r="V11" s="53">
        <v>1998</v>
      </c>
      <c r="W11" s="53">
        <v>2009</v>
      </c>
      <c r="X11" s="53">
        <v>2018</v>
      </c>
      <c r="Y11" s="53">
        <v>2020</v>
      </c>
      <c r="Z11" s="53">
        <v>50</v>
      </c>
      <c r="AA11" s="53">
        <v>23.75</v>
      </c>
    </row>
    <row r="12" spans="2:27">
      <c r="B12" s="124" t="s">
        <v>57</v>
      </c>
      <c r="C12" s="125" t="str">
        <f>IF(INDEX(Definitions,1,MATCH(tbl_Overview[[#This Row],[Field]],Headers,0))="Definition","",INDEX(Definitions,1,MATCH(tbl_Overview[[#This Row],[Field]],Headers,0)))</f>
        <v/>
      </c>
      <c r="D12" s="126" t="str">
        <f>IF(INDEX(Notes,1,MATCH(tbl_Overview[[#This Row],[Field]],Headers,0))="Notes","",INDEX(Notes,1,MATCH(tbl_Overview[[#This Row],[Field]],Headers,0)))</f>
        <v/>
      </c>
      <c r="E12" s="89" t="s">
        <v>63</v>
      </c>
      <c r="F12" s="52">
        <v>2.18978102189781E-2</v>
      </c>
      <c r="G12" s="127">
        <v>0</v>
      </c>
      <c r="H12" s="128">
        <v>0.31424996089472801</v>
      </c>
      <c r="I12" s="51">
        <v>4018</v>
      </c>
      <c r="J12" s="51">
        <v>6</v>
      </c>
      <c r="K12" s="51">
        <v>274</v>
      </c>
      <c r="L12" s="52">
        <v>1</v>
      </c>
      <c r="M12" s="51">
        <v>0</v>
      </c>
      <c r="N12" s="53"/>
      <c r="O12" s="53"/>
      <c r="P12" s="53" t="s">
        <v>64</v>
      </c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</row>
    <row r="13" spans="2:27">
      <c r="B13" s="124" t="s">
        <v>58</v>
      </c>
      <c r="C13" s="125" t="str">
        <f>IF(INDEX(Definitions,1,MATCH(tbl_Overview[[#This Row],[Field]],Headers,0))="Definition","",INDEX(Definitions,1,MATCH(tbl_Overview[[#This Row],[Field]],Headers,0)))</f>
        <v/>
      </c>
      <c r="D13" s="126" t="str">
        <f>IF(INDEX(Notes,1,MATCH(tbl_Overview[[#This Row],[Field]],Headers,0))="Notes","",INDEX(Notes,1,MATCH(tbl_Overview[[#This Row],[Field]],Headers,0)))</f>
        <v/>
      </c>
      <c r="E13" s="89" t="s">
        <v>65</v>
      </c>
      <c r="F13" s="52">
        <v>1</v>
      </c>
      <c r="G13" s="127">
        <v>0</v>
      </c>
      <c r="H13" s="128">
        <v>0.171437509776317</v>
      </c>
      <c r="I13" s="51">
        <v>2192</v>
      </c>
      <c r="J13" s="51">
        <v>274</v>
      </c>
      <c r="K13" s="51">
        <v>274</v>
      </c>
      <c r="L13" s="52">
        <v>1</v>
      </c>
      <c r="M13" s="51">
        <v>0</v>
      </c>
      <c r="N13" s="53">
        <v>2789.33890510948</v>
      </c>
      <c r="O13" s="53">
        <v>2295.578</v>
      </c>
      <c r="P13" s="53">
        <v>123.99299999999999</v>
      </c>
      <c r="Q13" s="53">
        <v>2194.9397848395702</v>
      </c>
      <c r="R13" s="53">
        <v>4817760.6590715796</v>
      </c>
      <c r="S13" s="53">
        <v>123.99299999999999</v>
      </c>
      <c r="T13" s="53">
        <v>333.722949999999</v>
      </c>
      <c r="U13" s="53">
        <v>1038.357</v>
      </c>
      <c r="V13" s="53">
        <v>2295.578</v>
      </c>
      <c r="W13" s="53">
        <v>4055.61</v>
      </c>
      <c r="X13" s="53">
        <v>7018.6184999999896</v>
      </c>
      <c r="Y13" s="53">
        <v>11859.179</v>
      </c>
      <c r="Z13" s="53">
        <v>11735.186</v>
      </c>
      <c r="AA13" s="53">
        <v>3017.2530000000002</v>
      </c>
    </row>
    <row r="14" spans="2:27">
      <c r="B14" s="129" t="s">
        <v>59</v>
      </c>
      <c r="C14" s="130" t="str">
        <f>IF(INDEX(Definitions,1,MATCH(tbl_Overview[[#This Row],[Field]],Headers,0))="Definition","",INDEX(Definitions,1,MATCH(tbl_Overview[[#This Row],[Field]],Headers,0)))</f>
        <v/>
      </c>
      <c r="D14" s="131" t="str">
        <f>IF(INDEX(Notes,1,MATCH(tbl_Overview[[#This Row],[Field]],Headers,0))="Notes","",INDEX(Notes,1,MATCH(tbl_Overview[[#This Row],[Field]],Headers,0)))</f>
        <v/>
      </c>
      <c r="E14" s="132" t="s">
        <v>65</v>
      </c>
      <c r="F14" s="133">
        <v>0.43065693430656898</v>
      </c>
      <c r="G14" s="134">
        <v>0</v>
      </c>
      <c r="H14" s="135">
        <v>0.171437509776317</v>
      </c>
      <c r="I14" s="136">
        <v>2192</v>
      </c>
      <c r="J14" s="136">
        <v>118</v>
      </c>
      <c r="K14" s="136">
        <v>274</v>
      </c>
      <c r="L14" s="133">
        <v>1</v>
      </c>
      <c r="M14" s="136">
        <v>0</v>
      </c>
      <c r="N14" s="137">
        <v>77.909489051094795</v>
      </c>
      <c r="O14" s="137">
        <v>78.099999999999994</v>
      </c>
      <c r="P14" s="137">
        <v>78.8</v>
      </c>
      <c r="Q14" s="137">
        <v>3.2762634665236301</v>
      </c>
      <c r="R14" s="137">
        <v>10.7339023020774</v>
      </c>
      <c r="S14" s="137">
        <v>70.599999999999994</v>
      </c>
      <c r="T14" s="137">
        <v>72</v>
      </c>
      <c r="U14" s="137">
        <v>75.525000000000006</v>
      </c>
      <c r="V14" s="137">
        <v>78.099999999999994</v>
      </c>
      <c r="W14" s="137">
        <v>80.574999999999903</v>
      </c>
      <c r="X14" s="137">
        <v>82.734999999999999</v>
      </c>
      <c r="Y14" s="137">
        <v>84.7</v>
      </c>
      <c r="Z14" s="137">
        <v>14.1</v>
      </c>
      <c r="AA14" s="137">
        <v>5.0499999999999803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4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5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4" customWidth="1"/>
    <col min="3" max="3" width="25.77734375" style="6" customWidth="1"/>
    <col min="4" max="7" width="27.77734375" style="1" customWidth="1"/>
    <col min="8" max="9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2"/>
      <c r="C2" s="59"/>
      <c r="D2"/>
      <c r="E2"/>
    </row>
    <row r="3" spans="1:14" ht="36.6" customHeight="1">
      <c r="A3" s="61"/>
      <c r="B3" s="101" t="s">
        <v>0</v>
      </c>
      <c r="C3" s="73" t="s">
        <v>55</v>
      </c>
      <c r="D3"/>
      <c r="E3"/>
      <c r="F3" s="93"/>
      <c r="G3" s="93"/>
      <c r="H3" s="91"/>
    </row>
    <row r="4" spans="1:14" ht="4.95" customHeight="1">
      <c r="A4" s="59"/>
      <c r="B4" s="102"/>
      <c r="C4" s="59"/>
      <c r="D4"/>
      <c r="E4"/>
      <c r="F4" s="92"/>
      <c r="G4" s="92"/>
    </row>
    <row r="5" spans="1:14" ht="19.95" customHeight="1">
      <c r="A5" s="61"/>
      <c r="B5" s="72" t="s">
        <v>0</v>
      </c>
      <c r="C5" s="74" t="s">
        <v>29</v>
      </c>
      <c r="D5"/>
      <c r="E5"/>
      <c r="F5" s="94"/>
      <c r="G5" s="94"/>
    </row>
    <row r="6" spans="1:14" ht="4.95" customHeight="1">
      <c r="A6" s="30"/>
      <c r="B6" s="67"/>
      <c r="C6" s="68"/>
      <c r="D6" s="61"/>
      <c r="E6" s="61"/>
      <c r="F6" s="61"/>
      <c r="G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</row>
    <row r="9" spans="1:14" ht="37.799999999999997" hidden="1" customHeight="1" outlineLevel="1">
      <c r="A9" s="30"/>
      <c r="B9" s="103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</row>
    <row r="11" spans="1:14" s="88" customFormat="1" ht="30" customHeight="1" collapsed="1">
      <c r="A11" s="5"/>
      <c r="B11" s="118"/>
      <c r="C11" s="119" t="s">
        <v>2</v>
      </c>
      <c r="D11" s="120" t="s">
        <v>56</v>
      </c>
      <c r="E11" s="120" t="s">
        <v>57</v>
      </c>
      <c r="F11" s="120" t="s">
        <v>58</v>
      </c>
      <c r="G11" s="120" t="s">
        <v>59</v>
      </c>
      <c r="H11" s="88" t="s">
        <v>54</v>
      </c>
      <c r="I11" s="88" t="s">
        <v>60</v>
      </c>
    </row>
    <row r="12" spans="1:14" ht="4.95" customHeight="1">
      <c r="A12"/>
      <c r="C12"/>
      <c r="D12"/>
      <c r="E12"/>
      <c r="F12"/>
      <c r="G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</row>
    <row r="15" spans="1:14" ht="84.6" hidden="1" customHeight="1" outlineLevel="2">
      <c r="A15" s="61"/>
      <c r="B15" s="63"/>
      <c r="C15" s="71"/>
      <c r="D15" s="112" t="s">
        <v>24</v>
      </c>
      <c r="E15" s="113"/>
      <c r="F15" s="60"/>
      <c r="G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</row>
    <row r="17" spans="1:9" hidden="1" outlineLevel="2">
      <c r="A17" s="61"/>
      <c r="B17" s="63"/>
      <c r="C17" s="85" t="s">
        <v>25</v>
      </c>
      <c r="D17" s="87">
        <v>274</v>
      </c>
      <c r="E17" s="44"/>
      <c r="F17" s="44"/>
      <c r="G17" s="44"/>
    </row>
    <row r="18" spans="1:9" hidden="1" outlineLevel="2">
      <c r="A18" s="61"/>
      <c r="B18" s="63"/>
      <c r="C18" s="85" t="s">
        <v>45</v>
      </c>
      <c r="D18" s="87">
        <v>4</v>
      </c>
      <c r="E18" s="44"/>
      <c r="F18" s="44"/>
      <c r="G18" s="44"/>
    </row>
    <row r="19" spans="1:9" ht="4.95" hidden="1" customHeight="1" outlineLevel="2">
      <c r="A19" s="61"/>
      <c r="B19" s="63"/>
      <c r="C19" s="65"/>
      <c r="D19" s="62"/>
      <c r="E19"/>
      <c r="F19"/>
      <c r="G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G20"/>
      <c r="I20" s="143"/>
    </row>
    <row r="21" spans="1:9" ht="4.95" customHeight="1" outlineLevel="1">
      <c r="B21" s="9"/>
      <c r="C21" s="33"/>
      <c r="D21" s="33"/>
      <c r="E21" s="33"/>
      <c r="F21" s="33"/>
      <c r="G21" s="33"/>
    </row>
    <row r="22" spans="1:9" ht="14.4" hidden="1" customHeight="1" outlineLevel="2">
      <c r="A22" s="34"/>
      <c r="B22" s="35"/>
      <c r="C22" s="82" t="s">
        <v>3</v>
      </c>
      <c r="D22" s="11" t="s">
        <v>62</v>
      </c>
      <c r="E22" s="11" t="s">
        <v>63</v>
      </c>
      <c r="F22" s="11" t="s">
        <v>65</v>
      </c>
      <c r="G22" s="11" t="s">
        <v>65</v>
      </c>
    </row>
    <row r="23" spans="1:9" ht="14.4" hidden="1" customHeight="1" outlineLevel="2">
      <c r="A23" s="34"/>
      <c r="B23" s="36"/>
      <c r="C23" s="80" t="s">
        <v>7</v>
      </c>
      <c r="D23" s="37">
        <v>0.186131386861313</v>
      </c>
      <c r="E23" s="37">
        <v>2.18978102189781E-2</v>
      </c>
      <c r="F23" s="37">
        <v>1</v>
      </c>
      <c r="G23" s="37">
        <v>0.43065693430656898</v>
      </c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</v>
      </c>
    </row>
    <row r="25" spans="1:9" ht="14.4" hidden="1" customHeight="1" outlineLevel="2">
      <c r="B25" s="12"/>
      <c r="C25" s="84" t="s">
        <v>5</v>
      </c>
      <c r="D25" s="37">
        <v>0.171437509776317</v>
      </c>
      <c r="E25" s="37">
        <v>0.31424996089472801</v>
      </c>
      <c r="F25" s="37">
        <v>0.171437509776317</v>
      </c>
      <c r="G25" s="37">
        <v>0.171437509776317</v>
      </c>
    </row>
    <row r="26" spans="1:9" ht="14.4" hidden="1" customHeight="1" outlineLevel="2">
      <c r="B26" s="12"/>
      <c r="C26" s="80" t="s">
        <v>4</v>
      </c>
      <c r="D26" s="11">
        <v>2192</v>
      </c>
      <c r="E26" s="11">
        <v>4018</v>
      </c>
      <c r="F26" s="11">
        <v>2192</v>
      </c>
      <c r="G26" s="11">
        <v>2192</v>
      </c>
    </row>
    <row r="27" spans="1:9" ht="14.4" hidden="1" customHeight="1" outlineLevel="2">
      <c r="B27" s="12"/>
      <c r="C27" s="80" t="s">
        <v>6</v>
      </c>
      <c r="D27" s="11">
        <v>51</v>
      </c>
      <c r="E27" s="11">
        <v>6</v>
      </c>
      <c r="F27" s="11">
        <v>274</v>
      </c>
      <c r="G27" s="11">
        <v>118</v>
      </c>
    </row>
    <row r="28" spans="1:9" ht="14.4" hidden="1" customHeight="1" outlineLevel="2">
      <c r="B28" s="12"/>
      <c r="C28" s="80" t="s">
        <v>8</v>
      </c>
      <c r="D28" s="11">
        <v>274</v>
      </c>
      <c r="E28" s="11">
        <v>274</v>
      </c>
      <c r="F28" s="11">
        <v>274</v>
      </c>
      <c r="G28" s="11">
        <v>274</v>
      </c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0</v>
      </c>
    </row>
    <row r="30" spans="1:9" ht="4.95" hidden="1" customHeight="1" outlineLevel="2">
      <c r="B30" s="9"/>
      <c r="D30" s="6"/>
      <c r="E30" s="6"/>
      <c r="F30" s="6"/>
      <c r="G30" s="6"/>
    </row>
    <row r="31" spans="1:9" ht="150" hidden="1" customHeight="1" outlineLevel="2">
      <c r="B31" s="19"/>
      <c r="C31" s="15"/>
      <c r="D31" s="16"/>
      <c r="E31" s="16"/>
      <c r="F31" s="16"/>
      <c r="G31" s="16"/>
    </row>
    <row r="32" spans="1:9" ht="4.95" hidden="1" customHeight="1" outlineLevel="2">
      <c r="B32" s="9"/>
      <c r="D32" s="6"/>
      <c r="E32" s="6"/>
      <c r="F32" s="6"/>
      <c r="G32" s="6"/>
    </row>
    <row r="33" spans="1:7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</row>
    <row r="34" spans="1:7" ht="4.95" customHeight="1" outlineLevel="1">
      <c r="A34" s="18"/>
      <c r="B34" s="19"/>
      <c r="C34" s="20"/>
      <c r="D34" s="6"/>
      <c r="E34" s="6"/>
      <c r="F34" s="6"/>
      <c r="G34" s="6"/>
    </row>
    <row r="35" spans="1:7" ht="14.4" hidden="1" customHeight="1" outlineLevel="2">
      <c r="B35" s="10"/>
      <c r="C35" s="82" t="s">
        <v>11</v>
      </c>
      <c r="D35" s="21">
        <v>1996.99270072992</v>
      </c>
      <c r="E35" s="21"/>
      <c r="F35" s="21">
        <v>2789.33890510948</v>
      </c>
      <c r="G35" s="21">
        <v>77.909489051094795</v>
      </c>
    </row>
    <row r="36" spans="1:7" ht="14.4" hidden="1" customHeight="1" outlineLevel="2">
      <c r="B36" s="12"/>
      <c r="C36" s="83" t="s">
        <v>12</v>
      </c>
      <c r="D36" s="22">
        <v>1998</v>
      </c>
      <c r="E36" s="22"/>
      <c r="F36" s="22">
        <v>2295.578</v>
      </c>
      <c r="G36" s="22">
        <v>78.099999999999994</v>
      </c>
    </row>
    <row r="37" spans="1:7" ht="14.4" hidden="1" customHeight="1" outlineLevel="2">
      <c r="B37" s="12"/>
      <c r="C37" s="80" t="s">
        <v>13</v>
      </c>
      <c r="D37" s="13">
        <v>1980</v>
      </c>
      <c r="E37" s="13" t="s">
        <v>64</v>
      </c>
      <c r="F37" s="13">
        <v>123.99299999999999</v>
      </c>
      <c r="G37" s="13">
        <v>78.8</v>
      </c>
    </row>
    <row r="38" spans="1:7" ht="14.4" hidden="1" customHeight="1" outlineLevel="2">
      <c r="B38" s="12"/>
      <c r="C38" s="83" t="s">
        <v>14</v>
      </c>
      <c r="D38" s="23">
        <v>14.180932537192099</v>
      </c>
      <c r="E38" s="23"/>
      <c r="F38" s="23">
        <v>2194.9397848395702</v>
      </c>
      <c r="G38" s="23">
        <v>3.2762634665236301</v>
      </c>
    </row>
    <row r="39" spans="1:7" ht="14.4" hidden="1" customHeight="1" outlineLevel="2">
      <c r="B39" s="12"/>
      <c r="C39" s="84" t="s">
        <v>15</v>
      </c>
      <c r="D39" s="21">
        <v>201.09884762439501</v>
      </c>
      <c r="E39" s="21"/>
      <c r="F39" s="21">
        <v>4817760.6590715796</v>
      </c>
      <c r="G39" s="21">
        <v>10.7339023020774</v>
      </c>
    </row>
    <row r="40" spans="1:7" ht="4.95" hidden="1" customHeight="1" outlineLevel="2">
      <c r="B40" s="9"/>
      <c r="D40" s="6"/>
      <c r="E40" s="6"/>
      <c r="F40" s="6"/>
      <c r="G40" s="6"/>
    </row>
    <row r="41" spans="1:7" ht="150" hidden="1" customHeight="1" outlineLevel="2">
      <c r="A41" s="18"/>
      <c r="B41" s="19"/>
      <c r="C41" s="15"/>
      <c r="D41" s="16"/>
      <c r="E41" s="16"/>
      <c r="F41" s="16"/>
      <c r="G41" s="16"/>
    </row>
    <row r="42" spans="1:7" ht="4.95" hidden="1" customHeight="1" outlineLevel="2">
      <c r="A42" s="18"/>
      <c r="B42" s="19"/>
      <c r="C42" s="24"/>
      <c r="D42" s="6"/>
      <c r="E42" s="6"/>
      <c r="F42" s="6"/>
      <c r="G42" s="6"/>
    </row>
    <row r="43" spans="1:7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</row>
    <row r="44" spans="1:7" ht="4.95" customHeight="1" outlineLevel="1">
      <c r="A44" s="18"/>
      <c r="B44" s="19"/>
      <c r="C44" s="20"/>
      <c r="D44" s="6"/>
      <c r="E44" s="6"/>
      <c r="F44" s="6"/>
      <c r="G44" s="6"/>
    </row>
    <row r="45" spans="1:7" ht="14.4" hidden="1" customHeight="1" outlineLevel="2">
      <c r="B45" s="10"/>
      <c r="C45" s="77" t="s">
        <v>16</v>
      </c>
      <c r="D45" s="23">
        <v>1970</v>
      </c>
      <c r="E45" s="23"/>
      <c r="F45" s="23">
        <v>123.99299999999999</v>
      </c>
      <c r="G45" s="23">
        <v>70.599999999999994</v>
      </c>
    </row>
    <row r="46" spans="1:7" ht="14.4" hidden="1" customHeight="1" outlineLevel="2">
      <c r="B46" s="9"/>
      <c r="C46" s="78">
        <v>0.05</v>
      </c>
      <c r="D46" s="21">
        <v>1973</v>
      </c>
      <c r="E46" s="21"/>
      <c r="F46" s="21">
        <v>333.722949999999</v>
      </c>
      <c r="G46" s="21">
        <v>72</v>
      </c>
    </row>
    <row r="47" spans="1:7" ht="14.4" hidden="1" customHeight="1" outlineLevel="2">
      <c r="B47" s="9"/>
      <c r="C47" s="79">
        <v>0.25</v>
      </c>
      <c r="D47" s="23">
        <v>1985.25</v>
      </c>
      <c r="E47" s="23"/>
      <c r="F47" s="23">
        <v>1038.357</v>
      </c>
      <c r="G47" s="23">
        <v>75.525000000000006</v>
      </c>
    </row>
    <row r="48" spans="1:7" ht="14.4" hidden="1" customHeight="1" outlineLevel="2">
      <c r="B48" s="9"/>
      <c r="C48" s="78">
        <v>0.5</v>
      </c>
      <c r="D48" s="21">
        <v>1998</v>
      </c>
      <c r="E48" s="21"/>
      <c r="F48" s="21">
        <v>2295.578</v>
      </c>
      <c r="G48" s="21">
        <v>78.099999999999994</v>
      </c>
    </row>
    <row r="49" spans="1:7" ht="14.4" hidden="1" customHeight="1" outlineLevel="2">
      <c r="B49" s="9"/>
      <c r="C49" s="79">
        <v>0.75</v>
      </c>
      <c r="D49" s="23">
        <v>2009</v>
      </c>
      <c r="E49" s="23"/>
      <c r="F49" s="23">
        <v>4055.61</v>
      </c>
      <c r="G49" s="23">
        <v>80.574999999999903</v>
      </c>
    </row>
    <row r="50" spans="1:7" ht="14.4" hidden="1" customHeight="1" outlineLevel="2">
      <c r="B50" s="9"/>
      <c r="C50" s="78">
        <v>0.95</v>
      </c>
      <c r="D50" s="21">
        <v>2018</v>
      </c>
      <c r="E50" s="21"/>
      <c r="F50" s="21">
        <v>7018.6184999999896</v>
      </c>
      <c r="G50" s="21">
        <v>82.734999999999999</v>
      </c>
    </row>
    <row r="51" spans="1:7" ht="14.4" hidden="1" customHeight="1" outlineLevel="2">
      <c r="B51" s="9"/>
      <c r="C51" s="79" t="s">
        <v>17</v>
      </c>
      <c r="D51" s="23">
        <v>2020</v>
      </c>
      <c r="E51" s="23"/>
      <c r="F51" s="23">
        <v>11859.179</v>
      </c>
      <c r="G51" s="23">
        <v>84.7</v>
      </c>
    </row>
    <row r="52" spans="1:7" ht="14.4" hidden="1" customHeight="1" outlineLevel="2">
      <c r="B52" s="9"/>
      <c r="C52" s="80" t="s">
        <v>18</v>
      </c>
      <c r="D52" s="21">
        <v>50</v>
      </c>
      <c r="E52" s="21"/>
      <c r="F52" s="21">
        <v>11735.186</v>
      </c>
      <c r="G52" s="21">
        <v>14.1</v>
      </c>
    </row>
    <row r="53" spans="1:7" ht="14.4" hidden="1" customHeight="1" outlineLevel="2">
      <c r="B53" s="9"/>
      <c r="C53" s="81" t="s">
        <v>19</v>
      </c>
      <c r="D53" s="23">
        <v>23.75</v>
      </c>
      <c r="E53" s="23"/>
      <c r="F53" s="23">
        <v>3017.2530000000002</v>
      </c>
      <c r="G53" s="23">
        <v>5.0499999999999803</v>
      </c>
    </row>
    <row r="54" spans="1:7" ht="4.95" hidden="1" customHeight="1" outlineLevel="2">
      <c r="B54" s="9"/>
      <c r="D54" s="6"/>
      <c r="E54" s="6"/>
      <c r="F54" s="6"/>
      <c r="G54" s="6"/>
    </row>
    <row r="55" spans="1:7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</row>
    <row r="56" spans="1:7" ht="4.95" customHeight="1" outlineLevel="1">
      <c r="A56" s="28"/>
      <c r="B56" s="19"/>
      <c r="D56" s="6"/>
      <c r="E56" s="6"/>
      <c r="F56" s="6"/>
      <c r="G56" s="6"/>
    </row>
    <row r="57" spans="1:7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</row>
    <row r="58" spans="1:7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</row>
    <row r="59" spans="1:7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</row>
    <row r="60" spans="1:7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</row>
    <row r="61" spans="1:7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</row>
    <row r="62" spans="1:7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</row>
    <row r="63" spans="1:7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</row>
    <row r="64" spans="1:7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</row>
    <row r="65" spans="1:9" ht="4.95" hidden="1" customHeight="1" outlineLevel="2">
      <c r="B65" s="19"/>
      <c r="D65" s="6"/>
      <c r="E65" s="6"/>
      <c r="F65" s="6"/>
      <c r="G65" s="6"/>
    </row>
    <row r="66" spans="1:9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</row>
    <row r="67" spans="1:9" ht="4.95" customHeight="1">
      <c r="A67" s="28"/>
      <c r="B67" s="7"/>
      <c r="C67" s="8"/>
      <c r="D67" s="6"/>
      <c r="E67" s="6"/>
      <c r="F67" s="6"/>
      <c r="G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05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</row>
    <row r="78" spans="1:9" ht="30" customHeight="1" collapsed="1">
      <c r="C78" s="121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121" t="s">
        <v>54</v>
      </c>
      <c r="I78" s="121" t="s">
        <v>60</v>
      </c>
    </row>
    <row r="79" spans="1:9">
      <c r="C79" s="29" t="b">
        <v>0</v>
      </c>
      <c r="D79" s="30">
        <v>1970</v>
      </c>
      <c r="E79" s="30" t="s">
        <v>66</v>
      </c>
      <c r="F79" s="30">
        <v>252.31100000000001</v>
      </c>
      <c r="G79" s="30">
        <v>70.599999999999994</v>
      </c>
      <c r="H79" s="58">
        <v>0</v>
      </c>
      <c r="I79" s="58">
        <v>8.9998833392609997E+18</v>
      </c>
    </row>
    <row r="80" spans="1:9">
      <c r="C80" s="29" t="b">
        <v>0</v>
      </c>
      <c r="D80" s="30">
        <v>1970</v>
      </c>
      <c r="E80" s="30" t="s">
        <v>67</v>
      </c>
      <c r="F80" s="30">
        <v>192.143</v>
      </c>
      <c r="G80" s="30">
        <v>72.2</v>
      </c>
      <c r="H80" s="58">
        <v>0</v>
      </c>
      <c r="I80" s="58">
        <v>9.4090281542209208E+18</v>
      </c>
    </row>
    <row r="81" spans="3:9">
      <c r="C81" s="29" t="b">
        <v>0</v>
      </c>
      <c r="D81" s="30">
        <v>1970</v>
      </c>
      <c r="E81" s="138" t="s">
        <v>68</v>
      </c>
      <c r="F81" s="30">
        <v>123.99299999999999</v>
      </c>
      <c r="G81" s="30">
        <v>71.900000000000006</v>
      </c>
      <c r="H81" s="58">
        <v>0</v>
      </c>
      <c r="I81" s="58">
        <v>7.5174824476284201E+18</v>
      </c>
    </row>
    <row r="82" spans="3:9">
      <c r="C82" s="29" t="b">
        <v>0</v>
      </c>
      <c r="D82" s="30">
        <v>1970</v>
      </c>
      <c r="E82" s="138" t="s">
        <v>64</v>
      </c>
      <c r="F82" s="30">
        <v>150.43700000000001</v>
      </c>
      <c r="G82" s="30">
        <v>72</v>
      </c>
      <c r="H82" s="58">
        <v>0</v>
      </c>
      <c r="I82" s="58">
        <v>6.7143397556269097E+18</v>
      </c>
    </row>
    <row r="83" spans="3:9">
      <c r="C83" s="29" t="b">
        <v>0</v>
      </c>
      <c r="D83" s="30">
        <v>1970</v>
      </c>
      <c r="E83" s="138" t="s">
        <v>69</v>
      </c>
      <c r="F83" s="30">
        <v>326.96100000000001</v>
      </c>
      <c r="G83" s="30">
        <v>70.900000000000006</v>
      </c>
      <c r="H83" s="58">
        <v>0</v>
      </c>
      <c r="I83" s="58">
        <v>8.1447488930616904E+18</v>
      </c>
    </row>
    <row r="84" spans="3:9">
      <c r="C84" s="29" t="b">
        <v>0</v>
      </c>
      <c r="D84" s="30">
        <v>1971</v>
      </c>
      <c r="E84" s="138" t="s">
        <v>70</v>
      </c>
      <c r="F84" s="30">
        <v>313.39100000000002</v>
      </c>
      <c r="G84" s="30">
        <v>72.8</v>
      </c>
      <c r="H84" s="58">
        <v>0</v>
      </c>
      <c r="I84" s="58">
        <v>3.9534862233979402E+18</v>
      </c>
    </row>
    <row r="85" spans="3:9">
      <c r="C85" s="29" t="b">
        <v>0</v>
      </c>
      <c r="D85" s="30">
        <v>1971</v>
      </c>
      <c r="E85" s="138" t="s">
        <v>66</v>
      </c>
      <c r="F85" s="30">
        <v>298.25099999999998</v>
      </c>
      <c r="G85" s="30">
        <v>70.8</v>
      </c>
      <c r="H85" s="58">
        <v>0</v>
      </c>
      <c r="I85" s="58">
        <v>1.12706821768499E+19</v>
      </c>
    </row>
    <row r="86" spans="3:9">
      <c r="C86" s="29" t="b">
        <v>0</v>
      </c>
      <c r="D86" s="30">
        <v>1971</v>
      </c>
      <c r="E86" s="138" t="s">
        <v>68</v>
      </c>
      <c r="F86" s="30">
        <v>134.172</v>
      </c>
      <c r="G86" s="30">
        <v>71.900000000000006</v>
      </c>
      <c r="H86" s="58">
        <v>0</v>
      </c>
      <c r="I86" s="58">
        <v>3.38332526111806E+18</v>
      </c>
    </row>
    <row r="87" spans="3:9">
      <c r="C87" s="29" t="b">
        <v>0</v>
      </c>
      <c r="D87" s="30">
        <v>1971</v>
      </c>
      <c r="E87" s="138" t="s">
        <v>64</v>
      </c>
      <c r="F87" s="30">
        <v>163.85400000000001</v>
      </c>
      <c r="G87" s="30">
        <v>72.900000000000006</v>
      </c>
      <c r="H87" s="58">
        <v>0</v>
      </c>
      <c r="I87" s="58">
        <v>1.4057014989966701E+19</v>
      </c>
    </row>
    <row r="88" spans="3:9">
      <c r="C88" s="29" t="b">
        <v>0</v>
      </c>
      <c r="D88" s="30">
        <v>1971</v>
      </c>
      <c r="E88" s="138" t="s">
        <v>69</v>
      </c>
      <c r="F88" s="30">
        <v>357.988</v>
      </c>
      <c r="G88" s="30">
        <v>71.2</v>
      </c>
      <c r="H88" s="58">
        <v>0</v>
      </c>
      <c r="I88" s="58">
        <v>1.58227716023372E+19</v>
      </c>
    </row>
    <row r="89" spans="3:9">
      <c r="C89" s="29" t="b">
        <v>0</v>
      </c>
      <c r="D89" s="30">
        <v>1972</v>
      </c>
      <c r="E89" s="138" t="s">
        <v>66</v>
      </c>
      <c r="F89" s="30">
        <v>337.36399999999998</v>
      </c>
      <c r="G89" s="30">
        <v>71</v>
      </c>
      <c r="H89" s="58">
        <v>0</v>
      </c>
      <c r="I89" s="58">
        <v>1.36633427356049E+19</v>
      </c>
    </row>
    <row r="90" spans="3:9">
      <c r="C90" s="29" t="b">
        <v>0</v>
      </c>
      <c r="D90" s="30">
        <v>1972</v>
      </c>
      <c r="E90" s="138" t="s">
        <v>64</v>
      </c>
      <c r="F90" s="30">
        <v>185.39</v>
      </c>
      <c r="G90" s="30">
        <v>73.2</v>
      </c>
      <c r="H90" s="58">
        <v>0</v>
      </c>
      <c r="I90" s="58">
        <v>1.2331040644013799E+19</v>
      </c>
    </row>
    <row r="91" spans="3:9">
      <c r="C91" s="29" t="b">
        <v>0</v>
      </c>
      <c r="D91" s="30">
        <v>1972</v>
      </c>
      <c r="E91" s="138" t="s">
        <v>69</v>
      </c>
      <c r="F91" s="30">
        <v>397.09699999999998</v>
      </c>
      <c r="G91" s="30">
        <v>71.2</v>
      </c>
      <c r="H91" s="58">
        <v>0</v>
      </c>
      <c r="I91" s="58">
        <v>1.45314079324381E+19</v>
      </c>
    </row>
    <row r="92" spans="3:9">
      <c r="C92" s="29" t="b">
        <v>0</v>
      </c>
      <c r="D92" s="30">
        <v>1973</v>
      </c>
      <c r="E92" s="138" t="s">
        <v>66</v>
      </c>
      <c r="F92" s="30">
        <v>384.541</v>
      </c>
      <c r="G92" s="30">
        <v>71.3</v>
      </c>
      <c r="H92" s="58">
        <v>0</v>
      </c>
      <c r="I92" s="58">
        <v>1.7778674291744399E+19</v>
      </c>
    </row>
    <row r="93" spans="3:9">
      <c r="C93" s="29" t="b">
        <v>0</v>
      </c>
      <c r="D93" s="30">
        <v>1973</v>
      </c>
      <c r="E93" s="138" t="s">
        <v>64</v>
      </c>
      <c r="F93" s="30">
        <v>205.77799999999999</v>
      </c>
      <c r="G93" s="30">
        <v>73.400000000000006</v>
      </c>
      <c r="H93" s="58">
        <v>0</v>
      </c>
      <c r="I93" s="58">
        <v>1.1940082958727299E+19</v>
      </c>
    </row>
    <row r="94" spans="3:9">
      <c r="C94" s="29" t="b">
        <v>0</v>
      </c>
      <c r="D94" s="30">
        <v>1973</v>
      </c>
      <c r="E94" s="138" t="s">
        <v>69</v>
      </c>
      <c r="F94" s="30">
        <v>439.30200000000002</v>
      </c>
      <c r="G94" s="30">
        <v>71.400000000000006</v>
      </c>
      <c r="H94" s="58">
        <v>0</v>
      </c>
      <c r="I94" s="58">
        <v>1.55963479517346E+19</v>
      </c>
    </row>
    <row r="95" spans="3:9">
      <c r="C95" s="29" t="b">
        <v>0</v>
      </c>
      <c r="D95" s="30">
        <v>1974</v>
      </c>
      <c r="E95" s="138" t="s">
        <v>66</v>
      </c>
      <c r="F95" s="30">
        <v>452.74400000000003</v>
      </c>
      <c r="G95" s="30">
        <v>71.5</v>
      </c>
      <c r="H95" s="58">
        <v>0</v>
      </c>
      <c r="I95" s="58">
        <v>9.1823763947411098E+18</v>
      </c>
    </row>
    <row r="96" spans="3:9">
      <c r="C96" s="29" t="b">
        <v>0</v>
      </c>
      <c r="D96" s="30">
        <v>1974</v>
      </c>
      <c r="E96" s="138" t="s">
        <v>64</v>
      </c>
      <c r="F96" s="30">
        <v>242.018</v>
      </c>
      <c r="G96" s="30">
        <v>73.7</v>
      </c>
      <c r="H96" s="58">
        <v>0</v>
      </c>
      <c r="I96" s="58">
        <v>4.3706543106160998E+18</v>
      </c>
    </row>
    <row r="97" spans="3:9">
      <c r="C97" s="29" t="b">
        <v>0</v>
      </c>
      <c r="D97" s="30">
        <v>1974</v>
      </c>
      <c r="E97" s="138" t="s">
        <v>69</v>
      </c>
      <c r="F97" s="30">
        <v>495.11399999999998</v>
      </c>
      <c r="G97" s="30">
        <v>72</v>
      </c>
      <c r="H97" s="58">
        <v>0</v>
      </c>
      <c r="I97" s="58">
        <v>1.1753001495377601E+19</v>
      </c>
    </row>
    <row r="98" spans="3:9">
      <c r="C98" s="29" t="b">
        <v>0</v>
      </c>
      <c r="D98" s="30">
        <v>1975</v>
      </c>
      <c r="E98" s="138" t="s">
        <v>66</v>
      </c>
      <c r="F98" s="30">
        <v>532.48099999999999</v>
      </c>
      <c r="G98" s="30">
        <v>71.400000000000006</v>
      </c>
      <c r="H98" s="58">
        <v>0</v>
      </c>
      <c r="I98" s="58">
        <v>7.6163466261032796E+18</v>
      </c>
    </row>
    <row r="99" spans="3:9">
      <c r="C99" s="29" t="b">
        <v>0</v>
      </c>
      <c r="D99" s="30">
        <v>1975</v>
      </c>
      <c r="E99" s="138" t="s">
        <v>67</v>
      </c>
      <c r="F99" s="30">
        <v>363.61</v>
      </c>
      <c r="G99" s="30">
        <v>73</v>
      </c>
      <c r="H99" s="58">
        <v>0</v>
      </c>
      <c r="I99" s="58">
        <v>1.20573218268301E+18</v>
      </c>
    </row>
    <row r="100" spans="3:9">
      <c r="C100" s="29" t="b">
        <v>0</v>
      </c>
      <c r="D100" s="30">
        <v>1975</v>
      </c>
      <c r="E100" s="138" t="s">
        <v>64</v>
      </c>
      <c r="F100" s="30">
        <v>284.26900000000001</v>
      </c>
      <c r="G100" s="30">
        <v>74.3</v>
      </c>
      <c r="H100" s="58">
        <v>0</v>
      </c>
      <c r="I100" s="58">
        <v>1.6324326166634799E+19</v>
      </c>
    </row>
    <row r="101" spans="3:9">
      <c r="C101" s="29" t="b">
        <v>0</v>
      </c>
      <c r="D101" s="30">
        <v>1975</v>
      </c>
      <c r="E101" s="138" t="s">
        <v>69</v>
      </c>
      <c r="F101" s="30">
        <v>560.75</v>
      </c>
      <c r="G101" s="30">
        <v>72.7</v>
      </c>
      <c r="H101" s="58">
        <v>0</v>
      </c>
      <c r="I101" s="58">
        <v>1.6571457729180701E+19</v>
      </c>
    </row>
    <row r="102" spans="3:9">
      <c r="C102" s="29" t="b">
        <v>0</v>
      </c>
      <c r="D102" s="30">
        <v>1976</v>
      </c>
      <c r="E102" s="138" t="s">
        <v>70</v>
      </c>
      <c r="F102" s="30">
        <v>543.33699999999999</v>
      </c>
      <c r="G102" s="30">
        <v>73.8</v>
      </c>
      <c r="H102" s="58">
        <v>0</v>
      </c>
      <c r="I102" s="58">
        <v>1.5957193431289E+19</v>
      </c>
    </row>
    <row r="103" spans="3:9">
      <c r="C103" s="29" t="b">
        <v>0</v>
      </c>
      <c r="D103" s="30">
        <v>1976</v>
      </c>
      <c r="E103" s="138" t="s">
        <v>66</v>
      </c>
      <c r="F103" s="30">
        <v>591.09799999999996</v>
      </c>
      <c r="G103" s="30">
        <v>71.8</v>
      </c>
      <c r="H103" s="58">
        <v>0</v>
      </c>
      <c r="I103" s="58">
        <v>1.0983051948451299E+19</v>
      </c>
    </row>
    <row r="104" spans="3:9">
      <c r="C104" s="29" t="b">
        <v>0</v>
      </c>
      <c r="D104" s="30">
        <v>1976</v>
      </c>
      <c r="E104" s="138" t="s">
        <v>64</v>
      </c>
      <c r="F104" s="30">
        <v>303.72500000000002</v>
      </c>
      <c r="G104" s="30">
        <v>74.8</v>
      </c>
      <c r="H104" s="58">
        <v>0</v>
      </c>
      <c r="I104" s="58">
        <v>1.6937797590810499E+19</v>
      </c>
    </row>
    <row r="105" spans="3:9">
      <c r="C105" s="29" t="b">
        <v>0</v>
      </c>
      <c r="D105" s="30">
        <v>1976</v>
      </c>
      <c r="E105" s="138" t="s">
        <v>69</v>
      </c>
      <c r="F105" s="30">
        <v>638.851</v>
      </c>
      <c r="G105" s="30">
        <v>72.900000000000006</v>
      </c>
      <c r="H105" s="58">
        <v>0</v>
      </c>
      <c r="I105" s="58">
        <v>1.26507287538077E+19</v>
      </c>
    </row>
    <row r="106" spans="3:9">
      <c r="C106" s="29" t="b">
        <v>0</v>
      </c>
      <c r="D106" s="30">
        <v>1977</v>
      </c>
      <c r="E106" s="138" t="s">
        <v>66</v>
      </c>
      <c r="F106" s="30">
        <v>647.35199999999998</v>
      </c>
      <c r="G106" s="30">
        <v>72.5</v>
      </c>
      <c r="H106" s="58">
        <v>0</v>
      </c>
      <c r="I106" s="58">
        <v>1.6740219477163399E+19</v>
      </c>
    </row>
    <row r="107" spans="3:9">
      <c r="C107" s="29" t="b">
        <v>0</v>
      </c>
      <c r="D107" s="30">
        <v>1977</v>
      </c>
      <c r="E107" s="138" t="s">
        <v>64</v>
      </c>
      <c r="F107" s="30">
        <v>340.62799999999999</v>
      </c>
      <c r="G107" s="30">
        <v>75.3</v>
      </c>
      <c r="H107" s="58">
        <v>0</v>
      </c>
      <c r="I107" s="58">
        <v>2.07391742958558E+18</v>
      </c>
    </row>
    <row r="108" spans="3:9">
      <c r="C108" s="29" t="b">
        <v>0</v>
      </c>
      <c r="D108" s="30">
        <v>1977</v>
      </c>
      <c r="E108" s="138" t="s">
        <v>69</v>
      </c>
      <c r="F108" s="30">
        <v>726.24099999999999</v>
      </c>
      <c r="G108" s="30">
        <v>73.3</v>
      </c>
      <c r="H108" s="58">
        <v>0</v>
      </c>
      <c r="I108" s="58">
        <v>1.39839427177607E+19</v>
      </c>
    </row>
    <row r="109" spans="3:9">
      <c r="C109" s="29" t="b">
        <v>0</v>
      </c>
      <c r="D109" s="30">
        <v>1978</v>
      </c>
      <c r="E109" s="138" t="s">
        <v>66</v>
      </c>
      <c r="F109" s="30">
        <v>729.45699999999999</v>
      </c>
      <c r="G109" s="30">
        <v>72.400000000000006</v>
      </c>
      <c r="H109" s="58">
        <v>0</v>
      </c>
      <c r="I109" s="58">
        <v>1.5337074830300899E+19</v>
      </c>
    </row>
    <row r="110" spans="3:9">
      <c r="C110" s="29" t="b">
        <v>0</v>
      </c>
      <c r="D110" s="30">
        <v>1978</v>
      </c>
      <c r="E110" s="138" t="s">
        <v>64</v>
      </c>
      <c r="F110" s="30">
        <v>392.577</v>
      </c>
      <c r="G110" s="30">
        <v>75.7</v>
      </c>
      <c r="H110" s="58">
        <v>0</v>
      </c>
      <c r="I110" s="58">
        <v>1.5721810370367199E+19</v>
      </c>
    </row>
    <row r="111" spans="3:9">
      <c r="C111" s="29" t="b">
        <v>0</v>
      </c>
      <c r="D111" s="30">
        <v>1978</v>
      </c>
      <c r="E111" s="138" t="s">
        <v>69</v>
      </c>
      <c r="F111" s="30">
        <v>808.88400000000001</v>
      </c>
      <c r="G111" s="30">
        <v>73.5</v>
      </c>
      <c r="H111" s="58">
        <v>0</v>
      </c>
      <c r="I111" s="58">
        <v>1.7079188284024601E+19</v>
      </c>
    </row>
    <row r="112" spans="3:9">
      <c r="C112" s="29" t="b">
        <v>0</v>
      </c>
      <c r="D112" s="30">
        <v>1979</v>
      </c>
      <c r="E112" s="138" t="s">
        <v>70</v>
      </c>
      <c r="F112" s="30">
        <v>692.26900000000001</v>
      </c>
      <c r="G112" s="30">
        <v>75.099999999999994</v>
      </c>
      <c r="H112" s="58">
        <v>0</v>
      </c>
      <c r="I112" s="58">
        <v>1.7991327579694899E+19</v>
      </c>
    </row>
    <row r="113" spans="3:9">
      <c r="C113" s="29" t="b">
        <v>0</v>
      </c>
      <c r="D113" s="30">
        <v>1979</v>
      </c>
      <c r="E113" s="138" t="s">
        <v>66</v>
      </c>
      <c r="F113" s="30">
        <v>800.70299999999997</v>
      </c>
      <c r="G113" s="30">
        <v>72.8</v>
      </c>
      <c r="H113" s="58">
        <v>0</v>
      </c>
      <c r="I113" s="58">
        <v>6.4310351605417503E+18</v>
      </c>
    </row>
    <row r="114" spans="3:9">
      <c r="C114" s="29" t="b">
        <v>0</v>
      </c>
      <c r="D114" s="30">
        <v>1979</v>
      </c>
      <c r="E114" s="138" t="s">
        <v>64</v>
      </c>
      <c r="F114" s="30">
        <v>452.93099999999998</v>
      </c>
      <c r="G114" s="30">
        <v>76.2</v>
      </c>
      <c r="H114" s="58">
        <v>0</v>
      </c>
      <c r="I114" s="58">
        <v>2.7221880240339702E+18</v>
      </c>
    </row>
    <row r="115" spans="3:9">
      <c r="C115" s="29" t="b">
        <v>0</v>
      </c>
      <c r="D115" s="30">
        <v>1979</v>
      </c>
      <c r="E115" s="138" t="s">
        <v>69</v>
      </c>
      <c r="F115" s="30">
        <v>908.96299999999997</v>
      </c>
      <c r="G115" s="30">
        <v>73.900000000000006</v>
      </c>
      <c r="H115" s="58">
        <v>0</v>
      </c>
      <c r="I115" s="58">
        <v>3.2599424135788401E+18</v>
      </c>
    </row>
    <row r="116" spans="3:9">
      <c r="C116" s="29" t="b">
        <v>0</v>
      </c>
      <c r="D116" s="30">
        <v>1980</v>
      </c>
      <c r="E116" s="138" t="s">
        <v>70</v>
      </c>
      <c r="F116" s="30">
        <v>791.81200000000001</v>
      </c>
      <c r="G116" s="30">
        <v>75.2</v>
      </c>
      <c r="H116" s="58">
        <v>0</v>
      </c>
      <c r="I116" s="58">
        <v>1.4562803573731701E+19</v>
      </c>
    </row>
    <row r="117" spans="3:9">
      <c r="C117" s="29" t="b">
        <v>0</v>
      </c>
      <c r="D117" s="30">
        <v>1980</v>
      </c>
      <c r="E117" s="138" t="s">
        <v>66</v>
      </c>
      <c r="F117" s="30">
        <v>908.16600000000005</v>
      </c>
      <c r="G117" s="30">
        <v>72.900000000000006</v>
      </c>
      <c r="H117" s="58">
        <v>0</v>
      </c>
      <c r="I117" s="58">
        <v>1.56733988501509E+19</v>
      </c>
    </row>
    <row r="118" spans="3:9">
      <c r="C118" s="29" t="b">
        <v>0</v>
      </c>
      <c r="D118" s="30">
        <v>1980</v>
      </c>
      <c r="E118" s="138" t="s">
        <v>67</v>
      </c>
      <c r="F118" s="30">
        <v>659.82600000000002</v>
      </c>
      <c r="G118" s="30">
        <v>74.3</v>
      </c>
      <c r="H118" s="58">
        <v>0</v>
      </c>
      <c r="I118" s="58">
        <v>1.6201059218328001E+19</v>
      </c>
    </row>
    <row r="119" spans="3:9">
      <c r="C119" s="29" t="b">
        <v>0</v>
      </c>
      <c r="D119" s="30">
        <v>1980</v>
      </c>
      <c r="E119" s="138" t="s">
        <v>68</v>
      </c>
      <c r="F119" s="30">
        <v>385.09899999999999</v>
      </c>
      <c r="G119" s="30">
        <v>73.2</v>
      </c>
      <c r="H119" s="58">
        <v>0</v>
      </c>
      <c r="I119" s="58">
        <v>1.1163807486137E+19</v>
      </c>
    </row>
    <row r="120" spans="3:9">
      <c r="C120" s="29" t="b">
        <v>0</v>
      </c>
      <c r="D120" s="30">
        <v>1980</v>
      </c>
      <c r="E120" s="138" t="s">
        <v>64</v>
      </c>
      <c r="F120" s="30">
        <v>535.01599999999996</v>
      </c>
      <c r="G120" s="30">
        <v>76.099999999999994</v>
      </c>
      <c r="H120" s="58">
        <v>0</v>
      </c>
      <c r="I120" s="58">
        <v>2.7345516464520402E+18</v>
      </c>
    </row>
    <row r="121" spans="3:9">
      <c r="C121" s="29" t="b">
        <v>0</v>
      </c>
      <c r="D121" s="30">
        <v>1980</v>
      </c>
      <c r="E121" s="138" t="s">
        <v>69</v>
      </c>
      <c r="F121" s="30">
        <v>1036.3</v>
      </c>
      <c r="G121" s="30">
        <v>73.7</v>
      </c>
      <c r="H121" s="58">
        <v>0</v>
      </c>
      <c r="I121" s="58">
        <v>1.01986371825034E+18</v>
      </c>
    </row>
    <row r="122" spans="3:9">
      <c r="C122" s="29" t="b">
        <v>0</v>
      </c>
      <c r="D122" s="30">
        <v>1981</v>
      </c>
      <c r="E122" s="138" t="s">
        <v>70</v>
      </c>
      <c r="F122" s="30">
        <v>898.80700000000002</v>
      </c>
      <c r="G122" s="30">
        <v>75.5</v>
      </c>
      <c r="H122" s="58">
        <v>0</v>
      </c>
      <c r="I122" s="58">
        <v>8.4039119546584699E+18</v>
      </c>
    </row>
    <row r="123" spans="3:9">
      <c r="C123" s="29" t="b">
        <v>0</v>
      </c>
      <c r="D123" s="30">
        <v>1981</v>
      </c>
      <c r="E123" s="138" t="s">
        <v>66</v>
      </c>
      <c r="F123" s="30">
        <v>1014.713</v>
      </c>
      <c r="G123" s="30">
        <v>73.2</v>
      </c>
      <c r="H123" s="58">
        <v>0</v>
      </c>
      <c r="I123" s="58">
        <v>9.7496711263174902E+18</v>
      </c>
    </row>
    <row r="124" spans="3:9">
      <c r="C124" s="29" t="b">
        <v>0</v>
      </c>
      <c r="D124" s="30">
        <v>1981</v>
      </c>
      <c r="E124" s="138" t="s">
        <v>68</v>
      </c>
      <c r="F124" s="30">
        <v>433.95699999999999</v>
      </c>
      <c r="G124" s="30">
        <v>73.8</v>
      </c>
      <c r="H124" s="58">
        <v>0</v>
      </c>
      <c r="I124" s="58">
        <v>1.2999820244877199E+19</v>
      </c>
    </row>
    <row r="125" spans="3:9">
      <c r="C125" s="29" t="b">
        <v>0</v>
      </c>
      <c r="D125" s="30">
        <v>1981</v>
      </c>
      <c r="E125" s="138" t="s">
        <v>64</v>
      </c>
      <c r="F125" s="30">
        <v>603.96500000000003</v>
      </c>
      <c r="G125" s="30">
        <v>76.5</v>
      </c>
      <c r="H125" s="58">
        <v>0</v>
      </c>
      <c r="I125" s="58">
        <v>1.818850802632E+17</v>
      </c>
    </row>
    <row r="126" spans="3:9">
      <c r="C126" s="29" t="b">
        <v>0</v>
      </c>
      <c r="D126" s="30">
        <v>1981</v>
      </c>
      <c r="E126" s="138" t="s">
        <v>69</v>
      </c>
      <c r="F126" s="30">
        <v>1191.537</v>
      </c>
      <c r="G126" s="30">
        <v>74.099999999999994</v>
      </c>
      <c r="H126" s="58">
        <v>0</v>
      </c>
      <c r="I126" s="58">
        <v>1.15488731033362E+19</v>
      </c>
    </row>
    <row r="127" spans="3:9">
      <c r="C127" s="29" t="b">
        <v>0</v>
      </c>
      <c r="D127" s="30">
        <v>1982</v>
      </c>
      <c r="E127" s="138" t="s">
        <v>70</v>
      </c>
      <c r="F127" s="30">
        <v>996.08600000000001</v>
      </c>
      <c r="G127" s="30">
        <v>75.599999999999994</v>
      </c>
      <c r="H127" s="58">
        <v>0</v>
      </c>
      <c r="I127" s="58">
        <v>2.1480429689913001E+18</v>
      </c>
    </row>
    <row r="128" spans="3:9">
      <c r="C128" s="29" t="b">
        <v>0</v>
      </c>
      <c r="D128" s="30">
        <v>1982</v>
      </c>
      <c r="E128" s="138" t="s">
        <v>66</v>
      </c>
      <c r="F128" s="30">
        <v>1044.528</v>
      </c>
      <c r="G128" s="30">
        <v>73.5</v>
      </c>
      <c r="H128" s="58">
        <v>0</v>
      </c>
      <c r="I128" s="58">
        <v>8.8810737191810499E+18</v>
      </c>
    </row>
    <row r="129" spans="3:9">
      <c r="C129" s="29" t="b">
        <v>0</v>
      </c>
      <c r="D129" s="30">
        <v>1982</v>
      </c>
      <c r="E129" s="138" t="s">
        <v>68</v>
      </c>
      <c r="F129" s="30">
        <v>448.47699999999998</v>
      </c>
      <c r="G129" s="30">
        <v>74.099999999999994</v>
      </c>
      <c r="H129" s="58">
        <v>0</v>
      </c>
      <c r="I129" s="58">
        <v>5.3284354459000003E+18</v>
      </c>
    </row>
    <row r="130" spans="3:9">
      <c r="C130" s="29" t="b">
        <v>0</v>
      </c>
      <c r="D130" s="30">
        <v>1982</v>
      </c>
      <c r="E130" s="138" t="s">
        <v>64</v>
      </c>
      <c r="F130" s="30">
        <v>664.77700000000004</v>
      </c>
      <c r="G130" s="30">
        <v>76.900000000000006</v>
      </c>
      <c r="H130" s="58">
        <v>0</v>
      </c>
      <c r="I130" s="58">
        <v>3.2900609146912E+18</v>
      </c>
    </row>
    <row r="131" spans="3:9">
      <c r="C131" s="29" t="b">
        <v>0</v>
      </c>
      <c r="D131" s="30">
        <v>1982</v>
      </c>
      <c r="E131" s="138" t="s">
        <v>69</v>
      </c>
      <c r="F131" s="30">
        <v>1329.6690000000001</v>
      </c>
      <c r="G131" s="30">
        <v>74.5</v>
      </c>
      <c r="H131" s="58">
        <v>0</v>
      </c>
      <c r="I131" s="58">
        <v>1.6238372688625701E+19</v>
      </c>
    </row>
    <row r="132" spans="3:9">
      <c r="C132" s="29" t="b">
        <v>0</v>
      </c>
      <c r="D132" s="30">
        <v>1983</v>
      </c>
      <c r="E132" s="138" t="s">
        <v>70</v>
      </c>
      <c r="F132" s="30">
        <v>1066.7460000000001</v>
      </c>
      <c r="G132" s="30">
        <v>75.900000000000006</v>
      </c>
      <c r="H132" s="58">
        <v>0</v>
      </c>
      <c r="I132" s="58">
        <v>1.46599769382161E+19</v>
      </c>
    </row>
    <row r="133" spans="3:9">
      <c r="C133" s="29" t="b">
        <v>0</v>
      </c>
      <c r="D133" s="30">
        <v>1983</v>
      </c>
      <c r="E133" s="138" t="s">
        <v>66</v>
      </c>
      <c r="F133" s="30">
        <v>1104.5940000000001</v>
      </c>
      <c r="G133" s="30">
        <v>73.8</v>
      </c>
      <c r="H133" s="58">
        <v>0</v>
      </c>
      <c r="I133" s="58">
        <v>1.45479430514962E+18</v>
      </c>
    </row>
    <row r="134" spans="3:9">
      <c r="C134" s="29" t="b">
        <v>0</v>
      </c>
      <c r="D134" s="30">
        <v>1983</v>
      </c>
      <c r="E134" s="138" t="s">
        <v>68</v>
      </c>
      <c r="F134" s="30">
        <v>501.92399999999998</v>
      </c>
      <c r="G134" s="30">
        <v>74.3</v>
      </c>
      <c r="H134" s="58">
        <v>0</v>
      </c>
      <c r="I134" s="58">
        <v>1.6525923458905399E+19</v>
      </c>
    </row>
    <row r="135" spans="3:9">
      <c r="C135" s="29" t="b">
        <v>0</v>
      </c>
      <c r="D135" s="30">
        <v>1983</v>
      </c>
      <c r="E135" s="138" t="s">
        <v>64</v>
      </c>
      <c r="F135" s="30">
        <v>714.85699999999997</v>
      </c>
      <c r="G135" s="30">
        <v>77</v>
      </c>
      <c r="H135" s="58">
        <v>0</v>
      </c>
      <c r="I135" s="58">
        <v>4.5910387377967002E+18</v>
      </c>
    </row>
    <row r="136" spans="3:9">
      <c r="C136" s="29" t="b">
        <v>0</v>
      </c>
      <c r="D136" s="30">
        <v>1983</v>
      </c>
      <c r="E136" s="138" t="s">
        <v>69</v>
      </c>
      <c r="F136" s="30">
        <v>1451.9449999999999</v>
      </c>
      <c r="G136" s="30">
        <v>74.599999999999994</v>
      </c>
      <c r="H136" s="58">
        <v>0</v>
      </c>
      <c r="I136" s="58">
        <v>9.5727733951036109E+18</v>
      </c>
    </row>
    <row r="137" spans="3:9">
      <c r="C137" s="29" t="b">
        <v>0</v>
      </c>
      <c r="D137" s="30">
        <v>1984</v>
      </c>
      <c r="E137" s="138" t="s">
        <v>70</v>
      </c>
      <c r="F137" s="30">
        <v>1135.02</v>
      </c>
      <c r="G137" s="30">
        <v>76.2</v>
      </c>
      <c r="H137" s="58">
        <v>0</v>
      </c>
      <c r="I137" s="58">
        <v>1.28732837553728E+19</v>
      </c>
    </row>
    <row r="138" spans="3:9">
      <c r="C138" s="29" t="b">
        <v>0</v>
      </c>
      <c r="D138" s="30">
        <v>1984</v>
      </c>
      <c r="E138" s="138" t="s">
        <v>66</v>
      </c>
      <c r="F138" s="30">
        <v>1196.56</v>
      </c>
      <c r="G138" s="30">
        <v>74.3</v>
      </c>
      <c r="H138" s="58">
        <v>0</v>
      </c>
      <c r="I138" s="58">
        <v>2.3807256675720499E+18</v>
      </c>
    </row>
    <row r="139" spans="3:9">
      <c r="C139" s="29" t="b">
        <v>0</v>
      </c>
      <c r="D139" s="30">
        <v>1984</v>
      </c>
      <c r="E139" s="138" t="s">
        <v>68</v>
      </c>
      <c r="F139" s="30">
        <v>521.52200000000005</v>
      </c>
      <c r="G139" s="30">
        <v>74.5</v>
      </c>
      <c r="H139" s="58">
        <v>0</v>
      </c>
      <c r="I139" s="58">
        <v>1.63416106114908E+19</v>
      </c>
    </row>
    <row r="140" spans="3:9">
      <c r="C140" s="29" t="b">
        <v>0</v>
      </c>
      <c r="D140" s="30">
        <v>1984</v>
      </c>
      <c r="E140" s="138" t="s">
        <v>64</v>
      </c>
      <c r="F140" s="30">
        <v>745.98099999999999</v>
      </c>
      <c r="G140" s="30">
        <v>77.400000000000006</v>
      </c>
      <c r="H140" s="58">
        <v>0</v>
      </c>
      <c r="I140" s="58">
        <v>4.5953845731795E+18</v>
      </c>
    </row>
    <row r="141" spans="3:9">
      <c r="C141" s="29" t="b">
        <v>0</v>
      </c>
      <c r="D141" s="30">
        <v>1984</v>
      </c>
      <c r="E141" s="138" t="s">
        <v>69</v>
      </c>
      <c r="F141" s="30">
        <v>1590.6669999999999</v>
      </c>
      <c r="G141" s="30">
        <v>74.7</v>
      </c>
      <c r="H141" s="58">
        <v>0</v>
      </c>
      <c r="I141" s="58">
        <v>9.3315351307330703E+18</v>
      </c>
    </row>
    <row r="142" spans="3:9">
      <c r="C142" s="29" t="b">
        <v>0</v>
      </c>
      <c r="D142" s="30">
        <v>1985</v>
      </c>
      <c r="E142" s="138" t="s">
        <v>70</v>
      </c>
      <c r="F142" s="30">
        <v>1212.8499999999999</v>
      </c>
      <c r="G142" s="30">
        <v>76.3</v>
      </c>
      <c r="H142" s="58">
        <v>0</v>
      </c>
      <c r="I142" s="58">
        <v>6.8804039574827203E+18</v>
      </c>
    </row>
    <row r="143" spans="3:9">
      <c r="C143" s="29" t="b">
        <v>0</v>
      </c>
      <c r="D143" s="30">
        <v>1985</v>
      </c>
      <c r="E143" s="138" t="s">
        <v>66</v>
      </c>
      <c r="F143" s="30">
        <v>1298.5550000000001</v>
      </c>
      <c r="G143" s="30">
        <v>75</v>
      </c>
      <c r="H143" s="58">
        <v>0</v>
      </c>
      <c r="I143" s="58">
        <v>5.6048477917802496E+18</v>
      </c>
    </row>
    <row r="144" spans="3:9">
      <c r="C144" s="29" t="b">
        <v>0</v>
      </c>
      <c r="D144" s="30">
        <v>1985</v>
      </c>
      <c r="E144" s="138" t="s">
        <v>67</v>
      </c>
      <c r="F144" s="30">
        <v>1001.145</v>
      </c>
      <c r="G144" s="30">
        <v>75.400000000000006</v>
      </c>
      <c r="H144" s="58">
        <v>0</v>
      </c>
      <c r="I144" s="58">
        <v>5.1083550042467697E+18</v>
      </c>
    </row>
    <row r="145" spans="3:9">
      <c r="C145" s="29" t="b">
        <v>0</v>
      </c>
      <c r="D145" s="30">
        <v>1985</v>
      </c>
      <c r="E145" s="138" t="s">
        <v>68</v>
      </c>
      <c r="F145" s="30">
        <v>549.60799999999995</v>
      </c>
      <c r="G145" s="30">
        <v>74.7</v>
      </c>
      <c r="H145" s="58">
        <v>0</v>
      </c>
      <c r="I145" s="58">
        <v>1.10386902792377E+19</v>
      </c>
    </row>
    <row r="146" spans="3:9">
      <c r="C146" s="29" t="b">
        <v>0</v>
      </c>
      <c r="D146" s="30">
        <v>1985</v>
      </c>
      <c r="E146" s="138" t="s">
        <v>64</v>
      </c>
      <c r="F146" s="30">
        <v>818.38199999999995</v>
      </c>
      <c r="G146" s="30">
        <v>77.599999999999994</v>
      </c>
      <c r="H146" s="58">
        <v>0</v>
      </c>
      <c r="I146" s="58">
        <v>7.5135014717700905E+18</v>
      </c>
    </row>
    <row r="147" spans="3:9">
      <c r="C147" s="29" t="b">
        <v>0</v>
      </c>
      <c r="D147" s="30">
        <v>1985</v>
      </c>
      <c r="E147" s="138" t="s">
        <v>69</v>
      </c>
      <c r="F147" s="30">
        <v>1735.1559999999999</v>
      </c>
      <c r="G147" s="30">
        <v>74.7</v>
      </c>
      <c r="H147" s="58">
        <v>0</v>
      </c>
      <c r="I147" s="58">
        <v>1.7333537342404399E+19</v>
      </c>
    </row>
    <row r="148" spans="3:9">
      <c r="C148" s="29" t="b">
        <v>0</v>
      </c>
      <c r="D148" s="30">
        <v>1986</v>
      </c>
      <c r="E148" s="138" t="s">
        <v>70</v>
      </c>
      <c r="F148" s="30">
        <v>1278.816</v>
      </c>
      <c r="G148" s="30">
        <v>76.5</v>
      </c>
      <c r="H148" s="58">
        <v>0</v>
      </c>
      <c r="I148" s="58">
        <v>1.16253054515142E+19</v>
      </c>
    </row>
    <row r="149" spans="3:9">
      <c r="C149" s="29" t="b">
        <v>0</v>
      </c>
      <c r="D149" s="30">
        <v>1986</v>
      </c>
      <c r="E149" s="138" t="s">
        <v>66</v>
      </c>
      <c r="F149" s="30">
        <v>1386.51</v>
      </c>
      <c r="G149" s="30">
        <v>75.2</v>
      </c>
      <c r="H149" s="58">
        <v>0</v>
      </c>
      <c r="I149" s="58">
        <v>9.6986072335963402E+18</v>
      </c>
    </row>
    <row r="150" spans="3:9">
      <c r="C150" s="29" t="b">
        <v>0</v>
      </c>
      <c r="D150" s="30">
        <v>1986</v>
      </c>
      <c r="E150" s="138" t="s">
        <v>68</v>
      </c>
      <c r="F150" s="30">
        <v>578.61</v>
      </c>
      <c r="G150" s="30">
        <v>74.8</v>
      </c>
      <c r="H150" s="58">
        <v>0</v>
      </c>
      <c r="I150" s="58">
        <v>7.0892997127544003E+18</v>
      </c>
    </row>
    <row r="151" spans="3:9">
      <c r="C151" s="29" t="b">
        <v>0</v>
      </c>
      <c r="D151" s="30">
        <v>1986</v>
      </c>
      <c r="E151" s="138" t="s">
        <v>64</v>
      </c>
      <c r="F151" s="30">
        <v>859.85500000000002</v>
      </c>
      <c r="G151" s="30">
        <v>78.099999999999994</v>
      </c>
      <c r="H151" s="58">
        <v>0</v>
      </c>
      <c r="I151" s="58">
        <v>1.0370760272440799E+19</v>
      </c>
    </row>
    <row r="152" spans="3:9">
      <c r="C152" s="29" t="b">
        <v>0</v>
      </c>
      <c r="D152" s="30">
        <v>1986</v>
      </c>
      <c r="E152" s="138" t="s">
        <v>69</v>
      </c>
      <c r="F152" s="30">
        <v>1847.7729999999999</v>
      </c>
      <c r="G152" s="30">
        <v>74.7</v>
      </c>
      <c r="H152" s="58">
        <v>0</v>
      </c>
      <c r="I152" s="58">
        <v>2.2466355291621701E+18</v>
      </c>
    </row>
    <row r="153" spans="3:9">
      <c r="C153" s="29" t="b">
        <v>0</v>
      </c>
      <c r="D153" s="30">
        <v>1987</v>
      </c>
      <c r="E153" s="138" t="s">
        <v>70</v>
      </c>
      <c r="F153" s="30">
        <v>1357.453</v>
      </c>
      <c r="G153" s="30">
        <v>76.7</v>
      </c>
      <c r="H153" s="58">
        <v>0</v>
      </c>
      <c r="I153" s="58">
        <v>1.60081557657321E+19</v>
      </c>
    </row>
    <row r="154" spans="3:9">
      <c r="C154" s="29" t="b">
        <v>0</v>
      </c>
      <c r="D154" s="30">
        <v>1987</v>
      </c>
      <c r="E154" s="138" t="s">
        <v>66</v>
      </c>
      <c r="F154" s="30">
        <v>1480.096</v>
      </c>
      <c r="G154" s="30">
        <v>75.599999999999994</v>
      </c>
      <c r="H154" s="58">
        <v>0</v>
      </c>
      <c r="I154" s="58">
        <v>9.4956802105191398E+17</v>
      </c>
    </row>
    <row r="155" spans="3:9">
      <c r="C155" s="29" t="b">
        <v>0</v>
      </c>
      <c r="D155" s="30">
        <v>1987</v>
      </c>
      <c r="E155" s="138" t="s">
        <v>68</v>
      </c>
      <c r="F155" s="30">
        <v>634.95600000000002</v>
      </c>
      <c r="G155" s="30">
        <v>75.2</v>
      </c>
      <c r="H155" s="58">
        <v>0</v>
      </c>
      <c r="I155" s="58">
        <v>5.66137737354671E+18</v>
      </c>
    </row>
    <row r="156" spans="3:9">
      <c r="C156" s="29" t="b">
        <v>0</v>
      </c>
      <c r="D156" s="30">
        <v>1987</v>
      </c>
      <c r="E156" s="138" t="s">
        <v>64</v>
      </c>
      <c r="F156" s="30">
        <v>916.70299999999997</v>
      </c>
      <c r="G156" s="30">
        <v>78.5</v>
      </c>
      <c r="H156" s="58">
        <v>0</v>
      </c>
      <c r="I156" s="58">
        <v>4.50600056624192E+18</v>
      </c>
    </row>
    <row r="157" spans="3:9">
      <c r="C157" s="29" t="b">
        <v>0</v>
      </c>
      <c r="D157" s="30">
        <v>1987</v>
      </c>
      <c r="E157" s="138" t="s">
        <v>69</v>
      </c>
      <c r="F157" s="30">
        <v>1976.1659999999999</v>
      </c>
      <c r="G157" s="30">
        <v>74.900000000000006</v>
      </c>
      <c r="H157" s="58">
        <v>0</v>
      </c>
      <c r="I157" s="58">
        <v>7.1940736243765299E+18</v>
      </c>
    </row>
    <row r="158" spans="3:9">
      <c r="C158" s="29" t="b">
        <v>0</v>
      </c>
      <c r="D158" s="30">
        <v>1988</v>
      </c>
      <c r="E158" s="138" t="s">
        <v>70</v>
      </c>
      <c r="F158" s="30">
        <v>1461.3</v>
      </c>
      <c r="G158" s="30">
        <v>76.8</v>
      </c>
      <c r="H158" s="58">
        <v>0</v>
      </c>
      <c r="I158" s="58">
        <v>5.2526868838653604E+18</v>
      </c>
    </row>
    <row r="159" spans="3:9">
      <c r="C159" s="29" t="b">
        <v>0</v>
      </c>
      <c r="D159" s="30">
        <v>1988</v>
      </c>
      <c r="E159" s="138" t="s">
        <v>66</v>
      </c>
      <c r="F159" s="30">
        <v>1616.3489999999999</v>
      </c>
      <c r="G159" s="30">
        <v>75.900000000000006</v>
      </c>
      <c r="H159" s="58">
        <v>0</v>
      </c>
      <c r="I159" s="58">
        <v>2.2077693989742799E+18</v>
      </c>
    </row>
    <row r="160" spans="3:9">
      <c r="C160" s="29" t="b">
        <v>0</v>
      </c>
      <c r="D160" s="30">
        <v>1988</v>
      </c>
      <c r="E160" s="138" t="s">
        <v>68</v>
      </c>
      <c r="F160" s="30">
        <v>688.04899999999998</v>
      </c>
      <c r="G160" s="30">
        <v>75.3</v>
      </c>
      <c r="H160" s="58">
        <v>0</v>
      </c>
      <c r="I160" s="58">
        <v>1.8330369061047699E+19</v>
      </c>
    </row>
    <row r="161" spans="3:9">
      <c r="C161" s="29" t="b">
        <v>0</v>
      </c>
      <c r="D161" s="30">
        <v>1988</v>
      </c>
      <c r="E161" s="138" t="s">
        <v>64</v>
      </c>
      <c r="F161" s="30">
        <v>969.25099999999998</v>
      </c>
      <c r="G161" s="30">
        <v>78.400000000000006</v>
      </c>
      <c r="H161" s="58">
        <v>0</v>
      </c>
      <c r="I161" s="58">
        <v>3.1426260776712402E+18</v>
      </c>
    </row>
    <row r="162" spans="3:9">
      <c r="C162" s="29" t="b">
        <v>0</v>
      </c>
      <c r="D162" s="30">
        <v>1988</v>
      </c>
      <c r="E162" s="138" t="s">
        <v>69</v>
      </c>
      <c r="F162" s="30">
        <v>2195.3919999999998</v>
      </c>
      <c r="G162" s="30">
        <v>74.900000000000006</v>
      </c>
      <c r="H162" s="58">
        <v>0</v>
      </c>
      <c r="I162" s="58">
        <v>9.8194466923827098E+18</v>
      </c>
    </row>
    <row r="163" spans="3:9">
      <c r="C163" s="29" t="b">
        <v>0</v>
      </c>
      <c r="D163" s="30">
        <v>1989</v>
      </c>
      <c r="E163" s="138" t="s">
        <v>70</v>
      </c>
      <c r="F163" s="30">
        <v>1579.5429999999999</v>
      </c>
      <c r="G163" s="30">
        <v>77.099999999999994</v>
      </c>
      <c r="H163" s="58">
        <v>0</v>
      </c>
      <c r="I163" s="58">
        <v>5.9374886200215204E+18</v>
      </c>
    </row>
    <row r="164" spans="3:9">
      <c r="C164" s="29" t="b">
        <v>0</v>
      </c>
      <c r="D164" s="30">
        <v>1989</v>
      </c>
      <c r="E164" s="138" t="s">
        <v>66</v>
      </c>
      <c r="F164" s="30">
        <v>1596.16</v>
      </c>
      <c r="G164" s="30">
        <v>76</v>
      </c>
      <c r="H164" s="58">
        <v>0</v>
      </c>
      <c r="I164" s="58">
        <v>1.6969524627960901E+18</v>
      </c>
    </row>
    <row r="165" spans="3:9">
      <c r="C165" s="29" t="b">
        <v>0</v>
      </c>
      <c r="D165" s="30">
        <v>1989</v>
      </c>
      <c r="E165" s="138" t="s">
        <v>68</v>
      </c>
      <c r="F165" s="30">
        <v>739.71400000000006</v>
      </c>
      <c r="G165" s="30">
        <v>75.400000000000006</v>
      </c>
      <c r="H165" s="58">
        <v>0</v>
      </c>
      <c r="I165" s="58">
        <v>7.6602062013269996E+18</v>
      </c>
    </row>
    <row r="166" spans="3:9">
      <c r="C166" s="29" t="b">
        <v>0</v>
      </c>
      <c r="D166" s="30">
        <v>1989</v>
      </c>
      <c r="E166" s="138" t="s">
        <v>64</v>
      </c>
      <c r="F166" s="30">
        <v>1021.247</v>
      </c>
      <c r="G166" s="30">
        <v>78.8</v>
      </c>
      <c r="H166" s="58">
        <v>0</v>
      </c>
      <c r="I166" s="58">
        <v>1.1970824105299401E+19</v>
      </c>
    </row>
    <row r="167" spans="3:9">
      <c r="C167" s="29" t="b">
        <v>0</v>
      </c>
      <c r="D167" s="30">
        <v>1989</v>
      </c>
      <c r="E167" s="138" t="s">
        <v>69</v>
      </c>
      <c r="F167" s="30">
        <v>2424.654</v>
      </c>
      <c r="G167" s="30">
        <v>75.099999999999994</v>
      </c>
      <c r="H167" s="58">
        <v>0</v>
      </c>
      <c r="I167" s="58">
        <v>9.4573192590975304E+18</v>
      </c>
    </row>
    <row r="168" spans="3:9">
      <c r="C168" s="29" t="b">
        <v>0</v>
      </c>
      <c r="D168" s="30">
        <v>1990</v>
      </c>
      <c r="E168" s="138" t="s">
        <v>70</v>
      </c>
      <c r="F168" s="30">
        <v>1699.7739999999999</v>
      </c>
      <c r="G168" s="30">
        <v>77.3</v>
      </c>
      <c r="H168" s="58">
        <v>0</v>
      </c>
      <c r="I168" s="58">
        <v>1.0455425774237301E+19</v>
      </c>
    </row>
    <row r="169" spans="3:9">
      <c r="C169" s="29" t="b">
        <v>0</v>
      </c>
      <c r="D169" s="30">
        <v>1990</v>
      </c>
      <c r="E169" s="138" t="s">
        <v>66</v>
      </c>
      <c r="F169" s="30">
        <v>1724.3320000000001</v>
      </c>
      <c r="G169" s="30">
        <v>77.3</v>
      </c>
      <c r="H169" s="58">
        <v>0</v>
      </c>
      <c r="I169" s="58">
        <v>2.0991093515258601E+18</v>
      </c>
    </row>
    <row r="170" spans="3:9">
      <c r="C170" s="29" t="b">
        <v>0</v>
      </c>
      <c r="D170" s="30">
        <v>1990</v>
      </c>
      <c r="E170" s="138" t="s">
        <v>67</v>
      </c>
      <c r="F170" s="30">
        <v>1459.11</v>
      </c>
      <c r="G170" s="30">
        <v>77</v>
      </c>
      <c r="H170" s="58">
        <v>0</v>
      </c>
      <c r="I170" s="58">
        <v>1.83920282818646E+19</v>
      </c>
    </row>
    <row r="171" spans="3:9">
      <c r="C171" s="29" t="b">
        <v>0</v>
      </c>
      <c r="D171" s="30">
        <v>1990</v>
      </c>
      <c r="E171" s="138" t="s">
        <v>68</v>
      </c>
      <c r="F171" s="30">
        <v>782.61199999999997</v>
      </c>
      <c r="G171" s="30">
        <v>75.7</v>
      </c>
      <c r="H171" s="58">
        <v>0</v>
      </c>
      <c r="I171" s="58">
        <v>9.9499909915058906E+17</v>
      </c>
    </row>
    <row r="172" spans="3:9">
      <c r="C172" s="29" t="b">
        <v>0</v>
      </c>
      <c r="D172" s="30">
        <v>1990</v>
      </c>
      <c r="E172" s="138" t="s">
        <v>64</v>
      </c>
      <c r="F172" s="30">
        <v>1088.9590000000001</v>
      </c>
      <c r="G172" s="30">
        <v>78.900000000000006</v>
      </c>
      <c r="H172" s="58">
        <v>0</v>
      </c>
      <c r="I172" s="58">
        <v>1.57765045584781E+19</v>
      </c>
    </row>
    <row r="173" spans="3:9">
      <c r="C173" s="29" t="b">
        <v>0</v>
      </c>
      <c r="D173" s="30">
        <v>1990</v>
      </c>
      <c r="E173" s="138" t="s">
        <v>69</v>
      </c>
      <c r="F173" s="30">
        <v>2684.9839999999999</v>
      </c>
      <c r="G173" s="30">
        <v>75.3</v>
      </c>
      <c r="H173" s="58">
        <v>0</v>
      </c>
      <c r="I173" s="58">
        <v>1.7883733154307899E+19</v>
      </c>
    </row>
    <row r="174" spans="3:9">
      <c r="C174" s="29" t="b">
        <v>0</v>
      </c>
      <c r="D174" s="30">
        <v>1991</v>
      </c>
      <c r="E174" s="138" t="s">
        <v>70</v>
      </c>
      <c r="F174" s="30">
        <v>1805.2090000000001</v>
      </c>
      <c r="G174" s="30">
        <v>77.599999999999994</v>
      </c>
      <c r="H174" s="58">
        <v>0</v>
      </c>
      <c r="I174" s="58">
        <v>4.44005431188002E+18</v>
      </c>
    </row>
    <row r="175" spans="3:9">
      <c r="C175" s="29" t="b">
        <v>0</v>
      </c>
      <c r="D175" s="30">
        <v>1991</v>
      </c>
      <c r="E175" s="138" t="s">
        <v>67</v>
      </c>
      <c r="F175" s="30">
        <v>1558.0329999999999</v>
      </c>
      <c r="G175" s="30">
        <v>77.2</v>
      </c>
      <c r="H175" s="58">
        <v>0</v>
      </c>
      <c r="I175" s="58">
        <v>1.2636655986044101E+18</v>
      </c>
    </row>
    <row r="176" spans="3:9">
      <c r="C176" s="29" t="b">
        <v>0</v>
      </c>
      <c r="D176" s="30">
        <v>1991</v>
      </c>
      <c r="E176" s="138" t="s">
        <v>68</v>
      </c>
      <c r="F176" s="30">
        <v>842.79700000000003</v>
      </c>
      <c r="G176" s="30">
        <v>75.900000000000006</v>
      </c>
      <c r="H176" s="58">
        <v>0</v>
      </c>
      <c r="I176" s="58">
        <v>1.3475980991090801E+19</v>
      </c>
    </row>
    <row r="177" spans="3:9">
      <c r="C177" s="29" t="b">
        <v>0</v>
      </c>
      <c r="D177" s="30">
        <v>1991</v>
      </c>
      <c r="E177" s="138" t="s">
        <v>64</v>
      </c>
      <c r="F177" s="30">
        <v>1166.43</v>
      </c>
      <c r="G177" s="30">
        <v>79.099999999999994</v>
      </c>
      <c r="H177" s="58">
        <v>0</v>
      </c>
      <c r="I177" s="58">
        <v>1.6152494409167999E+19</v>
      </c>
    </row>
    <row r="178" spans="3:9">
      <c r="C178" s="29" t="b">
        <v>0</v>
      </c>
      <c r="D178" s="30">
        <v>1991</v>
      </c>
      <c r="E178" s="138" t="s">
        <v>69</v>
      </c>
      <c r="F178" s="30">
        <v>2901.5889999999999</v>
      </c>
      <c r="G178" s="30">
        <v>75.5</v>
      </c>
      <c r="H178" s="58">
        <v>0</v>
      </c>
      <c r="I178" s="58">
        <v>8.40799079907213E+18</v>
      </c>
    </row>
    <row r="179" spans="3:9">
      <c r="C179" s="29" t="b">
        <v>0</v>
      </c>
      <c r="D179" s="30">
        <v>1992</v>
      </c>
      <c r="E179" s="138" t="s">
        <v>70</v>
      </c>
      <c r="F179" s="30">
        <v>1897.4559999999999</v>
      </c>
      <c r="G179" s="30">
        <v>77.8</v>
      </c>
      <c r="H179" s="58">
        <v>0</v>
      </c>
      <c r="I179" s="58">
        <v>2.3516386602814403E+18</v>
      </c>
    </row>
    <row r="180" spans="3:9">
      <c r="C180" s="29" t="b">
        <v>0</v>
      </c>
      <c r="D180" s="30">
        <v>1992</v>
      </c>
      <c r="E180" s="138" t="s">
        <v>66</v>
      </c>
      <c r="F180" s="30">
        <v>2019.308</v>
      </c>
      <c r="G180" s="30">
        <v>76.099999999999994</v>
      </c>
      <c r="H180" s="58">
        <v>0</v>
      </c>
      <c r="I180" s="58">
        <v>1.4385548853251101E+19</v>
      </c>
    </row>
    <row r="181" spans="3:9">
      <c r="C181" s="29" t="b">
        <v>0</v>
      </c>
      <c r="D181" s="30">
        <v>1992</v>
      </c>
      <c r="E181" s="138" t="s">
        <v>67</v>
      </c>
      <c r="F181" s="30">
        <v>1651.1389999999999</v>
      </c>
      <c r="G181" s="30">
        <v>77.5</v>
      </c>
      <c r="H181" s="58">
        <v>0</v>
      </c>
      <c r="I181" s="58">
        <v>1.16654230028533E+19</v>
      </c>
    </row>
    <row r="182" spans="3:9">
      <c r="C182" s="29" t="b">
        <v>0</v>
      </c>
      <c r="D182" s="30">
        <v>1992</v>
      </c>
      <c r="E182" s="138" t="s">
        <v>68</v>
      </c>
      <c r="F182" s="30">
        <v>930.70100000000002</v>
      </c>
      <c r="G182" s="30">
        <v>76.3</v>
      </c>
      <c r="H182" s="58">
        <v>0</v>
      </c>
      <c r="I182" s="58">
        <v>1.5354706021922699E+19</v>
      </c>
    </row>
    <row r="183" spans="3:9">
      <c r="C183" s="29" t="b">
        <v>0</v>
      </c>
      <c r="D183" s="30">
        <v>1992</v>
      </c>
      <c r="E183" s="138" t="s">
        <v>64</v>
      </c>
      <c r="F183" s="30">
        <v>1253.415</v>
      </c>
      <c r="G183" s="30">
        <v>79.2</v>
      </c>
      <c r="H183" s="58">
        <v>0</v>
      </c>
      <c r="I183" s="58">
        <v>7.1065083444661596E+18</v>
      </c>
    </row>
    <row r="184" spans="3:9">
      <c r="C184" s="29" t="b">
        <v>0</v>
      </c>
      <c r="D184" s="30">
        <v>1992</v>
      </c>
      <c r="E184" s="138" t="s">
        <v>69</v>
      </c>
      <c r="F184" s="30">
        <v>3100.3429999999998</v>
      </c>
      <c r="G184" s="30">
        <v>75.7</v>
      </c>
      <c r="H184" s="58">
        <v>0</v>
      </c>
      <c r="I184" s="58">
        <v>1.16302153841443E+19</v>
      </c>
    </row>
    <row r="185" spans="3:9">
      <c r="C185" s="29" t="b">
        <v>0</v>
      </c>
      <c r="D185" s="30">
        <v>1993</v>
      </c>
      <c r="E185" s="138" t="s">
        <v>70</v>
      </c>
      <c r="F185" s="30">
        <v>1930.8889999999999</v>
      </c>
      <c r="G185" s="30">
        <v>77.8</v>
      </c>
      <c r="H185" s="58">
        <v>0</v>
      </c>
      <c r="I185" s="58">
        <v>1.79803649498444E+19</v>
      </c>
    </row>
    <row r="186" spans="3:9">
      <c r="C186" s="29" t="b">
        <v>0</v>
      </c>
      <c r="D186" s="30">
        <v>1993</v>
      </c>
      <c r="E186" s="138" t="s">
        <v>66</v>
      </c>
      <c r="F186" s="30">
        <v>2040.3130000000001</v>
      </c>
      <c r="G186" s="30">
        <v>76.099999999999994</v>
      </c>
      <c r="H186" s="58">
        <v>0</v>
      </c>
      <c r="I186" s="58">
        <v>1.38122107864239E+19</v>
      </c>
    </row>
    <row r="187" spans="3:9">
      <c r="C187" s="29" t="b">
        <v>0</v>
      </c>
      <c r="D187" s="30">
        <v>1993</v>
      </c>
      <c r="E187" s="138" t="s">
        <v>67</v>
      </c>
      <c r="F187" s="30">
        <v>1753.4849999999999</v>
      </c>
      <c r="G187" s="30">
        <v>77.5</v>
      </c>
      <c r="H187" s="58">
        <v>0</v>
      </c>
      <c r="I187" s="58">
        <v>1.5505846650782599E+19</v>
      </c>
    </row>
    <row r="188" spans="3:9">
      <c r="C188" s="29" t="b">
        <v>0</v>
      </c>
      <c r="D188" s="30">
        <v>1993</v>
      </c>
      <c r="E188" s="138" t="s">
        <v>68</v>
      </c>
      <c r="F188" s="30">
        <v>995.72799999999995</v>
      </c>
      <c r="G188" s="30">
        <v>76.2</v>
      </c>
      <c r="H188" s="58">
        <v>0</v>
      </c>
      <c r="I188" s="58">
        <v>3.6915427859192202E+18</v>
      </c>
    </row>
    <row r="189" spans="3:9">
      <c r="C189" s="29" t="b">
        <v>0</v>
      </c>
      <c r="D189" s="30">
        <v>1993</v>
      </c>
      <c r="E189" s="138" t="s">
        <v>64</v>
      </c>
      <c r="F189" s="30">
        <v>1332.213</v>
      </c>
      <c r="G189" s="30">
        <v>79.400000000000006</v>
      </c>
      <c r="H189" s="58">
        <v>0</v>
      </c>
      <c r="I189" s="58">
        <v>1.09909334025886E+18</v>
      </c>
    </row>
    <row r="190" spans="3:9">
      <c r="C190" s="29" t="b">
        <v>0</v>
      </c>
      <c r="D190" s="30">
        <v>1993</v>
      </c>
      <c r="E190" s="138" t="s">
        <v>69</v>
      </c>
      <c r="F190" s="30">
        <v>3286.558</v>
      </c>
      <c r="G190" s="30">
        <v>75.5</v>
      </c>
      <c r="H190" s="58">
        <v>0</v>
      </c>
      <c r="I190" s="58">
        <v>8.3130401424335002E+17</v>
      </c>
    </row>
    <row r="191" spans="3:9">
      <c r="C191" s="29" t="b">
        <v>0</v>
      </c>
      <c r="D191" s="30">
        <v>1994</v>
      </c>
      <c r="E191" s="138" t="s">
        <v>70</v>
      </c>
      <c r="F191" s="30">
        <v>1962.1959999999999</v>
      </c>
      <c r="G191" s="30">
        <v>77.900000000000006</v>
      </c>
      <c r="H191" s="58">
        <v>0</v>
      </c>
      <c r="I191" s="58">
        <v>3.3146532125501501E+18</v>
      </c>
    </row>
    <row r="192" spans="3:9">
      <c r="C192" s="29" t="b">
        <v>0</v>
      </c>
      <c r="D192" s="30">
        <v>1994</v>
      </c>
      <c r="E192" s="138" t="s">
        <v>66</v>
      </c>
      <c r="F192" s="30">
        <v>2188.6759999999999</v>
      </c>
      <c r="G192" s="30">
        <v>76.5</v>
      </c>
      <c r="H192" s="58">
        <v>0</v>
      </c>
      <c r="I192" s="58">
        <v>8.7250812892057498E+18</v>
      </c>
    </row>
    <row r="193" spans="3:9">
      <c r="C193" s="29" t="b">
        <v>0</v>
      </c>
      <c r="D193" s="30">
        <v>1994</v>
      </c>
      <c r="E193" s="138" t="s">
        <v>67</v>
      </c>
      <c r="F193" s="30">
        <v>1817.0419999999999</v>
      </c>
      <c r="G193" s="30">
        <v>78</v>
      </c>
      <c r="H193" s="58">
        <v>0</v>
      </c>
      <c r="I193" s="58">
        <v>2.4027643062994099E+18</v>
      </c>
    </row>
    <row r="194" spans="3:9">
      <c r="C194" s="29" t="b">
        <v>0</v>
      </c>
      <c r="D194" s="30">
        <v>1994</v>
      </c>
      <c r="E194" s="138" t="s">
        <v>68</v>
      </c>
      <c r="F194" s="30">
        <v>1058.68</v>
      </c>
      <c r="G194" s="30">
        <v>76.8</v>
      </c>
      <c r="H194" s="58">
        <v>0</v>
      </c>
      <c r="I194" s="58">
        <v>2.1577882887775301E+18</v>
      </c>
    </row>
    <row r="195" spans="3:9">
      <c r="C195" s="29" t="b">
        <v>0</v>
      </c>
      <c r="D195" s="30">
        <v>1994</v>
      </c>
      <c r="E195" s="138" t="s">
        <v>64</v>
      </c>
      <c r="F195" s="30">
        <v>1420.271</v>
      </c>
      <c r="G195" s="30">
        <v>79.8</v>
      </c>
      <c r="H195" s="58">
        <v>0</v>
      </c>
      <c r="I195" s="58">
        <v>7.49166075680755E+18</v>
      </c>
    </row>
    <row r="196" spans="3:9">
      <c r="C196" s="29" t="b">
        <v>0</v>
      </c>
      <c r="D196" s="30">
        <v>1994</v>
      </c>
      <c r="E196" s="138" t="s">
        <v>69</v>
      </c>
      <c r="F196" s="30">
        <v>3432.1010000000001</v>
      </c>
      <c r="G196" s="30">
        <v>75.7</v>
      </c>
      <c r="H196" s="58">
        <v>0</v>
      </c>
      <c r="I196" s="58">
        <v>1.59136485065925E+19</v>
      </c>
    </row>
    <row r="197" spans="3:9">
      <c r="C197" s="29" t="b">
        <v>0</v>
      </c>
      <c r="D197" s="30">
        <v>1995</v>
      </c>
      <c r="E197" s="138" t="s">
        <v>70</v>
      </c>
      <c r="F197" s="30">
        <v>1984.944</v>
      </c>
      <c r="G197" s="30">
        <v>78</v>
      </c>
      <c r="H197" s="58">
        <v>0</v>
      </c>
      <c r="I197" s="58">
        <v>1.00091161958109E+19</v>
      </c>
    </row>
    <row r="198" spans="3:9">
      <c r="C198" s="29" t="b">
        <v>0</v>
      </c>
      <c r="D198" s="30">
        <v>1995</v>
      </c>
      <c r="E198" s="138" t="s">
        <v>66</v>
      </c>
      <c r="F198" s="30">
        <v>2349.145</v>
      </c>
      <c r="G198" s="30">
        <v>76.599999999999994</v>
      </c>
      <c r="H198" s="58">
        <v>0</v>
      </c>
      <c r="I198" s="58">
        <v>1.55705765036741E+19</v>
      </c>
    </row>
    <row r="199" spans="3:9">
      <c r="C199" s="29" t="b">
        <v>0</v>
      </c>
      <c r="D199" s="30">
        <v>1995</v>
      </c>
      <c r="E199" s="138" t="s">
        <v>67</v>
      </c>
      <c r="F199" s="30">
        <v>2100.9180000000001</v>
      </c>
      <c r="G199" s="30">
        <v>78.099999999999994</v>
      </c>
      <c r="H199" s="58">
        <v>0</v>
      </c>
      <c r="I199" s="58">
        <v>7.6054096266058803E+18</v>
      </c>
    </row>
    <row r="200" spans="3:9">
      <c r="C200" s="29" t="b">
        <v>0</v>
      </c>
      <c r="D200" s="30">
        <v>1995</v>
      </c>
      <c r="E200" s="138" t="s">
        <v>68</v>
      </c>
      <c r="F200" s="30">
        <v>1094.0340000000001</v>
      </c>
      <c r="G200" s="30">
        <v>76.7</v>
      </c>
      <c r="H200" s="58">
        <v>0</v>
      </c>
      <c r="I200" s="58">
        <v>1.77771297311035E+19</v>
      </c>
    </row>
    <row r="201" spans="3:9">
      <c r="C201" s="29" t="b">
        <v>0</v>
      </c>
      <c r="D201" s="30">
        <v>1995</v>
      </c>
      <c r="E201" s="138" t="s">
        <v>64</v>
      </c>
      <c r="F201" s="30">
        <v>1413.4449999999999</v>
      </c>
      <c r="G201" s="30">
        <v>79.599999999999994</v>
      </c>
      <c r="H201" s="58">
        <v>0</v>
      </c>
      <c r="I201" s="58">
        <v>2.6904733978636401E+18</v>
      </c>
    </row>
    <row r="202" spans="3:9">
      <c r="C202" s="29" t="b">
        <v>0</v>
      </c>
      <c r="D202" s="30">
        <v>1995</v>
      </c>
      <c r="E202" s="138" t="s">
        <v>69</v>
      </c>
      <c r="F202" s="30">
        <v>3586.7449999999999</v>
      </c>
      <c r="G202" s="30">
        <v>75.7</v>
      </c>
      <c r="H202" s="58">
        <v>0</v>
      </c>
      <c r="I202" s="58">
        <v>8.7670714631499305E+18</v>
      </c>
    </row>
    <row r="203" spans="3:9">
      <c r="C203" s="29" t="b">
        <v>0</v>
      </c>
      <c r="D203" s="30">
        <v>1996</v>
      </c>
      <c r="E203" s="138" t="s">
        <v>70</v>
      </c>
      <c r="F203" s="30">
        <v>1999.778</v>
      </c>
      <c r="G203" s="30">
        <v>78.2</v>
      </c>
      <c r="H203" s="58">
        <v>0</v>
      </c>
      <c r="I203" s="58">
        <v>7.1719172714883502E+18</v>
      </c>
    </row>
    <row r="204" spans="3:9">
      <c r="C204" s="29" t="b">
        <v>0</v>
      </c>
      <c r="D204" s="30">
        <v>1996</v>
      </c>
      <c r="E204" s="138" t="s">
        <v>66</v>
      </c>
      <c r="F204" s="30">
        <v>2480.2170000000001</v>
      </c>
      <c r="G204" s="30">
        <v>76.900000000000006</v>
      </c>
      <c r="H204" s="58">
        <v>0</v>
      </c>
      <c r="I204" s="58">
        <v>1.80536101616507E+19</v>
      </c>
    </row>
    <row r="205" spans="3:9">
      <c r="C205" s="29" t="b">
        <v>0</v>
      </c>
      <c r="D205" s="30">
        <v>1996</v>
      </c>
      <c r="E205" s="138" t="s">
        <v>67</v>
      </c>
      <c r="F205" s="30">
        <v>2169.451</v>
      </c>
      <c r="G205" s="30">
        <v>78.2</v>
      </c>
      <c r="H205" s="58">
        <v>0</v>
      </c>
      <c r="I205" s="58">
        <v>5.5929303914733599E+18</v>
      </c>
    </row>
    <row r="206" spans="3:9">
      <c r="C206" s="29" t="b">
        <v>0</v>
      </c>
      <c r="D206" s="30">
        <v>1996</v>
      </c>
      <c r="E206" s="138" t="s">
        <v>68</v>
      </c>
      <c r="F206" s="30">
        <v>1171.5909999999999</v>
      </c>
      <c r="G206" s="30">
        <v>76.900000000000006</v>
      </c>
      <c r="H206" s="58">
        <v>0</v>
      </c>
      <c r="I206" s="58">
        <v>1.5968269634973301E+19</v>
      </c>
    </row>
    <row r="207" spans="3:9">
      <c r="C207" s="29" t="b">
        <v>0</v>
      </c>
      <c r="D207" s="30">
        <v>1996</v>
      </c>
      <c r="E207" s="138" t="s">
        <v>64</v>
      </c>
      <c r="F207" s="30">
        <v>1436.3720000000001</v>
      </c>
      <c r="G207" s="30">
        <v>80.3</v>
      </c>
      <c r="H207" s="58">
        <v>0</v>
      </c>
      <c r="I207" s="58">
        <v>4.8445872918995599E+18</v>
      </c>
    </row>
    <row r="208" spans="3:9">
      <c r="C208" s="29" t="b">
        <v>0</v>
      </c>
      <c r="D208" s="30">
        <v>1996</v>
      </c>
      <c r="E208" s="138" t="s">
        <v>69</v>
      </c>
      <c r="F208" s="30">
        <v>4158.9279999999999</v>
      </c>
      <c r="G208" s="30">
        <v>76.099999999999994</v>
      </c>
      <c r="H208" s="58">
        <v>0</v>
      </c>
      <c r="I208" s="58">
        <v>1.6986336055239299E+19</v>
      </c>
    </row>
    <row r="209" spans="3:9">
      <c r="C209" s="29" t="b">
        <v>0</v>
      </c>
      <c r="D209" s="30">
        <v>1997</v>
      </c>
      <c r="E209" s="138" t="s">
        <v>70</v>
      </c>
      <c r="F209" s="30">
        <v>2091.9969999999998</v>
      </c>
      <c r="G209" s="30">
        <v>78.3</v>
      </c>
      <c r="H209" s="58">
        <v>0</v>
      </c>
      <c r="I209" s="58">
        <v>1.1885344925493701E+18</v>
      </c>
    </row>
    <row r="210" spans="3:9">
      <c r="C210" s="29" t="b">
        <v>0</v>
      </c>
      <c r="D210" s="30">
        <v>1997</v>
      </c>
      <c r="E210" s="138" t="s">
        <v>66</v>
      </c>
      <c r="F210" s="30">
        <v>2496.201</v>
      </c>
      <c r="G210" s="30">
        <v>77.3</v>
      </c>
      <c r="H210" s="58">
        <v>0</v>
      </c>
      <c r="I210" s="58">
        <v>1.2707436134525901E+19</v>
      </c>
    </row>
    <row r="211" spans="3:9">
      <c r="C211" s="29" t="b">
        <v>0</v>
      </c>
      <c r="D211" s="30">
        <v>1997</v>
      </c>
      <c r="E211" s="138" t="s">
        <v>67</v>
      </c>
      <c r="F211" s="30">
        <v>2236.5949999999998</v>
      </c>
      <c r="G211" s="30">
        <v>78.599999999999994</v>
      </c>
      <c r="H211" s="58">
        <v>0</v>
      </c>
      <c r="I211" s="58">
        <v>1.4599099106353E+19</v>
      </c>
    </row>
    <row r="212" spans="3:9">
      <c r="C212" s="29" t="b">
        <v>0</v>
      </c>
      <c r="D212" s="30">
        <v>1997</v>
      </c>
      <c r="E212" s="138" t="s">
        <v>68</v>
      </c>
      <c r="F212" s="30">
        <v>1507.3520000000001</v>
      </c>
      <c r="G212" s="30">
        <v>77.2</v>
      </c>
      <c r="H212" s="58">
        <v>0</v>
      </c>
      <c r="I212" s="58">
        <v>7.21825283600465E+18</v>
      </c>
    </row>
    <row r="213" spans="3:9">
      <c r="C213" s="29" t="b">
        <v>0</v>
      </c>
      <c r="D213" s="30">
        <v>1997</v>
      </c>
      <c r="E213" s="138" t="s">
        <v>64</v>
      </c>
      <c r="F213" s="30">
        <v>1529.586</v>
      </c>
      <c r="G213" s="30">
        <v>80.5</v>
      </c>
      <c r="H213" s="58">
        <v>0</v>
      </c>
      <c r="I213" s="58">
        <v>8.8842052459346104E+18</v>
      </c>
    </row>
    <row r="214" spans="3:9">
      <c r="C214" s="29" t="b">
        <v>0</v>
      </c>
      <c r="D214" s="30">
        <v>1997</v>
      </c>
      <c r="E214" s="138" t="s">
        <v>69</v>
      </c>
      <c r="F214" s="30">
        <v>3894.2820000000002</v>
      </c>
      <c r="G214" s="30">
        <v>76.5</v>
      </c>
      <c r="H214" s="58">
        <v>0</v>
      </c>
      <c r="I214" s="58">
        <v>9.519904523062399E+18</v>
      </c>
    </row>
    <row r="215" spans="3:9">
      <c r="C215" s="29" t="b">
        <v>0</v>
      </c>
      <c r="D215" s="30">
        <v>1998</v>
      </c>
      <c r="E215" s="138" t="s">
        <v>70</v>
      </c>
      <c r="F215" s="30">
        <v>2200.4679999999998</v>
      </c>
      <c r="G215" s="30">
        <v>78.599999999999994</v>
      </c>
      <c r="H215" s="58">
        <v>0</v>
      </c>
      <c r="I215" s="58">
        <v>1.5888811263377601E+19</v>
      </c>
    </row>
    <row r="216" spans="3:9">
      <c r="C216" s="29" t="b">
        <v>0</v>
      </c>
      <c r="D216" s="30">
        <v>1998</v>
      </c>
      <c r="E216" s="138" t="s">
        <v>66</v>
      </c>
      <c r="F216" s="30">
        <v>2566.0030000000002</v>
      </c>
      <c r="G216" s="30">
        <v>77.7</v>
      </c>
      <c r="H216" s="58">
        <v>0</v>
      </c>
      <c r="I216" s="58">
        <v>8.3160834716034099E+18</v>
      </c>
    </row>
    <row r="217" spans="3:9">
      <c r="C217" s="29" t="b">
        <v>0</v>
      </c>
      <c r="D217" s="30">
        <v>1998</v>
      </c>
      <c r="E217" s="138" t="s">
        <v>67</v>
      </c>
      <c r="F217" s="30">
        <v>2321.931</v>
      </c>
      <c r="G217" s="30">
        <v>78.8</v>
      </c>
      <c r="H217" s="58">
        <v>0</v>
      </c>
      <c r="I217" s="58">
        <v>1.6499435983413201E+19</v>
      </c>
    </row>
    <row r="218" spans="3:9">
      <c r="C218" s="29" t="b">
        <v>0</v>
      </c>
      <c r="D218" s="30">
        <v>1998</v>
      </c>
      <c r="E218" s="138" t="s">
        <v>68</v>
      </c>
      <c r="F218" s="30">
        <v>1572.097</v>
      </c>
      <c r="G218" s="30">
        <v>77.3</v>
      </c>
      <c r="H218" s="58">
        <v>0</v>
      </c>
      <c r="I218" s="58">
        <v>6.0434590087760599E+18</v>
      </c>
    </row>
    <row r="219" spans="3:9">
      <c r="C219" s="29" t="b">
        <v>0</v>
      </c>
      <c r="D219" s="30">
        <v>1998</v>
      </c>
      <c r="E219" s="138" t="s">
        <v>64</v>
      </c>
      <c r="F219" s="30">
        <v>1571.107</v>
      </c>
      <c r="G219" s="30">
        <v>80.599999999999994</v>
      </c>
      <c r="H219" s="58">
        <v>0</v>
      </c>
      <c r="I219" s="58">
        <v>9.6225750458428908E+18</v>
      </c>
    </row>
    <row r="220" spans="3:9">
      <c r="C220" s="29" t="b">
        <v>0</v>
      </c>
      <c r="D220" s="30">
        <v>1998</v>
      </c>
      <c r="E220" s="138" t="s">
        <v>69</v>
      </c>
      <c r="F220" s="30">
        <v>4061.5360000000001</v>
      </c>
      <c r="G220" s="30">
        <v>76.7</v>
      </c>
      <c r="H220" s="58">
        <v>0</v>
      </c>
      <c r="I220" s="58">
        <v>9.7339379511535206E+18</v>
      </c>
    </row>
    <row r="221" spans="3:9">
      <c r="C221" s="29" t="b">
        <v>0</v>
      </c>
      <c r="D221" s="30">
        <v>1999</v>
      </c>
      <c r="E221" s="138" t="s">
        <v>70</v>
      </c>
      <c r="F221" s="30">
        <v>2278.2539999999999</v>
      </c>
      <c r="G221" s="30">
        <v>78.8</v>
      </c>
      <c r="H221" s="58">
        <v>0</v>
      </c>
      <c r="I221" s="58">
        <v>1.0601816864988201E+19</v>
      </c>
    </row>
    <row r="222" spans="3:9">
      <c r="C222" s="29" t="b">
        <v>0</v>
      </c>
      <c r="D222" s="30">
        <v>1999</v>
      </c>
      <c r="E222" s="138" t="s">
        <v>66</v>
      </c>
      <c r="F222" s="30">
        <v>2697.8780000000002</v>
      </c>
      <c r="G222" s="30">
        <v>77.900000000000006</v>
      </c>
      <c r="H222" s="58">
        <v>0</v>
      </c>
      <c r="I222" s="58">
        <v>1.00034131760588E+19</v>
      </c>
    </row>
    <row r="223" spans="3:9">
      <c r="C223" s="29" t="b">
        <v>0</v>
      </c>
      <c r="D223" s="30">
        <v>1999</v>
      </c>
      <c r="E223" s="138" t="s">
        <v>67</v>
      </c>
      <c r="F223" s="30">
        <v>2431.3029999999999</v>
      </c>
      <c r="G223" s="30">
        <v>78.900000000000006</v>
      </c>
      <c r="H223" s="58">
        <v>0</v>
      </c>
      <c r="I223" s="58">
        <v>1.49006979788864E+19</v>
      </c>
    </row>
    <row r="224" spans="3:9">
      <c r="C224" s="29" t="b">
        <v>0</v>
      </c>
      <c r="D224" s="30">
        <v>1999</v>
      </c>
      <c r="E224" s="138" t="s">
        <v>68</v>
      </c>
      <c r="F224" s="30">
        <v>1683.905</v>
      </c>
      <c r="G224" s="30">
        <v>77.5</v>
      </c>
      <c r="H224" s="58">
        <v>0</v>
      </c>
      <c r="I224" s="58">
        <v>7.8935067140269496E+18</v>
      </c>
    </row>
    <row r="225" spans="3:9">
      <c r="C225" s="29" t="b">
        <v>0</v>
      </c>
      <c r="D225" s="30">
        <v>1999</v>
      </c>
      <c r="E225" s="138" t="s">
        <v>64</v>
      </c>
      <c r="F225" s="30">
        <v>1667.922</v>
      </c>
      <c r="G225" s="30">
        <v>80.5</v>
      </c>
      <c r="H225" s="58">
        <v>0</v>
      </c>
      <c r="I225" s="58">
        <v>1.28652040624431E+19</v>
      </c>
    </row>
    <row r="226" spans="3:9">
      <c r="C226" s="29" t="b">
        <v>0</v>
      </c>
      <c r="D226" s="30">
        <v>1999</v>
      </c>
      <c r="E226" s="138" t="s">
        <v>69</v>
      </c>
      <c r="F226" s="30">
        <v>4261.9960000000001</v>
      </c>
      <c r="G226" s="30">
        <v>76.7</v>
      </c>
      <c r="H226" s="58">
        <v>0</v>
      </c>
      <c r="I226" s="58">
        <v>4.00111525683407E+18</v>
      </c>
    </row>
    <row r="227" spans="3:9">
      <c r="C227" s="29" t="b">
        <v>0</v>
      </c>
      <c r="D227" s="30">
        <v>2000</v>
      </c>
      <c r="E227" s="138" t="s">
        <v>70</v>
      </c>
      <c r="F227" s="30">
        <v>2450.5929999999998</v>
      </c>
      <c r="G227" s="30">
        <v>79.099999999999994</v>
      </c>
      <c r="H227" s="58">
        <v>0</v>
      </c>
      <c r="I227" s="58">
        <v>8.7534203720711199E+18</v>
      </c>
    </row>
    <row r="228" spans="3:9">
      <c r="C228" s="29" t="b">
        <v>0</v>
      </c>
      <c r="D228" s="30">
        <v>2000</v>
      </c>
      <c r="E228" s="138" t="s">
        <v>66</v>
      </c>
      <c r="F228" s="30">
        <v>2895.5329999999999</v>
      </c>
      <c r="G228" s="30">
        <v>78.2</v>
      </c>
      <c r="H228" s="58">
        <v>0</v>
      </c>
      <c r="I228" s="58">
        <v>1.5709058558235501E+19</v>
      </c>
    </row>
    <row r="229" spans="3:9">
      <c r="C229" s="29" t="b">
        <v>0</v>
      </c>
      <c r="D229" s="30">
        <v>2000</v>
      </c>
      <c r="E229" s="138" t="s">
        <v>67</v>
      </c>
      <c r="F229" s="30">
        <v>2687.53</v>
      </c>
      <c r="G229" s="30">
        <v>79.2</v>
      </c>
      <c r="H229" s="58">
        <v>0</v>
      </c>
      <c r="I229" s="58">
        <v>2.9193792215787203E+18</v>
      </c>
    </row>
    <row r="230" spans="3:9">
      <c r="C230" s="29" t="b">
        <v>0</v>
      </c>
      <c r="D230" s="30">
        <v>2000</v>
      </c>
      <c r="E230" s="138" t="s">
        <v>68</v>
      </c>
      <c r="F230" s="30">
        <v>1897.202</v>
      </c>
      <c r="G230" s="30">
        <v>77.900000000000006</v>
      </c>
      <c r="H230" s="58">
        <v>0</v>
      </c>
      <c r="I230" s="58">
        <v>1.64838075135807E+19</v>
      </c>
    </row>
    <row r="231" spans="3:9">
      <c r="C231" s="29" t="b">
        <v>0</v>
      </c>
      <c r="D231" s="30">
        <v>2000</v>
      </c>
      <c r="E231" s="138" t="s">
        <v>64</v>
      </c>
      <c r="F231" s="30">
        <v>1847.7860000000001</v>
      </c>
      <c r="G231" s="30">
        <v>81.2</v>
      </c>
      <c r="H231" s="58">
        <v>0</v>
      </c>
      <c r="I231" s="58">
        <v>5.08434088687859E+18</v>
      </c>
    </row>
    <row r="232" spans="3:9">
      <c r="C232" s="29" t="b">
        <v>0</v>
      </c>
      <c r="D232" s="30">
        <v>2000</v>
      </c>
      <c r="E232" s="138" t="s">
        <v>69</v>
      </c>
      <c r="F232" s="30">
        <v>4536.5609999999997</v>
      </c>
      <c r="G232" s="30">
        <v>76.7</v>
      </c>
      <c r="H232" s="58">
        <v>0</v>
      </c>
      <c r="I232" s="58">
        <v>1.7445108679614501E+19</v>
      </c>
    </row>
    <row r="233" spans="3:9">
      <c r="C233" s="29" t="b">
        <v>0</v>
      </c>
      <c r="D233" s="30">
        <v>2001</v>
      </c>
      <c r="E233" s="138" t="s">
        <v>70</v>
      </c>
      <c r="F233" s="30">
        <v>2624.2930000000001</v>
      </c>
      <c r="G233" s="30">
        <v>79.3</v>
      </c>
      <c r="H233" s="58">
        <v>0</v>
      </c>
      <c r="I233" s="58">
        <v>6.1124855665077197E+18</v>
      </c>
    </row>
    <row r="234" spans="3:9">
      <c r="C234" s="29" t="b">
        <v>0</v>
      </c>
      <c r="D234" s="30">
        <v>2001</v>
      </c>
      <c r="E234" s="138" t="s">
        <v>66</v>
      </c>
      <c r="F234" s="30">
        <v>3009.3679999999999</v>
      </c>
      <c r="G234" s="30">
        <v>78.5</v>
      </c>
      <c r="H234" s="58">
        <v>0</v>
      </c>
      <c r="I234" s="58">
        <v>2.1567352186949701E+18</v>
      </c>
    </row>
    <row r="235" spans="3:9">
      <c r="C235" s="29" t="b">
        <v>0</v>
      </c>
      <c r="D235" s="30">
        <v>2001</v>
      </c>
      <c r="E235" s="138" t="s">
        <v>67</v>
      </c>
      <c r="F235" s="30">
        <v>2875.2939999999999</v>
      </c>
      <c r="G235" s="30">
        <v>79.3</v>
      </c>
      <c r="H235" s="58">
        <v>0</v>
      </c>
      <c r="I235" s="58">
        <v>1.5053749772028899E+19</v>
      </c>
    </row>
    <row r="236" spans="3:9">
      <c r="C236" s="29" t="b">
        <v>0</v>
      </c>
      <c r="D236" s="30">
        <v>2001</v>
      </c>
      <c r="E236" s="138" t="s">
        <v>68</v>
      </c>
      <c r="F236" s="30">
        <v>2067.1669999999999</v>
      </c>
      <c r="G236" s="30">
        <v>78.2</v>
      </c>
      <c r="H236" s="58">
        <v>0</v>
      </c>
      <c r="I236" s="58">
        <v>1.8143086114294301E+19</v>
      </c>
    </row>
    <row r="237" spans="3:9">
      <c r="C237" s="29" t="b">
        <v>0</v>
      </c>
      <c r="D237" s="30">
        <v>2001</v>
      </c>
      <c r="E237" s="138" t="s">
        <v>64</v>
      </c>
      <c r="F237" s="30">
        <v>1945.556</v>
      </c>
      <c r="G237" s="30">
        <v>81.5</v>
      </c>
      <c r="H237" s="58">
        <v>0</v>
      </c>
      <c r="I237" s="58">
        <v>5.0008796688541604E+18</v>
      </c>
    </row>
    <row r="238" spans="3:9">
      <c r="C238" s="29" t="b">
        <v>0</v>
      </c>
      <c r="D238" s="30">
        <v>2001</v>
      </c>
      <c r="E238" s="138" t="s">
        <v>69</v>
      </c>
      <c r="F238" s="30">
        <v>4888.518</v>
      </c>
      <c r="G238" s="30">
        <v>76.900000000000006</v>
      </c>
      <c r="H238" s="58">
        <v>0</v>
      </c>
      <c r="I238" s="58">
        <v>1.00983367014942E+19</v>
      </c>
    </row>
    <row r="239" spans="3:9">
      <c r="C239" s="29" t="b">
        <v>0</v>
      </c>
      <c r="D239" s="30">
        <v>2002</v>
      </c>
      <c r="E239" s="138" t="s">
        <v>70</v>
      </c>
      <c r="F239" s="30">
        <v>2758.0650000000001</v>
      </c>
      <c r="G239" s="30">
        <v>79.5</v>
      </c>
      <c r="H239" s="58">
        <v>0</v>
      </c>
      <c r="I239" s="58">
        <v>2.7350191011653499E+18</v>
      </c>
    </row>
    <row r="240" spans="3:9">
      <c r="C240" s="29" t="b">
        <v>0</v>
      </c>
      <c r="D240" s="30">
        <v>2002</v>
      </c>
      <c r="E240" s="138" t="s">
        <v>66</v>
      </c>
      <c r="F240" s="30">
        <v>3239.77</v>
      </c>
      <c r="G240" s="30">
        <v>78.5</v>
      </c>
      <c r="H240" s="58">
        <v>0</v>
      </c>
      <c r="I240" s="58">
        <v>1.3099679644589E+18</v>
      </c>
    </row>
    <row r="241" spans="3:9">
      <c r="C241" s="29" t="b">
        <v>0</v>
      </c>
      <c r="D241" s="30">
        <v>2002</v>
      </c>
      <c r="E241" s="138" t="s">
        <v>67</v>
      </c>
      <c r="F241" s="30">
        <v>3152.0160000000001</v>
      </c>
      <c r="G241" s="30">
        <v>79.400000000000006</v>
      </c>
      <c r="H241" s="58">
        <v>0</v>
      </c>
      <c r="I241" s="58">
        <v>3.5528304833541202E+18</v>
      </c>
    </row>
    <row r="242" spans="3:9">
      <c r="C242" s="29" t="b">
        <v>0</v>
      </c>
      <c r="D242" s="30">
        <v>2002</v>
      </c>
      <c r="E242" s="138" t="s">
        <v>68</v>
      </c>
      <c r="F242" s="30">
        <v>2287.4760000000001</v>
      </c>
      <c r="G242" s="30">
        <v>78.3</v>
      </c>
      <c r="H242" s="58">
        <v>0</v>
      </c>
      <c r="I242" s="58">
        <v>6.7952743166640404E+18</v>
      </c>
    </row>
    <row r="243" spans="3:9">
      <c r="C243" s="29" t="b">
        <v>0</v>
      </c>
      <c r="D243" s="30">
        <v>2002</v>
      </c>
      <c r="E243" s="138" t="s">
        <v>64</v>
      </c>
      <c r="F243" s="30">
        <v>2065.1329999999998</v>
      </c>
      <c r="G243" s="30">
        <v>81.8</v>
      </c>
      <c r="H243" s="58">
        <v>0</v>
      </c>
      <c r="I243" s="58">
        <v>3.8418938656999199E+18</v>
      </c>
    </row>
    <row r="244" spans="3:9">
      <c r="C244" s="29" t="b">
        <v>0</v>
      </c>
      <c r="D244" s="30">
        <v>2002</v>
      </c>
      <c r="E244" s="138" t="s">
        <v>69</v>
      </c>
      <c r="F244" s="30">
        <v>5316.5219999999999</v>
      </c>
      <c r="G244" s="30">
        <v>77</v>
      </c>
      <c r="H244" s="58">
        <v>0</v>
      </c>
      <c r="I244" s="58">
        <v>1.55732839423645E+19</v>
      </c>
    </row>
    <row r="245" spans="3:9">
      <c r="C245" s="29" t="b">
        <v>0</v>
      </c>
      <c r="D245" s="30">
        <v>2003</v>
      </c>
      <c r="E245" s="138" t="s">
        <v>70</v>
      </c>
      <c r="F245" s="30">
        <v>2914.2060000000001</v>
      </c>
      <c r="G245" s="30">
        <v>79.599999999999994</v>
      </c>
      <c r="H245" s="58">
        <v>0</v>
      </c>
      <c r="I245" s="58">
        <v>7.38612669803985E+18</v>
      </c>
    </row>
    <row r="246" spans="3:9">
      <c r="C246" s="29" t="b">
        <v>0</v>
      </c>
      <c r="D246" s="30">
        <v>2003</v>
      </c>
      <c r="E246" s="138" t="s">
        <v>66</v>
      </c>
      <c r="F246" s="30">
        <v>3329.3739999999998</v>
      </c>
      <c r="G246" s="30">
        <v>78.599999999999994</v>
      </c>
      <c r="H246" s="58">
        <v>0</v>
      </c>
      <c r="I246" s="58">
        <v>7.2353114029761597E+18</v>
      </c>
    </row>
    <row r="247" spans="3:9">
      <c r="C247" s="29" t="b">
        <v>0</v>
      </c>
      <c r="D247" s="30">
        <v>2003</v>
      </c>
      <c r="E247" s="138" t="s">
        <v>67</v>
      </c>
      <c r="F247" s="30">
        <v>3056.2649999999999</v>
      </c>
      <c r="G247" s="30">
        <v>79.3</v>
      </c>
      <c r="H247" s="58">
        <v>0</v>
      </c>
      <c r="I247" s="58">
        <v>1.29483381214463E+19</v>
      </c>
    </row>
    <row r="248" spans="3:9">
      <c r="C248" s="29" t="b">
        <v>0</v>
      </c>
      <c r="D248" s="30">
        <v>2003</v>
      </c>
      <c r="E248" s="138" t="s">
        <v>68</v>
      </c>
      <c r="F248" s="30">
        <v>2469.1590000000001</v>
      </c>
      <c r="G248" s="30">
        <v>78.400000000000006</v>
      </c>
      <c r="H248" s="58">
        <v>0</v>
      </c>
      <c r="I248" s="58">
        <v>1.7491408827551101E+19</v>
      </c>
    </row>
    <row r="249" spans="3:9">
      <c r="C249" s="29" t="b">
        <v>0</v>
      </c>
      <c r="D249" s="30">
        <v>2003</v>
      </c>
      <c r="E249" s="138" t="s">
        <v>64</v>
      </c>
      <c r="F249" s="30">
        <v>2194.4369999999999</v>
      </c>
      <c r="G249" s="30">
        <v>81.8</v>
      </c>
      <c r="H249" s="58">
        <v>0</v>
      </c>
      <c r="I249" s="58">
        <v>1.4373778076464001E+19</v>
      </c>
    </row>
    <row r="250" spans="3:9">
      <c r="C250" s="29" t="b">
        <v>0</v>
      </c>
      <c r="D250" s="30">
        <v>2003</v>
      </c>
      <c r="E250" s="138" t="s">
        <v>69</v>
      </c>
      <c r="F250" s="30">
        <v>5726.5379999999996</v>
      </c>
      <c r="G250" s="30">
        <v>77.099999999999994</v>
      </c>
      <c r="H250" s="58">
        <v>0</v>
      </c>
      <c r="I250" s="58">
        <v>6.32734223606272E+18</v>
      </c>
    </row>
    <row r="251" spans="3:9">
      <c r="C251" s="29" t="b">
        <v>0</v>
      </c>
      <c r="D251" s="30">
        <v>2004</v>
      </c>
      <c r="E251" s="138" t="s">
        <v>70</v>
      </c>
      <c r="F251" s="30">
        <v>3122.3960000000002</v>
      </c>
      <c r="G251" s="30">
        <v>79.900000000000006</v>
      </c>
      <c r="H251" s="58">
        <v>0</v>
      </c>
      <c r="I251" s="58">
        <v>1.54179734780893E+19</v>
      </c>
    </row>
    <row r="252" spans="3:9">
      <c r="C252" s="29" t="b">
        <v>0</v>
      </c>
      <c r="D252" s="30">
        <v>2004</v>
      </c>
      <c r="E252" s="138" t="s">
        <v>66</v>
      </c>
      <c r="F252" s="30">
        <v>3391.5210000000002</v>
      </c>
      <c r="G252" s="30">
        <v>79.2</v>
      </c>
      <c r="H252" s="58">
        <v>0</v>
      </c>
      <c r="I252" s="58">
        <v>4.0622424246352701E+18</v>
      </c>
    </row>
    <row r="253" spans="3:9">
      <c r="C253" s="29" t="b">
        <v>0</v>
      </c>
      <c r="D253" s="30">
        <v>2004</v>
      </c>
      <c r="E253" s="138" t="s">
        <v>67</v>
      </c>
      <c r="F253" s="30">
        <v>3170.9470000000001</v>
      </c>
      <c r="G253" s="30">
        <v>80.3</v>
      </c>
      <c r="H253" s="58">
        <v>0</v>
      </c>
      <c r="I253" s="58">
        <v>1.4427285747473601E+19</v>
      </c>
    </row>
    <row r="254" spans="3:9">
      <c r="C254" s="29" t="b">
        <v>0</v>
      </c>
      <c r="D254" s="30">
        <v>2004</v>
      </c>
      <c r="E254" s="138" t="s">
        <v>68</v>
      </c>
      <c r="F254" s="30">
        <v>2724.8690000000001</v>
      </c>
      <c r="G254" s="30">
        <v>79</v>
      </c>
      <c r="H254" s="58">
        <v>0</v>
      </c>
      <c r="I254" s="58">
        <v>1.3118890782614499E+19</v>
      </c>
    </row>
    <row r="255" spans="3:9">
      <c r="C255" s="29" t="b">
        <v>0</v>
      </c>
      <c r="D255" s="30">
        <v>2004</v>
      </c>
      <c r="E255" s="138" t="s">
        <v>64</v>
      </c>
      <c r="F255" s="30">
        <v>2303.6799999999998</v>
      </c>
      <c r="G255" s="30">
        <v>82.1</v>
      </c>
      <c r="H255" s="58">
        <v>0</v>
      </c>
      <c r="I255" s="58">
        <v>1.7440009441888299E+19</v>
      </c>
    </row>
    <row r="256" spans="3:9">
      <c r="C256" s="29" t="b">
        <v>0</v>
      </c>
      <c r="D256" s="30">
        <v>2004</v>
      </c>
      <c r="E256" s="138" t="s">
        <v>69</v>
      </c>
      <c r="F256" s="30">
        <v>6069.53</v>
      </c>
      <c r="G256" s="30">
        <v>77.599999999999994</v>
      </c>
      <c r="H256" s="58">
        <v>0</v>
      </c>
      <c r="I256" s="58">
        <v>1.6988815198148301E+19</v>
      </c>
    </row>
    <row r="257" spans="3:9">
      <c r="C257" s="29" t="b">
        <v>0</v>
      </c>
      <c r="D257" s="30">
        <v>2005</v>
      </c>
      <c r="E257" s="138" t="s">
        <v>70</v>
      </c>
      <c r="F257" s="30">
        <v>3291.9119999999998</v>
      </c>
      <c r="G257" s="30">
        <v>80</v>
      </c>
      <c r="H257" s="58">
        <v>0</v>
      </c>
      <c r="I257" s="58">
        <v>1.67944544849914E+19</v>
      </c>
    </row>
    <row r="258" spans="3:9">
      <c r="C258" s="29" t="b">
        <v>0</v>
      </c>
      <c r="D258" s="30">
        <v>2005</v>
      </c>
      <c r="E258" s="138" t="s">
        <v>66</v>
      </c>
      <c r="F258" s="30">
        <v>3429.9549999999999</v>
      </c>
      <c r="G258" s="30">
        <v>79.400000000000006</v>
      </c>
      <c r="H258" s="58">
        <v>0</v>
      </c>
      <c r="I258" s="58">
        <v>1.50100868240722E+19</v>
      </c>
    </row>
    <row r="259" spans="3:9">
      <c r="C259" s="29" t="b">
        <v>0</v>
      </c>
      <c r="D259" s="30">
        <v>2005</v>
      </c>
      <c r="E259" s="138" t="s">
        <v>67</v>
      </c>
      <c r="F259" s="30">
        <v>3264.5740000000001</v>
      </c>
      <c r="G259" s="30">
        <v>80.400000000000006</v>
      </c>
      <c r="H259" s="58">
        <v>0</v>
      </c>
      <c r="I259" s="58">
        <v>7.4012079282599803E+18</v>
      </c>
    </row>
    <row r="260" spans="3:9">
      <c r="C260" s="29" t="b">
        <v>0</v>
      </c>
      <c r="D260" s="30">
        <v>2005</v>
      </c>
      <c r="E260" s="138" t="s">
        <v>68</v>
      </c>
      <c r="F260" s="30">
        <v>2731.4450000000002</v>
      </c>
      <c r="G260" s="30">
        <v>79.2</v>
      </c>
      <c r="H260" s="58">
        <v>0</v>
      </c>
      <c r="I260" s="58">
        <v>6.0017566105974804E+18</v>
      </c>
    </row>
    <row r="261" spans="3:9">
      <c r="C261" s="29" t="b">
        <v>0</v>
      </c>
      <c r="D261" s="30">
        <v>2005</v>
      </c>
      <c r="E261" s="138" t="s">
        <v>64</v>
      </c>
      <c r="F261" s="30">
        <v>2471.1860000000001</v>
      </c>
      <c r="G261" s="30">
        <v>82</v>
      </c>
      <c r="H261" s="58">
        <v>0</v>
      </c>
      <c r="I261" s="58">
        <v>1.79269340307044E+19</v>
      </c>
    </row>
    <row r="262" spans="3:9">
      <c r="C262" s="29" t="b">
        <v>0</v>
      </c>
      <c r="D262" s="30">
        <v>2005</v>
      </c>
      <c r="E262" s="138" t="s">
        <v>69</v>
      </c>
      <c r="F262" s="30">
        <v>6430.7569999999996</v>
      </c>
      <c r="G262" s="30">
        <v>77.599999999999994</v>
      </c>
      <c r="H262" s="58">
        <v>0</v>
      </c>
      <c r="I262" s="58">
        <v>4.1366631444922899E+17</v>
      </c>
    </row>
    <row r="263" spans="3:9">
      <c r="C263" s="29" t="b">
        <v>0</v>
      </c>
      <c r="D263" s="30">
        <v>2006</v>
      </c>
      <c r="E263" s="138" t="s">
        <v>70</v>
      </c>
      <c r="F263" s="30">
        <v>3486.6210000000001</v>
      </c>
      <c r="G263" s="30">
        <v>80.400000000000006</v>
      </c>
      <c r="H263" s="58">
        <v>0</v>
      </c>
      <c r="I263" s="58">
        <v>1.8232867727535401E+19</v>
      </c>
    </row>
    <row r="264" spans="3:9">
      <c r="C264" s="29" t="b">
        <v>0</v>
      </c>
      <c r="D264" s="30">
        <v>2006</v>
      </c>
      <c r="E264" s="138" t="s">
        <v>66</v>
      </c>
      <c r="F264" s="30">
        <v>3567.0610000000001</v>
      </c>
      <c r="G264" s="30">
        <v>79.8</v>
      </c>
      <c r="H264" s="58">
        <v>0</v>
      </c>
      <c r="I264" s="58">
        <v>1.61760378522514E+19</v>
      </c>
    </row>
    <row r="265" spans="3:9">
      <c r="C265" s="29" t="b">
        <v>0</v>
      </c>
      <c r="D265" s="30">
        <v>2006</v>
      </c>
      <c r="E265" s="138" t="s">
        <v>67</v>
      </c>
      <c r="F265" s="30">
        <v>3444.855</v>
      </c>
      <c r="G265" s="30">
        <v>81</v>
      </c>
      <c r="H265" s="58">
        <v>0</v>
      </c>
      <c r="I265" s="58">
        <v>1.7773549966359699E+19</v>
      </c>
    </row>
    <row r="266" spans="3:9">
      <c r="C266" s="29" t="b">
        <v>0</v>
      </c>
      <c r="D266" s="30">
        <v>2006</v>
      </c>
      <c r="E266" s="138" t="s">
        <v>68</v>
      </c>
      <c r="F266" s="30">
        <v>2952.3290000000002</v>
      </c>
      <c r="G266" s="30">
        <v>79.5</v>
      </c>
      <c r="H266" s="58">
        <v>0</v>
      </c>
      <c r="I266" s="58">
        <v>1.5708352100170299E+19</v>
      </c>
    </row>
    <row r="267" spans="3:9">
      <c r="C267" s="29" t="b">
        <v>0</v>
      </c>
      <c r="D267" s="30">
        <v>2006</v>
      </c>
      <c r="E267" s="138" t="s">
        <v>64</v>
      </c>
      <c r="F267" s="30">
        <v>2561.2190000000001</v>
      </c>
      <c r="G267" s="30">
        <v>82.4</v>
      </c>
      <c r="H267" s="58">
        <v>0</v>
      </c>
      <c r="I267" s="58">
        <v>3.3868880293312998E+18</v>
      </c>
    </row>
    <row r="268" spans="3:9">
      <c r="C268" s="29" t="b">
        <v>0</v>
      </c>
      <c r="D268" s="30">
        <v>2006</v>
      </c>
      <c r="E268" s="138" t="s">
        <v>69</v>
      </c>
      <c r="F268" s="30">
        <v>6808.0540000000001</v>
      </c>
      <c r="G268" s="30">
        <v>77.8</v>
      </c>
      <c r="H268" s="58">
        <v>0</v>
      </c>
      <c r="I268" s="58">
        <v>1.2842482995424899E+19</v>
      </c>
    </row>
    <row r="269" spans="3:9">
      <c r="C269" s="29" t="b">
        <v>0</v>
      </c>
      <c r="D269" s="30">
        <v>2007</v>
      </c>
      <c r="E269" s="138" t="s">
        <v>70</v>
      </c>
      <c r="F269" s="30">
        <v>3709.6149999999998</v>
      </c>
      <c r="G269" s="30">
        <v>80.5</v>
      </c>
      <c r="H269" s="58">
        <v>0</v>
      </c>
      <c r="I269" s="58">
        <v>5375690359146170</v>
      </c>
    </row>
    <row r="270" spans="3:9">
      <c r="C270" s="29" t="b">
        <v>0</v>
      </c>
      <c r="D270" s="30">
        <v>2007</v>
      </c>
      <c r="E270" s="138" t="s">
        <v>66</v>
      </c>
      <c r="F270" s="30">
        <v>3750.7869999999998</v>
      </c>
      <c r="G270" s="30">
        <v>80.099999999999994</v>
      </c>
      <c r="H270" s="58">
        <v>0</v>
      </c>
      <c r="I270" s="58">
        <v>4.79442504770402E+18</v>
      </c>
    </row>
    <row r="271" spans="3:9">
      <c r="C271" s="29" t="b">
        <v>0</v>
      </c>
      <c r="D271" s="30">
        <v>2007</v>
      </c>
      <c r="E271" s="138" t="s">
        <v>67</v>
      </c>
      <c r="F271" s="30">
        <v>3588.2269999999999</v>
      </c>
      <c r="G271" s="30">
        <v>81.2</v>
      </c>
      <c r="H271" s="58">
        <v>0</v>
      </c>
      <c r="I271" s="58">
        <v>4.09230938286413E+18</v>
      </c>
    </row>
    <row r="272" spans="3:9">
      <c r="C272" s="29" t="b">
        <v>0</v>
      </c>
      <c r="D272" s="30">
        <v>2007</v>
      </c>
      <c r="E272" s="138" t="s">
        <v>68</v>
      </c>
      <c r="F272" s="30">
        <v>3021.6709999999998</v>
      </c>
      <c r="G272" s="30">
        <v>79.7</v>
      </c>
      <c r="H272" s="58">
        <v>0</v>
      </c>
      <c r="I272" s="58">
        <v>1.01815576840913E+19</v>
      </c>
    </row>
    <row r="273" spans="3:9">
      <c r="C273" s="29" t="b">
        <v>0</v>
      </c>
      <c r="D273" s="30">
        <v>2007</v>
      </c>
      <c r="E273" s="138" t="s">
        <v>64</v>
      </c>
      <c r="F273" s="30">
        <v>2689.9160000000002</v>
      </c>
      <c r="G273" s="30">
        <v>82.6</v>
      </c>
      <c r="H273" s="58">
        <v>0</v>
      </c>
      <c r="I273" s="58">
        <v>9.407735099584E+18</v>
      </c>
    </row>
    <row r="274" spans="3:9">
      <c r="C274" s="29" t="b">
        <v>0</v>
      </c>
      <c r="D274" s="30">
        <v>2007</v>
      </c>
      <c r="E274" s="138" t="s">
        <v>69</v>
      </c>
      <c r="F274" s="30">
        <v>7166.5129999999999</v>
      </c>
      <c r="G274" s="30">
        <v>78.099999999999994</v>
      </c>
      <c r="H274" s="58">
        <v>0</v>
      </c>
      <c r="I274" s="58">
        <v>1.57374344371507E+19</v>
      </c>
    </row>
    <row r="275" spans="3:9">
      <c r="C275" s="29" t="b">
        <v>0</v>
      </c>
      <c r="D275" s="30">
        <v>2008</v>
      </c>
      <c r="E275" s="138" t="s">
        <v>70</v>
      </c>
      <c r="F275" s="30">
        <v>3849.5439999999999</v>
      </c>
      <c r="G275" s="30">
        <v>80.7</v>
      </c>
      <c r="H275" s="58">
        <v>0</v>
      </c>
      <c r="I275" s="58">
        <v>3.9404997359655798E+18</v>
      </c>
    </row>
    <row r="276" spans="3:9">
      <c r="C276" s="29" t="b">
        <v>0</v>
      </c>
      <c r="D276" s="30">
        <v>2008</v>
      </c>
      <c r="E276" s="138" t="s">
        <v>66</v>
      </c>
      <c r="F276" s="30">
        <v>3955.136</v>
      </c>
      <c r="G276" s="30">
        <v>80.2</v>
      </c>
      <c r="H276" s="58">
        <v>0</v>
      </c>
      <c r="I276" s="58">
        <v>1.4535712286980801E+19</v>
      </c>
    </row>
    <row r="277" spans="3:9">
      <c r="C277" s="29" t="b">
        <v>0</v>
      </c>
      <c r="D277" s="30">
        <v>2008</v>
      </c>
      <c r="E277" s="138" t="s">
        <v>67</v>
      </c>
      <c r="F277" s="30">
        <v>3729.3530000000001</v>
      </c>
      <c r="G277" s="30">
        <v>81.400000000000006</v>
      </c>
      <c r="H277" s="58">
        <v>0</v>
      </c>
      <c r="I277" s="58">
        <v>2.7614385303353298E+18</v>
      </c>
    </row>
    <row r="278" spans="3:9">
      <c r="C278" s="29" t="b">
        <v>0</v>
      </c>
      <c r="D278" s="30">
        <v>2008</v>
      </c>
      <c r="E278" s="138" t="s">
        <v>68</v>
      </c>
      <c r="F278" s="30">
        <v>3207.8530000000001</v>
      </c>
      <c r="G278" s="30">
        <v>79.8</v>
      </c>
      <c r="H278" s="58">
        <v>0</v>
      </c>
      <c r="I278" s="58">
        <v>9.0659587833443205E+18</v>
      </c>
    </row>
    <row r="279" spans="3:9">
      <c r="C279" s="29" t="b">
        <v>0</v>
      </c>
      <c r="D279" s="30">
        <v>2008</v>
      </c>
      <c r="E279" s="138" t="s">
        <v>64</v>
      </c>
      <c r="F279" s="30">
        <v>2799.1979999999999</v>
      </c>
      <c r="G279" s="30">
        <v>82.7</v>
      </c>
      <c r="H279" s="58">
        <v>0</v>
      </c>
      <c r="I279" s="58">
        <v>1.62326476342669E+19</v>
      </c>
    </row>
    <row r="280" spans="3:9">
      <c r="C280" s="29" t="b">
        <v>0</v>
      </c>
      <c r="D280" s="30">
        <v>2008</v>
      </c>
      <c r="E280" s="138" t="s">
        <v>69</v>
      </c>
      <c r="F280" s="30">
        <v>7385.0259999999998</v>
      </c>
      <c r="G280" s="30">
        <v>78.099999999999994</v>
      </c>
      <c r="H280" s="58">
        <v>0</v>
      </c>
      <c r="I280" s="58">
        <v>2.8199101294863201E+18</v>
      </c>
    </row>
    <row r="281" spans="3:9">
      <c r="C281" s="29" t="b">
        <v>0</v>
      </c>
      <c r="D281" s="30">
        <v>2009</v>
      </c>
      <c r="E281" s="138" t="s">
        <v>70</v>
      </c>
      <c r="F281" s="30">
        <v>3945.873</v>
      </c>
      <c r="G281" s="30">
        <v>80.900000000000006</v>
      </c>
      <c r="H281" s="58">
        <v>0</v>
      </c>
      <c r="I281" s="58">
        <v>6.7663915854063104E+18</v>
      </c>
    </row>
    <row r="282" spans="3:9">
      <c r="C282" s="29" t="b">
        <v>0</v>
      </c>
      <c r="D282" s="30">
        <v>2009</v>
      </c>
      <c r="E282" s="138" t="s">
        <v>66</v>
      </c>
      <c r="F282" s="30">
        <v>4158.2659999999996</v>
      </c>
      <c r="G282" s="30">
        <v>80.3</v>
      </c>
      <c r="H282" s="58">
        <v>0</v>
      </c>
      <c r="I282" s="58">
        <v>2.8707824583982198E+18</v>
      </c>
    </row>
    <row r="283" spans="3:9">
      <c r="C283" s="29" t="b">
        <v>0</v>
      </c>
      <c r="D283" s="30">
        <v>2009</v>
      </c>
      <c r="E283" s="138" t="s">
        <v>67</v>
      </c>
      <c r="F283" s="30">
        <v>3880.8420000000001</v>
      </c>
      <c r="G283" s="30">
        <v>81.5</v>
      </c>
      <c r="H283" s="58">
        <v>0</v>
      </c>
      <c r="I283" s="58">
        <v>1.7981990473714301E+19</v>
      </c>
    </row>
    <row r="284" spans="3:9">
      <c r="C284" s="29" t="b">
        <v>0</v>
      </c>
      <c r="D284" s="30">
        <v>2009</v>
      </c>
      <c r="E284" s="138" t="s">
        <v>68</v>
      </c>
      <c r="F284" s="30">
        <v>3334.5059999999999</v>
      </c>
      <c r="G284" s="30">
        <v>80.400000000000006</v>
      </c>
      <c r="H284" s="58">
        <v>0</v>
      </c>
      <c r="I284" s="58">
        <v>1.5824025496076301E+18</v>
      </c>
    </row>
    <row r="285" spans="3:9">
      <c r="C285" s="29" t="b">
        <v>0</v>
      </c>
      <c r="D285" s="30">
        <v>2009</v>
      </c>
      <c r="E285" s="138" t="s">
        <v>64</v>
      </c>
      <c r="F285" s="30">
        <v>2971.377</v>
      </c>
      <c r="G285" s="30">
        <v>83</v>
      </c>
      <c r="H285" s="58">
        <v>0</v>
      </c>
      <c r="I285" s="58">
        <v>1.27908277558337E+19</v>
      </c>
    </row>
    <row r="286" spans="3:9">
      <c r="C286" s="29" t="b">
        <v>0</v>
      </c>
      <c r="D286" s="30">
        <v>2009</v>
      </c>
      <c r="E286" s="138" t="s">
        <v>69</v>
      </c>
      <c r="F286" s="30">
        <v>7645.0020000000004</v>
      </c>
      <c r="G286" s="30">
        <v>78.5</v>
      </c>
      <c r="H286" s="58">
        <v>0</v>
      </c>
      <c r="I286" s="58">
        <v>5.4562650629324503E+18</v>
      </c>
    </row>
    <row r="287" spans="3:9">
      <c r="C287" s="29" t="b">
        <v>0</v>
      </c>
      <c r="D287" s="30">
        <v>2010</v>
      </c>
      <c r="E287" s="138" t="s">
        <v>70</v>
      </c>
      <c r="F287" s="30">
        <v>4155.5290000000005</v>
      </c>
      <c r="G287" s="30">
        <v>81.2</v>
      </c>
      <c r="H287" s="58">
        <v>0</v>
      </c>
      <c r="I287" s="58">
        <v>3.75475453740128E+18</v>
      </c>
    </row>
    <row r="288" spans="3:9">
      <c r="C288" s="29" t="b">
        <v>0</v>
      </c>
      <c r="D288" s="30">
        <v>2010</v>
      </c>
      <c r="E288" s="138" t="s">
        <v>66</v>
      </c>
      <c r="F288" s="30">
        <v>4423.07</v>
      </c>
      <c r="G288" s="30">
        <v>80.5</v>
      </c>
      <c r="H288" s="58">
        <v>0</v>
      </c>
      <c r="I288" s="58">
        <v>1.11519711293672E+18</v>
      </c>
    </row>
    <row r="289" spans="3:9">
      <c r="C289" s="29" t="b">
        <v>0</v>
      </c>
      <c r="D289" s="30">
        <v>2010</v>
      </c>
      <c r="E289" s="138" t="s">
        <v>67</v>
      </c>
      <c r="F289" s="30">
        <v>4045.0650000000001</v>
      </c>
      <c r="G289" s="30">
        <v>81.8</v>
      </c>
      <c r="H289" s="58">
        <v>0</v>
      </c>
      <c r="I289" s="58">
        <v>8.4522305602059704E+18</v>
      </c>
    </row>
    <row r="290" spans="3:9">
      <c r="C290" s="29" t="b">
        <v>0</v>
      </c>
      <c r="D290" s="30">
        <v>2010</v>
      </c>
      <c r="E290" s="138" t="s">
        <v>68</v>
      </c>
      <c r="F290" s="30">
        <v>3441.71</v>
      </c>
      <c r="G290" s="30">
        <v>80.599999999999994</v>
      </c>
      <c r="H290" s="58">
        <v>0</v>
      </c>
      <c r="I290" s="58">
        <v>1.37369559396835E+19</v>
      </c>
    </row>
    <row r="291" spans="3:9">
      <c r="C291" s="29" t="b">
        <v>0</v>
      </c>
      <c r="D291" s="30">
        <v>2010</v>
      </c>
      <c r="E291" s="138" t="s">
        <v>64</v>
      </c>
      <c r="F291" s="30">
        <v>3169.19</v>
      </c>
      <c r="G291" s="30">
        <v>82.9</v>
      </c>
      <c r="H291" s="58">
        <v>0</v>
      </c>
      <c r="I291" s="58">
        <v>4.6944922733616302E+18</v>
      </c>
    </row>
    <row r="292" spans="3:9">
      <c r="C292" s="29" t="b">
        <v>0</v>
      </c>
      <c r="D292" s="30">
        <v>2010</v>
      </c>
      <c r="E292" s="138" t="s">
        <v>69</v>
      </c>
      <c r="F292" s="30">
        <v>7879.2529999999997</v>
      </c>
      <c r="G292" s="30">
        <v>78.599999999999994</v>
      </c>
      <c r="H292" s="58">
        <v>0</v>
      </c>
      <c r="I292" s="58">
        <v>4.8043131658453504E+18</v>
      </c>
    </row>
    <row r="293" spans="3:9">
      <c r="C293" s="29" t="b">
        <v>0</v>
      </c>
      <c r="D293" s="30">
        <v>2011</v>
      </c>
      <c r="E293" s="138" t="s">
        <v>70</v>
      </c>
      <c r="F293" s="30">
        <v>4228.9620000000004</v>
      </c>
      <c r="G293" s="30">
        <v>81.400000000000006</v>
      </c>
      <c r="H293" s="58">
        <v>0</v>
      </c>
      <c r="I293" s="58">
        <v>4.6073896029037599E+18</v>
      </c>
    </row>
    <row r="294" spans="3:9">
      <c r="C294" s="29" t="b">
        <v>0</v>
      </c>
      <c r="D294" s="30">
        <v>2011</v>
      </c>
      <c r="E294" s="138" t="s">
        <v>66</v>
      </c>
      <c r="F294" s="30">
        <v>4566.6779999999999</v>
      </c>
      <c r="G294" s="30">
        <v>80.5</v>
      </c>
      <c r="H294" s="58">
        <v>0</v>
      </c>
      <c r="I294" s="58">
        <v>9.7171484488651699E+17</v>
      </c>
    </row>
    <row r="295" spans="3:9">
      <c r="C295" s="29" t="b">
        <v>0</v>
      </c>
      <c r="D295" s="30">
        <v>2011</v>
      </c>
      <c r="E295" s="138" t="s">
        <v>67</v>
      </c>
      <c r="F295" s="30">
        <v>4161.6980000000003</v>
      </c>
      <c r="G295" s="30">
        <v>82.3</v>
      </c>
      <c r="H295" s="58">
        <v>0</v>
      </c>
      <c r="I295" s="58">
        <v>4.2470978840460298E+18</v>
      </c>
    </row>
    <row r="296" spans="3:9">
      <c r="C296" s="29" t="b">
        <v>0</v>
      </c>
      <c r="D296" s="30">
        <v>2011</v>
      </c>
      <c r="E296" s="138" t="s">
        <v>68</v>
      </c>
      <c r="F296" s="30">
        <v>3495.652</v>
      </c>
      <c r="G296" s="30">
        <v>81</v>
      </c>
      <c r="H296" s="58">
        <v>0</v>
      </c>
      <c r="I296" s="58">
        <v>8.3115759489979003E+18</v>
      </c>
    </row>
    <row r="297" spans="3:9">
      <c r="C297" s="29" t="b">
        <v>0</v>
      </c>
      <c r="D297" s="30">
        <v>2011</v>
      </c>
      <c r="E297" s="138" t="s">
        <v>64</v>
      </c>
      <c r="F297" s="30">
        <v>3740.7559999999999</v>
      </c>
      <c r="G297" s="30">
        <v>82.7</v>
      </c>
      <c r="H297" s="58">
        <v>0</v>
      </c>
      <c r="I297" s="58">
        <v>1.6575407677458999E+19</v>
      </c>
    </row>
    <row r="298" spans="3:9">
      <c r="C298" s="29" t="b">
        <v>0</v>
      </c>
      <c r="D298" s="30">
        <v>2011</v>
      </c>
      <c r="E298" s="138" t="s">
        <v>69</v>
      </c>
      <c r="F298" s="30">
        <v>8079.4669999999996</v>
      </c>
      <c r="G298" s="30">
        <v>78.7</v>
      </c>
      <c r="H298" s="58">
        <v>0</v>
      </c>
      <c r="I298" s="58">
        <v>7.0759027375199201E+18</v>
      </c>
    </row>
    <row r="299" spans="3:9">
      <c r="C299" s="29" t="b">
        <v>0</v>
      </c>
      <c r="D299" s="30">
        <v>2012</v>
      </c>
      <c r="E299" s="138" t="s">
        <v>70</v>
      </c>
      <c r="F299" s="30">
        <v>4336.2489999999998</v>
      </c>
      <c r="G299" s="30">
        <v>81.599999999999994</v>
      </c>
      <c r="H299" s="58">
        <v>0</v>
      </c>
      <c r="I299" s="58">
        <v>1.64125713704819E+19</v>
      </c>
    </row>
    <row r="300" spans="3:9">
      <c r="C300" s="29" t="b">
        <v>0</v>
      </c>
      <c r="D300" s="30">
        <v>2012</v>
      </c>
      <c r="E300" s="138" t="s">
        <v>66</v>
      </c>
      <c r="F300" s="30">
        <v>4745.5460000000003</v>
      </c>
      <c r="G300" s="30">
        <v>80.599999999999994</v>
      </c>
      <c r="H300" s="58">
        <v>0</v>
      </c>
      <c r="I300" s="58">
        <v>7.3087864298175304E+18</v>
      </c>
    </row>
    <row r="301" spans="3:9">
      <c r="C301" s="29" t="b">
        <v>0</v>
      </c>
      <c r="D301" s="30">
        <v>2012</v>
      </c>
      <c r="E301" s="138" t="s">
        <v>67</v>
      </c>
      <c r="F301" s="30">
        <v>4299.4340000000002</v>
      </c>
      <c r="G301" s="30">
        <v>82.1</v>
      </c>
      <c r="H301" s="58">
        <v>0</v>
      </c>
      <c r="I301" s="58">
        <v>3.4903681677142001E+18</v>
      </c>
    </row>
    <row r="302" spans="3:9">
      <c r="C302" s="29" t="b">
        <v>0</v>
      </c>
      <c r="D302" s="30">
        <v>2012</v>
      </c>
      <c r="E302" s="138" t="s">
        <v>68</v>
      </c>
      <c r="F302" s="30">
        <v>3614.1309999999999</v>
      </c>
      <c r="G302" s="30">
        <v>81</v>
      </c>
      <c r="H302" s="58">
        <v>0</v>
      </c>
      <c r="I302" s="58">
        <v>4.9433642537256397E+18</v>
      </c>
    </row>
    <row r="303" spans="3:9">
      <c r="C303" s="29" t="b">
        <v>0</v>
      </c>
      <c r="D303" s="30">
        <v>2012</v>
      </c>
      <c r="E303" s="138" t="s">
        <v>64</v>
      </c>
      <c r="F303" s="30">
        <v>3970.7649999999999</v>
      </c>
      <c r="G303" s="30">
        <v>83.2</v>
      </c>
      <c r="H303" s="58">
        <v>0</v>
      </c>
      <c r="I303" s="58">
        <v>1.2822566331883801E+19</v>
      </c>
    </row>
    <row r="304" spans="3:9">
      <c r="C304" s="29" t="b">
        <v>0</v>
      </c>
      <c r="D304" s="30">
        <v>2012</v>
      </c>
      <c r="E304" s="138" t="s">
        <v>69</v>
      </c>
      <c r="F304" s="30">
        <v>8346.0640000000003</v>
      </c>
      <c r="G304" s="30">
        <v>78.8</v>
      </c>
      <c r="H304" s="58">
        <v>0</v>
      </c>
      <c r="I304" s="58">
        <v>7.7973967109629696E+18</v>
      </c>
    </row>
    <row r="305" spans="3:9">
      <c r="C305" s="29" t="b">
        <v>0</v>
      </c>
      <c r="D305" s="30">
        <v>2013</v>
      </c>
      <c r="E305" s="138" t="s">
        <v>70</v>
      </c>
      <c r="F305" s="30">
        <v>4428.7529999999997</v>
      </c>
      <c r="G305" s="30">
        <v>81.7</v>
      </c>
      <c r="H305" s="58">
        <v>0</v>
      </c>
      <c r="I305" s="58">
        <v>1.4269609518646399E+19</v>
      </c>
    </row>
    <row r="306" spans="3:9">
      <c r="C306" s="29" t="b">
        <v>0</v>
      </c>
      <c r="D306" s="30">
        <v>2013</v>
      </c>
      <c r="E306" s="138" t="s">
        <v>66</v>
      </c>
      <c r="F306" s="30">
        <v>4951.6769999999997</v>
      </c>
      <c r="G306" s="30">
        <v>80.599999999999994</v>
      </c>
      <c r="H306" s="58">
        <v>0</v>
      </c>
      <c r="I306" s="58">
        <v>4.1849019401566602E+18</v>
      </c>
    </row>
    <row r="307" spans="3:9">
      <c r="C307" s="29" t="b">
        <v>0</v>
      </c>
      <c r="D307" s="30">
        <v>2013</v>
      </c>
      <c r="E307" s="138" t="s">
        <v>67</v>
      </c>
      <c r="F307" s="30">
        <v>4544.9639999999999</v>
      </c>
      <c r="G307" s="30">
        <v>82.3</v>
      </c>
      <c r="H307" s="58">
        <v>0</v>
      </c>
      <c r="I307" s="58">
        <v>1.22677609804556E+19</v>
      </c>
    </row>
    <row r="308" spans="3:9">
      <c r="C308" s="29" t="b">
        <v>0</v>
      </c>
      <c r="D308" s="30">
        <v>2013</v>
      </c>
      <c r="E308" s="138" t="s">
        <v>68</v>
      </c>
      <c r="F308" s="30">
        <v>3667.636</v>
      </c>
      <c r="G308" s="30">
        <v>81.099999999999994</v>
      </c>
      <c r="H308" s="58">
        <v>0</v>
      </c>
      <c r="I308" s="58">
        <v>1.18215949403158E+19</v>
      </c>
    </row>
    <row r="309" spans="3:9">
      <c r="C309" s="29" t="b">
        <v>0</v>
      </c>
      <c r="D309" s="30">
        <v>2013</v>
      </c>
      <c r="E309" s="138" t="s">
        <v>64</v>
      </c>
      <c r="F309" s="30">
        <v>4308.2520000000004</v>
      </c>
      <c r="G309" s="30">
        <v>83.4</v>
      </c>
      <c r="H309" s="58">
        <v>0</v>
      </c>
      <c r="I309" s="58">
        <v>2.54625895346227E+18</v>
      </c>
    </row>
    <row r="310" spans="3:9">
      <c r="C310" s="29" t="b">
        <v>0</v>
      </c>
      <c r="D310" s="30">
        <v>2013</v>
      </c>
      <c r="E310" s="138" t="s">
        <v>69</v>
      </c>
      <c r="F310" s="30">
        <v>8519.6200000000008</v>
      </c>
      <c r="G310" s="30">
        <v>78.8</v>
      </c>
      <c r="H310" s="58">
        <v>0</v>
      </c>
      <c r="I310" s="58">
        <v>1.7427041570533401E+19</v>
      </c>
    </row>
    <row r="311" spans="3:9">
      <c r="C311" s="29" t="b">
        <v>0</v>
      </c>
      <c r="D311" s="30">
        <v>2014</v>
      </c>
      <c r="E311" s="138" t="s">
        <v>70</v>
      </c>
      <c r="F311" s="30">
        <v>4536.8100000000004</v>
      </c>
      <c r="G311" s="30">
        <v>81.8</v>
      </c>
      <c r="H311" s="58">
        <v>0</v>
      </c>
      <c r="I311" s="58">
        <v>1.4851025112697801E+19</v>
      </c>
    </row>
    <row r="312" spans="3:9">
      <c r="C312" s="29" t="b">
        <v>0</v>
      </c>
      <c r="D312" s="30">
        <v>2014</v>
      </c>
      <c r="E312" s="138" t="s">
        <v>66</v>
      </c>
      <c r="F312" s="30">
        <v>5151.7089999999998</v>
      </c>
      <c r="G312" s="30">
        <v>81.2</v>
      </c>
      <c r="H312" s="58">
        <v>0</v>
      </c>
      <c r="I312" s="58">
        <v>3.9200158092605501E+18</v>
      </c>
    </row>
    <row r="313" spans="3:9">
      <c r="C313" s="29" t="b">
        <v>0</v>
      </c>
      <c r="D313" s="30">
        <v>2014</v>
      </c>
      <c r="E313" s="138" t="s">
        <v>67</v>
      </c>
      <c r="F313" s="30">
        <v>4626.6790000000001</v>
      </c>
      <c r="G313" s="30">
        <v>82.8</v>
      </c>
      <c r="H313" s="58">
        <v>0</v>
      </c>
      <c r="I313" s="58">
        <v>1.30482999630364E+19</v>
      </c>
    </row>
    <row r="314" spans="3:9">
      <c r="C314" s="29" t="b">
        <v>0</v>
      </c>
      <c r="D314" s="30">
        <v>2014</v>
      </c>
      <c r="E314" s="138" t="s">
        <v>68</v>
      </c>
      <c r="F314" s="30">
        <v>3758.9349999999999</v>
      </c>
      <c r="G314" s="30">
        <v>81.400000000000006</v>
      </c>
      <c r="H314" s="58">
        <v>0</v>
      </c>
      <c r="I314" s="58">
        <v>1.1830382027228E+19</v>
      </c>
    </row>
    <row r="315" spans="3:9">
      <c r="C315" s="29" t="b">
        <v>0</v>
      </c>
      <c r="D315" s="30">
        <v>2014</v>
      </c>
      <c r="E315" s="138" t="s">
        <v>64</v>
      </c>
      <c r="F315" s="30">
        <v>4328.3639999999996</v>
      </c>
      <c r="G315" s="30">
        <v>83.7</v>
      </c>
      <c r="H315" s="58">
        <v>0</v>
      </c>
      <c r="I315" s="58">
        <v>5.5405169511180998E+17</v>
      </c>
    </row>
    <row r="316" spans="3:9">
      <c r="C316" s="29" t="b">
        <v>0</v>
      </c>
      <c r="D316" s="30">
        <v>2014</v>
      </c>
      <c r="E316" s="138" t="s">
        <v>69</v>
      </c>
      <c r="F316" s="30">
        <v>8925.8790000000008</v>
      </c>
      <c r="G316" s="30">
        <v>78.900000000000006</v>
      </c>
      <c r="H316" s="58">
        <v>0</v>
      </c>
      <c r="I316" s="58">
        <v>6.6024122596706304E+18</v>
      </c>
    </row>
    <row r="317" spans="3:9">
      <c r="C317" s="29" t="b">
        <v>0</v>
      </c>
      <c r="D317" s="30">
        <v>2015</v>
      </c>
      <c r="E317" s="138" t="s">
        <v>70</v>
      </c>
      <c r="F317" s="30">
        <v>4635.2849999999999</v>
      </c>
      <c r="G317" s="30">
        <v>81.900000000000006</v>
      </c>
      <c r="H317" s="58">
        <v>0</v>
      </c>
      <c r="I317" s="58">
        <v>1.6243453700093999E+19</v>
      </c>
    </row>
    <row r="318" spans="3:9">
      <c r="C318" s="29" t="b">
        <v>0</v>
      </c>
      <c r="D318" s="30">
        <v>2015</v>
      </c>
      <c r="E318" s="138" t="s">
        <v>66</v>
      </c>
      <c r="F318" s="30">
        <v>5295.9750000000004</v>
      </c>
      <c r="G318" s="30">
        <v>80.7</v>
      </c>
      <c r="H318" s="58">
        <v>0</v>
      </c>
      <c r="I318" s="58">
        <v>3.7857821428100101E+18</v>
      </c>
    </row>
    <row r="319" spans="3:9">
      <c r="C319" s="29" t="b">
        <v>0</v>
      </c>
      <c r="D319" s="30">
        <v>2015</v>
      </c>
      <c r="E319" s="138" t="s">
        <v>67</v>
      </c>
      <c r="F319" s="30">
        <v>4667.1559999999999</v>
      </c>
      <c r="G319" s="30">
        <v>82.4</v>
      </c>
      <c r="H319" s="58">
        <v>0</v>
      </c>
      <c r="I319" s="58">
        <v>8.5748008239637105E+18</v>
      </c>
    </row>
    <row r="320" spans="3:9">
      <c r="C320" s="29" t="b">
        <v>0</v>
      </c>
      <c r="D320" s="30">
        <v>2015</v>
      </c>
      <c r="E320" s="138" t="s">
        <v>68</v>
      </c>
      <c r="F320" s="30">
        <v>3805.82</v>
      </c>
      <c r="G320" s="30">
        <v>81</v>
      </c>
      <c r="H320" s="58">
        <v>0</v>
      </c>
      <c r="I320" s="58">
        <v>7.2881866086721802E+18</v>
      </c>
    </row>
    <row r="321" spans="3:9">
      <c r="C321" s="29" t="b">
        <v>0</v>
      </c>
      <c r="D321" s="30">
        <v>2015</v>
      </c>
      <c r="E321" s="138" t="s">
        <v>64</v>
      </c>
      <c r="F321" s="30">
        <v>4515.5559999999996</v>
      </c>
      <c r="G321" s="30">
        <v>83.9</v>
      </c>
      <c r="H321" s="58">
        <v>0</v>
      </c>
      <c r="I321" s="58">
        <v>1.8296466682110598E+17</v>
      </c>
    </row>
    <row r="322" spans="3:9">
      <c r="C322" s="29" t="b">
        <v>0</v>
      </c>
      <c r="D322" s="30">
        <v>2015</v>
      </c>
      <c r="E322" s="138" t="s">
        <v>69</v>
      </c>
      <c r="F322" s="30">
        <v>9355.1180000000004</v>
      </c>
      <c r="G322" s="30">
        <v>78.7</v>
      </c>
      <c r="H322" s="58">
        <v>0</v>
      </c>
      <c r="I322" s="58">
        <v>1.5038269103757099E+19</v>
      </c>
    </row>
    <row r="323" spans="3:9">
      <c r="C323" s="29" t="b">
        <v>0</v>
      </c>
      <c r="D323" s="30">
        <v>2016</v>
      </c>
      <c r="E323" s="138" t="s">
        <v>70</v>
      </c>
      <c r="F323" s="30">
        <v>5044.2749999999996</v>
      </c>
      <c r="G323" s="30">
        <v>82</v>
      </c>
      <c r="H323" s="58">
        <v>0</v>
      </c>
      <c r="I323" s="58">
        <v>1.44110570566925E+19</v>
      </c>
    </row>
    <row r="324" spans="3:9">
      <c r="C324" s="29" t="b">
        <v>0</v>
      </c>
      <c r="D324" s="30">
        <v>2016</v>
      </c>
      <c r="E324" s="138" t="s">
        <v>66</v>
      </c>
      <c r="F324" s="30">
        <v>5669.0640000000003</v>
      </c>
      <c r="G324" s="30">
        <v>81</v>
      </c>
      <c r="H324" s="58">
        <v>0</v>
      </c>
      <c r="I324" s="58">
        <v>4.5946279716635402E+18</v>
      </c>
    </row>
    <row r="325" spans="3:9">
      <c r="C325" s="29" t="b">
        <v>0</v>
      </c>
      <c r="D325" s="30">
        <v>2016</v>
      </c>
      <c r="E325" s="138" t="s">
        <v>67</v>
      </c>
      <c r="F325" s="30">
        <v>4928.1279999999997</v>
      </c>
      <c r="G325" s="30">
        <v>82.7</v>
      </c>
      <c r="H325" s="58">
        <v>0</v>
      </c>
      <c r="I325" s="58">
        <v>1.50094294207658E+19</v>
      </c>
    </row>
    <row r="326" spans="3:9">
      <c r="C326" s="29" t="b">
        <v>0</v>
      </c>
      <c r="D326" s="30">
        <v>2016</v>
      </c>
      <c r="E326" s="138" t="s">
        <v>68</v>
      </c>
      <c r="F326" s="30">
        <v>3960.1410000000001</v>
      </c>
      <c r="G326" s="30">
        <v>81.2</v>
      </c>
      <c r="H326" s="58">
        <v>0</v>
      </c>
      <c r="I326" s="58">
        <v>9.0177904822861998E+18</v>
      </c>
    </row>
    <row r="327" spans="3:9">
      <c r="C327" s="29" t="b">
        <v>0</v>
      </c>
      <c r="D327" s="30">
        <v>2016</v>
      </c>
      <c r="E327" s="138" t="s">
        <v>64</v>
      </c>
      <c r="F327" s="30">
        <v>4295.8580000000002</v>
      </c>
      <c r="G327" s="30">
        <v>84.1</v>
      </c>
      <c r="H327" s="58">
        <v>0</v>
      </c>
      <c r="I327" s="58">
        <v>1.69695905208588E+19</v>
      </c>
    </row>
    <row r="328" spans="3:9">
      <c r="C328" s="29" t="b">
        <v>0</v>
      </c>
      <c r="D328" s="30">
        <v>2016</v>
      </c>
      <c r="E328" s="138" t="s">
        <v>69</v>
      </c>
      <c r="F328" s="30">
        <v>9717.6489999999994</v>
      </c>
      <c r="G328" s="30">
        <v>78.7</v>
      </c>
      <c r="H328" s="58">
        <v>0</v>
      </c>
      <c r="I328" s="58">
        <v>4.6710526388204998E+17</v>
      </c>
    </row>
    <row r="329" spans="3:9">
      <c r="C329" s="29" t="b">
        <v>0</v>
      </c>
      <c r="D329" s="30">
        <v>2017</v>
      </c>
      <c r="E329" s="138" t="s">
        <v>70</v>
      </c>
      <c r="F329" s="30">
        <v>5150.47</v>
      </c>
      <c r="G329" s="30">
        <v>81.900000000000006</v>
      </c>
      <c r="H329" s="58">
        <v>0</v>
      </c>
      <c r="I329" s="58">
        <v>1.54505917805795E+18</v>
      </c>
    </row>
    <row r="330" spans="3:9">
      <c r="C330" s="29" t="b">
        <v>0</v>
      </c>
      <c r="D330" s="30">
        <v>2017</v>
      </c>
      <c r="E330" s="138" t="s">
        <v>66</v>
      </c>
      <c r="F330" s="30">
        <v>5970.1629999999996</v>
      </c>
      <c r="G330" s="30">
        <v>81.099999999999994</v>
      </c>
      <c r="H330" s="58">
        <v>0</v>
      </c>
      <c r="I330" s="58">
        <v>1.0682599682313501E+19</v>
      </c>
    </row>
    <row r="331" spans="3:9">
      <c r="C331" s="29" t="b">
        <v>0</v>
      </c>
      <c r="D331" s="30">
        <v>2017</v>
      </c>
      <c r="E331" s="138" t="s">
        <v>67</v>
      </c>
      <c r="F331" s="30">
        <v>5005.7560000000003</v>
      </c>
      <c r="G331" s="30">
        <v>82.7</v>
      </c>
      <c r="H331" s="58">
        <v>0</v>
      </c>
      <c r="I331" s="58">
        <v>8.6405846131943301E+18</v>
      </c>
    </row>
    <row r="332" spans="3:9">
      <c r="C332" s="29" t="b">
        <v>0</v>
      </c>
      <c r="D332" s="30">
        <v>2017</v>
      </c>
      <c r="E332" s="138" t="s">
        <v>68</v>
      </c>
      <c r="F332" s="30">
        <v>4059.125</v>
      </c>
      <c r="G332" s="30">
        <v>81.3</v>
      </c>
      <c r="H332" s="58">
        <v>0</v>
      </c>
      <c r="I332" s="58">
        <v>2.08135492911405E+18</v>
      </c>
    </row>
    <row r="333" spans="3:9">
      <c r="C333" s="29" t="b">
        <v>0</v>
      </c>
      <c r="D333" s="30">
        <v>2017</v>
      </c>
      <c r="E333" s="138" t="s">
        <v>64</v>
      </c>
      <c r="F333" s="30">
        <v>4412.8519999999999</v>
      </c>
      <c r="G333" s="30">
        <v>84.2</v>
      </c>
      <c r="H333" s="58">
        <v>0</v>
      </c>
      <c r="I333" s="58">
        <v>1.59126966697547E+19</v>
      </c>
    </row>
    <row r="334" spans="3:9">
      <c r="C334" s="29" t="b">
        <v>0</v>
      </c>
      <c r="D334" s="30">
        <v>2017</v>
      </c>
      <c r="E334" s="138" t="s">
        <v>69</v>
      </c>
      <c r="F334" s="30">
        <v>10046.472</v>
      </c>
      <c r="G334" s="30">
        <v>78.599999999999994</v>
      </c>
      <c r="H334" s="58">
        <v>0</v>
      </c>
      <c r="I334" s="58">
        <v>6.0525485456700805E+18</v>
      </c>
    </row>
    <row r="335" spans="3:9">
      <c r="C335" s="29" t="b">
        <v>0</v>
      </c>
      <c r="D335" s="30">
        <v>2018</v>
      </c>
      <c r="E335" s="138" t="s">
        <v>70</v>
      </c>
      <c r="F335" s="30">
        <v>5308.3559999999998</v>
      </c>
      <c r="G335" s="30">
        <v>82</v>
      </c>
      <c r="H335" s="58">
        <v>0</v>
      </c>
      <c r="I335" s="58">
        <v>1.16436561022826E+19</v>
      </c>
    </row>
    <row r="336" spans="3:9">
      <c r="C336" s="29" t="b">
        <v>0</v>
      </c>
      <c r="D336" s="30">
        <v>2018</v>
      </c>
      <c r="E336" s="138" t="s">
        <v>66</v>
      </c>
      <c r="F336" s="30">
        <v>6281.84</v>
      </c>
      <c r="G336" s="30">
        <v>81</v>
      </c>
      <c r="H336" s="58">
        <v>0</v>
      </c>
      <c r="I336" s="58">
        <v>1.1815891645698099E+19</v>
      </c>
    </row>
    <row r="337" spans="3:9">
      <c r="C337" s="29" t="b">
        <v>0</v>
      </c>
      <c r="D337" s="30">
        <v>2018</v>
      </c>
      <c r="E337" s="138" t="s">
        <v>67</v>
      </c>
      <c r="F337" s="30">
        <v>5099.3059999999996</v>
      </c>
      <c r="G337" s="30">
        <v>82.8</v>
      </c>
      <c r="H337" s="58">
        <v>0</v>
      </c>
      <c r="I337" s="58">
        <v>1.77904041778269E+19</v>
      </c>
    </row>
    <row r="338" spans="3:9">
      <c r="C338" s="29" t="b">
        <v>0</v>
      </c>
      <c r="D338" s="30">
        <v>2018</v>
      </c>
      <c r="E338" s="138" t="s">
        <v>68</v>
      </c>
      <c r="F338" s="30">
        <v>4189.7079999999996</v>
      </c>
      <c r="G338" s="30">
        <v>81.3</v>
      </c>
      <c r="H338" s="58">
        <v>0</v>
      </c>
      <c r="I338" s="58">
        <v>5.30592010148032E+18</v>
      </c>
    </row>
    <row r="339" spans="3:9">
      <c r="C339" s="29" t="b">
        <v>0</v>
      </c>
      <c r="D339" s="30">
        <v>2018</v>
      </c>
      <c r="E339" s="138" t="s">
        <v>64</v>
      </c>
      <c r="F339" s="30">
        <v>4554.2759999999998</v>
      </c>
      <c r="G339" s="30">
        <v>84.3</v>
      </c>
      <c r="H339" s="58">
        <v>0</v>
      </c>
      <c r="I339" s="58">
        <v>1.26547018121982E+18</v>
      </c>
    </row>
    <row r="340" spans="3:9">
      <c r="C340" s="29" t="b">
        <v>0</v>
      </c>
      <c r="D340" s="30">
        <v>2018</v>
      </c>
      <c r="E340" s="138" t="s">
        <v>69</v>
      </c>
      <c r="F340" s="30">
        <v>10451.386</v>
      </c>
      <c r="G340" s="30">
        <v>78.7</v>
      </c>
      <c r="H340" s="58">
        <v>0</v>
      </c>
      <c r="I340" s="58">
        <v>1.2345863421930199E+19</v>
      </c>
    </row>
    <row r="341" spans="3:9">
      <c r="C341" s="29" t="b">
        <v>0</v>
      </c>
      <c r="D341" s="30">
        <v>2019</v>
      </c>
      <c r="E341" s="138" t="s">
        <v>70</v>
      </c>
      <c r="F341" s="30">
        <v>5189.7209999999995</v>
      </c>
      <c r="G341" s="30">
        <v>82.2</v>
      </c>
      <c r="H341" s="58">
        <v>0</v>
      </c>
      <c r="I341" s="58">
        <v>1.41477571540991E+19</v>
      </c>
    </row>
    <row r="342" spans="3:9">
      <c r="C342" s="29" t="b">
        <v>0</v>
      </c>
      <c r="D342" s="30">
        <v>2019</v>
      </c>
      <c r="E342" s="138" t="s">
        <v>66</v>
      </c>
      <c r="F342" s="30">
        <v>6407.9279999999999</v>
      </c>
      <c r="G342" s="30">
        <v>81.3</v>
      </c>
      <c r="H342" s="58">
        <v>0</v>
      </c>
      <c r="I342" s="58">
        <v>2.1724576001514399E+18</v>
      </c>
    </row>
    <row r="343" spans="3:9">
      <c r="C343" s="29" t="b">
        <v>0</v>
      </c>
      <c r="D343" s="30">
        <v>2019</v>
      </c>
      <c r="E343" s="138" t="s">
        <v>67</v>
      </c>
      <c r="F343" s="30">
        <v>5167.8389999999999</v>
      </c>
      <c r="G343" s="30">
        <v>82.9</v>
      </c>
      <c r="H343" s="58">
        <v>0</v>
      </c>
      <c r="I343" s="58">
        <v>7.4748099259181302E+18</v>
      </c>
    </row>
    <row r="344" spans="3:9">
      <c r="C344" s="29" t="b">
        <v>0</v>
      </c>
      <c r="D344" s="30">
        <v>2019</v>
      </c>
      <c r="E344" s="138" t="s">
        <v>68</v>
      </c>
      <c r="F344" s="30">
        <v>4385.4629999999997</v>
      </c>
      <c r="G344" s="30">
        <v>81.400000000000006</v>
      </c>
      <c r="H344" s="58">
        <v>0</v>
      </c>
      <c r="I344" s="58">
        <v>3.1457638880970998E+18</v>
      </c>
    </row>
    <row r="345" spans="3:9">
      <c r="C345" s="29" t="b">
        <v>0</v>
      </c>
      <c r="D345" s="30">
        <v>2019</v>
      </c>
      <c r="E345" s="138" t="s">
        <v>64</v>
      </c>
      <c r="F345" s="30">
        <v>4610.7939999999999</v>
      </c>
      <c r="G345" s="30">
        <v>84.4</v>
      </c>
      <c r="H345" s="58">
        <v>0</v>
      </c>
      <c r="I345" s="58">
        <v>1.05520962225182E+19</v>
      </c>
    </row>
    <row r="346" spans="3:9">
      <c r="C346" s="29" t="b">
        <v>0</v>
      </c>
      <c r="D346" s="30">
        <v>2019</v>
      </c>
      <c r="E346" s="138" t="s">
        <v>69</v>
      </c>
      <c r="F346" s="30">
        <v>10855.517</v>
      </c>
      <c r="G346" s="30">
        <v>78.8</v>
      </c>
      <c r="H346" s="58">
        <v>0</v>
      </c>
      <c r="I346" s="58">
        <v>1.23814890378421E+19</v>
      </c>
    </row>
    <row r="347" spans="3:9">
      <c r="C347" s="29" t="b">
        <v>0</v>
      </c>
      <c r="D347" s="30">
        <v>2020</v>
      </c>
      <c r="E347" s="138" t="s">
        <v>70</v>
      </c>
      <c r="F347" s="30">
        <v>5828.3239999999996</v>
      </c>
      <c r="G347" s="30">
        <v>81.7</v>
      </c>
      <c r="H347" s="58">
        <v>0</v>
      </c>
      <c r="I347" s="58">
        <v>1.68403681203503E+18</v>
      </c>
    </row>
    <row r="348" spans="3:9">
      <c r="C348" s="29" t="b">
        <v>0</v>
      </c>
      <c r="D348" s="30">
        <v>2020</v>
      </c>
      <c r="E348" s="138" t="s">
        <v>66</v>
      </c>
      <c r="F348" s="30">
        <v>6938.9830000000002</v>
      </c>
      <c r="G348" s="30">
        <v>81.099999999999994</v>
      </c>
      <c r="H348" s="58">
        <v>0</v>
      </c>
      <c r="I348" s="58">
        <v>3.26546325970127E+18</v>
      </c>
    </row>
    <row r="349" spans="3:9">
      <c r="C349" s="29" t="b">
        <v>0</v>
      </c>
      <c r="D349" s="30">
        <v>2020</v>
      </c>
      <c r="E349" s="138" t="s">
        <v>67</v>
      </c>
      <c r="F349" s="30">
        <v>5468.4179999999997</v>
      </c>
      <c r="G349" s="30">
        <v>82.3</v>
      </c>
      <c r="H349" s="58">
        <v>0</v>
      </c>
      <c r="I349" s="58">
        <v>9.7847207771484692E+18</v>
      </c>
    </row>
    <row r="350" spans="3:9">
      <c r="C350" s="29" t="b">
        <v>0</v>
      </c>
      <c r="D350" s="30">
        <v>2020</v>
      </c>
      <c r="E350" s="138" t="s">
        <v>68</v>
      </c>
      <c r="F350" s="30">
        <v>5018.7</v>
      </c>
      <c r="G350" s="30">
        <v>80.400000000000006</v>
      </c>
      <c r="H350" s="58">
        <v>0</v>
      </c>
      <c r="I350" s="58">
        <v>4.7069355598758605E+18</v>
      </c>
    </row>
    <row r="351" spans="3:9">
      <c r="C351" s="29" t="b">
        <v>0</v>
      </c>
      <c r="D351" s="30">
        <v>2020</v>
      </c>
      <c r="E351" s="138" t="s">
        <v>64</v>
      </c>
      <c r="F351" s="30">
        <v>4665.6409999999996</v>
      </c>
      <c r="G351" s="30">
        <v>84.7</v>
      </c>
      <c r="H351" s="58">
        <v>0</v>
      </c>
      <c r="I351" s="58">
        <v>1.32185081603095E+19</v>
      </c>
    </row>
    <row r="352" spans="3:9">
      <c r="C352" s="29" t="b">
        <v>0</v>
      </c>
      <c r="D352" s="30">
        <v>2020</v>
      </c>
      <c r="E352" s="138" t="s">
        <v>69</v>
      </c>
      <c r="F352" s="30">
        <v>11859.179</v>
      </c>
      <c r="G352" s="30">
        <v>77</v>
      </c>
      <c r="H352" s="58">
        <v>0</v>
      </c>
      <c r="I352" s="58">
        <v>8.0421164964533996E+18</v>
      </c>
    </row>
  </sheetData>
  <mergeCells count="1">
    <mergeCell ref="D15:E15"/>
  </mergeCells>
  <phoneticPr fontId="15" type="noConversion"/>
  <conditionalFormatting sqref="D22:F29 D35:F39 D45:F53">
    <cfRule type="cellIs" dxfId="172" priority="58" operator="equal">
      <formula>0</formula>
    </cfRule>
  </conditionalFormatting>
  <conditionalFormatting sqref="C79:C352">
    <cfRule type="cellIs" dxfId="171" priority="54" operator="equal">
      <formula>FALSE</formula>
    </cfRule>
    <cfRule type="cellIs" dxfId="170" priority="55" operator="notEqual">
      <formula>FALSE</formula>
    </cfRule>
  </conditionalFormatting>
  <conditionalFormatting sqref="D9:G9">
    <cfRule type="cellIs" dxfId="169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68" priority="29"/>
  </conditionalFormatting>
  <conditionalFormatting sqref="D7:G7">
    <cfRule type="cellIs" dxfId="167" priority="22" operator="notEqual">
      <formula>"Definition"</formula>
    </cfRule>
  </conditionalFormatting>
  <conditionalFormatting sqref="D15">
    <cfRule type="cellIs" dxfId="166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65" priority="52" operator="equal">
      <formula>FALSE</formula>
    </cfRule>
    <cfRule type="cellIs" dxfId="164" priority="53" operator="notEqual">
      <formula>FALSE</formula>
    </cfRule>
  </conditionalFormatting>
  <conditionalFormatting sqref="G22:G29 G35:G39 G45:G53">
    <cfRule type="cellIs" dxfId="146" priority="5" operator="equal">
      <formula>0</formula>
    </cfRule>
  </conditionalFormatting>
  <conditionalFormatting sqref="G23:G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G64">
    <cfRule type="cellIs" dxfId="145" priority="3" operator="equal">
      <formula>FALSE</formula>
    </cfRule>
    <cfRule type="cellIs" dxfId="144" priority="4" operator="notEqual">
      <formula>FALSE</formula>
    </cfRule>
  </conditionalFormatting>
  <conditionalFormatting sqref="H78: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60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2.21875" bestFit="1" customWidth="1"/>
    <col min="5" max="5" width="13.33203125" bestFit="1" customWidth="1"/>
    <col min="6" max="6" width="13.44140625" bestFit="1" customWidth="1"/>
    <col min="7" max="8" width="15.77734375" customWidth="1"/>
    <col min="9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9" t="str">
        <f>Name</f>
        <v>healthexp</v>
      </c>
      <c r="E2" s="110"/>
      <c r="G2" s="110"/>
      <c r="H2" s="110"/>
      <c r="I2" s="110"/>
      <c r="J2" s="110"/>
      <c r="K2" s="110"/>
      <c r="L2" s="110"/>
      <c r="M2" s="110"/>
      <c r="N2" s="110"/>
      <c r="O2" s="110"/>
      <c r="P2" s="111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</row>
    <row r="5" spans="2:17" ht="15" customHeight="1"/>
    <row r="6" spans="2:17" ht="15" customHeight="1"/>
    <row r="7" spans="2:17" ht="15" customHeight="1">
      <c r="C7" s="106"/>
    </row>
    <row r="8" spans="2:17" ht="36.6" customHeight="1">
      <c r="C8" s="141" t="s">
        <v>56</v>
      </c>
      <c r="D8" s="140" t="s">
        <v>57</v>
      </c>
      <c r="E8" s="140" t="s">
        <v>58</v>
      </c>
      <c r="F8" s="140" t="s">
        <v>59</v>
      </c>
      <c r="G8" s="107" t="s">
        <v>52</v>
      </c>
      <c r="H8" s="107" t="s">
        <v>53</v>
      </c>
    </row>
    <row r="9" spans="2:17" ht="15" customHeight="1">
      <c r="C9" s="139">
        <v>1970</v>
      </c>
      <c r="D9" s="99"/>
      <c r="E9" s="99"/>
      <c r="F9" s="99"/>
      <c r="G9" s="108">
        <v>0</v>
      </c>
      <c r="H9" s="142"/>
    </row>
    <row r="10" spans="2:17" ht="15" customHeight="1">
      <c r="C10" s="139">
        <v>1971</v>
      </c>
      <c r="D10" s="99"/>
      <c r="E10" s="99"/>
      <c r="F10" s="99"/>
      <c r="G10" s="108">
        <v>0</v>
      </c>
      <c r="H10" s="142"/>
    </row>
    <row r="11" spans="2:17" ht="15" customHeight="1">
      <c r="C11" s="139">
        <v>1972</v>
      </c>
      <c r="D11" s="99"/>
      <c r="E11" s="99"/>
      <c r="F11" s="99"/>
      <c r="G11" s="108">
        <v>0</v>
      </c>
      <c r="H11" s="142"/>
    </row>
    <row r="12" spans="2:17" ht="15" customHeight="1">
      <c r="C12" s="139">
        <v>1973</v>
      </c>
      <c r="D12" s="99"/>
      <c r="E12" s="99"/>
      <c r="F12" s="99"/>
      <c r="G12" s="108">
        <v>0</v>
      </c>
      <c r="H12" s="142"/>
    </row>
    <row r="13" spans="2:17" ht="15" customHeight="1">
      <c r="C13" s="139">
        <v>1974</v>
      </c>
      <c r="D13" s="99"/>
      <c r="E13" s="99"/>
      <c r="F13" s="99"/>
      <c r="G13" s="108">
        <v>0</v>
      </c>
      <c r="H13" s="142"/>
    </row>
    <row r="14" spans="2:17">
      <c r="C14" s="139">
        <v>1975</v>
      </c>
      <c r="D14" s="99"/>
      <c r="E14" s="99"/>
      <c r="F14" s="99"/>
      <c r="G14" s="108">
        <v>0</v>
      </c>
      <c r="H14" s="142"/>
    </row>
    <row r="15" spans="2:17">
      <c r="C15" s="139">
        <v>1976</v>
      </c>
      <c r="D15" s="99"/>
      <c r="E15" s="99"/>
      <c r="F15" s="99"/>
      <c r="G15" s="108">
        <v>0</v>
      </c>
      <c r="H15" s="142"/>
    </row>
    <row r="16" spans="2:17">
      <c r="C16" s="139">
        <v>1977</v>
      </c>
      <c r="D16" s="99"/>
      <c r="E16" s="99"/>
      <c r="F16" s="99"/>
      <c r="G16" s="108">
        <v>0</v>
      </c>
      <c r="H16" s="142"/>
    </row>
    <row r="17" spans="3:8">
      <c r="C17" s="139">
        <v>1978</v>
      </c>
      <c r="D17" s="99"/>
      <c r="E17" s="99"/>
      <c r="F17" s="99"/>
      <c r="G17" s="108">
        <v>0</v>
      </c>
      <c r="H17" s="142"/>
    </row>
    <row r="18" spans="3:8">
      <c r="C18" s="139">
        <v>1979</v>
      </c>
      <c r="D18" s="99"/>
      <c r="E18" s="99"/>
      <c r="F18" s="99"/>
      <c r="G18" s="108">
        <v>0</v>
      </c>
      <c r="H18" s="142"/>
    </row>
    <row r="19" spans="3:8">
      <c r="C19" s="139">
        <v>1980</v>
      </c>
      <c r="D19" s="99"/>
      <c r="E19" s="99"/>
      <c r="F19" s="99"/>
      <c r="G19" s="108">
        <v>0</v>
      </c>
      <c r="H19" s="142"/>
    </row>
    <row r="20" spans="3:8">
      <c r="C20" s="139">
        <v>1981</v>
      </c>
      <c r="D20" s="99"/>
      <c r="E20" s="99"/>
      <c r="F20" s="99"/>
      <c r="G20" s="108">
        <v>0</v>
      </c>
      <c r="H20" s="142"/>
    </row>
    <row r="21" spans="3:8">
      <c r="C21" s="139">
        <v>1982</v>
      </c>
      <c r="D21" s="99"/>
      <c r="E21" s="99"/>
      <c r="F21" s="99"/>
      <c r="G21" s="108">
        <v>0</v>
      </c>
      <c r="H21" s="142"/>
    </row>
    <row r="22" spans="3:8">
      <c r="C22" s="139">
        <v>1983</v>
      </c>
      <c r="D22" s="99"/>
      <c r="E22" s="99"/>
      <c r="F22" s="99"/>
      <c r="G22" s="108">
        <v>0</v>
      </c>
      <c r="H22" s="142"/>
    </row>
    <row r="23" spans="3:8">
      <c r="C23" s="139">
        <v>1984</v>
      </c>
      <c r="D23" s="99"/>
      <c r="E23" s="99"/>
      <c r="F23" s="99"/>
      <c r="G23" s="108">
        <v>0</v>
      </c>
      <c r="H23" s="142"/>
    </row>
    <row r="24" spans="3:8">
      <c r="C24" s="139">
        <v>1985</v>
      </c>
      <c r="D24" s="99"/>
      <c r="E24" s="99"/>
      <c r="F24" s="99"/>
      <c r="G24" s="108">
        <v>0</v>
      </c>
      <c r="H24" s="142"/>
    </row>
    <row r="25" spans="3:8">
      <c r="C25" s="139">
        <v>1986</v>
      </c>
      <c r="D25" s="99"/>
      <c r="E25" s="99"/>
      <c r="F25" s="99"/>
      <c r="G25" s="108">
        <v>0</v>
      </c>
      <c r="H25" s="142"/>
    </row>
    <row r="26" spans="3:8">
      <c r="C26" s="139">
        <v>1987</v>
      </c>
      <c r="D26" s="99"/>
      <c r="E26" s="99"/>
      <c r="F26" s="99"/>
      <c r="G26" s="108">
        <v>0</v>
      </c>
      <c r="H26" s="142"/>
    </row>
    <row r="27" spans="3:8">
      <c r="C27" s="139">
        <v>1988</v>
      </c>
      <c r="D27" s="99"/>
      <c r="E27" s="99"/>
      <c r="F27" s="99"/>
      <c r="G27" s="108">
        <v>0</v>
      </c>
      <c r="H27" s="142"/>
    </row>
    <row r="28" spans="3:8">
      <c r="C28" s="139">
        <v>1989</v>
      </c>
      <c r="D28" s="99"/>
      <c r="E28" s="99"/>
      <c r="F28" s="99"/>
      <c r="G28" s="108">
        <v>0</v>
      </c>
      <c r="H28" s="142"/>
    </row>
    <row r="29" spans="3:8">
      <c r="C29" s="139">
        <v>1990</v>
      </c>
      <c r="D29" s="99"/>
      <c r="E29" s="99"/>
      <c r="F29" s="99"/>
      <c r="G29" s="108">
        <v>0</v>
      </c>
      <c r="H29" s="142"/>
    </row>
    <row r="30" spans="3:8">
      <c r="C30" s="139">
        <v>1991</v>
      </c>
      <c r="D30" s="99"/>
      <c r="E30" s="99"/>
      <c r="F30" s="99"/>
      <c r="G30" s="108">
        <v>0</v>
      </c>
      <c r="H30" s="142"/>
    </row>
    <row r="31" spans="3:8">
      <c r="C31" s="139">
        <v>1992</v>
      </c>
      <c r="D31" s="99"/>
      <c r="E31" s="99"/>
      <c r="F31" s="99"/>
      <c r="G31" s="108">
        <v>0</v>
      </c>
      <c r="H31" s="142"/>
    </row>
    <row r="32" spans="3:8">
      <c r="C32" s="139">
        <v>1993</v>
      </c>
      <c r="D32" s="99"/>
      <c r="E32" s="99"/>
      <c r="F32" s="99"/>
      <c r="G32" s="108">
        <v>0</v>
      </c>
      <c r="H32" s="142"/>
    </row>
    <row r="33" spans="3:8">
      <c r="C33" s="139">
        <v>1994</v>
      </c>
      <c r="D33" s="99"/>
      <c r="E33" s="99"/>
      <c r="F33" s="99"/>
      <c r="G33" s="108">
        <v>0</v>
      </c>
      <c r="H33" s="142"/>
    </row>
    <row r="34" spans="3:8">
      <c r="C34" s="139">
        <v>1995</v>
      </c>
      <c r="D34" s="99"/>
      <c r="E34" s="99"/>
      <c r="F34" s="99"/>
      <c r="G34" s="108">
        <v>0</v>
      </c>
      <c r="H34" s="142"/>
    </row>
    <row r="35" spans="3:8">
      <c r="C35" s="139">
        <v>1996</v>
      </c>
      <c r="D35" s="99"/>
      <c r="E35" s="99"/>
      <c r="F35" s="99"/>
      <c r="G35" s="108">
        <v>0</v>
      </c>
      <c r="H35" s="142"/>
    </row>
    <row r="36" spans="3:8">
      <c r="C36" s="139">
        <v>1997</v>
      </c>
      <c r="D36" s="99"/>
      <c r="E36" s="99"/>
      <c r="F36" s="99"/>
      <c r="G36" s="108">
        <v>0</v>
      </c>
      <c r="H36" s="142"/>
    </row>
    <row r="37" spans="3:8">
      <c r="C37" s="139">
        <v>1998</v>
      </c>
      <c r="D37" s="99"/>
      <c r="E37" s="99"/>
      <c r="F37" s="99"/>
      <c r="G37" s="108">
        <v>0</v>
      </c>
      <c r="H37" s="142"/>
    </row>
    <row r="38" spans="3:8">
      <c r="C38" s="139">
        <v>1999</v>
      </c>
      <c r="D38" s="99"/>
      <c r="E38" s="99"/>
      <c r="F38" s="99"/>
      <c r="G38" s="108">
        <v>0</v>
      </c>
      <c r="H38" s="142"/>
    </row>
    <row r="39" spans="3:8">
      <c r="C39" s="139">
        <v>2000</v>
      </c>
      <c r="D39" s="99"/>
      <c r="E39" s="99"/>
      <c r="F39" s="99"/>
      <c r="G39" s="108">
        <v>0</v>
      </c>
      <c r="H39" s="142"/>
    </row>
    <row r="40" spans="3:8">
      <c r="C40" s="139">
        <v>2001</v>
      </c>
      <c r="D40" s="99"/>
      <c r="E40" s="99"/>
      <c r="F40" s="99"/>
      <c r="G40" s="108">
        <v>0</v>
      </c>
      <c r="H40" s="142"/>
    </row>
    <row r="41" spans="3:8">
      <c r="C41" s="139">
        <v>2002</v>
      </c>
      <c r="D41" s="99"/>
      <c r="E41" s="99"/>
      <c r="F41" s="99"/>
      <c r="G41" s="108">
        <v>0</v>
      </c>
      <c r="H41" s="142"/>
    </row>
    <row r="42" spans="3:8">
      <c r="C42" s="139">
        <v>2003</v>
      </c>
      <c r="D42" s="99"/>
      <c r="E42" s="99"/>
      <c r="F42" s="99"/>
      <c r="G42" s="108">
        <v>0</v>
      </c>
      <c r="H42" s="142"/>
    </row>
    <row r="43" spans="3:8">
      <c r="C43" s="139">
        <v>2004</v>
      </c>
      <c r="D43" s="99"/>
      <c r="E43" s="99"/>
      <c r="F43" s="99"/>
      <c r="G43" s="108">
        <v>0</v>
      </c>
      <c r="H43" s="142"/>
    </row>
    <row r="44" spans="3:8">
      <c r="C44" s="139">
        <v>2005</v>
      </c>
      <c r="D44" s="99"/>
      <c r="E44" s="99"/>
      <c r="F44" s="99"/>
      <c r="G44" s="108">
        <v>0</v>
      </c>
      <c r="H44" s="142"/>
    </row>
    <row r="45" spans="3:8">
      <c r="C45" s="139">
        <v>2006</v>
      </c>
      <c r="D45" s="99"/>
      <c r="E45" s="99"/>
      <c r="F45" s="99"/>
      <c r="G45" s="108">
        <v>0</v>
      </c>
      <c r="H45" s="142"/>
    </row>
    <row r="46" spans="3:8">
      <c r="C46" s="139">
        <v>2007</v>
      </c>
      <c r="D46" s="99"/>
      <c r="E46" s="99"/>
      <c r="F46" s="99"/>
      <c r="G46" s="108">
        <v>0</v>
      </c>
      <c r="H46" s="142"/>
    </row>
    <row r="47" spans="3:8">
      <c r="C47" s="139">
        <v>2008</v>
      </c>
      <c r="D47" s="99"/>
      <c r="E47" s="99"/>
      <c r="F47" s="99"/>
      <c r="G47" s="108">
        <v>0</v>
      </c>
      <c r="H47" s="142"/>
    </row>
    <row r="48" spans="3:8">
      <c r="C48" s="139">
        <v>2009</v>
      </c>
      <c r="D48" s="99"/>
      <c r="E48" s="99"/>
      <c r="F48" s="99"/>
      <c r="G48" s="108">
        <v>0</v>
      </c>
      <c r="H48" s="142"/>
    </row>
    <row r="49" spans="3:8">
      <c r="C49" s="139">
        <v>2010</v>
      </c>
      <c r="D49" s="99"/>
      <c r="E49" s="99"/>
      <c r="F49" s="99"/>
      <c r="G49" s="108">
        <v>0</v>
      </c>
      <c r="H49" s="142"/>
    </row>
    <row r="50" spans="3:8">
      <c r="C50" s="139">
        <v>2011</v>
      </c>
      <c r="D50" s="99"/>
      <c r="E50" s="99"/>
      <c r="F50" s="99"/>
      <c r="G50" s="108">
        <v>0</v>
      </c>
      <c r="H50" s="142"/>
    </row>
    <row r="51" spans="3:8">
      <c r="C51" s="139">
        <v>2012</v>
      </c>
      <c r="D51" s="99"/>
      <c r="E51" s="99"/>
      <c r="F51" s="99"/>
      <c r="G51" s="108">
        <v>0</v>
      </c>
      <c r="H51" s="142"/>
    </row>
    <row r="52" spans="3:8">
      <c r="C52" s="139">
        <v>2013</v>
      </c>
      <c r="D52" s="99"/>
      <c r="E52" s="99"/>
      <c r="F52" s="99"/>
      <c r="G52" s="108">
        <v>0</v>
      </c>
      <c r="H52" s="142"/>
    </row>
    <row r="53" spans="3:8">
      <c r="C53" s="139">
        <v>2014</v>
      </c>
      <c r="D53" s="99"/>
      <c r="E53" s="99"/>
      <c r="F53" s="99"/>
      <c r="G53" s="108">
        <v>0</v>
      </c>
      <c r="H53" s="142"/>
    </row>
    <row r="54" spans="3:8">
      <c r="C54" s="139">
        <v>2015</v>
      </c>
      <c r="D54" s="99"/>
      <c r="E54" s="99"/>
      <c r="F54" s="99"/>
      <c r="G54" s="108">
        <v>0</v>
      </c>
      <c r="H54" s="142"/>
    </row>
    <row r="55" spans="3:8">
      <c r="C55" s="139">
        <v>2016</v>
      </c>
      <c r="D55" s="99"/>
      <c r="E55" s="99"/>
      <c r="F55" s="99"/>
      <c r="G55" s="108">
        <v>0</v>
      </c>
      <c r="H55" s="142"/>
    </row>
    <row r="56" spans="3:8">
      <c r="C56" s="139">
        <v>2017</v>
      </c>
      <c r="D56" s="99"/>
      <c r="E56" s="99"/>
      <c r="F56" s="99"/>
      <c r="G56" s="108">
        <v>0</v>
      </c>
      <c r="H56" s="142"/>
    </row>
    <row r="57" spans="3:8">
      <c r="C57" s="139">
        <v>2018</v>
      </c>
      <c r="D57" s="99"/>
      <c r="E57" s="99"/>
      <c r="F57" s="99"/>
      <c r="G57" s="108">
        <v>0</v>
      </c>
      <c r="H57" s="142"/>
    </row>
    <row r="58" spans="3:8">
      <c r="C58" s="139">
        <v>2019</v>
      </c>
      <c r="D58" s="99"/>
      <c r="E58" s="99"/>
      <c r="F58" s="99"/>
      <c r="G58" s="108">
        <v>0</v>
      </c>
      <c r="H58" s="142"/>
    </row>
    <row r="59" spans="3:8">
      <c r="C59" s="139">
        <v>2020</v>
      </c>
      <c r="D59" s="99"/>
      <c r="E59" s="99"/>
      <c r="F59" s="99"/>
      <c r="G59" s="108">
        <v>0</v>
      </c>
      <c r="H59" s="142"/>
    </row>
    <row r="60" spans="3:8">
      <c r="C60" s="139" t="s">
        <v>71</v>
      </c>
      <c r="D60" s="99"/>
      <c r="E60" s="99"/>
      <c r="F60" s="99"/>
      <c r="G60" s="108">
        <v>0</v>
      </c>
      <c r="H60" s="142"/>
    </row>
  </sheetData>
  <conditionalFormatting pivot="1" sqref="G9:G60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H9:H60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60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2.21875" bestFit="1" customWidth="1"/>
    <col min="5" max="5" width="16.6640625" bestFit="1" customWidth="1"/>
    <col min="6" max="6" width="16" bestFit="1" customWidth="1"/>
    <col min="7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9" t="str">
        <f>Name</f>
        <v>healthexp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1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</row>
    <row r="5" spans="2:17" ht="15" customHeight="1"/>
    <row r="6" spans="2:17" ht="15" customHeight="1"/>
    <row r="7" spans="2:17" ht="15" customHeight="1">
      <c r="C7" s="106"/>
    </row>
    <row r="8" spans="2:17" ht="36.6" customHeight="1">
      <c r="C8" s="141" t="s">
        <v>56</v>
      </c>
      <c r="D8" s="140" t="s">
        <v>57</v>
      </c>
      <c r="E8" s="140" t="s">
        <v>58</v>
      </c>
      <c r="F8" s="140" t="s">
        <v>59</v>
      </c>
    </row>
    <row r="9" spans="2:17" ht="15" customHeight="1">
      <c r="C9" s="139">
        <v>1970</v>
      </c>
      <c r="D9" s="99"/>
      <c r="E9" s="99"/>
      <c r="F9" s="99"/>
    </row>
    <row r="10" spans="2:17" ht="15" customHeight="1">
      <c r="C10" s="139">
        <v>1971</v>
      </c>
      <c r="D10" s="99"/>
      <c r="E10" s="99"/>
      <c r="F10" s="99"/>
    </row>
    <row r="11" spans="2:17" ht="15" customHeight="1">
      <c r="C11" s="139">
        <v>1972</v>
      </c>
      <c r="D11" s="99"/>
      <c r="E11" s="99"/>
      <c r="F11" s="99"/>
    </row>
    <row r="12" spans="2:17" ht="15" customHeight="1">
      <c r="C12" s="139">
        <v>1973</v>
      </c>
      <c r="D12" s="99"/>
      <c r="E12" s="99"/>
      <c r="F12" s="99"/>
    </row>
    <row r="13" spans="2:17" ht="15" customHeight="1">
      <c r="C13" s="139">
        <v>1974</v>
      </c>
      <c r="D13" s="99"/>
      <c r="E13" s="99"/>
      <c r="F13" s="99"/>
    </row>
    <row r="14" spans="2:17">
      <c r="C14" s="139">
        <v>1975</v>
      </c>
      <c r="D14" s="99"/>
      <c r="E14" s="99"/>
      <c r="F14" s="99"/>
    </row>
    <row r="15" spans="2:17">
      <c r="C15" s="139">
        <v>1976</v>
      </c>
      <c r="D15" s="99"/>
      <c r="E15" s="99"/>
      <c r="F15" s="99"/>
    </row>
    <row r="16" spans="2:17">
      <c r="C16" s="139">
        <v>1977</v>
      </c>
      <c r="D16" s="99"/>
      <c r="E16" s="99"/>
      <c r="F16" s="99"/>
    </row>
    <row r="17" spans="3:6">
      <c r="C17" s="139">
        <v>1978</v>
      </c>
      <c r="D17" s="99"/>
      <c r="E17" s="99"/>
      <c r="F17" s="99"/>
    </row>
    <row r="18" spans="3:6">
      <c r="C18" s="139">
        <v>1979</v>
      </c>
      <c r="D18" s="99"/>
      <c r="E18" s="99"/>
      <c r="F18" s="99"/>
    </row>
    <row r="19" spans="3:6">
      <c r="C19" s="139">
        <v>1980</v>
      </c>
      <c r="D19" s="99"/>
      <c r="E19" s="99"/>
      <c r="F19" s="99"/>
    </row>
    <row r="20" spans="3:6">
      <c r="C20" s="139">
        <v>1981</v>
      </c>
      <c r="D20" s="99"/>
      <c r="E20" s="99"/>
      <c r="F20" s="99"/>
    </row>
    <row r="21" spans="3:6">
      <c r="C21" s="139">
        <v>1982</v>
      </c>
      <c r="D21" s="99"/>
      <c r="E21" s="99"/>
      <c r="F21" s="99"/>
    </row>
    <row r="22" spans="3:6">
      <c r="C22" s="139">
        <v>1983</v>
      </c>
      <c r="D22" s="99"/>
      <c r="E22" s="99"/>
      <c r="F22" s="99"/>
    </row>
    <row r="23" spans="3:6">
      <c r="C23" s="139">
        <v>1984</v>
      </c>
      <c r="D23" s="99"/>
      <c r="E23" s="99"/>
      <c r="F23" s="99"/>
    </row>
    <row r="24" spans="3:6">
      <c r="C24" s="139">
        <v>1985</v>
      </c>
      <c r="D24" s="99"/>
      <c r="E24" s="99"/>
      <c r="F24" s="99"/>
    </row>
    <row r="25" spans="3:6">
      <c r="C25" s="139">
        <v>1986</v>
      </c>
      <c r="D25" s="99"/>
      <c r="E25" s="99"/>
      <c r="F25" s="99"/>
    </row>
    <row r="26" spans="3:6">
      <c r="C26" s="139">
        <v>1987</v>
      </c>
      <c r="D26" s="99"/>
      <c r="E26" s="99"/>
      <c r="F26" s="99"/>
    </row>
    <row r="27" spans="3:6">
      <c r="C27" s="139">
        <v>1988</v>
      </c>
      <c r="D27" s="99"/>
      <c r="E27" s="99"/>
      <c r="F27" s="99"/>
    </row>
    <row r="28" spans="3:6">
      <c r="C28" s="139">
        <v>1989</v>
      </c>
      <c r="D28" s="99"/>
      <c r="E28" s="99"/>
      <c r="F28" s="99"/>
    </row>
    <row r="29" spans="3:6">
      <c r="C29" s="139">
        <v>1990</v>
      </c>
      <c r="D29" s="99"/>
      <c r="E29" s="99"/>
      <c r="F29" s="99"/>
    </row>
    <row r="30" spans="3:6">
      <c r="C30" s="139">
        <v>1991</v>
      </c>
      <c r="D30" s="99"/>
      <c r="E30" s="99"/>
      <c r="F30" s="99"/>
    </row>
    <row r="31" spans="3:6">
      <c r="C31" s="139">
        <v>1992</v>
      </c>
      <c r="D31" s="99"/>
      <c r="E31" s="99"/>
      <c r="F31" s="99"/>
    </row>
    <row r="32" spans="3:6">
      <c r="C32" s="139">
        <v>1993</v>
      </c>
      <c r="D32" s="99"/>
      <c r="E32" s="99"/>
      <c r="F32" s="99"/>
    </row>
    <row r="33" spans="3:6">
      <c r="C33" s="139">
        <v>1994</v>
      </c>
      <c r="D33" s="99"/>
      <c r="E33" s="99"/>
      <c r="F33" s="99"/>
    </row>
    <row r="34" spans="3:6">
      <c r="C34" s="139">
        <v>1995</v>
      </c>
      <c r="D34" s="99"/>
      <c r="E34" s="99"/>
      <c r="F34" s="99"/>
    </row>
    <row r="35" spans="3:6">
      <c r="C35" s="139">
        <v>1996</v>
      </c>
      <c r="D35" s="99"/>
      <c r="E35" s="99"/>
      <c r="F35" s="99"/>
    </row>
    <row r="36" spans="3:6">
      <c r="C36" s="139">
        <v>1997</v>
      </c>
      <c r="D36" s="99"/>
      <c r="E36" s="99"/>
      <c r="F36" s="99"/>
    </row>
    <row r="37" spans="3:6">
      <c r="C37" s="139">
        <v>1998</v>
      </c>
      <c r="D37" s="99"/>
      <c r="E37" s="99"/>
      <c r="F37" s="99"/>
    </row>
    <row r="38" spans="3:6">
      <c r="C38" s="139">
        <v>1999</v>
      </c>
      <c r="D38" s="99"/>
      <c r="E38" s="99"/>
      <c r="F38" s="99"/>
    </row>
    <row r="39" spans="3:6">
      <c r="C39" s="139">
        <v>2000</v>
      </c>
      <c r="D39" s="99"/>
      <c r="E39" s="99"/>
      <c r="F39" s="99"/>
    </row>
    <row r="40" spans="3:6">
      <c r="C40" s="139">
        <v>2001</v>
      </c>
      <c r="D40" s="99"/>
      <c r="E40" s="99"/>
      <c r="F40" s="99"/>
    </row>
    <row r="41" spans="3:6">
      <c r="C41" s="139">
        <v>2002</v>
      </c>
      <c r="D41" s="99"/>
      <c r="E41" s="99"/>
      <c r="F41" s="99"/>
    </row>
    <row r="42" spans="3:6">
      <c r="C42" s="139">
        <v>2003</v>
      </c>
      <c r="D42" s="99"/>
      <c r="E42" s="99"/>
      <c r="F42" s="99"/>
    </row>
    <row r="43" spans="3:6">
      <c r="C43" s="139">
        <v>2004</v>
      </c>
      <c r="D43" s="99"/>
      <c r="E43" s="99"/>
      <c r="F43" s="99"/>
    </row>
    <row r="44" spans="3:6">
      <c r="C44" s="139">
        <v>2005</v>
      </c>
      <c r="D44" s="99"/>
      <c r="E44" s="99"/>
      <c r="F44" s="99"/>
    </row>
    <row r="45" spans="3:6">
      <c r="C45" s="139">
        <v>2006</v>
      </c>
      <c r="D45" s="99"/>
      <c r="E45" s="99"/>
      <c r="F45" s="99"/>
    </row>
    <row r="46" spans="3:6">
      <c r="C46" s="139">
        <v>2007</v>
      </c>
      <c r="D46" s="99"/>
      <c r="E46" s="99"/>
      <c r="F46" s="99"/>
    </row>
    <row r="47" spans="3:6">
      <c r="C47" s="139">
        <v>2008</v>
      </c>
      <c r="D47" s="99"/>
      <c r="E47" s="99"/>
      <c r="F47" s="99"/>
    </row>
    <row r="48" spans="3:6">
      <c r="C48" s="139">
        <v>2009</v>
      </c>
      <c r="D48" s="99"/>
      <c r="E48" s="99"/>
      <c r="F48" s="99"/>
    </row>
    <row r="49" spans="3:6">
      <c r="C49" s="139">
        <v>2010</v>
      </c>
      <c r="D49" s="99"/>
      <c r="E49" s="99"/>
      <c r="F49" s="99"/>
    </row>
    <row r="50" spans="3:6">
      <c r="C50" s="139">
        <v>2011</v>
      </c>
      <c r="D50" s="99"/>
      <c r="E50" s="99"/>
      <c r="F50" s="99"/>
    </row>
    <row r="51" spans="3:6">
      <c r="C51" s="139">
        <v>2012</v>
      </c>
      <c r="D51" s="99"/>
      <c r="E51" s="99"/>
      <c r="F51" s="99"/>
    </row>
    <row r="52" spans="3:6">
      <c r="C52" s="139">
        <v>2013</v>
      </c>
      <c r="D52" s="99"/>
      <c r="E52" s="99"/>
      <c r="F52" s="99"/>
    </row>
    <row r="53" spans="3:6">
      <c r="C53" s="139">
        <v>2014</v>
      </c>
      <c r="D53" s="99"/>
      <c r="E53" s="99"/>
      <c r="F53" s="99"/>
    </row>
    <row r="54" spans="3:6">
      <c r="C54" s="139">
        <v>2015</v>
      </c>
      <c r="D54" s="99"/>
      <c r="E54" s="99"/>
      <c r="F54" s="99"/>
    </row>
    <row r="55" spans="3:6">
      <c r="C55" s="139">
        <v>2016</v>
      </c>
      <c r="D55" s="99"/>
      <c r="E55" s="99"/>
      <c r="F55" s="99"/>
    </row>
    <row r="56" spans="3:6">
      <c r="C56" s="139">
        <v>2017</v>
      </c>
      <c r="D56" s="99"/>
      <c r="E56" s="99"/>
      <c r="F56" s="99"/>
    </row>
    <row r="57" spans="3:6">
      <c r="C57" s="139">
        <v>2018</v>
      </c>
      <c r="D57" s="99"/>
      <c r="E57" s="99"/>
      <c r="F57" s="99"/>
    </row>
    <row r="58" spans="3:6">
      <c r="C58" s="139">
        <v>2019</v>
      </c>
      <c r="D58" s="99"/>
      <c r="E58" s="99"/>
      <c r="F58" s="99"/>
    </row>
    <row r="59" spans="3:6">
      <c r="C59" s="139">
        <v>2020</v>
      </c>
      <c r="D59" s="99"/>
      <c r="E59" s="99"/>
      <c r="F59" s="99"/>
    </row>
    <row r="60" spans="3:6">
      <c r="C60" s="139" t="s">
        <v>71</v>
      </c>
      <c r="D60" s="99"/>
      <c r="E60" s="99"/>
      <c r="F60" s="99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3"/>
    </row>
    <row r="3" spans="1:16" ht="4.95" customHeight="1">
      <c r="B3" s="1"/>
      <c r="C3" s="4"/>
      <c r="P3" s="92"/>
    </row>
    <row r="4" spans="1:16" ht="19.95" customHeight="1">
      <c r="B4" s="1"/>
      <c r="C4" s="4"/>
      <c r="P4" s="94"/>
    </row>
    <row r="5" spans="1:16" ht="4.95" customHeight="1">
      <c r="B5" s="1"/>
      <c r="C5" s="4"/>
    </row>
    <row r="6" spans="1:16" ht="34.950000000000003" customHeight="1">
      <c r="B6" s="119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7"/>
      <c r="P2" s="93"/>
    </row>
    <row r="3" spans="2:16" ht="4.95" customHeight="1">
      <c r="B3" s="40"/>
      <c r="C3" s="95"/>
      <c r="D3" s="96"/>
      <c r="P3" s="92"/>
    </row>
    <row r="4" spans="2:16" ht="19.95" customHeight="1">
      <c r="B4" s="40"/>
      <c r="C4" s="95"/>
      <c r="D4" s="96"/>
      <c r="P4" s="94"/>
    </row>
    <row r="5" spans="2:16" ht="4.95" customHeight="1">
      <c r="B5" s="1"/>
      <c r="C5" s="4"/>
    </row>
    <row r="6" spans="2:16" s="5" customFormat="1" ht="30" customHeight="1">
      <c r="B6" s="119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2026-05-25T06:54:20Z</dcterms:modified>
</cp:coreProperties>
</file>