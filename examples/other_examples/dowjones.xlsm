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45607ADB-3EBC-4EF4-BA82-379880AAD806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Analysis'!$D$7:$E$7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Analysis'!$D$57:$E$57</definedName>
    <definedName name="FieldList2">'Field Analysis'!$D$58:$E$58</definedName>
    <definedName name="FieldList3">'Field Analysis'!$D$59:$E$59</definedName>
    <definedName name="FieldList4">'Field Analysis'!$D$60:$E$60</definedName>
    <definedName name="FieldList5">'Field Analysis'!$D$61:$E$61</definedName>
    <definedName name="FieldList6">'Field Analysis'!$D$62:$E$62</definedName>
    <definedName name="FieldList7">'Field Analysis'!$D$63:$E$63</definedName>
    <definedName name="FieldList8">'Field Analysis'!$D$64:$E$64</definedName>
    <definedName name="FieldLists">'Field Analysis'!$C$57:$E$64</definedName>
    <definedName name="FieldRange">'Field Analysis'!$D$78:$E$78</definedName>
    <definedName name="FormatRange">'Field Analysis'!$F:$F</definedName>
    <definedName name="Headers">'Field Analysis'!$D$11:$E$11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Analysis'!$D$9:$E$9</definedName>
    <definedName name="Percentiles">'Field Analysis'!$D$45:$D$54</definedName>
    <definedName name="RecordHashes">'Field Analysis'!$G$79:$G$727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5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C11" i="9"/>
  <c r="C12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<sst xmlns="http://schemas.openxmlformats.org/spreadsheetml/2006/main" count="115" uniqueCount="65">
  <si>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</si>
  <si>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</si>
  <si>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</si>
  <si>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</si>
  <si>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</si>
  <si>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</si>
  <si>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</si>
  <si>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</si>
  <si>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</si>
  <si>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</si>
  <si>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</si>
  <si>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</si>
  <si>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</si>
  <si>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</si>
  <si>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</si>
  <si>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</si>
  <si>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</si>
  <si>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</si>
  <si>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</si>
  <si>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</si>
  <si>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</si>
  <si>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</si>
  <si>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</si>
  <si>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</si>
  <si>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</si>
  <si>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</si>
  <si>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</si>
  <si>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</si>
  <si>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</si>
  <si>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</si>
  <si>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</si>
  <si>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</si>
  <si>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</si>
  <si>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</si>
  <si>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</si>
  <si>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</si>
  <si>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</si>
  <si>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</si>
  <si>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</si>
  <si>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</si>
  <si>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</si>
  <si>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</si>
  <si>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</si>
  <si>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</si>
  <si>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</si>
  <si>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</si>
  <si>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</si>
  <si>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</si>
  <si>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</si>
  <si>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</si>
  <si>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</si>
  <si>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</si>
  <si>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</si>
  <si>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</si>
  <si>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</si>
  <si>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dowjones</t>
  </si>
  <si>
    <t>Date</t>
  </si>
  <si>
    <t>Price</t>
  </si>
  <si>
    <t>Record Hash</t>
  </si>
  <si>
    <t>10,516 bytes</t>
  </si>
  <si>
    <t>datetime64[us]</t>
  </si>
  <si>
    <t>19724 days 00:00:00</t>
  </si>
  <si>
    <t>9861 days 00:00:00</t>
  </si>
  <si>
    <t>float64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</si>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</sst>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89A262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4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3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2" fillId="2" borderId="0" xfId="5" applyBorder="1" applyAlignment="1">
      <alignment horizontal="right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left" vertical="center" wrapText="1" indent="1"/>
    </xf>
    <xf numFmtId="0" fontId="34" fillId="9" borderId="7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center" vertical="center" wrapText="1"/>
    </xf>
    <xf numFmtId="9" fontId="34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5" fillId="9" borderId="0" xfId="1" applyFont="1" applyFill="1" applyBorder="1" applyAlignment="1">
      <alignment horizontal="center" vertical="center" wrapText="1"/>
    </xf>
    <xf numFmtId="0" fontId="35" fillId="9" borderId="9" xfId="1" applyFont="1" applyFill="1" applyBorder="1" applyAlignment="1">
      <alignment horizontal="center" vertical="center"/>
    </xf>
    <xf numFmtId="0" fontId="23" fillId="9" borderId="0" xfId="0" applyFont="1" applyFill="1"/>
    <xf numFmtId="0" fontId="25" fillId="9" borderId="0" xfId="1" applyFont="1" applyFill="1" applyBorder="1" applyAlignment="1">
      <alignment vertical="center" wrapText="1"/>
    </xf>
    <xf numFmtId="0" fontId="2" fillId="2" borderId="0" xfId="1" applyBorder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22" fontId="6" fillId="5" borderId="3" xfId="1" applyNumberFormat="1" applyFont="1" applyFill="1" applyBorder="1" applyAlignment="1">
      <alignment horizontal="center" wrapText="1"/>
    </xf>
    <xf numFmtId="22" fontId="6" fillId="4" borderId="3" xfId="1" applyNumberFormat="1" applyFont="1" applyFill="1" applyBorder="1" applyAlignment="1">
      <alignment horizontal="center" wrapText="1"/>
    </xf>
    <xf numFmtId="0" fontId="2" fillId="3" borderId="0" xfId="1" applyNumberFormat="1" applyFill="1"/>
    <xf numFmtId="14" fontId="2" fillId="3" borderId="0" xfId="1" applyNumberFormat="1" applyFill="1"/>
    <xf numFmtId="14" fontId="0" fillId="2" borderId="0" xfId="0" applyNumberFormat="1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1420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89A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1419"/>
      <tableStyleElement type="headerRow" dxfId="1418"/>
      <tableStyleElement type="totalRow" dxfId="1417"/>
    </tableStyle>
    <tableStyle name="TableStyleDarker" pivot="0" count="2" xr9:uid="{6808BEA3-E65F-4F4F-A6CC-D0226D87DD56}">
      <tableStyleElement type="wholeTable" dxfId="1416"/>
      <tableStyleElement type="headerRow" dxfId="141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Date">
          <a:extLst>
            <a:ext uri="{FF2B5EF4-FFF2-40B4-BE49-F238E27FC236}">
              <a16:creationId xmlns:a16="http://schemas.microsoft.com/office/drawing/2014/main" id="{F1038640-CE8B-7084-62CA-1B26B783D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Price">
          <a:extLst>
            <a:ext uri="{FF2B5EF4-FFF2-40B4-BE49-F238E27FC236}">
              <a16:creationId xmlns:a16="http://schemas.microsoft.com/office/drawing/2014/main" id="{D38E114F-6E77-D056-928B-ED94769C6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Price">
          <a:extLst>
            <a:ext uri="{FF2B5EF4-FFF2-40B4-BE49-F238E27FC236}">
              <a16:creationId xmlns:a16="http://schemas.microsoft.com/office/drawing/2014/main" id="{A604F099-9057-C8D3-7456-05738984EE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HasBlank">
          <a:extLst>
            <a:ext uri="{FF2B5EF4-FFF2-40B4-BE49-F238E27FC236}">
              <a16:creationId xmlns:a16="http://schemas.microsoft.com/office/drawing/2014/main" id="{276A629F-A970-5B90-579D-0E3EB057A7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histogram_HasBlank">
          <a:extLst>
            <a:ext uri="{FF2B5EF4-FFF2-40B4-BE49-F238E27FC236}">
              <a16:creationId xmlns:a16="http://schemas.microsoft.com/office/drawing/2014/main" id="{FDF3DFB3-1019-5DC3-1364-8E3838D9B6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99552650463" createdVersion="8" refreshedVersion="8" minRefreshableVersion="3" recordCount="649" xr:uid="{9CA2673A-A870-437E-AB9F-91D8276FD930}">
  <cacheSource type="worksheet">
    <worksheetSource name="tbl_SourceData"/>
  </cacheSource>
  <cacheFields count="5">
    <cacheField name="Record List" numFmtId="0">
      <sharedItems/>
    </cacheField>
    <cacheField name="Date" numFmtId="14">
      <sharedItems containsSemiMixedTypes="0" containsNonDate="0" containsDate="1" containsString="0" minDate="1914-12-01T00:00:00" maxDate="1968-12-02T00:00:00" count="649">
        <d v="1914-12-01T00:00:00"/>
        <d v="1915-01-01T00:00:00"/>
        <d v="1915-02-01T00:00:00"/>
        <d v="1915-03-01T00:00:00"/>
        <d v="1915-04-01T00:00:00"/>
        <d v="1915-05-01T00:00:00"/>
        <d v="1915-06-01T00:00:00"/>
        <d v="1915-07-01T00:00:00"/>
        <d v="1915-08-01T00:00:00"/>
        <d v="1915-09-01T00:00:00"/>
        <d v="1915-10-01T00:00:00"/>
        <d v="1915-11-01T00:00:00"/>
        <d v="1915-12-01T00:00:00"/>
        <d v="1916-01-01T00:00:00"/>
        <d v="1916-02-01T00:00:00"/>
        <d v="1916-03-01T00:00:00"/>
        <d v="1916-04-01T00:00:00"/>
        <d v="1916-05-01T00:00:00"/>
        <d v="1916-06-01T00:00:00"/>
        <d v="1916-07-01T00:00:00"/>
        <d v="1916-08-01T00:00:00"/>
        <d v="1916-09-01T00:00:00"/>
        <d v="1916-10-01T00:00:00"/>
        <d v="1916-11-01T00:00:00"/>
        <d v="1916-12-01T00:00:00"/>
        <d v="1917-01-01T00:00:00"/>
        <d v="1917-02-01T00:00:00"/>
        <d v="1917-03-01T00:00:00"/>
        <d v="1917-04-01T00:00:00"/>
        <d v="1917-05-01T00:00:00"/>
        <d v="1917-06-01T00:00:00"/>
        <d v="1917-07-01T00:00:00"/>
        <d v="1917-08-01T00:00:00"/>
        <d v="1917-09-01T00:00:00"/>
        <d v="1917-10-01T00:00:00"/>
        <d v="1917-11-01T00:00:00"/>
        <d v="1917-12-01T00:00:00"/>
        <d v="1918-01-01T00:00:00"/>
        <d v="1918-02-01T00:00:00"/>
        <d v="1918-03-01T00:00:00"/>
        <d v="1918-04-01T00:00:00"/>
        <d v="1918-05-01T00:00:00"/>
        <d v="1918-06-01T00:00:00"/>
        <d v="1918-07-01T00:00:00"/>
        <d v="1918-08-01T00:00:00"/>
        <d v="1918-09-01T00:00:00"/>
        <d v="1918-10-01T00:00:00"/>
        <d v="1918-11-01T00:00:00"/>
        <d v="1918-12-01T00:00:00"/>
        <d v="1919-01-01T00:00:00"/>
        <d v="1919-02-01T00:00:00"/>
        <d v="1919-03-01T00:00:00"/>
        <d v="1919-04-01T00:00:00"/>
        <d v="1919-05-01T00:00:00"/>
        <d v="1919-06-01T00:00:00"/>
        <d v="1919-07-01T00:00:00"/>
        <d v="1919-08-01T00:00:00"/>
        <d v="1919-09-01T00:00:00"/>
        <d v="1919-10-01T00:00:00"/>
        <d v="1919-11-01T00:00:00"/>
        <d v="1919-12-01T00:00:00"/>
        <d v="1920-01-01T00:00:00"/>
        <d v="1920-02-01T00:00:00"/>
        <d v="1920-03-01T00:00:00"/>
        <d v="1920-04-01T00:00:00"/>
        <d v="1920-05-01T00:00:00"/>
        <d v="1920-06-01T00:00:00"/>
        <d v="1920-07-01T00:00:00"/>
        <d v="1920-08-01T00:00:00"/>
        <d v="1920-09-01T00:00:00"/>
        <d v="1920-10-01T00:00:00"/>
        <d v="1920-11-01T00:00:00"/>
        <d v="1920-12-01T00:00:00"/>
        <d v="1921-01-01T00:00:00"/>
        <d v="1921-02-01T00:00:00"/>
        <d v="1921-03-01T00:00:00"/>
        <d v="1921-04-01T00:00:00"/>
        <d v="1921-05-01T00:00:00"/>
        <d v="1921-06-01T00:00:00"/>
        <d v="1921-07-01T00:00:00"/>
        <d v="1921-08-01T00:00:00"/>
        <d v="1921-09-01T00:00:00"/>
        <d v="1921-10-01T00:00:00"/>
        <d v="1921-11-01T00:00:00"/>
        <d v="1921-12-01T00:00:00"/>
        <d v="1922-01-01T00:00:00"/>
        <d v="1922-02-01T00:00:00"/>
        <d v="1922-03-01T00:00:00"/>
        <d v="1922-04-01T00:00:00"/>
        <d v="1922-05-01T00:00:00"/>
        <d v="1922-06-01T00:00:00"/>
        <d v="1922-07-01T00:00:00"/>
        <d v="1922-08-01T00:00:00"/>
        <d v="1922-09-01T00:00:00"/>
        <d v="1922-10-01T00:00:00"/>
        <d v="1922-11-01T00:00:00"/>
        <d v="1922-12-01T00:00:00"/>
        <d v="1923-01-01T00:00:00"/>
        <d v="1923-02-01T00:00:00"/>
        <d v="1923-03-01T00:00:00"/>
        <d v="1923-04-01T00:00:00"/>
        <d v="1923-05-01T00:00:00"/>
        <d v="1923-06-01T00:00:00"/>
        <d v="1923-07-01T00:00:00"/>
        <d v="1923-08-01T00:00:00"/>
        <d v="1923-09-01T00:00:00"/>
        <d v="1923-10-01T00:00:00"/>
        <d v="1923-11-01T00:00:00"/>
        <d v="1923-12-01T00:00:00"/>
        <d v="1924-01-01T00:00:00"/>
        <d v="1924-02-01T00:00:00"/>
        <d v="1924-03-01T00:00:00"/>
        <d v="1924-04-01T00:00:00"/>
        <d v="1924-05-01T00:00:00"/>
        <d v="1924-06-01T00:00:00"/>
        <d v="1924-07-01T00:00:00"/>
        <d v="1924-08-01T00:00:00"/>
        <d v="1924-09-01T00:00:00"/>
        <d v="1924-10-01T00:00:00"/>
        <d v="1924-11-01T00:00:00"/>
        <d v="1924-12-01T00:00:00"/>
        <d v="1925-01-01T00:00:00"/>
        <d v="1925-02-01T00:00:00"/>
        <d v="1925-03-01T00:00:00"/>
        <d v="1925-04-01T00:00:00"/>
        <d v="1925-05-01T00:00:00"/>
        <d v="1925-06-01T00:00:00"/>
        <d v="1925-07-01T00:00:00"/>
        <d v="1925-08-01T00:00:00"/>
        <d v="1925-09-01T00:00:00"/>
        <d v="1925-10-01T00:00:00"/>
        <d v="1925-11-01T00:00:00"/>
        <d v="1925-12-01T00:00:00"/>
        <d v="1926-01-01T00:00:00"/>
        <d v="1926-02-01T00:00:00"/>
        <d v="1926-03-01T00:00:00"/>
        <d v="1926-04-01T00:00:00"/>
        <d v="1926-05-01T00:00:00"/>
        <d v="1926-06-01T00:00:00"/>
        <d v="1926-07-01T00:00:00"/>
        <d v="1926-08-01T00:00:00"/>
        <d v="1926-09-01T00:00:00"/>
        <d v="1926-10-01T00:00:00"/>
        <d v="1926-11-01T00:00:00"/>
        <d v="1926-12-01T00:00:00"/>
        <d v="1927-01-01T00:00:00"/>
        <d v="1927-02-01T00:00:00"/>
        <d v="1927-03-01T00:00:00"/>
        <d v="1927-04-01T00:00:00"/>
        <d v="1927-05-01T00:00:00"/>
        <d v="1927-06-01T00:00:00"/>
        <d v="1927-07-01T00:00:00"/>
        <d v="1927-08-01T00:00:00"/>
        <d v="1927-09-01T00:00:00"/>
        <d v="1927-10-01T00:00:00"/>
        <d v="1927-11-01T00:00:00"/>
        <d v="1927-12-01T00:00:00"/>
        <d v="1928-01-01T00:00:00"/>
        <d v="1928-02-01T00:00:00"/>
        <d v="1928-03-01T00:00:00"/>
        <d v="1928-04-01T00:00:00"/>
        <d v="1928-05-01T00:00:00"/>
        <d v="1928-06-01T00:00:00"/>
        <d v="1928-07-01T00:00:00"/>
        <d v="1928-08-01T00:00:00"/>
        <d v="1928-09-01T00:00:00"/>
        <d v="1928-10-01T00:00:00"/>
        <d v="1928-11-01T00:00:00"/>
        <d v="1928-12-01T00:00:00"/>
        <d v="1929-01-01T00:00:00"/>
        <d v="1929-02-01T00:00:00"/>
        <d v="1929-03-01T00:00:00"/>
        <d v="1929-04-01T00:00:00"/>
        <d v="1929-05-01T00:00:00"/>
        <d v="1929-06-01T00:00:00"/>
        <d v="1929-07-01T00:00:00"/>
        <d v="1929-08-01T00:00:00"/>
        <d v="1929-09-01T00:00:00"/>
        <d v="1929-10-01T00:00:00"/>
        <d v="1929-11-01T00:00:00"/>
        <d v="1929-12-01T00:00:00"/>
        <d v="1930-01-01T00:00:00"/>
        <d v="1930-02-01T00:00:00"/>
        <d v="1930-03-01T00:00:00"/>
        <d v="1930-04-01T00:00:00"/>
        <d v="1930-05-01T00:00:00"/>
        <d v="1930-06-01T00:00:00"/>
        <d v="1930-07-01T00:00:00"/>
        <d v="1930-08-01T00:00:00"/>
        <d v="1930-09-01T00:00:00"/>
        <d v="1930-10-01T00:00:00"/>
        <d v="1930-11-01T00:00:00"/>
        <d v="1930-12-01T00:00:00"/>
        <d v="1931-01-01T00:00:00"/>
        <d v="1931-02-01T00:00:00"/>
        <d v="1931-03-01T00:00:00"/>
        <d v="1931-04-01T00:00:00"/>
        <d v="1931-05-01T00:00:00"/>
        <d v="1931-06-01T00:00:00"/>
        <d v="1931-07-01T00:00:00"/>
        <d v="1931-08-01T00:00:00"/>
        <d v="1931-09-01T00:00:00"/>
        <d v="1931-10-01T00:00:00"/>
        <d v="1931-11-01T00:00:00"/>
        <d v="1931-12-01T00:00:00"/>
        <d v="1932-01-01T00:00:00"/>
        <d v="1932-02-01T00:00:00"/>
        <d v="1932-03-01T00:00:00"/>
        <d v="1932-04-01T00:00:00"/>
        <d v="1932-05-01T00:00:00"/>
        <d v="1932-06-01T00:00:00"/>
        <d v="1932-07-01T00:00:00"/>
        <d v="1932-08-01T00:00:00"/>
        <d v="1932-09-01T00:00:00"/>
        <d v="1932-10-01T00:00:00"/>
        <d v="1932-11-01T00:00:00"/>
        <d v="1932-12-01T00:00:00"/>
        <d v="1933-01-01T00:00:00"/>
        <d v="1933-02-01T00:00:00"/>
        <d v="1933-03-01T00:00:00"/>
        <d v="1933-04-01T00:00:00"/>
        <d v="1933-05-01T00:00:00"/>
        <d v="1933-06-01T00:00:00"/>
        <d v="1933-07-01T00:00:00"/>
        <d v="1933-08-01T00:00:00"/>
        <d v="1933-09-01T00:00:00"/>
        <d v="1933-10-01T00:00:00"/>
        <d v="1933-11-01T00:00:00"/>
        <d v="1933-12-01T00:00:00"/>
        <d v="1934-01-01T00:00:00"/>
        <d v="1934-02-01T00:00:00"/>
        <d v="1934-03-01T00:00:00"/>
        <d v="1934-04-01T00:00:00"/>
        <d v="1934-05-01T00:00:00"/>
        <d v="1934-06-01T00:00:00"/>
        <d v="1934-07-01T00:00:00"/>
        <d v="1934-08-01T00:00:00"/>
        <d v="1934-09-01T00:00:00"/>
        <d v="1934-10-01T00:00:00"/>
        <d v="1934-11-01T00:00:00"/>
        <d v="1934-12-01T00:00:00"/>
        <d v="1935-01-01T00:00:00"/>
        <d v="1935-02-01T00:00:00"/>
        <d v="1935-03-01T00:00:00"/>
        <d v="1935-04-01T00:00:00"/>
        <d v="1935-05-01T00:00:00"/>
        <d v="1935-06-01T00:00:00"/>
        <d v="1935-07-01T00:00:00"/>
        <d v="1935-08-01T00:00:00"/>
        <d v="1935-09-01T00:00:00"/>
        <d v="1935-10-01T00:00:00"/>
        <d v="1935-11-01T00:00:00"/>
        <d v="1935-12-01T00:00:00"/>
        <d v="1936-01-01T00:00:00"/>
        <d v="1936-02-01T00:00:00"/>
        <d v="1936-03-01T00:00:00"/>
        <d v="1936-04-01T00:00:00"/>
        <d v="1936-05-01T00:00:00"/>
        <d v="1936-06-01T00:00:00"/>
        <d v="1936-07-01T00:00:00"/>
        <d v="1936-08-01T00:00:00"/>
        <d v="1936-09-01T00:00:00"/>
        <d v="1936-10-01T00:00:00"/>
        <d v="1936-11-01T00:00:00"/>
        <d v="1936-12-01T00:00:00"/>
        <d v="1937-01-01T00:00:00"/>
        <d v="1937-02-01T00:00:00"/>
        <d v="1937-03-01T00:00:00"/>
        <d v="1937-04-01T00:00:00"/>
        <d v="1937-05-01T00:00:00"/>
        <d v="1937-06-01T00:00:00"/>
        <d v="1937-07-01T00:00:00"/>
        <d v="1937-08-01T00:00:00"/>
        <d v="1937-09-01T00:00:00"/>
        <d v="1937-10-01T00:00:00"/>
        <d v="1937-11-01T00:00:00"/>
        <d v="1937-12-01T00:00:00"/>
        <d v="1938-01-01T00:00:00"/>
        <d v="1938-02-01T00:00:00"/>
        <d v="1938-03-01T00:00:00"/>
        <d v="1938-04-01T00:00:00"/>
        <d v="1938-05-01T00:00:00"/>
        <d v="1938-06-01T00:00:00"/>
        <d v="1938-07-01T00:00:00"/>
        <d v="1938-08-01T00:00:00"/>
        <d v="1938-09-01T00:00:00"/>
        <d v="1938-10-01T00:00:00"/>
        <d v="1938-11-01T00:00:00"/>
        <d v="1938-12-01T00:00:00"/>
        <d v="1939-01-01T00:00:00"/>
        <d v="1939-02-01T00:00:00"/>
        <d v="1939-03-01T00:00:00"/>
        <d v="1939-04-01T00:00:00"/>
        <d v="1939-05-01T00:00:00"/>
        <d v="1939-06-01T00:00:00"/>
        <d v="1939-07-01T00:00:00"/>
        <d v="1939-08-01T00:00:00"/>
        <d v="1939-09-01T00:00:00"/>
        <d v="1939-10-01T00:00:00"/>
        <d v="1939-11-01T00:00:00"/>
        <d v="1939-12-01T00:00:00"/>
        <d v="1940-01-01T00:00:00"/>
        <d v="1940-02-01T00:00:00"/>
        <d v="1940-03-01T00:00:00"/>
        <d v="1940-04-01T00:00:00"/>
        <d v="1940-05-01T00:00:00"/>
        <d v="1940-06-01T00:00:00"/>
        <d v="1940-07-01T00:00:00"/>
        <d v="1940-08-01T00:00:00"/>
        <d v="1940-09-01T00:00:00"/>
        <d v="1940-10-01T00:00:00"/>
        <d v="1940-11-01T00:00:00"/>
        <d v="1940-12-01T00:00:00"/>
        <d v="1941-01-01T00:00:00"/>
        <d v="1941-02-01T00:00:00"/>
        <d v="1941-03-01T00:00:00"/>
        <d v="1941-04-01T00:00:00"/>
        <d v="1941-05-01T00:00:00"/>
        <d v="1941-06-01T00:00:00"/>
        <d v="1941-07-01T00:00:00"/>
        <d v="1941-08-01T00:00:00"/>
        <d v="1941-09-01T00:00:00"/>
        <d v="1941-10-01T00:00:00"/>
        <d v="1941-11-01T00:00:00"/>
        <d v="1941-12-01T00:00:00"/>
        <d v="1942-01-01T00:00:00"/>
        <d v="1942-02-01T00:00:00"/>
        <d v="1942-03-01T00:00:00"/>
        <d v="1942-04-01T00:00:00"/>
        <d v="1942-05-01T00:00:00"/>
        <d v="1942-06-01T00:00:00"/>
        <d v="1942-07-01T00:00:00"/>
        <d v="1942-08-01T00:00:00"/>
        <d v="1942-09-01T00:00:00"/>
        <d v="1942-10-01T00:00:00"/>
        <d v="1942-11-01T00:00:00"/>
        <d v="1942-12-01T00:00:00"/>
        <d v="1943-01-01T00:00:00"/>
        <d v="1943-02-01T00:00:00"/>
        <d v="1943-03-01T00:00:00"/>
        <d v="1943-04-01T00:00:00"/>
        <d v="1943-05-01T00:00:00"/>
        <d v="1943-06-01T00:00:00"/>
        <d v="1943-07-01T00:00:00"/>
        <d v="1943-08-01T00:00:00"/>
        <d v="1943-09-01T00:00:00"/>
        <d v="1943-10-01T00:00:00"/>
        <d v="1943-11-01T00:00:00"/>
        <d v="1943-12-01T00:00:00"/>
        <d v="1944-01-01T00:00:00"/>
        <d v="1944-02-01T00:00:00"/>
        <d v="1944-03-01T00:00:00"/>
        <d v="1944-04-01T00:00:00"/>
        <d v="1944-05-01T00:00:00"/>
        <d v="1944-06-01T00:00:00"/>
        <d v="1944-07-01T00:00:00"/>
        <d v="1944-08-01T00:00:00"/>
        <d v="1944-09-01T00:00:00"/>
        <d v="1944-10-01T00:00:00"/>
        <d v="1944-11-01T00:00:00"/>
        <d v="1944-12-01T00:00:00"/>
        <d v="1945-01-01T00:00:00"/>
        <d v="1945-02-01T00:00:00"/>
        <d v="1945-03-01T00:00:00"/>
        <d v="1945-04-01T00:00:00"/>
        <d v="1945-05-01T00:00:00"/>
        <d v="1945-06-01T00:00:00"/>
        <d v="1945-07-01T00:00:00"/>
        <d v="1945-08-01T00:00:00"/>
        <d v="1945-09-01T00:00:00"/>
        <d v="1945-10-01T00:00:00"/>
        <d v="1945-11-01T00:00:00"/>
        <d v="1945-12-01T00:00:00"/>
        <d v="1946-01-01T00:00:00"/>
        <d v="1946-02-01T00:00:00"/>
        <d v="1946-03-01T00:00:00"/>
        <d v="1946-04-01T00:00:00"/>
        <d v="1946-05-01T00:00:00"/>
        <d v="1946-06-01T00:00:00"/>
        <d v="1946-07-01T00:00:00"/>
        <d v="1946-08-01T00:00:00"/>
        <d v="1946-09-01T00:00:00"/>
        <d v="1946-10-01T00:00:00"/>
        <d v="1946-11-01T00:00:00"/>
        <d v="1946-12-01T00:00:00"/>
        <d v="1947-01-01T00:00:00"/>
        <d v="1947-02-01T00:00:00"/>
        <d v="1947-03-01T00:00:00"/>
        <d v="1947-04-01T00:00:00"/>
        <d v="1947-05-01T00:00:00"/>
        <d v="1947-06-01T00:00:00"/>
        <d v="1947-07-01T00:00:00"/>
        <d v="1947-08-01T00:00:00"/>
        <d v="1947-09-01T00:00:00"/>
        <d v="1947-10-01T00:00:00"/>
        <d v="1947-11-01T00:00:00"/>
        <d v="1947-12-01T00:00:00"/>
        <d v="1948-01-01T00:00:00"/>
        <d v="1948-02-01T00:00:00"/>
        <d v="1948-03-01T00:00:00"/>
        <d v="1948-04-01T00:00:00"/>
        <d v="1948-05-01T00:00:00"/>
        <d v="1948-06-01T00:00:00"/>
        <d v="1948-07-01T00:00:00"/>
        <d v="1948-08-01T00:00:00"/>
        <d v="1948-09-01T00:00:00"/>
        <d v="1948-10-01T00:00:00"/>
        <d v="1948-11-01T00:00:00"/>
        <d v="1948-12-01T00:00:00"/>
        <d v="1949-01-01T00:00:00"/>
        <d v="1949-02-01T00:00:00"/>
        <d v="1949-03-01T00:00:00"/>
        <d v="1949-04-01T00:00:00"/>
        <d v="1949-05-01T00:00:00"/>
        <d v="1949-06-01T00:00:00"/>
        <d v="1949-07-01T00:00:00"/>
        <d v="1949-08-01T00:00:00"/>
        <d v="1949-09-01T00:00:00"/>
        <d v="1949-10-01T00:00:00"/>
        <d v="1949-11-01T00:00:00"/>
        <d v="1949-12-01T00:00:00"/>
        <d v="1950-01-01T00:00:00"/>
        <d v="1950-02-01T00:00:00"/>
        <d v="1950-03-01T00:00:00"/>
        <d v="1950-04-01T00:00:00"/>
        <d v="1950-05-01T00:00:00"/>
        <d v="1950-06-01T00:00:00"/>
        <d v="1950-07-01T00:00:00"/>
        <d v="1950-08-01T00:00:00"/>
        <d v="1950-09-01T00:00:00"/>
        <d v="1950-10-01T00:00:00"/>
        <d v="1950-11-01T00:00:00"/>
        <d v="1950-12-01T00:00:00"/>
        <d v="1951-01-01T00:00:00"/>
        <d v="1951-02-01T00:00:00"/>
        <d v="1951-03-01T00:00:00"/>
        <d v="1951-04-01T00:00:00"/>
        <d v="1951-05-01T00:00:00"/>
        <d v="1951-06-01T00:00:00"/>
        <d v="1951-07-01T00:00:00"/>
        <d v="1951-08-01T00:00:00"/>
        <d v="1951-09-01T00:00:00"/>
        <d v="1951-10-01T00:00:00"/>
        <d v="1951-11-01T00:00:00"/>
        <d v="1951-12-01T00:00:00"/>
        <d v="1952-01-01T00:00:00"/>
        <d v="1952-02-01T00:00:00"/>
        <d v="1952-03-01T00:00:00"/>
        <d v="1952-04-01T00:00:00"/>
        <d v="1952-05-01T00:00:00"/>
        <d v="1952-06-01T00:00:00"/>
        <d v="1952-07-01T00:00:00"/>
        <d v="1952-08-01T00:00:00"/>
        <d v="1952-09-01T00:00:00"/>
        <d v="1952-10-01T00:00:00"/>
        <d v="1952-11-01T00:00:00"/>
        <d v="1952-12-01T00:00:00"/>
        <d v="1953-01-01T00:00:00"/>
        <d v="1953-02-01T00:00:00"/>
        <d v="1953-03-01T00:00:00"/>
        <d v="1953-04-01T00:00:00"/>
        <d v="1953-05-01T00:00:00"/>
        <d v="1953-06-01T00:00:00"/>
        <d v="1953-07-01T00:00:00"/>
        <d v="1953-08-01T00:00:00"/>
        <d v="1953-09-01T00:00:00"/>
        <d v="1953-10-01T00:00:00"/>
        <d v="1953-11-01T00:00:00"/>
        <d v="1953-12-01T00:00:00"/>
        <d v="1954-01-01T00:00:00"/>
        <d v="1954-02-01T00:00:00"/>
        <d v="1954-03-01T00:00:00"/>
        <d v="1954-04-01T00:00:00"/>
        <d v="1954-05-01T00:00:00"/>
        <d v="1954-06-01T00:00:00"/>
        <d v="1954-07-01T00:00:00"/>
        <d v="1954-08-01T00:00:00"/>
        <d v="1954-09-01T00:00:00"/>
        <d v="1954-10-01T00:00:00"/>
        <d v="1954-11-01T00:00:00"/>
        <d v="1954-12-01T00:00:00"/>
        <d v="1955-01-01T00:00:00"/>
        <d v="1955-02-01T00:00:00"/>
        <d v="1955-03-01T00:00:00"/>
        <d v="1955-04-01T00:00:00"/>
        <d v="1955-05-01T00:00:00"/>
        <d v="1955-06-01T00:00:00"/>
        <d v="1955-07-01T00:00:00"/>
        <d v="1955-08-01T00:00:00"/>
        <d v="1955-09-01T00:00:00"/>
        <d v="1955-10-01T00:00:00"/>
        <d v="1955-11-01T00:00:00"/>
        <d v="1955-12-01T00:00:00"/>
        <d v="1956-01-01T00:00:00"/>
        <d v="1956-02-01T00:00:00"/>
        <d v="1956-03-01T00:00:00"/>
        <d v="1956-04-01T00:00:00"/>
        <d v="1956-05-01T00:00:00"/>
        <d v="1956-06-01T00:00:00"/>
        <d v="1956-07-01T00:00:00"/>
        <d v="1956-08-01T00:00:00"/>
        <d v="1956-09-01T00:00:00"/>
        <d v="1956-10-01T00:00:00"/>
        <d v="1956-11-01T00:00:00"/>
        <d v="1956-12-01T00:00:00"/>
        <d v="1957-01-01T00:00:00"/>
        <d v="1957-02-01T00:00:00"/>
        <d v="1957-03-01T00:00:00"/>
        <d v="1957-04-01T00:00:00"/>
        <d v="1957-05-01T00:00:00"/>
        <d v="1957-06-01T00:00:00"/>
        <d v="1957-07-01T00:00:00"/>
        <d v="1957-08-01T00:00:00"/>
        <d v="1957-09-01T00:00:00"/>
        <d v="1957-10-01T00:00:00"/>
        <d v="1957-11-01T00:00:00"/>
        <d v="1957-12-01T00:00:00"/>
        <d v="1958-01-01T00:00:00"/>
        <d v="1958-02-01T00:00:00"/>
        <d v="1958-03-01T00:00:00"/>
        <d v="1958-04-01T00:00:00"/>
        <d v="1958-05-01T00:00:00"/>
        <d v="1958-06-01T00:00:00"/>
        <d v="1958-07-01T00:00:00"/>
        <d v="1958-08-01T00:00:00"/>
        <d v="1958-09-01T00:00:00"/>
        <d v="1958-10-01T00:00:00"/>
        <d v="1958-11-01T00:00:00"/>
        <d v="1958-12-01T00:00:00"/>
        <d v="1959-01-01T00:00:00"/>
        <d v="1959-02-01T00:00:00"/>
        <d v="1959-03-01T00:00:00"/>
        <d v="1959-04-01T00:00:00"/>
        <d v="1959-05-01T00:00:00"/>
        <d v="1959-06-01T00:00:00"/>
        <d v="1959-07-01T00:00:00"/>
        <d v="1959-08-01T00:00:00"/>
        <d v="1959-09-01T00:00:00"/>
        <d v="1959-10-01T00:00:00"/>
        <d v="1959-11-01T00:00:00"/>
        <d v="1959-12-01T00:00:00"/>
        <d v="1960-01-01T00:00:00"/>
        <d v="1960-02-01T00:00:00"/>
        <d v="1960-03-01T00:00:00"/>
        <d v="1960-04-01T00:00:00"/>
        <d v="1960-05-01T00:00:00"/>
        <d v="1960-06-01T00:00:00"/>
        <d v="1960-07-01T00:00:00"/>
        <d v="1960-08-01T00:00:00"/>
        <d v="1960-09-01T00:00:00"/>
        <d v="1960-10-01T00:00:00"/>
        <d v="1960-11-01T00:00:00"/>
        <d v="1960-12-01T00:00:00"/>
        <d v="1961-01-01T00:00:00"/>
        <d v="1961-02-01T00:00:00"/>
        <d v="1961-03-01T00:00:00"/>
        <d v="1961-04-01T00:00:00"/>
        <d v="1961-05-01T00:00:00"/>
        <d v="1961-06-01T00:00:00"/>
        <d v="1961-07-01T00:00:00"/>
        <d v="1961-08-01T00:00:00"/>
        <d v="1961-09-01T00:00:00"/>
        <d v="1961-10-01T00:00:00"/>
        <d v="1961-11-01T00:00:00"/>
        <d v="1961-12-01T00:00:00"/>
        <d v="1962-01-01T00:00:00"/>
        <d v="1962-02-01T00:00:00"/>
        <d v="1962-03-01T00:00:00"/>
        <d v="1962-04-01T00:00:00"/>
        <d v="1962-05-01T00:00:00"/>
        <d v="1962-06-01T00:00:00"/>
        <d v="1962-07-01T00:00:00"/>
        <d v="1962-08-01T00:00:00"/>
        <d v="1962-09-01T00:00:00"/>
        <d v="1962-10-01T00:00:00"/>
        <d v="1962-11-01T00:00:00"/>
        <d v="1962-12-01T00:00:00"/>
        <d v="1963-01-01T00:00:00"/>
        <d v="1963-02-01T00:00:00"/>
        <d v="1963-03-01T00:00:00"/>
        <d v="1963-04-01T00:00:00"/>
        <d v="1963-05-01T00:00:00"/>
        <d v="1963-06-01T00:00:00"/>
        <d v="1963-07-01T00:00:00"/>
        <d v="1963-08-01T00:00:00"/>
        <d v="1963-09-01T00:00:00"/>
        <d v="1963-10-01T00:00:00"/>
        <d v="1963-11-01T00:00:00"/>
        <d v="1963-12-01T00:00:00"/>
        <d v="1964-01-01T00:00:00"/>
        <d v="1964-02-01T00:00:00"/>
        <d v="1964-03-01T00:00:00"/>
        <d v="1964-04-01T00:00:00"/>
        <d v="1964-05-01T00:00:00"/>
        <d v="1964-06-01T00:00:00"/>
        <d v="1964-07-01T00:00:00"/>
        <d v="1964-08-01T00:00:00"/>
        <d v="1964-09-01T00:00:00"/>
        <d v="1964-10-01T00:00:00"/>
        <d v="1964-11-01T00:00:00"/>
        <d v="1964-12-01T00:00:00"/>
        <d v="1965-01-01T00:00:00"/>
        <d v="1965-02-01T00:00:00"/>
        <d v="1965-03-01T00:00:00"/>
        <d v="1965-04-01T00:00:00"/>
        <d v="1965-05-01T00:00:00"/>
        <d v="1965-06-01T00:00:00"/>
        <d v="1965-07-01T00:00:00"/>
        <d v="1965-08-01T00:00:00"/>
        <d v="1965-09-01T00:00:00"/>
        <d v="1965-10-01T00:00:00"/>
        <d v="1965-11-01T00:00:00"/>
        <d v="1965-12-01T00:00:00"/>
        <d v="1966-01-01T00:00:00"/>
        <d v="1966-02-01T00:00:00"/>
        <d v="1966-03-01T00:00:00"/>
        <d v="1966-04-01T00:00:00"/>
        <d v="1966-05-01T00:00:00"/>
        <d v="1966-06-01T00:00:00"/>
        <d v="1966-07-01T00:00:00"/>
        <d v="1966-08-01T00:00:00"/>
        <d v="1966-09-01T00:00:00"/>
        <d v="1966-10-01T00:00:00"/>
        <d v="1966-11-01T00:00:00"/>
        <d v="1966-12-01T00:00:00"/>
        <d v="1967-01-01T00:00:00"/>
        <d v="1967-02-01T00:00:00"/>
        <d v="1967-03-01T00:00:00"/>
        <d v="1967-04-01T00:00:00"/>
        <d v="1967-05-01T00:00:00"/>
        <d v="1967-06-01T00:00:00"/>
        <d v="1967-07-01T00:00:00"/>
        <d v="1967-08-01T00:00:00"/>
        <d v="1967-09-01T00:00:00"/>
        <d v="1967-10-01T00:00:00"/>
        <d v="1967-11-01T00:00:00"/>
        <d v="1967-12-01T00:00:00"/>
        <d v="1968-01-01T00:00:00"/>
        <d v="1968-02-01T00:00:00"/>
        <d v="1968-03-01T00:00:00"/>
        <d v="1968-04-01T00:00:00"/>
        <d v="1968-05-01T00:00:00"/>
        <d v="1968-06-01T00:00:00"/>
        <d v="1968-07-01T00:00:00"/>
        <d v="1968-08-01T00:00:00"/>
        <d v="1968-09-01T00:00:00"/>
        <d v="1968-10-01T00:00:00"/>
        <d v="1968-11-01T00:00:00"/>
        <d v="1968-12-01T00:00:00"/>
      </sharedItems>
    </cacheField>
    <cacheField name="Price" numFmtId="0">
      <sharedItems containsSemiMixedTypes="0" containsString="0" containsNumber="1" minValue="46.85" maxValue="985.93" count="637">
        <n v="55"/>
        <n v="56.55"/>
        <n v="56"/>
        <n v="58.3"/>
        <n v="66.45"/>
        <n v="65.95"/>
        <n v="68.400000000000006"/>
        <n v="71.849999999999994"/>
        <n v="79.25"/>
        <n v="85.5"/>
        <n v="92.35"/>
        <n v="94.35"/>
        <n v="97"/>
        <n v="94.7"/>
        <n v="93.55"/>
        <n v="93.3"/>
        <n v="89.75"/>
        <n v="90.15"/>
        <n v="90.65"/>
        <n v="88.45"/>
        <n v="91"/>
        <n v="97.45"/>
        <n v="102.1"/>
        <n v="107.9"/>
        <n v="98.5"/>
        <n v="97.15"/>
        <n v="90.95"/>
        <n v="94.65"/>
        <n v="93.9"/>
        <n v="93.35"/>
        <n v="96.95"/>
        <n v="92.9"/>
        <n v="88.65"/>
        <n v="83.6"/>
        <n v="79.05"/>
        <n v="71.400000000000006"/>
        <n v="70.2"/>
        <n v="76.599999999999994"/>
        <n v="79.95"/>
        <n v="78.05"/>
        <n v="77.650000000000006"/>
        <n v="81.05"/>
        <n v="80.45"/>
        <n v="81.849999999999994"/>
        <n v="81.95"/>
        <n v="82.5"/>
        <n v="86.25"/>
        <n v="84"/>
        <n v="81.650000000000006"/>
        <n v="82.45"/>
        <n v="86.55"/>
        <n v="91.15"/>
        <n v="99.4"/>
        <n v="103.6"/>
        <n v="109.7"/>
        <n v="103.25"/>
        <n v="108.2"/>
        <n v="113.9"/>
        <n v="111.6"/>
        <n v="105.8"/>
        <n v="105.9"/>
        <n v="96.5"/>
        <n v="97.95"/>
        <n v="99.45"/>
        <n v="91.1"/>
        <n v="91.7"/>
        <n v="90.7"/>
        <n v="85.25"/>
        <n v="86.5"/>
        <n v="84.85"/>
        <n v="79.3"/>
        <n v="72.2"/>
        <n v="74.75"/>
        <n v="75.7"/>
        <n v="75.05"/>
        <n v="77"/>
        <n v="76.7"/>
        <n v="69.2"/>
        <n v="68.599999999999994"/>
        <n v="66.95"/>
        <n v="69.349999999999994"/>
        <n v="71.7"/>
        <n v="79.8"/>
        <n v="80.599999999999994"/>
        <n v="83.75"/>
        <n v="87.2"/>
        <n v="91.3"/>
        <n v="93.95"/>
        <n v="95"/>
        <n v="99.2"/>
        <n v="99.75"/>
        <n v="95.75"/>
        <n v="98.2"/>
        <n v="100.8"/>
        <n v="103.9"/>
        <n v="100.55"/>
        <n v="95.5"/>
        <n v="92.55"/>
        <n v="89.3"/>
        <n v="90.45"/>
        <n v="90.75"/>
        <n v="88.15"/>
        <n v="94.1"/>
        <n v="97.8"/>
        <n v="98.8"/>
        <n v="95.6"/>
        <n v="91.95"/>
        <n v="90.4"/>
        <n v="99.25"/>
        <n v="103.55"/>
        <n v="102.9"/>
        <n v="101.65"/>
        <n v="107.65"/>
        <n v="115.45"/>
        <n v="121.55"/>
        <n v="120.45"/>
        <n v="120.35"/>
        <n v="119.7"/>
        <n v="125.55"/>
        <n v="128.9"/>
        <n v="133.9"/>
        <n v="138.85"/>
        <n v="142.44999999999999"/>
        <n v="150.65"/>
        <n v="153.80000000000001"/>
        <n v="154.55000000000001"/>
        <n v="156.1"/>
        <n v="158.4"/>
        <n v="144.25"/>
        <n v="140.55000000000001"/>
        <n v="140.30000000000001"/>
        <n v="148.15"/>
        <n v="156.80000000000001"/>
        <n v="163.5"/>
        <n v="161.19999999999999"/>
        <n v="152.69999999999999"/>
        <n v="153.94999999999999"/>
        <n v="159.30000000000001"/>
        <n v="154.65"/>
        <n v="158.15"/>
        <n v="160.1"/>
        <n v="164.05"/>
        <n v="168.8"/>
        <n v="168.85"/>
        <n v="175.35"/>
        <n v="183.85"/>
        <n v="195.3"/>
        <n v="189.8"/>
        <n v="189.95"/>
        <n v="198"/>
        <n v="198.95"/>
        <n v="195.35"/>
        <n v="204.5"/>
        <n v="212.45"/>
        <n v="216.3"/>
        <n v="211.5"/>
        <n v="210.85"/>
        <n v="227.25"/>
        <n v="239.3"/>
        <n v="247.45"/>
        <n v="274.89999999999998"/>
        <n v="278.64999999999998"/>
        <n v="307.25"/>
        <n v="309"/>
        <n v="308.85000000000002"/>
        <n v="309.2"/>
        <n v="310.25"/>
        <n v="316.45"/>
        <n v="341.45"/>
        <n v="359.15"/>
        <n v="362.35"/>
        <n v="291.5"/>
        <n v="228.2"/>
        <n v="247.2"/>
        <n v="255.65"/>
        <n v="267.39999999999998"/>
        <n v="278.25"/>
        <n v="285.5"/>
        <n v="266.7"/>
        <n v="243.15"/>
        <n v="229.8"/>
        <n v="228.8"/>
        <n v="225"/>
        <n v="198.75"/>
        <n v="180.95"/>
        <n v="172.15"/>
        <n v="167.25"/>
        <n v="181.55"/>
        <n v="180.05"/>
        <n v="158"/>
        <n v="141.44999999999999"/>
        <n v="139.30000000000001"/>
        <n v="145.35"/>
        <n v="139.80000000000001"/>
        <n v="118.35"/>
        <n v="98.1"/>
        <n v="103.4"/>
        <n v="82.8"/>
        <n v="78.55"/>
        <n v="78.900000000000006"/>
        <n v="64.05"/>
        <n v="51.85"/>
        <n v="46.85"/>
        <n v="47.75"/>
        <n v="64.400000000000006"/>
        <n v="71"/>
        <n v="65.3"/>
        <n v="62.2"/>
        <n v="58.85"/>
        <n v="61.85"/>
        <n v="55.15"/>
        <n v="57.75"/>
        <n v="66.7"/>
        <n v="83.3"/>
        <n v="93.8"/>
        <n v="98.55"/>
        <n v="98.85"/>
        <n v="91.65"/>
        <n v="95.45"/>
        <n v="99.05"/>
        <n v="102.85"/>
        <n v="106.9"/>
        <n v="102.3"/>
        <n v="96.2"/>
        <n v="95.9"/>
        <n v="92.25"/>
        <n v="91.6"/>
        <n v="90.2"/>
        <n v="93"/>
        <n v="98.3"/>
        <n v="101.8"/>
        <n v="103.2"/>
        <n v="103.7"/>
        <n v="100"/>
        <n v="105.45"/>
        <n v="112.75"/>
        <n v="115.25"/>
        <n v="122.65"/>
        <n v="126.95"/>
        <n v="130.69999999999999"/>
        <n v="134.80000000000001"/>
        <n v="144.75"/>
        <n v="141.69999999999999"/>
        <n v="146.30000000000001"/>
        <n v="152"/>
        <n v="154.6"/>
        <n v="152.85"/>
        <n v="149.5"/>
        <n v="155"/>
        <n v="162.25"/>
        <n v="164.95"/>
        <n v="167.4"/>
        <n v="172.95"/>
        <n v="180.8"/>
        <n v="179.05"/>
        <n v="182.3"/>
        <n v="188.4"/>
        <n v="187.1"/>
        <n v="177.65"/>
        <n v="171.9"/>
        <n v="170.3"/>
        <n v="177.85"/>
        <n v="182.95"/>
        <n v="160.25"/>
        <n v="139.9"/>
        <n v="124.75"/>
        <n v="124.35"/>
        <n v="127.25"/>
        <n v="125.45"/>
        <n v="114.75"/>
        <n v="111"/>
        <n v="113.55"/>
        <n v="122.8"/>
        <n v="139.75"/>
        <n v="140.94999999999999"/>
        <n v="136.5"/>
        <n v="148.65"/>
        <n v="152.25"/>
        <n v="151.1"/>
        <n v="145.65"/>
        <n v="144.85"/>
        <n v="142.05000000000001"/>
        <n v="127.1"/>
        <n v="133"/>
        <n v="135.1"/>
        <n v="138.19999999999999"/>
        <n v="137.80000000000001"/>
        <n v="144.4"/>
        <n v="152.55000000000001"/>
        <n v="149.15"/>
        <n v="148.35"/>
        <n v="148.75"/>
        <n v="146.94999999999999"/>
        <n v="147"/>
        <n v="149.05000000000001"/>
        <n v="131.05000000000001"/>
        <n v="117.85"/>
        <n v="123.55"/>
        <n v="125.35"/>
        <n v="131.4"/>
        <n v="132.75"/>
        <n v="133.94999999999999"/>
        <n v="130.4"/>
        <n v="128.85"/>
        <n v="121.25"/>
        <n v="122.1"/>
        <n v="120.1"/>
        <n v="116.55"/>
        <n v="126.5"/>
        <n v="126.55"/>
        <n v="127.55"/>
        <n v="122.35"/>
        <n v="117.05"/>
        <n v="111.5"/>
        <n v="111.55"/>
        <n v="107.95"/>
        <n v="103.1"/>
        <n v="97.7"/>
        <n v="98.45"/>
        <n v="103.8"/>
        <n v="106.2"/>
        <n v="107.8"/>
        <n v="112.5"/>
        <n v="115.7"/>
        <n v="117.15"/>
        <n v="122.42"/>
        <n v="127.59"/>
        <n v="132.71"/>
        <n v="134.06"/>
        <n v="139.13"/>
        <n v="141.08000000000001"/>
        <n v="140.88"/>
        <n v="136.22"/>
        <n v="139.33000000000001"/>
        <n v="138.36000000000001"/>
        <n v="134.04"/>
        <n v="133.46"/>
        <n v="137.28"/>
        <n v="135.84"/>
        <n v="138.72"/>
        <n v="137.06"/>
        <n v="139.65"/>
        <n v="145.12"/>
        <n v="148.04"/>
        <n v="146.93"/>
        <n v="145.06"/>
        <n v="147.38"/>
        <n v="146.84"/>
        <n v="149.91999999999999"/>
        <n v="153.6"/>
        <n v="157.1"/>
        <n v="156.9"/>
        <n v="160.22"/>
        <n v="166.08"/>
        <n v="166.74"/>
        <n v="164"/>
        <n v="167.92"/>
        <n v="177.8"/>
        <n v="185.06"/>
        <n v="189.34"/>
        <n v="192.44"/>
        <n v="198.12"/>
        <n v="196.5"/>
        <n v="194.51"/>
        <n v="203.75"/>
        <n v="206.58"/>
        <n v="206"/>
        <n v="201.39"/>
        <n v="196.86"/>
        <n v="173.18"/>
        <n v="169.53"/>
        <n v="168.98"/>
        <n v="172.91"/>
        <n v="176.2"/>
        <n v="180.86"/>
        <n v="177.12"/>
        <n v="172.07"/>
        <n v="168.71"/>
        <n v="172.72"/>
        <n v="183.36"/>
        <n v="180.69"/>
        <n v="177.34"/>
        <n v="181.7"/>
        <n v="181.28"/>
        <n v="178.45"/>
        <n v="176.11"/>
        <n v="170.28"/>
        <n v="171.3"/>
        <n v="180.55"/>
        <n v="185.67"/>
        <n v="190.53"/>
        <n v="186.41"/>
        <n v="181.44"/>
        <n v="180.68"/>
        <n v="185.03"/>
        <n v="180.48"/>
        <n v="175.57"/>
        <n v="178.28"/>
        <n v="175.74"/>
        <n v="176.06"/>
        <n v="175.2"/>
        <n v="172.5"/>
        <n v="164.88"/>
        <n v="172.27"/>
        <n v="179.43"/>
        <n v="180.66"/>
        <n v="186.17"/>
        <n v="190.8"/>
        <n v="196.62"/>
        <n v="199.79"/>
        <n v="203.46"/>
        <n v="206.3"/>
        <n v="212.67"/>
        <n v="219.36"/>
        <n v="221.02"/>
        <n v="205.3"/>
        <n v="216.6"/>
        <n v="223.21"/>
        <n v="229.32"/>
        <n v="229.38"/>
        <n v="229.26"/>
        <n v="244.45"/>
        <n v="253.32"/>
        <n v="249.5"/>
        <n v="253.36"/>
        <n v="254.36"/>
        <n v="249.32"/>
        <n v="253.6"/>
        <n v="264.92"/>
        <n v="273.36"/>
        <n v="269.73"/>
        <n v="259.61"/>
        <n v="266.08999999999997"/>
        <n v="271.70999999999998"/>
        <n v="265.19"/>
        <n v="264.48"/>
        <n v="262.55"/>
        <n v="261.61"/>
        <n v="268.39"/>
        <n v="276.04000000000002"/>
        <n v="276.7"/>
        <n v="272.39999999999998"/>
        <n v="267.77"/>
        <n v="276.37"/>
        <n v="285.95"/>
        <n v="288.44"/>
        <n v="283.94"/>
        <n v="286.79000000000002"/>
        <n v="275.27999999999997"/>
        <n v="276.83999999999997"/>
        <n v="266.88"/>
        <n v="270.32"/>
        <n v="272.20999999999998"/>
        <n v="261.89999999999998"/>
        <n v="270.73"/>
        <n v="277.10000000000002"/>
        <n v="281.14999999999998"/>
        <n v="286.64"/>
        <n v="292.13"/>
        <n v="299.14999999999998"/>
        <n v="310.92"/>
        <n v="322.86"/>
        <n v="327.91"/>
        <n v="341.27"/>
        <n v="346.06"/>
        <n v="352.71"/>
        <n v="358.29"/>
        <n v="375.75"/>
        <n v="393.84"/>
        <n v="398.43"/>
        <n v="410.25"/>
        <n v="408.91"/>
        <n v="422.99"/>
        <n v="421.55"/>
        <n v="440.79"/>
        <n v="462.16"/>
        <n v="457.29"/>
        <n v="476.43"/>
        <n v="452.65"/>
        <n v="476.58"/>
        <n v="484.58"/>
        <n v="474.75"/>
        <n v="475.52"/>
        <n v="502.67"/>
        <n v="511.04"/>
        <n v="495.2"/>
        <n v="485.33"/>
        <n v="509.76"/>
        <n v="511.69"/>
        <n v="495.01"/>
        <n v="483.8"/>
        <n v="479.34"/>
        <n v="492.01"/>
        <n v="485.9"/>
        <n v="466.84"/>
        <n v="472.78"/>
        <n v="485.42"/>
        <n v="500.83"/>
        <n v="505.27"/>
        <n v="514.64"/>
        <n v="487.97"/>
        <n v="471.79"/>
        <n v="443.38"/>
        <n v="436.73"/>
        <n v="436.94"/>
        <n v="445.68"/>
        <n v="444.16"/>
        <n v="450.14"/>
        <n v="446.9"/>
        <n v="460.04"/>
        <n v="471.97"/>
        <n v="488.27"/>
        <n v="507.55"/>
        <n v="521.82000000000005"/>
        <n v="539.85"/>
        <n v="557.1"/>
        <n v="566.42999999999995"/>
        <n v="592.29"/>
        <n v="590.72"/>
        <n v="609.12"/>
        <n v="616.99"/>
        <n v="630.79999999999995"/>
        <n v="631.51"/>
        <n v="662.81"/>
        <n v="660.58"/>
        <n v="635.47"/>
        <n v="637.34"/>
        <n v="646.42999999999995"/>
        <n v="671.35"/>
        <n v="665.39"/>
        <n v="624.88"/>
        <n v="614.70000000000005"/>
        <n v="619.98"/>
        <n v="615.64"/>
        <n v="644.38"/>
        <n v="625.83000000000004"/>
        <n v="624.47"/>
        <n v="598.1"/>
        <n v="582.45000000000005"/>
        <n v="601.14"/>
        <n v="609.54"/>
        <n v="632.20000000000005"/>
        <n v="650.01"/>
        <n v="670.56"/>
        <n v="684.9"/>
        <n v="693.03"/>
        <n v="691.44"/>
        <n v="690.66"/>
        <n v="718.64"/>
        <n v="711.02"/>
        <n v="703.01"/>
        <n v="724.74"/>
        <n v="728.44"/>
        <n v="705.16"/>
        <n v="711.95"/>
        <n v="714.21"/>
        <n v="690.28"/>
        <n v="643.71"/>
        <n v="572.64"/>
        <n v="581.78"/>
        <n v="602.51"/>
        <n v="597.02"/>
        <n v="580.65"/>
        <n v="628.82000000000005"/>
        <n v="648.38"/>
        <n v="672.1"/>
        <n v="679.75"/>
        <n v="674.63"/>
        <n v="707.12"/>
        <n v="720.84"/>
        <n v="719.14"/>
        <n v="700.75"/>
        <n v="714.15"/>
        <n v="738.52"/>
        <n v="747.52"/>
        <n v="743.24"/>
        <n v="759.94"/>
        <n v="776.62"/>
        <n v="793.03"/>
        <n v="812.18"/>
        <n v="820.94"/>
        <n v="823.12"/>
        <n v="817.63"/>
        <n v="844.24"/>
        <n v="835.3"/>
        <n v="863.55"/>
        <n v="875.26"/>
        <n v="880.04"/>
        <n v="866.73"/>
        <n v="889.89"/>
        <n v="894.41"/>
        <n v="896.44"/>
        <n v="907.71"/>
        <n v="927.5"/>
        <n v="878.06"/>
        <n v="873.43"/>
        <n v="887.7"/>
        <n v="922.18"/>
        <n v="944.77"/>
        <n v="953.31"/>
        <n v="955.19"/>
        <n v="985.93"/>
        <n v="977.15"/>
        <n v="926.43"/>
        <n v="943.7"/>
        <n v="890.7"/>
        <n v="888.73"/>
        <n v="875.87"/>
        <n v="817.55"/>
        <n v="791.65"/>
        <n v="778.1"/>
        <n v="806.55"/>
        <n v="800.86"/>
        <n v="830.56"/>
        <n v="851.12"/>
        <n v="858.11"/>
        <n v="868.66"/>
        <n v="883.74"/>
        <n v="872.66"/>
        <n v="888.51"/>
        <n v="912.46"/>
        <n v="923.45"/>
        <n v="907.54"/>
        <n v="865.43"/>
        <n v="887.2"/>
        <n v="884.77"/>
        <n v="847.2"/>
        <n v="834.76"/>
        <n v="893.37"/>
        <n v="905.22"/>
        <n v="906.82"/>
        <n v="905.32"/>
        <n v="883.72"/>
        <n v="922.8"/>
        <n v="955.47"/>
        <n v="964.12"/>
        <n v="965.39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3.9153142785409E+16" maxValue="1.843142200219199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9">
  <r>
    <b v="0"/>
    <x v="0"/>
    <x v="0"/>
    <n v="0"/>
    <n v="1.57023693186544E+18"/>
  </r>
  <r>
    <b v="0"/>
    <x v="1"/>
    <x v="1"/>
    <n v="0"/>
    <n v="7.8203745256853699E+18"/>
  </r>
  <r>
    <b v="0"/>
    <x v="2"/>
    <x v="2"/>
    <n v="0"/>
    <n v="1.60335028498601E+19"/>
  </r>
  <r>
    <b v="0"/>
    <x v="3"/>
    <x v="3"/>
    <n v="0"/>
    <n v="7.60779827646575E+18"/>
  </r>
  <r>
    <b v="0"/>
    <x v="4"/>
    <x v="4"/>
    <n v="0"/>
    <n v="1.30551864883862E+19"/>
  </r>
  <r>
    <b v="0"/>
    <x v="5"/>
    <x v="5"/>
    <n v="0"/>
    <n v="7.4660741758031002E+18"/>
  </r>
  <r>
    <b v="0"/>
    <x v="6"/>
    <x v="6"/>
    <n v="0"/>
    <n v="1.5330111694959401E+19"/>
  </r>
  <r>
    <b v="0"/>
    <x v="7"/>
    <x v="7"/>
    <n v="0"/>
    <n v="9.9143135805008794E+18"/>
  </r>
  <r>
    <b v="0"/>
    <x v="8"/>
    <x v="8"/>
    <n v="0"/>
    <n v="3.3411595101603799E+18"/>
  </r>
  <r>
    <b v="0"/>
    <x v="9"/>
    <x v="9"/>
    <n v="0"/>
    <n v="1.49404727075502E+19"/>
  </r>
  <r>
    <b v="0"/>
    <x v="10"/>
    <x v="10"/>
    <n v="0"/>
    <n v="1.68420335586337E+18"/>
  </r>
  <r>
    <b v="0"/>
    <x v="11"/>
    <x v="11"/>
    <n v="0"/>
    <n v="4.9899227960621404E+18"/>
  </r>
  <r>
    <b v="0"/>
    <x v="12"/>
    <x v="12"/>
    <n v="0"/>
    <n v="1.5876360222049599E+19"/>
  </r>
  <r>
    <b v="0"/>
    <x v="13"/>
    <x v="13"/>
    <n v="0"/>
    <n v="1.3022663497231499E+19"/>
  </r>
  <r>
    <b v="0"/>
    <x v="14"/>
    <x v="14"/>
    <n v="0"/>
    <n v="5.8413849798165105E+18"/>
  </r>
  <r>
    <b v="0"/>
    <x v="15"/>
    <x v="15"/>
    <n v="0"/>
    <n v="9.3421172730540892E+18"/>
  </r>
  <r>
    <b v="0"/>
    <x v="16"/>
    <x v="16"/>
    <n v="0"/>
    <n v="3.7447105275221601E+18"/>
  </r>
  <r>
    <b v="0"/>
    <x v="17"/>
    <x v="17"/>
    <n v="0"/>
    <n v="1.57040052907183E+19"/>
  </r>
  <r>
    <b v="0"/>
    <x v="18"/>
    <x v="18"/>
    <n v="0"/>
    <n v="2.0112166302463201E+18"/>
  </r>
  <r>
    <b v="0"/>
    <x v="19"/>
    <x v="19"/>
    <n v="0"/>
    <n v="8.2391975663687096E+18"/>
  </r>
  <r>
    <b v="0"/>
    <x v="20"/>
    <x v="20"/>
    <n v="0"/>
    <n v="1.8181340524437101E+19"/>
  </r>
  <r>
    <b v="0"/>
    <x v="21"/>
    <x v="21"/>
    <n v="0"/>
    <n v="3.3460059133863501E+18"/>
  </r>
  <r>
    <b v="0"/>
    <x v="22"/>
    <x v="22"/>
    <n v="0"/>
    <n v="1.0005966591930499E+19"/>
  </r>
  <r>
    <b v="0"/>
    <x v="23"/>
    <x v="23"/>
    <n v="0"/>
    <n v="1.22752268448309E+19"/>
  </r>
  <r>
    <b v="0"/>
    <x v="24"/>
    <x v="24"/>
    <n v="0"/>
    <n v="4.1733651727970898E+18"/>
  </r>
  <r>
    <b v="0"/>
    <x v="25"/>
    <x v="25"/>
    <n v="0"/>
    <n v="7.2546145598875904E+18"/>
  </r>
  <r>
    <b v="0"/>
    <x v="26"/>
    <x v="26"/>
    <n v="0"/>
    <n v="1.6604290164299E+18"/>
  </r>
  <r>
    <b v="0"/>
    <x v="27"/>
    <x v="27"/>
    <n v="0"/>
    <n v="1.38891184059961E+19"/>
  </r>
  <r>
    <b v="0"/>
    <x v="28"/>
    <x v="28"/>
    <n v="0"/>
    <n v="3.8271525456497901E+17"/>
  </r>
  <r>
    <b v="0"/>
    <x v="29"/>
    <x v="29"/>
    <n v="0"/>
    <n v="3.5059734491168701E+18"/>
  </r>
  <r>
    <b v="0"/>
    <x v="30"/>
    <x v="30"/>
    <n v="0"/>
    <n v="1.68636516010354E+18"/>
  </r>
  <r>
    <b v="0"/>
    <x v="31"/>
    <x v="31"/>
    <n v="0"/>
    <n v="1.0851519617830699E+19"/>
  </r>
  <r>
    <b v="0"/>
    <x v="32"/>
    <x v="32"/>
    <n v="0"/>
    <n v="1.01266366078162E+19"/>
  </r>
  <r>
    <b v="0"/>
    <x v="33"/>
    <x v="33"/>
    <n v="0"/>
    <n v="1.3147922315694201E+19"/>
  </r>
  <r>
    <b v="0"/>
    <x v="34"/>
    <x v="34"/>
    <n v="0"/>
    <n v="1.7984553380046899E+19"/>
  </r>
  <r>
    <b v="0"/>
    <x v="35"/>
    <x v="35"/>
    <n v="0"/>
    <n v="1.6421676703413701E+19"/>
  </r>
  <r>
    <b v="0"/>
    <x v="36"/>
    <x v="36"/>
    <n v="0"/>
    <n v="1.46876307664767E+19"/>
  </r>
  <r>
    <b v="0"/>
    <x v="37"/>
    <x v="37"/>
    <n v="0"/>
    <n v="1.0246542331771601E+19"/>
  </r>
  <r>
    <b v="0"/>
    <x v="38"/>
    <x v="38"/>
    <n v="0"/>
    <n v="1.4532925883676201E+19"/>
  </r>
  <r>
    <b v="0"/>
    <x v="39"/>
    <x v="39"/>
    <n v="0"/>
    <n v="2.3003727323635699E+18"/>
  </r>
  <r>
    <b v="0"/>
    <x v="40"/>
    <x v="40"/>
    <n v="0"/>
    <n v="1.5626247000871999E+19"/>
  </r>
  <r>
    <b v="0"/>
    <x v="41"/>
    <x v="41"/>
    <n v="0"/>
    <n v="1.6518613233728899E+19"/>
  </r>
  <r>
    <b v="0"/>
    <x v="42"/>
    <x v="42"/>
    <n v="0"/>
    <n v="1.0209300898651501E+19"/>
  </r>
  <r>
    <b v="0"/>
    <x v="43"/>
    <x v="43"/>
    <n v="0"/>
    <n v="1.7485340778244499E+19"/>
  </r>
  <r>
    <b v="0"/>
    <x v="44"/>
    <x v="44"/>
    <n v="0"/>
    <n v="4.7877062254781102E+18"/>
  </r>
  <r>
    <b v="0"/>
    <x v="45"/>
    <x v="45"/>
    <n v="0"/>
    <n v="1.79197141310364E+19"/>
  </r>
  <r>
    <b v="0"/>
    <x v="46"/>
    <x v="46"/>
    <n v="0"/>
    <n v="1.8010115035768799E+19"/>
  </r>
  <r>
    <b v="0"/>
    <x v="47"/>
    <x v="47"/>
    <n v="0"/>
    <n v="7.5286814245985997E+18"/>
  </r>
  <r>
    <b v="0"/>
    <x v="48"/>
    <x v="45"/>
    <n v="0"/>
    <n v="1.7884465257954299E+18"/>
  </r>
  <r>
    <b v="0"/>
    <x v="49"/>
    <x v="48"/>
    <n v="0"/>
    <n v="5.6721901142308301E+17"/>
  </r>
  <r>
    <b v="0"/>
    <x v="50"/>
    <x v="49"/>
    <n v="0"/>
    <n v="1.3548370055578499E+19"/>
  </r>
  <r>
    <b v="0"/>
    <x v="51"/>
    <x v="50"/>
    <n v="0"/>
    <n v="1.29851241238854E+19"/>
  </r>
  <r>
    <b v="0"/>
    <x v="52"/>
    <x v="51"/>
    <n v="0"/>
    <n v="3.7817294605501901E+18"/>
  </r>
  <r>
    <b v="0"/>
    <x v="53"/>
    <x v="52"/>
    <n v="0"/>
    <n v="9.9459804016998502E+18"/>
  </r>
  <r>
    <b v="0"/>
    <x v="54"/>
    <x v="53"/>
    <n v="0"/>
    <n v="2.8497047543394601E+18"/>
  </r>
  <r>
    <b v="0"/>
    <x v="55"/>
    <x v="54"/>
    <n v="0"/>
    <n v="4.6844218393084805E+18"/>
  </r>
  <r>
    <b v="0"/>
    <x v="56"/>
    <x v="55"/>
    <n v="0"/>
    <n v="7.5002090375566602E+18"/>
  </r>
  <r>
    <b v="0"/>
    <x v="57"/>
    <x v="56"/>
    <n v="0"/>
    <n v="1.27168661763747E+19"/>
  </r>
  <r>
    <b v="0"/>
    <x v="58"/>
    <x v="57"/>
    <n v="0"/>
    <n v="1.10117747943861E+19"/>
  </r>
  <r>
    <b v="0"/>
    <x v="59"/>
    <x v="58"/>
    <n v="0"/>
    <n v="1.49864687876282E+19"/>
  </r>
  <r>
    <b v="0"/>
    <x v="60"/>
    <x v="59"/>
    <n v="0"/>
    <n v="6.8742506277359503E+18"/>
  </r>
  <r>
    <b v="0"/>
    <x v="61"/>
    <x v="60"/>
    <n v="0"/>
    <n v="7.2984611635122504E+18"/>
  </r>
  <r>
    <b v="0"/>
    <x v="62"/>
    <x v="61"/>
    <n v="0"/>
    <n v="1.62814325613342E+19"/>
  </r>
  <r>
    <b v="0"/>
    <x v="63"/>
    <x v="62"/>
    <n v="0"/>
    <n v="8.9619107977132001E+18"/>
  </r>
  <r>
    <b v="0"/>
    <x v="64"/>
    <x v="63"/>
    <n v="0"/>
    <n v="1.3275548132584901E+19"/>
  </r>
  <r>
    <b v="0"/>
    <x v="65"/>
    <x v="64"/>
    <n v="0"/>
    <n v="2.4312789756991099E+18"/>
  </r>
  <r>
    <b v="0"/>
    <x v="66"/>
    <x v="65"/>
    <n v="0"/>
    <n v="1.2046162584142999E+18"/>
  </r>
  <r>
    <b v="0"/>
    <x v="67"/>
    <x v="66"/>
    <n v="0"/>
    <n v="2.1751704217765801E+18"/>
  </r>
  <r>
    <b v="0"/>
    <x v="68"/>
    <x v="67"/>
    <n v="0"/>
    <n v="2.8180896745612902E+18"/>
  </r>
  <r>
    <b v="0"/>
    <x v="69"/>
    <x v="68"/>
    <n v="0"/>
    <n v="8.7369972074680003E+18"/>
  </r>
  <r>
    <b v="0"/>
    <x v="70"/>
    <x v="69"/>
    <n v="0"/>
    <n v="1.83981289808692E+19"/>
  </r>
  <r>
    <b v="0"/>
    <x v="71"/>
    <x v="70"/>
    <n v="0"/>
    <n v="4.9325196451781898E+18"/>
  </r>
  <r>
    <b v="0"/>
    <x v="72"/>
    <x v="71"/>
    <n v="0"/>
    <n v="1.6673322907127599E+19"/>
  </r>
  <r>
    <b v="0"/>
    <x v="73"/>
    <x v="72"/>
    <n v="0"/>
    <n v="8.6751489040711496E+18"/>
  </r>
  <r>
    <b v="0"/>
    <x v="74"/>
    <x v="73"/>
    <n v="0"/>
    <n v="9.63695245296239E+18"/>
  </r>
  <r>
    <b v="0"/>
    <x v="75"/>
    <x v="74"/>
    <n v="0"/>
    <n v="1.07478490791559E+19"/>
  </r>
  <r>
    <b v="0"/>
    <x v="76"/>
    <x v="75"/>
    <n v="0"/>
    <n v="1.1448373701414101E+19"/>
  </r>
  <r>
    <b v="0"/>
    <x v="77"/>
    <x v="76"/>
    <n v="0"/>
    <n v="1.1649987807174199E+19"/>
  </r>
  <r>
    <b v="0"/>
    <x v="78"/>
    <x v="77"/>
    <n v="0"/>
    <n v="1.8465595741460602E+17"/>
  </r>
  <r>
    <b v="0"/>
    <x v="79"/>
    <x v="78"/>
    <n v="0"/>
    <n v="1.80133308521863E+19"/>
  </r>
  <r>
    <b v="0"/>
    <x v="80"/>
    <x v="79"/>
    <n v="0"/>
    <n v="1.0764958371157701E+19"/>
  </r>
  <r>
    <b v="0"/>
    <x v="81"/>
    <x v="80"/>
    <n v="0"/>
    <n v="3.1089342617970401E+18"/>
  </r>
  <r>
    <b v="0"/>
    <x v="82"/>
    <x v="81"/>
    <n v="0"/>
    <n v="5.5653740005750897E+18"/>
  </r>
  <r>
    <b v="0"/>
    <x v="83"/>
    <x v="73"/>
    <n v="0"/>
    <n v="8.0513831230700104E+18"/>
  </r>
  <r>
    <b v="0"/>
    <x v="84"/>
    <x v="82"/>
    <n v="0"/>
    <n v="2.09788754432659E+18"/>
  </r>
  <r>
    <b v="0"/>
    <x v="85"/>
    <x v="83"/>
    <n v="0"/>
    <n v="5.4446737965344297E+18"/>
  </r>
  <r>
    <b v="0"/>
    <x v="86"/>
    <x v="84"/>
    <n v="0"/>
    <n v="1.45824110925596E+19"/>
  </r>
  <r>
    <b v="0"/>
    <x v="87"/>
    <x v="85"/>
    <n v="0"/>
    <n v="1.50987587604142E+19"/>
  </r>
  <r>
    <b v="0"/>
    <x v="88"/>
    <x v="86"/>
    <n v="0"/>
    <n v="1.7388395359725699E+19"/>
  </r>
  <r>
    <b v="0"/>
    <x v="89"/>
    <x v="87"/>
    <n v="0"/>
    <n v="3.16586732215806E+18"/>
  </r>
  <r>
    <b v="0"/>
    <x v="90"/>
    <x v="14"/>
    <n v="0"/>
    <n v="3.4205858744415299E+18"/>
  </r>
  <r>
    <b v="0"/>
    <x v="91"/>
    <x v="88"/>
    <n v="0"/>
    <n v="5.8750765393947003E+18"/>
  </r>
  <r>
    <b v="0"/>
    <x v="92"/>
    <x v="24"/>
    <n v="0"/>
    <n v="1.2523163142692499E+19"/>
  </r>
  <r>
    <b v="0"/>
    <x v="93"/>
    <x v="89"/>
    <n v="0"/>
    <n v="1.13246809871412E+19"/>
  </r>
  <r>
    <b v="0"/>
    <x v="94"/>
    <x v="90"/>
    <n v="0"/>
    <n v="8.2406777921082696E+18"/>
  </r>
  <r>
    <b v="0"/>
    <x v="95"/>
    <x v="91"/>
    <n v="0"/>
    <n v="2.73733767968286E+18"/>
  </r>
  <r>
    <b v="0"/>
    <x v="96"/>
    <x v="12"/>
    <n v="0"/>
    <n v="1.1885609989792E+19"/>
  </r>
  <r>
    <b v="0"/>
    <x v="97"/>
    <x v="92"/>
    <n v="0"/>
    <n v="8.2943903060717496E+18"/>
  </r>
  <r>
    <b v="0"/>
    <x v="98"/>
    <x v="93"/>
    <n v="0"/>
    <n v="8.4755995561334497E+18"/>
  </r>
  <r>
    <b v="0"/>
    <x v="99"/>
    <x v="94"/>
    <n v="0"/>
    <n v="1.61972110317382E+19"/>
  </r>
  <r>
    <b v="0"/>
    <x v="100"/>
    <x v="95"/>
    <n v="0"/>
    <n v="1.48670388870545E+19"/>
  </r>
  <r>
    <b v="0"/>
    <x v="101"/>
    <x v="96"/>
    <n v="0"/>
    <n v="1.7812973650501599E+19"/>
  </r>
  <r>
    <b v="0"/>
    <x v="102"/>
    <x v="97"/>
    <n v="0"/>
    <n v="1.41472851796463E+18"/>
  </r>
  <r>
    <b v="0"/>
    <x v="103"/>
    <x v="98"/>
    <n v="0"/>
    <n v="1.44291997324258E+19"/>
  </r>
  <r>
    <b v="0"/>
    <x v="104"/>
    <x v="99"/>
    <n v="0"/>
    <n v="8.85924796716224E+18"/>
  </r>
  <r>
    <b v="0"/>
    <x v="105"/>
    <x v="100"/>
    <n v="0"/>
    <n v="6.7759385757024799E+18"/>
  </r>
  <r>
    <b v="0"/>
    <x v="106"/>
    <x v="101"/>
    <n v="0"/>
    <n v="5.6078627962069504E+18"/>
  </r>
  <r>
    <b v="0"/>
    <x v="107"/>
    <x v="18"/>
    <n v="0"/>
    <n v="5.7767532996255601E+18"/>
  </r>
  <r>
    <b v="0"/>
    <x v="108"/>
    <x v="102"/>
    <n v="0"/>
    <n v="6.9222396480566395E+18"/>
  </r>
  <r>
    <b v="0"/>
    <x v="109"/>
    <x v="103"/>
    <n v="0"/>
    <n v="1.0332707778529901E+19"/>
  </r>
  <r>
    <b v="0"/>
    <x v="110"/>
    <x v="104"/>
    <n v="0"/>
    <n v="5.7780472409830298E+18"/>
  </r>
  <r>
    <b v="0"/>
    <x v="111"/>
    <x v="105"/>
    <n v="0"/>
    <n v="1.19364041840815E+19"/>
  </r>
  <r>
    <b v="0"/>
    <x v="112"/>
    <x v="106"/>
    <n v="0"/>
    <n v="1.71748159629212E+19"/>
  </r>
  <r>
    <b v="0"/>
    <x v="113"/>
    <x v="107"/>
    <n v="0"/>
    <n v="1.4371086305547301E+19"/>
  </r>
  <r>
    <b v="0"/>
    <x v="114"/>
    <x v="15"/>
    <n v="0"/>
    <n v="1.11627906714491E+19"/>
  </r>
  <r>
    <b v="0"/>
    <x v="115"/>
    <x v="108"/>
    <n v="0"/>
    <n v="3.7860672048690202E+18"/>
  </r>
  <r>
    <b v="0"/>
    <x v="116"/>
    <x v="109"/>
    <n v="0"/>
    <n v="9.8996451306525102E+18"/>
  </r>
  <r>
    <b v="0"/>
    <x v="117"/>
    <x v="110"/>
    <n v="0"/>
    <n v="1.58381116111803E+19"/>
  </r>
  <r>
    <b v="0"/>
    <x v="118"/>
    <x v="111"/>
    <n v="0"/>
    <n v="7.3429719415519498E+18"/>
  </r>
  <r>
    <b v="0"/>
    <x v="119"/>
    <x v="112"/>
    <n v="0"/>
    <n v="2.3508109172208502E+18"/>
  </r>
  <r>
    <b v="0"/>
    <x v="120"/>
    <x v="113"/>
    <n v="0"/>
    <n v="1.1376943609224901E+19"/>
  </r>
  <r>
    <b v="0"/>
    <x v="121"/>
    <x v="114"/>
    <n v="0"/>
    <n v="1.12891156307689E+19"/>
  </r>
  <r>
    <b v="0"/>
    <x v="122"/>
    <x v="115"/>
    <n v="0"/>
    <n v="1.7561665454354399E+19"/>
  </r>
  <r>
    <b v="0"/>
    <x v="123"/>
    <x v="116"/>
    <n v="0"/>
    <n v="1.47155839265566E+19"/>
  </r>
  <r>
    <b v="0"/>
    <x v="124"/>
    <x v="117"/>
    <n v="0"/>
    <n v="1.00681085201461E+19"/>
  </r>
  <r>
    <b v="0"/>
    <x v="125"/>
    <x v="118"/>
    <n v="0"/>
    <n v="8.0727169642441001E+18"/>
  </r>
  <r>
    <b v="0"/>
    <x v="126"/>
    <x v="119"/>
    <n v="0"/>
    <n v="4.54919385360849E+18"/>
  </r>
  <r>
    <b v="0"/>
    <x v="127"/>
    <x v="120"/>
    <n v="0"/>
    <n v="1.4503082698748E+19"/>
  </r>
  <r>
    <b v="0"/>
    <x v="128"/>
    <x v="121"/>
    <n v="0"/>
    <n v="4.1057756347537398E+18"/>
  </r>
  <r>
    <b v="0"/>
    <x v="129"/>
    <x v="122"/>
    <n v="0"/>
    <n v="9.3728184003822694E+18"/>
  </r>
  <r>
    <b v="0"/>
    <x v="130"/>
    <x v="123"/>
    <n v="0"/>
    <n v="2.26175631404237E+18"/>
  </r>
  <r>
    <b v="0"/>
    <x v="131"/>
    <x v="124"/>
    <n v="0"/>
    <n v="1.49524701577589E+19"/>
  </r>
  <r>
    <b v="0"/>
    <x v="132"/>
    <x v="125"/>
    <n v="0"/>
    <n v="5.4383019367044905E+18"/>
  </r>
  <r>
    <b v="0"/>
    <x v="133"/>
    <x v="126"/>
    <n v="0"/>
    <n v="5.6656263752690995E+18"/>
  </r>
  <r>
    <b v="0"/>
    <x v="134"/>
    <x v="127"/>
    <n v="0"/>
    <n v="6.7456859512689603E+18"/>
  </r>
  <r>
    <b v="0"/>
    <x v="135"/>
    <x v="128"/>
    <n v="0"/>
    <n v="7.6164278244208998E+18"/>
  </r>
  <r>
    <b v="0"/>
    <x v="136"/>
    <x v="129"/>
    <n v="0"/>
    <n v="1.09012512846754E+19"/>
  </r>
  <r>
    <b v="0"/>
    <x v="137"/>
    <x v="130"/>
    <n v="0"/>
    <n v="1.22977156918661E+19"/>
  </r>
  <r>
    <b v="0"/>
    <x v="138"/>
    <x v="131"/>
    <n v="0"/>
    <n v="8.3425706702156403E+17"/>
  </r>
  <r>
    <b v="0"/>
    <x v="139"/>
    <x v="132"/>
    <n v="0"/>
    <n v="9.35123781604752E+17"/>
  </r>
  <r>
    <b v="0"/>
    <x v="140"/>
    <x v="133"/>
    <n v="0"/>
    <n v="7.2505468108019804E+18"/>
  </r>
  <r>
    <b v="0"/>
    <x v="141"/>
    <x v="134"/>
    <n v="0"/>
    <n v="4.5500083970409902E+18"/>
  </r>
  <r>
    <b v="0"/>
    <x v="142"/>
    <x v="135"/>
    <n v="0"/>
    <n v="1.8071868684160999E+19"/>
  </r>
  <r>
    <b v="0"/>
    <x v="143"/>
    <x v="136"/>
    <n v="0"/>
    <n v="1.5229022234024901E+19"/>
  </r>
  <r>
    <b v="0"/>
    <x v="144"/>
    <x v="137"/>
    <n v="0"/>
    <n v="1.0944525782742999E+19"/>
  </r>
  <r>
    <b v="0"/>
    <x v="145"/>
    <x v="138"/>
    <n v="0"/>
    <n v="1.80422724416972E+19"/>
  </r>
  <r>
    <b v="0"/>
    <x v="146"/>
    <x v="139"/>
    <n v="0"/>
    <n v="1.03223413733387E+19"/>
  </r>
  <r>
    <b v="0"/>
    <x v="147"/>
    <x v="140"/>
    <n v="0"/>
    <n v="1.1068331462396801E+19"/>
  </r>
  <r>
    <b v="0"/>
    <x v="148"/>
    <x v="141"/>
    <n v="0"/>
    <n v="8.0220879330016502E+18"/>
  </r>
  <r>
    <b v="0"/>
    <x v="149"/>
    <x v="142"/>
    <n v="0"/>
    <n v="3.2053045745688499E+17"/>
  </r>
  <r>
    <b v="0"/>
    <x v="150"/>
    <x v="143"/>
    <n v="0"/>
    <n v="1.6011772331143399E+19"/>
  </r>
  <r>
    <b v="0"/>
    <x v="151"/>
    <x v="144"/>
    <n v="0"/>
    <n v="1.70610676495353E+19"/>
  </r>
  <r>
    <b v="0"/>
    <x v="152"/>
    <x v="145"/>
    <n v="0"/>
    <n v="6.1660260088099901E+18"/>
  </r>
  <r>
    <b v="0"/>
    <x v="153"/>
    <x v="146"/>
    <n v="0"/>
    <n v="4.6719226434919997E+18"/>
  </r>
  <r>
    <b v="0"/>
    <x v="154"/>
    <x v="147"/>
    <n v="0"/>
    <n v="3.2297047083232599E+18"/>
  </r>
  <r>
    <b v="0"/>
    <x v="155"/>
    <x v="148"/>
    <n v="0"/>
    <n v="1.3810410595068299E+19"/>
  </r>
  <r>
    <b v="0"/>
    <x v="156"/>
    <x v="149"/>
    <n v="0"/>
    <n v="2.7656982614022099E+17"/>
  </r>
  <r>
    <b v="0"/>
    <x v="157"/>
    <x v="150"/>
    <n v="0"/>
    <n v="1.2874716784649001E+19"/>
  </r>
  <r>
    <b v="0"/>
    <x v="158"/>
    <x v="151"/>
    <n v="0"/>
    <n v="5.8787849796184904E+18"/>
  </r>
  <r>
    <b v="0"/>
    <x v="159"/>
    <x v="152"/>
    <n v="0"/>
    <n v="1.7677614547837299E+18"/>
  </r>
  <r>
    <b v="0"/>
    <x v="160"/>
    <x v="153"/>
    <n v="0"/>
    <n v="2.9749472019436298E+18"/>
  </r>
  <r>
    <b v="0"/>
    <x v="161"/>
    <x v="154"/>
    <n v="0"/>
    <n v="3.9833255081397499E+18"/>
  </r>
  <r>
    <b v="0"/>
    <x v="162"/>
    <x v="155"/>
    <n v="0"/>
    <n v="4.7618636170558904E+18"/>
  </r>
  <r>
    <b v="0"/>
    <x v="163"/>
    <x v="156"/>
    <n v="0"/>
    <n v="1.4684910296081299E+19"/>
  </r>
  <r>
    <b v="0"/>
    <x v="164"/>
    <x v="157"/>
    <n v="0"/>
    <n v="8.8430183263200102E+17"/>
  </r>
  <r>
    <b v="0"/>
    <x v="165"/>
    <x v="158"/>
    <n v="0"/>
    <n v="1.24917021636905E+19"/>
  </r>
  <r>
    <b v="0"/>
    <x v="166"/>
    <x v="159"/>
    <n v="0"/>
    <n v="5.4177823438245898E+18"/>
  </r>
  <r>
    <b v="0"/>
    <x v="167"/>
    <x v="160"/>
    <n v="0"/>
    <n v="1.0368825990442299E+19"/>
  </r>
  <r>
    <b v="0"/>
    <x v="168"/>
    <x v="161"/>
    <n v="0"/>
    <n v="3.3305348596005699E+18"/>
  </r>
  <r>
    <b v="0"/>
    <x v="169"/>
    <x v="162"/>
    <n v="0"/>
    <n v="2.75310267278946E+18"/>
  </r>
  <r>
    <b v="0"/>
    <x v="170"/>
    <x v="163"/>
    <n v="0"/>
    <n v="1.52939108598952E+19"/>
  </r>
  <r>
    <b v="0"/>
    <x v="171"/>
    <x v="164"/>
    <n v="0"/>
    <n v="3.3282651146189701E+18"/>
  </r>
  <r>
    <b v="0"/>
    <x v="172"/>
    <x v="165"/>
    <n v="0"/>
    <n v="2.7378040807393398E+18"/>
  </r>
  <r>
    <b v="0"/>
    <x v="173"/>
    <x v="166"/>
    <n v="0"/>
    <n v="1.4989533354497401E+19"/>
  </r>
  <r>
    <b v="0"/>
    <x v="174"/>
    <x v="167"/>
    <n v="0"/>
    <n v="6.3734748873801503E+18"/>
  </r>
  <r>
    <b v="0"/>
    <x v="175"/>
    <x v="168"/>
    <n v="0"/>
    <n v="4.8841756642735802E+17"/>
  </r>
  <r>
    <b v="0"/>
    <x v="176"/>
    <x v="169"/>
    <n v="0"/>
    <n v="1.06736833571804E+19"/>
  </r>
  <r>
    <b v="0"/>
    <x v="177"/>
    <x v="170"/>
    <n v="0"/>
    <n v="1.2784674385748601E+19"/>
  </r>
  <r>
    <b v="0"/>
    <x v="178"/>
    <x v="171"/>
    <n v="0"/>
    <n v="5.9992654668182405E+18"/>
  </r>
  <r>
    <b v="0"/>
    <x v="179"/>
    <x v="172"/>
    <n v="0"/>
    <n v="1.5596709722467701E+19"/>
  </r>
  <r>
    <b v="0"/>
    <x v="180"/>
    <x v="173"/>
    <n v="0"/>
    <n v="1.8431422002191999E+19"/>
  </r>
  <r>
    <b v="0"/>
    <x v="181"/>
    <x v="174"/>
    <n v="0"/>
    <n v="3.9153142785409E+16"/>
  </r>
  <r>
    <b v="0"/>
    <x v="182"/>
    <x v="175"/>
    <n v="0"/>
    <n v="1.09522392573796E+19"/>
  </r>
  <r>
    <b v="0"/>
    <x v="183"/>
    <x v="176"/>
    <n v="0"/>
    <n v="3.8767597735878902E+18"/>
  </r>
  <r>
    <b v="0"/>
    <x v="184"/>
    <x v="177"/>
    <n v="0"/>
    <n v="1.61261625444195E+19"/>
  </r>
  <r>
    <b v="0"/>
    <x v="185"/>
    <x v="178"/>
    <n v="0"/>
    <n v="2.6015368849469501E+18"/>
  </r>
  <r>
    <b v="0"/>
    <x v="186"/>
    <x v="179"/>
    <n v="0"/>
    <n v="3.4430931746639099E+18"/>
  </r>
  <r>
    <b v="0"/>
    <x v="187"/>
    <x v="180"/>
    <n v="0"/>
    <n v="3.5459364905530501E+18"/>
  </r>
  <r>
    <b v="0"/>
    <x v="188"/>
    <x v="181"/>
    <n v="0"/>
    <n v="7.0713861407190702E+18"/>
  </r>
  <r>
    <b v="0"/>
    <x v="189"/>
    <x v="182"/>
    <n v="0"/>
    <n v="1.61242272897807E+18"/>
  </r>
  <r>
    <b v="0"/>
    <x v="190"/>
    <x v="183"/>
    <n v="0"/>
    <n v="9.9156884208872998E+17"/>
  </r>
  <r>
    <b v="0"/>
    <x v="191"/>
    <x v="184"/>
    <n v="0"/>
    <n v="1.0341466162857001E+19"/>
  </r>
  <r>
    <b v="0"/>
    <x v="192"/>
    <x v="185"/>
    <n v="0"/>
    <n v="7.07817902708386E+18"/>
  </r>
  <r>
    <b v="0"/>
    <x v="193"/>
    <x v="186"/>
    <n v="0"/>
    <n v="1.3048444246238099E+19"/>
  </r>
  <r>
    <b v="0"/>
    <x v="194"/>
    <x v="187"/>
    <n v="0"/>
    <n v="3.64974940687358E+18"/>
  </r>
  <r>
    <b v="0"/>
    <x v="195"/>
    <x v="188"/>
    <n v="0"/>
    <n v="1.7532913252923099E+19"/>
  </r>
  <r>
    <b v="0"/>
    <x v="196"/>
    <x v="189"/>
    <n v="0"/>
    <n v="1.1101834344875301E+19"/>
  </r>
  <r>
    <b v="0"/>
    <x v="197"/>
    <x v="190"/>
    <n v="0"/>
    <n v="7.29627206864098E+18"/>
  </r>
  <r>
    <b v="0"/>
    <x v="198"/>
    <x v="191"/>
    <n v="0"/>
    <n v="1.39256383085718E+19"/>
  </r>
  <r>
    <b v="0"/>
    <x v="199"/>
    <x v="192"/>
    <n v="0"/>
    <n v="9.8976337584820797E+18"/>
  </r>
  <r>
    <b v="0"/>
    <x v="200"/>
    <x v="193"/>
    <n v="0"/>
    <n v="1.18740174273962E+19"/>
  </r>
  <r>
    <b v="0"/>
    <x v="201"/>
    <x v="194"/>
    <n v="0"/>
    <n v="1.4677589142499299E+19"/>
  </r>
  <r>
    <b v="0"/>
    <x v="202"/>
    <x v="195"/>
    <n v="0"/>
    <n v="2.24118833127358E+18"/>
  </r>
  <r>
    <b v="0"/>
    <x v="203"/>
    <x v="196"/>
    <n v="0"/>
    <n v="1.0581685325383299E+19"/>
  </r>
  <r>
    <b v="0"/>
    <x v="204"/>
    <x v="197"/>
    <n v="0"/>
    <n v="4.4592993105798502E+18"/>
  </r>
  <r>
    <b v="0"/>
    <x v="205"/>
    <x v="198"/>
    <n v="0"/>
    <n v="4.3526152854451599E+18"/>
  </r>
  <r>
    <b v="0"/>
    <x v="206"/>
    <x v="199"/>
    <n v="0"/>
    <n v="1.39280187817855E+19"/>
  </r>
  <r>
    <b v="0"/>
    <x v="207"/>
    <x v="41"/>
    <n v="0"/>
    <n v="1.58383562883323E+19"/>
  </r>
  <r>
    <b v="0"/>
    <x v="208"/>
    <x v="200"/>
    <n v="0"/>
    <n v="4.6415260364759002E+17"/>
  </r>
  <r>
    <b v="0"/>
    <x v="209"/>
    <x v="201"/>
    <n v="0"/>
    <n v="7.76481339469837E+18"/>
  </r>
  <r>
    <b v="0"/>
    <x v="210"/>
    <x v="202"/>
    <n v="0"/>
    <n v="1.06680422790558E+19"/>
  </r>
  <r>
    <b v="0"/>
    <x v="211"/>
    <x v="203"/>
    <n v="0"/>
    <n v="6.7156319261234401E+18"/>
  </r>
  <r>
    <b v="0"/>
    <x v="212"/>
    <x v="204"/>
    <n v="0"/>
    <n v="1.45068740596772E+19"/>
  </r>
  <r>
    <b v="0"/>
    <x v="213"/>
    <x v="205"/>
    <n v="0"/>
    <n v="3.4844693351287598E+18"/>
  </r>
  <r>
    <b v="0"/>
    <x v="214"/>
    <x v="206"/>
    <n v="0"/>
    <n v="7.9117632265986499E+18"/>
  </r>
  <r>
    <b v="0"/>
    <x v="215"/>
    <x v="207"/>
    <n v="0"/>
    <n v="1.7294742865988499E+19"/>
  </r>
  <r>
    <b v="0"/>
    <x v="216"/>
    <x v="208"/>
    <n v="0"/>
    <n v="1.82999352653364E+19"/>
  </r>
  <r>
    <b v="0"/>
    <x v="217"/>
    <x v="209"/>
    <n v="0"/>
    <n v="6.3885684506775504E+16"/>
  </r>
  <r>
    <b v="0"/>
    <x v="218"/>
    <x v="210"/>
    <n v="0"/>
    <n v="1.58979562863471E+19"/>
  </r>
  <r>
    <b v="0"/>
    <x v="219"/>
    <x v="211"/>
    <n v="0"/>
    <n v="1.4496970523114799E+19"/>
  </r>
  <r>
    <b v="0"/>
    <x v="220"/>
    <x v="212"/>
    <n v="0"/>
    <n v="1.64589898229418E+19"/>
  </r>
  <r>
    <b v="0"/>
    <x v="221"/>
    <x v="213"/>
    <n v="0"/>
    <n v="8.2388725591859804E+18"/>
  </r>
  <r>
    <b v="0"/>
    <x v="222"/>
    <x v="214"/>
    <n v="0"/>
    <n v="5.8696348108719196E+18"/>
  </r>
  <r>
    <b v="0"/>
    <x v="223"/>
    <x v="215"/>
    <n v="0"/>
    <n v="1.23790728137421E+19"/>
  </r>
  <r>
    <b v="0"/>
    <x v="224"/>
    <x v="216"/>
    <n v="0"/>
    <n v="9.7053225052170609E+18"/>
  </r>
  <r>
    <b v="0"/>
    <x v="225"/>
    <x v="63"/>
    <n v="0"/>
    <n v="1.9893345988615301E+18"/>
  </r>
  <r>
    <b v="0"/>
    <x v="226"/>
    <x v="217"/>
    <n v="0"/>
    <n v="1.1927904172948401E+18"/>
  </r>
  <r>
    <b v="0"/>
    <x v="227"/>
    <x v="218"/>
    <n v="0"/>
    <n v="6.66003563399407E+18"/>
  </r>
  <r>
    <b v="0"/>
    <x v="228"/>
    <x v="219"/>
    <n v="0"/>
    <n v="3.7248507610103301E+18"/>
  </r>
  <r>
    <b v="0"/>
    <x v="229"/>
    <x v="220"/>
    <n v="0"/>
    <n v="1.7966498891911601E+18"/>
  </r>
  <r>
    <b v="0"/>
    <x v="230"/>
    <x v="221"/>
    <n v="0"/>
    <n v="5.5451715921070602E+18"/>
  </r>
  <r>
    <b v="0"/>
    <x v="231"/>
    <x v="222"/>
    <n v="0"/>
    <n v="8.9170096975372196E+18"/>
  </r>
  <r>
    <b v="0"/>
    <x v="232"/>
    <x v="109"/>
    <n v="0"/>
    <n v="1.5289771868944E+18"/>
  </r>
  <r>
    <b v="0"/>
    <x v="233"/>
    <x v="223"/>
    <n v="0"/>
    <n v="1.15414855439435E+19"/>
  </r>
  <r>
    <b v="0"/>
    <x v="234"/>
    <x v="224"/>
    <n v="0"/>
    <n v="1.7220376625432101E+19"/>
  </r>
  <r>
    <b v="0"/>
    <x v="235"/>
    <x v="225"/>
    <n v="0"/>
    <n v="6.3762471863285801E+18"/>
  </r>
  <r>
    <b v="0"/>
    <x v="236"/>
    <x v="226"/>
    <n v="0"/>
    <n v="4.27390736701967E+18"/>
  </r>
  <r>
    <b v="0"/>
    <x v="237"/>
    <x v="227"/>
    <n v="0"/>
    <n v="4.9423109799411702E+18"/>
  </r>
  <r>
    <b v="0"/>
    <x v="238"/>
    <x v="228"/>
    <n v="0"/>
    <n v="9.99000767611554E+18"/>
  </r>
  <r>
    <b v="0"/>
    <x v="239"/>
    <x v="229"/>
    <n v="0"/>
    <n v="7.4700022013173299E+18"/>
  </r>
  <r>
    <b v="0"/>
    <x v="240"/>
    <x v="230"/>
    <n v="0"/>
    <n v="9.5700386820239501E+17"/>
  </r>
  <r>
    <b v="0"/>
    <x v="241"/>
    <x v="231"/>
    <n v="0"/>
    <n v="2.4914708881605801E+18"/>
  </r>
  <r>
    <b v="0"/>
    <x v="242"/>
    <x v="232"/>
    <n v="0"/>
    <n v="4.0498470546937902E+18"/>
  </r>
  <r>
    <b v="0"/>
    <x v="243"/>
    <x v="233"/>
    <n v="0"/>
    <n v="6.7431378394830705E+18"/>
  </r>
  <r>
    <b v="0"/>
    <x v="244"/>
    <x v="234"/>
    <n v="0"/>
    <n v="9.7179553472194007E+18"/>
  </r>
  <r>
    <b v="0"/>
    <x v="245"/>
    <x v="235"/>
    <n v="0"/>
    <n v="7.1122357356209705E+18"/>
  </r>
  <r>
    <b v="0"/>
    <x v="246"/>
    <x v="236"/>
    <n v="0"/>
    <n v="3.8943650323598198E+18"/>
  </r>
  <r>
    <b v="0"/>
    <x v="247"/>
    <x v="237"/>
    <n v="0"/>
    <n v="4.4026535067825802E+18"/>
  </r>
  <r>
    <b v="0"/>
    <x v="248"/>
    <x v="238"/>
    <n v="0"/>
    <n v="9.5391819500408996E+18"/>
  </r>
  <r>
    <b v="0"/>
    <x v="249"/>
    <x v="239"/>
    <n v="0"/>
    <n v="1.5205506807703501E+19"/>
  </r>
  <r>
    <b v="0"/>
    <x v="250"/>
    <x v="240"/>
    <n v="0"/>
    <n v="8.5344343484762696E+18"/>
  </r>
  <r>
    <b v="0"/>
    <x v="251"/>
    <x v="241"/>
    <n v="0"/>
    <n v="1.6477540327060099E+17"/>
  </r>
  <r>
    <b v="0"/>
    <x v="252"/>
    <x v="242"/>
    <n v="0"/>
    <n v="5.96733897048128E+18"/>
  </r>
  <r>
    <b v="0"/>
    <x v="253"/>
    <x v="243"/>
    <n v="0"/>
    <n v="6.9259598510546299E+18"/>
  </r>
  <r>
    <b v="0"/>
    <x v="254"/>
    <x v="244"/>
    <n v="0"/>
    <n v="2.29577592753152E+18"/>
  </r>
  <r>
    <b v="0"/>
    <x v="255"/>
    <x v="245"/>
    <n v="0"/>
    <n v="1.21759916816897E+19"/>
  </r>
  <r>
    <b v="0"/>
    <x v="256"/>
    <x v="246"/>
    <n v="0"/>
    <n v="6.1971767752543703E+18"/>
  </r>
  <r>
    <b v="0"/>
    <x v="257"/>
    <x v="247"/>
    <n v="0"/>
    <n v="5.4186288965716204E+18"/>
  </r>
  <r>
    <b v="0"/>
    <x v="258"/>
    <x v="248"/>
    <n v="0"/>
    <n v="1.3563936986752299E+19"/>
  </r>
  <r>
    <b v="0"/>
    <x v="259"/>
    <x v="249"/>
    <n v="0"/>
    <n v="1.3239747493153901E+19"/>
  </r>
  <r>
    <b v="0"/>
    <x v="260"/>
    <x v="250"/>
    <n v="0"/>
    <n v="1.05801536506571E+19"/>
  </r>
  <r>
    <b v="0"/>
    <x v="261"/>
    <x v="251"/>
    <n v="0"/>
    <n v="9.2543073121737498E+17"/>
  </r>
  <r>
    <b v="0"/>
    <x v="262"/>
    <x v="252"/>
    <n v="0"/>
    <n v="1.20949737758832E+18"/>
  </r>
  <r>
    <b v="0"/>
    <x v="263"/>
    <x v="253"/>
    <n v="0"/>
    <n v="7.1364799142402701E+17"/>
  </r>
  <r>
    <b v="0"/>
    <x v="264"/>
    <x v="254"/>
    <n v="0"/>
    <n v="2.27478795014274E+18"/>
  </r>
  <r>
    <b v="0"/>
    <x v="265"/>
    <x v="255"/>
    <n v="0"/>
    <n v="1.3626535331800001E+19"/>
  </r>
  <r>
    <b v="0"/>
    <x v="266"/>
    <x v="256"/>
    <n v="0"/>
    <n v="1.0641505950534101E+19"/>
  </r>
  <r>
    <b v="0"/>
    <x v="267"/>
    <x v="257"/>
    <n v="0"/>
    <n v="1.0953314693369399E+19"/>
  </r>
  <r>
    <b v="0"/>
    <x v="268"/>
    <x v="258"/>
    <n v="0"/>
    <n v="6.2398493884167598E+18"/>
  </r>
  <r>
    <b v="0"/>
    <x v="269"/>
    <x v="259"/>
    <n v="0"/>
    <n v="1.4853646853243501E+19"/>
  </r>
  <r>
    <b v="0"/>
    <x v="270"/>
    <x v="260"/>
    <n v="0"/>
    <n v="7.6708472494002596E+18"/>
  </r>
  <r>
    <b v="0"/>
    <x v="271"/>
    <x v="261"/>
    <n v="0"/>
    <n v="1.71026082926442E+19"/>
  </r>
  <r>
    <b v="0"/>
    <x v="272"/>
    <x v="262"/>
    <n v="0"/>
    <n v="8.2477801136933704E+18"/>
  </r>
  <r>
    <b v="0"/>
    <x v="273"/>
    <x v="263"/>
    <n v="0"/>
    <n v="2.6951065600570899E+17"/>
  </r>
  <r>
    <b v="0"/>
    <x v="274"/>
    <x v="264"/>
    <n v="0"/>
    <n v="1.68621101031877E+19"/>
  </r>
  <r>
    <b v="0"/>
    <x v="275"/>
    <x v="265"/>
    <n v="0"/>
    <n v="3.8907324811611402E+18"/>
  </r>
  <r>
    <b v="0"/>
    <x v="276"/>
    <x v="266"/>
    <n v="0"/>
    <n v="1.3979836795663E+19"/>
  </r>
  <r>
    <b v="0"/>
    <x v="277"/>
    <x v="267"/>
    <n v="0"/>
    <n v="9.6391259989518602E+18"/>
  </r>
  <r>
    <b v="0"/>
    <x v="278"/>
    <x v="268"/>
    <n v="0"/>
    <n v="1.4811639861514299E+19"/>
  </r>
  <r>
    <b v="0"/>
    <x v="279"/>
    <x v="269"/>
    <n v="0"/>
    <n v="1.6265606577771801E+19"/>
  </r>
  <r>
    <b v="0"/>
    <x v="280"/>
    <x v="270"/>
    <n v="0"/>
    <n v="1.1390222552689199E+19"/>
  </r>
  <r>
    <b v="0"/>
    <x v="281"/>
    <x v="271"/>
    <n v="0"/>
    <n v="1.7318389050437599E+19"/>
  </r>
  <r>
    <b v="0"/>
    <x v="282"/>
    <x v="272"/>
    <n v="0"/>
    <n v="1.74656122472838E+19"/>
  </r>
  <r>
    <b v="0"/>
    <x v="283"/>
    <x v="273"/>
    <n v="0"/>
    <n v="1.24558017013701E+19"/>
  </r>
  <r>
    <b v="0"/>
    <x v="284"/>
    <x v="274"/>
    <n v="0"/>
    <n v="7.7407542911490099E+18"/>
  </r>
  <r>
    <b v="0"/>
    <x v="285"/>
    <x v="275"/>
    <n v="0"/>
    <n v="3.7288745920003599E+18"/>
  </r>
  <r>
    <b v="0"/>
    <x v="286"/>
    <x v="276"/>
    <n v="0"/>
    <n v="7.4823040585834803E+17"/>
  </r>
  <r>
    <b v="0"/>
    <x v="287"/>
    <x v="277"/>
    <n v="0"/>
    <n v="1.1260395926137999E+19"/>
  </r>
  <r>
    <b v="0"/>
    <x v="288"/>
    <x v="278"/>
    <n v="0"/>
    <n v="1.60786834971975E+19"/>
  </r>
  <r>
    <b v="0"/>
    <x v="289"/>
    <x v="279"/>
    <n v="0"/>
    <n v="1.6634962537070801E+19"/>
  </r>
  <r>
    <b v="0"/>
    <x v="290"/>
    <x v="280"/>
    <n v="0"/>
    <n v="3.83525580964879E+18"/>
  </r>
  <r>
    <b v="0"/>
    <x v="291"/>
    <x v="281"/>
    <n v="0"/>
    <n v="1.66863408769123E+18"/>
  </r>
  <r>
    <b v="0"/>
    <x v="292"/>
    <x v="282"/>
    <n v="0"/>
    <n v="6.2928692655459697E+18"/>
  </r>
  <r>
    <b v="0"/>
    <x v="293"/>
    <x v="283"/>
    <n v="0"/>
    <n v="1.6915599713968001E+19"/>
  </r>
  <r>
    <b v="0"/>
    <x v="294"/>
    <x v="284"/>
    <n v="0"/>
    <n v="5.08482675331277E+18"/>
  </r>
  <r>
    <b v="0"/>
    <x v="295"/>
    <x v="285"/>
    <n v="0"/>
    <n v="2.3103967553407698E+18"/>
  </r>
  <r>
    <b v="0"/>
    <x v="296"/>
    <x v="286"/>
    <n v="0"/>
    <n v="1.8263865846919201E+19"/>
  </r>
  <r>
    <b v="0"/>
    <x v="297"/>
    <x v="287"/>
    <n v="0"/>
    <n v="1.5452222462418901E+19"/>
  </r>
  <r>
    <b v="0"/>
    <x v="298"/>
    <x v="288"/>
    <n v="0"/>
    <n v="1.5619233923181799E+19"/>
  </r>
  <r>
    <b v="0"/>
    <x v="299"/>
    <x v="289"/>
    <n v="0"/>
    <n v="1.3651211592178901E+19"/>
  </r>
  <r>
    <b v="0"/>
    <x v="300"/>
    <x v="290"/>
    <n v="0"/>
    <n v="8.6752302986957404E+18"/>
  </r>
  <r>
    <b v="0"/>
    <x v="301"/>
    <x v="291"/>
    <n v="0"/>
    <n v="1.30549261825281E+19"/>
  </r>
  <r>
    <b v="0"/>
    <x v="302"/>
    <x v="292"/>
    <n v="0"/>
    <n v="3.0614260277370501E+18"/>
  </r>
  <r>
    <b v="0"/>
    <x v="303"/>
    <x v="293"/>
    <n v="0"/>
    <n v="5.5549726077424804E+18"/>
  </r>
  <r>
    <b v="0"/>
    <x v="304"/>
    <x v="294"/>
    <n v="0"/>
    <n v="1.48108140083032E+19"/>
  </r>
  <r>
    <b v="0"/>
    <x v="305"/>
    <x v="295"/>
    <n v="0"/>
    <n v="1.02284045732457E+19"/>
  </r>
  <r>
    <b v="0"/>
    <x v="306"/>
    <x v="296"/>
    <n v="0"/>
    <n v="3.53378019832271E+18"/>
  </r>
  <r>
    <b v="0"/>
    <x v="307"/>
    <x v="297"/>
    <n v="0"/>
    <n v="3.43049116873986E+18"/>
  </r>
  <r>
    <b v="0"/>
    <x v="308"/>
    <x v="298"/>
    <n v="0"/>
    <n v="1.59827454714518E+19"/>
  </r>
  <r>
    <b v="0"/>
    <x v="309"/>
    <x v="299"/>
    <n v="0"/>
    <n v="4.5584875063913901E+17"/>
  </r>
  <r>
    <b v="0"/>
    <x v="310"/>
    <x v="300"/>
    <n v="0"/>
    <n v="1.6134794431531201E+19"/>
  </r>
  <r>
    <b v="0"/>
    <x v="311"/>
    <x v="301"/>
    <n v="0"/>
    <n v="1.46811450306567E+19"/>
  </r>
  <r>
    <b v="0"/>
    <x v="312"/>
    <x v="302"/>
    <n v="0"/>
    <n v="2.6536616196875203E+18"/>
  </r>
  <r>
    <b v="0"/>
    <x v="313"/>
    <x v="303"/>
    <n v="0"/>
    <n v="1.4685818965277301E+19"/>
  </r>
  <r>
    <b v="0"/>
    <x v="314"/>
    <x v="304"/>
    <n v="0"/>
    <n v="1.58724587317143E+19"/>
  </r>
  <r>
    <b v="0"/>
    <x v="315"/>
    <x v="305"/>
    <n v="0"/>
    <n v="1.53448755139039E+18"/>
  </r>
  <r>
    <b v="0"/>
    <x v="316"/>
    <x v="306"/>
    <n v="0"/>
    <n v="1.7631614559586099E+19"/>
  </r>
  <r>
    <b v="0"/>
    <x v="317"/>
    <x v="307"/>
    <n v="0"/>
    <n v="7.5797310243433902E+18"/>
  </r>
  <r>
    <b v="0"/>
    <x v="318"/>
    <x v="306"/>
    <n v="0"/>
    <n v="1.6436340685984801E+19"/>
  </r>
  <r>
    <b v="0"/>
    <x v="319"/>
    <x v="308"/>
    <n v="0"/>
    <n v="1.29958818563537E+19"/>
  </r>
  <r>
    <b v="0"/>
    <x v="320"/>
    <x v="309"/>
    <n v="0"/>
    <n v="1.1550762624909901E+18"/>
  </r>
  <r>
    <b v="0"/>
    <x v="321"/>
    <x v="310"/>
    <n v="0"/>
    <n v="7.2247701435469402E+17"/>
  </r>
  <r>
    <b v="0"/>
    <x v="322"/>
    <x v="311"/>
    <n v="0"/>
    <n v="7.2934686994931405E+18"/>
  </r>
  <r>
    <b v="0"/>
    <x v="323"/>
    <x v="312"/>
    <n v="0"/>
    <n v="9.6053992486029906E+18"/>
  </r>
  <r>
    <b v="0"/>
    <x v="324"/>
    <x v="313"/>
    <n v="0"/>
    <n v="2.3187849161881098E+18"/>
  </r>
  <r>
    <b v="0"/>
    <x v="325"/>
    <x v="314"/>
    <n v="0"/>
    <n v="4.3564633509152102E+17"/>
  </r>
  <r>
    <b v="0"/>
    <x v="326"/>
    <x v="315"/>
    <n v="0"/>
    <n v="3.29625250222737E+18"/>
  </r>
  <r>
    <b v="0"/>
    <x v="327"/>
    <x v="316"/>
    <n v="0"/>
    <n v="1.6198321348212601E+19"/>
  </r>
  <r>
    <b v="0"/>
    <x v="328"/>
    <x v="317"/>
    <n v="0"/>
    <n v="1.3606418961866299E+19"/>
  </r>
  <r>
    <b v="0"/>
    <x v="329"/>
    <x v="318"/>
    <n v="0"/>
    <n v="6.3239402496511396E+18"/>
  </r>
  <r>
    <b v="0"/>
    <x v="330"/>
    <x v="319"/>
    <n v="0"/>
    <n v="1.60117967938647E+19"/>
  </r>
  <r>
    <b v="0"/>
    <x v="331"/>
    <x v="59"/>
    <n v="0"/>
    <n v="2.9102707404453299E+18"/>
  </r>
  <r>
    <b v="0"/>
    <x v="332"/>
    <x v="320"/>
    <n v="0"/>
    <n v="1.11349457817251E+19"/>
  </r>
  <r>
    <b v="0"/>
    <x v="333"/>
    <x v="321"/>
    <n v="0"/>
    <n v="1.54186290634549E+19"/>
  </r>
  <r>
    <b v="0"/>
    <x v="334"/>
    <x v="322"/>
    <n v="0"/>
    <n v="1.5989848108528599E+19"/>
  </r>
  <r>
    <b v="0"/>
    <x v="335"/>
    <x v="323"/>
    <n v="0"/>
    <n v="1.7124259334873899E+19"/>
  </r>
  <r>
    <b v="0"/>
    <x v="336"/>
    <x v="324"/>
    <n v="0"/>
    <n v="1.90272394449506E+18"/>
  </r>
  <r>
    <b v="0"/>
    <x v="337"/>
    <x v="325"/>
    <n v="0"/>
    <n v="2.2647140863615201E+18"/>
  </r>
  <r>
    <b v="0"/>
    <x v="338"/>
    <x v="326"/>
    <n v="0"/>
    <n v="1.00137790213474E+19"/>
  </r>
  <r>
    <b v="0"/>
    <x v="339"/>
    <x v="327"/>
    <n v="0"/>
    <n v="4.3099980394889902E+18"/>
  </r>
  <r>
    <b v="0"/>
    <x v="340"/>
    <x v="328"/>
    <n v="0"/>
    <n v="1.13772616972582E+18"/>
  </r>
  <r>
    <b v="0"/>
    <x v="341"/>
    <x v="329"/>
    <n v="0"/>
    <n v="1.83444801369017E+19"/>
  </r>
  <r>
    <b v="0"/>
    <x v="342"/>
    <x v="330"/>
    <n v="0"/>
    <n v="1.7319985148514699E+19"/>
  </r>
  <r>
    <b v="0"/>
    <x v="343"/>
    <x v="331"/>
    <n v="0"/>
    <n v="6.9920946880823204E+18"/>
  </r>
  <r>
    <b v="0"/>
    <x v="344"/>
    <x v="332"/>
    <n v="0"/>
    <n v="1.2583065134323599E+19"/>
  </r>
  <r>
    <b v="0"/>
    <x v="345"/>
    <x v="333"/>
    <n v="0"/>
    <n v="6.2609145455995597E+18"/>
  </r>
  <r>
    <b v="0"/>
    <x v="346"/>
    <x v="334"/>
    <n v="0"/>
    <n v="1.0463508287075101E+19"/>
  </r>
  <r>
    <b v="0"/>
    <x v="347"/>
    <x v="335"/>
    <n v="0"/>
    <n v="3.4938003591083602E+18"/>
  </r>
  <r>
    <b v="0"/>
    <x v="348"/>
    <x v="336"/>
    <n v="0"/>
    <n v="1.5617303458004001E+19"/>
  </r>
  <r>
    <b v="0"/>
    <x v="349"/>
    <x v="337"/>
    <n v="0"/>
    <n v="2.4329902162328499E+17"/>
  </r>
  <r>
    <b v="0"/>
    <x v="350"/>
    <x v="338"/>
    <n v="0"/>
    <n v="1.20446565842318E+18"/>
  </r>
  <r>
    <b v="0"/>
    <x v="351"/>
    <x v="339"/>
    <n v="0"/>
    <n v="5.7182953829382605E+18"/>
  </r>
  <r>
    <b v="0"/>
    <x v="352"/>
    <x v="340"/>
    <n v="0"/>
    <n v="1.1706505529813801E+19"/>
  </r>
  <r>
    <b v="0"/>
    <x v="353"/>
    <x v="341"/>
    <n v="0"/>
    <n v="1.5394089924255101E+19"/>
  </r>
  <r>
    <b v="0"/>
    <x v="354"/>
    <x v="342"/>
    <n v="0"/>
    <n v="3.55690080125903E+18"/>
  </r>
  <r>
    <b v="0"/>
    <x v="355"/>
    <x v="343"/>
    <n v="0"/>
    <n v="1.46200537955523E+18"/>
  </r>
  <r>
    <b v="0"/>
    <x v="356"/>
    <x v="344"/>
    <n v="0"/>
    <n v="1.2651560825916899E+19"/>
  </r>
  <r>
    <b v="0"/>
    <x v="357"/>
    <x v="345"/>
    <n v="0"/>
    <n v="5.3842496036816097E+18"/>
  </r>
  <r>
    <b v="0"/>
    <x v="358"/>
    <x v="346"/>
    <n v="0"/>
    <n v="3.87452995787023E+18"/>
  </r>
  <r>
    <b v="0"/>
    <x v="359"/>
    <x v="347"/>
    <n v="0"/>
    <n v="4.3467818807647601E+18"/>
  </r>
  <r>
    <b v="0"/>
    <x v="360"/>
    <x v="348"/>
    <n v="0"/>
    <n v="1.42572710545385E+19"/>
  </r>
  <r>
    <b v="0"/>
    <x v="361"/>
    <x v="349"/>
    <n v="0"/>
    <n v="1.3593722211826801E+19"/>
  </r>
  <r>
    <b v="0"/>
    <x v="362"/>
    <x v="350"/>
    <n v="0"/>
    <n v="2.6796146331038403E+18"/>
  </r>
  <r>
    <b v="0"/>
    <x v="363"/>
    <x v="351"/>
    <n v="0"/>
    <n v="4.05238204617133E+18"/>
  </r>
  <r>
    <b v="0"/>
    <x v="364"/>
    <x v="352"/>
    <n v="0"/>
    <n v="1.48853181342156E+19"/>
  </r>
  <r>
    <b v="0"/>
    <x v="365"/>
    <x v="353"/>
    <n v="0"/>
    <n v="1.50280350520489E+19"/>
  </r>
  <r>
    <b v="0"/>
    <x v="366"/>
    <x v="354"/>
    <n v="0"/>
    <n v="5.3407566131098604E+18"/>
  </r>
  <r>
    <b v="0"/>
    <x v="367"/>
    <x v="355"/>
    <n v="0"/>
    <n v="1.8151328454581801E+19"/>
  </r>
  <r>
    <b v="0"/>
    <x v="368"/>
    <x v="356"/>
    <n v="0"/>
    <n v="4.4636814143507702E+18"/>
  </r>
  <r>
    <b v="0"/>
    <x v="369"/>
    <x v="357"/>
    <n v="0"/>
    <n v="1.39962857317289E+19"/>
  </r>
  <r>
    <b v="0"/>
    <x v="370"/>
    <x v="358"/>
    <n v="0"/>
    <n v="1.36314788187962E+19"/>
  </r>
  <r>
    <b v="0"/>
    <x v="371"/>
    <x v="359"/>
    <n v="0"/>
    <n v="9.5477070438038899E+17"/>
  </r>
  <r>
    <b v="0"/>
    <x v="372"/>
    <x v="360"/>
    <n v="0"/>
    <n v="8.1500803315782697E+18"/>
  </r>
  <r>
    <b v="0"/>
    <x v="373"/>
    <x v="361"/>
    <n v="0"/>
    <n v="1.0816809113669599E+19"/>
  </r>
  <r>
    <b v="0"/>
    <x v="374"/>
    <x v="362"/>
    <n v="0"/>
    <n v="8.0296409669679596E+18"/>
  </r>
  <r>
    <b v="0"/>
    <x v="375"/>
    <x v="363"/>
    <n v="0"/>
    <n v="1.3251666475635999E+18"/>
  </r>
  <r>
    <b v="0"/>
    <x v="376"/>
    <x v="364"/>
    <n v="0"/>
    <n v="5.7517996989187802E+17"/>
  </r>
  <r>
    <b v="0"/>
    <x v="377"/>
    <x v="365"/>
    <n v="0"/>
    <n v="7.9904711162439096E+18"/>
  </r>
  <r>
    <b v="0"/>
    <x v="378"/>
    <x v="366"/>
    <n v="0"/>
    <n v="2.5181138659051699E+18"/>
  </r>
  <r>
    <b v="0"/>
    <x v="379"/>
    <x v="367"/>
    <n v="0"/>
    <n v="7.5453898423650499E+18"/>
  </r>
  <r>
    <b v="0"/>
    <x v="380"/>
    <x v="368"/>
    <n v="0"/>
    <n v="6.9135315821718804E+18"/>
  </r>
  <r>
    <b v="0"/>
    <x v="381"/>
    <x v="369"/>
    <n v="0"/>
    <n v="5.8591214938287596E+18"/>
  </r>
  <r>
    <b v="0"/>
    <x v="382"/>
    <x v="370"/>
    <n v="0"/>
    <n v="8.8716857634348503E+18"/>
  </r>
  <r>
    <b v="0"/>
    <x v="383"/>
    <x v="371"/>
    <n v="0"/>
    <n v="4.7228104600295096E+18"/>
  </r>
  <r>
    <b v="0"/>
    <x v="384"/>
    <x v="372"/>
    <n v="0"/>
    <n v="1.2149445673528199E+19"/>
  </r>
  <r>
    <b v="0"/>
    <x v="385"/>
    <x v="373"/>
    <n v="0"/>
    <n v="7.5248115051140096E+18"/>
  </r>
  <r>
    <b v="0"/>
    <x v="386"/>
    <x v="374"/>
    <n v="0"/>
    <n v="1.58282223609268E+19"/>
  </r>
  <r>
    <b v="0"/>
    <x v="387"/>
    <x v="375"/>
    <n v="0"/>
    <n v="9.3233886921527501E+18"/>
  </r>
  <r>
    <b v="0"/>
    <x v="388"/>
    <x v="376"/>
    <n v="0"/>
    <n v="1.4803537573888801E+19"/>
  </r>
  <r>
    <b v="0"/>
    <x v="389"/>
    <x v="377"/>
    <n v="0"/>
    <n v="9.8388107571990508E+18"/>
  </r>
  <r>
    <b v="0"/>
    <x v="390"/>
    <x v="378"/>
    <n v="0"/>
    <n v="3.07487260462225E+18"/>
  </r>
  <r>
    <b v="0"/>
    <x v="391"/>
    <x v="379"/>
    <n v="0"/>
    <n v="1.47260952897495E+19"/>
  </r>
  <r>
    <b v="0"/>
    <x v="392"/>
    <x v="380"/>
    <n v="0"/>
    <n v="1.2574120529735201E+19"/>
  </r>
  <r>
    <b v="0"/>
    <x v="393"/>
    <x v="381"/>
    <n v="0"/>
    <n v="1.7649671792242399E+19"/>
  </r>
  <r>
    <b v="0"/>
    <x v="394"/>
    <x v="382"/>
    <n v="0"/>
    <n v="4.2588131220810301E+18"/>
  </r>
  <r>
    <b v="0"/>
    <x v="395"/>
    <x v="383"/>
    <n v="0"/>
    <n v="5.4187071365107599E+18"/>
  </r>
  <r>
    <b v="0"/>
    <x v="396"/>
    <x v="384"/>
    <n v="0"/>
    <n v="1.7140758018445E+18"/>
  </r>
  <r>
    <b v="0"/>
    <x v="397"/>
    <x v="385"/>
    <n v="0"/>
    <n v="7.3532081079375795E+17"/>
  </r>
  <r>
    <b v="0"/>
    <x v="398"/>
    <x v="386"/>
    <n v="0"/>
    <n v="7.4780927048468296E+18"/>
  </r>
  <r>
    <b v="0"/>
    <x v="399"/>
    <x v="387"/>
    <n v="0"/>
    <n v="1.0843093801525201E+19"/>
  </r>
  <r>
    <b v="0"/>
    <x v="400"/>
    <x v="388"/>
    <n v="0"/>
    <n v="2.15172525719715E+18"/>
  </r>
  <r>
    <b v="0"/>
    <x v="401"/>
    <x v="389"/>
    <n v="0"/>
    <n v="6.9664529765827195E+18"/>
  </r>
  <r>
    <b v="0"/>
    <x v="402"/>
    <x v="390"/>
    <n v="0"/>
    <n v="1.2696461124999199E+18"/>
  </r>
  <r>
    <b v="0"/>
    <x v="403"/>
    <x v="391"/>
    <n v="0"/>
    <n v="4.8273291443803996E+18"/>
  </r>
  <r>
    <b v="0"/>
    <x v="404"/>
    <x v="392"/>
    <n v="0"/>
    <n v="1.3106269951534701E+19"/>
  </r>
  <r>
    <b v="0"/>
    <x v="405"/>
    <x v="393"/>
    <n v="0"/>
    <n v="1.0470294229069799E+19"/>
  </r>
  <r>
    <b v="0"/>
    <x v="406"/>
    <x v="394"/>
    <n v="0"/>
    <n v="1.58385993184891E+19"/>
  </r>
  <r>
    <b v="0"/>
    <x v="407"/>
    <x v="395"/>
    <n v="0"/>
    <n v="4.9304169058444698E+18"/>
  </r>
  <r>
    <b v="0"/>
    <x v="408"/>
    <x v="396"/>
    <n v="0"/>
    <n v="4.7966008585465098E+18"/>
  </r>
  <r>
    <b v="0"/>
    <x v="409"/>
    <x v="397"/>
    <n v="0"/>
    <n v="1.0086295457216E+19"/>
  </r>
  <r>
    <b v="0"/>
    <x v="410"/>
    <x v="398"/>
    <n v="0"/>
    <n v="1.35377174864362E+19"/>
  </r>
  <r>
    <b v="0"/>
    <x v="411"/>
    <x v="399"/>
    <n v="0"/>
    <n v="2.2241160876798999E+18"/>
  </r>
  <r>
    <b v="0"/>
    <x v="412"/>
    <x v="400"/>
    <n v="0"/>
    <n v="9.7626181010135204E+18"/>
  </r>
  <r>
    <b v="0"/>
    <x v="413"/>
    <x v="401"/>
    <n v="0"/>
    <n v="1.3046209697771E+19"/>
  </r>
  <r>
    <b v="0"/>
    <x v="414"/>
    <x v="402"/>
    <n v="0"/>
    <n v="4.4598491578812401E+18"/>
  </r>
  <r>
    <b v="0"/>
    <x v="415"/>
    <x v="403"/>
    <n v="0"/>
    <n v="7.4023067685664799E+18"/>
  </r>
  <r>
    <b v="0"/>
    <x v="416"/>
    <x v="404"/>
    <n v="0"/>
    <n v="1.1568477198216801E+18"/>
  </r>
  <r>
    <b v="0"/>
    <x v="417"/>
    <x v="405"/>
    <n v="0"/>
    <n v="1.7751118386284501E+19"/>
  </r>
  <r>
    <b v="0"/>
    <x v="418"/>
    <x v="406"/>
    <n v="0"/>
    <n v="1.81399768810874E+19"/>
  </r>
  <r>
    <b v="0"/>
    <x v="419"/>
    <x v="407"/>
    <n v="0"/>
    <n v="5.7451590290490501E+18"/>
  </r>
  <r>
    <b v="0"/>
    <x v="420"/>
    <x v="408"/>
    <n v="0"/>
    <n v="1.05338953032908E+19"/>
  </r>
  <r>
    <b v="0"/>
    <x v="421"/>
    <x v="409"/>
    <n v="0"/>
    <n v="4.3873231534146601E+18"/>
  </r>
  <r>
    <b v="0"/>
    <x v="422"/>
    <x v="410"/>
    <n v="0"/>
    <n v="1.5503738990900799E+19"/>
  </r>
  <r>
    <b v="0"/>
    <x v="423"/>
    <x v="411"/>
    <n v="0"/>
    <n v="8.8571389929711706E+17"/>
  </r>
  <r>
    <b v="0"/>
    <x v="424"/>
    <x v="412"/>
    <n v="0"/>
    <n v="2.7134110393890499E+18"/>
  </r>
  <r>
    <b v="0"/>
    <x v="425"/>
    <x v="413"/>
    <n v="0"/>
    <n v="6.5719233217133005E+18"/>
  </r>
  <r>
    <b v="0"/>
    <x v="426"/>
    <x v="414"/>
    <n v="0"/>
    <n v="9.5301981011192607E+18"/>
  </r>
  <r>
    <b v="0"/>
    <x v="427"/>
    <x v="415"/>
    <n v="0"/>
    <n v="1.2597767157116899E+19"/>
  </r>
  <r>
    <b v="0"/>
    <x v="428"/>
    <x v="416"/>
    <n v="0"/>
    <n v="2.9395645923600102E+18"/>
  </r>
  <r>
    <b v="0"/>
    <x v="429"/>
    <x v="417"/>
    <n v="0"/>
    <n v="3.4079426470011899E+18"/>
  </r>
  <r>
    <b v="0"/>
    <x v="430"/>
    <x v="418"/>
    <n v="0"/>
    <n v="3.0194991396174198E+18"/>
  </r>
  <r>
    <b v="0"/>
    <x v="431"/>
    <x v="419"/>
    <n v="0"/>
    <n v="1.69711255507613E+19"/>
  </r>
  <r>
    <b v="0"/>
    <x v="432"/>
    <x v="420"/>
    <n v="0"/>
    <n v="1.65454684722664E+19"/>
  </r>
  <r>
    <b v="0"/>
    <x v="433"/>
    <x v="421"/>
    <n v="0"/>
    <n v="9.6912683472572293E+18"/>
  </r>
  <r>
    <b v="0"/>
    <x v="434"/>
    <x v="422"/>
    <n v="0"/>
    <n v="6.0731709755502397E+18"/>
  </r>
  <r>
    <b v="0"/>
    <x v="435"/>
    <x v="423"/>
    <n v="0"/>
    <n v="2.83509788726142E+18"/>
  </r>
  <r>
    <b v="0"/>
    <x v="436"/>
    <x v="424"/>
    <n v="0"/>
    <n v="1.42075662755579E+19"/>
  </r>
  <r>
    <b v="0"/>
    <x v="437"/>
    <x v="425"/>
    <n v="0"/>
    <n v="4.0109479314499599E+18"/>
  </r>
  <r>
    <b v="0"/>
    <x v="438"/>
    <x v="426"/>
    <n v="0"/>
    <n v="3.4499241788899098E+17"/>
  </r>
  <r>
    <b v="0"/>
    <x v="439"/>
    <x v="427"/>
    <n v="0"/>
    <n v="2.067544345268E+18"/>
  </r>
  <r>
    <b v="0"/>
    <x v="440"/>
    <x v="428"/>
    <n v="0"/>
    <n v="3.7772687703807698E+18"/>
  </r>
  <r>
    <b v="0"/>
    <x v="441"/>
    <x v="429"/>
    <n v="0"/>
    <n v="1.65506639836388E+19"/>
  </r>
  <r>
    <b v="0"/>
    <x v="442"/>
    <x v="430"/>
    <n v="0"/>
    <n v="1.70057226308252E+19"/>
  </r>
  <r>
    <b v="0"/>
    <x v="443"/>
    <x v="431"/>
    <n v="0"/>
    <n v="7.5480906424174397E+18"/>
  </r>
  <r>
    <b v="0"/>
    <x v="444"/>
    <x v="432"/>
    <n v="0"/>
    <n v="1.77893172424001E+19"/>
  </r>
  <r>
    <b v="0"/>
    <x v="445"/>
    <x v="433"/>
    <n v="0"/>
    <n v="1.76004241001547E+19"/>
  </r>
  <r>
    <b v="0"/>
    <x v="446"/>
    <x v="434"/>
    <n v="0"/>
    <n v="1.84230076336746E+19"/>
  </r>
  <r>
    <b v="0"/>
    <x v="447"/>
    <x v="435"/>
    <n v="0"/>
    <n v="1.4543101717595699E+19"/>
  </r>
  <r>
    <b v="0"/>
    <x v="448"/>
    <x v="436"/>
    <n v="0"/>
    <n v="1.1487395918848801E+19"/>
  </r>
  <r>
    <b v="0"/>
    <x v="449"/>
    <x v="437"/>
    <n v="0"/>
    <n v="1.14989450793046E+19"/>
  </r>
  <r>
    <b v="0"/>
    <x v="450"/>
    <x v="438"/>
    <n v="0"/>
    <n v="1.3591758900260999E+19"/>
  </r>
  <r>
    <b v="0"/>
    <x v="451"/>
    <x v="439"/>
    <n v="0"/>
    <n v="8.4511693218808904E+18"/>
  </r>
  <r>
    <b v="0"/>
    <x v="452"/>
    <x v="440"/>
    <n v="0"/>
    <n v="1.2933085934927901E+19"/>
  </r>
  <r>
    <b v="0"/>
    <x v="453"/>
    <x v="441"/>
    <n v="0"/>
    <n v="1.25383507542515E+19"/>
  </r>
  <r>
    <b v="0"/>
    <x v="454"/>
    <x v="442"/>
    <n v="0"/>
    <n v="3.5601298376735098E+17"/>
  </r>
  <r>
    <b v="0"/>
    <x v="455"/>
    <x v="443"/>
    <n v="0"/>
    <n v="1.74015104042171E+19"/>
  </r>
  <r>
    <b v="0"/>
    <x v="456"/>
    <x v="444"/>
    <n v="0"/>
    <n v="5.4777657239332301E+18"/>
  </r>
  <r>
    <b v="0"/>
    <x v="457"/>
    <x v="445"/>
    <n v="0"/>
    <n v="1.47595857237638E+19"/>
  </r>
  <r>
    <b v="0"/>
    <x v="458"/>
    <x v="446"/>
    <n v="0"/>
    <n v="3.9924083630368701E+18"/>
  </r>
  <r>
    <b v="0"/>
    <x v="459"/>
    <x v="447"/>
    <n v="0"/>
    <n v="9.0226255295334106E+17"/>
  </r>
  <r>
    <b v="0"/>
    <x v="460"/>
    <x v="448"/>
    <n v="0"/>
    <n v="1.65691741554711E+19"/>
  </r>
  <r>
    <b v="0"/>
    <x v="461"/>
    <x v="449"/>
    <n v="0"/>
    <n v="5.4067895945103698E+18"/>
  </r>
  <r>
    <b v="0"/>
    <x v="462"/>
    <x v="450"/>
    <n v="0"/>
    <n v="5.7788781206634598E+18"/>
  </r>
  <r>
    <b v="0"/>
    <x v="463"/>
    <x v="451"/>
    <n v="0"/>
    <n v="1.43663803989683E+19"/>
  </r>
  <r>
    <b v="0"/>
    <x v="464"/>
    <x v="452"/>
    <n v="0"/>
    <n v="2.9946200058584699E+18"/>
  </r>
  <r>
    <b v="0"/>
    <x v="465"/>
    <x v="453"/>
    <n v="0"/>
    <n v="1.1594969601820701E+19"/>
  </r>
  <r>
    <b v="0"/>
    <x v="466"/>
    <x v="454"/>
    <n v="0"/>
    <n v="9.2953842669613402E+17"/>
  </r>
  <r>
    <b v="0"/>
    <x v="467"/>
    <x v="455"/>
    <n v="0"/>
    <n v="1.2378116190484799E+19"/>
  </r>
  <r>
    <b v="0"/>
    <x v="468"/>
    <x v="456"/>
    <n v="0"/>
    <n v="7.5323778886477896E+18"/>
  </r>
  <r>
    <b v="0"/>
    <x v="469"/>
    <x v="457"/>
    <n v="0"/>
    <n v="6.97144993542242E+18"/>
  </r>
  <r>
    <b v="0"/>
    <x v="470"/>
    <x v="458"/>
    <n v="0"/>
    <n v="1.03739646466293E+19"/>
  </r>
  <r>
    <b v="0"/>
    <x v="471"/>
    <x v="459"/>
    <n v="0"/>
    <n v="5.20244615542221E+18"/>
  </r>
  <r>
    <b v="0"/>
    <x v="472"/>
    <x v="460"/>
    <n v="0"/>
    <n v="6.7536788861167299E+18"/>
  </r>
  <r>
    <b v="0"/>
    <x v="473"/>
    <x v="461"/>
    <n v="0"/>
    <n v="8.3745017111322906E+17"/>
  </r>
  <r>
    <b v="0"/>
    <x v="474"/>
    <x v="462"/>
    <n v="0"/>
    <n v="1.5616520974178001E+19"/>
  </r>
  <r>
    <b v="0"/>
    <x v="475"/>
    <x v="463"/>
    <n v="0"/>
    <n v="7.1235064558713395E+17"/>
  </r>
  <r>
    <b v="0"/>
    <x v="476"/>
    <x v="464"/>
    <n v="0"/>
    <n v="7.7994853481759795E+18"/>
  </r>
  <r>
    <b v="0"/>
    <x v="477"/>
    <x v="465"/>
    <n v="0"/>
    <n v="2.3083766846703401E+18"/>
  </r>
  <r>
    <b v="0"/>
    <x v="478"/>
    <x v="466"/>
    <n v="0"/>
    <n v="8.6223206109184901E+18"/>
  </r>
  <r>
    <b v="0"/>
    <x v="479"/>
    <x v="467"/>
    <n v="0"/>
    <n v="6.62362717820817E+18"/>
  </r>
  <r>
    <b v="0"/>
    <x v="480"/>
    <x v="468"/>
    <n v="0"/>
    <n v="1.5074986536178801E+19"/>
  </r>
  <r>
    <b v="0"/>
    <x v="481"/>
    <x v="469"/>
    <n v="0"/>
    <n v="7.3597103427622697E+18"/>
  </r>
  <r>
    <b v="0"/>
    <x v="482"/>
    <x v="470"/>
    <n v="0"/>
    <n v="1.8635310797123999E+18"/>
  </r>
  <r>
    <b v="0"/>
    <x v="483"/>
    <x v="471"/>
    <n v="0"/>
    <n v="9.8478521077232804E+18"/>
  </r>
  <r>
    <b v="0"/>
    <x v="484"/>
    <x v="472"/>
    <n v="0"/>
    <n v="3.2147331483683901E+18"/>
  </r>
  <r>
    <b v="0"/>
    <x v="485"/>
    <x v="473"/>
    <n v="0"/>
    <n v="1.85717564961171E+18"/>
  </r>
  <r>
    <b v="0"/>
    <x v="486"/>
    <x v="474"/>
    <n v="0"/>
    <n v="7.9157842052832102E+18"/>
  </r>
  <r>
    <b v="0"/>
    <x v="487"/>
    <x v="475"/>
    <n v="0"/>
    <n v="6.8622761171262505E+18"/>
  </r>
  <r>
    <b v="0"/>
    <x v="488"/>
    <x v="476"/>
    <n v="0"/>
    <n v="1.2506848836694401E+19"/>
  </r>
  <r>
    <b v="0"/>
    <x v="489"/>
    <x v="477"/>
    <n v="0"/>
    <n v="1.67274609415174E+19"/>
  </r>
  <r>
    <b v="0"/>
    <x v="490"/>
    <x v="478"/>
    <n v="0"/>
    <n v="1.0372631658431199E+19"/>
  </r>
  <r>
    <b v="0"/>
    <x v="491"/>
    <x v="479"/>
    <n v="0"/>
    <n v="3.8715178177181102E+18"/>
  </r>
  <r>
    <b v="0"/>
    <x v="492"/>
    <x v="480"/>
    <n v="0"/>
    <n v="4.7029910729609103E+18"/>
  </r>
  <r>
    <b v="0"/>
    <x v="493"/>
    <x v="481"/>
    <n v="0"/>
    <n v="1.1326529107937299E+17"/>
  </r>
  <r>
    <b v="0"/>
    <x v="494"/>
    <x v="482"/>
    <n v="0"/>
    <n v="4.1307586471742202E+17"/>
  </r>
  <r>
    <b v="0"/>
    <x v="495"/>
    <x v="483"/>
    <n v="0"/>
    <n v="7.4679965755392799E+18"/>
  </r>
  <r>
    <b v="0"/>
    <x v="496"/>
    <x v="484"/>
    <n v="0"/>
    <n v="3.1583713780629499E+18"/>
  </r>
  <r>
    <b v="0"/>
    <x v="497"/>
    <x v="485"/>
    <n v="0"/>
    <n v="3.4124117303354701E+18"/>
  </r>
  <r>
    <b v="0"/>
    <x v="498"/>
    <x v="486"/>
    <n v="0"/>
    <n v="8.4343184361538202E+18"/>
  </r>
  <r>
    <b v="0"/>
    <x v="499"/>
    <x v="487"/>
    <n v="0"/>
    <n v="1.5701047234058101E+19"/>
  </r>
  <r>
    <b v="0"/>
    <x v="500"/>
    <x v="488"/>
    <n v="0"/>
    <n v="8.0807792401392102E+17"/>
  </r>
  <r>
    <b v="0"/>
    <x v="501"/>
    <x v="489"/>
    <n v="0"/>
    <n v="1.27461285304286E+19"/>
  </r>
  <r>
    <b v="0"/>
    <x v="502"/>
    <x v="490"/>
    <n v="0"/>
    <n v="4.7575124485756805E+18"/>
  </r>
  <r>
    <b v="0"/>
    <x v="503"/>
    <x v="491"/>
    <n v="0"/>
    <n v="7.9129828250578299E+18"/>
  </r>
  <r>
    <b v="0"/>
    <x v="504"/>
    <x v="492"/>
    <n v="0"/>
    <n v="3.58482359348254E+18"/>
  </r>
  <r>
    <b v="0"/>
    <x v="505"/>
    <x v="493"/>
    <n v="0"/>
    <n v="1.7755229698972E+19"/>
  </r>
  <r>
    <b v="0"/>
    <x v="506"/>
    <x v="494"/>
    <n v="0"/>
    <n v="4.78246342979934E+18"/>
  </r>
  <r>
    <b v="0"/>
    <x v="507"/>
    <x v="495"/>
    <n v="0"/>
    <n v="1.6959263486575499E+19"/>
  </r>
  <r>
    <b v="0"/>
    <x v="508"/>
    <x v="496"/>
    <n v="0"/>
    <n v="1.81819177899571E+19"/>
  </r>
  <r>
    <b v="0"/>
    <x v="509"/>
    <x v="497"/>
    <n v="0"/>
    <n v="3.3814740781656202E+18"/>
  </r>
  <r>
    <b v="0"/>
    <x v="510"/>
    <x v="498"/>
    <n v="0"/>
    <n v="1.19582209518289E+19"/>
  </r>
  <r>
    <b v="0"/>
    <x v="511"/>
    <x v="499"/>
    <n v="0"/>
    <n v="6.7567293824034499E+18"/>
  </r>
  <r>
    <b v="0"/>
    <x v="512"/>
    <x v="500"/>
    <n v="0"/>
    <n v="1.52285245634136E+19"/>
  </r>
  <r>
    <b v="0"/>
    <x v="513"/>
    <x v="501"/>
    <n v="0"/>
    <n v="7.2639986346230395E+18"/>
  </r>
  <r>
    <b v="0"/>
    <x v="514"/>
    <x v="502"/>
    <n v="0"/>
    <n v="6.8463864672584499E+18"/>
  </r>
  <r>
    <b v="0"/>
    <x v="515"/>
    <x v="503"/>
    <n v="0"/>
    <n v="1.43873904374E+18"/>
  </r>
  <r>
    <b v="0"/>
    <x v="516"/>
    <x v="504"/>
    <n v="0"/>
    <n v="4.3582995102339E+18"/>
  </r>
  <r>
    <b v="0"/>
    <x v="517"/>
    <x v="505"/>
    <n v="0"/>
    <n v="3.1353229074677101E+17"/>
  </r>
  <r>
    <b v="0"/>
    <x v="518"/>
    <x v="506"/>
    <n v="0"/>
    <n v="6.03843548019379E+18"/>
  </r>
  <r>
    <b v="0"/>
    <x v="519"/>
    <x v="507"/>
    <n v="0"/>
    <n v="6.1090970831392102E+18"/>
  </r>
  <r>
    <b v="0"/>
    <x v="520"/>
    <x v="508"/>
    <n v="0"/>
    <n v="7.6300107286213898E+18"/>
  </r>
  <r>
    <b v="0"/>
    <x v="521"/>
    <x v="509"/>
    <n v="0"/>
    <n v="4.4929343664398602E+18"/>
  </r>
  <r>
    <b v="0"/>
    <x v="522"/>
    <x v="510"/>
    <n v="0"/>
    <n v="1.70287271244485E+19"/>
  </r>
  <r>
    <b v="0"/>
    <x v="523"/>
    <x v="511"/>
    <n v="0"/>
    <n v="5.3512371622623304E+18"/>
  </r>
  <r>
    <b v="0"/>
    <x v="524"/>
    <x v="512"/>
    <n v="0"/>
    <n v="1.11207708689769E+19"/>
  </r>
  <r>
    <b v="0"/>
    <x v="525"/>
    <x v="513"/>
    <n v="0"/>
    <n v="2.7713391237074698E+18"/>
  </r>
  <r>
    <b v="0"/>
    <x v="526"/>
    <x v="514"/>
    <n v="0"/>
    <n v="5.0179364514095196E+18"/>
  </r>
  <r>
    <b v="0"/>
    <x v="527"/>
    <x v="515"/>
    <n v="0"/>
    <n v="1.3947426739975801E+19"/>
  </r>
  <r>
    <b v="0"/>
    <x v="528"/>
    <x v="516"/>
    <n v="0"/>
    <n v="1.4370903805844799E+19"/>
  </r>
  <r>
    <b v="0"/>
    <x v="529"/>
    <x v="517"/>
    <n v="0"/>
    <n v="6.24716610045171E+18"/>
  </r>
  <r>
    <b v="0"/>
    <x v="530"/>
    <x v="518"/>
    <n v="0"/>
    <n v="1.3254600678560699E+18"/>
  </r>
  <r>
    <b v="0"/>
    <x v="531"/>
    <x v="519"/>
    <n v="0"/>
    <n v="7.1885168270681498E+18"/>
  </r>
  <r>
    <b v="0"/>
    <x v="532"/>
    <x v="520"/>
    <n v="0"/>
    <n v="3.1582017686328699E+18"/>
  </r>
  <r>
    <b v="0"/>
    <x v="533"/>
    <x v="521"/>
    <n v="0"/>
    <n v="1.8000770237499601E+19"/>
  </r>
  <r>
    <b v="0"/>
    <x v="534"/>
    <x v="522"/>
    <n v="0"/>
    <n v="4.4751402349053998E+18"/>
  </r>
  <r>
    <b v="0"/>
    <x v="535"/>
    <x v="523"/>
    <n v="0"/>
    <n v="1.0580845598997299E+19"/>
  </r>
  <r>
    <b v="0"/>
    <x v="536"/>
    <x v="524"/>
    <n v="0"/>
    <n v="1.7377234500990401E+19"/>
  </r>
  <r>
    <b v="0"/>
    <x v="537"/>
    <x v="525"/>
    <n v="0"/>
    <n v="5.6690920271303598E+18"/>
  </r>
  <r>
    <b v="0"/>
    <x v="538"/>
    <x v="526"/>
    <n v="0"/>
    <n v="1.09668676461191E+19"/>
  </r>
  <r>
    <b v="0"/>
    <x v="539"/>
    <x v="527"/>
    <n v="0"/>
    <n v="4.1496855697096202E+18"/>
  </r>
  <r>
    <b v="0"/>
    <x v="540"/>
    <x v="528"/>
    <n v="0"/>
    <n v="1.74336877906666E+19"/>
  </r>
  <r>
    <b v="0"/>
    <x v="541"/>
    <x v="529"/>
    <n v="0"/>
    <n v="1.4197558427019399E+19"/>
  </r>
  <r>
    <b v="0"/>
    <x v="542"/>
    <x v="530"/>
    <n v="0"/>
    <n v="1.7604256805795701E+19"/>
  </r>
  <r>
    <b v="0"/>
    <x v="543"/>
    <x v="531"/>
    <n v="0"/>
    <n v="2.4786394290085601E+18"/>
  </r>
  <r>
    <b v="0"/>
    <x v="544"/>
    <x v="532"/>
    <n v="0"/>
    <n v="2.46973350050253E+18"/>
  </r>
  <r>
    <b v="0"/>
    <x v="545"/>
    <x v="533"/>
    <n v="0"/>
    <n v="1.4768318231170099E+18"/>
  </r>
  <r>
    <b v="0"/>
    <x v="546"/>
    <x v="534"/>
    <n v="0"/>
    <n v="1.0674357220952101E+19"/>
  </r>
  <r>
    <b v="0"/>
    <x v="547"/>
    <x v="535"/>
    <n v="0"/>
    <n v="1.15682146315386E+19"/>
  </r>
  <r>
    <b v="0"/>
    <x v="548"/>
    <x v="536"/>
    <n v="0"/>
    <n v="1.2952716497954601E+18"/>
  </r>
  <r>
    <b v="0"/>
    <x v="549"/>
    <x v="537"/>
    <n v="0"/>
    <n v="2.8395038026231199E+18"/>
  </r>
  <r>
    <b v="0"/>
    <x v="550"/>
    <x v="538"/>
    <n v="0"/>
    <n v="5.28261383020992E+18"/>
  </r>
  <r>
    <b v="0"/>
    <x v="551"/>
    <x v="539"/>
    <n v="0"/>
    <n v="2.32492007583038E+18"/>
  </r>
  <r>
    <b v="0"/>
    <x v="552"/>
    <x v="540"/>
    <n v="0"/>
    <n v="1.842988531349E+19"/>
  </r>
  <r>
    <b v="0"/>
    <x v="553"/>
    <x v="541"/>
    <n v="0"/>
    <n v="4.79535087385886E+18"/>
  </r>
  <r>
    <b v="0"/>
    <x v="554"/>
    <x v="542"/>
    <n v="0"/>
    <n v="5.0503291390595195E+18"/>
  </r>
  <r>
    <b v="0"/>
    <x v="555"/>
    <x v="543"/>
    <n v="0"/>
    <n v="1.3414764346353601E+19"/>
  </r>
  <r>
    <b v="0"/>
    <x v="556"/>
    <x v="544"/>
    <n v="0"/>
    <n v="1.71323374875409E+18"/>
  </r>
  <r>
    <b v="0"/>
    <x v="557"/>
    <x v="545"/>
    <n v="0"/>
    <n v="1.13228167867258E+19"/>
  </r>
  <r>
    <b v="0"/>
    <x v="558"/>
    <x v="546"/>
    <n v="0"/>
    <n v="1.6704905039852599E+19"/>
  </r>
  <r>
    <b v="0"/>
    <x v="559"/>
    <x v="547"/>
    <n v="0"/>
    <n v="1.8085489068334899E+19"/>
  </r>
  <r>
    <b v="0"/>
    <x v="560"/>
    <x v="548"/>
    <n v="0"/>
    <n v="8.5449745148165197E+17"/>
  </r>
  <r>
    <b v="0"/>
    <x v="561"/>
    <x v="549"/>
    <n v="0"/>
    <n v="8.2780080780465295E+18"/>
  </r>
  <r>
    <b v="0"/>
    <x v="562"/>
    <x v="550"/>
    <n v="0"/>
    <n v="1.3848737991487799E+19"/>
  </r>
  <r>
    <b v="0"/>
    <x v="563"/>
    <x v="551"/>
    <n v="0"/>
    <n v="1.1718319511661199E+19"/>
  </r>
  <r>
    <b v="0"/>
    <x v="564"/>
    <x v="552"/>
    <n v="0"/>
    <n v="1.42918360646451E+19"/>
  </r>
  <r>
    <b v="0"/>
    <x v="565"/>
    <x v="553"/>
    <n v="0"/>
    <n v="1.0186489553024E+19"/>
  </r>
  <r>
    <b v="0"/>
    <x v="566"/>
    <x v="554"/>
    <n v="0"/>
    <n v="4.41410056583471E+18"/>
  </r>
  <r>
    <b v="0"/>
    <x v="567"/>
    <x v="555"/>
    <n v="0"/>
    <n v="1.67710058936321E+19"/>
  </r>
  <r>
    <b v="0"/>
    <x v="568"/>
    <x v="556"/>
    <n v="0"/>
    <n v="1.1641853328456901E+19"/>
  </r>
  <r>
    <b v="0"/>
    <x v="569"/>
    <x v="557"/>
    <n v="0"/>
    <n v="2.81702629272766E+18"/>
  </r>
  <r>
    <b v="0"/>
    <x v="570"/>
    <x v="558"/>
    <n v="0"/>
    <n v="6.3138992029900595E+18"/>
  </r>
  <r>
    <b v="0"/>
    <x v="571"/>
    <x v="559"/>
    <n v="0"/>
    <n v="2.9694659190622198E+18"/>
  </r>
  <r>
    <b v="0"/>
    <x v="572"/>
    <x v="560"/>
    <n v="0"/>
    <n v="7.2135872497254902E+18"/>
  </r>
  <r>
    <b v="0"/>
    <x v="573"/>
    <x v="561"/>
    <n v="0"/>
    <n v="9.651418527145599E+18"/>
  </r>
  <r>
    <b v="0"/>
    <x v="574"/>
    <x v="562"/>
    <n v="0"/>
    <n v="4.7403171017987799E+18"/>
  </r>
  <r>
    <b v="0"/>
    <x v="575"/>
    <x v="563"/>
    <n v="0"/>
    <n v="2.4898968096177398E+18"/>
  </r>
  <r>
    <b v="0"/>
    <x v="576"/>
    <x v="564"/>
    <n v="0"/>
    <n v="1.0899640494120401E+19"/>
  </r>
  <r>
    <b v="0"/>
    <x v="577"/>
    <x v="565"/>
    <n v="0"/>
    <n v="6.9972708908247101E+18"/>
  </r>
  <r>
    <b v="0"/>
    <x v="578"/>
    <x v="566"/>
    <n v="0"/>
    <n v="2.5626242423954499E+17"/>
  </r>
  <r>
    <b v="0"/>
    <x v="579"/>
    <x v="567"/>
    <n v="0"/>
    <n v="2.4263274184611599E+18"/>
  </r>
  <r>
    <b v="0"/>
    <x v="580"/>
    <x v="568"/>
    <n v="0"/>
    <n v="2.4126610288758298E+18"/>
  </r>
  <r>
    <b v="0"/>
    <x v="581"/>
    <x v="569"/>
    <n v="0"/>
    <n v="3.3500256868400302E+18"/>
  </r>
  <r>
    <b v="0"/>
    <x v="582"/>
    <x v="570"/>
    <n v="0"/>
    <n v="1.0861133228757101E+19"/>
  </r>
  <r>
    <b v="0"/>
    <x v="583"/>
    <x v="571"/>
    <n v="0"/>
    <n v="1.49875049374244E+19"/>
  </r>
  <r>
    <b v="0"/>
    <x v="584"/>
    <x v="572"/>
    <n v="0"/>
    <n v="4.9458681720569098E+18"/>
  </r>
  <r>
    <b v="0"/>
    <x v="585"/>
    <x v="573"/>
    <n v="0"/>
    <n v="1.81117214885736E+19"/>
  </r>
  <r>
    <b v="0"/>
    <x v="586"/>
    <x v="574"/>
    <n v="0"/>
    <n v="1.34119074579909E+19"/>
  </r>
  <r>
    <b v="0"/>
    <x v="587"/>
    <x v="575"/>
    <n v="0"/>
    <n v="1.9575494483540198E+17"/>
  </r>
  <r>
    <b v="0"/>
    <x v="588"/>
    <x v="576"/>
    <n v="0"/>
    <n v="2.13590827192141E+18"/>
  </r>
  <r>
    <b v="0"/>
    <x v="589"/>
    <x v="577"/>
    <n v="0"/>
    <n v="2.3641708911065702E+18"/>
  </r>
  <r>
    <b v="0"/>
    <x v="590"/>
    <x v="578"/>
    <n v="0"/>
    <n v="1.3884999728968401E+19"/>
  </r>
  <r>
    <b v="0"/>
    <x v="591"/>
    <x v="579"/>
    <n v="0"/>
    <n v="1.2394359233405499E+19"/>
  </r>
  <r>
    <b v="0"/>
    <x v="592"/>
    <x v="580"/>
    <n v="0"/>
    <n v="1.05979651957945E+19"/>
  </r>
  <r>
    <b v="0"/>
    <x v="593"/>
    <x v="581"/>
    <n v="0"/>
    <n v="1.0024697598948E+19"/>
  </r>
  <r>
    <b v="0"/>
    <x v="594"/>
    <x v="582"/>
    <n v="0"/>
    <n v="3.5087553970944998E+18"/>
  </r>
  <r>
    <b v="0"/>
    <x v="595"/>
    <x v="583"/>
    <n v="0"/>
    <n v="6.8785576654016901E+18"/>
  </r>
  <r>
    <b v="0"/>
    <x v="596"/>
    <x v="584"/>
    <n v="0"/>
    <n v="1.1542484909303599E+19"/>
  </r>
  <r>
    <b v="0"/>
    <x v="597"/>
    <x v="585"/>
    <n v="0"/>
    <n v="8.2518791755120701E+18"/>
  </r>
  <r>
    <b v="0"/>
    <x v="598"/>
    <x v="586"/>
    <n v="0"/>
    <n v="7.0991046383723602E+18"/>
  </r>
  <r>
    <b v="0"/>
    <x v="599"/>
    <x v="587"/>
    <n v="0"/>
    <n v="6.3654675831036897E+18"/>
  </r>
  <r>
    <b v="0"/>
    <x v="600"/>
    <x v="588"/>
    <n v="0"/>
    <n v="1.16891064920543E+18"/>
  </r>
  <r>
    <b v="0"/>
    <x v="601"/>
    <x v="589"/>
    <n v="0"/>
    <n v="1.66982071765399E+19"/>
  </r>
  <r>
    <b v="0"/>
    <x v="602"/>
    <x v="590"/>
    <n v="0"/>
    <n v="1.0780723515210101E+19"/>
  </r>
  <r>
    <b v="0"/>
    <x v="603"/>
    <x v="591"/>
    <n v="0"/>
    <n v="7.1285149711507302E+18"/>
  </r>
  <r>
    <b v="0"/>
    <x v="604"/>
    <x v="592"/>
    <n v="0"/>
    <n v="1.44506424683228E+19"/>
  </r>
  <r>
    <b v="0"/>
    <x v="605"/>
    <x v="593"/>
    <n v="0"/>
    <n v="2.3246887374941399E+18"/>
  </r>
  <r>
    <b v="0"/>
    <x v="606"/>
    <x v="594"/>
    <n v="0"/>
    <n v="1.5456334152075E+19"/>
  </r>
  <r>
    <b v="0"/>
    <x v="607"/>
    <x v="595"/>
    <n v="0"/>
    <n v="1.47442274513287E+19"/>
  </r>
  <r>
    <b v="0"/>
    <x v="608"/>
    <x v="596"/>
    <n v="0"/>
    <n v="4.26139364195944E+17"/>
  </r>
  <r>
    <b v="0"/>
    <x v="609"/>
    <x v="597"/>
    <n v="0"/>
    <n v="1.5850626204253399E+19"/>
  </r>
  <r>
    <b v="0"/>
    <x v="610"/>
    <x v="598"/>
    <n v="0"/>
    <n v="1.47531545341934E+19"/>
  </r>
  <r>
    <b v="0"/>
    <x v="611"/>
    <x v="599"/>
    <n v="0"/>
    <n v="1.2823891754208999E+19"/>
  </r>
  <r>
    <b v="0"/>
    <x v="612"/>
    <x v="600"/>
    <n v="0"/>
    <n v="1.6817460055541499E+18"/>
  </r>
  <r>
    <b v="0"/>
    <x v="613"/>
    <x v="601"/>
    <n v="0"/>
    <n v="1.53639379543564E+19"/>
  </r>
  <r>
    <b v="0"/>
    <x v="614"/>
    <x v="602"/>
    <n v="0"/>
    <n v="1.66363603915199E+18"/>
  </r>
  <r>
    <b v="0"/>
    <x v="615"/>
    <x v="603"/>
    <n v="0"/>
    <n v="1.10291501133958E+19"/>
  </r>
  <r>
    <b v="0"/>
    <x v="616"/>
    <x v="604"/>
    <n v="0"/>
    <n v="8.8805921122357105E+18"/>
  </r>
  <r>
    <b v="0"/>
    <x v="617"/>
    <x v="605"/>
    <n v="0"/>
    <n v="1.60718288976915E+18"/>
  </r>
  <r>
    <b v="0"/>
    <x v="618"/>
    <x v="606"/>
    <n v="0"/>
    <n v="1.57496808013325E+18"/>
  </r>
  <r>
    <b v="0"/>
    <x v="619"/>
    <x v="607"/>
    <n v="0"/>
    <n v="1.08846337335877E+19"/>
  </r>
  <r>
    <b v="0"/>
    <x v="620"/>
    <x v="608"/>
    <n v="0"/>
    <n v="4.7999584259992596E+18"/>
  </r>
  <r>
    <b v="0"/>
    <x v="621"/>
    <x v="609"/>
    <n v="0"/>
    <n v="1.26381773703778E+19"/>
  </r>
  <r>
    <b v="0"/>
    <x v="622"/>
    <x v="610"/>
    <n v="0"/>
    <n v="1.97970914694952E+17"/>
  </r>
  <r>
    <b v="0"/>
    <x v="623"/>
    <x v="611"/>
    <n v="0"/>
    <n v="1.0103676567443E+17"/>
  </r>
  <r>
    <b v="0"/>
    <x v="624"/>
    <x v="612"/>
    <n v="0"/>
    <n v="1.47204102529251E+19"/>
  </r>
  <r>
    <b v="0"/>
    <x v="625"/>
    <x v="613"/>
    <n v="0"/>
    <n v="1.47140135707507E+19"/>
  </r>
  <r>
    <b v="0"/>
    <x v="626"/>
    <x v="614"/>
    <n v="0"/>
    <n v="4.9327448152501596E+18"/>
  </r>
  <r>
    <b v="0"/>
    <x v="627"/>
    <x v="615"/>
    <n v="0"/>
    <n v="4.2599287579367997E+18"/>
  </r>
  <r>
    <b v="0"/>
    <x v="628"/>
    <x v="616"/>
    <n v="0"/>
    <n v="8.24361074595149E+18"/>
  </r>
  <r>
    <b v="0"/>
    <x v="629"/>
    <x v="617"/>
    <n v="0"/>
    <n v="5.4150468263984301E+17"/>
  </r>
  <r>
    <b v="0"/>
    <x v="630"/>
    <x v="618"/>
    <n v="0"/>
    <n v="6.2577100265513697E+18"/>
  </r>
  <r>
    <b v="0"/>
    <x v="631"/>
    <x v="619"/>
    <n v="0"/>
    <n v="1.31101575638133E+19"/>
  </r>
  <r>
    <b v="0"/>
    <x v="632"/>
    <x v="620"/>
    <n v="0"/>
    <n v="9.4983195158419907E+18"/>
  </r>
  <r>
    <b v="0"/>
    <x v="633"/>
    <x v="621"/>
    <n v="0"/>
    <n v="1.02439824988787E+18"/>
  </r>
  <r>
    <b v="0"/>
    <x v="634"/>
    <x v="622"/>
    <n v="0"/>
    <n v="6.9308130457872896E+18"/>
  </r>
  <r>
    <b v="0"/>
    <x v="635"/>
    <x v="623"/>
    <n v="0"/>
    <n v="9.4045123427816796E+18"/>
  </r>
  <r>
    <b v="0"/>
    <x v="636"/>
    <x v="624"/>
    <n v="0"/>
    <n v="9.3999895629324698E+18"/>
  </r>
  <r>
    <b v="0"/>
    <x v="637"/>
    <x v="625"/>
    <n v="0"/>
    <n v="1.8139336740170299E+19"/>
  </r>
  <r>
    <b v="0"/>
    <x v="638"/>
    <x v="626"/>
    <n v="0"/>
    <n v="7.8204092521435699E+18"/>
  </r>
  <r>
    <b v="0"/>
    <x v="639"/>
    <x v="627"/>
    <n v="0"/>
    <n v="2.1990616342594801E+18"/>
  </r>
  <r>
    <b v="0"/>
    <x v="640"/>
    <x v="628"/>
    <n v="0"/>
    <n v="1.4271770445443701E+19"/>
  </r>
  <r>
    <b v="0"/>
    <x v="641"/>
    <x v="629"/>
    <n v="0"/>
    <n v="6.8771977177077996E+18"/>
  </r>
  <r>
    <b v="0"/>
    <x v="642"/>
    <x v="630"/>
    <n v="0"/>
    <n v="5.78329704089327E+18"/>
  </r>
  <r>
    <b v="0"/>
    <x v="643"/>
    <x v="631"/>
    <n v="0"/>
    <n v="1.70307719715862E+19"/>
  </r>
  <r>
    <b v="0"/>
    <x v="644"/>
    <x v="632"/>
    <n v="0"/>
    <n v="1.6479892194536499E+19"/>
  </r>
  <r>
    <b v="0"/>
    <x v="645"/>
    <x v="633"/>
    <n v="0"/>
    <n v="1.8399284983317E+19"/>
  </r>
  <r>
    <b v="0"/>
    <x v="646"/>
    <x v="634"/>
    <n v="0"/>
    <n v="1.2916935314600301E+19"/>
  </r>
  <r>
    <b v="0"/>
    <x v="647"/>
    <x v="635"/>
    <n v="0"/>
    <n v="1.2488483230433599E+19"/>
  </r>
  <r>
    <b v="0"/>
    <x v="648"/>
    <x v="636"/>
    <n v="0"/>
    <n v="1.52464217267193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5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F658" firstHeaderRow="0" firstDataRow="1" firstDataCol="2"/>
  <pivotFields count="5">
    <pivotField compact="0" outline="0" showAll="0"/>
    <pivotField axis="axisRow" compact="0" numFmtId="14" outline="0" showAll="0" defaultSubtotal="0">
      <items count="64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</items>
    </pivotField>
    <pivotField axis="axisRow" compact="0" outline="0" showAll="0" defaultSubtotal="0">
      <items count="637">
        <item x="202"/>
        <item x="203"/>
        <item x="201"/>
        <item x="0"/>
        <item x="210"/>
        <item x="2"/>
        <item x="1"/>
        <item x="211"/>
        <item x="3"/>
        <item x="208"/>
        <item x="209"/>
        <item x="207"/>
        <item x="200"/>
        <item x="204"/>
        <item x="206"/>
        <item x="5"/>
        <item x="4"/>
        <item x="212"/>
        <item x="79"/>
        <item x="6"/>
        <item x="78"/>
        <item x="77"/>
        <item x="80"/>
        <item x="36"/>
        <item x="205"/>
        <item x="35"/>
        <item x="81"/>
        <item x="7"/>
        <item x="71"/>
        <item x="72"/>
        <item x="74"/>
        <item x="73"/>
        <item x="37"/>
        <item x="76"/>
        <item x="75"/>
        <item x="40"/>
        <item x="39"/>
        <item x="198"/>
        <item x="199"/>
        <item x="34"/>
        <item x="8"/>
        <item x="70"/>
        <item x="82"/>
        <item x="38"/>
        <item x="42"/>
        <item x="83"/>
        <item x="41"/>
        <item x="48"/>
        <item x="43"/>
        <item x="44"/>
        <item x="49"/>
        <item x="45"/>
        <item x="197"/>
        <item x="213"/>
        <item x="33"/>
        <item x="84"/>
        <item x="47"/>
        <item x="69"/>
        <item x="67"/>
        <item x="9"/>
        <item x="46"/>
        <item x="68"/>
        <item x="50"/>
        <item x="85"/>
        <item x="101"/>
        <item x="19"/>
        <item x="32"/>
        <item x="98"/>
        <item x="16"/>
        <item x="17"/>
        <item x="227"/>
        <item x="107"/>
        <item x="99"/>
        <item x="18"/>
        <item x="66"/>
        <item x="100"/>
        <item x="26"/>
        <item x="20"/>
        <item x="64"/>
        <item x="51"/>
        <item x="86"/>
        <item x="226"/>
        <item x="217"/>
        <item x="65"/>
        <item x="106"/>
        <item x="225"/>
        <item x="10"/>
        <item x="97"/>
        <item x="31"/>
        <item x="228"/>
        <item x="15"/>
        <item x="29"/>
        <item x="14"/>
        <item x="214"/>
        <item x="28"/>
        <item x="87"/>
        <item x="102"/>
        <item x="11"/>
        <item x="27"/>
        <item x="13"/>
        <item x="88"/>
        <item x="218"/>
        <item x="96"/>
        <item x="105"/>
        <item x="91"/>
        <item x="224"/>
        <item x="223"/>
        <item x="61"/>
        <item x="30"/>
        <item x="12"/>
        <item x="25"/>
        <item x="21"/>
        <item x="317"/>
        <item x="103"/>
        <item x="62"/>
        <item x="195"/>
        <item x="92"/>
        <item x="229"/>
        <item x="318"/>
        <item x="24"/>
        <item x="215"/>
        <item x="104"/>
        <item x="216"/>
        <item x="219"/>
        <item x="89"/>
        <item x="108"/>
        <item x="52"/>
        <item x="63"/>
        <item x="90"/>
        <item x="233"/>
        <item x="95"/>
        <item x="93"/>
        <item x="111"/>
        <item x="230"/>
        <item x="22"/>
        <item x="222"/>
        <item x="220"/>
        <item x="110"/>
        <item x="316"/>
        <item x="231"/>
        <item x="55"/>
        <item x="196"/>
        <item x="109"/>
        <item x="53"/>
        <item x="232"/>
        <item x="319"/>
        <item x="94"/>
        <item x="234"/>
        <item x="59"/>
        <item x="60"/>
        <item x="320"/>
        <item x="221"/>
        <item x="112"/>
        <item x="321"/>
        <item x="23"/>
        <item x="315"/>
        <item x="56"/>
        <item x="54"/>
        <item x="270"/>
        <item x="313"/>
        <item x="314"/>
        <item x="58"/>
        <item x="322"/>
        <item x="235"/>
        <item x="271"/>
        <item x="57"/>
        <item x="269"/>
        <item x="236"/>
        <item x="113"/>
        <item x="323"/>
        <item x="307"/>
        <item x="312"/>
        <item x="324"/>
        <item x="296"/>
        <item x="194"/>
        <item x="117"/>
        <item x="306"/>
        <item x="116"/>
        <item x="115"/>
        <item x="304"/>
        <item x="114"/>
        <item x="305"/>
        <item x="311"/>
        <item x="325"/>
        <item x="237"/>
        <item x="272"/>
        <item x="297"/>
        <item x="266"/>
        <item x="265"/>
        <item x="298"/>
        <item x="268"/>
        <item x="118"/>
        <item x="308"/>
        <item x="309"/>
        <item x="238"/>
        <item x="282"/>
        <item x="267"/>
        <item x="310"/>
        <item x="326"/>
        <item x="303"/>
        <item x="119"/>
        <item x="302"/>
        <item x="239"/>
        <item x="295"/>
        <item x="299"/>
        <item x="327"/>
        <item x="300"/>
        <item x="283"/>
        <item x="336"/>
        <item x="120"/>
        <item x="301"/>
        <item x="335"/>
        <item x="328"/>
        <item x="240"/>
        <item x="284"/>
        <item x="338"/>
        <item x="332"/>
        <item x="275"/>
        <item x="340"/>
        <item x="337"/>
        <item x="286"/>
        <item x="285"/>
        <item x="334"/>
        <item x="339"/>
        <item x="121"/>
        <item x="329"/>
        <item x="191"/>
        <item x="333"/>
        <item x="341"/>
        <item x="273"/>
        <item x="193"/>
        <item x="264"/>
        <item x="130"/>
        <item x="129"/>
        <item x="331"/>
        <item x="274"/>
        <item x="330"/>
        <item x="190"/>
        <item x="242"/>
        <item x="281"/>
        <item x="122"/>
        <item x="128"/>
        <item x="287"/>
        <item x="241"/>
        <item x="280"/>
        <item x="345"/>
        <item x="342"/>
        <item x="192"/>
        <item x="279"/>
        <item x="243"/>
        <item x="347"/>
        <item x="344"/>
        <item x="292"/>
        <item x="293"/>
        <item x="346"/>
        <item x="343"/>
        <item x="131"/>
        <item x="290"/>
        <item x="276"/>
        <item x="291"/>
        <item x="294"/>
        <item x="289"/>
        <item x="247"/>
        <item x="348"/>
        <item x="123"/>
        <item x="278"/>
        <item x="244"/>
        <item x="277"/>
        <item x="288"/>
        <item x="135"/>
        <item x="246"/>
        <item x="349"/>
        <item x="124"/>
        <item x="136"/>
        <item x="125"/>
        <item x="245"/>
        <item x="138"/>
        <item x="248"/>
        <item x="126"/>
        <item x="132"/>
        <item x="351"/>
        <item x="350"/>
        <item x="189"/>
        <item x="139"/>
        <item x="127"/>
        <item x="137"/>
        <item x="140"/>
        <item x="352"/>
        <item x="263"/>
        <item x="134"/>
        <item x="249"/>
        <item x="133"/>
        <item x="355"/>
        <item x="141"/>
        <item x="402"/>
        <item x="250"/>
        <item x="353"/>
        <item x="354"/>
        <item x="186"/>
        <item x="251"/>
        <item x="356"/>
        <item x="377"/>
        <item x="142"/>
        <item x="143"/>
        <item x="371"/>
        <item x="370"/>
        <item x="386"/>
        <item x="260"/>
        <item x="387"/>
        <item x="259"/>
        <item x="376"/>
        <item x="185"/>
        <item x="403"/>
        <item x="401"/>
        <item x="378"/>
        <item x="372"/>
        <item x="252"/>
        <item x="369"/>
        <item x="400"/>
        <item x="144"/>
        <item x="396"/>
        <item x="398"/>
        <item x="399"/>
        <item x="385"/>
        <item x="373"/>
        <item x="375"/>
        <item x="381"/>
        <item x="258"/>
        <item x="357"/>
        <item x="261"/>
        <item x="397"/>
        <item x="384"/>
        <item x="254"/>
        <item x="404"/>
        <item x="188"/>
        <item x="395"/>
        <item x="388"/>
        <item x="405"/>
        <item x="393"/>
        <item x="380"/>
        <item x="253"/>
        <item x="374"/>
        <item x="184"/>
        <item x="383"/>
        <item x="392"/>
        <item x="187"/>
        <item x="382"/>
        <item x="255"/>
        <item x="262"/>
        <item x="379"/>
        <item x="145"/>
        <item x="394"/>
        <item x="358"/>
        <item x="389"/>
        <item x="406"/>
        <item x="391"/>
        <item x="257"/>
        <item x="256"/>
        <item x="359"/>
        <item x="147"/>
        <item x="148"/>
        <item x="390"/>
        <item x="407"/>
        <item x="360"/>
        <item x="363"/>
        <item x="146"/>
        <item x="151"/>
        <item x="362"/>
        <item x="408"/>
        <item x="368"/>
        <item x="149"/>
        <item x="361"/>
        <item x="183"/>
        <item x="150"/>
        <item x="409"/>
        <item x="367"/>
        <item x="410"/>
        <item x="364"/>
        <item x="152"/>
        <item x="415"/>
        <item x="366"/>
        <item x="411"/>
        <item x="365"/>
        <item x="156"/>
        <item x="155"/>
        <item x="153"/>
        <item x="412"/>
        <item x="154"/>
        <item x="416"/>
        <item x="413"/>
        <item x="414"/>
        <item x="417"/>
        <item x="182"/>
        <item x="157"/>
        <item x="172"/>
        <item x="181"/>
        <item x="420"/>
        <item x="418"/>
        <item x="419"/>
        <item x="180"/>
        <item x="158"/>
        <item x="179"/>
        <item x="421"/>
        <item x="173"/>
        <item x="159"/>
        <item x="426"/>
        <item x="423"/>
        <item x="422"/>
        <item x="424"/>
        <item x="427"/>
        <item x="425"/>
        <item x="174"/>
        <item x="431"/>
        <item x="437"/>
        <item x="453"/>
        <item x="436"/>
        <item x="435"/>
        <item x="428"/>
        <item x="434"/>
        <item x="432"/>
        <item x="178"/>
        <item x="450"/>
        <item x="175"/>
        <item x="442"/>
        <item x="438"/>
        <item x="430"/>
        <item x="451"/>
        <item x="454"/>
        <item x="433"/>
        <item x="452"/>
        <item x="441"/>
        <item x="429"/>
        <item x="160"/>
        <item x="448"/>
        <item x="439"/>
        <item x="443"/>
        <item x="440"/>
        <item x="449"/>
        <item x="455"/>
        <item x="176"/>
        <item x="161"/>
        <item x="456"/>
        <item x="446"/>
        <item x="177"/>
        <item x="444"/>
        <item x="457"/>
        <item x="447"/>
        <item x="445"/>
        <item x="171"/>
        <item x="458"/>
        <item x="459"/>
        <item x="162"/>
        <item x="164"/>
        <item x="163"/>
        <item x="165"/>
        <item x="166"/>
        <item x="460"/>
        <item x="167"/>
        <item x="461"/>
        <item x="462"/>
        <item x="463"/>
        <item x="168"/>
        <item x="464"/>
        <item x="465"/>
        <item x="466"/>
        <item x="169"/>
        <item x="170"/>
        <item x="467"/>
        <item x="468"/>
        <item x="469"/>
        <item x="471"/>
        <item x="470"/>
        <item x="473"/>
        <item x="472"/>
        <item x="503"/>
        <item x="504"/>
        <item x="474"/>
        <item x="502"/>
        <item x="506"/>
        <item x="505"/>
        <item x="508"/>
        <item x="507"/>
        <item x="478"/>
        <item x="476"/>
        <item x="509"/>
        <item x="475"/>
        <item x="494"/>
        <item x="501"/>
        <item x="510"/>
        <item x="495"/>
        <item x="481"/>
        <item x="482"/>
        <item x="477"/>
        <item x="479"/>
        <item x="491"/>
        <item x="490"/>
        <item x="480"/>
        <item x="486"/>
        <item x="496"/>
        <item x="493"/>
        <item x="500"/>
        <item x="511"/>
        <item x="492"/>
        <item x="489"/>
        <item x="485"/>
        <item x="497"/>
        <item x="483"/>
        <item x="498"/>
        <item x="512"/>
        <item x="487"/>
        <item x="484"/>
        <item x="488"/>
        <item x="499"/>
        <item x="513"/>
        <item x="514"/>
        <item x="515"/>
        <item x="516"/>
        <item x="558"/>
        <item x="562"/>
        <item x="559"/>
        <item x="538"/>
        <item x="518"/>
        <item x="517"/>
        <item x="561"/>
        <item x="537"/>
        <item x="539"/>
        <item x="560"/>
        <item x="519"/>
        <item x="540"/>
        <item x="531"/>
        <item x="533"/>
        <item x="520"/>
        <item x="532"/>
        <item x="536"/>
        <item x="530"/>
        <item x="535"/>
        <item x="563"/>
        <item x="521"/>
        <item x="522"/>
        <item x="541"/>
        <item x="525"/>
        <item x="526"/>
        <item x="557"/>
        <item x="534"/>
        <item x="527"/>
        <item x="564"/>
        <item x="542"/>
        <item x="524"/>
        <item x="523"/>
        <item x="529"/>
        <item x="543"/>
        <item x="528"/>
        <item x="565"/>
        <item x="567"/>
        <item x="566"/>
        <item x="544"/>
        <item x="556"/>
        <item x="547"/>
        <item x="546"/>
        <item x="545"/>
        <item x="571"/>
        <item x="550"/>
        <item x="553"/>
        <item x="568"/>
        <item x="549"/>
        <item x="554"/>
        <item x="572"/>
        <item x="555"/>
        <item x="548"/>
        <item x="570"/>
        <item x="569"/>
        <item x="551"/>
        <item x="552"/>
        <item x="573"/>
        <item x="575"/>
        <item x="574"/>
        <item x="576"/>
        <item x="577"/>
        <item x="610"/>
        <item x="609"/>
        <item x="578"/>
        <item x="612"/>
        <item x="611"/>
        <item x="579"/>
        <item x="608"/>
        <item x="582"/>
        <item x="580"/>
        <item x="581"/>
        <item x="613"/>
        <item x="627"/>
        <item x="584"/>
        <item x="583"/>
        <item x="626"/>
        <item x="614"/>
        <item x="615"/>
        <item x="585"/>
        <item x="623"/>
        <item x="588"/>
        <item x="616"/>
        <item x="618"/>
        <item x="595"/>
        <item x="586"/>
        <item x="607"/>
        <item x="594"/>
        <item x="587"/>
        <item x="632"/>
        <item x="617"/>
        <item x="625"/>
        <item x="624"/>
        <item x="596"/>
        <item x="619"/>
        <item x="606"/>
        <item x="589"/>
        <item x="605"/>
        <item x="628"/>
        <item x="590"/>
        <item x="591"/>
        <item x="629"/>
        <item x="631"/>
        <item x="630"/>
        <item x="622"/>
        <item x="592"/>
        <item x="620"/>
        <item x="597"/>
        <item x="633"/>
        <item x="621"/>
        <item x="603"/>
        <item x="593"/>
        <item x="604"/>
        <item x="598"/>
        <item x="599"/>
        <item x="600"/>
        <item x="634"/>
        <item x="635"/>
        <item x="636"/>
        <item x="602"/>
        <item x="601"/>
      </items>
    </pivotField>
    <pivotField dataField="1" compact="0" outline="0" showAll="0"/>
    <pivotField compact="0" outline="0" showAll="0"/>
  </pivotFields>
  <rowFields count="2">
    <field x="1"/>
    <field x="2"/>
  </rowFields>
  <rowItems count="6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3" subtotal="average" baseField="0" baseItem="1" numFmtId="164"/>
    <dataField name="% of Total Blanks" fld="3" showDataAs="percentOfTotal" baseField="0" baseItem="1" numFmtId="164"/>
  </dataFields>
  <formats count="698">
    <format dxfId="1374">
      <pivotArea type="all" dataOnly="0" outline="0" fieldPosition="0"/>
    </format>
    <format dxfId="1373">
      <pivotArea type="all" dataOnly="0" outline="0" fieldPosition="0"/>
    </format>
    <format dxfId="1372">
      <pivotArea dataOnly="0" outline="0" fieldPosition="0">
        <references count="1">
          <reference field="4294967294" count="1">
            <x v="0"/>
          </reference>
        </references>
      </pivotArea>
    </format>
    <format dxfId="1371">
      <pivotArea outline="0" fieldPosition="0">
        <references count="1">
          <reference field="4294967294" count="1">
            <x v="0"/>
          </reference>
        </references>
      </pivotArea>
    </format>
    <format dxfId="1370">
      <pivotArea outline="0" fieldPosition="0">
        <references count="1">
          <reference field="4294967294" count="1">
            <x v="1"/>
          </reference>
        </references>
      </pivotArea>
    </format>
    <format dxfId="1369">
      <pivotArea type="all" dataOnly="0" outline="0" fieldPosition="0"/>
    </format>
    <format dxfId="136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367">
      <pivotArea outline="0" fieldPosition="0">
        <references count="1">
          <reference field="4294967294" count="1" selected="0">
            <x v="1"/>
          </reference>
        </references>
      </pivotArea>
    </format>
    <format dxfId="690">
      <pivotArea field="1" type="button" dataOnly="0" labelOnly="1" outline="0" axis="axisRow" fieldPosition="0"/>
    </format>
    <format dxfId="689">
      <pivotArea field="2" type="button" dataOnly="0" labelOnly="1" outline="0" axis="axisRow" fieldPosition="1"/>
    </format>
    <format dxfId="68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87">
      <pivotArea type="all" dataOnly="0" outline="0" fieldPosition="0"/>
    </format>
    <format dxfId="686">
      <pivotArea outline="0" collapsedLevelsAreSubtotals="1" fieldPosition="0"/>
    </format>
    <format dxfId="685">
      <pivotArea field="2" type="button" dataOnly="0" labelOnly="1" outline="0" axis="axisRow" fieldPosition="1"/>
    </format>
    <format dxfId="684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83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682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681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680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679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678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677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676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675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674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673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672">
      <pivotArea dataOnly="0" labelOnly="1" outline="0" fieldPosition="0">
        <references count="1">
          <reference field="1" count="49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</reference>
        </references>
      </pivotArea>
    </format>
    <format dxfId="67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70">
      <pivotArea type="all" dataOnly="0" outline="0" fieldPosition="0"/>
    </format>
    <format dxfId="669">
      <pivotArea outline="0" collapsedLevelsAreSubtotals="1" fieldPosition="0"/>
    </format>
    <format dxfId="668">
      <pivotArea field="1" type="button" dataOnly="0" labelOnly="1" outline="0" axis="axisRow" fieldPosition="0"/>
    </format>
    <format dxfId="667">
      <pivotArea field="2" type="button" dataOnly="0" labelOnly="1" outline="0" axis="axisRow" fieldPosition="1"/>
    </format>
    <format dxfId="666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65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664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663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662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661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660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659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658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657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656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655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654">
      <pivotArea dataOnly="0" labelOnly="1" outline="0" fieldPosition="0">
        <references count="1">
          <reference field="1" count="49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</reference>
        </references>
      </pivotArea>
    </format>
    <format dxfId="653">
      <pivotArea dataOnly="0" labelOnly="1" grandRow="1" outline="0" fieldPosition="0"/>
    </format>
    <format dxfId="65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51">
      <pivotArea field="1" type="button" dataOnly="0" labelOnly="1" outline="0" axis="axisRow" fieldPosition="0"/>
    </format>
    <format dxfId="650">
      <pivotArea dataOnly="0" labelOnly="1" outline="0" fieldPosition="0">
        <references count="1">
          <reference field="1" count="1">
            <x v="0"/>
          </reference>
        </references>
      </pivotArea>
    </format>
    <format dxfId="649">
      <pivotArea dataOnly="0" labelOnly="1" outline="0" fieldPosition="0">
        <references count="1">
          <reference field="1" count="1">
            <x v="1"/>
          </reference>
        </references>
      </pivotArea>
    </format>
    <format dxfId="648">
      <pivotArea dataOnly="0" labelOnly="1" outline="0" fieldPosition="0">
        <references count="1">
          <reference field="1" count="1">
            <x v="2"/>
          </reference>
        </references>
      </pivotArea>
    </format>
    <format dxfId="647">
      <pivotArea dataOnly="0" labelOnly="1" outline="0" fieldPosition="0">
        <references count="1">
          <reference field="1" count="1">
            <x v="3"/>
          </reference>
        </references>
      </pivotArea>
    </format>
    <format dxfId="646">
      <pivotArea dataOnly="0" labelOnly="1" outline="0" fieldPosition="0">
        <references count="1">
          <reference field="1" count="1">
            <x v="4"/>
          </reference>
        </references>
      </pivotArea>
    </format>
    <format dxfId="645">
      <pivotArea dataOnly="0" labelOnly="1" outline="0" fieldPosition="0">
        <references count="1">
          <reference field="1" count="1">
            <x v="5"/>
          </reference>
        </references>
      </pivotArea>
    </format>
    <format dxfId="644">
      <pivotArea dataOnly="0" labelOnly="1" outline="0" fieldPosition="0">
        <references count="1">
          <reference field="1" count="1">
            <x v="6"/>
          </reference>
        </references>
      </pivotArea>
    </format>
    <format dxfId="643">
      <pivotArea dataOnly="0" labelOnly="1" outline="0" fieldPosition="0">
        <references count="1">
          <reference field="1" count="1">
            <x v="7"/>
          </reference>
        </references>
      </pivotArea>
    </format>
    <format dxfId="642">
      <pivotArea dataOnly="0" labelOnly="1" outline="0" fieldPosition="0">
        <references count="1">
          <reference field="1" count="1">
            <x v="8"/>
          </reference>
        </references>
      </pivotArea>
    </format>
    <format dxfId="641">
      <pivotArea dataOnly="0" labelOnly="1" outline="0" fieldPosition="0">
        <references count="1">
          <reference field="1" count="1">
            <x v="9"/>
          </reference>
        </references>
      </pivotArea>
    </format>
    <format dxfId="640">
      <pivotArea dataOnly="0" labelOnly="1" outline="0" fieldPosition="0">
        <references count="1">
          <reference field="1" count="1">
            <x v="10"/>
          </reference>
        </references>
      </pivotArea>
    </format>
    <format dxfId="639">
      <pivotArea dataOnly="0" labelOnly="1" outline="0" fieldPosition="0">
        <references count="1">
          <reference field="1" count="1">
            <x v="11"/>
          </reference>
        </references>
      </pivotArea>
    </format>
    <format dxfId="638">
      <pivotArea dataOnly="0" labelOnly="1" outline="0" fieldPosition="0">
        <references count="1">
          <reference field="1" count="1">
            <x v="12"/>
          </reference>
        </references>
      </pivotArea>
    </format>
    <format dxfId="637">
      <pivotArea dataOnly="0" labelOnly="1" outline="0" fieldPosition="0">
        <references count="1">
          <reference field="1" count="1">
            <x v="13"/>
          </reference>
        </references>
      </pivotArea>
    </format>
    <format dxfId="636">
      <pivotArea dataOnly="0" labelOnly="1" outline="0" fieldPosition="0">
        <references count="1">
          <reference field="1" count="1">
            <x v="14"/>
          </reference>
        </references>
      </pivotArea>
    </format>
    <format dxfId="635">
      <pivotArea dataOnly="0" labelOnly="1" outline="0" fieldPosition="0">
        <references count="1">
          <reference field="1" count="1">
            <x v="15"/>
          </reference>
        </references>
      </pivotArea>
    </format>
    <format dxfId="634">
      <pivotArea dataOnly="0" labelOnly="1" outline="0" fieldPosition="0">
        <references count="1">
          <reference field="1" count="1">
            <x v="16"/>
          </reference>
        </references>
      </pivotArea>
    </format>
    <format dxfId="633">
      <pivotArea dataOnly="0" labelOnly="1" outline="0" fieldPosition="0">
        <references count="1">
          <reference field="1" count="1">
            <x v="17"/>
          </reference>
        </references>
      </pivotArea>
    </format>
    <format dxfId="632">
      <pivotArea dataOnly="0" labelOnly="1" outline="0" fieldPosition="0">
        <references count="1">
          <reference field="1" count="1">
            <x v="18"/>
          </reference>
        </references>
      </pivotArea>
    </format>
    <format dxfId="631">
      <pivotArea dataOnly="0" labelOnly="1" outline="0" fieldPosition="0">
        <references count="1">
          <reference field="1" count="1">
            <x v="19"/>
          </reference>
        </references>
      </pivotArea>
    </format>
    <format dxfId="630">
      <pivotArea dataOnly="0" labelOnly="1" outline="0" fieldPosition="0">
        <references count="1">
          <reference field="1" count="1">
            <x v="20"/>
          </reference>
        </references>
      </pivotArea>
    </format>
    <format dxfId="629">
      <pivotArea dataOnly="0" labelOnly="1" outline="0" fieldPosition="0">
        <references count="1">
          <reference field="1" count="1">
            <x v="21"/>
          </reference>
        </references>
      </pivotArea>
    </format>
    <format dxfId="628">
      <pivotArea dataOnly="0" labelOnly="1" outline="0" fieldPosition="0">
        <references count="1">
          <reference field="1" count="1">
            <x v="22"/>
          </reference>
        </references>
      </pivotArea>
    </format>
    <format dxfId="627">
      <pivotArea dataOnly="0" labelOnly="1" outline="0" fieldPosition="0">
        <references count="1">
          <reference field="1" count="1">
            <x v="23"/>
          </reference>
        </references>
      </pivotArea>
    </format>
    <format dxfId="626">
      <pivotArea dataOnly="0" labelOnly="1" outline="0" fieldPosition="0">
        <references count="1">
          <reference field="1" count="1">
            <x v="24"/>
          </reference>
        </references>
      </pivotArea>
    </format>
    <format dxfId="625">
      <pivotArea dataOnly="0" labelOnly="1" outline="0" fieldPosition="0">
        <references count="1">
          <reference field="1" count="1">
            <x v="25"/>
          </reference>
        </references>
      </pivotArea>
    </format>
    <format dxfId="624">
      <pivotArea dataOnly="0" labelOnly="1" outline="0" fieldPosition="0">
        <references count="1">
          <reference field="1" count="1">
            <x v="26"/>
          </reference>
        </references>
      </pivotArea>
    </format>
    <format dxfId="623">
      <pivotArea dataOnly="0" labelOnly="1" outline="0" fieldPosition="0">
        <references count="1">
          <reference field="1" count="1">
            <x v="27"/>
          </reference>
        </references>
      </pivotArea>
    </format>
    <format dxfId="622">
      <pivotArea dataOnly="0" labelOnly="1" outline="0" fieldPosition="0">
        <references count="1">
          <reference field="1" count="1">
            <x v="28"/>
          </reference>
        </references>
      </pivotArea>
    </format>
    <format dxfId="621">
      <pivotArea dataOnly="0" labelOnly="1" outline="0" fieldPosition="0">
        <references count="1">
          <reference field="1" count="1">
            <x v="29"/>
          </reference>
        </references>
      </pivotArea>
    </format>
    <format dxfId="620">
      <pivotArea dataOnly="0" labelOnly="1" outline="0" fieldPosition="0">
        <references count="1">
          <reference field="1" count="1">
            <x v="30"/>
          </reference>
        </references>
      </pivotArea>
    </format>
    <format dxfId="619">
      <pivotArea dataOnly="0" labelOnly="1" outline="0" fieldPosition="0">
        <references count="1">
          <reference field="1" count="1">
            <x v="31"/>
          </reference>
        </references>
      </pivotArea>
    </format>
    <format dxfId="618">
      <pivotArea dataOnly="0" labelOnly="1" outline="0" fieldPosition="0">
        <references count="1">
          <reference field="1" count="1">
            <x v="32"/>
          </reference>
        </references>
      </pivotArea>
    </format>
    <format dxfId="617">
      <pivotArea dataOnly="0" labelOnly="1" outline="0" fieldPosition="0">
        <references count="1">
          <reference field="1" count="1">
            <x v="33"/>
          </reference>
        </references>
      </pivotArea>
    </format>
    <format dxfId="616">
      <pivotArea dataOnly="0" labelOnly="1" outline="0" fieldPosition="0">
        <references count="1">
          <reference field="1" count="1">
            <x v="34"/>
          </reference>
        </references>
      </pivotArea>
    </format>
    <format dxfId="615">
      <pivotArea dataOnly="0" labelOnly="1" outline="0" fieldPosition="0">
        <references count="1">
          <reference field="1" count="1">
            <x v="35"/>
          </reference>
        </references>
      </pivotArea>
    </format>
    <format dxfId="614">
      <pivotArea dataOnly="0" labelOnly="1" outline="0" fieldPosition="0">
        <references count="1">
          <reference field="1" count="1">
            <x v="36"/>
          </reference>
        </references>
      </pivotArea>
    </format>
    <format dxfId="613">
      <pivotArea dataOnly="0" labelOnly="1" outline="0" fieldPosition="0">
        <references count="1">
          <reference field="1" count="1">
            <x v="37"/>
          </reference>
        </references>
      </pivotArea>
    </format>
    <format dxfId="612">
      <pivotArea dataOnly="0" labelOnly="1" outline="0" fieldPosition="0">
        <references count="1">
          <reference field="1" count="1">
            <x v="38"/>
          </reference>
        </references>
      </pivotArea>
    </format>
    <format dxfId="611">
      <pivotArea dataOnly="0" labelOnly="1" outline="0" fieldPosition="0">
        <references count="1">
          <reference field="1" count="1">
            <x v="39"/>
          </reference>
        </references>
      </pivotArea>
    </format>
    <format dxfId="610">
      <pivotArea dataOnly="0" labelOnly="1" outline="0" fieldPosition="0">
        <references count="1">
          <reference field="1" count="1">
            <x v="40"/>
          </reference>
        </references>
      </pivotArea>
    </format>
    <format dxfId="609">
      <pivotArea dataOnly="0" labelOnly="1" outline="0" fieldPosition="0">
        <references count="1">
          <reference field="1" count="1">
            <x v="41"/>
          </reference>
        </references>
      </pivotArea>
    </format>
    <format dxfId="608">
      <pivotArea dataOnly="0" labelOnly="1" outline="0" fieldPosition="0">
        <references count="1">
          <reference field="1" count="1">
            <x v="42"/>
          </reference>
        </references>
      </pivotArea>
    </format>
    <format dxfId="607">
      <pivotArea dataOnly="0" labelOnly="1" outline="0" fieldPosition="0">
        <references count="1">
          <reference field="1" count="1">
            <x v="43"/>
          </reference>
        </references>
      </pivotArea>
    </format>
    <format dxfId="606">
      <pivotArea dataOnly="0" labelOnly="1" outline="0" fieldPosition="0">
        <references count="1">
          <reference field="1" count="1">
            <x v="44"/>
          </reference>
        </references>
      </pivotArea>
    </format>
    <format dxfId="605">
      <pivotArea dataOnly="0" labelOnly="1" outline="0" fieldPosition="0">
        <references count="1">
          <reference field="1" count="1">
            <x v="45"/>
          </reference>
        </references>
      </pivotArea>
    </format>
    <format dxfId="604">
      <pivotArea dataOnly="0" labelOnly="1" outline="0" fieldPosition="0">
        <references count="1">
          <reference field="1" count="1">
            <x v="46"/>
          </reference>
        </references>
      </pivotArea>
    </format>
    <format dxfId="603">
      <pivotArea dataOnly="0" labelOnly="1" outline="0" fieldPosition="0">
        <references count="1">
          <reference field="1" count="1">
            <x v="47"/>
          </reference>
        </references>
      </pivotArea>
    </format>
    <format dxfId="602">
      <pivotArea dataOnly="0" labelOnly="1" outline="0" fieldPosition="0">
        <references count="1">
          <reference field="1" count="1">
            <x v="48"/>
          </reference>
        </references>
      </pivotArea>
    </format>
    <format dxfId="601">
      <pivotArea dataOnly="0" labelOnly="1" outline="0" fieldPosition="0">
        <references count="1">
          <reference field="1" count="1">
            <x v="49"/>
          </reference>
        </references>
      </pivotArea>
    </format>
    <format dxfId="600">
      <pivotArea dataOnly="0" labelOnly="1" outline="0" fieldPosition="0">
        <references count="1">
          <reference field="1" count="1">
            <x v="50"/>
          </reference>
        </references>
      </pivotArea>
    </format>
    <format dxfId="599">
      <pivotArea dataOnly="0" labelOnly="1" outline="0" fieldPosition="0">
        <references count="1">
          <reference field="1" count="1">
            <x v="51"/>
          </reference>
        </references>
      </pivotArea>
    </format>
    <format dxfId="598">
      <pivotArea dataOnly="0" labelOnly="1" outline="0" fieldPosition="0">
        <references count="1">
          <reference field="1" count="1">
            <x v="52"/>
          </reference>
        </references>
      </pivotArea>
    </format>
    <format dxfId="597">
      <pivotArea dataOnly="0" labelOnly="1" outline="0" fieldPosition="0">
        <references count="1">
          <reference field="1" count="1">
            <x v="53"/>
          </reference>
        </references>
      </pivotArea>
    </format>
    <format dxfId="596">
      <pivotArea dataOnly="0" labelOnly="1" outline="0" fieldPosition="0">
        <references count="1">
          <reference field="1" count="1">
            <x v="54"/>
          </reference>
        </references>
      </pivotArea>
    </format>
    <format dxfId="595">
      <pivotArea dataOnly="0" labelOnly="1" outline="0" fieldPosition="0">
        <references count="1">
          <reference field="1" count="1">
            <x v="55"/>
          </reference>
        </references>
      </pivotArea>
    </format>
    <format dxfId="594">
      <pivotArea dataOnly="0" labelOnly="1" outline="0" fieldPosition="0">
        <references count="1">
          <reference field="1" count="1">
            <x v="56"/>
          </reference>
        </references>
      </pivotArea>
    </format>
    <format dxfId="593">
      <pivotArea dataOnly="0" labelOnly="1" outline="0" fieldPosition="0">
        <references count="1">
          <reference field="1" count="1">
            <x v="57"/>
          </reference>
        </references>
      </pivotArea>
    </format>
    <format dxfId="592">
      <pivotArea dataOnly="0" labelOnly="1" outline="0" fieldPosition="0">
        <references count="1">
          <reference field="1" count="1">
            <x v="58"/>
          </reference>
        </references>
      </pivotArea>
    </format>
    <format dxfId="591">
      <pivotArea dataOnly="0" labelOnly="1" outline="0" fieldPosition="0">
        <references count="1">
          <reference field="1" count="1">
            <x v="59"/>
          </reference>
        </references>
      </pivotArea>
    </format>
    <format dxfId="590">
      <pivotArea dataOnly="0" labelOnly="1" outline="0" fieldPosition="0">
        <references count="1">
          <reference field="1" count="1">
            <x v="60"/>
          </reference>
        </references>
      </pivotArea>
    </format>
    <format dxfId="589">
      <pivotArea dataOnly="0" labelOnly="1" outline="0" fieldPosition="0">
        <references count="1">
          <reference field="1" count="1">
            <x v="61"/>
          </reference>
        </references>
      </pivotArea>
    </format>
    <format dxfId="588">
      <pivotArea dataOnly="0" labelOnly="1" outline="0" fieldPosition="0">
        <references count="1">
          <reference field="1" count="1">
            <x v="62"/>
          </reference>
        </references>
      </pivotArea>
    </format>
    <format dxfId="587">
      <pivotArea dataOnly="0" labelOnly="1" outline="0" fieldPosition="0">
        <references count="1">
          <reference field="1" count="1">
            <x v="63"/>
          </reference>
        </references>
      </pivotArea>
    </format>
    <format dxfId="586">
      <pivotArea dataOnly="0" labelOnly="1" outline="0" fieldPosition="0">
        <references count="1">
          <reference field="1" count="1">
            <x v="64"/>
          </reference>
        </references>
      </pivotArea>
    </format>
    <format dxfId="585">
      <pivotArea dataOnly="0" labelOnly="1" outline="0" fieldPosition="0">
        <references count="1">
          <reference field="1" count="1">
            <x v="65"/>
          </reference>
        </references>
      </pivotArea>
    </format>
    <format dxfId="584">
      <pivotArea dataOnly="0" labelOnly="1" outline="0" fieldPosition="0">
        <references count="1">
          <reference field="1" count="1">
            <x v="66"/>
          </reference>
        </references>
      </pivotArea>
    </format>
    <format dxfId="583">
      <pivotArea dataOnly="0" labelOnly="1" outline="0" fieldPosition="0">
        <references count="1">
          <reference field="1" count="1">
            <x v="67"/>
          </reference>
        </references>
      </pivotArea>
    </format>
    <format dxfId="582">
      <pivotArea dataOnly="0" labelOnly="1" outline="0" fieldPosition="0">
        <references count="1">
          <reference field="1" count="1">
            <x v="68"/>
          </reference>
        </references>
      </pivotArea>
    </format>
    <format dxfId="581">
      <pivotArea dataOnly="0" labelOnly="1" outline="0" fieldPosition="0">
        <references count="1">
          <reference field="1" count="1">
            <x v="69"/>
          </reference>
        </references>
      </pivotArea>
    </format>
    <format dxfId="580">
      <pivotArea dataOnly="0" labelOnly="1" outline="0" fieldPosition="0">
        <references count="1">
          <reference field="1" count="1">
            <x v="70"/>
          </reference>
        </references>
      </pivotArea>
    </format>
    <format dxfId="579">
      <pivotArea dataOnly="0" labelOnly="1" outline="0" fieldPosition="0">
        <references count="1">
          <reference field="1" count="1">
            <x v="71"/>
          </reference>
        </references>
      </pivotArea>
    </format>
    <format dxfId="578">
      <pivotArea dataOnly="0" labelOnly="1" outline="0" fieldPosition="0">
        <references count="1">
          <reference field="1" count="1">
            <x v="72"/>
          </reference>
        </references>
      </pivotArea>
    </format>
    <format dxfId="577">
      <pivotArea dataOnly="0" labelOnly="1" outline="0" fieldPosition="0">
        <references count="1">
          <reference field="1" count="1">
            <x v="73"/>
          </reference>
        </references>
      </pivotArea>
    </format>
    <format dxfId="576">
      <pivotArea dataOnly="0" labelOnly="1" outline="0" fieldPosition="0">
        <references count="1">
          <reference field="1" count="1">
            <x v="74"/>
          </reference>
        </references>
      </pivotArea>
    </format>
    <format dxfId="575">
      <pivotArea dataOnly="0" labelOnly="1" outline="0" fieldPosition="0">
        <references count="1">
          <reference field="1" count="1">
            <x v="75"/>
          </reference>
        </references>
      </pivotArea>
    </format>
    <format dxfId="574">
      <pivotArea dataOnly="0" labelOnly="1" outline="0" fieldPosition="0">
        <references count="1">
          <reference field="1" count="1">
            <x v="76"/>
          </reference>
        </references>
      </pivotArea>
    </format>
    <format dxfId="573">
      <pivotArea dataOnly="0" labelOnly="1" outline="0" fieldPosition="0">
        <references count="1">
          <reference field="1" count="1">
            <x v="77"/>
          </reference>
        </references>
      </pivotArea>
    </format>
    <format dxfId="572">
      <pivotArea dataOnly="0" labelOnly="1" outline="0" fieldPosition="0">
        <references count="1">
          <reference field="1" count="1">
            <x v="78"/>
          </reference>
        </references>
      </pivotArea>
    </format>
    <format dxfId="571">
      <pivotArea dataOnly="0" labelOnly="1" outline="0" fieldPosition="0">
        <references count="1">
          <reference field="1" count="1">
            <x v="79"/>
          </reference>
        </references>
      </pivotArea>
    </format>
    <format dxfId="570">
      <pivotArea dataOnly="0" labelOnly="1" outline="0" fieldPosition="0">
        <references count="1">
          <reference field="1" count="1">
            <x v="80"/>
          </reference>
        </references>
      </pivotArea>
    </format>
    <format dxfId="569">
      <pivotArea dataOnly="0" labelOnly="1" outline="0" fieldPosition="0">
        <references count="1">
          <reference field="1" count="1">
            <x v="81"/>
          </reference>
        </references>
      </pivotArea>
    </format>
    <format dxfId="568">
      <pivotArea dataOnly="0" labelOnly="1" outline="0" fieldPosition="0">
        <references count="1">
          <reference field="1" count="1">
            <x v="82"/>
          </reference>
        </references>
      </pivotArea>
    </format>
    <format dxfId="567">
      <pivotArea dataOnly="0" labelOnly="1" outline="0" fieldPosition="0">
        <references count="1">
          <reference field="1" count="1">
            <x v="83"/>
          </reference>
        </references>
      </pivotArea>
    </format>
    <format dxfId="566">
      <pivotArea dataOnly="0" labelOnly="1" outline="0" fieldPosition="0">
        <references count="1">
          <reference field="1" count="1">
            <x v="84"/>
          </reference>
        </references>
      </pivotArea>
    </format>
    <format dxfId="565">
      <pivotArea dataOnly="0" labelOnly="1" outline="0" fieldPosition="0">
        <references count="1">
          <reference field="1" count="1">
            <x v="85"/>
          </reference>
        </references>
      </pivotArea>
    </format>
    <format dxfId="564">
      <pivotArea dataOnly="0" labelOnly="1" outline="0" fieldPosition="0">
        <references count="1">
          <reference field="1" count="1">
            <x v="86"/>
          </reference>
        </references>
      </pivotArea>
    </format>
    <format dxfId="563">
      <pivotArea dataOnly="0" labelOnly="1" outline="0" fieldPosition="0">
        <references count="1">
          <reference field="1" count="1">
            <x v="87"/>
          </reference>
        </references>
      </pivotArea>
    </format>
    <format dxfId="562">
      <pivotArea dataOnly="0" labelOnly="1" outline="0" fieldPosition="0">
        <references count="1">
          <reference field="1" count="1">
            <x v="88"/>
          </reference>
        </references>
      </pivotArea>
    </format>
    <format dxfId="561">
      <pivotArea dataOnly="0" labelOnly="1" outline="0" fieldPosition="0">
        <references count="1">
          <reference field="1" count="1">
            <x v="89"/>
          </reference>
        </references>
      </pivotArea>
    </format>
    <format dxfId="560">
      <pivotArea dataOnly="0" labelOnly="1" outline="0" fieldPosition="0">
        <references count="1">
          <reference field="1" count="1">
            <x v="90"/>
          </reference>
        </references>
      </pivotArea>
    </format>
    <format dxfId="559">
      <pivotArea dataOnly="0" labelOnly="1" outline="0" fieldPosition="0">
        <references count="1">
          <reference field="1" count="1">
            <x v="91"/>
          </reference>
        </references>
      </pivotArea>
    </format>
    <format dxfId="558">
      <pivotArea dataOnly="0" labelOnly="1" outline="0" fieldPosition="0">
        <references count="1">
          <reference field="1" count="1">
            <x v="92"/>
          </reference>
        </references>
      </pivotArea>
    </format>
    <format dxfId="557">
      <pivotArea dataOnly="0" labelOnly="1" outline="0" fieldPosition="0">
        <references count="1">
          <reference field="1" count="1">
            <x v="93"/>
          </reference>
        </references>
      </pivotArea>
    </format>
    <format dxfId="556">
      <pivotArea dataOnly="0" labelOnly="1" outline="0" fieldPosition="0">
        <references count="1">
          <reference field="1" count="1">
            <x v="94"/>
          </reference>
        </references>
      </pivotArea>
    </format>
    <format dxfId="555">
      <pivotArea dataOnly="0" labelOnly="1" outline="0" fieldPosition="0">
        <references count="1">
          <reference field="1" count="1">
            <x v="95"/>
          </reference>
        </references>
      </pivotArea>
    </format>
    <format dxfId="554">
      <pivotArea dataOnly="0" labelOnly="1" outline="0" fieldPosition="0">
        <references count="1">
          <reference field="1" count="1">
            <x v="96"/>
          </reference>
        </references>
      </pivotArea>
    </format>
    <format dxfId="553">
      <pivotArea dataOnly="0" labelOnly="1" outline="0" fieldPosition="0">
        <references count="1">
          <reference field="1" count="1">
            <x v="97"/>
          </reference>
        </references>
      </pivotArea>
    </format>
    <format dxfId="552">
      <pivotArea dataOnly="0" labelOnly="1" outline="0" fieldPosition="0">
        <references count="1">
          <reference field="1" count="1">
            <x v="98"/>
          </reference>
        </references>
      </pivotArea>
    </format>
    <format dxfId="551">
      <pivotArea dataOnly="0" labelOnly="1" outline="0" fieldPosition="0">
        <references count="1">
          <reference field="1" count="1">
            <x v="99"/>
          </reference>
        </references>
      </pivotArea>
    </format>
    <format dxfId="550">
      <pivotArea dataOnly="0" labelOnly="1" outline="0" fieldPosition="0">
        <references count="1">
          <reference field="1" count="1">
            <x v="100"/>
          </reference>
        </references>
      </pivotArea>
    </format>
    <format dxfId="549">
      <pivotArea dataOnly="0" labelOnly="1" outline="0" fieldPosition="0">
        <references count="1">
          <reference field="1" count="1">
            <x v="101"/>
          </reference>
        </references>
      </pivotArea>
    </format>
    <format dxfId="548">
      <pivotArea dataOnly="0" labelOnly="1" outline="0" fieldPosition="0">
        <references count="1">
          <reference field="1" count="1">
            <x v="102"/>
          </reference>
        </references>
      </pivotArea>
    </format>
    <format dxfId="547">
      <pivotArea dataOnly="0" labelOnly="1" outline="0" fieldPosition="0">
        <references count="1">
          <reference field="1" count="1">
            <x v="103"/>
          </reference>
        </references>
      </pivotArea>
    </format>
    <format dxfId="546">
      <pivotArea dataOnly="0" labelOnly="1" outline="0" fieldPosition="0">
        <references count="1">
          <reference field="1" count="1">
            <x v="104"/>
          </reference>
        </references>
      </pivotArea>
    </format>
    <format dxfId="545">
      <pivotArea dataOnly="0" labelOnly="1" outline="0" fieldPosition="0">
        <references count="1">
          <reference field="1" count="1">
            <x v="105"/>
          </reference>
        </references>
      </pivotArea>
    </format>
    <format dxfId="544">
      <pivotArea dataOnly="0" labelOnly="1" outline="0" fieldPosition="0">
        <references count="1">
          <reference field="1" count="1">
            <x v="106"/>
          </reference>
        </references>
      </pivotArea>
    </format>
    <format dxfId="543">
      <pivotArea dataOnly="0" labelOnly="1" outline="0" fieldPosition="0">
        <references count="1">
          <reference field="1" count="1">
            <x v="107"/>
          </reference>
        </references>
      </pivotArea>
    </format>
    <format dxfId="542">
      <pivotArea dataOnly="0" labelOnly="1" outline="0" fieldPosition="0">
        <references count="1">
          <reference field="1" count="1">
            <x v="108"/>
          </reference>
        </references>
      </pivotArea>
    </format>
    <format dxfId="541">
      <pivotArea dataOnly="0" labelOnly="1" outline="0" fieldPosition="0">
        <references count="1">
          <reference field="1" count="1">
            <x v="109"/>
          </reference>
        </references>
      </pivotArea>
    </format>
    <format dxfId="540">
      <pivotArea dataOnly="0" labelOnly="1" outline="0" fieldPosition="0">
        <references count="1">
          <reference field="1" count="1">
            <x v="110"/>
          </reference>
        </references>
      </pivotArea>
    </format>
    <format dxfId="539">
      <pivotArea dataOnly="0" labelOnly="1" outline="0" fieldPosition="0">
        <references count="1">
          <reference field="1" count="1">
            <x v="111"/>
          </reference>
        </references>
      </pivotArea>
    </format>
    <format dxfId="538">
      <pivotArea dataOnly="0" labelOnly="1" outline="0" fieldPosition="0">
        <references count="1">
          <reference field="1" count="1">
            <x v="112"/>
          </reference>
        </references>
      </pivotArea>
    </format>
    <format dxfId="537">
      <pivotArea dataOnly="0" labelOnly="1" outline="0" fieldPosition="0">
        <references count="1">
          <reference field="1" count="1">
            <x v="113"/>
          </reference>
        </references>
      </pivotArea>
    </format>
    <format dxfId="536">
      <pivotArea dataOnly="0" labelOnly="1" outline="0" fieldPosition="0">
        <references count="1">
          <reference field="1" count="1">
            <x v="114"/>
          </reference>
        </references>
      </pivotArea>
    </format>
    <format dxfId="535">
      <pivotArea dataOnly="0" labelOnly="1" outline="0" fieldPosition="0">
        <references count="1">
          <reference field="1" count="1">
            <x v="115"/>
          </reference>
        </references>
      </pivotArea>
    </format>
    <format dxfId="534">
      <pivotArea dataOnly="0" labelOnly="1" outline="0" fieldPosition="0">
        <references count="1">
          <reference field="1" count="1">
            <x v="116"/>
          </reference>
        </references>
      </pivotArea>
    </format>
    <format dxfId="533">
      <pivotArea dataOnly="0" labelOnly="1" outline="0" fieldPosition="0">
        <references count="1">
          <reference field="1" count="1">
            <x v="117"/>
          </reference>
        </references>
      </pivotArea>
    </format>
    <format dxfId="532">
      <pivotArea dataOnly="0" labelOnly="1" outline="0" fieldPosition="0">
        <references count="1">
          <reference field="1" count="1">
            <x v="118"/>
          </reference>
        </references>
      </pivotArea>
    </format>
    <format dxfId="531">
      <pivotArea dataOnly="0" labelOnly="1" outline="0" fieldPosition="0">
        <references count="1">
          <reference field="1" count="1">
            <x v="119"/>
          </reference>
        </references>
      </pivotArea>
    </format>
    <format dxfId="530">
      <pivotArea dataOnly="0" labelOnly="1" outline="0" fieldPosition="0">
        <references count="1">
          <reference field="1" count="1">
            <x v="120"/>
          </reference>
        </references>
      </pivotArea>
    </format>
    <format dxfId="529">
      <pivotArea dataOnly="0" labelOnly="1" outline="0" fieldPosition="0">
        <references count="1">
          <reference field="1" count="1">
            <x v="121"/>
          </reference>
        </references>
      </pivotArea>
    </format>
    <format dxfId="528">
      <pivotArea dataOnly="0" labelOnly="1" outline="0" fieldPosition="0">
        <references count="1">
          <reference field="1" count="1">
            <x v="122"/>
          </reference>
        </references>
      </pivotArea>
    </format>
    <format dxfId="527">
      <pivotArea dataOnly="0" labelOnly="1" outline="0" fieldPosition="0">
        <references count="1">
          <reference field="1" count="1">
            <x v="123"/>
          </reference>
        </references>
      </pivotArea>
    </format>
    <format dxfId="526">
      <pivotArea dataOnly="0" labelOnly="1" outline="0" fieldPosition="0">
        <references count="1">
          <reference field="1" count="1">
            <x v="124"/>
          </reference>
        </references>
      </pivotArea>
    </format>
    <format dxfId="525">
      <pivotArea dataOnly="0" labelOnly="1" outline="0" fieldPosition="0">
        <references count="1">
          <reference field="1" count="1">
            <x v="125"/>
          </reference>
        </references>
      </pivotArea>
    </format>
    <format dxfId="524">
      <pivotArea dataOnly="0" labelOnly="1" outline="0" fieldPosition="0">
        <references count="1">
          <reference field="1" count="1">
            <x v="126"/>
          </reference>
        </references>
      </pivotArea>
    </format>
    <format dxfId="523">
      <pivotArea dataOnly="0" labelOnly="1" outline="0" fieldPosition="0">
        <references count="1">
          <reference field="1" count="1">
            <x v="127"/>
          </reference>
        </references>
      </pivotArea>
    </format>
    <format dxfId="522">
      <pivotArea dataOnly="0" labelOnly="1" outline="0" fieldPosition="0">
        <references count="1">
          <reference field="1" count="1">
            <x v="128"/>
          </reference>
        </references>
      </pivotArea>
    </format>
    <format dxfId="521">
      <pivotArea dataOnly="0" labelOnly="1" outline="0" fieldPosition="0">
        <references count="1">
          <reference field="1" count="1">
            <x v="129"/>
          </reference>
        </references>
      </pivotArea>
    </format>
    <format dxfId="520">
      <pivotArea dataOnly="0" labelOnly="1" outline="0" fieldPosition="0">
        <references count="1">
          <reference field="1" count="1">
            <x v="130"/>
          </reference>
        </references>
      </pivotArea>
    </format>
    <format dxfId="519">
      <pivotArea dataOnly="0" labelOnly="1" outline="0" fieldPosition="0">
        <references count="1">
          <reference field="1" count="1">
            <x v="131"/>
          </reference>
        </references>
      </pivotArea>
    </format>
    <format dxfId="518">
      <pivotArea dataOnly="0" labelOnly="1" outline="0" fieldPosition="0">
        <references count="1">
          <reference field="1" count="1">
            <x v="132"/>
          </reference>
        </references>
      </pivotArea>
    </format>
    <format dxfId="517">
      <pivotArea dataOnly="0" labelOnly="1" outline="0" fieldPosition="0">
        <references count="1">
          <reference field="1" count="1">
            <x v="133"/>
          </reference>
        </references>
      </pivotArea>
    </format>
    <format dxfId="516">
      <pivotArea dataOnly="0" labelOnly="1" outline="0" fieldPosition="0">
        <references count="1">
          <reference field="1" count="1">
            <x v="134"/>
          </reference>
        </references>
      </pivotArea>
    </format>
    <format dxfId="515">
      <pivotArea dataOnly="0" labelOnly="1" outline="0" fieldPosition="0">
        <references count="1">
          <reference field="1" count="1">
            <x v="135"/>
          </reference>
        </references>
      </pivotArea>
    </format>
    <format dxfId="514">
      <pivotArea dataOnly="0" labelOnly="1" outline="0" fieldPosition="0">
        <references count="1">
          <reference field="1" count="1">
            <x v="136"/>
          </reference>
        </references>
      </pivotArea>
    </format>
    <format dxfId="513">
      <pivotArea dataOnly="0" labelOnly="1" outline="0" fieldPosition="0">
        <references count="1">
          <reference field="1" count="1">
            <x v="137"/>
          </reference>
        </references>
      </pivotArea>
    </format>
    <format dxfId="512">
      <pivotArea dataOnly="0" labelOnly="1" outline="0" fieldPosition="0">
        <references count="1">
          <reference field="1" count="1">
            <x v="138"/>
          </reference>
        </references>
      </pivotArea>
    </format>
    <format dxfId="511">
      <pivotArea dataOnly="0" labelOnly="1" outline="0" fieldPosition="0">
        <references count="1">
          <reference field="1" count="1">
            <x v="139"/>
          </reference>
        </references>
      </pivotArea>
    </format>
    <format dxfId="510">
      <pivotArea dataOnly="0" labelOnly="1" outline="0" fieldPosition="0">
        <references count="1">
          <reference field="1" count="1">
            <x v="140"/>
          </reference>
        </references>
      </pivotArea>
    </format>
    <format dxfId="509">
      <pivotArea dataOnly="0" labelOnly="1" outline="0" fieldPosition="0">
        <references count="1">
          <reference field="1" count="1">
            <x v="141"/>
          </reference>
        </references>
      </pivotArea>
    </format>
    <format dxfId="508">
      <pivotArea dataOnly="0" labelOnly="1" outline="0" fieldPosition="0">
        <references count="1">
          <reference field="1" count="1">
            <x v="142"/>
          </reference>
        </references>
      </pivotArea>
    </format>
    <format dxfId="507">
      <pivotArea dataOnly="0" labelOnly="1" outline="0" fieldPosition="0">
        <references count="1">
          <reference field="1" count="1">
            <x v="143"/>
          </reference>
        </references>
      </pivotArea>
    </format>
    <format dxfId="506">
      <pivotArea dataOnly="0" labelOnly="1" outline="0" fieldPosition="0">
        <references count="1">
          <reference field="1" count="1">
            <x v="144"/>
          </reference>
        </references>
      </pivotArea>
    </format>
    <format dxfId="505">
      <pivotArea dataOnly="0" labelOnly="1" outline="0" fieldPosition="0">
        <references count="1">
          <reference field="1" count="1">
            <x v="145"/>
          </reference>
        </references>
      </pivotArea>
    </format>
    <format dxfId="504">
      <pivotArea dataOnly="0" labelOnly="1" outline="0" fieldPosition="0">
        <references count="1">
          <reference field="1" count="1">
            <x v="146"/>
          </reference>
        </references>
      </pivotArea>
    </format>
    <format dxfId="503">
      <pivotArea dataOnly="0" labelOnly="1" outline="0" fieldPosition="0">
        <references count="1">
          <reference field="1" count="1">
            <x v="147"/>
          </reference>
        </references>
      </pivotArea>
    </format>
    <format dxfId="502">
      <pivotArea dataOnly="0" labelOnly="1" outline="0" fieldPosition="0">
        <references count="1">
          <reference field="1" count="1">
            <x v="148"/>
          </reference>
        </references>
      </pivotArea>
    </format>
    <format dxfId="501">
      <pivotArea dataOnly="0" labelOnly="1" outline="0" fieldPosition="0">
        <references count="1">
          <reference field="1" count="1">
            <x v="149"/>
          </reference>
        </references>
      </pivotArea>
    </format>
    <format dxfId="500">
      <pivotArea dataOnly="0" labelOnly="1" outline="0" fieldPosition="0">
        <references count="1">
          <reference field="1" count="1">
            <x v="150"/>
          </reference>
        </references>
      </pivotArea>
    </format>
    <format dxfId="499">
      <pivotArea dataOnly="0" labelOnly="1" outline="0" fieldPosition="0">
        <references count="1">
          <reference field="1" count="1">
            <x v="151"/>
          </reference>
        </references>
      </pivotArea>
    </format>
    <format dxfId="498">
      <pivotArea dataOnly="0" labelOnly="1" outline="0" fieldPosition="0">
        <references count="1">
          <reference field="1" count="1">
            <x v="152"/>
          </reference>
        </references>
      </pivotArea>
    </format>
    <format dxfId="497">
      <pivotArea dataOnly="0" labelOnly="1" outline="0" fieldPosition="0">
        <references count="1">
          <reference field="1" count="1">
            <x v="153"/>
          </reference>
        </references>
      </pivotArea>
    </format>
    <format dxfId="496">
      <pivotArea dataOnly="0" labelOnly="1" outline="0" fieldPosition="0">
        <references count="1">
          <reference field="1" count="1">
            <x v="154"/>
          </reference>
        </references>
      </pivotArea>
    </format>
    <format dxfId="495">
      <pivotArea dataOnly="0" labelOnly="1" outline="0" fieldPosition="0">
        <references count="1">
          <reference field="1" count="1">
            <x v="155"/>
          </reference>
        </references>
      </pivotArea>
    </format>
    <format dxfId="494">
      <pivotArea dataOnly="0" labelOnly="1" outline="0" fieldPosition="0">
        <references count="1">
          <reference field="1" count="1">
            <x v="156"/>
          </reference>
        </references>
      </pivotArea>
    </format>
    <format dxfId="493">
      <pivotArea dataOnly="0" labelOnly="1" outline="0" fieldPosition="0">
        <references count="1">
          <reference field="1" count="1">
            <x v="157"/>
          </reference>
        </references>
      </pivotArea>
    </format>
    <format dxfId="492">
      <pivotArea dataOnly="0" labelOnly="1" outline="0" fieldPosition="0">
        <references count="1">
          <reference field="1" count="1">
            <x v="158"/>
          </reference>
        </references>
      </pivotArea>
    </format>
    <format dxfId="491">
      <pivotArea dataOnly="0" labelOnly="1" outline="0" fieldPosition="0">
        <references count="1">
          <reference field="1" count="1">
            <x v="159"/>
          </reference>
        </references>
      </pivotArea>
    </format>
    <format dxfId="490">
      <pivotArea dataOnly="0" labelOnly="1" outline="0" fieldPosition="0">
        <references count="1">
          <reference field="1" count="1">
            <x v="160"/>
          </reference>
        </references>
      </pivotArea>
    </format>
    <format dxfId="489">
      <pivotArea dataOnly="0" labelOnly="1" outline="0" fieldPosition="0">
        <references count="1">
          <reference field="1" count="1">
            <x v="161"/>
          </reference>
        </references>
      </pivotArea>
    </format>
    <format dxfId="488">
      <pivotArea dataOnly="0" labelOnly="1" outline="0" fieldPosition="0">
        <references count="1">
          <reference field="1" count="1">
            <x v="162"/>
          </reference>
        </references>
      </pivotArea>
    </format>
    <format dxfId="487">
      <pivotArea dataOnly="0" labelOnly="1" outline="0" fieldPosition="0">
        <references count="1">
          <reference field="1" count="1">
            <x v="163"/>
          </reference>
        </references>
      </pivotArea>
    </format>
    <format dxfId="486">
      <pivotArea dataOnly="0" labelOnly="1" outline="0" fieldPosition="0">
        <references count="1">
          <reference field="1" count="1">
            <x v="164"/>
          </reference>
        </references>
      </pivotArea>
    </format>
    <format dxfId="485">
      <pivotArea dataOnly="0" labelOnly="1" outline="0" fieldPosition="0">
        <references count="1">
          <reference field="1" count="1">
            <x v="165"/>
          </reference>
        </references>
      </pivotArea>
    </format>
    <format dxfId="484">
      <pivotArea dataOnly="0" labelOnly="1" outline="0" fieldPosition="0">
        <references count="1">
          <reference field="1" count="1">
            <x v="166"/>
          </reference>
        </references>
      </pivotArea>
    </format>
    <format dxfId="483">
      <pivotArea dataOnly="0" labelOnly="1" outline="0" fieldPosition="0">
        <references count="1">
          <reference field="1" count="1">
            <x v="167"/>
          </reference>
        </references>
      </pivotArea>
    </format>
    <format dxfId="482">
      <pivotArea dataOnly="0" labelOnly="1" outline="0" fieldPosition="0">
        <references count="1">
          <reference field="1" count="1">
            <x v="168"/>
          </reference>
        </references>
      </pivotArea>
    </format>
    <format dxfId="481">
      <pivotArea dataOnly="0" labelOnly="1" outline="0" fieldPosition="0">
        <references count="1">
          <reference field="1" count="1">
            <x v="169"/>
          </reference>
        </references>
      </pivotArea>
    </format>
    <format dxfId="480">
      <pivotArea dataOnly="0" labelOnly="1" outline="0" fieldPosition="0">
        <references count="1">
          <reference field="1" count="1">
            <x v="170"/>
          </reference>
        </references>
      </pivotArea>
    </format>
    <format dxfId="479">
      <pivotArea dataOnly="0" labelOnly="1" outline="0" fieldPosition="0">
        <references count="1">
          <reference field="1" count="1">
            <x v="171"/>
          </reference>
        </references>
      </pivotArea>
    </format>
    <format dxfId="478">
      <pivotArea dataOnly="0" labelOnly="1" outline="0" fieldPosition="0">
        <references count="1">
          <reference field="1" count="1">
            <x v="172"/>
          </reference>
        </references>
      </pivotArea>
    </format>
    <format dxfId="477">
      <pivotArea dataOnly="0" labelOnly="1" outline="0" fieldPosition="0">
        <references count="1">
          <reference field="1" count="1">
            <x v="173"/>
          </reference>
        </references>
      </pivotArea>
    </format>
    <format dxfId="476">
      <pivotArea dataOnly="0" labelOnly="1" outline="0" fieldPosition="0">
        <references count="1">
          <reference field="1" count="1">
            <x v="174"/>
          </reference>
        </references>
      </pivotArea>
    </format>
    <format dxfId="475">
      <pivotArea dataOnly="0" labelOnly="1" outline="0" fieldPosition="0">
        <references count="1">
          <reference field="1" count="1">
            <x v="175"/>
          </reference>
        </references>
      </pivotArea>
    </format>
    <format dxfId="474">
      <pivotArea dataOnly="0" labelOnly="1" outline="0" fieldPosition="0">
        <references count="1">
          <reference field="1" count="1">
            <x v="176"/>
          </reference>
        </references>
      </pivotArea>
    </format>
    <format dxfId="473">
      <pivotArea dataOnly="0" labelOnly="1" outline="0" fieldPosition="0">
        <references count="1">
          <reference field="1" count="1">
            <x v="177"/>
          </reference>
        </references>
      </pivotArea>
    </format>
    <format dxfId="472">
      <pivotArea dataOnly="0" labelOnly="1" outline="0" fieldPosition="0">
        <references count="1">
          <reference field="1" count="1">
            <x v="178"/>
          </reference>
        </references>
      </pivotArea>
    </format>
    <format dxfId="471">
      <pivotArea dataOnly="0" labelOnly="1" outline="0" fieldPosition="0">
        <references count="1">
          <reference field="1" count="1">
            <x v="179"/>
          </reference>
        </references>
      </pivotArea>
    </format>
    <format dxfId="470">
      <pivotArea dataOnly="0" labelOnly="1" outline="0" fieldPosition="0">
        <references count="1">
          <reference field="1" count="1">
            <x v="180"/>
          </reference>
        </references>
      </pivotArea>
    </format>
    <format dxfId="469">
      <pivotArea dataOnly="0" labelOnly="1" outline="0" fieldPosition="0">
        <references count="1">
          <reference field="1" count="1">
            <x v="181"/>
          </reference>
        </references>
      </pivotArea>
    </format>
    <format dxfId="468">
      <pivotArea dataOnly="0" labelOnly="1" outline="0" fieldPosition="0">
        <references count="1">
          <reference field="1" count="1">
            <x v="182"/>
          </reference>
        </references>
      </pivotArea>
    </format>
    <format dxfId="467">
      <pivotArea dataOnly="0" labelOnly="1" outline="0" fieldPosition="0">
        <references count="1">
          <reference field="1" count="1">
            <x v="183"/>
          </reference>
        </references>
      </pivotArea>
    </format>
    <format dxfId="466">
      <pivotArea dataOnly="0" labelOnly="1" outline="0" fieldPosition="0">
        <references count="1">
          <reference field="1" count="1">
            <x v="184"/>
          </reference>
        </references>
      </pivotArea>
    </format>
    <format dxfId="465">
      <pivotArea dataOnly="0" labelOnly="1" outline="0" fieldPosition="0">
        <references count="1">
          <reference field="1" count="1">
            <x v="185"/>
          </reference>
        </references>
      </pivotArea>
    </format>
    <format dxfId="464">
      <pivotArea dataOnly="0" labelOnly="1" outline="0" fieldPosition="0">
        <references count="1">
          <reference field="1" count="1">
            <x v="186"/>
          </reference>
        </references>
      </pivotArea>
    </format>
    <format dxfId="463">
      <pivotArea dataOnly="0" labelOnly="1" outline="0" fieldPosition="0">
        <references count="1">
          <reference field="1" count="1">
            <x v="187"/>
          </reference>
        </references>
      </pivotArea>
    </format>
    <format dxfId="462">
      <pivotArea dataOnly="0" labelOnly="1" outline="0" fieldPosition="0">
        <references count="1">
          <reference field="1" count="1">
            <x v="188"/>
          </reference>
        </references>
      </pivotArea>
    </format>
    <format dxfId="461">
      <pivotArea dataOnly="0" labelOnly="1" outline="0" fieldPosition="0">
        <references count="1">
          <reference field="1" count="1">
            <x v="189"/>
          </reference>
        </references>
      </pivotArea>
    </format>
    <format dxfId="460">
      <pivotArea dataOnly="0" labelOnly="1" outline="0" fieldPosition="0">
        <references count="1">
          <reference field="1" count="1">
            <x v="190"/>
          </reference>
        </references>
      </pivotArea>
    </format>
    <format dxfId="459">
      <pivotArea dataOnly="0" labelOnly="1" outline="0" fieldPosition="0">
        <references count="1">
          <reference field="1" count="1">
            <x v="191"/>
          </reference>
        </references>
      </pivotArea>
    </format>
    <format dxfId="458">
      <pivotArea dataOnly="0" labelOnly="1" outline="0" fieldPosition="0">
        <references count="1">
          <reference field="1" count="1">
            <x v="192"/>
          </reference>
        </references>
      </pivotArea>
    </format>
    <format dxfId="457">
      <pivotArea dataOnly="0" labelOnly="1" outline="0" fieldPosition="0">
        <references count="1">
          <reference field="1" count="1">
            <x v="193"/>
          </reference>
        </references>
      </pivotArea>
    </format>
    <format dxfId="456">
      <pivotArea dataOnly="0" labelOnly="1" outline="0" fieldPosition="0">
        <references count="1">
          <reference field="1" count="1">
            <x v="194"/>
          </reference>
        </references>
      </pivotArea>
    </format>
    <format dxfId="455">
      <pivotArea dataOnly="0" labelOnly="1" outline="0" fieldPosition="0">
        <references count="1">
          <reference field="1" count="1">
            <x v="195"/>
          </reference>
        </references>
      </pivotArea>
    </format>
    <format dxfId="454">
      <pivotArea dataOnly="0" labelOnly="1" outline="0" fieldPosition="0">
        <references count="1">
          <reference field="1" count="1">
            <x v="196"/>
          </reference>
        </references>
      </pivotArea>
    </format>
    <format dxfId="453">
      <pivotArea dataOnly="0" labelOnly="1" outline="0" fieldPosition="0">
        <references count="1">
          <reference field="1" count="1">
            <x v="197"/>
          </reference>
        </references>
      </pivotArea>
    </format>
    <format dxfId="452">
      <pivotArea dataOnly="0" labelOnly="1" outline="0" fieldPosition="0">
        <references count="1">
          <reference field="1" count="1">
            <x v="198"/>
          </reference>
        </references>
      </pivotArea>
    </format>
    <format dxfId="451">
      <pivotArea dataOnly="0" labelOnly="1" outline="0" fieldPosition="0">
        <references count="1">
          <reference field="1" count="1">
            <x v="199"/>
          </reference>
        </references>
      </pivotArea>
    </format>
    <format dxfId="450">
      <pivotArea dataOnly="0" labelOnly="1" outline="0" fieldPosition="0">
        <references count="1">
          <reference field="1" count="1">
            <x v="200"/>
          </reference>
        </references>
      </pivotArea>
    </format>
    <format dxfId="449">
      <pivotArea dataOnly="0" labelOnly="1" outline="0" fieldPosition="0">
        <references count="1">
          <reference field="1" count="1">
            <x v="201"/>
          </reference>
        </references>
      </pivotArea>
    </format>
    <format dxfId="448">
      <pivotArea dataOnly="0" labelOnly="1" outline="0" fieldPosition="0">
        <references count="1">
          <reference field="1" count="1">
            <x v="202"/>
          </reference>
        </references>
      </pivotArea>
    </format>
    <format dxfId="447">
      <pivotArea dataOnly="0" labelOnly="1" outline="0" fieldPosition="0">
        <references count="1">
          <reference field="1" count="1">
            <x v="203"/>
          </reference>
        </references>
      </pivotArea>
    </format>
    <format dxfId="446">
      <pivotArea dataOnly="0" labelOnly="1" outline="0" fieldPosition="0">
        <references count="1">
          <reference field="1" count="1">
            <x v="204"/>
          </reference>
        </references>
      </pivotArea>
    </format>
    <format dxfId="445">
      <pivotArea dataOnly="0" labelOnly="1" outline="0" fieldPosition="0">
        <references count="1">
          <reference field="1" count="1">
            <x v="205"/>
          </reference>
        </references>
      </pivotArea>
    </format>
    <format dxfId="444">
      <pivotArea dataOnly="0" labelOnly="1" outline="0" fieldPosition="0">
        <references count="1">
          <reference field="1" count="1">
            <x v="206"/>
          </reference>
        </references>
      </pivotArea>
    </format>
    <format dxfId="443">
      <pivotArea dataOnly="0" labelOnly="1" outline="0" fieldPosition="0">
        <references count="1">
          <reference field="1" count="1">
            <x v="207"/>
          </reference>
        </references>
      </pivotArea>
    </format>
    <format dxfId="442">
      <pivotArea dataOnly="0" labelOnly="1" outline="0" fieldPosition="0">
        <references count="1">
          <reference field="1" count="1">
            <x v="208"/>
          </reference>
        </references>
      </pivotArea>
    </format>
    <format dxfId="441">
      <pivotArea dataOnly="0" labelOnly="1" outline="0" fieldPosition="0">
        <references count="1">
          <reference field="1" count="1">
            <x v="209"/>
          </reference>
        </references>
      </pivotArea>
    </format>
    <format dxfId="440">
      <pivotArea dataOnly="0" labelOnly="1" outline="0" fieldPosition="0">
        <references count="1">
          <reference field="1" count="1">
            <x v="210"/>
          </reference>
        </references>
      </pivotArea>
    </format>
    <format dxfId="439">
      <pivotArea dataOnly="0" labelOnly="1" outline="0" fieldPosition="0">
        <references count="1">
          <reference field="1" count="1">
            <x v="211"/>
          </reference>
        </references>
      </pivotArea>
    </format>
    <format dxfId="438">
      <pivotArea dataOnly="0" labelOnly="1" outline="0" fieldPosition="0">
        <references count="1">
          <reference field="1" count="1">
            <x v="212"/>
          </reference>
        </references>
      </pivotArea>
    </format>
    <format dxfId="437">
      <pivotArea dataOnly="0" labelOnly="1" outline="0" fieldPosition="0">
        <references count="1">
          <reference field="1" count="1">
            <x v="213"/>
          </reference>
        </references>
      </pivotArea>
    </format>
    <format dxfId="436">
      <pivotArea dataOnly="0" labelOnly="1" outline="0" fieldPosition="0">
        <references count="1">
          <reference field="1" count="1">
            <x v="214"/>
          </reference>
        </references>
      </pivotArea>
    </format>
    <format dxfId="435">
      <pivotArea dataOnly="0" labelOnly="1" outline="0" fieldPosition="0">
        <references count="1">
          <reference field="1" count="1">
            <x v="215"/>
          </reference>
        </references>
      </pivotArea>
    </format>
    <format dxfId="434">
      <pivotArea dataOnly="0" labelOnly="1" outline="0" fieldPosition="0">
        <references count="1">
          <reference field="1" count="1">
            <x v="216"/>
          </reference>
        </references>
      </pivotArea>
    </format>
    <format dxfId="433">
      <pivotArea dataOnly="0" labelOnly="1" outline="0" fieldPosition="0">
        <references count="1">
          <reference field="1" count="1">
            <x v="217"/>
          </reference>
        </references>
      </pivotArea>
    </format>
    <format dxfId="432">
      <pivotArea dataOnly="0" labelOnly="1" outline="0" fieldPosition="0">
        <references count="1">
          <reference field="1" count="1">
            <x v="218"/>
          </reference>
        </references>
      </pivotArea>
    </format>
    <format dxfId="431">
      <pivotArea dataOnly="0" labelOnly="1" outline="0" fieldPosition="0">
        <references count="1">
          <reference field="1" count="1">
            <x v="219"/>
          </reference>
        </references>
      </pivotArea>
    </format>
    <format dxfId="430">
      <pivotArea dataOnly="0" labelOnly="1" outline="0" fieldPosition="0">
        <references count="1">
          <reference field="1" count="1">
            <x v="220"/>
          </reference>
        </references>
      </pivotArea>
    </format>
    <format dxfId="429">
      <pivotArea dataOnly="0" labelOnly="1" outline="0" fieldPosition="0">
        <references count="1">
          <reference field="1" count="1">
            <x v="221"/>
          </reference>
        </references>
      </pivotArea>
    </format>
    <format dxfId="428">
      <pivotArea dataOnly="0" labelOnly="1" outline="0" fieldPosition="0">
        <references count="1">
          <reference field="1" count="1">
            <x v="222"/>
          </reference>
        </references>
      </pivotArea>
    </format>
    <format dxfId="427">
      <pivotArea dataOnly="0" labelOnly="1" outline="0" fieldPosition="0">
        <references count="1">
          <reference field="1" count="1">
            <x v="223"/>
          </reference>
        </references>
      </pivotArea>
    </format>
    <format dxfId="426">
      <pivotArea dataOnly="0" labelOnly="1" outline="0" fieldPosition="0">
        <references count="1">
          <reference field="1" count="1">
            <x v="224"/>
          </reference>
        </references>
      </pivotArea>
    </format>
    <format dxfId="425">
      <pivotArea dataOnly="0" labelOnly="1" outline="0" fieldPosition="0">
        <references count="1">
          <reference field="1" count="1">
            <x v="225"/>
          </reference>
        </references>
      </pivotArea>
    </format>
    <format dxfId="424">
      <pivotArea dataOnly="0" labelOnly="1" outline="0" fieldPosition="0">
        <references count="1">
          <reference field="1" count="1">
            <x v="226"/>
          </reference>
        </references>
      </pivotArea>
    </format>
    <format dxfId="423">
      <pivotArea dataOnly="0" labelOnly="1" outline="0" fieldPosition="0">
        <references count="1">
          <reference field="1" count="1">
            <x v="227"/>
          </reference>
        </references>
      </pivotArea>
    </format>
    <format dxfId="422">
      <pivotArea dataOnly="0" labelOnly="1" outline="0" fieldPosition="0">
        <references count="1">
          <reference field="1" count="1">
            <x v="228"/>
          </reference>
        </references>
      </pivotArea>
    </format>
    <format dxfId="421">
      <pivotArea dataOnly="0" labelOnly="1" outline="0" fieldPosition="0">
        <references count="1">
          <reference field="1" count="1">
            <x v="229"/>
          </reference>
        </references>
      </pivotArea>
    </format>
    <format dxfId="420">
      <pivotArea dataOnly="0" labelOnly="1" outline="0" fieldPosition="0">
        <references count="1">
          <reference field="1" count="1">
            <x v="230"/>
          </reference>
        </references>
      </pivotArea>
    </format>
    <format dxfId="419">
      <pivotArea dataOnly="0" labelOnly="1" outline="0" fieldPosition="0">
        <references count="1">
          <reference field="1" count="1">
            <x v="231"/>
          </reference>
        </references>
      </pivotArea>
    </format>
    <format dxfId="418">
      <pivotArea dataOnly="0" labelOnly="1" outline="0" fieldPosition="0">
        <references count="1">
          <reference field="1" count="1">
            <x v="232"/>
          </reference>
        </references>
      </pivotArea>
    </format>
    <format dxfId="417">
      <pivotArea dataOnly="0" labelOnly="1" outline="0" fieldPosition="0">
        <references count="1">
          <reference field="1" count="1">
            <x v="233"/>
          </reference>
        </references>
      </pivotArea>
    </format>
    <format dxfId="416">
      <pivotArea dataOnly="0" labelOnly="1" outline="0" fieldPosition="0">
        <references count="1">
          <reference field="1" count="1">
            <x v="234"/>
          </reference>
        </references>
      </pivotArea>
    </format>
    <format dxfId="415">
      <pivotArea dataOnly="0" labelOnly="1" outline="0" fieldPosition="0">
        <references count="1">
          <reference field="1" count="1">
            <x v="235"/>
          </reference>
        </references>
      </pivotArea>
    </format>
    <format dxfId="414">
      <pivotArea dataOnly="0" labelOnly="1" outline="0" fieldPosition="0">
        <references count="1">
          <reference field="1" count="1">
            <x v="236"/>
          </reference>
        </references>
      </pivotArea>
    </format>
    <format dxfId="413">
      <pivotArea dataOnly="0" labelOnly="1" outline="0" fieldPosition="0">
        <references count="1">
          <reference field="1" count="1">
            <x v="237"/>
          </reference>
        </references>
      </pivotArea>
    </format>
    <format dxfId="412">
      <pivotArea dataOnly="0" labelOnly="1" outline="0" fieldPosition="0">
        <references count="1">
          <reference field="1" count="1">
            <x v="238"/>
          </reference>
        </references>
      </pivotArea>
    </format>
    <format dxfId="411">
      <pivotArea dataOnly="0" labelOnly="1" outline="0" fieldPosition="0">
        <references count="1">
          <reference field="1" count="1">
            <x v="239"/>
          </reference>
        </references>
      </pivotArea>
    </format>
    <format dxfId="410">
      <pivotArea dataOnly="0" labelOnly="1" outline="0" fieldPosition="0">
        <references count="1">
          <reference field="1" count="1">
            <x v="240"/>
          </reference>
        </references>
      </pivotArea>
    </format>
    <format dxfId="409">
      <pivotArea dataOnly="0" labelOnly="1" outline="0" fieldPosition="0">
        <references count="1">
          <reference field="1" count="1">
            <x v="241"/>
          </reference>
        </references>
      </pivotArea>
    </format>
    <format dxfId="408">
      <pivotArea dataOnly="0" labelOnly="1" outline="0" fieldPosition="0">
        <references count="1">
          <reference field="1" count="1">
            <x v="242"/>
          </reference>
        </references>
      </pivotArea>
    </format>
    <format dxfId="407">
      <pivotArea dataOnly="0" labelOnly="1" outline="0" fieldPosition="0">
        <references count="1">
          <reference field="1" count="1">
            <x v="243"/>
          </reference>
        </references>
      </pivotArea>
    </format>
    <format dxfId="406">
      <pivotArea dataOnly="0" labelOnly="1" outline="0" fieldPosition="0">
        <references count="1">
          <reference field="1" count="1">
            <x v="244"/>
          </reference>
        </references>
      </pivotArea>
    </format>
    <format dxfId="405">
      <pivotArea dataOnly="0" labelOnly="1" outline="0" fieldPosition="0">
        <references count="1">
          <reference field="1" count="1">
            <x v="245"/>
          </reference>
        </references>
      </pivotArea>
    </format>
    <format dxfId="404">
      <pivotArea dataOnly="0" labelOnly="1" outline="0" fieldPosition="0">
        <references count="1">
          <reference field="1" count="1">
            <x v="246"/>
          </reference>
        </references>
      </pivotArea>
    </format>
    <format dxfId="403">
      <pivotArea dataOnly="0" labelOnly="1" outline="0" fieldPosition="0">
        <references count="1">
          <reference field="1" count="1">
            <x v="247"/>
          </reference>
        </references>
      </pivotArea>
    </format>
    <format dxfId="402">
      <pivotArea dataOnly="0" labelOnly="1" outline="0" fieldPosition="0">
        <references count="1">
          <reference field="1" count="1">
            <x v="248"/>
          </reference>
        </references>
      </pivotArea>
    </format>
    <format dxfId="401">
      <pivotArea dataOnly="0" labelOnly="1" outline="0" fieldPosition="0">
        <references count="1">
          <reference field="1" count="1">
            <x v="249"/>
          </reference>
        </references>
      </pivotArea>
    </format>
    <format dxfId="400">
      <pivotArea dataOnly="0" labelOnly="1" outline="0" fieldPosition="0">
        <references count="1">
          <reference field="1" count="1">
            <x v="250"/>
          </reference>
        </references>
      </pivotArea>
    </format>
    <format dxfId="399">
      <pivotArea dataOnly="0" labelOnly="1" outline="0" fieldPosition="0">
        <references count="1">
          <reference field="1" count="1">
            <x v="251"/>
          </reference>
        </references>
      </pivotArea>
    </format>
    <format dxfId="398">
      <pivotArea dataOnly="0" labelOnly="1" outline="0" fieldPosition="0">
        <references count="1">
          <reference field="1" count="1">
            <x v="252"/>
          </reference>
        </references>
      </pivotArea>
    </format>
    <format dxfId="397">
      <pivotArea dataOnly="0" labelOnly="1" outline="0" fieldPosition="0">
        <references count="1">
          <reference field="1" count="1">
            <x v="253"/>
          </reference>
        </references>
      </pivotArea>
    </format>
    <format dxfId="396">
      <pivotArea dataOnly="0" labelOnly="1" outline="0" fieldPosition="0">
        <references count="1">
          <reference field="1" count="1">
            <x v="254"/>
          </reference>
        </references>
      </pivotArea>
    </format>
    <format dxfId="395">
      <pivotArea dataOnly="0" labelOnly="1" outline="0" fieldPosition="0">
        <references count="1">
          <reference field="1" count="1">
            <x v="255"/>
          </reference>
        </references>
      </pivotArea>
    </format>
    <format dxfId="394">
      <pivotArea dataOnly="0" labelOnly="1" outline="0" fieldPosition="0">
        <references count="1">
          <reference field="1" count="1">
            <x v="256"/>
          </reference>
        </references>
      </pivotArea>
    </format>
    <format dxfId="393">
      <pivotArea dataOnly="0" labelOnly="1" outline="0" fieldPosition="0">
        <references count="1">
          <reference field="1" count="1">
            <x v="257"/>
          </reference>
        </references>
      </pivotArea>
    </format>
    <format dxfId="392">
      <pivotArea dataOnly="0" labelOnly="1" outline="0" fieldPosition="0">
        <references count="1">
          <reference field="1" count="1">
            <x v="258"/>
          </reference>
        </references>
      </pivotArea>
    </format>
    <format dxfId="391">
      <pivotArea dataOnly="0" labelOnly="1" outline="0" fieldPosition="0">
        <references count="1">
          <reference field="1" count="1">
            <x v="259"/>
          </reference>
        </references>
      </pivotArea>
    </format>
    <format dxfId="390">
      <pivotArea dataOnly="0" labelOnly="1" outline="0" fieldPosition="0">
        <references count="1">
          <reference field="1" count="1">
            <x v="260"/>
          </reference>
        </references>
      </pivotArea>
    </format>
    <format dxfId="389">
      <pivotArea dataOnly="0" labelOnly="1" outline="0" fieldPosition="0">
        <references count="1">
          <reference field="1" count="1">
            <x v="261"/>
          </reference>
        </references>
      </pivotArea>
    </format>
    <format dxfId="388">
      <pivotArea dataOnly="0" labelOnly="1" outline="0" fieldPosition="0">
        <references count="1">
          <reference field="1" count="1">
            <x v="262"/>
          </reference>
        </references>
      </pivotArea>
    </format>
    <format dxfId="387">
      <pivotArea dataOnly="0" labelOnly="1" outline="0" fieldPosition="0">
        <references count="1">
          <reference field="1" count="1">
            <x v="263"/>
          </reference>
        </references>
      </pivotArea>
    </format>
    <format dxfId="386">
      <pivotArea dataOnly="0" labelOnly="1" outline="0" fieldPosition="0">
        <references count="1">
          <reference field="1" count="1">
            <x v="264"/>
          </reference>
        </references>
      </pivotArea>
    </format>
    <format dxfId="385">
      <pivotArea dataOnly="0" labelOnly="1" outline="0" fieldPosition="0">
        <references count="1">
          <reference field="1" count="1">
            <x v="265"/>
          </reference>
        </references>
      </pivotArea>
    </format>
    <format dxfId="384">
      <pivotArea dataOnly="0" labelOnly="1" outline="0" fieldPosition="0">
        <references count="1">
          <reference field="1" count="1">
            <x v="266"/>
          </reference>
        </references>
      </pivotArea>
    </format>
    <format dxfId="383">
      <pivotArea dataOnly="0" labelOnly="1" outline="0" fieldPosition="0">
        <references count="1">
          <reference field="1" count="1">
            <x v="267"/>
          </reference>
        </references>
      </pivotArea>
    </format>
    <format dxfId="382">
      <pivotArea dataOnly="0" labelOnly="1" outline="0" fieldPosition="0">
        <references count="1">
          <reference field="1" count="1">
            <x v="268"/>
          </reference>
        </references>
      </pivotArea>
    </format>
    <format dxfId="381">
      <pivotArea dataOnly="0" labelOnly="1" outline="0" fieldPosition="0">
        <references count="1">
          <reference field="1" count="1">
            <x v="269"/>
          </reference>
        </references>
      </pivotArea>
    </format>
    <format dxfId="380">
      <pivotArea dataOnly="0" labelOnly="1" outline="0" fieldPosition="0">
        <references count="1">
          <reference field="1" count="1">
            <x v="270"/>
          </reference>
        </references>
      </pivotArea>
    </format>
    <format dxfId="379">
      <pivotArea dataOnly="0" labelOnly="1" outline="0" fieldPosition="0">
        <references count="1">
          <reference field="1" count="1">
            <x v="271"/>
          </reference>
        </references>
      </pivotArea>
    </format>
    <format dxfId="378">
      <pivotArea dataOnly="0" labelOnly="1" outline="0" fieldPosition="0">
        <references count="1">
          <reference field="1" count="1">
            <x v="272"/>
          </reference>
        </references>
      </pivotArea>
    </format>
    <format dxfId="377">
      <pivotArea dataOnly="0" labelOnly="1" outline="0" fieldPosition="0">
        <references count="1">
          <reference field="1" count="1">
            <x v="273"/>
          </reference>
        </references>
      </pivotArea>
    </format>
    <format dxfId="376">
      <pivotArea dataOnly="0" labelOnly="1" outline="0" fieldPosition="0">
        <references count="1">
          <reference field="1" count="1">
            <x v="274"/>
          </reference>
        </references>
      </pivotArea>
    </format>
    <format dxfId="375">
      <pivotArea dataOnly="0" labelOnly="1" outline="0" fieldPosition="0">
        <references count="1">
          <reference field="1" count="1">
            <x v="275"/>
          </reference>
        </references>
      </pivotArea>
    </format>
    <format dxfId="374">
      <pivotArea dataOnly="0" labelOnly="1" outline="0" fieldPosition="0">
        <references count="1">
          <reference field="1" count="1">
            <x v="276"/>
          </reference>
        </references>
      </pivotArea>
    </format>
    <format dxfId="373">
      <pivotArea dataOnly="0" labelOnly="1" outline="0" fieldPosition="0">
        <references count="1">
          <reference field="1" count="1">
            <x v="277"/>
          </reference>
        </references>
      </pivotArea>
    </format>
    <format dxfId="372">
      <pivotArea dataOnly="0" labelOnly="1" outline="0" fieldPosition="0">
        <references count="1">
          <reference field="1" count="1">
            <x v="278"/>
          </reference>
        </references>
      </pivotArea>
    </format>
    <format dxfId="371">
      <pivotArea dataOnly="0" labelOnly="1" outline="0" fieldPosition="0">
        <references count="1">
          <reference field="1" count="1">
            <x v="279"/>
          </reference>
        </references>
      </pivotArea>
    </format>
    <format dxfId="370">
      <pivotArea dataOnly="0" labelOnly="1" outline="0" fieldPosition="0">
        <references count="1">
          <reference field="1" count="1">
            <x v="280"/>
          </reference>
        </references>
      </pivotArea>
    </format>
    <format dxfId="369">
      <pivotArea dataOnly="0" labelOnly="1" outline="0" fieldPosition="0">
        <references count="1">
          <reference field="1" count="1">
            <x v="281"/>
          </reference>
        </references>
      </pivotArea>
    </format>
    <format dxfId="368">
      <pivotArea dataOnly="0" labelOnly="1" outline="0" fieldPosition="0">
        <references count="1">
          <reference field="1" count="1">
            <x v="282"/>
          </reference>
        </references>
      </pivotArea>
    </format>
    <format dxfId="367">
      <pivotArea dataOnly="0" labelOnly="1" outline="0" fieldPosition="0">
        <references count="1">
          <reference field="1" count="1">
            <x v="283"/>
          </reference>
        </references>
      </pivotArea>
    </format>
    <format dxfId="366">
      <pivotArea dataOnly="0" labelOnly="1" outline="0" fieldPosition="0">
        <references count="1">
          <reference field="1" count="1">
            <x v="284"/>
          </reference>
        </references>
      </pivotArea>
    </format>
    <format dxfId="365">
      <pivotArea dataOnly="0" labelOnly="1" outline="0" fieldPosition="0">
        <references count="1">
          <reference field="1" count="1">
            <x v="285"/>
          </reference>
        </references>
      </pivotArea>
    </format>
    <format dxfId="364">
      <pivotArea dataOnly="0" labelOnly="1" outline="0" fieldPosition="0">
        <references count="1">
          <reference field="1" count="1">
            <x v="286"/>
          </reference>
        </references>
      </pivotArea>
    </format>
    <format dxfId="363">
      <pivotArea dataOnly="0" labelOnly="1" outline="0" fieldPosition="0">
        <references count="1">
          <reference field="1" count="1">
            <x v="287"/>
          </reference>
        </references>
      </pivotArea>
    </format>
    <format dxfId="362">
      <pivotArea dataOnly="0" labelOnly="1" outline="0" fieldPosition="0">
        <references count="1">
          <reference field="1" count="1">
            <x v="288"/>
          </reference>
        </references>
      </pivotArea>
    </format>
    <format dxfId="361">
      <pivotArea dataOnly="0" labelOnly="1" outline="0" fieldPosition="0">
        <references count="1">
          <reference field="1" count="1">
            <x v="289"/>
          </reference>
        </references>
      </pivotArea>
    </format>
    <format dxfId="360">
      <pivotArea dataOnly="0" labelOnly="1" outline="0" fieldPosition="0">
        <references count="1">
          <reference field="1" count="1">
            <x v="290"/>
          </reference>
        </references>
      </pivotArea>
    </format>
    <format dxfId="359">
      <pivotArea dataOnly="0" labelOnly="1" outline="0" fieldPosition="0">
        <references count="1">
          <reference field="1" count="1">
            <x v="291"/>
          </reference>
        </references>
      </pivotArea>
    </format>
    <format dxfId="358">
      <pivotArea dataOnly="0" labelOnly="1" outline="0" fieldPosition="0">
        <references count="1">
          <reference field="1" count="1">
            <x v="292"/>
          </reference>
        </references>
      </pivotArea>
    </format>
    <format dxfId="357">
      <pivotArea dataOnly="0" labelOnly="1" outline="0" fieldPosition="0">
        <references count="1">
          <reference field="1" count="1">
            <x v="293"/>
          </reference>
        </references>
      </pivotArea>
    </format>
    <format dxfId="356">
      <pivotArea dataOnly="0" labelOnly="1" outline="0" fieldPosition="0">
        <references count="1">
          <reference field="1" count="1">
            <x v="294"/>
          </reference>
        </references>
      </pivotArea>
    </format>
    <format dxfId="355">
      <pivotArea dataOnly="0" labelOnly="1" outline="0" fieldPosition="0">
        <references count="1">
          <reference field="1" count="1">
            <x v="295"/>
          </reference>
        </references>
      </pivotArea>
    </format>
    <format dxfId="354">
      <pivotArea dataOnly="0" labelOnly="1" outline="0" fieldPosition="0">
        <references count="1">
          <reference field="1" count="1">
            <x v="296"/>
          </reference>
        </references>
      </pivotArea>
    </format>
    <format dxfId="353">
      <pivotArea dataOnly="0" labelOnly="1" outline="0" fieldPosition="0">
        <references count="1">
          <reference field="1" count="1">
            <x v="297"/>
          </reference>
        </references>
      </pivotArea>
    </format>
    <format dxfId="352">
      <pivotArea dataOnly="0" labelOnly="1" outline="0" fieldPosition="0">
        <references count="1">
          <reference field="1" count="1">
            <x v="298"/>
          </reference>
        </references>
      </pivotArea>
    </format>
    <format dxfId="351">
      <pivotArea dataOnly="0" labelOnly="1" outline="0" fieldPosition="0">
        <references count="1">
          <reference field="1" count="1">
            <x v="299"/>
          </reference>
        </references>
      </pivotArea>
    </format>
    <format dxfId="350">
      <pivotArea dataOnly="0" labelOnly="1" outline="0" fieldPosition="0">
        <references count="1">
          <reference field="1" count="1">
            <x v="300"/>
          </reference>
        </references>
      </pivotArea>
    </format>
    <format dxfId="349">
      <pivotArea dataOnly="0" labelOnly="1" outline="0" fieldPosition="0">
        <references count="1">
          <reference field="1" count="1">
            <x v="301"/>
          </reference>
        </references>
      </pivotArea>
    </format>
    <format dxfId="348">
      <pivotArea dataOnly="0" labelOnly="1" outline="0" fieldPosition="0">
        <references count="1">
          <reference field="1" count="1">
            <x v="302"/>
          </reference>
        </references>
      </pivotArea>
    </format>
    <format dxfId="347">
      <pivotArea dataOnly="0" labelOnly="1" outline="0" fieldPosition="0">
        <references count="1">
          <reference field="1" count="1">
            <x v="303"/>
          </reference>
        </references>
      </pivotArea>
    </format>
    <format dxfId="346">
      <pivotArea dataOnly="0" labelOnly="1" outline="0" fieldPosition="0">
        <references count="1">
          <reference field="1" count="1">
            <x v="304"/>
          </reference>
        </references>
      </pivotArea>
    </format>
    <format dxfId="345">
      <pivotArea dataOnly="0" labelOnly="1" outline="0" fieldPosition="0">
        <references count="1">
          <reference field="1" count="1">
            <x v="305"/>
          </reference>
        </references>
      </pivotArea>
    </format>
    <format dxfId="344">
      <pivotArea dataOnly="0" labelOnly="1" outline="0" fieldPosition="0">
        <references count="1">
          <reference field="1" count="1">
            <x v="306"/>
          </reference>
        </references>
      </pivotArea>
    </format>
    <format dxfId="343">
      <pivotArea dataOnly="0" labelOnly="1" outline="0" fieldPosition="0">
        <references count="1">
          <reference field="1" count="1">
            <x v="307"/>
          </reference>
        </references>
      </pivotArea>
    </format>
    <format dxfId="342">
      <pivotArea dataOnly="0" labelOnly="1" outline="0" fieldPosition="0">
        <references count="1">
          <reference field="1" count="1">
            <x v="308"/>
          </reference>
        </references>
      </pivotArea>
    </format>
    <format dxfId="341">
      <pivotArea dataOnly="0" labelOnly="1" outline="0" fieldPosition="0">
        <references count="1">
          <reference field="1" count="1">
            <x v="309"/>
          </reference>
        </references>
      </pivotArea>
    </format>
    <format dxfId="340">
      <pivotArea dataOnly="0" labelOnly="1" outline="0" fieldPosition="0">
        <references count="1">
          <reference field="1" count="1">
            <x v="310"/>
          </reference>
        </references>
      </pivotArea>
    </format>
    <format dxfId="339">
      <pivotArea dataOnly="0" labelOnly="1" outline="0" fieldPosition="0">
        <references count="1">
          <reference field="1" count="1">
            <x v="311"/>
          </reference>
        </references>
      </pivotArea>
    </format>
    <format dxfId="338">
      <pivotArea dataOnly="0" labelOnly="1" outline="0" fieldPosition="0">
        <references count="1">
          <reference field="1" count="1">
            <x v="312"/>
          </reference>
        </references>
      </pivotArea>
    </format>
    <format dxfId="337">
      <pivotArea dataOnly="0" labelOnly="1" outline="0" fieldPosition="0">
        <references count="1">
          <reference field="1" count="1">
            <x v="313"/>
          </reference>
        </references>
      </pivotArea>
    </format>
    <format dxfId="336">
      <pivotArea dataOnly="0" labelOnly="1" outline="0" fieldPosition="0">
        <references count="1">
          <reference field="1" count="1">
            <x v="314"/>
          </reference>
        </references>
      </pivotArea>
    </format>
    <format dxfId="335">
      <pivotArea dataOnly="0" labelOnly="1" outline="0" fieldPosition="0">
        <references count="1">
          <reference field="1" count="1">
            <x v="315"/>
          </reference>
        </references>
      </pivotArea>
    </format>
    <format dxfId="334">
      <pivotArea dataOnly="0" labelOnly="1" outline="0" fieldPosition="0">
        <references count="1">
          <reference field="1" count="1">
            <x v="316"/>
          </reference>
        </references>
      </pivotArea>
    </format>
    <format dxfId="333">
      <pivotArea dataOnly="0" labelOnly="1" outline="0" fieldPosition="0">
        <references count="1">
          <reference field="1" count="1">
            <x v="317"/>
          </reference>
        </references>
      </pivotArea>
    </format>
    <format dxfId="332">
      <pivotArea dataOnly="0" labelOnly="1" outline="0" fieldPosition="0">
        <references count="1">
          <reference field="1" count="1">
            <x v="318"/>
          </reference>
        </references>
      </pivotArea>
    </format>
    <format dxfId="331">
      <pivotArea dataOnly="0" labelOnly="1" outline="0" fieldPosition="0">
        <references count="1">
          <reference field="1" count="1">
            <x v="319"/>
          </reference>
        </references>
      </pivotArea>
    </format>
    <format dxfId="330">
      <pivotArea dataOnly="0" labelOnly="1" outline="0" fieldPosition="0">
        <references count="1">
          <reference field="1" count="1">
            <x v="320"/>
          </reference>
        </references>
      </pivotArea>
    </format>
    <format dxfId="329">
      <pivotArea dataOnly="0" labelOnly="1" outline="0" fieldPosition="0">
        <references count="1">
          <reference field="1" count="1">
            <x v="321"/>
          </reference>
        </references>
      </pivotArea>
    </format>
    <format dxfId="328">
      <pivotArea dataOnly="0" labelOnly="1" outline="0" fieldPosition="0">
        <references count="1">
          <reference field="1" count="1">
            <x v="322"/>
          </reference>
        </references>
      </pivotArea>
    </format>
    <format dxfId="327">
      <pivotArea dataOnly="0" labelOnly="1" outline="0" fieldPosition="0">
        <references count="1">
          <reference field="1" count="1">
            <x v="323"/>
          </reference>
        </references>
      </pivotArea>
    </format>
    <format dxfId="326">
      <pivotArea dataOnly="0" labelOnly="1" outline="0" fieldPosition="0">
        <references count="1">
          <reference field="1" count="1">
            <x v="324"/>
          </reference>
        </references>
      </pivotArea>
    </format>
    <format dxfId="325">
      <pivotArea dataOnly="0" labelOnly="1" outline="0" fieldPosition="0">
        <references count="1">
          <reference field="1" count="1">
            <x v="325"/>
          </reference>
        </references>
      </pivotArea>
    </format>
    <format dxfId="324">
      <pivotArea dataOnly="0" labelOnly="1" outline="0" fieldPosition="0">
        <references count="1">
          <reference field="1" count="1">
            <x v="326"/>
          </reference>
        </references>
      </pivotArea>
    </format>
    <format dxfId="323">
      <pivotArea dataOnly="0" labelOnly="1" outline="0" fieldPosition="0">
        <references count="1">
          <reference field="1" count="1">
            <x v="327"/>
          </reference>
        </references>
      </pivotArea>
    </format>
    <format dxfId="322">
      <pivotArea dataOnly="0" labelOnly="1" outline="0" fieldPosition="0">
        <references count="1">
          <reference field="1" count="1">
            <x v="328"/>
          </reference>
        </references>
      </pivotArea>
    </format>
    <format dxfId="321">
      <pivotArea dataOnly="0" labelOnly="1" outline="0" fieldPosition="0">
        <references count="1">
          <reference field="1" count="1">
            <x v="329"/>
          </reference>
        </references>
      </pivotArea>
    </format>
    <format dxfId="320">
      <pivotArea dataOnly="0" labelOnly="1" outline="0" fieldPosition="0">
        <references count="1">
          <reference field="1" count="1">
            <x v="330"/>
          </reference>
        </references>
      </pivotArea>
    </format>
    <format dxfId="319">
      <pivotArea dataOnly="0" labelOnly="1" outline="0" fieldPosition="0">
        <references count="1">
          <reference field="1" count="1">
            <x v="331"/>
          </reference>
        </references>
      </pivotArea>
    </format>
    <format dxfId="318">
      <pivotArea dataOnly="0" labelOnly="1" outline="0" fieldPosition="0">
        <references count="1">
          <reference field="1" count="1">
            <x v="332"/>
          </reference>
        </references>
      </pivotArea>
    </format>
    <format dxfId="317">
      <pivotArea dataOnly="0" labelOnly="1" outline="0" fieldPosition="0">
        <references count="1">
          <reference field="1" count="1">
            <x v="333"/>
          </reference>
        </references>
      </pivotArea>
    </format>
    <format dxfId="316">
      <pivotArea dataOnly="0" labelOnly="1" outline="0" fieldPosition="0">
        <references count="1">
          <reference field="1" count="1">
            <x v="334"/>
          </reference>
        </references>
      </pivotArea>
    </format>
    <format dxfId="315">
      <pivotArea dataOnly="0" labelOnly="1" outline="0" fieldPosition="0">
        <references count="1">
          <reference field="1" count="1">
            <x v="335"/>
          </reference>
        </references>
      </pivotArea>
    </format>
    <format dxfId="314">
      <pivotArea dataOnly="0" labelOnly="1" outline="0" fieldPosition="0">
        <references count="1">
          <reference field="1" count="1">
            <x v="336"/>
          </reference>
        </references>
      </pivotArea>
    </format>
    <format dxfId="313">
      <pivotArea dataOnly="0" labelOnly="1" outline="0" fieldPosition="0">
        <references count="1">
          <reference field="1" count="1">
            <x v="337"/>
          </reference>
        </references>
      </pivotArea>
    </format>
    <format dxfId="312">
      <pivotArea dataOnly="0" labelOnly="1" outline="0" fieldPosition="0">
        <references count="1">
          <reference field="1" count="1">
            <x v="338"/>
          </reference>
        </references>
      </pivotArea>
    </format>
    <format dxfId="311">
      <pivotArea dataOnly="0" labelOnly="1" outline="0" fieldPosition="0">
        <references count="1">
          <reference field="1" count="1">
            <x v="339"/>
          </reference>
        </references>
      </pivotArea>
    </format>
    <format dxfId="310">
      <pivotArea dataOnly="0" labelOnly="1" outline="0" fieldPosition="0">
        <references count="1">
          <reference field="1" count="1">
            <x v="340"/>
          </reference>
        </references>
      </pivotArea>
    </format>
    <format dxfId="309">
      <pivotArea dataOnly="0" labelOnly="1" outline="0" fieldPosition="0">
        <references count="1">
          <reference field="1" count="1">
            <x v="341"/>
          </reference>
        </references>
      </pivotArea>
    </format>
    <format dxfId="308">
      <pivotArea dataOnly="0" labelOnly="1" outline="0" fieldPosition="0">
        <references count="1">
          <reference field="1" count="1">
            <x v="342"/>
          </reference>
        </references>
      </pivotArea>
    </format>
    <format dxfId="307">
      <pivotArea dataOnly="0" labelOnly="1" outline="0" fieldPosition="0">
        <references count="1">
          <reference field="1" count="1">
            <x v="343"/>
          </reference>
        </references>
      </pivotArea>
    </format>
    <format dxfId="306">
      <pivotArea dataOnly="0" labelOnly="1" outline="0" fieldPosition="0">
        <references count="1">
          <reference field="1" count="1">
            <x v="344"/>
          </reference>
        </references>
      </pivotArea>
    </format>
    <format dxfId="305">
      <pivotArea dataOnly="0" labelOnly="1" outline="0" fieldPosition="0">
        <references count="1">
          <reference field="1" count="1">
            <x v="345"/>
          </reference>
        </references>
      </pivotArea>
    </format>
    <format dxfId="304">
      <pivotArea dataOnly="0" labelOnly="1" outline="0" fieldPosition="0">
        <references count="1">
          <reference field="1" count="1">
            <x v="346"/>
          </reference>
        </references>
      </pivotArea>
    </format>
    <format dxfId="303">
      <pivotArea dataOnly="0" labelOnly="1" outline="0" fieldPosition="0">
        <references count="1">
          <reference field="1" count="1">
            <x v="347"/>
          </reference>
        </references>
      </pivotArea>
    </format>
    <format dxfId="302">
      <pivotArea dataOnly="0" labelOnly="1" outline="0" fieldPosition="0">
        <references count="1">
          <reference field="1" count="1">
            <x v="348"/>
          </reference>
        </references>
      </pivotArea>
    </format>
    <format dxfId="301">
      <pivotArea dataOnly="0" labelOnly="1" outline="0" fieldPosition="0">
        <references count="1">
          <reference field="1" count="1">
            <x v="349"/>
          </reference>
        </references>
      </pivotArea>
    </format>
    <format dxfId="300">
      <pivotArea dataOnly="0" labelOnly="1" outline="0" fieldPosition="0">
        <references count="1">
          <reference field="1" count="1">
            <x v="350"/>
          </reference>
        </references>
      </pivotArea>
    </format>
    <format dxfId="299">
      <pivotArea dataOnly="0" labelOnly="1" outline="0" fieldPosition="0">
        <references count="1">
          <reference field="1" count="1">
            <x v="351"/>
          </reference>
        </references>
      </pivotArea>
    </format>
    <format dxfId="298">
      <pivotArea dataOnly="0" labelOnly="1" outline="0" fieldPosition="0">
        <references count="1">
          <reference field="1" count="1">
            <x v="352"/>
          </reference>
        </references>
      </pivotArea>
    </format>
    <format dxfId="297">
      <pivotArea dataOnly="0" labelOnly="1" outline="0" fieldPosition="0">
        <references count="1">
          <reference field="1" count="1">
            <x v="353"/>
          </reference>
        </references>
      </pivotArea>
    </format>
    <format dxfId="296">
      <pivotArea dataOnly="0" labelOnly="1" outline="0" fieldPosition="0">
        <references count="1">
          <reference field="1" count="1">
            <x v="354"/>
          </reference>
        </references>
      </pivotArea>
    </format>
    <format dxfId="295">
      <pivotArea dataOnly="0" labelOnly="1" outline="0" fieldPosition="0">
        <references count="1">
          <reference field="1" count="1">
            <x v="355"/>
          </reference>
        </references>
      </pivotArea>
    </format>
    <format dxfId="294">
      <pivotArea dataOnly="0" labelOnly="1" outline="0" fieldPosition="0">
        <references count="1">
          <reference field="1" count="1">
            <x v="356"/>
          </reference>
        </references>
      </pivotArea>
    </format>
    <format dxfId="293">
      <pivotArea dataOnly="0" labelOnly="1" outline="0" fieldPosition="0">
        <references count="1">
          <reference field="1" count="1">
            <x v="357"/>
          </reference>
        </references>
      </pivotArea>
    </format>
    <format dxfId="292">
      <pivotArea dataOnly="0" labelOnly="1" outline="0" fieldPosition="0">
        <references count="1">
          <reference field="1" count="1">
            <x v="358"/>
          </reference>
        </references>
      </pivotArea>
    </format>
    <format dxfId="291">
      <pivotArea dataOnly="0" labelOnly="1" outline="0" fieldPosition="0">
        <references count="1">
          <reference field="1" count="1">
            <x v="359"/>
          </reference>
        </references>
      </pivotArea>
    </format>
    <format dxfId="290">
      <pivotArea dataOnly="0" labelOnly="1" outline="0" fieldPosition="0">
        <references count="1">
          <reference field="1" count="1">
            <x v="360"/>
          </reference>
        </references>
      </pivotArea>
    </format>
    <format dxfId="289">
      <pivotArea dataOnly="0" labelOnly="1" outline="0" fieldPosition="0">
        <references count="1">
          <reference field="1" count="1">
            <x v="361"/>
          </reference>
        </references>
      </pivotArea>
    </format>
    <format dxfId="288">
      <pivotArea dataOnly="0" labelOnly="1" outline="0" fieldPosition="0">
        <references count="1">
          <reference field="1" count="1">
            <x v="362"/>
          </reference>
        </references>
      </pivotArea>
    </format>
    <format dxfId="287">
      <pivotArea dataOnly="0" labelOnly="1" outline="0" fieldPosition="0">
        <references count="1">
          <reference field="1" count="1">
            <x v="363"/>
          </reference>
        </references>
      </pivotArea>
    </format>
    <format dxfId="286">
      <pivotArea dataOnly="0" labelOnly="1" outline="0" fieldPosition="0">
        <references count="1">
          <reference field="1" count="1">
            <x v="364"/>
          </reference>
        </references>
      </pivotArea>
    </format>
    <format dxfId="285">
      <pivotArea dataOnly="0" labelOnly="1" outline="0" fieldPosition="0">
        <references count="1">
          <reference field="1" count="1">
            <x v="365"/>
          </reference>
        </references>
      </pivotArea>
    </format>
    <format dxfId="284">
      <pivotArea dataOnly="0" labelOnly="1" outline="0" fieldPosition="0">
        <references count="1">
          <reference field="1" count="1">
            <x v="366"/>
          </reference>
        </references>
      </pivotArea>
    </format>
    <format dxfId="283">
      <pivotArea dataOnly="0" labelOnly="1" outline="0" fieldPosition="0">
        <references count="1">
          <reference field="1" count="1">
            <x v="367"/>
          </reference>
        </references>
      </pivotArea>
    </format>
    <format dxfId="282">
      <pivotArea dataOnly="0" labelOnly="1" outline="0" fieldPosition="0">
        <references count="1">
          <reference field="1" count="1">
            <x v="368"/>
          </reference>
        </references>
      </pivotArea>
    </format>
    <format dxfId="281">
      <pivotArea dataOnly="0" labelOnly="1" outline="0" fieldPosition="0">
        <references count="1">
          <reference field="1" count="1">
            <x v="369"/>
          </reference>
        </references>
      </pivotArea>
    </format>
    <format dxfId="280">
      <pivotArea dataOnly="0" labelOnly="1" outline="0" fieldPosition="0">
        <references count="1">
          <reference field="1" count="1">
            <x v="370"/>
          </reference>
        </references>
      </pivotArea>
    </format>
    <format dxfId="279">
      <pivotArea dataOnly="0" labelOnly="1" outline="0" fieldPosition="0">
        <references count="1">
          <reference field="1" count="1">
            <x v="371"/>
          </reference>
        </references>
      </pivotArea>
    </format>
    <format dxfId="278">
      <pivotArea dataOnly="0" labelOnly="1" outline="0" fieldPosition="0">
        <references count="1">
          <reference field="1" count="1">
            <x v="372"/>
          </reference>
        </references>
      </pivotArea>
    </format>
    <format dxfId="277">
      <pivotArea dataOnly="0" labelOnly="1" outline="0" fieldPosition="0">
        <references count="1">
          <reference field="1" count="1">
            <x v="373"/>
          </reference>
        </references>
      </pivotArea>
    </format>
    <format dxfId="276">
      <pivotArea dataOnly="0" labelOnly="1" outline="0" fieldPosition="0">
        <references count="1">
          <reference field="1" count="1">
            <x v="374"/>
          </reference>
        </references>
      </pivotArea>
    </format>
    <format dxfId="275">
      <pivotArea dataOnly="0" labelOnly="1" outline="0" fieldPosition="0">
        <references count="1">
          <reference field="1" count="1">
            <x v="375"/>
          </reference>
        </references>
      </pivotArea>
    </format>
    <format dxfId="274">
      <pivotArea dataOnly="0" labelOnly="1" outline="0" fieldPosition="0">
        <references count="1">
          <reference field="1" count="1">
            <x v="376"/>
          </reference>
        </references>
      </pivotArea>
    </format>
    <format dxfId="273">
      <pivotArea dataOnly="0" labelOnly="1" outline="0" fieldPosition="0">
        <references count="1">
          <reference field="1" count="1">
            <x v="377"/>
          </reference>
        </references>
      </pivotArea>
    </format>
    <format dxfId="272">
      <pivotArea dataOnly="0" labelOnly="1" outline="0" fieldPosition="0">
        <references count="1">
          <reference field="1" count="1">
            <x v="378"/>
          </reference>
        </references>
      </pivotArea>
    </format>
    <format dxfId="271">
      <pivotArea dataOnly="0" labelOnly="1" outline="0" fieldPosition="0">
        <references count="1">
          <reference field="1" count="1">
            <x v="379"/>
          </reference>
        </references>
      </pivotArea>
    </format>
    <format dxfId="270">
      <pivotArea dataOnly="0" labelOnly="1" outline="0" fieldPosition="0">
        <references count="1">
          <reference field="1" count="1">
            <x v="380"/>
          </reference>
        </references>
      </pivotArea>
    </format>
    <format dxfId="269">
      <pivotArea dataOnly="0" labelOnly="1" outline="0" fieldPosition="0">
        <references count="1">
          <reference field="1" count="1">
            <x v="381"/>
          </reference>
        </references>
      </pivotArea>
    </format>
    <format dxfId="268">
      <pivotArea dataOnly="0" labelOnly="1" outline="0" fieldPosition="0">
        <references count="1">
          <reference field="1" count="1">
            <x v="382"/>
          </reference>
        </references>
      </pivotArea>
    </format>
    <format dxfId="267">
      <pivotArea dataOnly="0" labelOnly="1" outline="0" fieldPosition="0">
        <references count="1">
          <reference field="1" count="1">
            <x v="383"/>
          </reference>
        </references>
      </pivotArea>
    </format>
    <format dxfId="266">
      <pivotArea dataOnly="0" labelOnly="1" outline="0" fieldPosition="0">
        <references count="1">
          <reference field="1" count="1">
            <x v="384"/>
          </reference>
        </references>
      </pivotArea>
    </format>
    <format dxfId="265">
      <pivotArea dataOnly="0" labelOnly="1" outline="0" fieldPosition="0">
        <references count="1">
          <reference field="1" count="1">
            <x v="385"/>
          </reference>
        </references>
      </pivotArea>
    </format>
    <format dxfId="264">
      <pivotArea dataOnly="0" labelOnly="1" outline="0" fieldPosition="0">
        <references count="1">
          <reference field="1" count="1">
            <x v="386"/>
          </reference>
        </references>
      </pivotArea>
    </format>
    <format dxfId="263">
      <pivotArea dataOnly="0" labelOnly="1" outline="0" fieldPosition="0">
        <references count="1">
          <reference field="1" count="1">
            <x v="387"/>
          </reference>
        </references>
      </pivotArea>
    </format>
    <format dxfId="262">
      <pivotArea dataOnly="0" labelOnly="1" outline="0" fieldPosition="0">
        <references count="1">
          <reference field="1" count="1">
            <x v="388"/>
          </reference>
        </references>
      </pivotArea>
    </format>
    <format dxfId="261">
      <pivotArea dataOnly="0" labelOnly="1" outline="0" fieldPosition="0">
        <references count="1">
          <reference field="1" count="1">
            <x v="389"/>
          </reference>
        </references>
      </pivotArea>
    </format>
    <format dxfId="260">
      <pivotArea dataOnly="0" labelOnly="1" outline="0" fieldPosition="0">
        <references count="1">
          <reference field="1" count="1">
            <x v="390"/>
          </reference>
        </references>
      </pivotArea>
    </format>
    <format dxfId="259">
      <pivotArea dataOnly="0" labelOnly="1" outline="0" fieldPosition="0">
        <references count="1">
          <reference field="1" count="1">
            <x v="391"/>
          </reference>
        </references>
      </pivotArea>
    </format>
    <format dxfId="258">
      <pivotArea dataOnly="0" labelOnly="1" outline="0" fieldPosition="0">
        <references count="1">
          <reference field="1" count="1">
            <x v="392"/>
          </reference>
        </references>
      </pivotArea>
    </format>
    <format dxfId="257">
      <pivotArea dataOnly="0" labelOnly="1" outline="0" fieldPosition="0">
        <references count="1">
          <reference field="1" count="1">
            <x v="393"/>
          </reference>
        </references>
      </pivotArea>
    </format>
    <format dxfId="256">
      <pivotArea dataOnly="0" labelOnly="1" outline="0" fieldPosition="0">
        <references count="1">
          <reference field="1" count="1">
            <x v="394"/>
          </reference>
        </references>
      </pivotArea>
    </format>
    <format dxfId="255">
      <pivotArea dataOnly="0" labelOnly="1" outline="0" fieldPosition="0">
        <references count="1">
          <reference field="1" count="1">
            <x v="395"/>
          </reference>
        </references>
      </pivotArea>
    </format>
    <format dxfId="254">
      <pivotArea dataOnly="0" labelOnly="1" outline="0" fieldPosition="0">
        <references count="1">
          <reference field="1" count="1">
            <x v="396"/>
          </reference>
        </references>
      </pivotArea>
    </format>
    <format dxfId="253">
      <pivotArea dataOnly="0" labelOnly="1" outline="0" fieldPosition="0">
        <references count="1">
          <reference field="1" count="1">
            <x v="397"/>
          </reference>
        </references>
      </pivotArea>
    </format>
    <format dxfId="252">
      <pivotArea dataOnly="0" labelOnly="1" outline="0" fieldPosition="0">
        <references count="1">
          <reference field="1" count="1">
            <x v="398"/>
          </reference>
        </references>
      </pivotArea>
    </format>
    <format dxfId="251">
      <pivotArea dataOnly="0" labelOnly="1" outline="0" fieldPosition="0">
        <references count="1">
          <reference field="1" count="1">
            <x v="399"/>
          </reference>
        </references>
      </pivotArea>
    </format>
    <format dxfId="250">
      <pivotArea dataOnly="0" labelOnly="1" outline="0" fieldPosition="0">
        <references count="1">
          <reference field="1" count="1">
            <x v="400"/>
          </reference>
        </references>
      </pivotArea>
    </format>
    <format dxfId="249">
      <pivotArea dataOnly="0" labelOnly="1" outline="0" fieldPosition="0">
        <references count="1">
          <reference field="1" count="1">
            <x v="401"/>
          </reference>
        </references>
      </pivotArea>
    </format>
    <format dxfId="248">
      <pivotArea dataOnly="0" labelOnly="1" outline="0" fieldPosition="0">
        <references count="1">
          <reference field="1" count="1">
            <x v="402"/>
          </reference>
        </references>
      </pivotArea>
    </format>
    <format dxfId="247">
      <pivotArea dataOnly="0" labelOnly="1" outline="0" fieldPosition="0">
        <references count="1">
          <reference field="1" count="1">
            <x v="403"/>
          </reference>
        </references>
      </pivotArea>
    </format>
    <format dxfId="246">
      <pivotArea dataOnly="0" labelOnly="1" outline="0" fieldPosition="0">
        <references count="1">
          <reference field="1" count="1">
            <x v="404"/>
          </reference>
        </references>
      </pivotArea>
    </format>
    <format dxfId="245">
      <pivotArea dataOnly="0" labelOnly="1" outline="0" fieldPosition="0">
        <references count="1">
          <reference field="1" count="1">
            <x v="405"/>
          </reference>
        </references>
      </pivotArea>
    </format>
    <format dxfId="244">
      <pivotArea dataOnly="0" labelOnly="1" outline="0" fieldPosition="0">
        <references count="1">
          <reference field="1" count="1">
            <x v="406"/>
          </reference>
        </references>
      </pivotArea>
    </format>
    <format dxfId="243">
      <pivotArea dataOnly="0" labelOnly="1" outline="0" fieldPosition="0">
        <references count="1">
          <reference field="1" count="1">
            <x v="407"/>
          </reference>
        </references>
      </pivotArea>
    </format>
    <format dxfId="242">
      <pivotArea dataOnly="0" labelOnly="1" outline="0" fieldPosition="0">
        <references count="1">
          <reference field="1" count="1">
            <x v="408"/>
          </reference>
        </references>
      </pivotArea>
    </format>
    <format dxfId="241">
      <pivotArea dataOnly="0" labelOnly="1" outline="0" fieldPosition="0">
        <references count="1">
          <reference field="1" count="1">
            <x v="409"/>
          </reference>
        </references>
      </pivotArea>
    </format>
    <format dxfId="240">
      <pivotArea dataOnly="0" labelOnly="1" outline="0" fieldPosition="0">
        <references count="1">
          <reference field="1" count="1">
            <x v="410"/>
          </reference>
        </references>
      </pivotArea>
    </format>
    <format dxfId="239">
      <pivotArea dataOnly="0" labelOnly="1" outline="0" fieldPosition="0">
        <references count="1">
          <reference field="1" count="1">
            <x v="411"/>
          </reference>
        </references>
      </pivotArea>
    </format>
    <format dxfId="238">
      <pivotArea dataOnly="0" labelOnly="1" outline="0" fieldPosition="0">
        <references count="1">
          <reference field="1" count="1">
            <x v="412"/>
          </reference>
        </references>
      </pivotArea>
    </format>
    <format dxfId="237">
      <pivotArea dataOnly="0" labelOnly="1" outline="0" fieldPosition="0">
        <references count="1">
          <reference field="1" count="1">
            <x v="413"/>
          </reference>
        </references>
      </pivotArea>
    </format>
    <format dxfId="236">
      <pivotArea dataOnly="0" labelOnly="1" outline="0" fieldPosition="0">
        <references count="1">
          <reference field="1" count="1">
            <x v="414"/>
          </reference>
        </references>
      </pivotArea>
    </format>
    <format dxfId="235">
      <pivotArea dataOnly="0" labelOnly="1" outline="0" fieldPosition="0">
        <references count="1">
          <reference field="1" count="1">
            <x v="415"/>
          </reference>
        </references>
      </pivotArea>
    </format>
    <format dxfId="234">
      <pivotArea dataOnly="0" labelOnly="1" outline="0" fieldPosition="0">
        <references count="1">
          <reference field="1" count="1">
            <x v="416"/>
          </reference>
        </references>
      </pivotArea>
    </format>
    <format dxfId="233">
      <pivotArea dataOnly="0" labelOnly="1" outline="0" fieldPosition="0">
        <references count="1">
          <reference field="1" count="1">
            <x v="417"/>
          </reference>
        </references>
      </pivotArea>
    </format>
    <format dxfId="232">
      <pivotArea dataOnly="0" labelOnly="1" outline="0" fieldPosition="0">
        <references count="1">
          <reference field="1" count="1">
            <x v="418"/>
          </reference>
        </references>
      </pivotArea>
    </format>
    <format dxfId="231">
      <pivotArea dataOnly="0" labelOnly="1" outline="0" fieldPosition="0">
        <references count="1">
          <reference field="1" count="1">
            <x v="419"/>
          </reference>
        </references>
      </pivotArea>
    </format>
    <format dxfId="230">
      <pivotArea dataOnly="0" labelOnly="1" outline="0" fieldPosition="0">
        <references count="1">
          <reference field="1" count="1">
            <x v="420"/>
          </reference>
        </references>
      </pivotArea>
    </format>
    <format dxfId="229">
      <pivotArea dataOnly="0" labelOnly="1" outline="0" fieldPosition="0">
        <references count="1">
          <reference field="1" count="1">
            <x v="421"/>
          </reference>
        </references>
      </pivotArea>
    </format>
    <format dxfId="228">
      <pivotArea dataOnly="0" labelOnly="1" outline="0" fieldPosition="0">
        <references count="1">
          <reference field="1" count="1">
            <x v="422"/>
          </reference>
        </references>
      </pivotArea>
    </format>
    <format dxfId="227">
      <pivotArea dataOnly="0" labelOnly="1" outline="0" fieldPosition="0">
        <references count="1">
          <reference field="1" count="1">
            <x v="423"/>
          </reference>
        </references>
      </pivotArea>
    </format>
    <format dxfId="226">
      <pivotArea dataOnly="0" labelOnly="1" outline="0" fieldPosition="0">
        <references count="1">
          <reference field="1" count="1">
            <x v="424"/>
          </reference>
        </references>
      </pivotArea>
    </format>
    <format dxfId="225">
      <pivotArea dataOnly="0" labelOnly="1" outline="0" fieldPosition="0">
        <references count="1">
          <reference field="1" count="1">
            <x v="425"/>
          </reference>
        </references>
      </pivotArea>
    </format>
    <format dxfId="224">
      <pivotArea dataOnly="0" labelOnly="1" outline="0" fieldPosition="0">
        <references count="1">
          <reference field="1" count="1">
            <x v="426"/>
          </reference>
        </references>
      </pivotArea>
    </format>
    <format dxfId="223">
      <pivotArea dataOnly="0" labelOnly="1" outline="0" fieldPosition="0">
        <references count="1">
          <reference field="1" count="1">
            <x v="427"/>
          </reference>
        </references>
      </pivotArea>
    </format>
    <format dxfId="222">
      <pivotArea dataOnly="0" labelOnly="1" outline="0" fieldPosition="0">
        <references count="1">
          <reference field="1" count="1">
            <x v="428"/>
          </reference>
        </references>
      </pivotArea>
    </format>
    <format dxfId="221">
      <pivotArea dataOnly="0" labelOnly="1" outline="0" fieldPosition="0">
        <references count="1">
          <reference field="1" count="1">
            <x v="429"/>
          </reference>
        </references>
      </pivotArea>
    </format>
    <format dxfId="220">
      <pivotArea dataOnly="0" labelOnly="1" outline="0" fieldPosition="0">
        <references count="1">
          <reference field="1" count="1">
            <x v="430"/>
          </reference>
        </references>
      </pivotArea>
    </format>
    <format dxfId="219">
      <pivotArea dataOnly="0" labelOnly="1" outline="0" fieldPosition="0">
        <references count="1">
          <reference field="1" count="1">
            <x v="431"/>
          </reference>
        </references>
      </pivotArea>
    </format>
    <format dxfId="218">
      <pivotArea dataOnly="0" labelOnly="1" outline="0" fieldPosition="0">
        <references count="1">
          <reference field="1" count="1">
            <x v="432"/>
          </reference>
        </references>
      </pivotArea>
    </format>
    <format dxfId="217">
      <pivotArea dataOnly="0" labelOnly="1" outline="0" fieldPosition="0">
        <references count="1">
          <reference field="1" count="1">
            <x v="433"/>
          </reference>
        </references>
      </pivotArea>
    </format>
    <format dxfId="216">
      <pivotArea dataOnly="0" labelOnly="1" outline="0" fieldPosition="0">
        <references count="1">
          <reference field="1" count="1">
            <x v="434"/>
          </reference>
        </references>
      </pivotArea>
    </format>
    <format dxfId="215">
      <pivotArea dataOnly="0" labelOnly="1" outline="0" fieldPosition="0">
        <references count="1">
          <reference field="1" count="1">
            <x v="435"/>
          </reference>
        </references>
      </pivotArea>
    </format>
    <format dxfId="214">
      <pivotArea dataOnly="0" labelOnly="1" outline="0" fieldPosition="0">
        <references count="1">
          <reference field="1" count="1">
            <x v="436"/>
          </reference>
        </references>
      </pivotArea>
    </format>
    <format dxfId="213">
      <pivotArea dataOnly="0" labelOnly="1" outline="0" fieldPosition="0">
        <references count="1">
          <reference field="1" count="1">
            <x v="437"/>
          </reference>
        </references>
      </pivotArea>
    </format>
    <format dxfId="212">
      <pivotArea dataOnly="0" labelOnly="1" outline="0" fieldPosition="0">
        <references count="1">
          <reference field="1" count="1">
            <x v="438"/>
          </reference>
        </references>
      </pivotArea>
    </format>
    <format dxfId="211">
      <pivotArea dataOnly="0" labelOnly="1" outline="0" fieldPosition="0">
        <references count="1">
          <reference field="1" count="1">
            <x v="439"/>
          </reference>
        </references>
      </pivotArea>
    </format>
    <format dxfId="210">
      <pivotArea dataOnly="0" labelOnly="1" outline="0" fieldPosition="0">
        <references count="1">
          <reference field="1" count="1">
            <x v="440"/>
          </reference>
        </references>
      </pivotArea>
    </format>
    <format dxfId="209">
      <pivotArea dataOnly="0" labelOnly="1" outline="0" fieldPosition="0">
        <references count="1">
          <reference field="1" count="1">
            <x v="441"/>
          </reference>
        </references>
      </pivotArea>
    </format>
    <format dxfId="208">
      <pivotArea dataOnly="0" labelOnly="1" outline="0" fieldPosition="0">
        <references count="1">
          <reference field="1" count="1">
            <x v="442"/>
          </reference>
        </references>
      </pivotArea>
    </format>
    <format dxfId="207">
      <pivotArea dataOnly="0" labelOnly="1" outline="0" fieldPosition="0">
        <references count="1">
          <reference field="1" count="1">
            <x v="443"/>
          </reference>
        </references>
      </pivotArea>
    </format>
    <format dxfId="206">
      <pivotArea dataOnly="0" labelOnly="1" outline="0" fieldPosition="0">
        <references count="1">
          <reference field="1" count="1">
            <x v="444"/>
          </reference>
        </references>
      </pivotArea>
    </format>
    <format dxfId="205">
      <pivotArea dataOnly="0" labelOnly="1" outline="0" fieldPosition="0">
        <references count="1">
          <reference field="1" count="1">
            <x v="445"/>
          </reference>
        </references>
      </pivotArea>
    </format>
    <format dxfId="204">
      <pivotArea dataOnly="0" labelOnly="1" outline="0" fieldPosition="0">
        <references count="1">
          <reference field="1" count="1">
            <x v="446"/>
          </reference>
        </references>
      </pivotArea>
    </format>
    <format dxfId="203">
      <pivotArea dataOnly="0" labelOnly="1" outline="0" fieldPosition="0">
        <references count="1">
          <reference field="1" count="1">
            <x v="447"/>
          </reference>
        </references>
      </pivotArea>
    </format>
    <format dxfId="202">
      <pivotArea dataOnly="0" labelOnly="1" outline="0" fieldPosition="0">
        <references count="1">
          <reference field="1" count="1">
            <x v="448"/>
          </reference>
        </references>
      </pivotArea>
    </format>
    <format dxfId="201">
      <pivotArea dataOnly="0" labelOnly="1" outline="0" fieldPosition="0">
        <references count="1">
          <reference field="1" count="1">
            <x v="449"/>
          </reference>
        </references>
      </pivotArea>
    </format>
    <format dxfId="200">
      <pivotArea dataOnly="0" labelOnly="1" outline="0" fieldPosition="0">
        <references count="1">
          <reference field="1" count="1">
            <x v="450"/>
          </reference>
        </references>
      </pivotArea>
    </format>
    <format dxfId="199">
      <pivotArea dataOnly="0" labelOnly="1" outline="0" fieldPosition="0">
        <references count="1">
          <reference field="1" count="1">
            <x v="451"/>
          </reference>
        </references>
      </pivotArea>
    </format>
    <format dxfId="198">
      <pivotArea dataOnly="0" labelOnly="1" outline="0" fieldPosition="0">
        <references count="1">
          <reference field="1" count="1">
            <x v="452"/>
          </reference>
        </references>
      </pivotArea>
    </format>
    <format dxfId="197">
      <pivotArea dataOnly="0" labelOnly="1" outline="0" fieldPosition="0">
        <references count="1">
          <reference field="1" count="1">
            <x v="453"/>
          </reference>
        </references>
      </pivotArea>
    </format>
    <format dxfId="196">
      <pivotArea dataOnly="0" labelOnly="1" outline="0" fieldPosition="0">
        <references count="1">
          <reference field="1" count="1">
            <x v="454"/>
          </reference>
        </references>
      </pivotArea>
    </format>
    <format dxfId="195">
      <pivotArea dataOnly="0" labelOnly="1" outline="0" fieldPosition="0">
        <references count="1">
          <reference field="1" count="1">
            <x v="455"/>
          </reference>
        </references>
      </pivotArea>
    </format>
    <format dxfId="194">
      <pivotArea dataOnly="0" labelOnly="1" outline="0" fieldPosition="0">
        <references count="1">
          <reference field="1" count="1">
            <x v="456"/>
          </reference>
        </references>
      </pivotArea>
    </format>
    <format dxfId="193">
      <pivotArea dataOnly="0" labelOnly="1" outline="0" fieldPosition="0">
        <references count="1">
          <reference field="1" count="1">
            <x v="457"/>
          </reference>
        </references>
      </pivotArea>
    </format>
    <format dxfId="192">
      <pivotArea dataOnly="0" labelOnly="1" outline="0" fieldPosition="0">
        <references count="1">
          <reference field="1" count="1">
            <x v="458"/>
          </reference>
        </references>
      </pivotArea>
    </format>
    <format dxfId="191">
      <pivotArea dataOnly="0" labelOnly="1" outline="0" fieldPosition="0">
        <references count="1">
          <reference field="1" count="1">
            <x v="459"/>
          </reference>
        </references>
      </pivotArea>
    </format>
    <format dxfId="190">
      <pivotArea dataOnly="0" labelOnly="1" outline="0" fieldPosition="0">
        <references count="1">
          <reference field="1" count="1">
            <x v="460"/>
          </reference>
        </references>
      </pivotArea>
    </format>
    <format dxfId="189">
      <pivotArea dataOnly="0" labelOnly="1" outline="0" fieldPosition="0">
        <references count="1">
          <reference field="1" count="1">
            <x v="461"/>
          </reference>
        </references>
      </pivotArea>
    </format>
    <format dxfId="188">
      <pivotArea dataOnly="0" labelOnly="1" outline="0" fieldPosition="0">
        <references count="1">
          <reference field="1" count="1">
            <x v="462"/>
          </reference>
        </references>
      </pivotArea>
    </format>
    <format dxfId="187">
      <pivotArea dataOnly="0" labelOnly="1" outline="0" fieldPosition="0">
        <references count="1">
          <reference field="1" count="1">
            <x v="463"/>
          </reference>
        </references>
      </pivotArea>
    </format>
    <format dxfId="186">
      <pivotArea dataOnly="0" labelOnly="1" outline="0" fieldPosition="0">
        <references count="1">
          <reference field="1" count="1">
            <x v="464"/>
          </reference>
        </references>
      </pivotArea>
    </format>
    <format dxfId="185">
      <pivotArea dataOnly="0" labelOnly="1" outline="0" fieldPosition="0">
        <references count="1">
          <reference field="1" count="1">
            <x v="465"/>
          </reference>
        </references>
      </pivotArea>
    </format>
    <format dxfId="184">
      <pivotArea dataOnly="0" labelOnly="1" outline="0" fieldPosition="0">
        <references count="1">
          <reference field="1" count="1">
            <x v="466"/>
          </reference>
        </references>
      </pivotArea>
    </format>
    <format dxfId="183">
      <pivotArea dataOnly="0" labelOnly="1" outline="0" fieldPosition="0">
        <references count="1">
          <reference field="1" count="1">
            <x v="467"/>
          </reference>
        </references>
      </pivotArea>
    </format>
    <format dxfId="182">
      <pivotArea dataOnly="0" labelOnly="1" outline="0" fieldPosition="0">
        <references count="1">
          <reference field="1" count="1">
            <x v="468"/>
          </reference>
        </references>
      </pivotArea>
    </format>
    <format dxfId="181">
      <pivotArea dataOnly="0" labelOnly="1" outline="0" fieldPosition="0">
        <references count="1">
          <reference field="1" count="1">
            <x v="469"/>
          </reference>
        </references>
      </pivotArea>
    </format>
    <format dxfId="180">
      <pivotArea dataOnly="0" labelOnly="1" outline="0" fieldPosition="0">
        <references count="1">
          <reference field="1" count="1">
            <x v="470"/>
          </reference>
        </references>
      </pivotArea>
    </format>
    <format dxfId="179">
      <pivotArea dataOnly="0" labelOnly="1" outline="0" fieldPosition="0">
        <references count="1">
          <reference field="1" count="1">
            <x v="471"/>
          </reference>
        </references>
      </pivotArea>
    </format>
    <format dxfId="178">
      <pivotArea dataOnly="0" labelOnly="1" outline="0" fieldPosition="0">
        <references count="1">
          <reference field="1" count="1">
            <x v="472"/>
          </reference>
        </references>
      </pivotArea>
    </format>
    <format dxfId="177">
      <pivotArea dataOnly="0" labelOnly="1" outline="0" fieldPosition="0">
        <references count="1">
          <reference field="1" count="1">
            <x v="473"/>
          </reference>
        </references>
      </pivotArea>
    </format>
    <format dxfId="176">
      <pivotArea dataOnly="0" labelOnly="1" outline="0" fieldPosition="0">
        <references count="1">
          <reference field="1" count="1">
            <x v="474"/>
          </reference>
        </references>
      </pivotArea>
    </format>
    <format dxfId="175">
      <pivotArea dataOnly="0" labelOnly="1" outline="0" fieldPosition="0">
        <references count="1">
          <reference field="1" count="1">
            <x v="475"/>
          </reference>
        </references>
      </pivotArea>
    </format>
    <format dxfId="174">
      <pivotArea dataOnly="0" labelOnly="1" outline="0" fieldPosition="0">
        <references count="1">
          <reference field="1" count="1">
            <x v="476"/>
          </reference>
        </references>
      </pivotArea>
    </format>
    <format dxfId="173">
      <pivotArea dataOnly="0" labelOnly="1" outline="0" fieldPosition="0">
        <references count="1">
          <reference field="1" count="1">
            <x v="477"/>
          </reference>
        </references>
      </pivotArea>
    </format>
    <format dxfId="172">
      <pivotArea dataOnly="0" labelOnly="1" outline="0" fieldPosition="0">
        <references count="1">
          <reference field="1" count="1">
            <x v="478"/>
          </reference>
        </references>
      </pivotArea>
    </format>
    <format dxfId="171">
      <pivotArea dataOnly="0" labelOnly="1" outline="0" fieldPosition="0">
        <references count="1">
          <reference field="1" count="1">
            <x v="479"/>
          </reference>
        </references>
      </pivotArea>
    </format>
    <format dxfId="170">
      <pivotArea dataOnly="0" labelOnly="1" outline="0" fieldPosition="0">
        <references count="1">
          <reference field="1" count="1">
            <x v="480"/>
          </reference>
        </references>
      </pivotArea>
    </format>
    <format dxfId="169">
      <pivotArea dataOnly="0" labelOnly="1" outline="0" fieldPosition="0">
        <references count="1">
          <reference field="1" count="1">
            <x v="481"/>
          </reference>
        </references>
      </pivotArea>
    </format>
    <format dxfId="168">
      <pivotArea dataOnly="0" labelOnly="1" outline="0" fieldPosition="0">
        <references count="1">
          <reference field="1" count="1">
            <x v="482"/>
          </reference>
        </references>
      </pivotArea>
    </format>
    <format dxfId="167">
      <pivotArea dataOnly="0" labelOnly="1" outline="0" fieldPosition="0">
        <references count="1">
          <reference field="1" count="1">
            <x v="483"/>
          </reference>
        </references>
      </pivotArea>
    </format>
    <format dxfId="166">
      <pivotArea dataOnly="0" labelOnly="1" outline="0" fieldPosition="0">
        <references count="1">
          <reference field="1" count="1">
            <x v="484"/>
          </reference>
        </references>
      </pivotArea>
    </format>
    <format dxfId="165">
      <pivotArea dataOnly="0" labelOnly="1" outline="0" fieldPosition="0">
        <references count="1">
          <reference field="1" count="1">
            <x v="485"/>
          </reference>
        </references>
      </pivotArea>
    </format>
    <format dxfId="164">
      <pivotArea dataOnly="0" labelOnly="1" outline="0" fieldPosition="0">
        <references count="1">
          <reference field="1" count="1">
            <x v="486"/>
          </reference>
        </references>
      </pivotArea>
    </format>
    <format dxfId="163">
      <pivotArea dataOnly="0" labelOnly="1" outline="0" fieldPosition="0">
        <references count="1">
          <reference field="1" count="1">
            <x v="487"/>
          </reference>
        </references>
      </pivotArea>
    </format>
    <format dxfId="162">
      <pivotArea dataOnly="0" labelOnly="1" outline="0" fieldPosition="0">
        <references count="1">
          <reference field="1" count="1">
            <x v="488"/>
          </reference>
        </references>
      </pivotArea>
    </format>
    <format dxfId="161">
      <pivotArea dataOnly="0" labelOnly="1" outline="0" fieldPosition="0">
        <references count="1">
          <reference field="1" count="1">
            <x v="489"/>
          </reference>
        </references>
      </pivotArea>
    </format>
    <format dxfId="160">
      <pivotArea dataOnly="0" labelOnly="1" outline="0" fieldPosition="0">
        <references count="1">
          <reference field="1" count="1">
            <x v="490"/>
          </reference>
        </references>
      </pivotArea>
    </format>
    <format dxfId="159">
      <pivotArea dataOnly="0" labelOnly="1" outline="0" fieldPosition="0">
        <references count="1">
          <reference field="1" count="1">
            <x v="491"/>
          </reference>
        </references>
      </pivotArea>
    </format>
    <format dxfId="158">
      <pivotArea dataOnly="0" labelOnly="1" outline="0" fieldPosition="0">
        <references count="1">
          <reference field="1" count="1">
            <x v="492"/>
          </reference>
        </references>
      </pivotArea>
    </format>
    <format dxfId="157">
      <pivotArea dataOnly="0" labelOnly="1" outline="0" fieldPosition="0">
        <references count="1">
          <reference field="1" count="1">
            <x v="493"/>
          </reference>
        </references>
      </pivotArea>
    </format>
    <format dxfId="156">
      <pivotArea dataOnly="0" labelOnly="1" outline="0" fieldPosition="0">
        <references count="1">
          <reference field="1" count="1">
            <x v="494"/>
          </reference>
        </references>
      </pivotArea>
    </format>
    <format dxfId="155">
      <pivotArea dataOnly="0" labelOnly="1" outline="0" fieldPosition="0">
        <references count="1">
          <reference field="1" count="1">
            <x v="495"/>
          </reference>
        </references>
      </pivotArea>
    </format>
    <format dxfId="154">
      <pivotArea dataOnly="0" labelOnly="1" outline="0" fieldPosition="0">
        <references count="1">
          <reference field="1" count="1">
            <x v="496"/>
          </reference>
        </references>
      </pivotArea>
    </format>
    <format dxfId="153">
      <pivotArea dataOnly="0" labelOnly="1" outline="0" fieldPosition="0">
        <references count="1">
          <reference field="1" count="1">
            <x v="497"/>
          </reference>
        </references>
      </pivotArea>
    </format>
    <format dxfId="152">
      <pivotArea dataOnly="0" labelOnly="1" outline="0" fieldPosition="0">
        <references count="1">
          <reference field="1" count="1">
            <x v="498"/>
          </reference>
        </references>
      </pivotArea>
    </format>
    <format dxfId="151">
      <pivotArea dataOnly="0" labelOnly="1" outline="0" fieldPosition="0">
        <references count="1">
          <reference field="1" count="1">
            <x v="499"/>
          </reference>
        </references>
      </pivotArea>
    </format>
    <format dxfId="150">
      <pivotArea dataOnly="0" labelOnly="1" outline="0" fieldPosition="0">
        <references count="1">
          <reference field="1" count="1">
            <x v="500"/>
          </reference>
        </references>
      </pivotArea>
    </format>
    <format dxfId="149">
      <pivotArea dataOnly="0" labelOnly="1" outline="0" fieldPosition="0">
        <references count="1">
          <reference field="1" count="1">
            <x v="501"/>
          </reference>
        </references>
      </pivotArea>
    </format>
    <format dxfId="148">
      <pivotArea dataOnly="0" labelOnly="1" outline="0" fieldPosition="0">
        <references count="1">
          <reference field="1" count="1">
            <x v="502"/>
          </reference>
        </references>
      </pivotArea>
    </format>
    <format dxfId="147">
      <pivotArea dataOnly="0" labelOnly="1" outline="0" fieldPosition="0">
        <references count="1">
          <reference field="1" count="1">
            <x v="503"/>
          </reference>
        </references>
      </pivotArea>
    </format>
    <format dxfId="146">
      <pivotArea dataOnly="0" labelOnly="1" outline="0" fieldPosition="0">
        <references count="1">
          <reference field="1" count="1">
            <x v="504"/>
          </reference>
        </references>
      </pivotArea>
    </format>
    <format dxfId="145">
      <pivotArea dataOnly="0" labelOnly="1" outline="0" fieldPosition="0">
        <references count="1">
          <reference field="1" count="1">
            <x v="505"/>
          </reference>
        </references>
      </pivotArea>
    </format>
    <format dxfId="144">
      <pivotArea dataOnly="0" labelOnly="1" outline="0" fieldPosition="0">
        <references count="1">
          <reference field="1" count="1">
            <x v="506"/>
          </reference>
        </references>
      </pivotArea>
    </format>
    <format dxfId="143">
      <pivotArea dataOnly="0" labelOnly="1" outline="0" fieldPosition="0">
        <references count="1">
          <reference field="1" count="1">
            <x v="507"/>
          </reference>
        </references>
      </pivotArea>
    </format>
    <format dxfId="142">
      <pivotArea dataOnly="0" labelOnly="1" outline="0" fieldPosition="0">
        <references count="1">
          <reference field="1" count="1">
            <x v="508"/>
          </reference>
        </references>
      </pivotArea>
    </format>
    <format dxfId="141">
      <pivotArea dataOnly="0" labelOnly="1" outline="0" fieldPosition="0">
        <references count="1">
          <reference field="1" count="1">
            <x v="509"/>
          </reference>
        </references>
      </pivotArea>
    </format>
    <format dxfId="140">
      <pivotArea dataOnly="0" labelOnly="1" outline="0" fieldPosition="0">
        <references count="1">
          <reference field="1" count="1">
            <x v="510"/>
          </reference>
        </references>
      </pivotArea>
    </format>
    <format dxfId="139">
      <pivotArea dataOnly="0" labelOnly="1" outline="0" fieldPosition="0">
        <references count="1">
          <reference field="1" count="1">
            <x v="511"/>
          </reference>
        </references>
      </pivotArea>
    </format>
    <format dxfId="138">
      <pivotArea dataOnly="0" labelOnly="1" outline="0" fieldPosition="0">
        <references count="1">
          <reference field="1" count="1">
            <x v="512"/>
          </reference>
        </references>
      </pivotArea>
    </format>
    <format dxfId="137">
      <pivotArea dataOnly="0" labelOnly="1" outline="0" fieldPosition="0">
        <references count="1">
          <reference field="1" count="1">
            <x v="513"/>
          </reference>
        </references>
      </pivotArea>
    </format>
    <format dxfId="136">
      <pivotArea dataOnly="0" labelOnly="1" outline="0" fieldPosition="0">
        <references count="1">
          <reference field="1" count="1">
            <x v="514"/>
          </reference>
        </references>
      </pivotArea>
    </format>
    <format dxfId="135">
      <pivotArea dataOnly="0" labelOnly="1" outline="0" fieldPosition="0">
        <references count="1">
          <reference field="1" count="1">
            <x v="515"/>
          </reference>
        </references>
      </pivotArea>
    </format>
    <format dxfId="134">
      <pivotArea dataOnly="0" labelOnly="1" outline="0" fieldPosition="0">
        <references count="1">
          <reference field="1" count="1">
            <x v="516"/>
          </reference>
        </references>
      </pivotArea>
    </format>
    <format dxfId="133">
      <pivotArea dataOnly="0" labelOnly="1" outline="0" fieldPosition="0">
        <references count="1">
          <reference field="1" count="1">
            <x v="517"/>
          </reference>
        </references>
      </pivotArea>
    </format>
    <format dxfId="132">
      <pivotArea dataOnly="0" labelOnly="1" outline="0" fieldPosition="0">
        <references count="1">
          <reference field="1" count="1">
            <x v="518"/>
          </reference>
        </references>
      </pivotArea>
    </format>
    <format dxfId="131">
      <pivotArea dataOnly="0" labelOnly="1" outline="0" fieldPosition="0">
        <references count="1">
          <reference field="1" count="1">
            <x v="519"/>
          </reference>
        </references>
      </pivotArea>
    </format>
    <format dxfId="130">
      <pivotArea dataOnly="0" labelOnly="1" outline="0" fieldPosition="0">
        <references count="1">
          <reference field="1" count="1">
            <x v="520"/>
          </reference>
        </references>
      </pivotArea>
    </format>
    <format dxfId="129">
      <pivotArea dataOnly="0" labelOnly="1" outline="0" fieldPosition="0">
        <references count="1">
          <reference field="1" count="1">
            <x v="521"/>
          </reference>
        </references>
      </pivotArea>
    </format>
    <format dxfId="128">
      <pivotArea dataOnly="0" labelOnly="1" outline="0" fieldPosition="0">
        <references count="1">
          <reference field="1" count="1">
            <x v="522"/>
          </reference>
        </references>
      </pivotArea>
    </format>
    <format dxfId="127">
      <pivotArea dataOnly="0" labelOnly="1" outline="0" fieldPosition="0">
        <references count="1">
          <reference field="1" count="1">
            <x v="523"/>
          </reference>
        </references>
      </pivotArea>
    </format>
    <format dxfId="126">
      <pivotArea dataOnly="0" labelOnly="1" outline="0" fieldPosition="0">
        <references count="1">
          <reference field="1" count="1">
            <x v="524"/>
          </reference>
        </references>
      </pivotArea>
    </format>
    <format dxfId="125">
      <pivotArea dataOnly="0" labelOnly="1" outline="0" fieldPosition="0">
        <references count="1">
          <reference field="1" count="1">
            <x v="525"/>
          </reference>
        </references>
      </pivotArea>
    </format>
    <format dxfId="124">
      <pivotArea dataOnly="0" labelOnly="1" outline="0" fieldPosition="0">
        <references count="1">
          <reference field="1" count="1">
            <x v="526"/>
          </reference>
        </references>
      </pivotArea>
    </format>
    <format dxfId="123">
      <pivotArea dataOnly="0" labelOnly="1" outline="0" fieldPosition="0">
        <references count="1">
          <reference field="1" count="1">
            <x v="527"/>
          </reference>
        </references>
      </pivotArea>
    </format>
    <format dxfId="122">
      <pivotArea dataOnly="0" labelOnly="1" outline="0" fieldPosition="0">
        <references count="1">
          <reference field="1" count="1">
            <x v="528"/>
          </reference>
        </references>
      </pivotArea>
    </format>
    <format dxfId="121">
      <pivotArea dataOnly="0" labelOnly="1" outline="0" fieldPosition="0">
        <references count="1">
          <reference field="1" count="1">
            <x v="529"/>
          </reference>
        </references>
      </pivotArea>
    </format>
    <format dxfId="120">
      <pivotArea dataOnly="0" labelOnly="1" outline="0" fieldPosition="0">
        <references count="1">
          <reference field="1" count="1">
            <x v="530"/>
          </reference>
        </references>
      </pivotArea>
    </format>
    <format dxfId="119">
      <pivotArea dataOnly="0" labelOnly="1" outline="0" fieldPosition="0">
        <references count="1">
          <reference field="1" count="1">
            <x v="531"/>
          </reference>
        </references>
      </pivotArea>
    </format>
    <format dxfId="118">
      <pivotArea dataOnly="0" labelOnly="1" outline="0" fieldPosition="0">
        <references count="1">
          <reference field="1" count="1">
            <x v="532"/>
          </reference>
        </references>
      </pivotArea>
    </format>
    <format dxfId="117">
      <pivotArea dataOnly="0" labelOnly="1" outline="0" fieldPosition="0">
        <references count="1">
          <reference field="1" count="1">
            <x v="533"/>
          </reference>
        </references>
      </pivotArea>
    </format>
    <format dxfId="116">
      <pivotArea dataOnly="0" labelOnly="1" outline="0" fieldPosition="0">
        <references count="1">
          <reference field="1" count="1">
            <x v="534"/>
          </reference>
        </references>
      </pivotArea>
    </format>
    <format dxfId="115">
      <pivotArea dataOnly="0" labelOnly="1" outline="0" fieldPosition="0">
        <references count="1">
          <reference field="1" count="1">
            <x v="535"/>
          </reference>
        </references>
      </pivotArea>
    </format>
    <format dxfId="114">
      <pivotArea dataOnly="0" labelOnly="1" outline="0" fieldPosition="0">
        <references count="1">
          <reference field="1" count="1">
            <x v="536"/>
          </reference>
        </references>
      </pivotArea>
    </format>
    <format dxfId="113">
      <pivotArea dataOnly="0" labelOnly="1" outline="0" fieldPosition="0">
        <references count="1">
          <reference field="1" count="1">
            <x v="537"/>
          </reference>
        </references>
      </pivotArea>
    </format>
    <format dxfId="112">
      <pivotArea dataOnly="0" labelOnly="1" outline="0" fieldPosition="0">
        <references count="1">
          <reference field="1" count="1">
            <x v="538"/>
          </reference>
        </references>
      </pivotArea>
    </format>
    <format dxfId="111">
      <pivotArea dataOnly="0" labelOnly="1" outline="0" fieldPosition="0">
        <references count="1">
          <reference field="1" count="1">
            <x v="539"/>
          </reference>
        </references>
      </pivotArea>
    </format>
    <format dxfId="110">
      <pivotArea dataOnly="0" labelOnly="1" outline="0" fieldPosition="0">
        <references count="1">
          <reference field="1" count="1">
            <x v="540"/>
          </reference>
        </references>
      </pivotArea>
    </format>
    <format dxfId="109">
      <pivotArea dataOnly="0" labelOnly="1" outline="0" fieldPosition="0">
        <references count="1">
          <reference field="1" count="1">
            <x v="541"/>
          </reference>
        </references>
      </pivotArea>
    </format>
    <format dxfId="108">
      <pivotArea dataOnly="0" labelOnly="1" outline="0" fieldPosition="0">
        <references count="1">
          <reference field="1" count="1">
            <x v="542"/>
          </reference>
        </references>
      </pivotArea>
    </format>
    <format dxfId="107">
      <pivotArea dataOnly="0" labelOnly="1" outline="0" fieldPosition="0">
        <references count="1">
          <reference field="1" count="1">
            <x v="543"/>
          </reference>
        </references>
      </pivotArea>
    </format>
    <format dxfId="106">
      <pivotArea dataOnly="0" labelOnly="1" outline="0" fieldPosition="0">
        <references count="1">
          <reference field="1" count="1">
            <x v="544"/>
          </reference>
        </references>
      </pivotArea>
    </format>
    <format dxfId="105">
      <pivotArea dataOnly="0" labelOnly="1" outline="0" fieldPosition="0">
        <references count="1">
          <reference field="1" count="1">
            <x v="545"/>
          </reference>
        </references>
      </pivotArea>
    </format>
    <format dxfId="104">
      <pivotArea dataOnly="0" labelOnly="1" outline="0" fieldPosition="0">
        <references count="1">
          <reference field="1" count="1">
            <x v="546"/>
          </reference>
        </references>
      </pivotArea>
    </format>
    <format dxfId="103">
      <pivotArea dataOnly="0" labelOnly="1" outline="0" fieldPosition="0">
        <references count="1">
          <reference field="1" count="1">
            <x v="547"/>
          </reference>
        </references>
      </pivotArea>
    </format>
    <format dxfId="102">
      <pivotArea dataOnly="0" labelOnly="1" outline="0" fieldPosition="0">
        <references count="1">
          <reference field="1" count="1">
            <x v="548"/>
          </reference>
        </references>
      </pivotArea>
    </format>
    <format dxfId="101">
      <pivotArea dataOnly="0" labelOnly="1" outline="0" fieldPosition="0">
        <references count="1">
          <reference field="1" count="1">
            <x v="549"/>
          </reference>
        </references>
      </pivotArea>
    </format>
    <format dxfId="100">
      <pivotArea dataOnly="0" labelOnly="1" outline="0" fieldPosition="0">
        <references count="1">
          <reference field="1" count="1">
            <x v="550"/>
          </reference>
        </references>
      </pivotArea>
    </format>
    <format dxfId="99">
      <pivotArea dataOnly="0" labelOnly="1" outline="0" fieldPosition="0">
        <references count="1">
          <reference field="1" count="1">
            <x v="551"/>
          </reference>
        </references>
      </pivotArea>
    </format>
    <format dxfId="98">
      <pivotArea dataOnly="0" labelOnly="1" outline="0" fieldPosition="0">
        <references count="1">
          <reference field="1" count="1">
            <x v="552"/>
          </reference>
        </references>
      </pivotArea>
    </format>
    <format dxfId="97">
      <pivotArea dataOnly="0" labelOnly="1" outline="0" fieldPosition="0">
        <references count="1">
          <reference field="1" count="1">
            <x v="553"/>
          </reference>
        </references>
      </pivotArea>
    </format>
    <format dxfId="96">
      <pivotArea dataOnly="0" labelOnly="1" outline="0" fieldPosition="0">
        <references count="1">
          <reference field="1" count="1">
            <x v="554"/>
          </reference>
        </references>
      </pivotArea>
    </format>
    <format dxfId="95">
      <pivotArea dataOnly="0" labelOnly="1" outline="0" fieldPosition="0">
        <references count="1">
          <reference field="1" count="1">
            <x v="555"/>
          </reference>
        </references>
      </pivotArea>
    </format>
    <format dxfId="94">
      <pivotArea dataOnly="0" labelOnly="1" outline="0" fieldPosition="0">
        <references count="1">
          <reference field="1" count="1">
            <x v="556"/>
          </reference>
        </references>
      </pivotArea>
    </format>
    <format dxfId="93">
      <pivotArea dataOnly="0" labelOnly="1" outline="0" fieldPosition="0">
        <references count="1">
          <reference field="1" count="1">
            <x v="557"/>
          </reference>
        </references>
      </pivotArea>
    </format>
    <format dxfId="92">
      <pivotArea dataOnly="0" labelOnly="1" outline="0" fieldPosition="0">
        <references count="1">
          <reference field="1" count="1">
            <x v="558"/>
          </reference>
        </references>
      </pivotArea>
    </format>
    <format dxfId="91">
      <pivotArea dataOnly="0" labelOnly="1" outline="0" fieldPosition="0">
        <references count="1">
          <reference field="1" count="1">
            <x v="559"/>
          </reference>
        </references>
      </pivotArea>
    </format>
    <format dxfId="90">
      <pivotArea dataOnly="0" labelOnly="1" outline="0" fieldPosition="0">
        <references count="1">
          <reference field="1" count="1">
            <x v="560"/>
          </reference>
        </references>
      </pivotArea>
    </format>
    <format dxfId="89">
      <pivotArea dataOnly="0" labelOnly="1" outline="0" fieldPosition="0">
        <references count="1">
          <reference field="1" count="1">
            <x v="561"/>
          </reference>
        </references>
      </pivotArea>
    </format>
    <format dxfId="88">
      <pivotArea dataOnly="0" labelOnly="1" outline="0" fieldPosition="0">
        <references count="1">
          <reference field="1" count="1">
            <x v="562"/>
          </reference>
        </references>
      </pivotArea>
    </format>
    <format dxfId="87">
      <pivotArea dataOnly="0" labelOnly="1" outline="0" fieldPosition="0">
        <references count="1">
          <reference field="1" count="1">
            <x v="563"/>
          </reference>
        </references>
      </pivotArea>
    </format>
    <format dxfId="86">
      <pivotArea dataOnly="0" labelOnly="1" outline="0" fieldPosition="0">
        <references count="1">
          <reference field="1" count="1">
            <x v="564"/>
          </reference>
        </references>
      </pivotArea>
    </format>
    <format dxfId="85">
      <pivotArea dataOnly="0" labelOnly="1" outline="0" fieldPosition="0">
        <references count="1">
          <reference field="1" count="1">
            <x v="565"/>
          </reference>
        </references>
      </pivotArea>
    </format>
    <format dxfId="84">
      <pivotArea dataOnly="0" labelOnly="1" outline="0" fieldPosition="0">
        <references count="1">
          <reference field="1" count="1">
            <x v="566"/>
          </reference>
        </references>
      </pivotArea>
    </format>
    <format dxfId="83">
      <pivotArea dataOnly="0" labelOnly="1" outline="0" fieldPosition="0">
        <references count="1">
          <reference field="1" count="1">
            <x v="567"/>
          </reference>
        </references>
      </pivotArea>
    </format>
    <format dxfId="82">
      <pivotArea dataOnly="0" labelOnly="1" outline="0" fieldPosition="0">
        <references count="1">
          <reference field="1" count="1">
            <x v="568"/>
          </reference>
        </references>
      </pivotArea>
    </format>
    <format dxfId="81">
      <pivotArea dataOnly="0" labelOnly="1" outline="0" fieldPosition="0">
        <references count="1">
          <reference field="1" count="1">
            <x v="569"/>
          </reference>
        </references>
      </pivotArea>
    </format>
    <format dxfId="80">
      <pivotArea dataOnly="0" labelOnly="1" outline="0" fieldPosition="0">
        <references count="1">
          <reference field="1" count="1">
            <x v="570"/>
          </reference>
        </references>
      </pivotArea>
    </format>
    <format dxfId="79">
      <pivotArea dataOnly="0" labelOnly="1" outline="0" fieldPosition="0">
        <references count="1">
          <reference field="1" count="1">
            <x v="571"/>
          </reference>
        </references>
      </pivotArea>
    </format>
    <format dxfId="78">
      <pivotArea dataOnly="0" labelOnly="1" outline="0" fieldPosition="0">
        <references count="1">
          <reference field="1" count="1">
            <x v="572"/>
          </reference>
        </references>
      </pivotArea>
    </format>
    <format dxfId="77">
      <pivotArea dataOnly="0" labelOnly="1" outline="0" fieldPosition="0">
        <references count="1">
          <reference field="1" count="1">
            <x v="573"/>
          </reference>
        </references>
      </pivotArea>
    </format>
    <format dxfId="76">
      <pivotArea dataOnly="0" labelOnly="1" outline="0" fieldPosition="0">
        <references count="1">
          <reference field="1" count="1">
            <x v="574"/>
          </reference>
        </references>
      </pivotArea>
    </format>
    <format dxfId="75">
      <pivotArea dataOnly="0" labelOnly="1" outline="0" fieldPosition="0">
        <references count="1">
          <reference field="1" count="1">
            <x v="575"/>
          </reference>
        </references>
      </pivotArea>
    </format>
    <format dxfId="74">
      <pivotArea dataOnly="0" labelOnly="1" outline="0" fieldPosition="0">
        <references count="1">
          <reference field="1" count="1">
            <x v="576"/>
          </reference>
        </references>
      </pivotArea>
    </format>
    <format dxfId="73">
      <pivotArea dataOnly="0" labelOnly="1" outline="0" fieldPosition="0">
        <references count="1">
          <reference field="1" count="1">
            <x v="577"/>
          </reference>
        </references>
      </pivotArea>
    </format>
    <format dxfId="72">
      <pivotArea dataOnly="0" labelOnly="1" outline="0" fieldPosition="0">
        <references count="1">
          <reference field="1" count="1">
            <x v="578"/>
          </reference>
        </references>
      </pivotArea>
    </format>
    <format dxfId="71">
      <pivotArea dataOnly="0" labelOnly="1" outline="0" fieldPosition="0">
        <references count="1">
          <reference field="1" count="1">
            <x v="579"/>
          </reference>
        </references>
      </pivotArea>
    </format>
    <format dxfId="70">
      <pivotArea dataOnly="0" labelOnly="1" outline="0" fieldPosition="0">
        <references count="1">
          <reference field="1" count="1">
            <x v="580"/>
          </reference>
        </references>
      </pivotArea>
    </format>
    <format dxfId="69">
      <pivotArea dataOnly="0" labelOnly="1" outline="0" fieldPosition="0">
        <references count="1">
          <reference field="1" count="1">
            <x v="581"/>
          </reference>
        </references>
      </pivotArea>
    </format>
    <format dxfId="68">
      <pivotArea dataOnly="0" labelOnly="1" outline="0" fieldPosition="0">
        <references count="1">
          <reference field="1" count="1">
            <x v="582"/>
          </reference>
        </references>
      </pivotArea>
    </format>
    <format dxfId="67">
      <pivotArea dataOnly="0" labelOnly="1" outline="0" fieldPosition="0">
        <references count="1">
          <reference field="1" count="1">
            <x v="583"/>
          </reference>
        </references>
      </pivotArea>
    </format>
    <format dxfId="66">
      <pivotArea dataOnly="0" labelOnly="1" outline="0" fieldPosition="0">
        <references count="1">
          <reference field="1" count="1">
            <x v="584"/>
          </reference>
        </references>
      </pivotArea>
    </format>
    <format dxfId="65">
      <pivotArea dataOnly="0" labelOnly="1" outline="0" fieldPosition="0">
        <references count="1">
          <reference field="1" count="1">
            <x v="585"/>
          </reference>
        </references>
      </pivotArea>
    </format>
    <format dxfId="64">
      <pivotArea dataOnly="0" labelOnly="1" outline="0" fieldPosition="0">
        <references count="1">
          <reference field="1" count="1">
            <x v="586"/>
          </reference>
        </references>
      </pivotArea>
    </format>
    <format dxfId="63">
      <pivotArea dataOnly="0" labelOnly="1" outline="0" fieldPosition="0">
        <references count="1">
          <reference field="1" count="1">
            <x v="587"/>
          </reference>
        </references>
      </pivotArea>
    </format>
    <format dxfId="62">
      <pivotArea dataOnly="0" labelOnly="1" outline="0" fieldPosition="0">
        <references count="1">
          <reference field="1" count="1">
            <x v="588"/>
          </reference>
        </references>
      </pivotArea>
    </format>
    <format dxfId="61">
      <pivotArea dataOnly="0" labelOnly="1" outline="0" fieldPosition="0">
        <references count="1">
          <reference field="1" count="1">
            <x v="589"/>
          </reference>
        </references>
      </pivotArea>
    </format>
    <format dxfId="60">
      <pivotArea dataOnly="0" labelOnly="1" outline="0" fieldPosition="0">
        <references count="1">
          <reference field="1" count="1">
            <x v="590"/>
          </reference>
        </references>
      </pivotArea>
    </format>
    <format dxfId="59">
      <pivotArea dataOnly="0" labelOnly="1" outline="0" fieldPosition="0">
        <references count="1">
          <reference field="1" count="1">
            <x v="591"/>
          </reference>
        </references>
      </pivotArea>
    </format>
    <format dxfId="58">
      <pivotArea dataOnly="0" labelOnly="1" outline="0" fieldPosition="0">
        <references count="1">
          <reference field="1" count="1">
            <x v="592"/>
          </reference>
        </references>
      </pivotArea>
    </format>
    <format dxfId="57">
      <pivotArea dataOnly="0" labelOnly="1" outline="0" fieldPosition="0">
        <references count="1">
          <reference field="1" count="1">
            <x v="593"/>
          </reference>
        </references>
      </pivotArea>
    </format>
    <format dxfId="56">
      <pivotArea dataOnly="0" labelOnly="1" outline="0" fieldPosition="0">
        <references count="1">
          <reference field="1" count="1">
            <x v="594"/>
          </reference>
        </references>
      </pivotArea>
    </format>
    <format dxfId="55">
      <pivotArea dataOnly="0" labelOnly="1" outline="0" fieldPosition="0">
        <references count="1">
          <reference field="1" count="1">
            <x v="595"/>
          </reference>
        </references>
      </pivotArea>
    </format>
    <format dxfId="54">
      <pivotArea dataOnly="0" labelOnly="1" outline="0" fieldPosition="0">
        <references count="1">
          <reference field="1" count="1">
            <x v="596"/>
          </reference>
        </references>
      </pivotArea>
    </format>
    <format dxfId="53">
      <pivotArea dataOnly="0" labelOnly="1" outline="0" fieldPosition="0">
        <references count="1">
          <reference field="1" count="1">
            <x v="597"/>
          </reference>
        </references>
      </pivotArea>
    </format>
    <format dxfId="52">
      <pivotArea dataOnly="0" labelOnly="1" outline="0" fieldPosition="0">
        <references count="1">
          <reference field="1" count="1">
            <x v="598"/>
          </reference>
        </references>
      </pivotArea>
    </format>
    <format dxfId="51">
      <pivotArea dataOnly="0" labelOnly="1" outline="0" fieldPosition="0">
        <references count="1">
          <reference field="1" count="1">
            <x v="599"/>
          </reference>
        </references>
      </pivotArea>
    </format>
    <format dxfId="50">
      <pivotArea dataOnly="0" labelOnly="1" outline="0" fieldPosition="0">
        <references count="1">
          <reference field="1" count="1">
            <x v="600"/>
          </reference>
        </references>
      </pivotArea>
    </format>
    <format dxfId="49">
      <pivotArea dataOnly="0" labelOnly="1" outline="0" fieldPosition="0">
        <references count="1">
          <reference field="1" count="1">
            <x v="601"/>
          </reference>
        </references>
      </pivotArea>
    </format>
    <format dxfId="48">
      <pivotArea dataOnly="0" labelOnly="1" outline="0" fieldPosition="0">
        <references count="1">
          <reference field="1" count="1">
            <x v="602"/>
          </reference>
        </references>
      </pivotArea>
    </format>
    <format dxfId="47">
      <pivotArea dataOnly="0" labelOnly="1" outline="0" fieldPosition="0">
        <references count="1">
          <reference field="1" count="1">
            <x v="603"/>
          </reference>
        </references>
      </pivotArea>
    </format>
    <format dxfId="46">
      <pivotArea dataOnly="0" labelOnly="1" outline="0" fieldPosition="0">
        <references count="1">
          <reference field="1" count="1">
            <x v="604"/>
          </reference>
        </references>
      </pivotArea>
    </format>
    <format dxfId="45">
      <pivotArea dataOnly="0" labelOnly="1" outline="0" fieldPosition="0">
        <references count="1">
          <reference field="1" count="1">
            <x v="605"/>
          </reference>
        </references>
      </pivotArea>
    </format>
    <format dxfId="44">
      <pivotArea dataOnly="0" labelOnly="1" outline="0" fieldPosition="0">
        <references count="1">
          <reference field="1" count="1">
            <x v="606"/>
          </reference>
        </references>
      </pivotArea>
    </format>
    <format dxfId="43">
      <pivotArea dataOnly="0" labelOnly="1" outline="0" fieldPosition="0">
        <references count="1">
          <reference field="1" count="1">
            <x v="607"/>
          </reference>
        </references>
      </pivotArea>
    </format>
    <format dxfId="42">
      <pivotArea dataOnly="0" labelOnly="1" outline="0" fieldPosition="0">
        <references count="1">
          <reference field="1" count="1">
            <x v="608"/>
          </reference>
        </references>
      </pivotArea>
    </format>
    <format dxfId="41">
      <pivotArea dataOnly="0" labelOnly="1" outline="0" fieldPosition="0">
        <references count="1">
          <reference field="1" count="1">
            <x v="609"/>
          </reference>
        </references>
      </pivotArea>
    </format>
    <format dxfId="40">
      <pivotArea dataOnly="0" labelOnly="1" outline="0" fieldPosition="0">
        <references count="1">
          <reference field="1" count="1">
            <x v="610"/>
          </reference>
        </references>
      </pivotArea>
    </format>
    <format dxfId="39">
      <pivotArea dataOnly="0" labelOnly="1" outline="0" fieldPosition="0">
        <references count="1">
          <reference field="1" count="1">
            <x v="611"/>
          </reference>
        </references>
      </pivotArea>
    </format>
    <format dxfId="38">
      <pivotArea dataOnly="0" labelOnly="1" outline="0" fieldPosition="0">
        <references count="1">
          <reference field="1" count="1">
            <x v="612"/>
          </reference>
        </references>
      </pivotArea>
    </format>
    <format dxfId="37">
      <pivotArea dataOnly="0" labelOnly="1" outline="0" fieldPosition="0">
        <references count="1">
          <reference field="1" count="1">
            <x v="613"/>
          </reference>
        </references>
      </pivotArea>
    </format>
    <format dxfId="36">
      <pivotArea dataOnly="0" labelOnly="1" outline="0" fieldPosition="0">
        <references count="1">
          <reference field="1" count="1">
            <x v="614"/>
          </reference>
        </references>
      </pivotArea>
    </format>
    <format dxfId="35">
      <pivotArea dataOnly="0" labelOnly="1" outline="0" fieldPosition="0">
        <references count="1">
          <reference field="1" count="1">
            <x v="615"/>
          </reference>
        </references>
      </pivotArea>
    </format>
    <format dxfId="34">
      <pivotArea dataOnly="0" labelOnly="1" outline="0" fieldPosition="0">
        <references count="1">
          <reference field="1" count="1">
            <x v="616"/>
          </reference>
        </references>
      </pivotArea>
    </format>
    <format dxfId="33">
      <pivotArea dataOnly="0" labelOnly="1" outline="0" fieldPosition="0">
        <references count="1">
          <reference field="1" count="1">
            <x v="617"/>
          </reference>
        </references>
      </pivotArea>
    </format>
    <format dxfId="32">
      <pivotArea dataOnly="0" labelOnly="1" outline="0" fieldPosition="0">
        <references count="1">
          <reference field="1" count="1">
            <x v="618"/>
          </reference>
        </references>
      </pivotArea>
    </format>
    <format dxfId="31">
      <pivotArea dataOnly="0" labelOnly="1" outline="0" fieldPosition="0">
        <references count="1">
          <reference field="1" count="1">
            <x v="619"/>
          </reference>
        </references>
      </pivotArea>
    </format>
    <format dxfId="30">
      <pivotArea dataOnly="0" labelOnly="1" outline="0" fieldPosition="0">
        <references count="1">
          <reference field="1" count="1">
            <x v="620"/>
          </reference>
        </references>
      </pivotArea>
    </format>
    <format dxfId="29">
      <pivotArea dataOnly="0" labelOnly="1" outline="0" fieldPosition="0">
        <references count="1">
          <reference field="1" count="1">
            <x v="621"/>
          </reference>
        </references>
      </pivotArea>
    </format>
    <format dxfId="28">
      <pivotArea dataOnly="0" labelOnly="1" outline="0" fieldPosition="0">
        <references count="1">
          <reference field="1" count="1">
            <x v="622"/>
          </reference>
        </references>
      </pivotArea>
    </format>
    <format dxfId="27">
      <pivotArea dataOnly="0" labelOnly="1" outline="0" fieldPosition="0">
        <references count="1">
          <reference field="1" count="1">
            <x v="623"/>
          </reference>
        </references>
      </pivotArea>
    </format>
    <format dxfId="26">
      <pivotArea dataOnly="0" labelOnly="1" outline="0" fieldPosition="0">
        <references count="1">
          <reference field="1" count="1">
            <x v="624"/>
          </reference>
        </references>
      </pivotArea>
    </format>
    <format dxfId="25">
      <pivotArea dataOnly="0" labelOnly="1" outline="0" fieldPosition="0">
        <references count="1">
          <reference field="1" count="1">
            <x v="625"/>
          </reference>
        </references>
      </pivotArea>
    </format>
    <format dxfId="24">
      <pivotArea dataOnly="0" labelOnly="1" outline="0" fieldPosition="0">
        <references count="1">
          <reference field="1" count="1">
            <x v="626"/>
          </reference>
        </references>
      </pivotArea>
    </format>
    <format dxfId="23">
      <pivotArea dataOnly="0" labelOnly="1" outline="0" fieldPosition="0">
        <references count="1">
          <reference field="1" count="1">
            <x v="627"/>
          </reference>
        </references>
      </pivotArea>
    </format>
    <format dxfId="22">
      <pivotArea dataOnly="0" labelOnly="1" outline="0" fieldPosition="0">
        <references count="1">
          <reference field="1" count="1">
            <x v="628"/>
          </reference>
        </references>
      </pivotArea>
    </format>
    <format dxfId="21">
      <pivotArea dataOnly="0" labelOnly="1" outline="0" fieldPosition="0">
        <references count="1">
          <reference field="1" count="1">
            <x v="629"/>
          </reference>
        </references>
      </pivotArea>
    </format>
    <format dxfId="20">
      <pivotArea dataOnly="0" labelOnly="1" outline="0" fieldPosition="0">
        <references count="1">
          <reference field="1" count="1">
            <x v="630"/>
          </reference>
        </references>
      </pivotArea>
    </format>
    <format dxfId="19">
      <pivotArea dataOnly="0" labelOnly="1" outline="0" fieldPosition="0">
        <references count="1">
          <reference field="1" count="1">
            <x v="631"/>
          </reference>
        </references>
      </pivotArea>
    </format>
    <format dxfId="18">
      <pivotArea dataOnly="0" labelOnly="1" outline="0" fieldPosition="0">
        <references count="1">
          <reference field="1" count="1">
            <x v="632"/>
          </reference>
        </references>
      </pivotArea>
    </format>
    <format dxfId="17">
      <pivotArea dataOnly="0" labelOnly="1" outline="0" fieldPosition="0">
        <references count="1">
          <reference field="1" count="1">
            <x v="633"/>
          </reference>
        </references>
      </pivotArea>
    </format>
    <format dxfId="16">
      <pivotArea dataOnly="0" labelOnly="1" outline="0" fieldPosition="0">
        <references count="1">
          <reference field="1" count="1">
            <x v="634"/>
          </reference>
        </references>
      </pivotArea>
    </format>
    <format dxfId="15">
      <pivotArea dataOnly="0" labelOnly="1" outline="0" fieldPosition="0">
        <references count="1">
          <reference field="1" count="1">
            <x v="635"/>
          </reference>
        </references>
      </pivotArea>
    </format>
    <format dxfId="14">
      <pivotArea dataOnly="0" labelOnly="1" outline="0" fieldPosition="0">
        <references count="1">
          <reference field="1" count="1">
            <x v="636"/>
          </reference>
        </references>
      </pivotArea>
    </format>
    <format dxfId="13">
      <pivotArea dataOnly="0" labelOnly="1" outline="0" fieldPosition="0">
        <references count="1">
          <reference field="1" count="1">
            <x v="637"/>
          </reference>
        </references>
      </pivotArea>
    </format>
    <format dxfId="12">
      <pivotArea dataOnly="0" labelOnly="1" outline="0" fieldPosition="0">
        <references count="1">
          <reference field="1" count="1">
            <x v="638"/>
          </reference>
        </references>
      </pivotArea>
    </format>
    <format dxfId="11">
      <pivotArea dataOnly="0" labelOnly="1" outline="0" fieldPosition="0">
        <references count="1">
          <reference field="1" count="1">
            <x v="639"/>
          </reference>
        </references>
      </pivotArea>
    </format>
    <format dxfId="10">
      <pivotArea dataOnly="0" labelOnly="1" outline="0" fieldPosition="0">
        <references count="1">
          <reference field="1" count="1">
            <x v="640"/>
          </reference>
        </references>
      </pivotArea>
    </format>
    <format dxfId="9">
      <pivotArea dataOnly="0" labelOnly="1" outline="0" fieldPosition="0">
        <references count="1">
          <reference field="1" count="1">
            <x v="641"/>
          </reference>
        </references>
      </pivotArea>
    </format>
    <format dxfId="8">
      <pivotArea dataOnly="0" labelOnly="1" outline="0" fieldPosition="0">
        <references count="1">
          <reference field="1" count="1">
            <x v="642"/>
          </reference>
        </references>
      </pivotArea>
    </format>
    <format dxfId="7">
      <pivotArea dataOnly="0" labelOnly="1" outline="0" fieldPosition="0">
        <references count="1">
          <reference field="1" count="1">
            <x v="643"/>
          </reference>
        </references>
      </pivotArea>
    </format>
    <format dxfId="6">
      <pivotArea dataOnly="0" labelOnly="1" outline="0" fieldPosition="0">
        <references count="1">
          <reference field="1" count="1">
            <x v="644"/>
          </reference>
        </references>
      </pivotArea>
    </format>
    <format dxfId="5">
      <pivotArea dataOnly="0" labelOnly="1" outline="0" fieldPosition="0">
        <references count="1">
          <reference field="1" count="1">
            <x v="645"/>
          </reference>
        </references>
      </pivotArea>
    </format>
    <format dxfId="4">
      <pivotArea dataOnly="0" labelOnly="1" outline="0" fieldPosition="0">
        <references count="1">
          <reference field="1" count="1">
            <x v="646"/>
          </reference>
        </references>
      </pivotArea>
    </format>
    <format dxfId="3">
      <pivotArea dataOnly="0" labelOnly="1" outline="0" fieldPosition="0">
        <references count="1">
          <reference field="1" count="1">
            <x v="647"/>
          </reference>
        </references>
      </pivotArea>
    </format>
    <format dxfId="2">
      <pivotArea dataOnly="0" labelOnly="1" outline="0" fieldPosition="0">
        <references count="1">
          <reference field="1" count="1">
            <x v="648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5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D658" firstHeaderRow="1" firstDataRow="1" firstDataCol="2"/>
  <pivotFields count="5">
    <pivotField compact="0" outline="0" showAll="0"/>
    <pivotField axis="axisRow" compact="0" numFmtId="14" outline="0" showAll="0" defaultSubtotal="0">
      <items count="64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</items>
    </pivotField>
    <pivotField axis="axisRow" compact="0" outline="0" showAll="0" defaultSubtotal="0">
      <items count="637">
        <item x="202"/>
        <item x="203"/>
        <item x="201"/>
        <item x="0"/>
        <item x="210"/>
        <item x="2"/>
        <item x="1"/>
        <item x="211"/>
        <item x="3"/>
        <item x="208"/>
        <item x="209"/>
        <item x="207"/>
        <item x="200"/>
        <item x="204"/>
        <item x="206"/>
        <item x="5"/>
        <item x="4"/>
        <item x="212"/>
        <item x="79"/>
        <item x="6"/>
        <item x="78"/>
        <item x="77"/>
        <item x="80"/>
        <item x="36"/>
        <item x="205"/>
        <item x="35"/>
        <item x="81"/>
        <item x="7"/>
        <item x="71"/>
        <item x="72"/>
        <item x="74"/>
        <item x="73"/>
        <item x="37"/>
        <item x="76"/>
        <item x="75"/>
        <item x="40"/>
        <item x="39"/>
        <item x="198"/>
        <item x="199"/>
        <item x="34"/>
        <item x="8"/>
        <item x="70"/>
        <item x="82"/>
        <item x="38"/>
        <item x="42"/>
        <item x="83"/>
        <item x="41"/>
        <item x="48"/>
        <item x="43"/>
        <item x="44"/>
        <item x="49"/>
        <item x="45"/>
        <item x="197"/>
        <item x="213"/>
        <item x="33"/>
        <item x="84"/>
        <item x="47"/>
        <item x="69"/>
        <item x="67"/>
        <item x="9"/>
        <item x="46"/>
        <item x="68"/>
        <item x="50"/>
        <item x="85"/>
        <item x="101"/>
        <item x="19"/>
        <item x="32"/>
        <item x="98"/>
        <item x="16"/>
        <item x="17"/>
        <item x="227"/>
        <item x="107"/>
        <item x="99"/>
        <item x="18"/>
        <item x="66"/>
        <item x="100"/>
        <item x="26"/>
        <item x="20"/>
        <item x="64"/>
        <item x="51"/>
        <item x="86"/>
        <item x="226"/>
        <item x="217"/>
        <item x="65"/>
        <item x="106"/>
        <item x="225"/>
        <item x="10"/>
        <item x="97"/>
        <item x="31"/>
        <item x="228"/>
        <item x="15"/>
        <item x="29"/>
        <item x="14"/>
        <item x="214"/>
        <item x="28"/>
        <item x="87"/>
        <item x="102"/>
        <item x="11"/>
        <item x="27"/>
        <item x="13"/>
        <item x="88"/>
        <item x="218"/>
        <item x="96"/>
        <item x="105"/>
        <item x="91"/>
        <item x="224"/>
        <item x="223"/>
        <item x="61"/>
        <item x="30"/>
        <item x="12"/>
        <item x="25"/>
        <item x="21"/>
        <item x="317"/>
        <item x="103"/>
        <item x="62"/>
        <item x="195"/>
        <item x="92"/>
        <item x="229"/>
        <item x="318"/>
        <item x="24"/>
        <item x="215"/>
        <item x="104"/>
        <item x="216"/>
        <item x="219"/>
        <item x="89"/>
        <item x="108"/>
        <item x="52"/>
        <item x="63"/>
        <item x="90"/>
        <item x="233"/>
        <item x="95"/>
        <item x="93"/>
        <item x="111"/>
        <item x="230"/>
        <item x="22"/>
        <item x="222"/>
        <item x="220"/>
        <item x="110"/>
        <item x="316"/>
        <item x="231"/>
        <item x="55"/>
        <item x="196"/>
        <item x="109"/>
        <item x="53"/>
        <item x="232"/>
        <item x="319"/>
        <item x="94"/>
        <item x="234"/>
        <item x="59"/>
        <item x="60"/>
        <item x="320"/>
        <item x="221"/>
        <item x="112"/>
        <item x="321"/>
        <item x="23"/>
        <item x="315"/>
        <item x="56"/>
        <item x="54"/>
        <item x="270"/>
        <item x="313"/>
        <item x="314"/>
        <item x="58"/>
        <item x="322"/>
        <item x="235"/>
        <item x="271"/>
        <item x="57"/>
        <item x="269"/>
        <item x="236"/>
        <item x="113"/>
        <item x="323"/>
        <item x="307"/>
        <item x="312"/>
        <item x="324"/>
        <item x="296"/>
        <item x="194"/>
        <item x="117"/>
        <item x="306"/>
        <item x="116"/>
        <item x="115"/>
        <item x="304"/>
        <item x="114"/>
        <item x="305"/>
        <item x="311"/>
        <item x="325"/>
        <item x="237"/>
        <item x="272"/>
        <item x="297"/>
        <item x="266"/>
        <item x="265"/>
        <item x="298"/>
        <item x="268"/>
        <item x="118"/>
        <item x="308"/>
        <item x="309"/>
        <item x="238"/>
        <item x="282"/>
        <item x="267"/>
        <item x="310"/>
        <item x="326"/>
        <item x="303"/>
        <item x="119"/>
        <item x="302"/>
        <item x="239"/>
        <item x="295"/>
        <item x="299"/>
        <item x="327"/>
        <item x="300"/>
        <item x="283"/>
        <item x="336"/>
        <item x="120"/>
        <item x="301"/>
        <item x="335"/>
        <item x="328"/>
        <item x="240"/>
        <item x="284"/>
        <item x="338"/>
        <item x="332"/>
        <item x="275"/>
        <item x="340"/>
        <item x="337"/>
        <item x="286"/>
        <item x="285"/>
        <item x="334"/>
        <item x="339"/>
        <item x="121"/>
        <item x="329"/>
        <item x="191"/>
        <item x="333"/>
        <item x="341"/>
        <item x="273"/>
        <item x="193"/>
        <item x="264"/>
        <item x="130"/>
        <item x="129"/>
        <item x="331"/>
        <item x="274"/>
        <item x="330"/>
        <item x="190"/>
        <item x="242"/>
        <item x="281"/>
        <item x="122"/>
        <item x="128"/>
        <item x="287"/>
        <item x="241"/>
        <item x="280"/>
        <item x="345"/>
        <item x="342"/>
        <item x="192"/>
        <item x="279"/>
        <item x="243"/>
        <item x="347"/>
        <item x="344"/>
        <item x="292"/>
        <item x="293"/>
        <item x="346"/>
        <item x="343"/>
        <item x="131"/>
        <item x="290"/>
        <item x="276"/>
        <item x="291"/>
        <item x="294"/>
        <item x="289"/>
        <item x="247"/>
        <item x="348"/>
        <item x="123"/>
        <item x="278"/>
        <item x="244"/>
        <item x="277"/>
        <item x="288"/>
        <item x="135"/>
        <item x="246"/>
        <item x="349"/>
        <item x="124"/>
        <item x="136"/>
        <item x="125"/>
        <item x="245"/>
        <item x="138"/>
        <item x="248"/>
        <item x="126"/>
        <item x="132"/>
        <item x="351"/>
        <item x="350"/>
        <item x="189"/>
        <item x="139"/>
        <item x="127"/>
        <item x="137"/>
        <item x="140"/>
        <item x="352"/>
        <item x="263"/>
        <item x="134"/>
        <item x="249"/>
        <item x="133"/>
        <item x="355"/>
        <item x="141"/>
        <item x="402"/>
        <item x="250"/>
        <item x="353"/>
        <item x="354"/>
        <item x="186"/>
        <item x="251"/>
        <item x="356"/>
        <item x="377"/>
        <item x="142"/>
        <item x="143"/>
        <item x="371"/>
        <item x="370"/>
        <item x="386"/>
        <item x="260"/>
        <item x="387"/>
        <item x="259"/>
        <item x="376"/>
        <item x="185"/>
        <item x="403"/>
        <item x="401"/>
        <item x="378"/>
        <item x="372"/>
        <item x="252"/>
        <item x="369"/>
        <item x="400"/>
        <item x="144"/>
        <item x="396"/>
        <item x="398"/>
        <item x="399"/>
        <item x="385"/>
        <item x="373"/>
        <item x="375"/>
        <item x="381"/>
        <item x="258"/>
        <item x="357"/>
        <item x="261"/>
        <item x="397"/>
        <item x="384"/>
        <item x="254"/>
        <item x="404"/>
        <item x="188"/>
        <item x="395"/>
        <item x="388"/>
        <item x="405"/>
        <item x="393"/>
        <item x="380"/>
        <item x="253"/>
        <item x="374"/>
        <item x="184"/>
        <item x="383"/>
        <item x="392"/>
        <item x="187"/>
        <item x="382"/>
        <item x="255"/>
        <item x="262"/>
        <item x="379"/>
        <item x="145"/>
        <item x="394"/>
        <item x="358"/>
        <item x="389"/>
        <item x="406"/>
        <item x="391"/>
        <item x="257"/>
        <item x="256"/>
        <item x="359"/>
        <item x="147"/>
        <item x="148"/>
        <item x="390"/>
        <item x="407"/>
        <item x="360"/>
        <item x="363"/>
        <item x="146"/>
        <item x="151"/>
        <item x="362"/>
        <item x="408"/>
        <item x="368"/>
        <item x="149"/>
        <item x="361"/>
        <item x="183"/>
        <item x="150"/>
        <item x="409"/>
        <item x="367"/>
        <item x="410"/>
        <item x="364"/>
        <item x="152"/>
        <item x="415"/>
        <item x="366"/>
        <item x="411"/>
        <item x="365"/>
        <item x="156"/>
        <item x="155"/>
        <item x="153"/>
        <item x="412"/>
        <item x="154"/>
        <item x="416"/>
        <item x="413"/>
        <item x="414"/>
        <item x="417"/>
        <item x="182"/>
        <item x="157"/>
        <item x="172"/>
        <item x="181"/>
        <item x="420"/>
        <item x="418"/>
        <item x="419"/>
        <item x="180"/>
        <item x="158"/>
        <item x="179"/>
        <item x="421"/>
        <item x="173"/>
        <item x="159"/>
        <item x="426"/>
        <item x="423"/>
        <item x="422"/>
        <item x="424"/>
        <item x="427"/>
        <item x="425"/>
        <item x="174"/>
        <item x="431"/>
        <item x="437"/>
        <item x="453"/>
        <item x="436"/>
        <item x="435"/>
        <item x="428"/>
        <item x="434"/>
        <item x="432"/>
        <item x="178"/>
        <item x="450"/>
        <item x="175"/>
        <item x="442"/>
        <item x="438"/>
        <item x="430"/>
        <item x="451"/>
        <item x="454"/>
        <item x="433"/>
        <item x="452"/>
        <item x="441"/>
        <item x="429"/>
        <item x="160"/>
        <item x="448"/>
        <item x="439"/>
        <item x="443"/>
        <item x="440"/>
        <item x="449"/>
        <item x="455"/>
        <item x="176"/>
        <item x="161"/>
        <item x="456"/>
        <item x="446"/>
        <item x="177"/>
        <item x="444"/>
        <item x="457"/>
        <item x="447"/>
        <item x="445"/>
        <item x="171"/>
        <item x="458"/>
        <item x="459"/>
        <item x="162"/>
        <item x="164"/>
        <item x="163"/>
        <item x="165"/>
        <item x="166"/>
        <item x="460"/>
        <item x="167"/>
        <item x="461"/>
        <item x="462"/>
        <item x="463"/>
        <item x="168"/>
        <item x="464"/>
        <item x="465"/>
        <item x="466"/>
        <item x="169"/>
        <item x="170"/>
        <item x="467"/>
        <item x="468"/>
        <item x="469"/>
        <item x="471"/>
        <item x="470"/>
        <item x="473"/>
        <item x="472"/>
        <item x="503"/>
        <item x="504"/>
        <item x="474"/>
        <item x="502"/>
        <item x="506"/>
        <item x="505"/>
        <item x="508"/>
        <item x="507"/>
        <item x="478"/>
        <item x="476"/>
        <item x="509"/>
        <item x="475"/>
        <item x="494"/>
        <item x="501"/>
        <item x="510"/>
        <item x="495"/>
        <item x="481"/>
        <item x="482"/>
        <item x="477"/>
        <item x="479"/>
        <item x="491"/>
        <item x="490"/>
        <item x="480"/>
        <item x="486"/>
        <item x="496"/>
        <item x="493"/>
        <item x="500"/>
        <item x="511"/>
        <item x="492"/>
        <item x="489"/>
        <item x="485"/>
        <item x="497"/>
        <item x="483"/>
        <item x="498"/>
        <item x="512"/>
        <item x="487"/>
        <item x="484"/>
        <item x="488"/>
        <item x="499"/>
        <item x="513"/>
        <item x="514"/>
        <item x="515"/>
        <item x="516"/>
        <item x="558"/>
        <item x="562"/>
        <item x="559"/>
        <item x="538"/>
        <item x="518"/>
        <item x="517"/>
        <item x="561"/>
        <item x="537"/>
        <item x="539"/>
        <item x="560"/>
        <item x="519"/>
        <item x="540"/>
        <item x="531"/>
        <item x="533"/>
        <item x="520"/>
        <item x="532"/>
        <item x="536"/>
        <item x="530"/>
        <item x="535"/>
        <item x="563"/>
        <item x="521"/>
        <item x="522"/>
        <item x="541"/>
        <item x="525"/>
        <item x="526"/>
        <item x="557"/>
        <item x="534"/>
        <item x="527"/>
        <item x="564"/>
        <item x="542"/>
        <item x="524"/>
        <item x="523"/>
        <item x="529"/>
        <item x="543"/>
        <item x="528"/>
        <item x="565"/>
        <item x="567"/>
        <item x="566"/>
        <item x="544"/>
        <item x="556"/>
        <item x="547"/>
        <item x="546"/>
        <item x="545"/>
        <item x="571"/>
        <item x="550"/>
        <item x="553"/>
        <item x="568"/>
        <item x="549"/>
        <item x="554"/>
        <item x="572"/>
        <item x="555"/>
        <item x="548"/>
        <item x="570"/>
        <item x="569"/>
        <item x="551"/>
        <item x="552"/>
        <item x="573"/>
        <item x="575"/>
        <item x="574"/>
        <item x="576"/>
        <item x="577"/>
        <item x="610"/>
        <item x="609"/>
        <item x="578"/>
        <item x="612"/>
        <item x="611"/>
        <item x="579"/>
        <item x="608"/>
        <item x="582"/>
        <item x="580"/>
        <item x="581"/>
        <item x="613"/>
        <item x="627"/>
        <item x="584"/>
        <item x="583"/>
        <item x="626"/>
        <item x="614"/>
        <item x="615"/>
        <item x="585"/>
        <item x="623"/>
        <item x="588"/>
        <item x="616"/>
        <item x="618"/>
        <item x="595"/>
        <item x="586"/>
        <item x="607"/>
        <item x="594"/>
        <item x="587"/>
        <item x="632"/>
        <item x="617"/>
        <item x="625"/>
        <item x="624"/>
        <item x="596"/>
        <item x="619"/>
        <item x="606"/>
        <item x="589"/>
        <item x="605"/>
        <item x="628"/>
        <item x="590"/>
        <item x="591"/>
        <item x="629"/>
        <item x="631"/>
        <item x="630"/>
        <item x="622"/>
        <item x="592"/>
        <item x="620"/>
        <item x="597"/>
        <item x="633"/>
        <item x="621"/>
        <item x="603"/>
        <item x="593"/>
        <item x="604"/>
        <item x="598"/>
        <item x="599"/>
        <item x="600"/>
        <item x="634"/>
        <item x="635"/>
        <item x="636"/>
        <item x="602"/>
        <item x="601"/>
      </items>
    </pivotField>
    <pivotField compact="0" outline="0" showAll="0"/>
    <pivotField compact="0" outline="0" showAll="0"/>
  </pivotFields>
  <rowFields count="2">
    <field x="1"/>
    <field x="2"/>
  </rowFields>
  <rowItems count="6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 t="grand">
      <x/>
    </i>
  </rowItems>
  <colItems count="1">
    <i/>
  </colItems>
  <formats count="671">
    <format dxfId="1366">
      <pivotArea type="all" dataOnly="0" outline="0" fieldPosition="0"/>
    </format>
    <format dxfId="1365">
      <pivotArea outline="0" collapsedLevelsAreSubtotals="1" fieldPosition="0"/>
    </format>
    <format dxfId="1364">
      <pivotArea dataOnly="0" labelOnly="1" grandRow="1" outline="0" fieldPosition="0"/>
    </format>
    <format dxfId="1358">
      <pivotArea field="1" type="button" dataOnly="0" labelOnly="1" outline="0" axis="axisRow" fieldPosition="0"/>
    </format>
    <format dxfId="1357">
      <pivotArea field="2" type="button" dataOnly="0" labelOnly="1" outline="0" axis="axisRow" fieldPosition="1"/>
    </format>
    <format dxfId="1356">
      <pivotArea type="all" dataOnly="0" outline="0" fieldPosition="0"/>
    </format>
    <format dxfId="1355">
      <pivotArea field="2" type="button" dataOnly="0" labelOnly="1" outline="0" axis="axisRow" fieldPosition="1"/>
    </format>
    <format dxfId="1354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353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352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351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350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349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348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347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346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345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344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343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1342">
      <pivotArea dataOnly="0" labelOnly="1" outline="0" fieldPosition="0">
        <references count="1">
          <reference field="1" count="49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</reference>
        </references>
      </pivotArea>
    </format>
    <format dxfId="1341">
      <pivotArea field="1" type="button" dataOnly="0" labelOnly="1" outline="0" axis="axisRow" fieldPosition="0"/>
    </format>
    <format dxfId="1340">
      <pivotArea dataOnly="0" labelOnly="1" outline="0" fieldPosition="0">
        <references count="1">
          <reference field="1" count="1">
            <x v="0"/>
          </reference>
        </references>
      </pivotArea>
    </format>
    <format dxfId="1339">
      <pivotArea dataOnly="0" labelOnly="1" outline="0" fieldPosition="0">
        <references count="1">
          <reference field="1" count="1">
            <x v="1"/>
          </reference>
        </references>
      </pivotArea>
    </format>
    <format dxfId="1338">
      <pivotArea dataOnly="0" labelOnly="1" outline="0" fieldPosition="0">
        <references count="1">
          <reference field="1" count="1">
            <x v="2"/>
          </reference>
        </references>
      </pivotArea>
    </format>
    <format dxfId="1337">
      <pivotArea dataOnly="0" labelOnly="1" outline="0" fieldPosition="0">
        <references count="1">
          <reference field="1" count="1">
            <x v="3"/>
          </reference>
        </references>
      </pivotArea>
    </format>
    <format dxfId="1336">
      <pivotArea dataOnly="0" labelOnly="1" outline="0" fieldPosition="0">
        <references count="1">
          <reference field="1" count="1">
            <x v="4"/>
          </reference>
        </references>
      </pivotArea>
    </format>
    <format dxfId="1335">
      <pivotArea dataOnly="0" labelOnly="1" outline="0" fieldPosition="0">
        <references count="1">
          <reference field="1" count="1">
            <x v="5"/>
          </reference>
        </references>
      </pivotArea>
    </format>
    <format dxfId="1334">
      <pivotArea dataOnly="0" labelOnly="1" outline="0" fieldPosition="0">
        <references count="1">
          <reference field="1" count="1">
            <x v="6"/>
          </reference>
        </references>
      </pivotArea>
    </format>
    <format dxfId="1333">
      <pivotArea dataOnly="0" labelOnly="1" outline="0" fieldPosition="0">
        <references count="1">
          <reference field="1" count="1">
            <x v="7"/>
          </reference>
        </references>
      </pivotArea>
    </format>
    <format dxfId="1332">
      <pivotArea dataOnly="0" labelOnly="1" outline="0" fieldPosition="0">
        <references count="1">
          <reference field="1" count="1">
            <x v="8"/>
          </reference>
        </references>
      </pivotArea>
    </format>
    <format dxfId="1331">
      <pivotArea dataOnly="0" labelOnly="1" outline="0" fieldPosition="0">
        <references count="1">
          <reference field="1" count="1">
            <x v="9"/>
          </reference>
        </references>
      </pivotArea>
    </format>
    <format dxfId="1330">
      <pivotArea dataOnly="0" labelOnly="1" outline="0" fieldPosition="0">
        <references count="1">
          <reference field="1" count="1">
            <x v="10"/>
          </reference>
        </references>
      </pivotArea>
    </format>
    <format dxfId="1329">
      <pivotArea dataOnly="0" labelOnly="1" outline="0" fieldPosition="0">
        <references count="1">
          <reference field="1" count="1">
            <x v="11"/>
          </reference>
        </references>
      </pivotArea>
    </format>
    <format dxfId="1328">
      <pivotArea dataOnly="0" labelOnly="1" outline="0" fieldPosition="0">
        <references count="1">
          <reference field="1" count="1">
            <x v="12"/>
          </reference>
        </references>
      </pivotArea>
    </format>
    <format dxfId="1327">
      <pivotArea dataOnly="0" labelOnly="1" outline="0" fieldPosition="0">
        <references count="1">
          <reference field="1" count="1">
            <x v="13"/>
          </reference>
        </references>
      </pivotArea>
    </format>
    <format dxfId="1326">
      <pivotArea dataOnly="0" labelOnly="1" outline="0" fieldPosition="0">
        <references count="1">
          <reference field="1" count="1">
            <x v="14"/>
          </reference>
        </references>
      </pivotArea>
    </format>
    <format dxfId="1325">
      <pivotArea dataOnly="0" labelOnly="1" outline="0" fieldPosition="0">
        <references count="1">
          <reference field="1" count="1">
            <x v="15"/>
          </reference>
        </references>
      </pivotArea>
    </format>
    <format dxfId="1324">
      <pivotArea dataOnly="0" labelOnly="1" outline="0" fieldPosition="0">
        <references count="1">
          <reference field="1" count="1">
            <x v="16"/>
          </reference>
        </references>
      </pivotArea>
    </format>
    <format dxfId="1323">
      <pivotArea dataOnly="0" labelOnly="1" outline="0" fieldPosition="0">
        <references count="1">
          <reference field="1" count="1">
            <x v="17"/>
          </reference>
        </references>
      </pivotArea>
    </format>
    <format dxfId="1322">
      <pivotArea dataOnly="0" labelOnly="1" outline="0" fieldPosition="0">
        <references count="1">
          <reference field="1" count="1">
            <x v="18"/>
          </reference>
        </references>
      </pivotArea>
    </format>
    <format dxfId="1321">
      <pivotArea dataOnly="0" labelOnly="1" outline="0" fieldPosition="0">
        <references count="1">
          <reference field="1" count="1">
            <x v="19"/>
          </reference>
        </references>
      </pivotArea>
    </format>
    <format dxfId="1320">
      <pivotArea dataOnly="0" labelOnly="1" outline="0" fieldPosition="0">
        <references count="1">
          <reference field="1" count="1">
            <x v="20"/>
          </reference>
        </references>
      </pivotArea>
    </format>
    <format dxfId="1319">
      <pivotArea dataOnly="0" labelOnly="1" outline="0" fieldPosition="0">
        <references count="1">
          <reference field="1" count="1">
            <x v="21"/>
          </reference>
        </references>
      </pivotArea>
    </format>
    <format dxfId="1318">
      <pivotArea dataOnly="0" labelOnly="1" outline="0" fieldPosition="0">
        <references count="1">
          <reference field="1" count="1">
            <x v="22"/>
          </reference>
        </references>
      </pivotArea>
    </format>
    <format dxfId="1317">
      <pivotArea dataOnly="0" labelOnly="1" outline="0" fieldPosition="0">
        <references count="1">
          <reference field="1" count="1">
            <x v="23"/>
          </reference>
        </references>
      </pivotArea>
    </format>
    <format dxfId="1316">
      <pivotArea dataOnly="0" labelOnly="1" outline="0" fieldPosition="0">
        <references count="1">
          <reference field="1" count="1">
            <x v="24"/>
          </reference>
        </references>
      </pivotArea>
    </format>
    <format dxfId="1315">
      <pivotArea dataOnly="0" labelOnly="1" outline="0" fieldPosition="0">
        <references count="1">
          <reference field="1" count="1">
            <x v="25"/>
          </reference>
        </references>
      </pivotArea>
    </format>
    <format dxfId="1314">
      <pivotArea dataOnly="0" labelOnly="1" outline="0" fieldPosition="0">
        <references count="1">
          <reference field="1" count="1">
            <x v="26"/>
          </reference>
        </references>
      </pivotArea>
    </format>
    <format dxfId="1313">
      <pivotArea dataOnly="0" labelOnly="1" outline="0" fieldPosition="0">
        <references count="1">
          <reference field="1" count="1">
            <x v="27"/>
          </reference>
        </references>
      </pivotArea>
    </format>
    <format dxfId="1312">
      <pivotArea dataOnly="0" labelOnly="1" outline="0" fieldPosition="0">
        <references count="1">
          <reference field="1" count="1">
            <x v="28"/>
          </reference>
        </references>
      </pivotArea>
    </format>
    <format dxfId="1311">
      <pivotArea dataOnly="0" labelOnly="1" outline="0" fieldPosition="0">
        <references count="1">
          <reference field="1" count="1">
            <x v="29"/>
          </reference>
        </references>
      </pivotArea>
    </format>
    <format dxfId="1310">
      <pivotArea dataOnly="0" labelOnly="1" outline="0" fieldPosition="0">
        <references count="1">
          <reference field="1" count="1">
            <x v="30"/>
          </reference>
        </references>
      </pivotArea>
    </format>
    <format dxfId="1309">
      <pivotArea dataOnly="0" labelOnly="1" outline="0" fieldPosition="0">
        <references count="1">
          <reference field="1" count="1">
            <x v="31"/>
          </reference>
        </references>
      </pivotArea>
    </format>
    <format dxfId="1308">
      <pivotArea dataOnly="0" labelOnly="1" outline="0" fieldPosition="0">
        <references count="1">
          <reference field="1" count="1">
            <x v="32"/>
          </reference>
        </references>
      </pivotArea>
    </format>
    <format dxfId="1307">
      <pivotArea dataOnly="0" labelOnly="1" outline="0" fieldPosition="0">
        <references count="1">
          <reference field="1" count="1">
            <x v="33"/>
          </reference>
        </references>
      </pivotArea>
    </format>
    <format dxfId="1306">
      <pivotArea dataOnly="0" labelOnly="1" outline="0" fieldPosition="0">
        <references count="1">
          <reference field="1" count="1">
            <x v="34"/>
          </reference>
        </references>
      </pivotArea>
    </format>
    <format dxfId="1305">
      <pivotArea dataOnly="0" labelOnly="1" outline="0" fieldPosition="0">
        <references count="1">
          <reference field="1" count="1">
            <x v="35"/>
          </reference>
        </references>
      </pivotArea>
    </format>
    <format dxfId="1304">
      <pivotArea dataOnly="0" labelOnly="1" outline="0" fieldPosition="0">
        <references count="1">
          <reference field="1" count="1">
            <x v="36"/>
          </reference>
        </references>
      </pivotArea>
    </format>
    <format dxfId="1303">
      <pivotArea dataOnly="0" labelOnly="1" outline="0" fieldPosition="0">
        <references count="1">
          <reference field="1" count="1">
            <x v="37"/>
          </reference>
        </references>
      </pivotArea>
    </format>
    <format dxfId="1302">
      <pivotArea dataOnly="0" labelOnly="1" outline="0" fieldPosition="0">
        <references count="1">
          <reference field="1" count="1">
            <x v="38"/>
          </reference>
        </references>
      </pivotArea>
    </format>
    <format dxfId="1301">
      <pivotArea dataOnly="0" labelOnly="1" outline="0" fieldPosition="0">
        <references count="1">
          <reference field="1" count="1">
            <x v="39"/>
          </reference>
        </references>
      </pivotArea>
    </format>
    <format dxfId="1300">
      <pivotArea dataOnly="0" labelOnly="1" outline="0" fieldPosition="0">
        <references count="1">
          <reference field="1" count="1">
            <x v="40"/>
          </reference>
        </references>
      </pivotArea>
    </format>
    <format dxfId="1299">
      <pivotArea dataOnly="0" labelOnly="1" outline="0" fieldPosition="0">
        <references count="1">
          <reference field="1" count="1">
            <x v="41"/>
          </reference>
        </references>
      </pivotArea>
    </format>
    <format dxfId="1298">
      <pivotArea dataOnly="0" labelOnly="1" outline="0" fieldPosition="0">
        <references count="1">
          <reference field="1" count="1">
            <x v="42"/>
          </reference>
        </references>
      </pivotArea>
    </format>
    <format dxfId="1297">
      <pivotArea dataOnly="0" labelOnly="1" outline="0" fieldPosition="0">
        <references count="1">
          <reference field="1" count="1">
            <x v="43"/>
          </reference>
        </references>
      </pivotArea>
    </format>
    <format dxfId="1296">
      <pivotArea dataOnly="0" labelOnly="1" outline="0" fieldPosition="0">
        <references count="1">
          <reference field="1" count="1">
            <x v="44"/>
          </reference>
        </references>
      </pivotArea>
    </format>
    <format dxfId="1295">
      <pivotArea dataOnly="0" labelOnly="1" outline="0" fieldPosition="0">
        <references count="1">
          <reference field="1" count="1">
            <x v="45"/>
          </reference>
        </references>
      </pivotArea>
    </format>
    <format dxfId="1294">
      <pivotArea dataOnly="0" labelOnly="1" outline="0" fieldPosition="0">
        <references count="1">
          <reference field="1" count="1">
            <x v="46"/>
          </reference>
        </references>
      </pivotArea>
    </format>
    <format dxfId="1293">
      <pivotArea dataOnly="0" labelOnly="1" outline="0" fieldPosition="0">
        <references count="1">
          <reference field="1" count="1">
            <x v="47"/>
          </reference>
        </references>
      </pivotArea>
    </format>
    <format dxfId="1292">
      <pivotArea dataOnly="0" labelOnly="1" outline="0" fieldPosition="0">
        <references count="1">
          <reference field="1" count="1">
            <x v="48"/>
          </reference>
        </references>
      </pivotArea>
    </format>
    <format dxfId="1291">
      <pivotArea dataOnly="0" labelOnly="1" outline="0" fieldPosition="0">
        <references count="1">
          <reference field="1" count="1">
            <x v="49"/>
          </reference>
        </references>
      </pivotArea>
    </format>
    <format dxfId="1290">
      <pivotArea dataOnly="0" labelOnly="1" outline="0" fieldPosition="0">
        <references count="1">
          <reference field="1" count="1">
            <x v="50"/>
          </reference>
        </references>
      </pivotArea>
    </format>
    <format dxfId="1289">
      <pivotArea dataOnly="0" labelOnly="1" outline="0" fieldPosition="0">
        <references count="1">
          <reference field="1" count="1">
            <x v="51"/>
          </reference>
        </references>
      </pivotArea>
    </format>
    <format dxfId="1288">
      <pivotArea dataOnly="0" labelOnly="1" outline="0" fieldPosition="0">
        <references count="1">
          <reference field="1" count="1">
            <x v="52"/>
          </reference>
        </references>
      </pivotArea>
    </format>
    <format dxfId="1287">
      <pivotArea dataOnly="0" labelOnly="1" outline="0" fieldPosition="0">
        <references count="1">
          <reference field="1" count="1">
            <x v="53"/>
          </reference>
        </references>
      </pivotArea>
    </format>
    <format dxfId="1286">
      <pivotArea dataOnly="0" labelOnly="1" outline="0" fieldPosition="0">
        <references count="1">
          <reference field="1" count="1">
            <x v="54"/>
          </reference>
        </references>
      </pivotArea>
    </format>
    <format dxfId="1285">
      <pivotArea dataOnly="0" labelOnly="1" outline="0" fieldPosition="0">
        <references count="1">
          <reference field="1" count="1">
            <x v="55"/>
          </reference>
        </references>
      </pivotArea>
    </format>
    <format dxfId="1284">
      <pivotArea dataOnly="0" labelOnly="1" outline="0" fieldPosition="0">
        <references count="1">
          <reference field="1" count="1">
            <x v="56"/>
          </reference>
        </references>
      </pivotArea>
    </format>
    <format dxfId="1283">
      <pivotArea dataOnly="0" labelOnly="1" outline="0" fieldPosition="0">
        <references count="1">
          <reference field="1" count="1">
            <x v="57"/>
          </reference>
        </references>
      </pivotArea>
    </format>
    <format dxfId="1282">
      <pivotArea dataOnly="0" labelOnly="1" outline="0" fieldPosition="0">
        <references count="1">
          <reference field="1" count="1">
            <x v="58"/>
          </reference>
        </references>
      </pivotArea>
    </format>
    <format dxfId="1281">
      <pivotArea dataOnly="0" labelOnly="1" outline="0" fieldPosition="0">
        <references count="1">
          <reference field="1" count="1">
            <x v="59"/>
          </reference>
        </references>
      </pivotArea>
    </format>
    <format dxfId="1280">
      <pivotArea dataOnly="0" labelOnly="1" outline="0" fieldPosition="0">
        <references count="1">
          <reference field="1" count="1">
            <x v="60"/>
          </reference>
        </references>
      </pivotArea>
    </format>
    <format dxfId="1279">
      <pivotArea dataOnly="0" labelOnly="1" outline="0" fieldPosition="0">
        <references count="1">
          <reference field="1" count="1">
            <x v="61"/>
          </reference>
        </references>
      </pivotArea>
    </format>
    <format dxfId="1278">
      <pivotArea dataOnly="0" labelOnly="1" outline="0" fieldPosition="0">
        <references count="1">
          <reference field="1" count="1">
            <x v="62"/>
          </reference>
        </references>
      </pivotArea>
    </format>
    <format dxfId="1277">
      <pivotArea dataOnly="0" labelOnly="1" outline="0" fieldPosition="0">
        <references count="1">
          <reference field="1" count="1">
            <x v="63"/>
          </reference>
        </references>
      </pivotArea>
    </format>
    <format dxfId="1276">
      <pivotArea dataOnly="0" labelOnly="1" outline="0" fieldPosition="0">
        <references count="1">
          <reference field="1" count="1">
            <x v="64"/>
          </reference>
        </references>
      </pivotArea>
    </format>
    <format dxfId="1275">
      <pivotArea dataOnly="0" labelOnly="1" outline="0" fieldPosition="0">
        <references count="1">
          <reference field="1" count="1">
            <x v="65"/>
          </reference>
        </references>
      </pivotArea>
    </format>
    <format dxfId="1274">
      <pivotArea dataOnly="0" labelOnly="1" outline="0" fieldPosition="0">
        <references count="1">
          <reference field="1" count="1">
            <x v="66"/>
          </reference>
        </references>
      </pivotArea>
    </format>
    <format dxfId="1273">
      <pivotArea dataOnly="0" labelOnly="1" outline="0" fieldPosition="0">
        <references count="1">
          <reference field="1" count="1">
            <x v="67"/>
          </reference>
        </references>
      </pivotArea>
    </format>
    <format dxfId="1272">
      <pivotArea dataOnly="0" labelOnly="1" outline="0" fieldPosition="0">
        <references count="1">
          <reference field="1" count="1">
            <x v="68"/>
          </reference>
        </references>
      </pivotArea>
    </format>
    <format dxfId="1271">
      <pivotArea dataOnly="0" labelOnly="1" outline="0" fieldPosition="0">
        <references count="1">
          <reference field="1" count="1">
            <x v="69"/>
          </reference>
        </references>
      </pivotArea>
    </format>
    <format dxfId="1270">
      <pivotArea dataOnly="0" labelOnly="1" outline="0" fieldPosition="0">
        <references count="1">
          <reference field="1" count="1">
            <x v="70"/>
          </reference>
        </references>
      </pivotArea>
    </format>
    <format dxfId="1269">
      <pivotArea dataOnly="0" labelOnly="1" outline="0" fieldPosition="0">
        <references count="1">
          <reference field="1" count="1">
            <x v="71"/>
          </reference>
        </references>
      </pivotArea>
    </format>
    <format dxfId="1268">
      <pivotArea dataOnly="0" labelOnly="1" outline="0" fieldPosition="0">
        <references count="1">
          <reference field="1" count="1">
            <x v="72"/>
          </reference>
        </references>
      </pivotArea>
    </format>
    <format dxfId="1267">
      <pivotArea dataOnly="0" labelOnly="1" outline="0" fieldPosition="0">
        <references count="1">
          <reference field="1" count="1">
            <x v="73"/>
          </reference>
        </references>
      </pivotArea>
    </format>
    <format dxfId="1266">
      <pivotArea dataOnly="0" labelOnly="1" outline="0" fieldPosition="0">
        <references count="1">
          <reference field="1" count="1">
            <x v="74"/>
          </reference>
        </references>
      </pivotArea>
    </format>
    <format dxfId="1265">
      <pivotArea dataOnly="0" labelOnly="1" outline="0" fieldPosition="0">
        <references count="1">
          <reference field="1" count="1">
            <x v="75"/>
          </reference>
        </references>
      </pivotArea>
    </format>
    <format dxfId="1264">
      <pivotArea dataOnly="0" labelOnly="1" outline="0" fieldPosition="0">
        <references count="1">
          <reference field="1" count="1">
            <x v="76"/>
          </reference>
        </references>
      </pivotArea>
    </format>
    <format dxfId="1263">
      <pivotArea dataOnly="0" labelOnly="1" outline="0" fieldPosition="0">
        <references count="1">
          <reference field="1" count="1">
            <x v="77"/>
          </reference>
        </references>
      </pivotArea>
    </format>
    <format dxfId="1262">
      <pivotArea dataOnly="0" labelOnly="1" outline="0" fieldPosition="0">
        <references count="1">
          <reference field="1" count="1">
            <x v="78"/>
          </reference>
        </references>
      </pivotArea>
    </format>
    <format dxfId="1261">
      <pivotArea dataOnly="0" labelOnly="1" outline="0" fieldPosition="0">
        <references count="1">
          <reference field="1" count="1">
            <x v="79"/>
          </reference>
        </references>
      </pivotArea>
    </format>
    <format dxfId="1260">
      <pivotArea dataOnly="0" labelOnly="1" outline="0" fieldPosition="0">
        <references count="1">
          <reference field="1" count="1">
            <x v="80"/>
          </reference>
        </references>
      </pivotArea>
    </format>
    <format dxfId="1259">
      <pivotArea dataOnly="0" labelOnly="1" outline="0" fieldPosition="0">
        <references count="1">
          <reference field="1" count="1">
            <x v="81"/>
          </reference>
        </references>
      </pivotArea>
    </format>
    <format dxfId="1258">
      <pivotArea dataOnly="0" labelOnly="1" outline="0" fieldPosition="0">
        <references count="1">
          <reference field="1" count="1">
            <x v="82"/>
          </reference>
        </references>
      </pivotArea>
    </format>
    <format dxfId="1257">
      <pivotArea dataOnly="0" labelOnly="1" outline="0" fieldPosition="0">
        <references count="1">
          <reference field="1" count="1">
            <x v="83"/>
          </reference>
        </references>
      </pivotArea>
    </format>
    <format dxfId="1256">
      <pivotArea dataOnly="0" labelOnly="1" outline="0" fieldPosition="0">
        <references count="1">
          <reference field="1" count="1">
            <x v="84"/>
          </reference>
        </references>
      </pivotArea>
    </format>
    <format dxfId="1255">
      <pivotArea dataOnly="0" labelOnly="1" outline="0" fieldPosition="0">
        <references count="1">
          <reference field="1" count="1">
            <x v="85"/>
          </reference>
        </references>
      </pivotArea>
    </format>
    <format dxfId="1254">
      <pivotArea dataOnly="0" labelOnly="1" outline="0" fieldPosition="0">
        <references count="1">
          <reference field="1" count="1">
            <x v="86"/>
          </reference>
        </references>
      </pivotArea>
    </format>
    <format dxfId="1253">
      <pivotArea dataOnly="0" labelOnly="1" outline="0" fieldPosition="0">
        <references count="1">
          <reference field="1" count="1">
            <x v="87"/>
          </reference>
        </references>
      </pivotArea>
    </format>
    <format dxfId="1252">
      <pivotArea dataOnly="0" labelOnly="1" outline="0" fieldPosition="0">
        <references count="1">
          <reference field="1" count="1">
            <x v="88"/>
          </reference>
        </references>
      </pivotArea>
    </format>
    <format dxfId="1251">
      <pivotArea dataOnly="0" labelOnly="1" outline="0" fieldPosition="0">
        <references count="1">
          <reference field="1" count="1">
            <x v="89"/>
          </reference>
        </references>
      </pivotArea>
    </format>
    <format dxfId="1250">
      <pivotArea dataOnly="0" labelOnly="1" outline="0" fieldPosition="0">
        <references count="1">
          <reference field="1" count="1">
            <x v="90"/>
          </reference>
        </references>
      </pivotArea>
    </format>
    <format dxfId="1249">
      <pivotArea dataOnly="0" labelOnly="1" outline="0" fieldPosition="0">
        <references count="1">
          <reference field="1" count="1">
            <x v="91"/>
          </reference>
        </references>
      </pivotArea>
    </format>
    <format dxfId="1248">
      <pivotArea dataOnly="0" labelOnly="1" outline="0" fieldPosition="0">
        <references count="1">
          <reference field="1" count="1">
            <x v="92"/>
          </reference>
        </references>
      </pivotArea>
    </format>
    <format dxfId="1247">
      <pivotArea dataOnly="0" labelOnly="1" outline="0" fieldPosition="0">
        <references count="1">
          <reference field="1" count="1">
            <x v="93"/>
          </reference>
        </references>
      </pivotArea>
    </format>
    <format dxfId="1246">
      <pivotArea dataOnly="0" labelOnly="1" outline="0" fieldPosition="0">
        <references count="1">
          <reference field="1" count="1">
            <x v="94"/>
          </reference>
        </references>
      </pivotArea>
    </format>
    <format dxfId="1245">
      <pivotArea dataOnly="0" labelOnly="1" outline="0" fieldPosition="0">
        <references count="1">
          <reference field="1" count="1">
            <x v="95"/>
          </reference>
        </references>
      </pivotArea>
    </format>
    <format dxfId="1244">
      <pivotArea dataOnly="0" labelOnly="1" outline="0" fieldPosition="0">
        <references count="1">
          <reference field="1" count="1">
            <x v="96"/>
          </reference>
        </references>
      </pivotArea>
    </format>
    <format dxfId="1243">
      <pivotArea dataOnly="0" labelOnly="1" outline="0" fieldPosition="0">
        <references count="1">
          <reference field="1" count="1">
            <x v="97"/>
          </reference>
        </references>
      </pivotArea>
    </format>
    <format dxfId="1242">
      <pivotArea dataOnly="0" labelOnly="1" outline="0" fieldPosition="0">
        <references count="1">
          <reference field="1" count="1">
            <x v="98"/>
          </reference>
        </references>
      </pivotArea>
    </format>
    <format dxfId="1241">
      <pivotArea dataOnly="0" labelOnly="1" outline="0" fieldPosition="0">
        <references count="1">
          <reference field="1" count="1">
            <x v="99"/>
          </reference>
        </references>
      </pivotArea>
    </format>
    <format dxfId="1240">
      <pivotArea dataOnly="0" labelOnly="1" outline="0" fieldPosition="0">
        <references count="1">
          <reference field="1" count="1">
            <x v="100"/>
          </reference>
        </references>
      </pivotArea>
    </format>
    <format dxfId="1239">
      <pivotArea dataOnly="0" labelOnly="1" outline="0" fieldPosition="0">
        <references count="1">
          <reference field="1" count="1">
            <x v="101"/>
          </reference>
        </references>
      </pivotArea>
    </format>
    <format dxfId="1238">
      <pivotArea dataOnly="0" labelOnly="1" outline="0" fieldPosition="0">
        <references count="1">
          <reference field="1" count="1">
            <x v="102"/>
          </reference>
        </references>
      </pivotArea>
    </format>
    <format dxfId="1237">
      <pivotArea dataOnly="0" labelOnly="1" outline="0" fieldPosition="0">
        <references count="1">
          <reference field="1" count="1">
            <x v="103"/>
          </reference>
        </references>
      </pivotArea>
    </format>
    <format dxfId="1236">
      <pivotArea dataOnly="0" labelOnly="1" outline="0" fieldPosition="0">
        <references count="1">
          <reference field="1" count="1">
            <x v="104"/>
          </reference>
        </references>
      </pivotArea>
    </format>
    <format dxfId="1235">
      <pivotArea dataOnly="0" labelOnly="1" outline="0" fieldPosition="0">
        <references count="1">
          <reference field="1" count="1">
            <x v="105"/>
          </reference>
        </references>
      </pivotArea>
    </format>
    <format dxfId="1234">
      <pivotArea dataOnly="0" labelOnly="1" outline="0" fieldPosition="0">
        <references count="1">
          <reference field="1" count="1">
            <x v="106"/>
          </reference>
        </references>
      </pivotArea>
    </format>
    <format dxfId="1233">
      <pivotArea dataOnly="0" labelOnly="1" outline="0" fieldPosition="0">
        <references count="1">
          <reference field="1" count="1">
            <x v="107"/>
          </reference>
        </references>
      </pivotArea>
    </format>
    <format dxfId="1232">
      <pivotArea dataOnly="0" labelOnly="1" outline="0" fieldPosition="0">
        <references count="1">
          <reference field="1" count="1">
            <x v="108"/>
          </reference>
        </references>
      </pivotArea>
    </format>
    <format dxfId="1231">
      <pivotArea dataOnly="0" labelOnly="1" outline="0" fieldPosition="0">
        <references count="1">
          <reference field="1" count="1">
            <x v="109"/>
          </reference>
        </references>
      </pivotArea>
    </format>
    <format dxfId="1230">
      <pivotArea dataOnly="0" labelOnly="1" outline="0" fieldPosition="0">
        <references count="1">
          <reference field="1" count="1">
            <x v="110"/>
          </reference>
        </references>
      </pivotArea>
    </format>
    <format dxfId="1229">
      <pivotArea dataOnly="0" labelOnly="1" outline="0" fieldPosition="0">
        <references count="1">
          <reference field="1" count="1">
            <x v="111"/>
          </reference>
        </references>
      </pivotArea>
    </format>
    <format dxfId="1228">
      <pivotArea dataOnly="0" labelOnly="1" outline="0" fieldPosition="0">
        <references count="1">
          <reference field="1" count="1">
            <x v="112"/>
          </reference>
        </references>
      </pivotArea>
    </format>
    <format dxfId="1227">
      <pivotArea dataOnly="0" labelOnly="1" outline="0" fieldPosition="0">
        <references count="1">
          <reference field="1" count="1">
            <x v="113"/>
          </reference>
        </references>
      </pivotArea>
    </format>
    <format dxfId="1226">
      <pivotArea dataOnly="0" labelOnly="1" outline="0" fieldPosition="0">
        <references count="1">
          <reference field="1" count="1">
            <x v="114"/>
          </reference>
        </references>
      </pivotArea>
    </format>
    <format dxfId="1225">
      <pivotArea dataOnly="0" labelOnly="1" outline="0" fieldPosition="0">
        <references count="1">
          <reference field="1" count="1">
            <x v="115"/>
          </reference>
        </references>
      </pivotArea>
    </format>
    <format dxfId="1224">
      <pivotArea dataOnly="0" labelOnly="1" outline="0" fieldPosition="0">
        <references count="1">
          <reference field="1" count="1">
            <x v="116"/>
          </reference>
        </references>
      </pivotArea>
    </format>
    <format dxfId="1223">
      <pivotArea dataOnly="0" labelOnly="1" outline="0" fieldPosition="0">
        <references count="1">
          <reference field="1" count="1">
            <x v="117"/>
          </reference>
        </references>
      </pivotArea>
    </format>
    <format dxfId="1222">
      <pivotArea dataOnly="0" labelOnly="1" outline="0" fieldPosition="0">
        <references count="1">
          <reference field="1" count="1">
            <x v="118"/>
          </reference>
        </references>
      </pivotArea>
    </format>
    <format dxfId="1221">
      <pivotArea dataOnly="0" labelOnly="1" outline="0" fieldPosition="0">
        <references count="1">
          <reference field="1" count="1">
            <x v="119"/>
          </reference>
        </references>
      </pivotArea>
    </format>
    <format dxfId="1220">
      <pivotArea dataOnly="0" labelOnly="1" outline="0" fieldPosition="0">
        <references count="1">
          <reference field="1" count="1">
            <x v="120"/>
          </reference>
        </references>
      </pivotArea>
    </format>
    <format dxfId="1219">
      <pivotArea dataOnly="0" labelOnly="1" outline="0" fieldPosition="0">
        <references count="1">
          <reference field="1" count="1">
            <x v="121"/>
          </reference>
        </references>
      </pivotArea>
    </format>
    <format dxfId="1218">
      <pivotArea dataOnly="0" labelOnly="1" outline="0" fieldPosition="0">
        <references count="1">
          <reference field="1" count="1">
            <x v="122"/>
          </reference>
        </references>
      </pivotArea>
    </format>
    <format dxfId="1217">
      <pivotArea dataOnly="0" labelOnly="1" outline="0" fieldPosition="0">
        <references count="1">
          <reference field="1" count="1">
            <x v="123"/>
          </reference>
        </references>
      </pivotArea>
    </format>
    <format dxfId="1216">
      <pivotArea dataOnly="0" labelOnly="1" outline="0" fieldPosition="0">
        <references count="1">
          <reference field="1" count="1">
            <x v="124"/>
          </reference>
        </references>
      </pivotArea>
    </format>
    <format dxfId="1215">
      <pivotArea dataOnly="0" labelOnly="1" outline="0" fieldPosition="0">
        <references count="1">
          <reference field="1" count="1">
            <x v="125"/>
          </reference>
        </references>
      </pivotArea>
    </format>
    <format dxfId="1214">
      <pivotArea dataOnly="0" labelOnly="1" outline="0" fieldPosition="0">
        <references count="1">
          <reference field="1" count="1">
            <x v="126"/>
          </reference>
        </references>
      </pivotArea>
    </format>
    <format dxfId="1213">
      <pivotArea dataOnly="0" labelOnly="1" outline="0" fieldPosition="0">
        <references count="1">
          <reference field="1" count="1">
            <x v="127"/>
          </reference>
        </references>
      </pivotArea>
    </format>
    <format dxfId="1212">
      <pivotArea dataOnly="0" labelOnly="1" outline="0" fieldPosition="0">
        <references count="1">
          <reference field="1" count="1">
            <x v="128"/>
          </reference>
        </references>
      </pivotArea>
    </format>
    <format dxfId="1211">
      <pivotArea dataOnly="0" labelOnly="1" outline="0" fieldPosition="0">
        <references count="1">
          <reference field="1" count="1">
            <x v="129"/>
          </reference>
        </references>
      </pivotArea>
    </format>
    <format dxfId="1210">
      <pivotArea dataOnly="0" labelOnly="1" outline="0" fieldPosition="0">
        <references count="1">
          <reference field="1" count="1">
            <x v="130"/>
          </reference>
        </references>
      </pivotArea>
    </format>
    <format dxfId="1209">
      <pivotArea dataOnly="0" labelOnly="1" outline="0" fieldPosition="0">
        <references count="1">
          <reference field="1" count="1">
            <x v="131"/>
          </reference>
        </references>
      </pivotArea>
    </format>
    <format dxfId="1208">
      <pivotArea dataOnly="0" labelOnly="1" outline="0" fieldPosition="0">
        <references count="1">
          <reference field="1" count="1">
            <x v="132"/>
          </reference>
        </references>
      </pivotArea>
    </format>
    <format dxfId="1207">
      <pivotArea dataOnly="0" labelOnly="1" outline="0" fieldPosition="0">
        <references count="1">
          <reference field="1" count="1">
            <x v="133"/>
          </reference>
        </references>
      </pivotArea>
    </format>
    <format dxfId="1206">
      <pivotArea dataOnly="0" labelOnly="1" outline="0" fieldPosition="0">
        <references count="1">
          <reference field="1" count="1">
            <x v="134"/>
          </reference>
        </references>
      </pivotArea>
    </format>
    <format dxfId="1205">
      <pivotArea dataOnly="0" labelOnly="1" outline="0" fieldPosition="0">
        <references count="1">
          <reference field="1" count="1">
            <x v="135"/>
          </reference>
        </references>
      </pivotArea>
    </format>
    <format dxfId="1204">
      <pivotArea dataOnly="0" labelOnly="1" outline="0" fieldPosition="0">
        <references count="1">
          <reference field="1" count="1">
            <x v="136"/>
          </reference>
        </references>
      </pivotArea>
    </format>
    <format dxfId="1203">
      <pivotArea dataOnly="0" labelOnly="1" outline="0" fieldPosition="0">
        <references count="1">
          <reference field="1" count="1">
            <x v="137"/>
          </reference>
        </references>
      </pivotArea>
    </format>
    <format dxfId="1202">
      <pivotArea dataOnly="0" labelOnly="1" outline="0" fieldPosition="0">
        <references count="1">
          <reference field="1" count="1">
            <x v="138"/>
          </reference>
        </references>
      </pivotArea>
    </format>
    <format dxfId="1201">
      <pivotArea dataOnly="0" labelOnly="1" outline="0" fieldPosition="0">
        <references count="1">
          <reference field="1" count="1">
            <x v="139"/>
          </reference>
        </references>
      </pivotArea>
    </format>
    <format dxfId="1200">
      <pivotArea dataOnly="0" labelOnly="1" outline="0" fieldPosition="0">
        <references count="1">
          <reference field="1" count="1">
            <x v="140"/>
          </reference>
        </references>
      </pivotArea>
    </format>
    <format dxfId="1199">
      <pivotArea dataOnly="0" labelOnly="1" outline="0" fieldPosition="0">
        <references count="1">
          <reference field="1" count="1">
            <x v="141"/>
          </reference>
        </references>
      </pivotArea>
    </format>
    <format dxfId="1198">
      <pivotArea dataOnly="0" labelOnly="1" outline="0" fieldPosition="0">
        <references count="1">
          <reference field="1" count="1">
            <x v="142"/>
          </reference>
        </references>
      </pivotArea>
    </format>
    <format dxfId="1197">
      <pivotArea dataOnly="0" labelOnly="1" outline="0" fieldPosition="0">
        <references count="1">
          <reference field="1" count="1">
            <x v="143"/>
          </reference>
        </references>
      </pivotArea>
    </format>
    <format dxfId="1196">
      <pivotArea dataOnly="0" labelOnly="1" outline="0" fieldPosition="0">
        <references count="1">
          <reference field="1" count="1">
            <x v="144"/>
          </reference>
        </references>
      </pivotArea>
    </format>
    <format dxfId="1195">
      <pivotArea dataOnly="0" labelOnly="1" outline="0" fieldPosition="0">
        <references count="1">
          <reference field="1" count="1">
            <x v="145"/>
          </reference>
        </references>
      </pivotArea>
    </format>
    <format dxfId="1194">
      <pivotArea dataOnly="0" labelOnly="1" outline="0" fieldPosition="0">
        <references count="1">
          <reference field="1" count="1">
            <x v="146"/>
          </reference>
        </references>
      </pivotArea>
    </format>
    <format dxfId="1193">
      <pivotArea dataOnly="0" labelOnly="1" outline="0" fieldPosition="0">
        <references count="1">
          <reference field="1" count="1">
            <x v="147"/>
          </reference>
        </references>
      </pivotArea>
    </format>
    <format dxfId="1192">
      <pivotArea dataOnly="0" labelOnly="1" outline="0" fieldPosition="0">
        <references count="1">
          <reference field="1" count="1">
            <x v="148"/>
          </reference>
        </references>
      </pivotArea>
    </format>
    <format dxfId="1191">
      <pivotArea dataOnly="0" labelOnly="1" outline="0" fieldPosition="0">
        <references count="1">
          <reference field="1" count="1">
            <x v="149"/>
          </reference>
        </references>
      </pivotArea>
    </format>
    <format dxfId="1190">
      <pivotArea dataOnly="0" labelOnly="1" outline="0" fieldPosition="0">
        <references count="1">
          <reference field="1" count="1">
            <x v="150"/>
          </reference>
        </references>
      </pivotArea>
    </format>
    <format dxfId="1189">
      <pivotArea dataOnly="0" labelOnly="1" outline="0" fieldPosition="0">
        <references count="1">
          <reference field="1" count="1">
            <x v="151"/>
          </reference>
        </references>
      </pivotArea>
    </format>
    <format dxfId="1188">
      <pivotArea dataOnly="0" labelOnly="1" outline="0" fieldPosition="0">
        <references count="1">
          <reference field="1" count="1">
            <x v="152"/>
          </reference>
        </references>
      </pivotArea>
    </format>
    <format dxfId="1187">
      <pivotArea dataOnly="0" labelOnly="1" outline="0" fieldPosition="0">
        <references count="1">
          <reference field="1" count="1">
            <x v="153"/>
          </reference>
        </references>
      </pivotArea>
    </format>
    <format dxfId="1186">
      <pivotArea dataOnly="0" labelOnly="1" outline="0" fieldPosition="0">
        <references count="1">
          <reference field="1" count="1">
            <x v="154"/>
          </reference>
        </references>
      </pivotArea>
    </format>
    <format dxfId="1185">
      <pivotArea dataOnly="0" labelOnly="1" outline="0" fieldPosition="0">
        <references count="1">
          <reference field="1" count="1">
            <x v="155"/>
          </reference>
        </references>
      </pivotArea>
    </format>
    <format dxfId="1184">
      <pivotArea dataOnly="0" labelOnly="1" outline="0" fieldPosition="0">
        <references count="1">
          <reference field="1" count="1">
            <x v="156"/>
          </reference>
        </references>
      </pivotArea>
    </format>
    <format dxfId="1183">
      <pivotArea dataOnly="0" labelOnly="1" outline="0" fieldPosition="0">
        <references count="1">
          <reference field="1" count="1">
            <x v="157"/>
          </reference>
        </references>
      </pivotArea>
    </format>
    <format dxfId="1182">
      <pivotArea dataOnly="0" labelOnly="1" outline="0" fieldPosition="0">
        <references count="1">
          <reference field="1" count="1">
            <x v="158"/>
          </reference>
        </references>
      </pivotArea>
    </format>
    <format dxfId="1181">
      <pivotArea dataOnly="0" labelOnly="1" outline="0" fieldPosition="0">
        <references count="1">
          <reference field="1" count="1">
            <x v="159"/>
          </reference>
        </references>
      </pivotArea>
    </format>
    <format dxfId="1180">
      <pivotArea dataOnly="0" labelOnly="1" outline="0" fieldPosition="0">
        <references count="1">
          <reference field="1" count="1">
            <x v="160"/>
          </reference>
        </references>
      </pivotArea>
    </format>
    <format dxfId="1179">
      <pivotArea dataOnly="0" labelOnly="1" outline="0" fieldPosition="0">
        <references count="1">
          <reference field="1" count="1">
            <x v="161"/>
          </reference>
        </references>
      </pivotArea>
    </format>
    <format dxfId="1178">
      <pivotArea dataOnly="0" labelOnly="1" outline="0" fieldPosition="0">
        <references count="1">
          <reference field="1" count="1">
            <x v="162"/>
          </reference>
        </references>
      </pivotArea>
    </format>
    <format dxfId="1177">
      <pivotArea dataOnly="0" labelOnly="1" outline="0" fieldPosition="0">
        <references count="1">
          <reference field="1" count="1">
            <x v="163"/>
          </reference>
        </references>
      </pivotArea>
    </format>
    <format dxfId="1176">
      <pivotArea dataOnly="0" labelOnly="1" outline="0" fieldPosition="0">
        <references count="1">
          <reference field="1" count="1">
            <x v="164"/>
          </reference>
        </references>
      </pivotArea>
    </format>
    <format dxfId="1175">
      <pivotArea dataOnly="0" labelOnly="1" outline="0" fieldPosition="0">
        <references count="1">
          <reference field="1" count="1">
            <x v="165"/>
          </reference>
        </references>
      </pivotArea>
    </format>
    <format dxfId="1174">
      <pivotArea dataOnly="0" labelOnly="1" outline="0" fieldPosition="0">
        <references count="1">
          <reference field="1" count="1">
            <x v="166"/>
          </reference>
        </references>
      </pivotArea>
    </format>
    <format dxfId="1173">
      <pivotArea dataOnly="0" labelOnly="1" outline="0" fieldPosition="0">
        <references count="1">
          <reference field="1" count="1">
            <x v="167"/>
          </reference>
        </references>
      </pivotArea>
    </format>
    <format dxfId="1172">
      <pivotArea dataOnly="0" labelOnly="1" outline="0" fieldPosition="0">
        <references count="1">
          <reference field="1" count="1">
            <x v="168"/>
          </reference>
        </references>
      </pivotArea>
    </format>
    <format dxfId="1171">
      <pivotArea dataOnly="0" labelOnly="1" outline="0" fieldPosition="0">
        <references count="1">
          <reference field="1" count="1">
            <x v="169"/>
          </reference>
        </references>
      </pivotArea>
    </format>
    <format dxfId="1170">
      <pivotArea dataOnly="0" labelOnly="1" outline="0" fieldPosition="0">
        <references count="1">
          <reference field="1" count="1">
            <x v="170"/>
          </reference>
        </references>
      </pivotArea>
    </format>
    <format dxfId="1169">
      <pivotArea dataOnly="0" labelOnly="1" outline="0" fieldPosition="0">
        <references count="1">
          <reference field="1" count="1">
            <x v="171"/>
          </reference>
        </references>
      </pivotArea>
    </format>
    <format dxfId="1168">
      <pivotArea dataOnly="0" labelOnly="1" outline="0" fieldPosition="0">
        <references count="1">
          <reference field="1" count="1">
            <x v="172"/>
          </reference>
        </references>
      </pivotArea>
    </format>
    <format dxfId="1167">
      <pivotArea dataOnly="0" labelOnly="1" outline="0" fieldPosition="0">
        <references count="1">
          <reference field="1" count="1">
            <x v="173"/>
          </reference>
        </references>
      </pivotArea>
    </format>
    <format dxfId="1166">
      <pivotArea dataOnly="0" labelOnly="1" outline="0" fieldPosition="0">
        <references count="1">
          <reference field="1" count="1">
            <x v="174"/>
          </reference>
        </references>
      </pivotArea>
    </format>
    <format dxfId="1165">
      <pivotArea dataOnly="0" labelOnly="1" outline="0" fieldPosition="0">
        <references count="1">
          <reference field="1" count="1">
            <x v="175"/>
          </reference>
        </references>
      </pivotArea>
    </format>
    <format dxfId="1164">
      <pivotArea dataOnly="0" labelOnly="1" outline="0" fieldPosition="0">
        <references count="1">
          <reference field="1" count="1">
            <x v="176"/>
          </reference>
        </references>
      </pivotArea>
    </format>
    <format dxfId="1163">
      <pivotArea dataOnly="0" labelOnly="1" outline="0" fieldPosition="0">
        <references count="1">
          <reference field="1" count="1">
            <x v="177"/>
          </reference>
        </references>
      </pivotArea>
    </format>
    <format dxfId="1162">
      <pivotArea dataOnly="0" labelOnly="1" outline="0" fieldPosition="0">
        <references count="1">
          <reference field="1" count="1">
            <x v="178"/>
          </reference>
        </references>
      </pivotArea>
    </format>
    <format dxfId="1161">
      <pivotArea dataOnly="0" labelOnly="1" outline="0" fieldPosition="0">
        <references count="1">
          <reference field="1" count="1">
            <x v="179"/>
          </reference>
        </references>
      </pivotArea>
    </format>
    <format dxfId="1160">
      <pivotArea dataOnly="0" labelOnly="1" outline="0" fieldPosition="0">
        <references count="1">
          <reference field="1" count="1">
            <x v="180"/>
          </reference>
        </references>
      </pivotArea>
    </format>
    <format dxfId="1159">
      <pivotArea dataOnly="0" labelOnly="1" outline="0" fieldPosition="0">
        <references count="1">
          <reference field="1" count="1">
            <x v="181"/>
          </reference>
        </references>
      </pivotArea>
    </format>
    <format dxfId="1158">
      <pivotArea dataOnly="0" labelOnly="1" outline="0" fieldPosition="0">
        <references count="1">
          <reference field="1" count="1">
            <x v="182"/>
          </reference>
        </references>
      </pivotArea>
    </format>
    <format dxfId="1157">
      <pivotArea dataOnly="0" labelOnly="1" outline="0" fieldPosition="0">
        <references count="1">
          <reference field="1" count="1">
            <x v="183"/>
          </reference>
        </references>
      </pivotArea>
    </format>
    <format dxfId="1156">
      <pivotArea dataOnly="0" labelOnly="1" outline="0" fieldPosition="0">
        <references count="1">
          <reference field="1" count="1">
            <x v="184"/>
          </reference>
        </references>
      </pivotArea>
    </format>
    <format dxfId="1155">
      <pivotArea dataOnly="0" labelOnly="1" outline="0" fieldPosition="0">
        <references count="1">
          <reference field="1" count="1">
            <x v="185"/>
          </reference>
        </references>
      </pivotArea>
    </format>
    <format dxfId="1154">
      <pivotArea dataOnly="0" labelOnly="1" outline="0" fieldPosition="0">
        <references count="1">
          <reference field="1" count="1">
            <x v="186"/>
          </reference>
        </references>
      </pivotArea>
    </format>
    <format dxfId="1153">
      <pivotArea dataOnly="0" labelOnly="1" outline="0" fieldPosition="0">
        <references count="1">
          <reference field="1" count="1">
            <x v="187"/>
          </reference>
        </references>
      </pivotArea>
    </format>
    <format dxfId="1152">
      <pivotArea dataOnly="0" labelOnly="1" outline="0" fieldPosition="0">
        <references count="1">
          <reference field="1" count="1">
            <x v="188"/>
          </reference>
        </references>
      </pivotArea>
    </format>
    <format dxfId="1151">
      <pivotArea dataOnly="0" labelOnly="1" outline="0" fieldPosition="0">
        <references count="1">
          <reference field="1" count="1">
            <x v="189"/>
          </reference>
        </references>
      </pivotArea>
    </format>
    <format dxfId="1150">
      <pivotArea dataOnly="0" labelOnly="1" outline="0" fieldPosition="0">
        <references count="1">
          <reference field="1" count="1">
            <x v="190"/>
          </reference>
        </references>
      </pivotArea>
    </format>
    <format dxfId="1149">
      <pivotArea dataOnly="0" labelOnly="1" outline="0" fieldPosition="0">
        <references count="1">
          <reference field="1" count="1">
            <x v="191"/>
          </reference>
        </references>
      </pivotArea>
    </format>
    <format dxfId="1148">
      <pivotArea dataOnly="0" labelOnly="1" outline="0" fieldPosition="0">
        <references count="1">
          <reference field="1" count="1">
            <x v="192"/>
          </reference>
        </references>
      </pivotArea>
    </format>
    <format dxfId="1147">
      <pivotArea dataOnly="0" labelOnly="1" outline="0" fieldPosition="0">
        <references count="1">
          <reference field="1" count="1">
            <x v="193"/>
          </reference>
        </references>
      </pivotArea>
    </format>
    <format dxfId="1146">
      <pivotArea dataOnly="0" labelOnly="1" outline="0" fieldPosition="0">
        <references count="1">
          <reference field="1" count="1">
            <x v="194"/>
          </reference>
        </references>
      </pivotArea>
    </format>
    <format dxfId="1145">
      <pivotArea dataOnly="0" labelOnly="1" outline="0" fieldPosition="0">
        <references count="1">
          <reference field="1" count="1">
            <x v="195"/>
          </reference>
        </references>
      </pivotArea>
    </format>
    <format dxfId="1144">
      <pivotArea dataOnly="0" labelOnly="1" outline="0" fieldPosition="0">
        <references count="1">
          <reference field="1" count="1">
            <x v="196"/>
          </reference>
        </references>
      </pivotArea>
    </format>
    <format dxfId="1143">
      <pivotArea dataOnly="0" labelOnly="1" outline="0" fieldPosition="0">
        <references count="1">
          <reference field="1" count="1">
            <x v="197"/>
          </reference>
        </references>
      </pivotArea>
    </format>
    <format dxfId="1142">
      <pivotArea dataOnly="0" labelOnly="1" outline="0" fieldPosition="0">
        <references count="1">
          <reference field="1" count="1">
            <x v="198"/>
          </reference>
        </references>
      </pivotArea>
    </format>
    <format dxfId="1141">
      <pivotArea dataOnly="0" labelOnly="1" outline="0" fieldPosition="0">
        <references count="1">
          <reference field="1" count="1">
            <x v="199"/>
          </reference>
        </references>
      </pivotArea>
    </format>
    <format dxfId="1140">
      <pivotArea dataOnly="0" labelOnly="1" outline="0" fieldPosition="0">
        <references count="1">
          <reference field="1" count="1">
            <x v="200"/>
          </reference>
        </references>
      </pivotArea>
    </format>
    <format dxfId="1139">
      <pivotArea dataOnly="0" labelOnly="1" outline="0" fieldPosition="0">
        <references count="1">
          <reference field="1" count="1">
            <x v="201"/>
          </reference>
        </references>
      </pivotArea>
    </format>
    <format dxfId="1138">
      <pivotArea dataOnly="0" labelOnly="1" outline="0" fieldPosition="0">
        <references count="1">
          <reference field="1" count="1">
            <x v="202"/>
          </reference>
        </references>
      </pivotArea>
    </format>
    <format dxfId="1137">
      <pivotArea dataOnly="0" labelOnly="1" outline="0" fieldPosition="0">
        <references count="1">
          <reference field="1" count="1">
            <x v="203"/>
          </reference>
        </references>
      </pivotArea>
    </format>
    <format dxfId="1136">
      <pivotArea dataOnly="0" labelOnly="1" outline="0" fieldPosition="0">
        <references count="1">
          <reference field="1" count="1">
            <x v="204"/>
          </reference>
        </references>
      </pivotArea>
    </format>
    <format dxfId="1135">
      <pivotArea dataOnly="0" labelOnly="1" outline="0" fieldPosition="0">
        <references count="1">
          <reference field="1" count="1">
            <x v="205"/>
          </reference>
        </references>
      </pivotArea>
    </format>
    <format dxfId="1134">
      <pivotArea dataOnly="0" labelOnly="1" outline="0" fieldPosition="0">
        <references count="1">
          <reference field="1" count="1">
            <x v="206"/>
          </reference>
        </references>
      </pivotArea>
    </format>
    <format dxfId="1133">
      <pivotArea dataOnly="0" labelOnly="1" outline="0" fieldPosition="0">
        <references count="1">
          <reference field="1" count="1">
            <x v="207"/>
          </reference>
        </references>
      </pivotArea>
    </format>
    <format dxfId="1132">
      <pivotArea dataOnly="0" labelOnly="1" outline="0" fieldPosition="0">
        <references count="1">
          <reference field="1" count="1">
            <x v="208"/>
          </reference>
        </references>
      </pivotArea>
    </format>
    <format dxfId="1131">
      <pivotArea dataOnly="0" labelOnly="1" outline="0" fieldPosition="0">
        <references count="1">
          <reference field="1" count="1">
            <x v="209"/>
          </reference>
        </references>
      </pivotArea>
    </format>
    <format dxfId="1130">
      <pivotArea dataOnly="0" labelOnly="1" outline="0" fieldPosition="0">
        <references count="1">
          <reference field="1" count="1">
            <x v="210"/>
          </reference>
        </references>
      </pivotArea>
    </format>
    <format dxfId="1129">
      <pivotArea dataOnly="0" labelOnly="1" outline="0" fieldPosition="0">
        <references count="1">
          <reference field="1" count="1">
            <x v="211"/>
          </reference>
        </references>
      </pivotArea>
    </format>
    <format dxfId="1128">
      <pivotArea dataOnly="0" labelOnly="1" outline="0" fieldPosition="0">
        <references count="1">
          <reference field="1" count="1">
            <x v="212"/>
          </reference>
        </references>
      </pivotArea>
    </format>
    <format dxfId="1127">
      <pivotArea dataOnly="0" labelOnly="1" outline="0" fieldPosition="0">
        <references count="1">
          <reference field="1" count="1">
            <x v="213"/>
          </reference>
        </references>
      </pivotArea>
    </format>
    <format dxfId="1126">
      <pivotArea dataOnly="0" labelOnly="1" outline="0" fieldPosition="0">
        <references count="1">
          <reference field="1" count="1">
            <x v="214"/>
          </reference>
        </references>
      </pivotArea>
    </format>
    <format dxfId="1125">
      <pivotArea dataOnly="0" labelOnly="1" outline="0" fieldPosition="0">
        <references count="1">
          <reference field="1" count="1">
            <x v="215"/>
          </reference>
        </references>
      </pivotArea>
    </format>
    <format dxfId="1124">
      <pivotArea dataOnly="0" labelOnly="1" outline="0" fieldPosition="0">
        <references count="1">
          <reference field="1" count="1">
            <x v="216"/>
          </reference>
        </references>
      </pivotArea>
    </format>
    <format dxfId="1123">
      <pivotArea dataOnly="0" labelOnly="1" outline="0" fieldPosition="0">
        <references count="1">
          <reference field="1" count="1">
            <x v="217"/>
          </reference>
        </references>
      </pivotArea>
    </format>
    <format dxfId="1122">
      <pivotArea dataOnly="0" labelOnly="1" outline="0" fieldPosition="0">
        <references count="1">
          <reference field="1" count="1">
            <x v="218"/>
          </reference>
        </references>
      </pivotArea>
    </format>
    <format dxfId="1121">
      <pivotArea dataOnly="0" labelOnly="1" outline="0" fieldPosition="0">
        <references count="1">
          <reference field="1" count="1">
            <x v="219"/>
          </reference>
        </references>
      </pivotArea>
    </format>
    <format dxfId="1120">
      <pivotArea dataOnly="0" labelOnly="1" outline="0" fieldPosition="0">
        <references count="1">
          <reference field="1" count="1">
            <x v="220"/>
          </reference>
        </references>
      </pivotArea>
    </format>
    <format dxfId="1119">
      <pivotArea dataOnly="0" labelOnly="1" outline="0" fieldPosition="0">
        <references count="1">
          <reference field="1" count="1">
            <x v="221"/>
          </reference>
        </references>
      </pivotArea>
    </format>
    <format dxfId="1118">
      <pivotArea dataOnly="0" labelOnly="1" outline="0" fieldPosition="0">
        <references count="1">
          <reference field="1" count="1">
            <x v="222"/>
          </reference>
        </references>
      </pivotArea>
    </format>
    <format dxfId="1117">
      <pivotArea dataOnly="0" labelOnly="1" outline="0" fieldPosition="0">
        <references count="1">
          <reference field="1" count="1">
            <x v="223"/>
          </reference>
        </references>
      </pivotArea>
    </format>
    <format dxfId="1116">
      <pivotArea dataOnly="0" labelOnly="1" outline="0" fieldPosition="0">
        <references count="1">
          <reference field="1" count="1">
            <x v="224"/>
          </reference>
        </references>
      </pivotArea>
    </format>
    <format dxfId="1115">
      <pivotArea dataOnly="0" labelOnly="1" outline="0" fieldPosition="0">
        <references count="1">
          <reference field="1" count="1">
            <x v="225"/>
          </reference>
        </references>
      </pivotArea>
    </format>
    <format dxfId="1114">
      <pivotArea dataOnly="0" labelOnly="1" outline="0" fieldPosition="0">
        <references count="1">
          <reference field="1" count="1">
            <x v="226"/>
          </reference>
        </references>
      </pivotArea>
    </format>
    <format dxfId="1113">
      <pivotArea dataOnly="0" labelOnly="1" outline="0" fieldPosition="0">
        <references count="1">
          <reference field="1" count="1">
            <x v="227"/>
          </reference>
        </references>
      </pivotArea>
    </format>
    <format dxfId="1112">
      <pivotArea dataOnly="0" labelOnly="1" outline="0" fieldPosition="0">
        <references count="1">
          <reference field="1" count="1">
            <x v="228"/>
          </reference>
        </references>
      </pivotArea>
    </format>
    <format dxfId="1111">
      <pivotArea dataOnly="0" labelOnly="1" outline="0" fieldPosition="0">
        <references count="1">
          <reference field="1" count="1">
            <x v="229"/>
          </reference>
        </references>
      </pivotArea>
    </format>
    <format dxfId="1110">
      <pivotArea dataOnly="0" labelOnly="1" outline="0" fieldPosition="0">
        <references count="1">
          <reference field="1" count="1">
            <x v="230"/>
          </reference>
        </references>
      </pivotArea>
    </format>
    <format dxfId="1109">
      <pivotArea dataOnly="0" labelOnly="1" outline="0" fieldPosition="0">
        <references count="1">
          <reference field="1" count="1">
            <x v="231"/>
          </reference>
        </references>
      </pivotArea>
    </format>
    <format dxfId="1108">
      <pivotArea dataOnly="0" labelOnly="1" outline="0" fieldPosition="0">
        <references count="1">
          <reference field="1" count="1">
            <x v="232"/>
          </reference>
        </references>
      </pivotArea>
    </format>
    <format dxfId="1107">
      <pivotArea dataOnly="0" labelOnly="1" outline="0" fieldPosition="0">
        <references count="1">
          <reference field="1" count="1">
            <x v="233"/>
          </reference>
        </references>
      </pivotArea>
    </format>
    <format dxfId="1106">
      <pivotArea dataOnly="0" labelOnly="1" outline="0" fieldPosition="0">
        <references count="1">
          <reference field="1" count="1">
            <x v="234"/>
          </reference>
        </references>
      </pivotArea>
    </format>
    <format dxfId="1105">
      <pivotArea dataOnly="0" labelOnly="1" outline="0" fieldPosition="0">
        <references count="1">
          <reference field="1" count="1">
            <x v="235"/>
          </reference>
        </references>
      </pivotArea>
    </format>
    <format dxfId="1104">
      <pivotArea dataOnly="0" labelOnly="1" outline="0" fieldPosition="0">
        <references count="1">
          <reference field="1" count="1">
            <x v="236"/>
          </reference>
        </references>
      </pivotArea>
    </format>
    <format dxfId="1103">
      <pivotArea dataOnly="0" labelOnly="1" outline="0" fieldPosition="0">
        <references count="1">
          <reference field="1" count="1">
            <x v="237"/>
          </reference>
        </references>
      </pivotArea>
    </format>
    <format dxfId="1102">
      <pivotArea dataOnly="0" labelOnly="1" outline="0" fieldPosition="0">
        <references count="1">
          <reference field="1" count="1">
            <x v="238"/>
          </reference>
        </references>
      </pivotArea>
    </format>
    <format dxfId="1101">
      <pivotArea dataOnly="0" labelOnly="1" outline="0" fieldPosition="0">
        <references count="1">
          <reference field="1" count="1">
            <x v="239"/>
          </reference>
        </references>
      </pivotArea>
    </format>
    <format dxfId="1100">
      <pivotArea dataOnly="0" labelOnly="1" outline="0" fieldPosition="0">
        <references count="1">
          <reference field="1" count="1">
            <x v="240"/>
          </reference>
        </references>
      </pivotArea>
    </format>
    <format dxfId="1099">
      <pivotArea dataOnly="0" labelOnly="1" outline="0" fieldPosition="0">
        <references count="1">
          <reference field="1" count="1">
            <x v="241"/>
          </reference>
        </references>
      </pivotArea>
    </format>
    <format dxfId="1098">
      <pivotArea dataOnly="0" labelOnly="1" outline="0" fieldPosition="0">
        <references count="1">
          <reference field="1" count="1">
            <x v="242"/>
          </reference>
        </references>
      </pivotArea>
    </format>
    <format dxfId="1097">
      <pivotArea dataOnly="0" labelOnly="1" outline="0" fieldPosition="0">
        <references count="1">
          <reference field="1" count="1">
            <x v="243"/>
          </reference>
        </references>
      </pivotArea>
    </format>
    <format dxfId="1096">
      <pivotArea dataOnly="0" labelOnly="1" outline="0" fieldPosition="0">
        <references count="1">
          <reference field="1" count="1">
            <x v="244"/>
          </reference>
        </references>
      </pivotArea>
    </format>
    <format dxfId="1095">
      <pivotArea dataOnly="0" labelOnly="1" outline="0" fieldPosition="0">
        <references count="1">
          <reference field="1" count="1">
            <x v="245"/>
          </reference>
        </references>
      </pivotArea>
    </format>
    <format dxfId="1094">
      <pivotArea dataOnly="0" labelOnly="1" outline="0" fieldPosition="0">
        <references count="1">
          <reference field="1" count="1">
            <x v="246"/>
          </reference>
        </references>
      </pivotArea>
    </format>
    <format dxfId="1093">
      <pivotArea dataOnly="0" labelOnly="1" outline="0" fieldPosition="0">
        <references count="1">
          <reference field="1" count="1">
            <x v="247"/>
          </reference>
        </references>
      </pivotArea>
    </format>
    <format dxfId="1092">
      <pivotArea dataOnly="0" labelOnly="1" outline="0" fieldPosition="0">
        <references count="1">
          <reference field="1" count="1">
            <x v="248"/>
          </reference>
        </references>
      </pivotArea>
    </format>
    <format dxfId="1091">
      <pivotArea dataOnly="0" labelOnly="1" outline="0" fieldPosition="0">
        <references count="1">
          <reference field="1" count="1">
            <x v="249"/>
          </reference>
        </references>
      </pivotArea>
    </format>
    <format dxfId="1090">
      <pivotArea dataOnly="0" labelOnly="1" outline="0" fieldPosition="0">
        <references count="1">
          <reference field="1" count="1">
            <x v="250"/>
          </reference>
        </references>
      </pivotArea>
    </format>
    <format dxfId="1089">
      <pivotArea dataOnly="0" labelOnly="1" outline="0" fieldPosition="0">
        <references count="1">
          <reference field="1" count="1">
            <x v="251"/>
          </reference>
        </references>
      </pivotArea>
    </format>
    <format dxfId="1088">
      <pivotArea dataOnly="0" labelOnly="1" outline="0" fieldPosition="0">
        <references count="1">
          <reference field="1" count="1">
            <x v="252"/>
          </reference>
        </references>
      </pivotArea>
    </format>
    <format dxfId="1087">
      <pivotArea dataOnly="0" labelOnly="1" outline="0" fieldPosition="0">
        <references count="1">
          <reference field="1" count="1">
            <x v="253"/>
          </reference>
        </references>
      </pivotArea>
    </format>
    <format dxfId="1086">
      <pivotArea dataOnly="0" labelOnly="1" outline="0" fieldPosition="0">
        <references count="1">
          <reference field="1" count="1">
            <x v="254"/>
          </reference>
        </references>
      </pivotArea>
    </format>
    <format dxfId="1085">
      <pivotArea dataOnly="0" labelOnly="1" outline="0" fieldPosition="0">
        <references count="1">
          <reference field="1" count="1">
            <x v="255"/>
          </reference>
        </references>
      </pivotArea>
    </format>
    <format dxfId="1084">
      <pivotArea dataOnly="0" labelOnly="1" outline="0" fieldPosition="0">
        <references count="1">
          <reference field="1" count="1">
            <x v="256"/>
          </reference>
        </references>
      </pivotArea>
    </format>
    <format dxfId="1083">
      <pivotArea dataOnly="0" labelOnly="1" outline="0" fieldPosition="0">
        <references count="1">
          <reference field="1" count="1">
            <x v="257"/>
          </reference>
        </references>
      </pivotArea>
    </format>
    <format dxfId="1082">
      <pivotArea dataOnly="0" labelOnly="1" outline="0" fieldPosition="0">
        <references count="1">
          <reference field="1" count="1">
            <x v="258"/>
          </reference>
        </references>
      </pivotArea>
    </format>
    <format dxfId="1081">
      <pivotArea dataOnly="0" labelOnly="1" outline="0" fieldPosition="0">
        <references count="1">
          <reference field="1" count="1">
            <x v="259"/>
          </reference>
        </references>
      </pivotArea>
    </format>
    <format dxfId="1080">
      <pivotArea dataOnly="0" labelOnly="1" outline="0" fieldPosition="0">
        <references count="1">
          <reference field="1" count="1">
            <x v="260"/>
          </reference>
        </references>
      </pivotArea>
    </format>
    <format dxfId="1079">
      <pivotArea dataOnly="0" labelOnly="1" outline="0" fieldPosition="0">
        <references count="1">
          <reference field="1" count="1">
            <x v="261"/>
          </reference>
        </references>
      </pivotArea>
    </format>
    <format dxfId="1078">
      <pivotArea dataOnly="0" labelOnly="1" outline="0" fieldPosition="0">
        <references count="1">
          <reference field="1" count="1">
            <x v="262"/>
          </reference>
        </references>
      </pivotArea>
    </format>
    <format dxfId="1077">
      <pivotArea dataOnly="0" labelOnly="1" outline="0" fieldPosition="0">
        <references count="1">
          <reference field="1" count="1">
            <x v="263"/>
          </reference>
        </references>
      </pivotArea>
    </format>
    <format dxfId="1076">
      <pivotArea dataOnly="0" labelOnly="1" outline="0" fieldPosition="0">
        <references count="1">
          <reference field="1" count="1">
            <x v="264"/>
          </reference>
        </references>
      </pivotArea>
    </format>
    <format dxfId="1075">
      <pivotArea dataOnly="0" labelOnly="1" outline="0" fieldPosition="0">
        <references count="1">
          <reference field="1" count="1">
            <x v="265"/>
          </reference>
        </references>
      </pivotArea>
    </format>
    <format dxfId="1074">
      <pivotArea dataOnly="0" labelOnly="1" outline="0" fieldPosition="0">
        <references count="1">
          <reference field="1" count="1">
            <x v="266"/>
          </reference>
        </references>
      </pivotArea>
    </format>
    <format dxfId="1073">
      <pivotArea dataOnly="0" labelOnly="1" outline="0" fieldPosition="0">
        <references count="1">
          <reference field="1" count="1">
            <x v="267"/>
          </reference>
        </references>
      </pivotArea>
    </format>
    <format dxfId="1072">
      <pivotArea dataOnly="0" labelOnly="1" outline="0" fieldPosition="0">
        <references count="1">
          <reference field="1" count="1">
            <x v="268"/>
          </reference>
        </references>
      </pivotArea>
    </format>
    <format dxfId="1071">
      <pivotArea dataOnly="0" labelOnly="1" outline="0" fieldPosition="0">
        <references count="1">
          <reference field="1" count="1">
            <x v="269"/>
          </reference>
        </references>
      </pivotArea>
    </format>
    <format dxfId="1070">
      <pivotArea dataOnly="0" labelOnly="1" outline="0" fieldPosition="0">
        <references count="1">
          <reference field="1" count="1">
            <x v="270"/>
          </reference>
        </references>
      </pivotArea>
    </format>
    <format dxfId="1069">
      <pivotArea dataOnly="0" labelOnly="1" outline="0" fieldPosition="0">
        <references count="1">
          <reference field="1" count="1">
            <x v="271"/>
          </reference>
        </references>
      </pivotArea>
    </format>
    <format dxfId="1068">
      <pivotArea dataOnly="0" labelOnly="1" outline="0" fieldPosition="0">
        <references count="1">
          <reference field="1" count="1">
            <x v="272"/>
          </reference>
        </references>
      </pivotArea>
    </format>
    <format dxfId="1067">
      <pivotArea dataOnly="0" labelOnly="1" outline="0" fieldPosition="0">
        <references count="1">
          <reference field="1" count="1">
            <x v="273"/>
          </reference>
        </references>
      </pivotArea>
    </format>
    <format dxfId="1066">
      <pivotArea dataOnly="0" labelOnly="1" outline="0" fieldPosition="0">
        <references count="1">
          <reference field="1" count="1">
            <x v="274"/>
          </reference>
        </references>
      </pivotArea>
    </format>
    <format dxfId="1065">
      <pivotArea dataOnly="0" labelOnly="1" outline="0" fieldPosition="0">
        <references count="1">
          <reference field="1" count="1">
            <x v="275"/>
          </reference>
        </references>
      </pivotArea>
    </format>
    <format dxfId="1064">
      <pivotArea dataOnly="0" labelOnly="1" outline="0" fieldPosition="0">
        <references count="1">
          <reference field="1" count="1">
            <x v="276"/>
          </reference>
        </references>
      </pivotArea>
    </format>
    <format dxfId="1063">
      <pivotArea dataOnly="0" labelOnly="1" outline="0" fieldPosition="0">
        <references count="1">
          <reference field="1" count="1">
            <x v="277"/>
          </reference>
        </references>
      </pivotArea>
    </format>
    <format dxfId="1062">
      <pivotArea dataOnly="0" labelOnly="1" outline="0" fieldPosition="0">
        <references count="1">
          <reference field="1" count="1">
            <x v="278"/>
          </reference>
        </references>
      </pivotArea>
    </format>
    <format dxfId="1061">
      <pivotArea dataOnly="0" labelOnly="1" outline="0" fieldPosition="0">
        <references count="1">
          <reference field="1" count="1">
            <x v="279"/>
          </reference>
        </references>
      </pivotArea>
    </format>
    <format dxfId="1060">
      <pivotArea dataOnly="0" labelOnly="1" outline="0" fieldPosition="0">
        <references count="1">
          <reference field="1" count="1">
            <x v="280"/>
          </reference>
        </references>
      </pivotArea>
    </format>
    <format dxfId="1059">
      <pivotArea dataOnly="0" labelOnly="1" outline="0" fieldPosition="0">
        <references count="1">
          <reference field="1" count="1">
            <x v="281"/>
          </reference>
        </references>
      </pivotArea>
    </format>
    <format dxfId="1058">
      <pivotArea dataOnly="0" labelOnly="1" outline="0" fieldPosition="0">
        <references count="1">
          <reference field="1" count="1">
            <x v="282"/>
          </reference>
        </references>
      </pivotArea>
    </format>
    <format dxfId="1057">
      <pivotArea dataOnly="0" labelOnly="1" outline="0" fieldPosition="0">
        <references count="1">
          <reference field="1" count="1">
            <x v="283"/>
          </reference>
        </references>
      </pivotArea>
    </format>
    <format dxfId="1056">
      <pivotArea dataOnly="0" labelOnly="1" outline="0" fieldPosition="0">
        <references count="1">
          <reference field="1" count="1">
            <x v="284"/>
          </reference>
        </references>
      </pivotArea>
    </format>
    <format dxfId="1055">
      <pivotArea dataOnly="0" labelOnly="1" outline="0" fieldPosition="0">
        <references count="1">
          <reference field="1" count="1">
            <x v="285"/>
          </reference>
        </references>
      </pivotArea>
    </format>
    <format dxfId="1054">
      <pivotArea dataOnly="0" labelOnly="1" outline="0" fieldPosition="0">
        <references count="1">
          <reference field="1" count="1">
            <x v="286"/>
          </reference>
        </references>
      </pivotArea>
    </format>
    <format dxfId="1053">
      <pivotArea dataOnly="0" labelOnly="1" outline="0" fieldPosition="0">
        <references count="1">
          <reference field="1" count="1">
            <x v="287"/>
          </reference>
        </references>
      </pivotArea>
    </format>
    <format dxfId="1052">
      <pivotArea dataOnly="0" labelOnly="1" outline="0" fieldPosition="0">
        <references count="1">
          <reference field="1" count="1">
            <x v="288"/>
          </reference>
        </references>
      </pivotArea>
    </format>
    <format dxfId="1051">
      <pivotArea dataOnly="0" labelOnly="1" outline="0" fieldPosition="0">
        <references count="1">
          <reference field="1" count="1">
            <x v="289"/>
          </reference>
        </references>
      </pivotArea>
    </format>
    <format dxfId="1050">
      <pivotArea dataOnly="0" labelOnly="1" outline="0" fieldPosition="0">
        <references count="1">
          <reference field="1" count="1">
            <x v="290"/>
          </reference>
        </references>
      </pivotArea>
    </format>
    <format dxfId="1049">
      <pivotArea dataOnly="0" labelOnly="1" outline="0" fieldPosition="0">
        <references count="1">
          <reference field="1" count="1">
            <x v="291"/>
          </reference>
        </references>
      </pivotArea>
    </format>
    <format dxfId="1048">
      <pivotArea dataOnly="0" labelOnly="1" outline="0" fieldPosition="0">
        <references count="1">
          <reference field="1" count="1">
            <x v="292"/>
          </reference>
        </references>
      </pivotArea>
    </format>
    <format dxfId="1047">
      <pivotArea dataOnly="0" labelOnly="1" outline="0" fieldPosition="0">
        <references count="1">
          <reference field="1" count="1">
            <x v="293"/>
          </reference>
        </references>
      </pivotArea>
    </format>
    <format dxfId="1046">
      <pivotArea dataOnly="0" labelOnly="1" outline="0" fieldPosition="0">
        <references count="1">
          <reference field="1" count="1">
            <x v="294"/>
          </reference>
        </references>
      </pivotArea>
    </format>
    <format dxfId="1045">
      <pivotArea dataOnly="0" labelOnly="1" outline="0" fieldPosition="0">
        <references count="1">
          <reference field="1" count="1">
            <x v="295"/>
          </reference>
        </references>
      </pivotArea>
    </format>
    <format dxfId="1044">
      <pivotArea dataOnly="0" labelOnly="1" outline="0" fieldPosition="0">
        <references count="1">
          <reference field="1" count="1">
            <x v="296"/>
          </reference>
        </references>
      </pivotArea>
    </format>
    <format dxfId="1043">
      <pivotArea dataOnly="0" labelOnly="1" outline="0" fieldPosition="0">
        <references count="1">
          <reference field="1" count="1">
            <x v="297"/>
          </reference>
        </references>
      </pivotArea>
    </format>
    <format dxfId="1042">
      <pivotArea dataOnly="0" labelOnly="1" outline="0" fieldPosition="0">
        <references count="1">
          <reference field="1" count="1">
            <x v="298"/>
          </reference>
        </references>
      </pivotArea>
    </format>
    <format dxfId="1041">
      <pivotArea dataOnly="0" labelOnly="1" outline="0" fieldPosition="0">
        <references count="1">
          <reference field="1" count="1">
            <x v="299"/>
          </reference>
        </references>
      </pivotArea>
    </format>
    <format dxfId="1040">
      <pivotArea dataOnly="0" labelOnly="1" outline="0" fieldPosition="0">
        <references count="1">
          <reference field="1" count="1">
            <x v="300"/>
          </reference>
        </references>
      </pivotArea>
    </format>
    <format dxfId="1039">
      <pivotArea dataOnly="0" labelOnly="1" outline="0" fieldPosition="0">
        <references count="1">
          <reference field="1" count="1">
            <x v="301"/>
          </reference>
        </references>
      </pivotArea>
    </format>
    <format dxfId="1038">
      <pivotArea dataOnly="0" labelOnly="1" outline="0" fieldPosition="0">
        <references count="1">
          <reference field="1" count="1">
            <x v="302"/>
          </reference>
        </references>
      </pivotArea>
    </format>
    <format dxfId="1037">
      <pivotArea dataOnly="0" labelOnly="1" outline="0" fieldPosition="0">
        <references count="1">
          <reference field="1" count="1">
            <x v="303"/>
          </reference>
        </references>
      </pivotArea>
    </format>
    <format dxfId="1036">
      <pivotArea dataOnly="0" labelOnly="1" outline="0" fieldPosition="0">
        <references count="1">
          <reference field="1" count="1">
            <x v="304"/>
          </reference>
        </references>
      </pivotArea>
    </format>
    <format dxfId="1035">
      <pivotArea dataOnly="0" labelOnly="1" outline="0" fieldPosition="0">
        <references count="1">
          <reference field="1" count="1">
            <x v="305"/>
          </reference>
        </references>
      </pivotArea>
    </format>
    <format dxfId="1034">
      <pivotArea dataOnly="0" labelOnly="1" outline="0" fieldPosition="0">
        <references count="1">
          <reference field="1" count="1">
            <x v="306"/>
          </reference>
        </references>
      </pivotArea>
    </format>
    <format dxfId="1033">
      <pivotArea dataOnly="0" labelOnly="1" outline="0" fieldPosition="0">
        <references count="1">
          <reference field="1" count="1">
            <x v="307"/>
          </reference>
        </references>
      </pivotArea>
    </format>
    <format dxfId="1032">
      <pivotArea dataOnly="0" labelOnly="1" outline="0" fieldPosition="0">
        <references count="1">
          <reference field="1" count="1">
            <x v="308"/>
          </reference>
        </references>
      </pivotArea>
    </format>
    <format dxfId="1031">
      <pivotArea dataOnly="0" labelOnly="1" outline="0" fieldPosition="0">
        <references count="1">
          <reference field="1" count="1">
            <x v="309"/>
          </reference>
        </references>
      </pivotArea>
    </format>
    <format dxfId="1030">
      <pivotArea dataOnly="0" labelOnly="1" outline="0" fieldPosition="0">
        <references count="1">
          <reference field="1" count="1">
            <x v="310"/>
          </reference>
        </references>
      </pivotArea>
    </format>
    <format dxfId="1029">
      <pivotArea dataOnly="0" labelOnly="1" outline="0" fieldPosition="0">
        <references count="1">
          <reference field="1" count="1">
            <x v="311"/>
          </reference>
        </references>
      </pivotArea>
    </format>
    <format dxfId="1028">
      <pivotArea dataOnly="0" labelOnly="1" outline="0" fieldPosition="0">
        <references count="1">
          <reference field="1" count="1">
            <x v="312"/>
          </reference>
        </references>
      </pivotArea>
    </format>
    <format dxfId="1027">
      <pivotArea dataOnly="0" labelOnly="1" outline="0" fieldPosition="0">
        <references count="1">
          <reference field="1" count="1">
            <x v="313"/>
          </reference>
        </references>
      </pivotArea>
    </format>
    <format dxfId="1026">
      <pivotArea dataOnly="0" labelOnly="1" outline="0" fieldPosition="0">
        <references count="1">
          <reference field="1" count="1">
            <x v="314"/>
          </reference>
        </references>
      </pivotArea>
    </format>
    <format dxfId="1025">
      <pivotArea dataOnly="0" labelOnly="1" outline="0" fieldPosition="0">
        <references count="1">
          <reference field="1" count="1">
            <x v="315"/>
          </reference>
        </references>
      </pivotArea>
    </format>
    <format dxfId="1024">
      <pivotArea dataOnly="0" labelOnly="1" outline="0" fieldPosition="0">
        <references count="1">
          <reference field="1" count="1">
            <x v="316"/>
          </reference>
        </references>
      </pivotArea>
    </format>
    <format dxfId="1023">
      <pivotArea dataOnly="0" labelOnly="1" outline="0" fieldPosition="0">
        <references count="1">
          <reference field="1" count="1">
            <x v="317"/>
          </reference>
        </references>
      </pivotArea>
    </format>
    <format dxfId="1022">
      <pivotArea dataOnly="0" labelOnly="1" outline="0" fieldPosition="0">
        <references count="1">
          <reference field="1" count="1">
            <x v="318"/>
          </reference>
        </references>
      </pivotArea>
    </format>
    <format dxfId="1021">
      <pivotArea dataOnly="0" labelOnly="1" outline="0" fieldPosition="0">
        <references count="1">
          <reference field="1" count="1">
            <x v="319"/>
          </reference>
        </references>
      </pivotArea>
    </format>
    <format dxfId="1020">
      <pivotArea dataOnly="0" labelOnly="1" outline="0" fieldPosition="0">
        <references count="1">
          <reference field="1" count="1">
            <x v="320"/>
          </reference>
        </references>
      </pivotArea>
    </format>
    <format dxfId="1019">
      <pivotArea dataOnly="0" labelOnly="1" outline="0" fieldPosition="0">
        <references count="1">
          <reference field="1" count="1">
            <x v="321"/>
          </reference>
        </references>
      </pivotArea>
    </format>
    <format dxfId="1018">
      <pivotArea dataOnly="0" labelOnly="1" outline="0" fieldPosition="0">
        <references count="1">
          <reference field="1" count="1">
            <x v="322"/>
          </reference>
        </references>
      </pivotArea>
    </format>
    <format dxfId="1017">
      <pivotArea dataOnly="0" labelOnly="1" outline="0" fieldPosition="0">
        <references count="1">
          <reference field="1" count="1">
            <x v="323"/>
          </reference>
        </references>
      </pivotArea>
    </format>
    <format dxfId="1016">
      <pivotArea dataOnly="0" labelOnly="1" outline="0" fieldPosition="0">
        <references count="1">
          <reference field="1" count="1">
            <x v="324"/>
          </reference>
        </references>
      </pivotArea>
    </format>
    <format dxfId="1015">
      <pivotArea dataOnly="0" labelOnly="1" outline="0" fieldPosition="0">
        <references count="1">
          <reference field="1" count="1">
            <x v="325"/>
          </reference>
        </references>
      </pivotArea>
    </format>
    <format dxfId="1014">
      <pivotArea dataOnly="0" labelOnly="1" outline="0" fieldPosition="0">
        <references count="1">
          <reference field="1" count="1">
            <x v="326"/>
          </reference>
        </references>
      </pivotArea>
    </format>
    <format dxfId="1013">
      <pivotArea dataOnly="0" labelOnly="1" outline="0" fieldPosition="0">
        <references count="1">
          <reference field="1" count="1">
            <x v="327"/>
          </reference>
        </references>
      </pivotArea>
    </format>
    <format dxfId="1012">
      <pivotArea dataOnly="0" labelOnly="1" outline="0" fieldPosition="0">
        <references count="1">
          <reference field="1" count="1">
            <x v="328"/>
          </reference>
        </references>
      </pivotArea>
    </format>
    <format dxfId="1011">
      <pivotArea dataOnly="0" labelOnly="1" outline="0" fieldPosition="0">
        <references count="1">
          <reference field="1" count="1">
            <x v="329"/>
          </reference>
        </references>
      </pivotArea>
    </format>
    <format dxfId="1010">
      <pivotArea dataOnly="0" labelOnly="1" outline="0" fieldPosition="0">
        <references count="1">
          <reference field="1" count="1">
            <x v="330"/>
          </reference>
        </references>
      </pivotArea>
    </format>
    <format dxfId="1009">
      <pivotArea dataOnly="0" labelOnly="1" outline="0" fieldPosition="0">
        <references count="1">
          <reference field="1" count="1">
            <x v="331"/>
          </reference>
        </references>
      </pivotArea>
    </format>
    <format dxfId="1008">
      <pivotArea dataOnly="0" labelOnly="1" outline="0" fieldPosition="0">
        <references count="1">
          <reference field="1" count="1">
            <x v="332"/>
          </reference>
        </references>
      </pivotArea>
    </format>
    <format dxfId="1007">
      <pivotArea dataOnly="0" labelOnly="1" outline="0" fieldPosition="0">
        <references count="1">
          <reference field="1" count="1">
            <x v="333"/>
          </reference>
        </references>
      </pivotArea>
    </format>
    <format dxfId="1006">
      <pivotArea dataOnly="0" labelOnly="1" outline="0" fieldPosition="0">
        <references count="1">
          <reference field="1" count="1">
            <x v="334"/>
          </reference>
        </references>
      </pivotArea>
    </format>
    <format dxfId="1005">
      <pivotArea dataOnly="0" labelOnly="1" outline="0" fieldPosition="0">
        <references count="1">
          <reference field="1" count="1">
            <x v="335"/>
          </reference>
        </references>
      </pivotArea>
    </format>
    <format dxfId="1004">
      <pivotArea dataOnly="0" labelOnly="1" outline="0" fieldPosition="0">
        <references count="1">
          <reference field="1" count="1">
            <x v="336"/>
          </reference>
        </references>
      </pivotArea>
    </format>
    <format dxfId="1003">
      <pivotArea dataOnly="0" labelOnly="1" outline="0" fieldPosition="0">
        <references count="1">
          <reference field="1" count="1">
            <x v="337"/>
          </reference>
        </references>
      </pivotArea>
    </format>
    <format dxfId="1002">
      <pivotArea dataOnly="0" labelOnly="1" outline="0" fieldPosition="0">
        <references count="1">
          <reference field="1" count="1">
            <x v="338"/>
          </reference>
        </references>
      </pivotArea>
    </format>
    <format dxfId="1001">
      <pivotArea dataOnly="0" labelOnly="1" outline="0" fieldPosition="0">
        <references count="1">
          <reference field="1" count="1">
            <x v="339"/>
          </reference>
        </references>
      </pivotArea>
    </format>
    <format dxfId="1000">
      <pivotArea dataOnly="0" labelOnly="1" outline="0" fieldPosition="0">
        <references count="1">
          <reference field="1" count="1">
            <x v="340"/>
          </reference>
        </references>
      </pivotArea>
    </format>
    <format dxfId="999">
      <pivotArea dataOnly="0" labelOnly="1" outline="0" fieldPosition="0">
        <references count="1">
          <reference field="1" count="1">
            <x v="341"/>
          </reference>
        </references>
      </pivotArea>
    </format>
    <format dxfId="998">
      <pivotArea dataOnly="0" labelOnly="1" outline="0" fieldPosition="0">
        <references count="1">
          <reference field="1" count="1">
            <x v="342"/>
          </reference>
        </references>
      </pivotArea>
    </format>
    <format dxfId="997">
      <pivotArea dataOnly="0" labelOnly="1" outline="0" fieldPosition="0">
        <references count="1">
          <reference field="1" count="1">
            <x v="343"/>
          </reference>
        </references>
      </pivotArea>
    </format>
    <format dxfId="996">
      <pivotArea dataOnly="0" labelOnly="1" outline="0" fieldPosition="0">
        <references count="1">
          <reference field="1" count="1">
            <x v="344"/>
          </reference>
        </references>
      </pivotArea>
    </format>
    <format dxfId="995">
      <pivotArea dataOnly="0" labelOnly="1" outline="0" fieldPosition="0">
        <references count="1">
          <reference field="1" count="1">
            <x v="345"/>
          </reference>
        </references>
      </pivotArea>
    </format>
    <format dxfId="994">
      <pivotArea dataOnly="0" labelOnly="1" outline="0" fieldPosition="0">
        <references count="1">
          <reference field="1" count="1">
            <x v="346"/>
          </reference>
        </references>
      </pivotArea>
    </format>
    <format dxfId="993">
      <pivotArea dataOnly="0" labelOnly="1" outline="0" fieldPosition="0">
        <references count="1">
          <reference field="1" count="1">
            <x v="347"/>
          </reference>
        </references>
      </pivotArea>
    </format>
    <format dxfId="992">
      <pivotArea dataOnly="0" labelOnly="1" outline="0" fieldPosition="0">
        <references count="1">
          <reference field="1" count="1">
            <x v="348"/>
          </reference>
        </references>
      </pivotArea>
    </format>
    <format dxfId="991">
      <pivotArea dataOnly="0" labelOnly="1" outline="0" fieldPosition="0">
        <references count="1">
          <reference field="1" count="1">
            <x v="349"/>
          </reference>
        </references>
      </pivotArea>
    </format>
    <format dxfId="990">
      <pivotArea dataOnly="0" labelOnly="1" outline="0" fieldPosition="0">
        <references count="1">
          <reference field="1" count="1">
            <x v="350"/>
          </reference>
        </references>
      </pivotArea>
    </format>
    <format dxfId="989">
      <pivotArea dataOnly="0" labelOnly="1" outline="0" fieldPosition="0">
        <references count="1">
          <reference field="1" count="1">
            <x v="351"/>
          </reference>
        </references>
      </pivotArea>
    </format>
    <format dxfId="988">
      <pivotArea dataOnly="0" labelOnly="1" outline="0" fieldPosition="0">
        <references count="1">
          <reference field="1" count="1">
            <x v="352"/>
          </reference>
        </references>
      </pivotArea>
    </format>
    <format dxfId="987">
      <pivotArea dataOnly="0" labelOnly="1" outline="0" fieldPosition="0">
        <references count="1">
          <reference field="1" count="1">
            <x v="353"/>
          </reference>
        </references>
      </pivotArea>
    </format>
    <format dxfId="986">
      <pivotArea dataOnly="0" labelOnly="1" outline="0" fieldPosition="0">
        <references count="1">
          <reference field="1" count="1">
            <x v="354"/>
          </reference>
        </references>
      </pivotArea>
    </format>
    <format dxfId="985">
      <pivotArea dataOnly="0" labelOnly="1" outline="0" fieldPosition="0">
        <references count="1">
          <reference field="1" count="1">
            <x v="355"/>
          </reference>
        </references>
      </pivotArea>
    </format>
    <format dxfId="984">
      <pivotArea dataOnly="0" labelOnly="1" outline="0" fieldPosition="0">
        <references count="1">
          <reference field="1" count="1">
            <x v="356"/>
          </reference>
        </references>
      </pivotArea>
    </format>
    <format dxfId="983">
      <pivotArea dataOnly="0" labelOnly="1" outline="0" fieldPosition="0">
        <references count="1">
          <reference field="1" count="1">
            <x v="357"/>
          </reference>
        </references>
      </pivotArea>
    </format>
    <format dxfId="982">
      <pivotArea dataOnly="0" labelOnly="1" outline="0" fieldPosition="0">
        <references count="1">
          <reference field="1" count="1">
            <x v="358"/>
          </reference>
        </references>
      </pivotArea>
    </format>
    <format dxfId="981">
      <pivotArea dataOnly="0" labelOnly="1" outline="0" fieldPosition="0">
        <references count="1">
          <reference field="1" count="1">
            <x v="359"/>
          </reference>
        </references>
      </pivotArea>
    </format>
    <format dxfId="980">
      <pivotArea dataOnly="0" labelOnly="1" outline="0" fieldPosition="0">
        <references count="1">
          <reference field="1" count="1">
            <x v="360"/>
          </reference>
        </references>
      </pivotArea>
    </format>
    <format dxfId="979">
      <pivotArea dataOnly="0" labelOnly="1" outline="0" fieldPosition="0">
        <references count="1">
          <reference field="1" count="1">
            <x v="361"/>
          </reference>
        </references>
      </pivotArea>
    </format>
    <format dxfId="978">
      <pivotArea dataOnly="0" labelOnly="1" outline="0" fieldPosition="0">
        <references count="1">
          <reference field="1" count="1">
            <x v="362"/>
          </reference>
        </references>
      </pivotArea>
    </format>
    <format dxfId="977">
      <pivotArea dataOnly="0" labelOnly="1" outline="0" fieldPosition="0">
        <references count="1">
          <reference field="1" count="1">
            <x v="363"/>
          </reference>
        </references>
      </pivotArea>
    </format>
    <format dxfId="976">
      <pivotArea dataOnly="0" labelOnly="1" outline="0" fieldPosition="0">
        <references count="1">
          <reference field="1" count="1">
            <x v="364"/>
          </reference>
        </references>
      </pivotArea>
    </format>
    <format dxfId="975">
      <pivotArea dataOnly="0" labelOnly="1" outline="0" fieldPosition="0">
        <references count="1">
          <reference field="1" count="1">
            <x v="365"/>
          </reference>
        </references>
      </pivotArea>
    </format>
    <format dxfId="974">
      <pivotArea dataOnly="0" labelOnly="1" outline="0" fieldPosition="0">
        <references count="1">
          <reference field="1" count="1">
            <x v="366"/>
          </reference>
        </references>
      </pivotArea>
    </format>
    <format dxfId="973">
      <pivotArea dataOnly="0" labelOnly="1" outline="0" fieldPosition="0">
        <references count="1">
          <reference field="1" count="1">
            <x v="367"/>
          </reference>
        </references>
      </pivotArea>
    </format>
    <format dxfId="972">
      <pivotArea dataOnly="0" labelOnly="1" outline="0" fieldPosition="0">
        <references count="1">
          <reference field="1" count="1">
            <x v="368"/>
          </reference>
        </references>
      </pivotArea>
    </format>
    <format dxfId="971">
      <pivotArea dataOnly="0" labelOnly="1" outline="0" fieldPosition="0">
        <references count="1">
          <reference field="1" count="1">
            <x v="369"/>
          </reference>
        </references>
      </pivotArea>
    </format>
    <format dxfId="970">
      <pivotArea dataOnly="0" labelOnly="1" outline="0" fieldPosition="0">
        <references count="1">
          <reference field="1" count="1">
            <x v="370"/>
          </reference>
        </references>
      </pivotArea>
    </format>
    <format dxfId="969">
      <pivotArea dataOnly="0" labelOnly="1" outline="0" fieldPosition="0">
        <references count="1">
          <reference field="1" count="1">
            <x v="371"/>
          </reference>
        </references>
      </pivotArea>
    </format>
    <format dxfId="968">
      <pivotArea dataOnly="0" labelOnly="1" outline="0" fieldPosition="0">
        <references count="1">
          <reference field="1" count="1">
            <x v="372"/>
          </reference>
        </references>
      </pivotArea>
    </format>
    <format dxfId="967">
      <pivotArea dataOnly="0" labelOnly="1" outline="0" fieldPosition="0">
        <references count="1">
          <reference field="1" count="1">
            <x v="373"/>
          </reference>
        </references>
      </pivotArea>
    </format>
    <format dxfId="966">
      <pivotArea dataOnly="0" labelOnly="1" outline="0" fieldPosition="0">
        <references count="1">
          <reference field="1" count="1">
            <x v="374"/>
          </reference>
        </references>
      </pivotArea>
    </format>
    <format dxfId="965">
      <pivotArea dataOnly="0" labelOnly="1" outline="0" fieldPosition="0">
        <references count="1">
          <reference field="1" count="1">
            <x v="375"/>
          </reference>
        </references>
      </pivotArea>
    </format>
    <format dxfId="964">
      <pivotArea dataOnly="0" labelOnly="1" outline="0" fieldPosition="0">
        <references count="1">
          <reference field="1" count="1">
            <x v="376"/>
          </reference>
        </references>
      </pivotArea>
    </format>
    <format dxfId="963">
      <pivotArea dataOnly="0" labelOnly="1" outline="0" fieldPosition="0">
        <references count="1">
          <reference field="1" count="1">
            <x v="377"/>
          </reference>
        </references>
      </pivotArea>
    </format>
    <format dxfId="962">
      <pivotArea dataOnly="0" labelOnly="1" outline="0" fieldPosition="0">
        <references count="1">
          <reference field="1" count="1">
            <x v="378"/>
          </reference>
        </references>
      </pivotArea>
    </format>
    <format dxfId="961">
      <pivotArea dataOnly="0" labelOnly="1" outline="0" fieldPosition="0">
        <references count="1">
          <reference field="1" count="1">
            <x v="379"/>
          </reference>
        </references>
      </pivotArea>
    </format>
    <format dxfId="960">
      <pivotArea dataOnly="0" labelOnly="1" outline="0" fieldPosition="0">
        <references count="1">
          <reference field="1" count="1">
            <x v="380"/>
          </reference>
        </references>
      </pivotArea>
    </format>
    <format dxfId="959">
      <pivotArea dataOnly="0" labelOnly="1" outline="0" fieldPosition="0">
        <references count="1">
          <reference field="1" count="1">
            <x v="381"/>
          </reference>
        </references>
      </pivotArea>
    </format>
    <format dxfId="958">
      <pivotArea dataOnly="0" labelOnly="1" outline="0" fieldPosition="0">
        <references count="1">
          <reference field="1" count="1">
            <x v="382"/>
          </reference>
        </references>
      </pivotArea>
    </format>
    <format dxfId="957">
      <pivotArea dataOnly="0" labelOnly="1" outline="0" fieldPosition="0">
        <references count="1">
          <reference field="1" count="1">
            <x v="383"/>
          </reference>
        </references>
      </pivotArea>
    </format>
    <format dxfId="956">
      <pivotArea dataOnly="0" labelOnly="1" outline="0" fieldPosition="0">
        <references count="1">
          <reference field="1" count="1">
            <x v="384"/>
          </reference>
        </references>
      </pivotArea>
    </format>
    <format dxfId="955">
      <pivotArea dataOnly="0" labelOnly="1" outline="0" fieldPosition="0">
        <references count="1">
          <reference field="1" count="1">
            <x v="385"/>
          </reference>
        </references>
      </pivotArea>
    </format>
    <format dxfId="954">
      <pivotArea dataOnly="0" labelOnly="1" outline="0" fieldPosition="0">
        <references count="1">
          <reference field="1" count="1">
            <x v="386"/>
          </reference>
        </references>
      </pivotArea>
    </format>
    <format dxfId="953">
      <pivotArea dataOnly="0" labelOnly="1" outline="0" fieldPosition="0">
        <references count="1">
          <reference field="1" count="1">
            <x v="387"/>
          </reference>
        </references>
      </pivotArea>
    </format>
    <format dxfId="952">
      <pivotArea dataOnly="0" labelOnly="1" outline="0" fieldPosition="0">
        <references count="1">
          <reference field="1" count="1">
            <x v="388"/>
          </reference>
        </references>
      </pivotArea>
    </format>
    <format dxfId="951">
      <pivotArea dataOnly="0" labelOnly="1" outline="0" fieldPosition="0">
        <references count="1">
          <reference field="1" count="1">
            <x v="389"/>
          </reference>
        </references>
      </pivotArea>
    </format>
    <format dxfId="950">
      <pivotArea dataOnly="0" labelOnly="1" outline="0" fieldPosition="0">
        <references count="1">
          <reference field="1" count="1">
            <x v="390"/>
          </reference>
        </references>
      </pivotArea>
    </format>
    <format dxfId="949">
      <pivotArea dataOnly="0" labelOnly="1" outline="0" fieldPosition="0">
        <references count="1">
          <reference field="1" count="1">
            <x v="391"/>
          </reference>
        </references>
      </pivotArea>
    </format>
    <format dxfId="948">
      <pivotArea dataOnly="0" labelOnly="1" outline="0" fieldPosition="0">
        <references count="1">
          <reference field="1" count="1">
            <x v="392"/>
          </reference>
        </references>
      </pivotArea>
    </format>
    <format dxfId="947">
      <pivotArea dataOnly="0" labelOnly="1" outline="0" fieldPosition="0">
        <references count="1">
          <reference field="1" count="1">
            <x v="393"/>
          </reference>
        </references>
      </pivotArea>
    </format>
    <format dxfId="946">
      <pivotArea dataOnly="0" labelOnly="1" outline="0" fieldPosition="0">
        <references count="1">
          <reference field="1" count="1">
            <x v="394"/>
          </reference>
        </references>
      </pivotArea>
    </format>
    <format dxfId="945">
      <pivotArea dataOnly="0" labelOnly="1" outline="0" fieldPosition="0">
        <references count="1">
          <reference field="1" count="1">
            <x v="395"/>
          </reference>
        </references>
      </pivotArea>
    </format>
    <format dxfId="944">
      <pivotArea dataOnly="0" labelOnly="1" outline="0" fieldPosition="0">
        <references count="1">
          <reference field="1" count="1">
            <x v="396"/>
          </reference>
        </references>
      </pivotArea>
    </format>
    <format dxfId="943">
      <pivotArea dataOnly="0" labelOnly="1" outline="0" fieldPosition="0">
        <references count="1">
          <reference field="1" count="1">
            <x v="397"/>
          </reference>
        </references>
      </pivotArea>
    </format>
    <format dxfId="942">
      <pivotArea dataOnly="0" labelOnly="1" outline="0" fieldPosition="0">
        <references count="1">
          <reference field="1" count="1">
            <x v="398"/>
          </reference>
        </references>
      </pivotArea>
    </format>
    <format dxfId="941">
      <pivotArea dataOnly="0" labelOnly="1" outline="0" fieldPosition="0">
        <references count="1">
          <reference field="1" count="1">
            <x v="399"/>
          </reference>
        </references>
      </pivotArea>
    </format>
    <format dxfId="940">
      <pivotArea dataOnly="0" labelOnly="1" outline="0" fieldPosition="0">
        <references count="1">
          <reference field="1" count="1">
            <x v="400"/>
          </reference>
        </references>
      </pivotArea>
    </format>
    <format dxfId="939">
      <pivotArea dataOnly="0" labelOnly="1" outline="0" fieldPosition="0">
        <references count="1">
          <reference field="1" count="1">
            <x v="401"/>
          </reference>
        </references>
      </pivotArea>
    </format>
    <format dxfId="938">
      <pivotArea dataOnly="0" labelOnly="1" outline="0" fieldPosition="0">
        <references count="1">
          <reference field="1" count="1">
            <x v="402"/>
          </reference>
        </references>
      </pivotArea>
    </format>
    <format dxfId="937">
      <pivotArea dataOnly="0" labelOnly="1" outline="0" fieldPosition="0">
        <references count="1">
          <reference field="1" count="1">
            <x v="403"/>
          </reference>
        </references>
      </pivotArea>
    </format>
    <format dxfId="936">
      <pivotArea dataOnly="0" labelOnly="1" outline="0" fieldPosition="0">
        <references count="1">
          <reference field="1" count="1">
            <x v="404"/>
          </reference>
        </references>
      </pivotArea>
    </format>
    <format dxfId="935">
      <pivotArea dataOnly="0" labelOnly="1" outline="0" fieldPosition="0">
        <references count="1">
          <reference field="1" count="1">
            <x v="405"/>
          </reference>
        </references>
      </pivotArea>
    </format>
    <format dxfId="934">
      <pivotArea dataOnly="0" labelOnly="1" outline="0" fieldPosition="0">
        <references count="1">
          <reference field="1" count="1">
            <x v="406"/>
          </reference>
        </references>
      </pivotArea>
    </format>
    <format dxfId="933">
      <pivotArea dataOnly="0" labelOnly="1" outline="0" fieldPosition="0">
        <references count="1">
          <reference field="1" count="1">
            <x v="407"/>
          </reference>
        </references>
      </pivotArea>
    </format>
    <format dxfId="932">
      <pivotArea dataOnly="0" labelOnly="1" outline="0" fieldPosition="0">
        <references count="1">
          <reference field="1" count="1">
            <x v="408"/>
          </reference>
        </references>
      </pivotArea>
    </format>
    <format dxfId="931">
      <pivotArea dataOnly="0" labelOnly="1" outline="0" fieldPosition="0">
        <references count="1">
          <reference field="1" count="1">
            <x v="409"/>
          </reference>
        </references>
      </pivotArea>
    </format>
    <format dxfId="930">
      <pivotArea dataOnly="0" labelOnly="1" outline="0" fieldPosition="0">
        <references count="1">
          <reference field="1" count="1">
            <x v="410"/>
          </reference>
        </references>
      </pivotArea>
    </format>
    <format dxfId="929">
      <pivotArea dataOnly="0" labelOnly="1" outline="0" fieldPosition="0">
        <references count="1">
          <reference field="1" count="1">
            <x v="411"/>
          </reference>
        </references>
      </pivotArea>
    </format>
    <format dxfId="928">
      <pivotArea dataOnly="0" labelOnly="1" outline="0" fieldPosition="0">
        <references count="1">
          <reference field="1" count="1">
            <x v="412"/>
          </reference>
        </references>
      </pivotArea>
    </format>
    <format dxfId="927">
      <pivotArea dataOnly="0" labelOnly="1" outline="0" fieldPosition="0">
        <references count="1">
          <reference field="1" count="1">
            <x v="413"/>
          </reference>
        </references>
      </pivotArea>
    </format>
    <format dxfId="926">
      <pivotArea dataOnly="0" labelOnly="1" outline="0" fieldPosition="0">
        <references count="1">
          <reference field="1" count="1">
            <x v="414"/>
          </reference>
        </references>
      </pivotArea>
    </format>
    <format dxfId="925">
      <pivotArea dataOnly="0" labelOnly="1" outline="0" fieldPosition="0">
        <references count="1">
          <reference field="1" count="1">
            <x v="415"/>
          </reference>
        </references>
      </pivotArea>
    </format>
    <format dxfId="924">
      <pivotArea dataOnly="0" labelOnly="1" outline="0" fieldPosition="0">
        <references count="1">
          <reference field="1" count="1">
            <x v="416"/>
          </reference>
        </references>
      </pivotArea>
    </format>
    <format dxfId="923">
      <pivotArea dataOnly="0" labelOnly="1" outline="0" fieldPosition="0">
        <references count="1">
          <reference field="1" count="1">
            <x v="417"/>
          </reference>
        </references>
      </pivotArea>
    </format>
    <format dxfId="922">
      <pivotArea dataOnly="0" labelOnly="1" outline="0" fieldPosition="0">
        <references count="1">
          <reference field="1" count="1">
            <x v="418"/>
          </reference>
        </references>
      </pivotArea>
    </format>
    <format dxfId="921">
      <pivotArea dataOnly="0" labelOnly="1" outline="0" fieldPosition="0">
        <references count="1">
          <reference field="1" count="1">
            <x v="419"/>
          </reference>
        </references>
      </pivotArea>
    </format>
    <format dxfId="920">
      <pivotArea dataOnly="0" labelOnly="1" outline="0" fieldPosition="0">
        <references count="1">
          <reference field="1" count="1">
            <x v="420"/>
          </reference>
        </references>
      </pivotArea>
    </format>
    <format dxfId="919">
      <pivotArea dataOnly="0" labelOnly="1" outline="0" fieldPosition="0">
        <references count="1">
          <reference field="1" count="1">
            <x v="421"/>
          </reference>
        </references>
      </pivotArea>
    </format>
    <format dxfId="918">
      <pivotArea dataOnly="0" labelOnly="1" outline="0" fieldPosition="0">
        <references count="1">
          <reference field="1" count="1">
            <x v="422"/>
          </reference>
        </references>
      </pivotArea>
    </format>
    <format dxfId="917">
      <pivotArea dataOnly="0" labelOnly="1" outline="0" fieldPosition="0">
        <references count="1">
          <reference field="1" count="1">
            <x v="423"/>
          </reference>
        </references>
      </pivotArea>
    </format>
    <format dxfId="916">
      <pivotArea dataOnly="0" labelOnly="1" outline="0" fieldPosition="0">
        <references count="1">
          <reference field="1" count="1">
            <x v="424"/>
          </reference>
        </references>
      </pivotArea>
    </format>
    <format dxfId="915">
      <pivotArea dataOnly="0" labelOnly="1" outline="0" fieldPosition="0">
        <references count="1">
          <reference field="1" count="1">
            <x v="425"/>
          </reference>
        </references>
      </pivotArea>
    </format>
    <format dxfId="914">
      <pivotArea dataOnly="0" labelOnly="1" outline="0" fieldPosition="0">
        <references count="1">
          <reference field="1" count="1">
            <x v="426"/>
          </reference>
        </references>
      </pivotArea>
    </format>
    <format dxfId="913">
      <pivotArea dataOnly="0" labelOnly="1" outline="0" fieldPosition="0">
        <references count="1">
          <reference field="1" count="1">
            <x v="427"/>
          </reference>
        </references>
      </pivotArea>
    </format>
    <format dxfId="912">
      <pivotArea dataOnly="0" labelOnly="1" outline="0" fieldPosition="0">
        <references count="1">
          <reference field="1" count="1">
            <x v="428"/>
          </reference>
        </references>
      </pivotArea>
    </format>
    <format dxfId="911">
      <pivotArea dataOnly="0" labelOnly="1" outline="0" fieldPosition="0">
        <references count="1">
          <reference field="1" count="1">
            <x v="429"/>
          </reference>
        </references>
      </pivotArea>
    </format>
    <format dxfId="910">
      <pivotArea dataOnly="0" labelOnly="1" outline="0" fieldPosition="0">
        <references count="1">
          <reference field="1" count="1">
            <x v="430"/>
          </reference>
        </references>
      </pivotArea>
    </format>
    <format dxfId="909">
      <pivotArea dataOnly="0" labelOnly="1" outline="0" fieldPosition="0">
        <references count="1">
          <reference field="1" count="1">
            <x v="431"/>
          </reference>
        </references>
      </pivotArea>
    </format>
    <format dxfId="908">
      <pivotArea dataOnly="0" labelOnly="1" outline="0" fieldPosition="0">
        <references count="1">
          <reference field="1" count="1">
            <x v="432"/>
          </reference>
        </references>
      </pivotArea>
    </format>
    <format dxfId="907">
      <pivotArea dataOnly="0" labelOnly="1" outline="0" fieldPosition="0">
        <references count="1">
          <reference field="1" count="1">
            <x v="433"/>
          </reference>
        </references>
      </pivotArea>
    </format>
    <format dxfId="906">
      <pivotArea dataOnly="0" labelOnly="1" outline="0" fieldPosition="0">
        <references count="1">
          <reference field="1" count="1">
            <x v="434"/>
          </reference>
        </references>
      </pivotArea>
    </format>
    <format dxfId="905">
      <pivotArea dataOnly="0" labelOnly="1" outline="0" fieldPosition="0">
        <references count="1">
          <reference field="1" count="1">
            <x v="435"/>
          </reference>
        </references>
      </pivotArea>
    </format>
    <format dxfId="904">
      <pivotArea dataOnly="0" labelOnly="1" outline="0" fieldPosition="0">
        <references count="1">
          <reference field="1" count="1">
            <x v="436"/>
          </reference>
        </references>
      </pivotArea>
    </format>
    <format dxfId="903">
      <pivotArea dataOnly="0" labelOnly="1" outline="0" fieldPosition="0">
        <references count="1">
          <reference field="1" count="1">
            <x v="437"/>
          </reference>
        </references>
      </pivotArea>
    </format>
    <format dxfId="902">
      <pivotArea dataOnly="0" labelOnly="1" outline="0" fieldPosition="0">
        <references count="1">
          <reference field="1" count="1">
            <x v="438"/>
          </reference>
        </references>
      </pivotArea>
    </format>
    <format dxfId="901">
      <pivotArea dataOnly="0" labelOnly="1" outline="0" fieldPosition="0">
        <references count="1">
          <reference field="1" count="1">
            <x v="439"/>
          </reference>
        </references>
      </pivotArea>
    </format>
    <format dxfId="900">
      <pivotArea dataOnly="0" labelOnly="1" outline="0" fieldPosition="0">
        <references count="1">
          <reference field="1" count="1">
            <x v="440"/>
          </reference>
        </references>
      </pivotArea>
    </format>
    <format dxfId="899">
      <pivotArea dataOnly="0" labelOnly="1" outline="0" fieldPosition="0">
        <references count="1">
          <reference field="1" count="1">
            <x v="441"/>
          </reference>
        </references>
      </pivotArea>
    </format>
    <format dxfId="898">
      <pivotArea dataOnly="0" labelOnly="1" outline="0" fieldPosition="0">
        <references count="1">
          <reference field="1" count="1">
            <x v="442"/>
          </reference>
        </references>
      </pivotArea>
    </format>
    <format dxfId="897">
      <pivotArea dataOnly="0" labelOnly="1" outline="0" fieldPosition="0">
        <references count="1">
          <reference field="1" count="1">
            <x v="443"/>
          </reference>
        </references>
      </pivotArea>
    </format>
    <format dxfId="896">
      <pivotArea dataOnly="0" labelOnly="1" outline="0" fieldPosition="0">
        <references count="1">
          <reference field="1" count="1">
            <x v="444"/>
          </reference>
        </references>
      </pivotArea>
    </format>
    <format dxfId="895">
      <pivotArea dataOnly="0" labelOnly="1" outline="0" fieldPosition="0">
        <references count="1">
          <reference field="1" count="1">
            <x v="445"/>
          </reference>
        </references>
      </pivotArea>
    </format>
    <format dxfId="894">
      <pivotArea dataOnly="0" labelOnly="1" outline="0" fieldPosition="0">
        <references count="1">
          <reference field="1" count="1">
            <x v="446"/>
          </reference>
        </references>
      </pivotArea>
    </format>
    <format dxfId="893">
      <pivotArea dataOnly="0" labelOnly="1" outline="0" fieldPosition="0">
        <references count="1">
          <reference field="1" count="1">
            <x v="447"/>
          </reference>
        </references>
      </pivotArea>
    </format>
    <format dxfId="892">
      <pivotArea dataOnly="0" labelOnly="1" outline="0" fieldPosition="0">
        <references count="1">
          <reference field="1" count="1">
            <x v="448"/>
          </reference>
        </references>
      </pivotArea>
    </format>
    <format dxfId="891">
      <pivotArea dataOnly="0" labelOnly="1" outline="0" fieldPosition="0">
        <references count="1">
          <reference field="1" count="1">
            <x v="449"/>
          </reference>
        </references>
      </pivotArea>
    </format>
    <format dxfId="890">
      <pivotArea dataOnly="0" labelOnly="1" outline="0" fieldPosition="0">
        <references count="1">
          <reference field="1" count="1">
            <x v="450"/>
          </reference>
        </references>
      </pivotArea>
    </format>
    <format dxfId="889">
      <pivotArea dataOnly="0" labelOnly="1" outline="0" fieldPosition="0">
        <references count="1">
          <reference field="1" count="1">
            <x v="451"/>
          </reference>
        </references>
      </pivotArea>
    </format>
    <format dxfId="888">
      <pivotArea dataOnly="0" labelOnly="1" outline="0" fieldPosition="0">
        <references count="1">
          <reference field="1" count="1">
            <x v="452"/>
          </reference>
        </references>
      </pivotArea>
    </format>
    <format dxfId="887">
      <pivotArea dataOnly="0" labelOnly="1" outline="0" fieldPosition="0">
        <references count="1">
          <reference field="1" count="1">
            <x v="453"/>
          </reference>
        </references>
      </pivotArea>
    </format>
    <format dxfId="886">
      <pivotArea dataOnly="0" labelOnly="1" outline="0" fieldPosition="0">
        <references count="1">
          <reference field="1" count="1">
            <x v="454"/>
          </reference>
        </references>
      </pivotArea>
    </format>
    <format dxfId="885">
      <pivotArea dataOnly="0" labelOnly="1" outline="0" fieldPosition="0">
        <references count="1">
          <reference field="1" count="1">
            <x v="455"/>
          </reference>
        </references>
      </pivotArea>
    </format>
    <format dxfId="884">
      <pivotArea dataOnly="0" labelOnly="1" outline="0" fieldPosition="0">
        <references count="1">
          <reference field="1" count="1">
            <x v="456"/>
          </reference>
        </references>
      </pivotArea>
    </format>
    <format dxfId="883">
      <pivotArea dataOnly="0" labelOnly="1" outline="0" fieldPosition="0">
        <references count="1">
          <reference field="1" count="1">
            <x v="457"/>
          </reference>
        </references>
      </pivotArea>
    </format>
    <format dxfId="882">
      <pivotArea dataOnly="0" labelOnly="1" outline="0" fieldPosition="0">
        <references count="1">
          <reference field="1" count="1">
            <x v="458"/>
          </reference>
        </references>
      </pivotArea>
    </format>
    <format dxfId="881">
      <pivotArea dataOnly="0" labelOnly="1" outline="0" fieldPosition="0">
        <references count="1">
          <reference field="1" count="1">
            <x v="459"/>
          </reference>
        </references>
      </pivotArea>
    </format>
    <format dxfId="880">
      <pivotArea dataOnly="0" labelOnly="1" outline="0" fieldPosition="0">
        <references count="1">
          <reference field="1" count="1">
            <x v="460"/>
          </reference>
        </references>
      </pivotArea>
    </format>
    <format dxfId="879">
      <pivotArea dataOnly="0" labelOnly="1" outline="0" fieldPosition="0">
        <references count="1">
          <reference field="1" count="1">
            <x v="461"/>
          </reference>
        </references>
      </pivotArea>
    </format>
    <format dxfId="878">
      <pivotArea dataOnly="0" labelOnly="1" outline="0" fieldPosition="0">
        <references count="1">
          <reference field="1" count="1">
            <x v="462"/>
          </reference>
        </references>
      </pivotArea>
    </format>
    <format dxfId="877">
      <pivotArea dataOnly="0" labelOnly="1" outline="0" fieldPosition="0">
        <references count="1">
          <reference field="1" count="1">
            <x v="463"/>
          </reference>
        </references>
      </pivotArea>
    </format>
    <format dxfId="876">
      <pivotArea dataOnly="0" labelOnly="1" outline="0" fieldPosition="0">
        <references count="1">
          <reference field="1" count="1">
            <x v="464"/>
          </reference>
        </references>
      </pivotArea>
    </format>
    <format dxfId="875">
      <pivotArea dataOnly="0" labelOnly="1" outline="0" fieldPosition="0">
        <references count="1">
          <reference field="1" count="1">
            <x v="465"/>
          </reference>
        </references>
      </pivotArea>
    </format>
    <format dxfId="874">
      <pivotArea dataOnly="0" labelOnly="1" outline="0" fieldPosition="0">
        <references count="1">
          <reference field="1" count="1">
            <x v="466"/>
          </reference>
        </references>
      </pivotArea>
    </format>
    <format dxfId="873">
      <pivotArea dataOnly="0" labelOnly="1" outline="0" fieldPosition="0">
        <references count="1">
          <reference field="1" count="1">
            <x v="467"/>
          </reference>
        </references>
      </pivotArea>
    </format>
    <format dxfId="872">
      <pivotArea dataOnly="0" labelOnly="1" outline="0" fieldPosition="0">
        <references count="1">
          <reference field="1" count="1">
            <x v="468"/>
          </reference>
        </references>
      </pivotArea>
    </format>
    <format dxfId="871">
      <pivotArea dataOnly="0" labelOnly="1" outline="0" fieldPosition="0">
        <references count="1">
          <reference field="1" count="1">
            <x v="469"/>
          </reference>
        </references>
      </pivotArea>
    </format>
    <format dxfId="870">
      <pivotArea dataOnly="0" labelOnly="1" outline="0" fieldPosition="0">
        <references count="1">
          <reference field="1" count="1">
            <x v="470"/>
          </reference>
        </references>
      </pivotArea>
    </format>
    <format dxfId="869">
      <pivotArea dataOnly="0" labelOnly="1" outline="0" fieldPosition="0">
        <references count="1">
          <reference field="1" count="1">
            <x v="471"/>
          </reference>
        </references>
      </pivotArea>
    </format>
    <format dxfId="868">
      <pivotArea dataOnly="0" labelOnly="1" outline="0" fieldPosition="0">
        <references count="1">
          <reference field="1" count="1">
            <x v="472"/>
          </reference>
        </references>
      </pivotArea>
    </format>
    <format dxfId="867">
      <pivotArea dataOnly="0" labelOnly="1" outline="0" fieldPosition="0">
        <references count="1">
          <reference field="1" count="1">
            <x v="473"/>
          </reference>
        </references>
      </pivotArea>
    </format>
    <format dxfId="866">
      <pivotArea dataOnly="0" labelOnly="1" outline="0" fieldPosition="0">
        <references count="1">
          <reference field="1" count="1">
            <x v="474"/>
          </reference>
        </references>
      </pivotArea>
    </format>
    <format dxfId="865">
      <pivotArea dataOnly="0" labelOnly="1" outline="0" fieldPosition="0">
        <references count="1">
          <reference field="1" count="1">
            <x v="475"/>
          </reference>
        </references>
      </pivotArea>
    </format>
    <format dxfId="864">
      <pivotArea dataOnly="0" labelOnly="1" outline="0" fieldPosition="0">
        <references count="1">
          <reference field="1" count="1">
            <x v="476"/>
          </reference>
        </references>
      </pivotArea>
    </format>
    <format dxfId="863">
      <pivotArea dataOnly="0" labelOnly="1" outline="0" fieldPosition="0">
        <references count="1">
          <reference field="1" count="1">
            <x v="477"/>
          </reference>
        </references>
      </pivotArea>
    </format>
    <format dxfId="862">
      <pivotArea dataOnly="0" labelOnly="1" outline="0" fieldPosition="0">
        <references count="1">
          <reference field="1" count="1">
            <x v="478"/>
          </reference>
        </references>
      </pivotArea>
    </format>
    <format dxfId="861">
      <pivotArea dataOnly="0" labelOnly="1" outline="0" fieldPosition="0">
        <references count="1">
          <reference field="1" count="1">
            <x v="479"/>
          </reference>
        </references>
      </pivotArea>
    </format>
    <format dxfId="860">
      <pivotArea dataOnly="0" labelOnly="1" outline="0" fieldPosition="0">
        <references count="1">
          <reference field="1" count="1">
            <x v="480"/>
          </reference>
        </references>
      </pivotArea>
    </format>
    <format dxfId="859">
      <pivotArea dataOnly="0" labelOnly="1" outline="0" fieldPosition="0">
        <references count="1">
          <reference field="1" count="1">
            <x v="481"/>
          </reference>
        </references>
      </pivotArea>
    </format>
    <format dxfId="858">
      <pivotArea dataOnly="0" labelOnly="1" outline="0" fieldPosition="0">
        <references count="1">
          <reference field="1" count="1">
            <x v="482"/>
          </reference>
        </references>
      </pivotArea>
    </format>
    <format dxfId="857">
      <pivotArea dataOnly="0" labelOnly="1" outline="0" fieldPosition="0">
        <references count="1">
          <reference field="1" count="1">
            <x v="483"/>
          </reference>
        </references>
      </pivotArea>
    </format>
    <format dxfId="856">
      <pivotArea dataOnly="0" labelOnly="1" outline="0" fieldPosition="0">
        <references count="1">
          <reference field="1" count="1">
            <x v="484"/>
          </reference>
        </references>
      </pivotArea>
    </format>
    <format dxfId="855">
      <pivotArea dataOnly="0" labelOnly="1" outline="0" fieldPosition="0">
        <references count="1">
          <reference field="1" count="1">
            <x v="485"/>
          </reference>
        </references>
      </pivotArea>
    </format>
    <format dxfId="854">
      <pivotArea dataOnly="0" labelOnly="1" outline="0" fieldPosition="0">
        <references count="1">
          <reference field="1" count="1">
            <x v="486"/>
          </reference>
        </references>
      </pivotArea>
    </format>
    <format dxfId="853">
      <pivotArea dataOnly="0" labelOnly="1" outline="0" fieldPosition="0">
        <references count="1">
          <reference field="1" count="1">
            <x v="487"/>
          </reference>
        </references>
      </pivotArea>
    </format>
    <format dxfId="852">
      <pivotArea dataOnly="0" labelOnly="1" outline="0" fieldPosition="0">
        <references count="1">
          <reference field="1" count="1">
            <x v="488"/>
          </reference>
        </references>
      </pivotArea>
    </format>
    <format dxfId="851">
      <pivotArea dataOnly="0" labelOnly="1" outline="0" fieldPosition="0">
        <references count="1">
          <reference field="1" count="1">
            <x v="489"/>
          </reference>
        </references>
      </pivotArea>
    </format>
    <format dxfId="850">
      <pivotArea dataOnly="0" labelOnly="1" outline="0" fieldPosition="0">
        <references count="1">
          <reference field="1" count="1">
            <x v="490"/>
          </reference>
        </references>
      </pivotArea>
    </format>
    <format dxfId="849">
      <pivotArea dataOnly="0" labelOnly="1" outline="0" fieldPosition="0">
        <references count="1">
          <reference field="1" count="1">
            <x v="491"/>
          </reference>
        </references>
      </pivotArea>
    </format>
    <format dxfId="848">
      <pivotArea dataOnly="0" labelOnly="1" outline="0" fieldPosition="0">
        <references count="1">
          <reference field="1" count="1">
            <x v="492"/>
          </reference>
        </references>
      </pivotArea>
    </format>
    <format dxfId="847">
      <pivotArea dataOnly="0" labelOnly="1" outline="0" fieldPosition="0">
        <references count="1">
          <reference field="1" count="1">
            <x v="493"/>
          </reference>
        </references>
      </pivotArea>
    </format>
    <format dxfId="846">
      <pivotArea dataOnly="0" labelOnly="1" outline="0" fieldPosition="0">
        <references count="1">
          <reference field="1" count="1">
            <x v="494"/>
          </reference>
        </references>
      </pivotArea>
    </format>
    <format dxfId="845">
      <pivotArea dataOnly="0" labelOnly="1" outline="0" fieldPosition="0">
        <references count="1">
          <reference field="1" count="1">
            <x v="495"/>
          </reference>
        </references>
      </pivotArea>
    </format>
    <format dxfId="844">
      <pivotArea dataOnly="0" labelOnly="1" outline="0" fieldPosition="0">
        <references count="1">
          <reference field="1" count="1">
            <x v="496"/>
          </reference>
        </references>
      </pivotArea>
    </format>
    <format dxfId="843">
      <pivotArea dataOnly="0" labelOnly="1" outline="0" fieldPosition="0">
        <references count="1">
          <reference field="1" count="1">
            <x v="497"/>
          </reference>
        </references>
      </pivotArea>
    </format>
    <format dxfId="842">
      <pivotArea dataOnly="0" labelOnly="1" outline="0" fieldPosition="0">
        <references count="1">
          <reference field="1" count="1">
            <x v="498"/>
          </reference>
        </references>
      </pivotArea>
    </format>
    <format dxfId="841">
      <pivotArea dataOnly="0" labelOnly="1" outline="0" fieldPosition="0">
        <references count="1">
          <reference field="1" count="1">
            <x v="499"/>
          </reference>
        </references>
      </pivotArea>
    </format>
    <format dxfId="840">
      <pivotArea dataOnly="0" labelOnly="1" outline="0" fieldPosition="0">
        <references count="1">
          <reference field="1" count="1">
            <x v="500"/>
          </reference>
        </references>
      </pivotArea>
    </format>
    <format dxfId="839">
      <pivotArea dataOnly="0" labelOnly="1" outline="0" fieldPosition="0">
        <references count="1">
          <reference field="1" count="1">
            <x v="501"/>
          </reference>
        </references>
      </pivotArea>
    </format>
    <format dxfId="838">
      <pivotArea dataOnly="0" labelOnly="1" outline="0" fieldPosition="0">
        <references count="1">
          <reference field="1" count="1">
            <x v="502"/>
          </reference>
        </references>
      </pivotArea>
    </format>
    <format dxfId="837">
      <pivotArea dataOnly="0" labelOnly="1" outline="0" fieldPosition="0">
        <references count="1">
          <reference field="1" count="1">
            <x v="503"/>
          </reference>
        </references>
      </pivotArea>
    </format>
    <format dxfId="836">
      <pivotArea dataOnly="0" labelOnly="1" outline="0" fieldPosition="0">
        <references count="1">
          <reference field="1" count="1">
            <x v="504"/>
          </reference>
        </references>
      </pivotArea>
    </format>
    <format dxfId="835">
      <pivotArea dataOnly="0" labelOnly="1" outline="0" fieldPosition="0">
        <references count="1">
          <reference field="1" count="1">
            <x v="505"/>
          </reference>
        </references>
      </pivotArea>
    </format>
    <format dxfId="834">
      <pivotArea dataOnly="0" labelOnly="1" outline="0" fieldPosition="0">
        <references count="1">
          <reference field="1" count="1">
            <x v="506"/>
          </reference>
        </references>
      </pivotArea>
    </format>
    <format dxfId="833">
      <pivotArea dataOnly="0" labelOnly="1" outline="0" fieldPosition="0">
        <references count="1">
          <reference field="1" count="1">
            <x v="507"/>
          </reference>
        </references>
      </pivotArea>
    </format>
    <format dxfId="832">
      <pivotArea dataOnly="0" labelOnly="1" outline="0" fieldPosition="0">
        <references count="1">
          <reference field="1" count="1">
            <x v="508"/>
          </reference>
        </references>
      </pivotArea>
    </format>
    <format dxfId="831">
      <pivotArea dataOnly="0" labelOnly="1" outline="0" fieldPosition="0">
        <references count="1">
          <reference field="1" count="1">
            <x v="509"/>
          </reference>
        </references>
      </pivotArea>
    </format>
    <format dxfId="830">
      <pivotArea dataOnly="0" labelOnly="1" outline="0" fieldPosition="0">
        <references count="1">
          <reference field="1" count="1">
            <x v="510"/>
          </reference>
        </references>
      </pivotArea>
    </format>
    <format dxfId="829">
      <pivotArea dataOnly="0" labelOnly="1" outline="0" fieldPosition="0">
        <references count="1">
          <reference field="1" count="1">
            <x v="511"/>
          </reference>
        </references>
      </pivotArea>
    </format>
    <format dxfId="828">
      <pivotArea dataOnly="0" labelOnly="1" outline="0" fieldPosition="0">
        <references count="1">
          <reference field="1" count="1">
            <x v="512"/>
          </reference>
        </references>
      </pivotArea>
    </format>
    <format dxfId="827">
      <pivotArea dataOnly="0" labelOnly="1" outline="0" fieldPosition="0">
        <references count="1">
          <reference field="1" count="1">
            <x v="513"/>
          </reference>
        </references>
      </pivotArea>
    </format>
    <format dxfId="826">
      <pivotArea dataOnly="0" labelOnly="1" outline="0" fieldPosition="0">
        <references count="1">
          <reference field="1" count="1">
            <x v="514"/>
          </reference>
        </references>
      </pivotArea>
    </format>
    <format dxfId="825">
      <pivotArea dataOnly="0" labelOnly="1" outline="0" fieldPosition="0">
        <references count="1">
          <reference field="1" count="1">
            <x v="515"/>
          </reference>
        </references>
      </pivotArea>
    </format>
    <format dxfId="824">
      <pivotArea dataOnly="0" labelOnly="1" outline="0" fieldPosition="0">
        <references count="1">
          <reference field="1" count="1">
            <x v="516"/>
          </reference>
        </references>
      </pivotArea>
    </format>
    <format dxfId="823">
      <pivotArea dataOnly="0" labelOnly="1" outline="0" fieldPosition="0">
        <references count="1">
          <reference field="1" count="1">
            <x v="517"/>
          </reference>
        </references>
      </pivotArea>
    </format>
    <format dxfId="822">
      <pivotArea dataOnly="0" labelOnly="1" outline="0" fieldPosition="0">
        <references count="1">
          <reference field="1" count="1">
            <x v="518"/>
          </reference>
        </references>
      </pivotArea>
    </format>
    <format dxfId="821">
      <pivotArea dataOnly="0" labelOnly="1" outline="0" fieldPosition="0">
        <references count="1">
          <reference field="1" count="1">
            <x v="519"/>
          </reference>
        </references>
      </pivotArea>
    </format>
    <format dxfId="820">
      <pivotArea dataOnly="0" labelOnly="1" outline="0" fieldPosition="0">
        <references count="1">
          <reference field="1" count="1">
            <x v="520"/>
          </reference>
        </references>
      </pivotArea>
    </format>
    <format dxfId="819">
      <pivotArea dataOnly="0" labelOnly="1" outline="0" fieldPosition="0">
        <references count="1">
          <reference field="1" count="1">
            <x v="521"/>
          </reference>
        </references>
      </pivotArea>
    </format>
    <format dxfId="818">
      <pivotArea dataOnly="0" labelOnly="1" outline="0" fieldPosition="0">
        <references count="1">
          <reference field="1" count="1">
            <x v="522"/>
          </reference>
        </references>
      </pivotArea>
    </format>
    <format dxfId="817">
      <pivotArea dataOnly="0" labelOnly="1" outline="0" fieldPosition="0">
        <references count="1">
          <reference field="1" count="1">
            <x v="523"/>
          </reference>
        </references>
      </pivotArea>
    </format>
    <format dxfId="816">
      <pivotArea dataOnly="0" labelOnly="1" outline="0" fieldPosition="0">
        <references count="1">
          <reference field="1" count="1">
            <x v="524"/>
          </reference>
        </references>
      </pivotArea>
    </format>
    <format dxfId="815">
      <pivotArea dataOnly="0" labelOnly="1" outline="0" fieldPosition="0">
        <references count="1">
          <reference field="1" count="1">
            <x v="525"/>
          </reference>
        </references>
      </pivotArea>
    </format>
    <format dxfId="814">
      <pivotArea dataOnly="0" labelOnly="1" outline="0" fieldPosition="0">
        <references count="1">
          <reference field="1" count="1">
            <x v="526"/>
          </reference>
        </references>
      </pivotArea>
    </format>
    <format dxfId="813">
      <pivotArea dataOnly="0" labelOnly="1" outline="0" fieldPosition="0">
        <references count="1">
          <reference field="1" count="1">
            <x v="527"/>
          </reference>
        </references>
      </pivotArea>
    </format>
    <format dxfId="812">
      <pivotArea dataOnly="0" labelOnly="1" outline="0" fieldPosition="0">
        <references count="1">
          <reference field="1" count="1">
            <x v="528"/>
          </reference>
        </references>
      </pivotArea>
    </format>
    <format dxfId="811">
      <pivotArea dataOnly="0" labelOnly="1" outline="0" fieldPosition="0">
        <references count="1">
          <reference field="1" count="1">
            <x v="529"/>
          </reference>
        </references>
      </pivotArea>
    </format>
    <format dxfId="810">
      <pivotArea dataOnly="0" labelOnly="1" outline="0" fieldPosition="0">
        <references count="1">
          <reference field="1" count="1">
            <x v="530"/>
          </reference>
        </references>
      </pivotArea>
    </format>
    <format dxfId="809">
      <pivotArea dataOnly="0" labelOnly="1" outline="0" fieldPosition="0">
        <references count="1">
          <reference field="1" count="1">
            <x v="531"/>
          </reference>
        </references>
      </pivotArea>
    </format>
    <format dxfId="808">
      <pivotArea dataOnly="0" labelOnly="1" outline="0" fieldPosition="0">
        <references count="1">
          <reference field="1" count="1">
            <x v="532"/>
          </reference>
        </references>
      </pivotArea>
    </format>
    <format dxfId="807">
      <pivotArea dataOnly="0" labelOnly="1" outline="0" fieldPosition="0">
        <references count="1">
          <reference field="1" count="1">
            <x v="533"/>
          </reference>
        </references>
      </pivotArea>
    </format>
    <format dxfId="806">
      <pivotArea dataOnly="0" labelOnly="1" outline="0" fieldPosition="0">
        <references count="1">
          <reference field="1" count="1">
            <x v="534"/>
          </reference>
        </references>
      </pivotArea>
    </format>
    <format dxfId="805">
      <pivotArea dataOnly="0" labelOnly="1" outline="0" fieldPosition="0">
        <references count="1">
          <reference field="1" count="1">
            <x v="535"/>
          </reference>
        </references>
      </pivotArea>
    </format>
    <format dxfId="804">
      <pivotArea dataOnly="0" labelOnly="1" outline="0" fieldPosition="0">
        <references count="1">
          <reference field="1" count="1">
            <x v="536"/>
          </reference>
        </references>
      </pivotArea>
    </format>
    <format dxfId="803">
      <pivotArea dataOnly="0" labelOnly="1" outline="0" fieldPosition="0">
        <references count="1">
          <reference field="1" count="1">
            <x v="537"/>
          </reference>
        </references>
      </pivotArea>
    </format>
    <format dxfId="802">
      <pivotArea dataOnly="0" labelOnly="1" outline="0" fieldPosition="0">
        <references count="1">
          <reference field="1" count="1">
            <x v="538"/>
          </reference>
        </references>
      </pivotArea>
    </format>
    <format dxfId="801">
      <pivotArea dataOnly="0" labelOnly="1" outline="0" fieldPosition="0">
        <references count="1">
          <reference field="1" count="1">
            <x v="539"/>
          </reference>
        </references>
      </pivotArea>
    </format>
    <format dxfId="800">
      <pivotArea dataOnly="0" labelOnly="1" outline="0" fieldPosition="0">
        <references count="1">
          <reference field="1" count="1">
            <x v="540"/>
          </reference>
        </references>
      </pivotArea>
    </format>
    <format dxfId="799">
      <pivotArea dataOnly="0" labelOnly="1" outline="0" fieldPosition="0">
        <references count="1">
          <reference field="1" count="1">
            <x v="541"/>
          </reference>
        </references>
      </pivotArea>
    </format>
    <format dxfId="798">
      <pivotArea dataOnly="0" labelOnly="1" outline="0" fieldPosition="0">
        <references count="1">
          <reference field="1" count="1">
            <x v="542"/>
          </reference>
        </references>
      </pivotArea>
    </format>
    <format dxfId="797">
      <pivotArea dataOnly="0" labelOnly="1" outline="0" fieldPosition="0">
        <references count="1">
          <reference field="1" count="1">
            <x v="543"/>
          </reference>
        </references>
      </pivotArea>
    </format>
    <format dxfId="796">
      <pivotArea dataOnly="0" labelOnly="1" outline="0" fieldPosition="0">
        <references count="1">
          <reference field="1" count="1">
            <x v="544"/>
          </reference>
        </references>
      </pivotArea>
    </format>
    <format dxfId="795">
      <pivotArea dataOnly="0" labelOnly="1" outline="0" fieldPosition="0">
        <references count="1">
          <reference field="1" count="1">
            <x v="545"/>
          </reference>
        </references>
      </pivotArea>
    </format>
    <format dxfId="794">
      <pivotArea dataOnly="0" labelOnly="1" outline="0" fieldPosition="0">
        <references count="1">
          <reference field="1" count="1">
            <x v="546"/>
          </reference>
        </references>
      </pivotArea>
    </format>
    <format dxfId="793">
      <pivotArea dataOnly="0" labelOnly="1" outline="0" fieldPosition="0">
        <references count="1">
          <reference field="1" count="1">
            <x v="547"/>
          </reference>
        </references>
      </pivotArea>
    </format>
    <format dxfId="792">
      <pivotArea dataOnly="0" labelOnly="1" outline="0" fieldPosition="0">
        <references count="1">
          <reference field="1" count="1">
            <x v="548"/>
          </reference>
        </references>
      </pivotArea>
    </format>
    <format dxfId="791">
      <pivotArea dataOnly="0" labelOnly="1" outline="0" fieldPosition="0">
        <references count="1">
          <reference field="1" count="1">
            <x v="549"/>
          </reference>
        </references>
      </pivotArea>
    </format>
    <format dxfId="790">
      <pivotArea dataOnly="0" labelOnly="1" outline="0" fieldPosition="0">
        <references count="1">
          <reference field="1" count="1">
            <x v="550"/>
          </reference>
        </references>
      </pivotArea>
    </format>
    <format dxfId="789">
      <pivotArea dataOnly="0" labelOnly="1" outline="0" fieldPosition="0">
        <references count="1">
          <reference field="1" count="1">
            <x v="551"/>
          </reference>
        </references>
      </pivotArea>
    </format>
    <format dxfId="788">
      <pivotArea dataOnly="0" labelOnly="1" outline="0" fieldPosition="0">
        <references count="1">
          <reference field="1" count="1">
            <x v="552"/>
          </reference>
        </references>
      </pivotArea>
    </format>
    <format dxfId="787">
      <pivotArea dataOnly="0" labelOnly="1" outline="0" fieldPosition="0">
        <references count="1">
          <reference field="1" count="1">
            <x v="553"/>
          </reference>
        </references>
      </pivotArea>
    </format>
    <format dxfId="786">
      <pivotArea dataOnly="0" labelOnly="1" outline="0" fieldPosition="0">
        <references count="1">
          <reference field="1" count="1">
            <x v="554"/>
          </reference>
        </references>
      </pivotArea>
    </format>
    <format dxfId="785">
      <pivotArea dataOnly="0" labelOnly="1" outline="0" fieldPosition="0">
        <references count="1">
          <reference field="1" count="1">
            <x v="555"/>
          </reference>
        </references>
      </pivotArea>
    </format>
    <format dxfId="784">
      <pivotArea dataOnly="0" labelOnly="1" outline="0" fieldPosition="0">
        <references count="1">
          <reference field="1" count="1">
            <x v="556"/>
          </reference>
        </references>
      </pivotArea>
    </format>
    <format dxfId="783">
      <pivotArea dataOnly="0" labelOnly="1" outline="0" fieldPosition="0">
        <references count="1">
          <reference field="1" count="1">
            <x v="557"/>
          </reference>
        </references>
      </pivotArea>
    </format>
    <format dxfId="782">
      <pivotArea dataOnly="0" labelOnly="1" outline="0" fieldPosition="0">
        <references count="1">
          <reference field="1" count="1">
            <x v="558"/>
          </reference>
        </references>
      </pivotArea>
    </format>
    <format dxfId="781">
      <pivotArea dataOnly="0" labelOnly="1" outline="0" fieldPosition="0">
        <references count="1">
          <reference field="1" count="1">
            <x v="559"/>
          </reference>
        </references>
      </pivotArea>
    </format>
    <format dxfId="780">
      <pivotArea dataOnly="0" labelOnly="1" outline="0" fieldPosition="0">
        <references count="1">
          <reference field="1" count="1">
            <x v="560"/>
          </reference>
        </references>
      </pivotArea>
    </format>
    <format dxfId="779">
      <pivotArea dataOnly="0" labelOnly="1" outline="0" fieldPosition="0">
        <references count="1">
          <reference field="1" count="1">
            <x v="561"/>
          </reference>
        </references>
      </pivotArea>
    </format>
    <format dxfId="778">
      <pivotArea dataOnly="0" labelOnly="1" outline="0" fieldPosition="0">
        <references count="1">
          <reference field="1" count="1">
            <x v="562"/>
          </reference>
        </references>
      </pivotArea>
    </format>
    <format dxfId="777">
      <pivotArea dataOnly="0" labelOnly="1" outline="0" fieldPosition="0">
        <references count="1">
          <reference field="1" count="1">
            <x v="563"/>
          </reference>
        </references>
      </pivotArea>
    </format>
    <format dxfId="776">
      <pivotArea dataOnly="0" labelOnly="1" outline="0" fieldPosition="0">
        <references count="1">
          <reference field="1" count="1">
            <x v="564"/>
          </reference>
        </references>
      </pivotArea>
    </format>
    <format dxfId="775">
      <pivotArea dataOnly="0" labelOnly="1" outline="0" fieldPosition="0">
        <references count="1">
          <reference field="1" count="1">
            <x v="565"/>
          </reference>
        </references>
      </pivotArea>
    </format>
    <format dxfId="774">
      <pivotArea dataOnly="0" labelOnly="1" outline="0" fieldPosition="0">
        <references count="1">
          <reference field="1" count="1">
            <x v="566"/>
          </reference>
        </references>
      </pivotArea>
    </format>
    <format dxfId="773">
      <pivotArea dataOnly="0" labelOnly="1" outline="0" fieldPosition="0">
        <references count="1">
          <reference field="1" count="1">
            <x v="567"/>
          </reference>
        </references>
      </pivotArea>
    </format>
    <format dxfId="772">
      <pivotArea dataOnly="0" labelOnly="1" outline="0" fieldPosition="0">
        <references count="1">
          <reference field="1" count="1">
            <x v="568"/>
          </reference>
        </references>
      </pivotArea>
    </format>
    <format dxfId="771">
      <pivotArea dataOnly="0" labelOnly="1" outline="0" fieldPosition="0">
        <references count="1">
          <reference field="1" count="1">
            <x v="569"/>
          </reference>
        </references>
      </pivotArea>
    </format>
    <format dxfId="770">
      <pivotArea dataOnly="0" labelOnly="1" outline="0" fieldPosition="0">
        <references count="1">
          <reference field="1" count="1">
            <x v="570"/>
          </reference>
        </references>
      </pivotArea>
    </format>
    <format dxfId="769">
      <pivotArea dataOnly="0" labelOnly="1" outline="0" fieldPosition="0">
        <references count="1">
          <reference field="1" count="1">
            <x v="571"/>
          </reference>
        </references>
      </pivotArea>
    </format>
    <format dxfId="768">
      <pivotArea dataOnly="0" labelOnly="1" outline="0" fieldPosition="0">
        <references count="1">
          <reference field="1" count="1">
            <x v="572"/>
          </reference>
        </references>
      </pivotArea>
    </format>
    <format dxfId="767">
      <pivotArea dataOnly="0" labelOnly="1" outline="0" fieldPosition="0">
        <references count="1">
          <reference field="1" count="1">
            <x v="573"/>
          </reference>
        </references>
      </pivotArea>
    </format>
    <format dxfId="766">
      <pivotArea dataOnly="0" labelOnly="1" outline="0" fieldPosition="0">
        <references count="1">
          <reference field="1" count="1">
            <x v="574"/>
          </reference>
        </references>
      </pivotArea>
    </format>
    <format dxfId="765">
      <pivotArea dataOnly="0" labelOnly="1" outline="0" fieldPosition="0">
        <references count="1">
          <reference field="1" count="1">
            <x v="575"/>
          </reference>
        </references>
      </pivotArea>
    </format>
    <format dxfId="764">
      <pivotArea dataOnly="0" labelOnly="1" outline="0" fieldPosition="0">
        <references count="1">
          <reference field="1" count="1">
            <x v="576"/>
          </reference>
        </references>
      </pivotArea>
    </format>
    <format dxfId="763">
      <pivotArea dataOnly="0" labelOnly="1" outline="0" fieldPosition="0">
        <references count="1">
          <reference field="1" count="1">
            <x v="577"/>
          </reference>
        </references>
      </pivotArea>
    </format>
    <format dxfId="762">
      <pivotArea dataOnly="0" labelOnly="1" outline="0" fieldPosition="0">
        <references count="1">
          <reference field="1" count="1">
            <x v="578"/>
          </reference>
        </references>
      </pivotArea>
    </format>
    <format dxfId="761">
      <pivotArea dataOnly="0" labelOnly="1" outline="0" fieldPosition="0">
        <references count="1">
          <reference field="1" count="1">
            <x v="579"/>
          </reference>
        </references>
      </pivotArea>
    </format>
    <format dxfId="760">
      <pivotArea dataOnly="0" labelOnly="1" outline="0" fieldPosition="0">
        <references count="1">
          <reference field="1" count="1">
            <x v="580"/>
          </reference>
        </references>
      </pivotArea>
    </format>
    <format dxfId="759">
      <pivotArea dataOnly="0" labelOnly="1" outline="0" fieldPosition="0">
        <references count="1">
          <reference field="1" count="1">
            <x v="581"/>
          </reference>
        </references>
      </pivotArea>
    </format>
    <format dxfId="758">
      <pivotArea dataOnly="0" labelOnly="1" outline="0" fieldPosition="0">
        <references count="1">
          <reference field="1" count="1">
            <x v="582"/>
          </reference>
        </references>
      </pivotArea>
    </format>
    <format dxfId="757">
      <pivotArea dataOnly="0" labelOnly="1" outline="0" fieldPosition="0">
        <references count="1">
          <reference field="1" count="1">
            <x v="583"/>
          </reference>
        </references>
      </pivotArea>
    </format>
    <format dxfId="756">
      <pivotArea dataOnly="0" labelOnly="1" outline="0" fieldPosition="0">
        <references count="1">
          <reference field="1" count="1">
            <x v="584"/>
          </reference>
        </references>
      </pivotArea>
    </format>
    <format dxfId="755">
      <pivotArea dataOnly="0" labelOnly="1" outline="0" fieldPosition="0">
        <references count="1">
          <reference field="1" count="1">
            <x v="585"/>
          </reference>
        </references>
      </pivotArea>
    </format>
    <format dxfId="754">
      <pivotArea dataOnly="0" labelOnly="1" outline="0" fieldPosition="0">
        <references count="1">
          <reference field="1" count="1">
            <x v="586"/>
          </reference>
        </references>
      </pivotArea>
    </format>
    <format dxfId="753">
      <pivotArea dataOnly="0" labelOnly="1" outline="0" fieldPosition="0">
        <references count="1">
          <reference field="1" count="1">
            <x v="587"/>
          </reference>
        </references>
      </pivotArea>
    </format>
    <format dxfId="752">
      <pivotArea dataOnly="0" labelOnly="1" outline="0" fieldPosition="0">
        <references count="1">
          <reference field="1" count="1">
            <x v="588"/>
          </reference>
        </references>
      </pivotArea>
    </format>
    <format dxfId="751">
      <pivotArea dataOnly="0" labelOnly="1" outline="0" fieldPosition="0">
        <references count="1">
          <reference field="1" count="1">
            <x v="589"/>
          </reference>
        </references>
      </pivotArea>
    </format>
    <format dxfId="750">
      <pivotArea dataOnly="0" labelOnly="1" outline="0" fieldPosition="0">
        <references count="1">
          <reference field="1" count="1">
            <x v="590"/>
          </reference>
        </references>
      </pivotArea>
    </format>
    <format dxfId="749">
      <pivotArea dataOnly="0" labelOnly="1" outline="0" fieldPosition="0">
        <references count="1">
          <reference field="1" count="1">
            <x v="591"/>
          </reference>
        </references>
      </pivotArea>
    </format>
    <format dxfId="748">
      <pivotArea dataOnly="0" labelOnly="1" outline="0" fieldPosition="0">
        <references count="1">
          <reference field="1" count="1">
            <x v="592"/>
          </reference>
        </references>
      </pivotArea>
    </format>
    <format dxfId="747">
      <pivotArea dataOnly="0" labelOnly="1" outline="0" fieldPosition="0">
        <references count="1">
          <reference field="1" count="1">
            <x v="593"/>
          </reference>
        </references>
      </pivotArea>
    </format>
    <format dxfId="746">
      <pivotArea dataOnly="0" labelOnly="1" outline="0" fieldPosition="0">
        <references count="1">
          <reference field="1" count="1">
            <x v="594"/>
          </reference>
        </references>
      </pivotArea>
    </format>
    <format dxfId="745">
      <pivotArea dataOnly="0" labelOnly="1" outline="0" fieldPosition="0">
        <references count="1">
          <reference field="1" count="1">
            <x v="595"/>
          </reference>
        </references>
      </pivotArea>
    </format>
    <format dxfId="744">
      <pivotArea dataOnly="0" labelOnly="1" outline="0" fieldPosition="0">
        <references count="1">
          <reference field="1" count="1">
            <x v="596"/>
          </reference>
        </references>
      </pivotArea>
    </format>
    <format dxfId="743">
      <pivotArea dataOnly="0" labelOnly="1" outline="0" fieldPosition="0">
        <references count="1">
          <reference field="1" count="1">
            <x v="597"/>
          </reference>
        </references>
      </pivotArea>
    </format>
    <format dxfId="742">
      <pivotArea dataOnly="0" labelOnly="1" outline="0" fieldPosition="0">
        <references count="1">
          <reference field="1" count="1">
            <x v="598"/>
          </reference>
        </references>
      </pivotArea>
    </format>
    <format dxfId="741">
      <pivotArea dataOnly="0" labelOnly="1" outline="0" fieldPosition="0">
        <references count="1">
          <reference field="1" count="1">
            <x v="599"/>
          </reference>
        </references>
      </pivotArea>
    </format>
    <format dxfId="740">
      <pivotArea dataOnly="0" labelOnly="1" outline="0" fieldPosition="0">
        <references count="1">
          <reference field="1" count="1">
            <x v="600"/>
          </reference>
        </references>
      </pivotArea>
    </format>
    <format dxfId="739">
      <pivotArea dataOnly="0" labelOnly="1" outline="0" fieldPosition="0">
        <references count="1">
          <reference field="1" count="1">
            <x v="601"/>
          </reference>
        </references>
      </pivotArea>
    </format>
    <format dxfId="738">
      <pivotArea dataOnly="0" labelOnly="1" outline="0" fieldPosition="0">
        <references count="1">
          <reference field="1" count="1">
            <x v="602"/>
          </reference>
        </references>
      </pivotArea>
    </format>
    <format dxfId="737">
      <pivotArea dataOnly="0" labelOnly="1" outline="0" fieldPosition="0">
        <references count="1">
          <reference field="1" count="1">
            <x v="603"/>
          </reference>
        </references>
      </pivotArea>
    </format>
    <format dxfId="736">
      <pivotArea dataOnly="0" labelOnly="1" outline="0" fieldPosition="0">
        <references count="1">
          <reference field="1" count="1">
            <x v="604"/>
          </reference>
        </references>
      </pivotArea>
    </format>
    <format dxfId="735">
      <pivotArea dataOnly="0" labelOnly="1" outline="0" fieldPosition="0">
        <references count="1">
          <reference field="1" count="1">
            <x v="605"/>
          </reference>
        </references>
      </pivotArea>
    </format>
    <format dxfId="734">
      <pivotArea dataOnly="0" labelOnly="1" outline="0" fieldPosition="0">
        <references count="1">
          <reference field="1" count="1">
            <x v="606"/>
          </reference>
        </references>
      </pivotArea>
    </format>
    <format dxfId="733">
      <pivotArea dataOnly="0" labelOnly="1" outline="0" fieldPosition="0">
        <references count="1">
          <reference field="1" count="1">
            <x v="607"/>
          </reference>
        </references>
      </pivotArea>
    </format>
    <format dxfId="732">
      <pivotArea dataOnly="0" labelOnly="1" outline="0" fieldPosition="0">
        <references count="1">
          <reference field="1" count="1">
            <x v="608"/>
          </reference>
        </references>
      </pivotArea>
    </format>
    <format dxfId="731">
      <pivotArea dataOnly="0" labelOnly="1" outline="0" fieldPosition="0">
        <references count="1">
          <reference field="1" count="1">
            <x v="609"/>
          </reference>
        </references>
      </pivotArea>
    </format>
    <format dxfId="730">
      <pivotArea dataOnly="0" labelOnly="1" outline="0" fieldPosition="0">
        <references count="1">
          <reference field="1" count="1">
            <x v="610"/>
          </reference>
        </references>
      </pivotArea>
    </format>
    <format dxfId="729">
      <pivotArea dataOnly="0" labelOnly="1" outline="0" fieldPosition="0">
        <references count="1">
          <reference field="1" count="1">
            <x v="611"/>
          </reference>
        </references>
      </pivotArea>
    </format>
    <format dxfId="728">
      <pivotArea dataOnly="0" labelOnly="1" outline="0" fieldPosition="0">
        <references count="1">
          <reference field="1" count="1">
            <x v="612"/>
          </reference>
        </references>
      </pivotArea>
    </format>
    <format dxfId="727">
      <pivotArea dataOnly="0" labelOnly="1" outline="0" fieldPosition="0">
        <references count="1">
          <reference field="1" count="1">
            <x v="613"/>
          </reference>
        </references>
      </pivotArea>
    </format>
    <format dxfId="726">
      <pivotArea dataOnly="0" labelOnly="1" outline="0" fieldPosition="0">
        <references count="1">
          <reference field="1" count="1">
            <x v="614"/>
          </reference>
        </references>
      </pivotArea>
    </format>
    <format dxfId="725">
      <pivotArea dataOnly="0" labelOnly="1" outline="0" fieldPosition="0">
        <references count="1">
          <reference field="1" count="1">
            <x v="615"/>
          </reference>
        </references>
      </pivotArea>
    </format>
    <format dxfId="724">
      <pivotArea dataOnly="0" labelOnly="1" outline="0" fieldPosition="0">
        <references count="1">
          <reference field="1" count="1">
            <x v="616"/>
          </reference>
        </references>
      </pivotArea>
    </format>
    <format dxfId="723">
      <pivotArea dataOnly="0" labelOnly="1" outline="0" fieldPosition="0">
        <references count="1">
          <reference field="1" count="1">
            <x v="617"/>
          </reference>
        </references>
      </pivotArea>
    </format>
    <format dxfId="722">
      <pivotArea dataOnly="0" labelOnly="1" outline="0" fieldPosition="0">
        <references count="1">
          <reference field="1" count="1">
            <x v="618"/>
          </reference>
        </references>
      </pivotArea>
    </format>
    <format dxfId="721">
      <pivotArea dataOnly="0" labelOnly="1" outline="0" fieldPosition="0">
        <references count="1">
          <reference field="1" count="1">
            <x v="619"/>
          </reference>
        </references>
      </pivotArea>
    </format>
    <format dxfId="720">
      <pivotArea dataOnly="0" labelOnly="1" outline="0" fieldPosition="0">
        <references count="1">
          <reference field="1" count="1">
            <x v="620"/>
          </reference>
        </references>
      </pivotArea>
    </format>
    <format dxfId="719">
      <pivotArea dataOnly="0" labelOnly="1" outline="0" fieldPosition="0">
        <references count="1">
          <reference field="1" count="1">
            <x v="621"/>
          </reference>
        </references>
      </pivotArea>
    </format>
    <format dxfId="718">
      <pivotArea dataOnly="0" labelOnly="1" outline="0" fieldPosition="0">
        <references count="1">
          <reference field="1" count="1">
            <x v="622"/>
          </reference>
        </references>
      </pivotArea>
    </format>
    <format dxfId="717">
      <pivotArea dataOnly="0" labelOnly="1" outline="0" fieldPosition="0">
        <references count="1">
          <reference field="1" count="1">
            <x v="623"/>
          </reference>
        </references>
      </pivotArea>
    </format>
    <format dxfId="716">
      <pivotArea dataOnly="0" labelOnly="1" outline="0" fieldPosition="0">
        <references count="1">
          <reference field="1" count="1">
            <x v="624"/>
          </reference>
        </references>
      </pivotArea>
    </format>
    <format dxfId="715">
      <pivotArea dataOnly="0" labelOnly="1" outline="0" fieldPosition="0">
        <references count="1">
          <reference field="1" count="1">
            <x v="625"/>
          </reference>
        </references>
      </pivotArea>
    </format>
    <format dxfId="714">
      <pivotArea dataOnly="0" labelOnly="1" outline="0" fieldPosition="0">
        <references count="1">
          <reference field="1" count="1">
            <x v="626"/>
          </reference>
        </references>
      </pivotArea>
    </format>
    <format dxfId="713">
      <pivotArea dataOnly="0" labelOnly="1" outline="0" fieldPosition="0">
        <references count="1">
          <reference field="1" count="1">
            <x v="627"/>
          </reference>
        </references>
      </pivotArea>
    </format>
    <format dxfId="712">
      <pivotArea dataOnly="0" labelOnly="1" outline="0" fieldPosition="0">
        <references count="1">
          <reference field="1" count="1">
            <x v="628"/>
          </reference>
        </references>
      </pivotArea>
    </format>
    <format dxfId="711">
      <pivotArea dataOnly="0" labelOnly="1" outline="0" fieldPosition="0">
        <references count="1">
          <reference field="1" count="1">
            <x v="629"/>
          </reference>
        </references>
      </pivotArea>
    </format>
    <format dxfId="710">
      <pivotArea dataOnly="0" labelOnly="1" outline="0" fieldPosition="0">
        <references count="1">
          <reference field="1" count="1">
            <x v="630"/>
          </reference>
        </references>
      </pivotArea>
    </format>
    <format dxfId="709">
      <pivotArea dataOnly="0" labelOnly="1" outline="0" fieldPosition="0">
        <references count="1">
          <reference field="1" count="1">
            <x v="631"/>
          </reference>
        </references>
      </pivotArea>
    </format>
    <format dxfId="708">
      <pivotArea dataOnly="0" labelOnly="1" outline="0" fieldPosition="0">
        <references count="1">
          <reference field="1" count="1">
            <x v="632"/>
          </reference>
        </references>
      </pivotArea>
    </format>
    <format dxfId="707">
      <pivotArea dataOnly="0" labelOnly="1" outline="0" fieldPosition="0">
        <references count="1">
          <reference field="1" count="1">
            <x v="633"/>
          </reference>
        </references>
      </pivotArea>
    </format>
    <format dxfId="706">
      <pivotArea dataOnly="0" labelOnly="1" outline="0" fieldPosition="0">
        <references count="1">
          <reference field="1" count="1">
            <x v="634"/>
          </reference>
        </references>
      </pivotArea>
    </format>
    <format dxfId="705">
      <pivotArea dataOnly="0" labelOnly="1" outline="0" fieldPosition="0">
        <references count="1">
          <reference field="1" count="1">
            <x v="635"/>
          </reference>
        </references>
      </pivotArea>
    </format>
    <format dxfId="704">
      <pivotArea dataOnly="0" labelOnly="1" outline="0" fieldPosition="0">
        <references count="1">
          <reference field="1" count="1">
            <x v="636"/>
          </reference>
        </references>
      </pivotArea>
    </format>
    <format dxfId="703">
      <pivotArea dataOnly="0" labelOnly="1" outline="0" fieldPosition="0">
        <references count="1">
          <reference field="1" count="1">
            <x v="637"/>
          </reference>
        </references>
      </pivotArea>
    </format>
    <format dxfId="702">
      <pivotArea dataOnly="0" labelOnly="1" outline="0" fieldPosition="0">
        <references count="1">
          <reference field="1" count="1">
            <x v="638"/>
          </reference>
        </references>
      </pivotArea>
    </format>
    <format dxfId="701">
      <pivotArea dataOnly="0" labelOnly="1" outline="0" fieldPosition="0">
        <references count="1">
          <reference field="1" count="1">
            <x v="639"/>
          </reference>
        </references>
      </pivotArea>
    </format>
    <format dxfId="700">
      <pivotArea dataOnly="0" labelOnly="1" outline="0" fieldPosition="0">
        <references count="1">
          <reference field="1" count="1">
            <x v="640"/>
          </reference>
        </references>
      </pivotArea>
    </format>
    <format dxfId="699">
      <pivotArea dataOnly="0" labelOnly="1" outline="0" fieldPosition="0">
        <references count="1">
          <reference field="1" count="1">
            <x v="641"/>
          </reference>
        </references>
      </pivotArea>
    </format>
    <format dxfId="698">
      <pivotArea dataOnly="0" labelOnly="1" outline="0" fieldPosition="0">
        <references count="1">
          <reference field="1" count="1">
            <x v="642"/>
          </reference>
        </references>
      </pivotArea>
    </format>
    <format dxfId="697">
      <pivotArea dataOnly="0" labelOnly="1" outline="0" fieldPosition="0">
        <references count="1">
          <reference field="1" count="1">
            <x v="643"/>
          </reference>
        </references>
      </pivotArea>
    </format>
    <format dxfId="696">
      <pivotArea dataOnly="0" labelOnly="1" outline="0" fieldPosition="0">
        <references count="1">
          <reference field="1" count="1">
            <x v="644"/>
          </reference>
        </references>
      </pivotArea>
    </format>
    <format dxfId="695">
      <pivotArea dataOnly="0" labelOnly="1" outline="0" fieldPosition="0">
        <references count="1">
          <reference field="1" count="1">
            <x v="645"/>
          </reference>
        </references>
      </pivotArea>
    </format>
    <format dxfId="694">
      <pivotArea dataOnly="0" labelOnly="1" outline="0" fieldPosition="0">
        <references count="1">
          <reference field="1" count="1">
            <x v="646"/>
          </reference>
        </references>
      </pivotArea>
    </format>
    <format dxfId="693">
      <pivotArea dataOnly="0" labelOnly="1" outline="0" fieldPosition="0">
        <references count="1">
          <reference field="1" count="1">
            <x v="647"/>
          </reference>
        </references>
      </pivotArea>
    </format>
    <format dxfId="692">
      <pivotArea dataOnly="0" labelOnly="1" outline="0" fieldPosition="0">
        <references count="1">
          <reference field="1" count="1">
            <x v="648"/>
          </reference>
        </references>
      </pivotArea>
    </format>
    <format dxfId="691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2" totalsRowShown="0" headerRowDxfId="1363" dataDxfId="1413" headerRowBorderDxfId="1414" headerRowCellStyle="Normal 2">
  <autoFilter ref="B10:AA12" xr:uid="{7EC467B7-DE9E-48DF-95B5-2995F1F6DE8F}"/>
  <tableColumns count="26">
    <tableColumn id="1" xr3:uid="{CDAE6949-9186-42E8-AEBE-1928381A0155}" name="Field" dataDxfId="1412" dataCellStyle="Normal 2"/>
    <tableColumn id="2" xr3:uid="{24D139B7-BFC8-4DD9-8DE4-2245810E04F3}" name="Definition" dataDxfId="1362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361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411"/>
    <tableColumn id="8" xr3:uid="{30CDB1E0-924C-48B4-82F4-9B3E3228BE95}" name="Distinct %" dataDxfId="1410"/>
    <tableColumn id="12" xr3:uid="{03824906-BEA5-4B63-A981-21F959B6439E}" name="Missing %" dataDxfId="1409" dataCellStyle="Percent 2"/>
    <tableColumn id="6" xr3:uid="{8DFFE5A0-8676-4576-AB4D-97E8B31EC097}" name="Memory Usage %" dataDxfId="1408" dataCellStyle="Percent 2"/>
    <tableColumn id="5" xr3:uid="{DD50C3DA-F4A8-40F0-AFBD-DBF916650F7E}" name="Memory Usage" dataDxfId="1407"/>
    <tableColumn id="7" xr3:uid="{A0CD56D0-07EF-46CA-BC46-D54CD5E746C7}" name="Distinct" dataDxfId="1406"/>
    <tableColumn id="9" xr3:uid="{1C848176-6AC1-44A6-9B3B-F1C9E8BC32EA}" name="Count" dataDxfId="1405"/>
    <tableColumn id="10" xr3:uid="{6C6E6A37-4969-459F-AC39-2193366810E2}" name="Count %" dataDxfId="1404"/>
    <tableColumn id="11" xr3:uid="{CD47252D-0307-4513-AF7C-13CC4AA1FCD9}" name="Missing" dataDxfId="1403"/>
    <tableColumn id="13" xr3:uid="{2B45F7F8-CE35-48A6-BB27-9684B5D7936D}" name="Mean" dataDxfId="1402"/>
    <tableColumn id="14" xr3:uid="{293386E4-1FA6-4340-9DC6-54CC26209C0A}" name="Median" dataDxfId="1401"/>
    <tableColumn id="15" xr3:uid="{29252F5E-4163-4D62-89FC-FF85F6C4755C}" name="Mode" dataDxfId="1400"/>
    <tableColumn id="16" xr3:uid="{69FFA3C1-FD1E-4395-AF2E-177FDFCDE62A}" name="Standard Deviation" dataDxfId="1399"/>
    <tableColumn id="17" xr3:uid="{2AAB37E9-8AE2-4771-B92B-C04BFABA0B4E}" name="Variance" dataDxfId="1398"/>
    <tableColumn id="18" xr3:uid="{07151E41-6633-4A65-A7E1-091F027DEF95}" name="Min" dataDxfId="1397"/>
    <tableColumn id="19" xr3:uid="{41A1FD5D-4E5C-45B3-A0C7-1820F89F417F}" name="5%" dataDxfId="1396"/>
    <tableColumn id="20" xr3:uid="{50D70984-5A2E-4A19-9F2B-5DA0502339BC}" name="25%" dataDxfId="1395"/>
    <tableColumn id="21" xr3:uid="{75FF5489-8FC0-4894-83BC-802076BF1066}" name="50%" dataDxfId="1394"/>
    <tableColumn id="22" xr3:uid="{B7FA20A8-EE17-470E-93AD-54011230C113}" name="75%" dataDxfId="1393"/>
    <tableColumn id="23" xr3:uid="{378BE758-7A3F-4C04-A75B-FE899B1B0BAD}" name="95%" dataDxfId="1392"/>
    <tableColumn id="24" xr3:uid="{818594E7-DC84-4229-81F6-97C1E2E93633}" name="Max" dataDxfId="1391"/>
    <tableColumn id="25" xr3:uid="{D8116583-A886-47C1-85E2-D28AD96194AD}" name="Range" dataDxfId="1390"/>
    <tableColumn id="26" xr3:uid="{D061AC6A-EAB2-461F-8AB8-E743DC68E666}" name="IQR" dataDxfId="138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G727" totalsRowShown="0" headerRowDxfId="1379" dataDxfId="1378">
  <autoFilter ref="C78:G727" xr:uid="{DB263373-2B4F-4302-9CF6-5012CE3F1A47}"/>
  <tableColumns count="5">
    <tableColumn id="1" xr3:uid="{B87F6371-B38F-4AA9-8A9B-F1D62600E38F}" name="Record List" dataDxfId="1359" dataCellStyle="Normal 2"/>
    <tableColumn id="2" xr3:uid="{55547D6A-0C4F-44F3-8DA7-D9918F9ECA79}" name="Date" dataDxfId="1377"/>
    <tableColumn id="8" xr3:uid="{5CEA6B82-08F7-4BBF-BE74-DD211F1E2384}" name="Price" dataDxfId="1376"/>
    <tableColumn id="3" xr3:uid="{6C0B3232-D5C0-4185-AF99-A47484E561D2}" name="HasBlank" dataDxfId="1375"/>
    <tableColumn id="4" xr3:uid="{E0CEBD14-58F1-4D23-88F6-56ABEB17EAA2}" name="Record Hash" dataDxfId="1360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2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3" t="str">
        <f>Name</f>
        <v>dowjones</v>
      </c>
      <c r="C2"/>
      <c r="AA2" s="99"/>
    </row>
    <row r="3" spans="2:27" ht="10.050000000000001" customHeight="1">
      <c r="B3"/>
      <c r="C3"/>
      <c r="AA3" s="100"/>
    </row>
    <row r="4" spans="2:27">
      <c r="B4" s="82" t="s">
        <v>25</v>
      </c>
      <c r="C4" s="46">
        <v>649</v>
      </c>
      <c r="AA4" s="101"/>
    </row>
    <row r="5" spans="2:27">
      <c r="B5" s="82" t="s">
        <v>26</v>
      </c>
      <c r="C5" s="47">
        <v>2</v>
      </c>
    </row>
    <row r="6" spans="2:27">
      <c r="B6" s="84" t="s">
        <v>4</v>
      </c>
      <c r="C6" s="47" t="s">
        <v>59</v>
      </c>
      <c r="F6" s="44"/>
    </row>
    <row r="7" spans="2:27">
      <c r="B7" s="80" t="s">
        <v>7</v>
      </c>
      <c r="C7" s="43">
        <v>1</v>
      </c>
    </row>
    <row r="8" spans="2:27">
      <c r="B8" s="84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5" t="s">
        <v>27</v>
      </c>
      <c r="C10" s="116" t="s">
        <v>28</v>
      </c>
      <c r="D10" s="116" t="s">
        <v>29</v>
      </c>
      <c r="E10" s="117" t="s">
        <v>3</v>
      </c>
      <c r="F10" s="117" t="s">
        <v>7</v>
      </c>
      <c r="G10" s="117" t="s">
        <v>10</v>
      </c>
      <c r="H10" s="117" t="s">
        <v>5</v>
      </c>
      <c r="I10" s="117" t="s">
        <v>4</v>
      </c>
      <c r="J10" s="117" t="s">
        <v>6</v>
      </c>
      <c r="K10" s="117" t="s">
        <v>8</v>
      </c>
      <c r="L10" s="117" t="s">
        <v>31</v>
      </c>
      <c r="M10" s="117" t="s">
        <v>9</v>
      </c>
      <c r="N10" s="117" t="s">
        <v>11</v>
      </c>
      <c r="O10" s="117" t="s">
        <v>12</v>
      </c>
      <c r="P10" s="117" t="s">
        <v>13</v>
      </c>
      <c r="Q10" s="117" t="s">
        <v>14</v>
      </c>
      <c r="R10" s="117" t="s">
        <v>15</v>
      </c>
      <c r="S10" s="117" t="s">
        <v>16</v>
      </c>
      <c r="T10" s="118" t="s">
        <v>32</v>
      </c>
      <c r="U10" s="118" t="s">
        <v>33</v>
      </c>
      <c r="V10" s="118" t="s">
        <v>34</v>
      </c>
      <c r="W10" s="118" t="s">
        <v>35</v>
      </c>
      <c r="X10" s="118" t="s">
        <v>36</v>
      </c>
      <c r="Y10" s="117" t="s">
        <v>17</v>
      </c>
      <c r="Z10" s="117" t="s">
        <v>18</v>
      </c>
      <c r="AA10" s="117" t="s">
        <v>19</v>
      </c>
    </row>
    <row r="11" spans="2:27">
      <c r="B11" s="57" t="s">
        <v>56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89" t="s">
        <v>60</v>
      </c>
      <c r="F11" s="49">
        <v>1</v>
      </c>
      <c r="G11" s="50">
        <v>0</v>
      </c>
      <c r="H11" s="49">
        <v>0.33333333333333298</v>
      </c>
      <c r="I11" s="51">
        <v>5192</v>
      </c>
      <c r="J11" s="51">
        <v>649</v>
      </c>
      <c r="K11" s="51">
        <v>649</v>
      </c>
      <c r="L11" s="52">
        <v>1</v>
      </c>
      <c r="M11" s="51">
        <v>0</v>
      </c>
      <c r="N11" s="53">
        <v>15310.738058553241</v>
      </c>
      <c r="O11" s="53">
        <v>15311</v>
      </c>
      <c r="P11" s="53">
        <v>5449</v>
      </c>
      <c r="Q11" s="53"/>
      <c r="R11" s="53"/>
      <c r="S11" s="53">
        <v>5449</v>
      </c>
      <c r="T11" s="53">
        <v>6435.4</v>
      </c>
      <c r="U11" s="53">
        <v>10380</v>
      </c>
      <c r="V11" s="53">
        <v>15311</v>
      </c>
      <c r="W11" s="53">
        <v>20241</v>
      </c>
      <c r="X11" s="53">
        <v>24185.599999999999</v>
      </c>
      <c r="Y11" s="53">
        <v>25173</v>
      </c>
      <c r="Z11" s="53" t="s">
        <v>61</v>
      </c>
      <c r="AA11" s="53" t="s">
        <v>62</v>
      </c>
    </row>
    <row r="12" spans="2:27">
      <c r="B12" s="125" t="s">
        <v>57</v>
      </c>
      <c r="C12" s="126" t="str">
        <f>IF(INDEX(Definitions,1,MATCH(tbl_Overview[[#This Row],[Field]],Headers,0))="Definition","",INDEX(Definitions,1,MATCH(tbl_Overview[[#This Row],[Field]],Headers,0)))</f>
        <v/>
      </c>
      <c r="D12" s="127" t="str">
        <f>IF(INDEX(Notes,1,MATCH(tbl_Overview[[#This Row],[Field]],Headers,0))="Notes","",INDEX(Notes,1,MATCH(tbl_Overview[[#This Row],[Field]],Headers,0)))</f>
        <v/>
      </c>
      <c r="E12" s="128" t="s">
        <v>63</v>
      </c>
      <c r="F12" s="129">
        <v>0.98151001540831995</v>
      </c>
      <c r="G12" s="130">
        <v>0</v>
      </c>
      <c r="H12" s="131">
        <v>0.33333333333333298</v>
      </c>
      <c r="I12" s="132">
        <v>5192</v>
      </c>
      <c r="J12" s="132">
        <v>637</v>
      </c>
      <c r="K12" s="132">
        <v>649</v>
      </c>
      <c r="L12" s="129">
        <v>1</v>
      </c>
      <c r="M12" s="132">
        <v>0</v>
      </c>
      <c r="N12" s="133">
        <v>290.80731895223403</v>
      </c>
      <c r="O12" s="133">
        <v>172.27</v>
      </c>
      <c r="P12" s="133">
        <v>75.7</v>
      </c>
      <c r="Q12" s="133">
        <v>256.06290602240699</v>
      </c>
      <c r="R12" s="133">
        <v>65568.211840640404</v>
      </c>
      <c r="S12" s="133">
        <v>46.85</v>
      </c>
      <c r="T12" s="133">
        <v>76.06</v>
      </c>
      <c r="U12" s="133">
        <v>106.9</v>
      </c>
      <c r="V12" s="133">
        <v>172.27</v>
      </c>
      <c r="W12" s="133">
        <v>436.73</v>
      </c>
      <c r="X12" s="133">
        <v>879.24800000000005</v>
      </c>
      <c r="Y12" s="133">
        <v>985.93</v>
      </c>
      <c r="Z12" s="133">
        <v>939.07999999999902</v>
      </c>
      <c r="AA12" s="133">
        <v>329.83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2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727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5" customWidth="1"/>
    <col min="3" max="3" width="25.77734375" style="6" customWidth="1"/>
    <col min="4" max="5" width="27.77734375" style="1" customWidth="1"/>
    <col min="6" max="6" width="15.77734375" style="1" customWidth="1"/>
    <col min="7" max="7" width="15.77734375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38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ht="10.050000000000001" customHeight="1">
      <c r="A2" s="59"/>
      <c r="B2" s="103"/>
      <c r="C2" s="59"/>
      <c r="D2"/>
      <c r="E2"/>
    </row>
    <row r="3" spans="1:14" ht="36.6" customHeight="1">
      <c r="A3" s="61"/>
      <c r="B3" s="102" t="s">
        <v>0</v>
      </c>
      <c r="C3" s="73" t="s">
        <v>55</v>
      </c>
      <c r="D3"/>
      <c r="E3"/>
      <c r="F3" s="94"/>
      <c r="H3" s="91"/>
    </row>
    <row r="4" spans="1:14" ht="4.95" customHeight="1">
      <c r="A4" s="59"/>
      <c r="B4" s="103"/>
      <c r="C4" s="59"/>
      <c r="D4"/>
      <c r="E4"/>
      <c r="F4" s="93"/>
    </row>
    <row r="5" spans="1:14" ht="19.95" customHeight="1">
      <c r="A5" s="61"/>
      <c r="B5" s="72" t="s">
        <v>0</v>
      </c>
      <c r="C5" s="74" t="s">
        <v>29</v>
      </c>
      <c r="D5"/>
      <c r="E5"/>
      <c r="F5" s="95"/>
    </row>
    <row r="6" spans="1:14" ht="4.95" customHeight="1">
      <c r="A6" s="30"/>
      <c r="B6" s="67"/>
      <c r="C6" s="68"/>
      <c r="D6" s="61"/>
      <c r="E6" s="61"/>
      <c r="F6" s="61"/>
      <c r="G6" s="92"/>
    </row>
    <row r="7" spans="1:14" ht="37.799999999999997" hidden="1" customHeight="1" outlineLevel="1">
      <c r="A7" s="30"/>
      <c r="B7" s="67"/>
      <c r="C7" s="69" t="s">
        <v>37</v>
      </c>
      <c r="D7" s="66" t="s">
        <v>28</v>
      </c>
      <c r="E7" s="66" t="s">
        <v>28</v>
      </c>
      <c r="F7" s="66" t="s">
        <v>28</v>
      </c>
    </row>
    <row r="8" spans="1:14" ht="10.050000000000001" hidden="1" customHeight="1" outlineLevel="1">
      <c r="A8" s="58"/>
      <c r="B8" s="70"/>
      <c r="C8" s="58"/>
      <c r="D8" s="59"/>
      <c r="E8" s="59"/>
      <c r="F8" s="59"/>
    </row>
    <row r="9" spans="1:14" ht="37.799999999999997" hidden="1" customHeight="1" outlineLevel="1">
      <c r="A9" s="30"/>
      <c r="B9" s="104"/>
      <c r="C9" s="69" t="s">
        <v>1</v>
      </c>
      <c r="D9" s="66" t="s">
        <v>1</v>
      </c>
      <c r="E9" s="66" t="s">
        <v>1</v>
      </c>
      <c r="F9" s="66" t="s">
        <v>1</v>
      </c>
    </row>
    <row r="10" spans="1:14" ht="4.95" hidden="1" customHeight="1" outlineLevel="1">
      <c r="B10" s="28"/>
      <c r="C10" s="3"/>
      <c r="D10" s="54"/>
      <c r="E10" s="54"/>
      <c r="F10" s="54"/>
    </row>
    <row r="11" spans="1:14" s="88" customFormat="1" ht="30" customHeight="1" collapsed="1">
      <c r="A11" s="5"/>
      <c r="B11" s="119"/>
      <c r="C11" s="120" t="s">
        <v>2</v>
      </c>
      <c r="D11" s="121" t="s">
        <v>56</v>
      </c>
      <c r="E11" s="121" t="s">
        <v>57</v>
      </c>
      <c r="F11" s="121" t="s">
        <v>54</v>
      </c>
      <c r="G11" s="88" t="s">
        <v>58</v>
      </c>
    </row>
    <row r="12" spans="1:14" ht="4.95" customHeight="1">
      <c r="A12"/>
      <c r="C12"/>
      <c r="D12"/>
      <c r="E12"/>
      <c r="F12"/>
    </row>
    <row r="13" spans="1:14" ht="19.95" customHeight="1" outlineLevel="1">
      <c r="A13" s="61"/>
      <c r="B13" s="72" t="s">
        <v>0</v>
      </c>
      <c r="C13" s="74" t="s">
        <v>51</v>
      </c>
      <c r="D13" s="60"/>
      <c r="E13" s="60"/>
      <c r="F13" s="60"/>
    </row>
    <row r="14" spans="1:14" ht="4.95" customHeight="1" outlineLevel="1">
      <c r="A14" s="61"/>
      <c r="B14" s="63"/>
      <c r="C14" s="64"/>
      <c r="D14" s="61"/>
      <c r="E14" s="60"/>
      <c r="F14" s="60"/>
    </row>
    <row r="15" spans="1:14" ht="84.6" hidden="1" customHeight="1" outlineLevel="2">
      <c r="A15" s="61"/>
      <c r="B15" s="63"/>
      <c r="C15" s="71"/>
      <c r="D15" s="113" t="s">
        <v>24</v>
      </c>
      <c r="E15" s="114"/>
      <c r="F15" s="60"/>
    </row>
    <row r="16" spans="1:14" ht="10.050000000000001" hidden="1" customHeight="1" outlineLevel="2">
      <c r="A16" s="61"/>
      <c r="B16" s="63"/>
      <c r="C16" s="65"/>
      <c r="D16" s="62"/>
      <c r="E16" s="61"/>
      <c r="F16" s="61"/>
    </row>
    <row r="17" spans="1:9" hidden="1" outlineLevel="2">
      <c r="A17" s="61"/>
      <c r="B17" s="63"/>
      <c r="C17" s="85" t="s">
        <v>25</v>
      </c>
      <c r="D17" s="87">
        <v>649</v>
      </c>
      <c r="E17" s="44"/>
      <c r="F17" s="44"/>
    </row>
    <row r="18" spans="1:9" hidden="1" outlineLevel="2">
      <c r="A18" s="61"/>
      <c r="B18" s="63"/>
      <c r="C18" s="85" t="s">
        <v>45</v>
      </c>
      <c r="D18" s="87">
        <v>2</v>
      </c>
      <c r="E18" s="44"/>
      <c r="F18" s="44"/>
    </row>
    <row r="19" spans="1:9" ht="4.95" hidden="1" customHeight="1" outlineLevel="2">
      <c r="A19" s="61"/>
      <c r="B19" s="63"/>
      <c r="C19" s="65"/>
      <c r="D19" s="62"/>
      <c r="E19"/>
      <c r="F19"/>
    </row>
    <row r="20" spans="1:9" ht="19.95" customHeight="1" outlineLevel="1" collapsed="1">
      <c r="B20" s="72" t="s">
        <v>0</v>
      </c>
      <c r="C20" s="74" t="s">
        <v>50</v>
      </c>
      <c r="D20" s="86"/>
      <c r="E20"/>
      <c r="F20"/>
      <c r="I20" s="142"/>
    </row>
    <row r="21" spans="1:9" ht="4.95" customHeight="1" outlineLevel="1">
      <c r="B21" s="9"/>
      <c r="C21" s="33"/>
      <c r="D21" s="33"/>
      <c r="E21" s="33"/>
      <c r="F21" s="33"/>
    </row>
    <row r="22" spans="1:9" ht="14.4" hidden="1" customHeight="1" outlineLevel="2">
      <c r="A22" s="34"/>
      <c r="B22" s="35"/>
      <c r="C22" s="82" t="s">
        <v>3</v>
      </c>
      <c r="D22" s="11" t="s">
        <v>60</v>
      </c>
      <c r="E22" s="11" t="s">
        <v>63</v>
      </c>
      <c r="F22" s="11"/>
    </row>
    <row r="23" spans="1:9" ht="14.4" hidden="1" customHeight="1" outlineLevel="2">
      <c r="A23" s="34"/>
      <c r="B23" s="36"/>
      <c r="C23" s="80" t="s">
        <v>7</v>
      </c>
      <c r="D23" s="37">
        <v>1</v>
      </c>
      <c r="E23" s="37">
        <v>0.98151001540831995</v>
      </c>
      <c r="F23" s="37"/>
    </row>
    <row r="24" spans="1:9" ht="14.4" hidden="1" customHeight="1" outlineLevel="2">
      <c r="A24" s="34"/>
      <c r="B24" s="36"/>
      <c r="C24" s="80" t="s">
        <v>10</v>
      </c>
      <c r="D24" s="37">
        <v>0</v>
      </c>
      <c r="E24" s="37">
        <v>0</v>
      </c>
      <c r="F24" s="37"/>
    </row>
    <row r="25" spans="1:9" ht="14.4" hidden="1" customHeight="1" outlineLevel="2">
      <c r="B25" s="12"/>
      <c r="C25" s="84" t="s">
        <v>5</v>
      </c>
      <c r="D25" s="37">
        <v>0.33333333333333298</v>
      </c>
      <c r="E25" s="37">
        <v>0.33333333333333298</v>
      </c>
      <c r="F25" s="37"/>
    </row>
    <row r="26" spans="1:9" ht="14.4" hidden="1" customHeight="1" outlineLevel="2">
      <c r="B26" s="12"/>
      <c r="C26" s="80" t="s">
        <v>4</v>
      </c>
      <c r="D26" s="11">
        <v>5192</v>
      </c>
      <c r="E26" s="11">
        <v>5192</v>
      </c>
      <c r="F26" s="11"/>
    </row>
    <row r="27" spans="1:9" ht="14.4" hidden="1" customHeight="1" outlineLevel="2">
      <c r="B27" s="12"/>
      <c r="C27" s="80" t="s">
        <v>6</v>
      </c>
      <c r="D27" s="11">
        <v>649</v>
      </c>
      <c r="E27" s="11">
        <v>637</v>
      </c>
      <c r="F27" s="11"/>
    </row>
    <row r="28" spans="1:9" ht="14.4" hidden="1" customHeight="1" outlineLevel="2">
      <c r="B28" s="12"/>
      <c r="C28" s="80" t="s">
        <v>8</v>
      </c>
      <c r="D28" s="11">
        <v>649</v>
      </c>
      <c r="E28" s="11">
        <v>649</v>
      </c>
      <c r="F28" s="11"/>
    </row>
    <row r="29" spans="1:9" ht="14.4" hidden="1" customHeight="1" outlineLevel="2">
      <c r="B29" s="12"/>
      <c r="C29" s="84" t="s">
        <v>9</v>
      </c>
      <c r="D29" s="13">
        <v>0</v>
      </c>
      <c r="E29" s="13">
        <v>0</v>
      </c>
      <c r="F29" s="13"/>
    </row>
    <row r="30" spans="1:9" ht="4.95" hidden="1" customHeight="1" outlineLevel="2">
      <c r="B30" s="9"/>
      <c r="D30" s="6"/>
      <c r="E30" s="6"/>
      <c r="F30" s="6"/>
    </row>
    <row r="31" spans="1:9" ht="150" hidden="1" customHeight="1" outlineLevel="2">
      <c r="B31" s="19"/>
      <c r="C31" s="15"/>
      <c r="D31" s="16"/>
      <c r="E31" s="16"/>
      <c r="F31" s="16"/>
    </row>
    <row r="32" spans="1:9" ht="4.95" hidden="1" customHeight="1" outlineLevel="2">
      <c r="B32" s="9"/>
      <c r="D32" s="6"/>
      <c r="E32" s="6"/>
      <c r="F32" s="6"/>
    </row>
    <row r="33" spans="1:6" ht="19.95" customHeight="1" outlineLevel="1" collapsed="1">
      <c r="B33" s="72" t="s">
        <v>0</v>
      </c>
      <c r="C33" s="74" t="s">
        <v>49</v>
      </c>
      <c r="D33" s="6"/>
      <c r="E33" s="6"/>
      <c r="F33" s="6"/>
    </row>
    <row r="34" spans="1:6" ht="4.95" customHeight="1" outlineLevel="1">
      <c r="A34" s="18"/>
      <c r="B34" s="19"/>
      <c r="C34" s="20"/>
      <c r="D34" s="6"/>
      <c r="E34" s="6"/>
      <c r="F34" s="6"/>
    </row>
    <row r="35" spans="1:6" ht="14.4" hidden="1" customHeight="1" outlineLevel="2">
      <c r="B35" s="10"/>
      <c r="C35" s="82" t="s">
        <v>11</v>
      </c>
      <c r="D35" s="21">
        <v>15310.738058553241</v>
      </c>
      <c r="E35" s="21">
        <v>290.80731895223403</v>
      </c>
      <c r="F35" s="21"/>
    </row>
    <row r="36" spans="1:6" ht="14.4" hidden="1" customHeight="1" outlineLevel="2">
      <c r="B36" s="12"/>
      <c r="C36" s="83" t="s">
        <v>12</v>
      </c>
      <c r="D36" s="134">
        <v>15311</v>
      </c>
      <c r="E36" s="22">
        <v>172.27</v>
      </c>
      <c r="F36" s="22"/>
    </row>
    <row r="37" spans="1:6" ht="14.4" hidden="1" customHeight="1" outlineLevel="2">
      <c r="B37" s="12"/>
      <c r="C37" s="80" t="s">
        <v>13</v>
      </c>
      <c r="D37" s="135">
        <v>5449</v>
      </c>
      <c r="E37" s="13">
        <v>75.7</v>
      </c>
      <c r="F37" s="13"/>
    </row>
    <row r="38" spans="1:6" ht="14.4" hidden="1" customHeight="1" outlineLevel="2">
      <c r="B38" s="12"/>
      <c r="C38" s="83" t="s">
        <v>14</v>
      </c>
      <c r="D38" s="23"/>
      <c r="E38" s="23">
        <v>256.06290602240699</v>
      </c>
      <c r="F38" s="23"/>
    </row>
    <row r="39" spans="1:6" ht="14.4" hidden="1" customHeight="1" outlineLevel="2">
      <c r="B39" s="12"/>
      <c r="C39" s="84" t="s">
        <v>15</v>
      </c>
      <c r="D39" s="21"/>
      <c r="E39" s="21">
        <v>65568.211840640404</v>
      </c>
      <c r="F39" s="21"/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8"/>
      <c r="B41" s="19"/>
      <c r="C41" s="15"/>
      <c r="D41" s="16"/>
      <c r="E41" s="16"/>
      <c r="F41" s="16"/>
    </row>
    <row r="42" spans="1:6" ht="4.95" hidden="1" customHeight="1" outlineLevel="2">
      <c r="A42" s="18"/>
      <c r="B42" s="19"/>
      <c r="C42" s="24"/>
      <c r="D42" s="6"/>
      <c r="E42" s="6"/>
      <c r="F42" s="6"/>
    </row>
    <row r="43" spans="1:6" ht="19.95" customHeight="1" outlineLevel="1" collapsed="1">
      <c r="B43" s="72" t="s">
        <v>0</v>
      </c>
      <c r="C43" s="74" t="s">
        <v>48</v>
      </c>
      <c r="D43" s="6"/>
      <c r="E43" s="6"/>
      <c r="F43" s="6"/>
    </row>
    <row r="44" spans="1:6" ht="4.95" customHeight="1" outlineLevel="1">
      <c r="A44" s="18"/>
      <c r="B44" s="19"/>
      <c r="C44" s="20"/>
      <c r="D44" s="6"/>
      <c r="E44" s="6"/>
      <c r="F44" s="6"/>
    </row>
    <row r="45" spans="1:6" ht="14.4" hidden="1" customHeight="1" outlineLevel="2">
      <c r="B45" s="10"/>
      <c r="C45" s="77" t="s">
        <v>16</v>
      </c>
      <c r="D45" s="23">
        <v>5449</v>
      </c>
      <c r="E45" s="23">
        <v>46.85</v>
      </c>
      <c r="F45" s="23"/>
    </row>
    <row r="46" spans="1:6" ht="14.4" hidden="1" customHeight="1" outlineLevel="2">
      <c r="B46" s="9"/>
      <c r="C46" s="78">
        <v>0.05</v>
      </c>
      <c r="D46" s="21">
        <v>6435.4</v>
      </c>
      <c r="E46" s="21">
        <v>76.06</v>
      </c>
      <c r="F46" s="21"/>
    </row>
    <row r="47" spans="1:6" ht="14.4" hidden="1" customHeight="1" outlineLevel="2">
      <c r="B47" s="9"/>
      <c r="C47" s="79">
        <v>0.25</v>
      </c>
      <c r="D47" s="23">
        <v>10380</v>
      </c>
      <c r="E47" s="23">
        <v>106.9</v>
      </c>
      <c r="F47" s="23"/>
    </row>
    <row r="48" spans="1:6" ht="14.4" hidden="1" customHeight="1" outlineLevel="2">
      <c r="B48" s="9"/>
      <c r="C48" s="78">
        <v>0.5</v>
      </c>
      <c r="D48" s="21">
        <v>15311</v>
      </c>
      <c r="E48" s="21">
        <v>172.27</v>
      </c>
      <c r="F48" s="21"/>
    </row>
    <row r="49" spans="1:6" ht="14.4" hidden="1" customHeight="1" outlineLevel="2">
      <c r="B49" s="9"/>
      <c r="C49" s="79">
        <v>0.75</v>
      </c>
      <c r="D49" s="23">
        <v>20241</v>
      </c>
      <c r="E49" s="23">
        <v>436.73</v>
      </c>
      <c r="F49" s="23"/>
    </row>
    <row r="50" spans="1:6" ht="14.4" hidden="1" customHeight="1" outlineLevel="2">
      <c r="B50" s="9"/>
      <c r="C50" s="78">
        <v>0.95</v>
      </c>
      <c r="D50" s="21">
        <v>24185.599999999999</v>
      </c>
      <c r="E50" s="21">
        <v>879.24800000000005</v>
      </c>
      <c r="F50" s="21"/>
    </row>
    <row r="51" spans="1:6" ht="14.4" hidden="1" customHeight="1" outlineLevel="2">
      <c r="B51" s="9"/>
      <c r="C51" s="79" t="s">
        <v>17</v>
      </c>
      <c r="D51" s="23">
        <v>25173</v>
      </c>
      <c r="E51" s="23">
        <v>985.93</v>
      </c>
      <c r="F51" s="23"/>
    </row>
    <row r="52" spans="1:6" ht="14.4" hidden="1" customHeight="1" outlineLevel="2">
      <c r="B52" s="9"/>
      <c r="C52" s="80" t="s">
        <v>18</v>
      </c>
      <c r="D52" s="21" t="s">
        <v>61</v>
      </c>
      <c r="E52" s="21">
        <v>939.07999999999902</v>
      </c>
      <c r="F52" s="21"/>
    </row>
    <row r="53" spans="1:6" ht="14.4" hidden="1" customHeight="1" outlineLevel="2">
      <c r="B53" s="9"/>
      <c r="C53" s="81" t="s">
        <v>19</v>
      </c>
      <c r="D53" s="23" t="s">
        <v>62</v>
      </c>
      <c r="E53" s="23">
        <v>329.83</v>
      </c>
      <c r="F53" s="23"/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8"/>
      <c r="B55" s="72" t="s">
        <v>0</v>
      </c>
      <c r="C55" s="74" t="s">
        <v>47</v>
      </c>
      <c r="D55" s="6"/>
      <c r="E55" s="6"/>
      <c r="F55" s="6"/>
    </row>
    <row r="56" spans="1:6" ht="4.95" customHeight="1" outlineLevel="1">
      <c r="A56" s="28"/>
      <c r="B56" s="19"/>
      <c r="D56" s="6"/>
      <c r="E56" s="6"/>
      <c r="F56" s="6"/>
    </row>
    <row r="57" spans="1:6" ht="14.4" hidden="1" customHeight="1" outlineLevel="2">
      <c r="A57" s="28"/>
      <c r="B57" s="28"/>
      <c r="C57" s="75" t="s">
        <v>39</v>
      </c>
      <c r="D57" s="56" t="b">
        <v>0</v>
      </c>
      <c r="E57" s="56" t="b">
        <v>0</v>
      </c>
      <c r="F57" s="56" t="b">
        <v>0</v>
      </c>
    </row>
    <row r="58" spans="1:6" ht="14.4" hidden="1" customHeight="1" outlineLevel="2">
      <c r="A58" s="28"/>
      <c r="B58" s="28"/>
      <c r="C58" s="75" t="s">
        <v>40</v>
      </c>
      <c r="D58" s="56" t="b">
        <v>0</v>
      </c>
      <c r="E58" s="56" t="b">
        <v>0</v>
      </c>
      <c r="F58" s="56" t="b">
        <v>0</v>
      </c>
    </row>
    <row r="59" spans="1:6" ht="14.4" hidden="1" customHeight="1" outlineLevel="2">
      <c r="A59" s="28"/>
      <c r="B59" s="28"/>
      <c r="C59" s="75" t="s">
        <v>41</v>
      </c>
      <c r="D59" s="56" t="b">
        <v>0</v>
      </c>
      <c r="E59" s="56" t="b">
        <v>0</v>
      </c>
      <c r="F59" s="56" t="b">
        <v>0</v>
      </c>
    </row>
    <row r="60" spans="1:6" ht="14.4" hidden="1" customHeight="1" outlineLevel="2">
      <c r="A60" s="28"/>
      <c r="B60" s="28"/>
      <c r="C60" s="75" t="s">
        <v>42</v>
      </c>
      <c r="D60" s="56" t="b">
        <v>0</v>
      </c>
      <c r="E60" s="56" t="b">
        <v>0</v>
      </c>
      <c r="F60" s="56" t="b">
        <v>0</v>
      </c>
    </row>
    <row r="61" spans="1:6" ht="14.4" hidden="1" customHeight="1" outlineLevel="2">
      <c r="A61" s="28"/>
      <c r="B61" s="28"/>
      <c r="C61" s="75" t="s">
        <v>43</v>
      </c>
      <c r="D61" s="56" t="b">
        <v>0</v>
      </c>
      <c r="E61" s="56" t="b">
        <v>0</v>
      </c>
      <c r="F61" s="56" t="b">
        <v>0</v>
      </c>
    </row>
    <row r="62" spans="1:6" ht="14.4" hidden="1" customHeight="1" outlineLevel="2">
      <c r="A62" s="28"/>
      <c r="B62" s="28"/>
      <c r="C62" s="75" t="s">
        <v>44</v>
      </c>
      <c r="D62" s="56" t="b">
        <v>0</v>
      </c>
      <c r="E62" s="56" t="b">
        <v>0</v>
      </c>
      <c r="F62" s="56" t="b">
        <v>0</v>
      </c>
    </row>
    <row r="63" spans="1:6" ht="14.4" hidden="1" customHeight="1" outlineLevel="2">
      <c r="A63" s="28"/>
      <c r="B63" s="28"/>
      <c r="C63" s="75" t="s">
        <v>21</v>
      </c>
      <c r="D63" s="56" t="b">
        <v>0</v>
      </c>
      <c r="E63" s="56" t="b">
        <v>0</v>
      </c>
      <c r="F63" s="56" t="b">
        <v>0</v>
      </c>
    </row>
    <row r="64" spans="1:6" ht="14.4" hidden="1" customHeight="1" outlineLevel="2">
      <c r="B64" s="28"/>
      <c r="C64" s="76" t="s">
        <v>22</v>
      </c>
      <c r="D64" s="56" t="b">
        <v>0</v>
      </c>
      <c r="E64" s="56" t="b">
        <v>0</v>
      </c>
      <c r="F64" s="56" t="b">
        <v>0</v>
      </c>
    </row>
    <row r="65" spans="1:7" ht="4.95" hidden="1" customHeight="1" outlineLevel="2">
      <c r="B65" s="19"/>
      <c r="D65" s="6"/>
      <c r="E65" s="6"/>
      <c r="F65" s="6"/>
    </row>
    <row r="66" spans="1:7" ht="19.95" customHeight="1" outlineLevel="1" collapsed="1">
      <c r="A66" s="28"/>
      <c r="B66" s="72" t="s">
        <v>0</v>
      </c>
      <c r="C66" s="74" t="s">
        <v>46</v>
      </c>
      <c r="D66" s="6"/>
      <c r="E66" s="6"/>
      <c r="F66" s="6"/>
    </row>
    <row r="67" spans="1:7" ht="4.95" customHeight="1">
      <c r="A67" s="28"/>
      <c r="B67" s="7"/>
      <c r="C67" s="8"/>
      <c r="D67" s="6"/>
      <c r="E67" s="6"/>
      <c r="F67" s="6"/>
    </row>
    <row r="68" spans="1:7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7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7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7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7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7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7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7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7" ht="14.4" hidden="1" customHeight="1" outlineLevel="2">
      <c r="B76" s="106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7" ht="4.95" hidden="1" customHeight="1" outlineLevel="2">
      <c r="B77" s="19"/>
      <c r="C77" s="25"/>
      <c r="D77" s="26"/>
      <c r="E77" s="26"/>
      <c r="F77" s="26"/>
    </row>
    <row r="78" spans="1:7" ht="30" customHeight="1" collapsed="1">
      <c r="C78" s="122" t="s">
        <v>20</v>
      </c>
      <c r="D78" s="27" t="s">
        <v>56</v>
      </c>
      <c r="E78" s="27" t="s">
        <v>57</v>
      </c>
      <c r="F78" s="122" t="s">
        <v>54</v>
      </c>
      <c r="G78" s="122" t="s">
        <v>58</v>
      </c>
    </row>
    <row r="79" spans="1:7">
      <c r="C79" s="29" t="b">
        <v>0</v>
      </c>
      <c r="D79" s="137">
        <v>5449</v>
      </c>
      <c r="E79" s="30">
        <v>55</v>
      </c>
      <c r="F79" s="30">
        <v>0</v>
      </c>
      <c r="G79" s="58">
        <v>1.57023693186544E+18</v>
      </c>
    </row>
    <row r="80" spans="1:7">
      <c r="C80" s="29" t="b">
        <v>0</v>
      </c>
      <c r="D80" s="137">
        <v>5480</v>
      </c>
      <c r="E80" s="30">
        <v>56.55</v>
      </c>
      <c r="F80" s="30">
        <v>0</v>
      </c>
      <c r="G80" s="58">
        <v>7.8203745256853699E+18</v>
      </c>
    </row>
    <row r="81" spans="3:7">
      <c r="C81" s="29" t="b">
        <v>0</v>
      </c>
      <c r="D81" s="137">
        <v>5511</v>
      </c>
      <c r="E81" s="136">
        <v>56</v>
      </c>
      <c r="F81" s="30">
        <v>0</v>
      </c>
      <c r="G81" s="58">
        <v>1.60335028498601E+19</v>
      </c>
    </row>
    <row r="82" spans="3:7">
      <c r="C82" s="29" t="b">
        <v>0</v>
      </c>
      <c r="D82" s="137">
        <v>5539</v>
      </c>
      <c r="E82" s="136">
        <v>58.3</v>
      </c>
      <c r="F82" s="30">
        <v>0</v>
      </c>
      <c r="G82" s="58">
        <v>7.60779827646575E+18</v>
      </c>
    </row>
    <row r="83" spans="3:7">
      <c r="C83" s="29" t="b">
        <v>0</v>
      </c>
      <c r="D83" s="137">
        <v>5570</v>
      </c>
      <c r="E83" s="136">
        <v>66.45</v>
      </c>
      <c r="F83" s="30">
        <v>0</v>
      </c>
      <c r="G83" s="58">
        <v>1.30551864883862E+19</v>
      </c>
    </row>
    <row r="84" spans="3:7">
      <c r="C84" s="29" t="b">
        <v>0</v>
      </c>
      <c r="D84" s="137">
        <v>5600</v>
      </c>
      <c r="E84" s="136">
        <v>65.95</v>
      </c>
      <c r="F84" s="30">
        <v>0</v>
      </c>
      <c r="G84" s="58">
        <v>7.4660741758031002E+18</v>
      </c>
    </row>
    <row r="85" spans="3:7">
      <c r="C85" s="29" t="b">
        <v>0</v>
      </c>
      <c r="D85" s="137">
        <v>5631</v>
      </c>
      <c r="E85" s="136">
        <v>68.400000000000006</v>
      </c>
      <c r="F85" s="30">
        <v>0</v>
      </c>
      <c r="G85" s="58">
        <v>1.5330111694959401E+19</v>
      </c>
    </row>
    <row r="86" spans="3:7">
      <c r="C86" s="29" t="b">
        <v>0</v>
      </c>
      <c r="D86" s="137">
        <v>5661</v>
      </c>
      <c r="E86" s="136">
        <v>71.849999999999994</v>
      </c>
      <c r="F86" s="30">
        <v>0</v>
      </c>
      <c r="G86" s="58">
        <v>9.9143135805008794E+18</v>
      </c>
    </row>
    <row r="87" spans="3:7">
      <c r="C87" s="29" t="b">
        <v>0</v>
      </c>
      <c r="D87" s="137">
        <v>5692</v>
      </c>
      <c r="E87" s="136">
        <v>79.25</v>
      </c>
      <c r="F87" s="30">
        <v>0</v>
      </c>
      <c r="G87" s="58">
        <v>3.3411595101603799E+18</v>
      </c>
    </row>
    <row r="88" spans="3:7">
      <c r="C88" s="29" t="b">
        <v>0</v>
      </c>
      <c r="D88" s="137">
        <v>5723</v>
      </c>
      <c r="E88" s="136">
        <v>85.5</v>
      </c>
      <c r="F88" s="30">
        <v>0</v>
      </c>
      <c r="G88" s="58">
        <v>1.49404727075502E+19</v>
      </c>
    </row>
    <row r="89" spans="3:7">
      <c r="C89" s="29" t="b">
        <v>0</v>
      </c>
      <c r="D89" s="137">
        <v>5753</v>
      </c>
      <c r="E89" s="136">
        <v>92.35</v>
      </c>
      <c r="F89" s="30">
        <v>0</v>
      </c>
      <c r="G89" s="58">
        <v>1.68420335586337E+18</v>
      </c>
    </row>
    <row r="90" spans="3:7">
      <c r="C90" s="29" t="b">
        <v>0</v>
      </c>
      <c r="D90" s="137">
        <v>5784</v>
      </c>
      <c r="E90" s="136">
        <v>94.35</v>
      </c>
      <c r="F90" s="30">
        <v>0</v>
      </c>
      <c r="G90" s="58">
        <v>4.9899227960621404E+18</v>
      </c>
    </row>
    <row r="91" spans="3:7">
      <c r="C91" s="29" t="b">
        <v>0</v>
      </c>
      <c r="D91" s="137">
        <v>5814</v>
      </c>
      <c r="E91" s="136">
        <v>97</v>
      </c>
      <c r="F91" s="30">
        <v>0</v>
      </c>
      <c r="G91" s="58">
        <v>1.5876360222049599E+19</v>
      </c>
    </row>
    <row r="92" spans="3:7">
      <c r="C92" s="29" t="b">
        <v>0</v>
      </c>
      <c r="D92" s="137">
        <v>5845</v>
      </c>
      <c r="E92" s="136">
        <v>94.7</v>
      </c>
      <c r="F92" s="30">
        <v>0</v>
      </c>
      <c r="G92" s="58">
        <v>1.3022663497231499E+19</v>
      </c>
    </row>
    <row r="93" spans="3:7">
      <c r="C93" s="29" t="b">
        <v>0</v>
      </c>
      <c r="D93" s="137">
        <v>5876</v>
      </c>
      <c r="E93" s="136">
        <v>93.55</v>
      </c>
      <c r="F93" s="30">
        <v>0</v>
      </c>
      <c r="G93" s="58">
        <v>5.8413849798165105E+18</v>
      </c>
    </row>
    <row r="94" spans="3:7">
      <c r="C94" s="29" t="b">
        <v>0</v>
      </c>
      <c r="D94" s="137">
        <v>5905</v>
      </c>
      <c r="E94" s="136">
        <v>93.3</v>
      </c>
      <c r="F94" s="30">
        <v>0</v>
      </c>
      <c r="G94" s="58">
        <v>9.3421172730540892E+18</v>
      </c>
    </row>
    <row r="95" spans="3:7">
      <c r="C95" s="29" t="b">
        <v>0</v>
      </c>
      <c r="D95" s="137">
        <v>5936</v>
      </c>
      <c r="E95" s="136">
        <v>89.75</v>
      </c>
      <c r="F95" s="30">
        <v>0</v>
      </c>
      <c r="G95" s="58">
        <v>3.7447105275221601E+18</v>
      </c>
    </row>
    <row r="96" spans="3:7">
      <c r="C96" s="29" t="b">
        <v>0</v>
      </c>
      <c r="D96" s="137">
        <v>5966</v>
      </c>
      <c r="E96" s="136">
        <v>90.15</v>
      </c>
      <c r="F96" s="30">
        <v>0</v>
      </c>
      <c r="G96" s="58">
        <v>1.57040052907183E+19</v>
      </c>
    </row>
    <row r="97" spans="3:7">
      <c r="C97" s="29" t="b">
        <v>0</v>
      </c>
      <c r="D97" s="137">
        <v>5997</v>
      </c>
      <c r="E97" s="136">
        <v>90.65</v>
      </c>
      <c r="F97" s="30">
        <v>0</v>
      </c>
      <c r="G97" s="58">
        <v>2.0112166302463201E+18</v>
      </c>
    </row>
    <row r="98" spans="3:7">
      <c r="C98" s="29" t="b">
        <v>0</v>
      </c>
      <c r="D98" s="137">
        <v>6027</v>
      </c>
      <c r="E98" s="136">
        <v>88.45</v>
      </c>
      <c r="F98" s="30">
        <v>0</v>
      </c>
      <c r="G98" s="58">
        <v>8.2391975663687096E+18</v>
      </c>
    </row>
    <row r="99" spans="3:7">
      <c r="C99" s="29" t="b">
        <v>0</v>
      </c>
      <c r="D99" s="137">
        <v>6058</v>
      </c>
      <c r="E99" s="136">
        <v>91</v>
      </c>
      <c r="F99" s="30">
        <v>0</v>
      </c>
      <c r="G99" s="58">
        <v>1.8181340524437101E+19</v>
      </c>
    </row>
    <row r="100" spans="3:7">
      <c r="C100" s="29" t="b">
        <v>0</v>
      </c>
      <c r="D100" s="137">
        <v>6089</v>
      </c>
      <c r="E100" s="136">
        <v>97.45</v>
      </c>
      <c r="F100" s="30">
        <v>0</v>
      </c>
      <c r="G100" s="58">
        <v>3.3460059133863501E+18</v>
      </c>
    </row>
    <row r="101" spans="3:7">
      <c r="C101" s="29" t="b">
        <v>0</v>
      </c>
      <c r="D101" s="137">
        <v>6119</v>
      </c>
      <c r="E101" s="136">
        <v>102.1</v>
      </c>
      <c r="F101" s="30">
        <v>0</v>
      </c>
      <c r="G101" s="58">
        <v>1.0005966591930499E+19</v>
      </c>
    </row>
    <row r="102" spans="3:7">
      <c r="C102" s="29" t="b">
        <v>0</v>
      </c>
      <c r="D102" s="137">
        <v>6150</v>
      </c>
      <c r="E102" s="136">
        <v>107.9</v>
      </c>
      <c r="F102" s="30">
        <v>0</v>
      </c>
      <c r="G102" s="58">
        <v>1.22752268448309E+19</v>
      </c>
    </row>
    <row r="103" spans="3:7">
      <c r="C103" s="29" t="b">
        <v>0</v>
      </c>
      <c r="D103" s="137">
        <v>6180</v>
      </c>
      <c r="E103" s="136">
        <v>98.5</v>
      </c>
      <c r="F103" s="30">
        <v>0</v>
      </c>
      <c r="G103" s="58">
        <v>4.1733651727970898E+18</v>
      </c>
    </row>
    <row r="104" spans="3:7">
      <c r="C104" s="29" t="b">
        <v>0</v>
      </c>
      <c r="D104" s="137">
        <v>6211</v>
      </c>
      <c r="E104" s="136">
        <v>97.15</v>
      </c>
      <c r="F104" s="30">
        <v>0</v>
      </c>
      <c r="G104" s="58">
        <v>7.2546145598875904E+18</v>
      </c>
    </row>
    <row r="105" spans="3:7">
      <c r="C105" s="29" t="b">
        <v>0</v>
      </c>
      <c r="D105" s="137">
        <v>6242</v>
      </c>
      <c r="E105" s="136">
        <v>90.95</v>
      </c>
      <c r="F105" s="30">
        <v>0</v>
      </c>
      <c r="G105" s="58">
        <v>1.6604290164299E+18</v>
      </c>
    </row>
    <row r="106" spans="3:7">
      <c r="C106" s="29" t="b">
        <v>0</v>
      </c>
      <c r="D106" s="137">
        <v>6270</v>
      </c>
      <c r="E106" s="136">
        <v>94.65</v>
      </c>
      <c r="F106" s="30">
        <v>0</v>
      </c>
      <c r="G106" s="58">
        <v>1.38891184059961E+19</v>
      </c>
    </row>
    <row r="107" spans="3:7">
      <c r="C107" s="29" t="b">
        <v>0</v>
      </c>
      <c r="D107" s="137">
        <v>6301</v>
      </c>
      <c r="E107" s="136">
        <v>93.9</v>
      </c>
      <c r="F107" s="30">
        <v>0</v>
      </c>
      <c r="G107" s="58">
        <v>3.8271525456497901E+17</v>
      </c>
    </row>
    <row r="108" spans="3:7">
      <c r="C108" s="29" t="b">
        <v>0</v>
      </c>
      <c r="D108" s="137">
        <v>6331</v>
      </c>
      <c r="E108" s="136">
        <v>93.35</v>
      </c>
      <c r="F108" s="30">
        <v>0</v>
      </c>
      <c r="G108" s="58">
        <v>3.5059734491168701E+18</v>
      </c>
    </row>
    <row r="109" spans="3:7">
      <c r="C109" s="29" t="b">
        <v>0</v>
      </c>
      <c r="D109" s="137">
        <v>6362</v>
      </c>
      <c r="E109" s="136">
        <v>96.95</v>
      </c>
      <c r="F109" s="30">
        <v>0</v>
      </c>
      <c r="G109" s="58">
        <v>1.68636516010354E+18</v>
      </c>
    </row>
    <row r="110" spans="3:7">
      <c r="C110" s="29" t="b">
        <v>0</v>
      </c>
      <c r="D110" s="137">
        <v>6392</v>
      </c>
      <c r="E110" s="136">
        <v>92.9</v>
      </c>
      <c r="F110" s="30">
        <v>0</v>
      </c>
      <c r="G110" s="58">
        <v>1.0851519617830699E+19</v>
      </c>
    </row>
    <row r="111" spans="3:7">
      <c r="C111" s="29" t="b">
        <v>0</v>
      </c>
      <c r="D111" s="137">
        <v>6423</v>
      </c>
      <c r="E111" s="136">
        <v>88.65</v>
      </c>
      <c r="F111" s="30">
        <v>0</v>
      </c>
      <c r="G111" s="58">
        <v>1.01266366078162E+19</v>
      </c>
    </row>
    <row r="112" spans="3:7">
      <c r="C112" s="29" t="b">
        <v>0</v>
      </c>
      <c r="D112" s="137">
        <v>6454</v>
      </c>
      <c r="E112" s="136">
        <v>83.6</v>
      </c>
      <c r="F112" s="30">
        <v>0</v>
      </c>
      <c r="G112" s="58">
        <v>1.3147922315694201E+19</v>
      </c>
    </row>
    <row r="113" spans="3:7">
      <c r="C113" s="29" t="b">
        <v>0</v>
      </c>
      <c r="D113" s="137">
        <v>6484</v>
      </c>
      <c r="E113" s="136">
        <v>79.05</v>
      </c>
      <c r="F113" s="30">
        <v>0</v>
      </c>
      <c r="G113" s="58">
        <v>1.7984553380046899E+19</v>
      </c>
    </row>
    <row r="114" spans="3:7">
      <c r="C114" s="29" t="b">
        <v>0</v>
      </c>
      <c r="D114" s="137">
        <v>6515</v>
      </c>
      <c r="E114" s="136">
        <v>71.400000000000006</v>
      </c>
      <c r="F114" s="30">
        <v>0</v>
      </c>
      <c r="G114" s="58">
        <v>1.6421676703413701E+19</v>
      </c>
    </row>
    <row r="115" spans="3:7">
      <c r="C115" s="29" t="b">
        <v>0</v>
      </c>
      <c r="D115" s="137">
        <v>6545</v>
      </c>
      <c r="E115" s="136">
        <v>70.2</v>
      </c>
      <c r="F115" s="30">
        <v>0</v>
      </c>
      <c r="G115" s="58">
        <v>1.46876307664767E+19</v>
      </c>
    </row>
    <row r="116" spans="3:7">
      <c r="C116" s="29" t="b">
        <v>0</v>
      </c>
      <c r="D116" s="137">
        <v>6576</v>
      </c>
      <c r="E116" s="136">
        <v>76.599999999999994</v>
      </c>
      <c r="F116" s="30">
        <v>0</v>
      </c>
      <c r="G116" s="58">
        <v>1.0246542331771601E+19</v>
      </c>
    </row>
    <row r="117" spans="3:7">
      <c r="C117" s="29" t="b">
        <v>0</v>
      </c>
      <c r="D117" s="137">
        <v>6607</v>
      </c>
      <c r="E117" s="136">
        <v>79.95</v>
      </c>
      <c r="F117" s="30">
        <v>0</v>
      </c>
      <c r="G117" s="58">
        <v>1.4532925883676201E+19</v>
      </c>
    </row>
    <row r="118" spans="3:7">
      <c r="C118" s="29" t="b">
        <v>0</v>
      </c>
      <c r="D118" s="137">
        <v>6635</v>
      </c>
      <c r="E118" s="136">
        <v>78.05</v>
      </c>
      <c r="F118" s="30">
        <v>0</v>
      </c>
      <c r="G118" s="58">
        <v>2.3003727323635699E+18</v>
      </c>
    </row>
    <row r="119" spans="3:7">
      <c r="C119" s="29" t="b">
        <v>0</v>
      </c>
      <c r="D119" s="137">
        <v>6666</v>
      </c>
      <c r="E119" s="136">
        <v>77.650000000000006</v>
      </c>
      <c r="F119" s="30">
        <v>0</v>
      </c>
      <c r="G119" s="58">
        <v>1.5626247000871999E+19</v>
      </c>
    </row>
    <row r="120" spans="3:7">
      <c r="C120" s="29" t="b">
        <v>0</v>
      </c>
      <c r="D120" s="137">
        <v>6696</v>
      </c>
      <c r="E120" s="136">
        <v>81.05</v>
      </c>
      <c r="F120" s="30">
        <v>0</v>
      </c>
      <c r="G120" s="58">
        <v>1.6518613233728899E+19</v>
      </c>
    </row>
    <row r="121" spans="3:7">
      <c r="C121" s="29" t="b">
        <v>0</v>
      </c>
      <c r="D121" s="137">
        <v>6727</v>
      </c>
      <c r="E121" s="136">
        <v>80.45</v>
      </c>
      <c r="F121" s="30">
        <v>0</v>
      </c>
      <c r="G121" s="58">
        <v>1.0209300898651501E+19</v>
      </c>
    </row>
    <row r="122" spans="3:7">
      <c r="C122" s="29" t="b">
        <v>0</v>
      </c>
      <c r="D122" s="137">
        <v>6757</v>
      </c>
      <c r="E122" s="136">
        <v>81.849999999999994</v>
      </c>
      <c r="F122" s="30">
        <v>0</v>
      </c>
      <c r="G122" s="58">
        <v>1.7485340778244499E+19</v>
      </c>
    </row>
    <row r="123" spans="3:7">
      <c r="C123" s="29" t="b">
        <v>0</v>
      </c>
      <c r="D123" s="137">
        <v>6788</v>
      </c>
      <c r="E123" s="136">
        <v>81.95</v>
      </c>
      <c r="F123" s="30">
        <v>0</v>
      </c>
      <c r="G123" s="58">
        <v>4.7877062254781102E+18</v>
      </c>
    </row>
    <row r="124" spans="3:7">
      <c r="C124" s="29" t="b">
        <v>0</v>
      </c>
      <c r="D124" s="137">
        <v>6819</v>
      </c>
      <c r="E124" s="136">
        <v>82.5</v>
      </c>
      <c r="F124" s="30">
        <v>0</v>
      </c>
      <c r="G124" s="58">
        <v>1.79197141310364E+19</v>
      </c>
    </row>
    <row r="125" spans="3:7">
      <c r="C125" s="29" t="b">
        <v>0</v>
      </c>
      <c r="D125" s="137">
        <v>6849</v>
      </c>
      <c r="E125" s="136">
        <v>86.25</v>
      </c>
      <c r="F125" s="30">
        <v>0</v>
      </c>
      <c r="G125" s="58">
        <v>1.8010115035768799E+19</v>
      </c>
    </row>
    <row r="126" spans="3:7">
      <c r="C126" s="29" t="b">
        <v>0</v>
      </c>
      <c r="D126" s="137">
        <v>6880</v>
      </c>
      <c r="E126" s="136">
        <v>84</v>
      </c>
      <c r="F126" s="30">
        <v>0</v>
      </c>
      <c r="G126" s="58">
        <v>7.5286814245985997E+18</v>
      </c>
    </row>
    <row r="127" spans="3:7">
      <c r="C127" s="29" t="b">
        <v>0</v>
      </c>
      <c r="D127" s="137">
        <v>6910</v>
      </c>
      <c r="E127" s="136">
        <v>82.5</v>
      </c>
      <c r="F127" s="30">
        <v>0</v>
      </c>
      <c r="G127" s="58">
        <v>1.7884465257954299E+18</v>
      </c>
    </row>
    <row r="128" spans="3:7">
      <c r="C128" s="29" t="b">
        <v>0</v>
      </c>
      <c r="D128" s="137">
        <v>6941</v>
      </c>
      <c r="E128" s="136">
        <v>81.650000000000006</v>
      </c>
      <c r="F128" s="30">
        <v>0</v>
      </c>
      <c r="G128" s="58">
        <v>5.6721901142308301E+17</v>
      </c>
    </row>
    <row r="129" spans="3:7">
      <c r="C129" s="29" t="b">
        <v>0</v>
      </c>
      <c r="D129" s="137">
        <v>6972</v>
      </c>
      <c r="E129" s="136">
        <v>82.45</v>
      </c>
      <c r="F129" s="30">
        <v>0</v>
      </c>
      <c r="G129" s="58">
        <v>1.3548370055578499E+19</v>
      </c>
    </row>
    <row r="130" spans="3:7">
      <c r="C130" s="29" t="b">
        <v>0</v>
      </c>
      <c r="D130" s="137">
        <v>7000</v>
      </c>
      <c r="E130" s="136">
        <v>86.55</v>
      </c>
      <c r="F130" s="30">
        <v>0</v>
      </c>
      <c r="G130" s="58">
        <v>1.29851241238854E+19</v>
      </c>
    </row>
    <row r="131" spans="3:7">
      <c r="C131" s="29" t="b">
        <v>0</v>
      </c>
      <c r="D131" s="137">
        <v>7031</v>
      </c>
      <c r="E131" s="136">
        <v>91.15</v>
      </c>
      <c r="F131" s="30">
        <v>0</v>
      </c>
      <c r="G131" s="58">
        <v>3.7817294605501901E+18</v>
      </c>
    </row>
    <row r="132" spans="3:7">
      <c r="C132" s="29" t="b">
        <v>0</v>
      </c>
      <c r="D132" s="137">
        <v>7061</v>
      </c>
      <c r="E132" s="136">
        <v>99.4</v>
      </c>
      <c r="F132" s="30">
        <v>0</v>
      </c>
      <c r="G132" s="58">
        <v>9.9459804016998502E+18</v>
      </c>
    </row>
    <row r="133" spans="3:7">
      <c r="C133" s="29" t="b">
        <v>0</v>
      </c>
      <c r="D133" s="137">
        <v>7092</v>
      </c>
      <c r="E133" s="136">
        <v>103.6</v>
      </c>
      <c r="F133" s="30">
        <v>0</v>
      </c>
      <c r="G133" s="58">
        <v>2.8497047543394601E+18</v>
      </c>
    </row>
    <row r="134" spans="3:7">
      <c r="C134" s="29" t="b">
        <v>0</v>
      </c>
      <c r="D134" s="137">
        <v>7122</v>
      </c>
      <c r="E134" s="136">
        <v>109.7</v>
      </c>
      <c r="F134" s="30">
        <v>0</v>
      </c>
      <c r="G134" s="58">
        <v>4.6844218393084805E+18</v>
      </c>
    </row>
    <row r="135" spans="3:7">
      <c r="C135" s="29" t="b">
        <v>0</v>
      </c>
      <c r="D135" s="137">
        <v>7153</v>
      </c>
      <c r="E135" s="136">
        <v>103.25</v>
      </c>
      <c r="F135" s="30">
        <v>0</v>
      </c>
      <c r="G135" s="58">
        <v>7.5002090375566602E+18</v>
      </c>
    </row>
    <row r="136" spans="3:7">
      <c r="C136" s="29" t="b">
        <v>0</v>
      </c>
      <c r="D136" s="137">
        <v>7184</v>
      </c>
      <c r="E136" s="136">
        <v>108.2</v>
      </c>
      <c r="F136" s="30">
        <v>0</v>
      </c>
      <c r="G136" s="58">
        <v>1.27168661763747E+19</v>
      </c>
    </row>
    <row r="137" spans="3:7">
      <c r="C137" s="29" t="b">
        <v>0</v>
      </c>
      <c r="D137" s="137">
        <v>7214</v>
      </c>
      <c r="E137" s="136">
        <v>113.9</v>
      </c>
      <c r="F137" s="30">
        <v>0</v>
      </c>
      <c r="G137" s="58">
        <v>1.10117747943861E+19</v>
      </c>
    </row>
    <row r="138" spans="3:7">
      <c r="C138" s="29" t="b">
        <v>0</v>
      </c>
      <c r="D138" s="137">
        <v>7245</v>
      </c>
      <c r="E138" s="136">
        <v>111.6</v>
      </c>
      <c r="F138" s="30">
        <v>0</v>
      </c>
      <c r="G138" s="58">
        <v>1.49864687876282E+19</v>
      </c>
    </row>
    <row r="139" spans="3:7">
      <c r="C139" s="29" t="b">
        <v>0</v>
      </c>
      <c r="D139" s="137">
        <v>7275</v>
      </c>
      <c r="E139" s="136">
        <v>105.8</v>
      </c>
      <c r="F139" s="30">
        <v>0</v>
      </c>
      <c r="G139" s="58">
        <v>6.8742506277359503E+18</v>
      </c>
    </row>
    <row r="140" spans="3:7">
      <c r="C140" s="29" t="b">
        <v>0</v>
      </c>
      <c r="D140" s="137">
        <v>7306</v>
      </c>
      <c r="E140" s="136">
        <v>105.9</v>
      </c>
      <c r="F140" s="30">
        <v>0</v>
      </c>
      <c r="G140" s="58">
        <v>7.2984611635122504E+18</v>
      </c>
    </row>
    <row r="141" spans="3:7">
      <c r="C141" s="29" t="b">
        <v>0</v>
      </c>
      <c r="D141" s="137">
        <v>7337</v>
      </c>
      <c r="E141" s="136">
        <v>96.5</v>
      </c>
      <c r="F141" s="30">
        <v>0</v>
      </c>
      <c r="G141" s="58">
        <v>1.62814325613342E+19</v>
      </c>
    </row>
    <row r="142" spans="3:7">
      <c r="C142" s="29" t="b">
        <v>0</v>
      </c>
      <c r="D142" s="137">
        <v>7366</v>
      </c>
      <c r="E142" s="136">
        <v>97.95</v>
      </c>
      <c r="F142" s="30">
        <v>0</v>
      </c>
      <c r="G142" s="58">
        <v>8.9619107977132001E+18</v>
      </c>
    </row>
    <row r="143" spans="3:7">
      <c r="C143" s="29" t="b">
        <v>0</v>
      </c>
      <c r="D143" s="137">
        <v>7397</v>
      </c>
      <c r="E143" s="136">
        <v>99.45</v>
      </c>
      <c r="F143" s="30">
        <v>0</v>
      </c>
      <c r="G143" s="58">
        <v>1.3275548132584901E+19</v>
      </c>
    </row>
    <row r="144" spans="3:7">
      <c r="C144" s="29" t="b">
        <v>0</v>
      </c>
      <c r="D144" s="137">
        <v>7427</v>
      </c>
      <c r="E144" s="136">
        <v>91.1</v>
      </c>
      <c r="F144" s="30">
        <v>0</v>
      </c>
      <c r="G144" s="58">
        <v>2.4312789756991099E+18</v>
      </c>
    </row>
    <row r="145" spans="3:7">
      <c r="C145" s="29" t="b">
        <v>0</v>
      </c>
      <c r="D145" s="137">
        <v>7458</v>
      </c>
      <c r="E145" s="136">
        <v>91.7</v>
      </c>
      <c r="F145" s="30">
        <v>0</v>
      </c>
      <c r="G145" s="58">
        <v>1.2046162584142999E+18</v>
      </c>
    </row>
    <row r="146" spans="3:7">
      <c r="C146" s="29" t="b">
        <v>0</v>
      </c>
      <c r="D146" s="137">
        <v>7488</v>
      </c>
      <c r="E146" s="136">
        <v>90.7</v>
      </c>
      <c r="F146" s="30">
        <v>0</v>
      </c>
      <c r="G146" s="58">
        <v>2.1751704217765801E+18</v>
      </c>
    </row>
    <row r="147" spans="3:7">
      <c r="C147" s="29" t="b">
        <v>0</v>
      </c>
      <c r="D147" s="137">
        <v>7519</v>
      </c>
      <c r="E147" s="136">
        <v>85.25</v>
      </c>
      <c r="F147" s="30">
        <v>0</v>
      </c>
      <c r="G147" s="58">
        <v>2.8180896745612902E+18</v>
      </c>
    </row>
    <row r="148" spans="3:7">
      <c r="C148" s="29" t="b">
        <v>0</v>
      </c>
      <c r="D148" s="137">
        <v>7550</v>
      </c>
      <c r="E148" s="136">
        <v>86.5</v>
      </c>
      <c r="F148" s="30">
        <v>0</v>
      </c>
      <c r="G148" s="58">
        <v>8.7369972074680003E+18</v>
      </c>
    </row>
    <row r="149" spans="3:7">
      <c r="C149" s="29" t="b">
        <v>0</v>
      </c>
      <c r="D149" s="137">
        <v>7580</v>
      </c>
      <c r="E149" s="136">
        <v>84.85</v>
      </c>
      <c r="F149" s="30">
        <v>0</v>
      </c>
      <c r="G149" s="58">
        <v>1.83981289808692E+19</v>
      </c>
    </row>
    <row r="150" spans="3:7">
      <c r="C150" s="29" t="b">
        <v>0</v>
      </c>
      <c r="D150" s="137">
        <v>7611</v>
      </c>
      <c r="E150" s="136">
        <v>79.3</v>
      </c>
      <c r="F150" s="30">
        <v>0</v>
      </c>
      <c r="G150" s="58">
        <v>4.9325196451781898E+18</v>
      </c>
    </row>
    <row r="151" spans="3:7">
      <c r="C151" s="29" t="b">
        <v>0</v>
      </c>
      <c r="D151" s="137">
        <v>7641</v>
      </c>
      <c r="E151" s="136">
        <v>72.2</v>
      </c>
      <c r="F151" s="30">
        <v>0</v>
      </c>
      <c r="G151" s="58">
        <v>1.6673322907127599E+19</v>
      </c>
    </row>
    <row r="152" spans="3:7">
      <c r="C152" s="29" t="b">
        <v>0</v>
      </c>
      <c r="D152" s="137">
        <v>7672</v>
      </c>
      <c r="E152" s="136">
        <v>74.75</v>
      </c>
      <c r="F152" s="30">
        <v>0</v>
      </c>
      <c r="G152" s="58">
        <v>8.6751489040711496E+18</v>
      </c>
    </row>
    <row r="153" spans="3:7">
      <c r="C153" s="29" t="b">
        <v>0</v>
      </c>
      <c r="D153" s="137">
        <v>7703</v>
      </c>
      <c r="E153" s="136">
        <v>75.7</v>
      </c>
      <c r="F153" s="30">
        <v>0</v>
      </c>
      <c r="G153" s="58">
        <v>9.63695245296239E+18</v>
      </c>
    </row>
    <row r="154" spans="3:7">
      <c r="C154" s="29" t="b">
        <v>0</v>
      </c>
      <c r="D154" s="137">
        <v>7731</v>
      </c>
      <c r="E154" s="136">
        <v>75.05</v>
      </c>
      <c r="F154" s="30">
        <v>0</v>
      </c>
      <c r="G154" s="58">
        <v>1.07478490791559E+19</v>
      </c>
    </row>
    <row r="155" spans="3:7">
      <c r="C155" s="29" t="b">
        <v>0</v>
      </c>
      <c r="D155" s="137">
        <v>7762</v>
      </c>
      <c r="E155" s="136">
        <v>77</v>
      </c>
      <c r="F155" s="30">
        <v>0</v>
      </c>
      <c r="G155" s="58">
        <v>1.1448373701414101E+19</v>
      </c>
    </row>
    <row r="156" spans="3:7">
      <c r="C156" s="29" t="b">
        <v>0</v>
      </c>
      <c r="D156" s="137">
        <v>7792</v>
      </c>
      <c r="E156" s="136">
        <v>76.7</v>
      </c>
      <c r="F156" s="30">
        <v>0</v>
      </c>
      <c r="G156" s="58">
        <v>1.1649987807174199E+19</v>
      </c>
    </row>
    <row r="157" spans="3:7">
      <c r="C157" s="29" t="b">
        <v>0</v>
      </c>
      <c r="D157" s="137">
        <v>7823</v>
      </c>
      <c r="E157" s="136">
        <v>69.2</v>
      </c>
      <c r="F157" s="30">
        <v>0</v>
      </c>
      <c r="G157" s="58">
        <v>1.8465595741460602E+17</v>
      </c>
    </row>
    <row r="158" spans="3:7">
      <c r="C158" s="29" t="b">
        <v>0</v>
      </c>
      <c r="D158" s="137">
        <v>7853</v>
      </c>
      <c r="E158" s="136">
        <v>68.599999999999994</v>
      </c>
      <c r="F158" s="30">
        <v>0</v>
      </c>
      <c r="G158" s="58">
        <v>1.80133308521863E+19</v>
      </c>
    </row>
    <row r="159" spans="3:7">
      <c r="C159" s="29" t="b">
        <v>0</v>
      </c>
      <c r="D159" s="137">
        <v>7884</v>
      </c>
      <c r="E159" s="136">
        <v>66.95</v>
      </c>
      <c r="F159" s="30">
        <v>0</v>
      </c>
      <c r="G159" s="58">
        <v>1.0764958371157701E+19</v>
      </c>
    </row>
    <row r="160" spans="3:7">
      <c r="C160" s="29" t="b">
        <v>0</v>
      </c>
      <c r="D160" s="137">
        <v>7915</v>
      </c>
      <c r="E160" s="136">
        <v>69.349999999999994</v>
      </c>
      <c r="F160" s="30">
        <v>0</v>
      </c>
      <c r="G160" s="58">
        <v>3.1089342617970401E+18</v>
      </c>
    </row>
    <row r="161" spans="3:7">
      <c r="C161" s="29" t="b">
        <v>0</v>
      </c>
      <c r="D161" s="137">
        <v>7945</v>
      </c>
      <c r="E161" s="136">
        <v>71.7</v>
      </c>
      <c r="F161" s="30">
        <v>0</v>
      </c>
      <c r="G161" s="58">
        <v>5.5653740005750897E+18</v>
      </c>
    </row>
    <row r="162" spans="3:7">
      <c r="C162" s="29" t="b">
        <v>0</v>
      </c>
      <c r="D162" s="137">
        <v>7976</v>
      </c>
      <c r="E162" s="136">
        <v>75.7</v>
      </c>
      <c r="F162" s="30">
        <v>0</v>
      </c>
      <c r="G162" s="58">
        <v>8.0513831230700104E+18</v>
      </c>
    </row>
    <row r="163" spans="3:7">
      <c r="C163" s="29" t="b">
        <v>0</v>
      </c>
      <c r="D163" s="137">
        <v>8006</v>
      </c>
      <c r="E163" s="136">
        <v>79.8</v>
      </c>
      <c r="F163" s="30">
        <v>0</v>
      </c>
      <c r="G163" s="58">
        <v>2.09788754432659E+18</v>
      </c>
    </row>
    <row r="164" spans="3:7">
      <c r="C164" s="29" t="b">
        <v>0</v>
      </c>
      <c r="D164" s="137">
        <v>8037</v>
      </c>
      <c r="E164" s="136">
        <v>80.599999999999994</v>
      </c>
      <c r="F164" s="30">
        <v>0</v>
      </c>
      <c r="G164" s="58">
        <v>5.4446737965344297E+18</v>
      </c>
    </row>
    <row r="165" spans="3:7">
      <c r="C165" s="29" t="b">
        <v>0</v>
      </c>
      <c r="D165" s="137">
        <v>8068</v>
      </c>
      <c r="E165" s="136">
        <v>83.75</v>
      </c>
      <c r="F165" s="30">
        <v>0</v>
      </c>
      <c r="G165" s="58">
        <v>1.45824110925596E+19</v>
      </c>
    </row>
    <row r="166" spans="3:7">
      <c r="C166" s="29" t="b">
        <v>0</v>
      </c>
      <c r="D166" s="137">
        <v>8096</v>
      </c>
      <c r="E166" s="136">
        <v>87.2</v>
      </c>
      <c r="F166" s="30">
        <v>0</v>
      </c>
      <c r="G166" s="58">
        <v>1.50987587604142E+19</v>
      </c>
    </row>
    <row r="167" spans="3:7">
      <c r="C167" s="29" t="b">
        <v>0</v>
      </c>
      <c r="D167" s="137">
        <v>8127</v>
      </c>
      <c r="E167" s="136">
        <v>91.3</v>
      </c>
      <c r="F167" s="30">
        <v>0</v>
      </c>
      <c r="G167" s="58">
        <v>1.7388395359725699E+19</v>
      </c>
    </row>
    <row r="168" spans="3:7">
      <c r="C168" s="29" t="b">
        <v>0</v>
      </c>
      <c r="D168" s="137">
        <v>8157</v>
      </c>
      <c r="E168" s="136">
        <v>93.95</v>
      </c>
      <c r="F168" s="30">
        <v>0</v>
      </c>
      <c r="G168" s="58">
        <v>3.16586732215806E+18</v>
      </c>
    </row>
    <row r="169" spans="3:7">
      <c r="C169" s="29" t="b">
        <v>0</v>
      </c>
      <c r="D169" s="137">
        <v>8188</v>
      </c>
      <c r="E169" s="136">
        <v>93.55</v>
      </c>
      <c r="F169" s="30">
        <v>0</v>
      </c>
      <c r="G169" s="58">
        <v>3.4205858744415299E+18</v>
      </c>
    </row>
    <row r="170" spans="3:7">
      <c r="C170" s="29" t="b">
        <v>0</v>
      </c>
      <c r="D170" s="137">
        <v>8218</v>
      </c>
      <c r="E170" s="136">
        <v>95</v>
      </c>
      <c r="F170" s="30">
        <v>0</v>
      </c>
      <c r="G170" s="58">
        <v>5.8750765393947003E+18</v>
      </c>
    </row>
    <row r="171" spans="3:7">
      <c r="C171" s="29" t="b">
        <v>0</v>
      </c>
      <c r="D171" s="137">
        <v>8249</v>
      </c>
      <c r="E171" s="136">
        <v>98.5</v>
      </c>
      <c r="F171" s="30">
        <v>0</v>
      </c>
      <c r="G171" s="58">
        <v>1.2523163142692499E+19</v>
      </c>
    </row>
    <row r="172" spans="3:7">
      <c r="C172" s="29" t="b">
        <v>0</v>
      </c>
      <c r="D172" s="137">
        <v>8280</v>
      </c>
      <c r="E172" s="136">
        <v>99.2</v>
      </c>
      <c r="F172" s="30">
        <v>0</v>
      </c>
      <c r="G172" s="58">
        <v>1.13246809871412E+19</v>
      </c>
    </row>
    <row r="173" spans="3:7">
      <c r="C173" s="29" t="b">
        <v>0</v>
      </c>
      <c r="D173" s="137">
        <v>8310</v>
      </c>
      <c r="E173" s="136">
        <v>99.75</v>
      </c>
      <c r="F173" s="30">
        <v>0</v>
      </c>
      <c r="G173" s="58">
        <v>8.2406777921082696E+18</v>
      </c>
    </row>
    <row r="174" spans="3:7">
      <c r="C174" s="29" t="b">
        <v>0</v>
      </c>
      <c r="D174" s="137">
        <v>8341</v>
      </c>
      <c r="E174" s="136">
        <v>95.75</v>
      </c>
      <c r="F174" s="30">
        <v>0</v>
      </c>
      <c r="G174" s="58">
        <v>2.73733767968286E+18</v>
      </c>
    </row>
    <row r="175" spans="3:7">
      <c r="C175" s="29" t="b">
        <v>0</v>
      </c>
      <c r="D175" s="137">
        <v>8371</v>
      </c>
      <c r="E175" s="136">
        <v>97</v>
      </c>
      <c r="F175" s="30">
        <v>0</v>
      </c>
      <c r="G175" s="58">
        <v>1.1885609989792E+19</v>
      </c>
    </row>
    <row r="176" spans="3:7">
      <c r="C176" s="29" t="b">
        <v>0</v>
      </c>
      <c r="D176" s="137">
        <v>8402</v>
      </c>
      <c r="E176" s="136">
        <v>98.2</v>
      </c>
      <c r="F176" s="30">
        <v>0</v>
      </c>
      <c r="G176" s="58">
        <v>8.2943903060717496E+18</v>
      </c>
    </row>
    <row r="177" spans="3:7">
      <c r="C177" s="29" t="b">
        <v>0</v>
      </c>
      <c r="D177" s="137">
        <v>8433</v>
      </c>
      <c r="E177" s="136">
        <v>100.8</v>
      </c>
      <c r="F177" s="30">
        <v>0</v>
      </c>
      <c r="G177" s="58">
        <v>8.4755995561334497E+18</v>
      </c>
    </row>
    <row r="178" spans="3:7">
      <c r="C178" s="29" t="b">
        <v>0</v>
      </c>
      <c r="D178" s="137">
        <v>8461</v>
      </c>
      <c r="E178" s="136">
        <v>103.9</v>
      </c>
      <c r="F178" s="30">
        <v>0</v>
      </c>
      <c r="G178" s="58">
        <v>1.61972110317382E+19</v>
      </c>
    </row>
    <row r="179" spans="3:7">
      <c r="C179" s="29" t="b">
        <v>0</v>
      </c>
      <c r="D179" s="137">
        <v>8492</v>
      </c>
      <c r="E179" s="136">
        <v>100.55</v>
      </c>
      <c r="F179" s="30">
        <v>0</v>
      </c>
      <c r="G179" s="58">
        <v>1.48670388870545E+19</v>
      </c>
    </row>
    <row r="180" spans="3:7">
      <c r="C180" s="29" t="b">
        <v>0</v>
      </c>
      <c r="D180" s="137">
        <v>8522</v>
      </c>
      <c r="E180" s="136">
        <v>95.5</v>
      </c>
      <c r="F180" s="30">
        <v>0</v>
      </c>
      <c r="G180" s="58">
        <v>1.7812973650501599E+19</v>
      </c>
    </row>
    <row r="181" spans="3:7">
      <c r="C181" s="29" t="b">
        <v>0</v>
      </c>
      <c r="D181" s="137">
        <v>8553</v>
      </c>
      <c r="E181" s="136">
        <v>92.55</v>
      </c>
      <c r="F181" s="30">
        <v>0</v>
      </c>
      <c r="G181" s="58">
        <v>1.41472851796463E+18</v>
      </c>
    </row>
    <row r="182" spans="3:7">
      <c r="C182" s="29" t="b">
        <v>0</v>
      </c>
      <c r="D182" s="137">
        <v>8583</v>
      </c>
      <c r="E182" s="136">
        <v>89.3</v>
      </c>
      <c r="F182" s="30">
        <v>0</v>
      </c>
      <c r="G182" s="58">
        <v>1.44291997324258E+19</v>
      </c>
    </row>
    <row r="183" spans="3:7">
      <c r="C183" s="29" t="b">
        <v>0</v>
      </c>
      <c r="D183" s="137">
        <v>8614</v>
      </c>
      <c r="E183" s="136">
        <v>90.45</v>
      </c>
      <c r="F183" s="30">
        <v>0</v>
      </c>
      <c r="G183" s="58">
        <v>8.85924796716224E+18</v>
      </c>
    </row>
    <row r="184" spans="3:7">
      <c r="C184" s="29" t="b">
        <v>0</v>
      </c>
      <c r="D184" s="137">
        <v>8645</v>
      </c>
      <c r="E184" s="136">
        <v>90.75</v>
      </c>
      <c r="F184" s="30">
        <v>0</v>
      </c>
      <c r="G184" s="58">
        <v>6.7759385757024799E+18</v>
      </c>
    </row>
    <row r="185" spans="3:7">
      <c r="C185" s="29" t="b">
        <v>0</v>
      </c>
      <c r="D185" s="137">
        <v>8675</v>
      </c>
      <c r="E185" s="136">
        <v>88.15</v>
      </c>
      <c r="F185" s="30">
        <v>0</v>
      </c>
      <c r="G185" s="58">
        <v>5.6078627962069504E+18</v>
      </c>
    </row>
    <row r="186" spans="3:7">
      <c r="C186" s="29" t="b">
        <v>0</v>
      </c>
      <c r="D186" s="137">
        <v>8706</v>
      </c>
      <c r="E186" s="136">
        <v>90.65</v>
      </c>
      <c r="F186" s="30">
        <v>0</v>
      </c>
      <c r="G186" s="58">
        <v>5.7767532996255601E+18</v>
      </c>
    </row>
    <row r="187" spans="3:7">
      <c r="C187" s="29" t="b">
        <v>0</v>
      </c>
      <c r="D187" s="137">
        <v>8736</v>
      </c>
      <c r="E187" s="136">
        <v>94.1</v>
      </c>
      <c r="F187" s="30">
        <v>0</v>
      </c>
      <c r="G187" s="58">
        <v>6.9222396480566395E+18</v>
      </c>
    </row>
    <row r="188" spans="3:7">
      <c r="C188" s="29" t="b">
        <v>0</v>
      </c>
      <c r="D188" s="137">
        <v>8767</v>
      </c>
      <c r="E188" s="136">
        <v>97.8</v>
      </c>
      <c r="F188" s="30">
        <v>0</v>
      </c>
      <c r="G188" s="58">
        <v>1.0332707778529901E+19</v>
      </c>
    </row>
    <row r="189" spans="3:7">
      <c r="C189" s="29" t="b">
        <v>0</v>
      </c>
      <c r="D189" s="137">
        <v>8798</v>
      </c>
      <c r="E189" s="136">
        <v>98.8</v>
      </c>
      <c r="F189" s="30">
        <v>0</v>
      </c>
      <c r="G189" s="58">
        <v>5.7780472409830298E+18</v>
      </c>
    </row>
    <row r="190" spans="3:7">
      <c r="C190" s="29" t="b">
        <v>0</v>
      </c>
      <c r="D190" s="137">
        <v>8827</v>
      </c>
      <c r="E190" s="136">
        <v>95.6</v>
      </c>
      <c r="F190" s="30">
        <v>0</v>
      </c>
      <c r="G190" s="58">
        <v>1.19364041840815E+19</v>
      </c>
    </row>
    <row r="191" spans="3:7">
      <c r="C191" s="29" t="b">
        <v>0</v>
      </c>
      <c r="D191" s="137">
        <v>8858</v>
      </c>
      <c r="E191" s="136">
        <v>91.95</v>
      </c>
      <c r="F191" s="30">
        <v>0</v>
      </c>
      <c r="G191" s="58">
        <v>1.71748159629212E+19</v>
      </c>
    </row>
    <row r="192" spans="3:7">
      <c r="C192" s="29" t="b">
        <v>0</v>
      </c>
      <c r="D192" s="137">
        <v>8888</v>
      </c>
      <c r="E192" s="136">
        <v>90.4</v>
      </c>
      <c r="F192" s="30">
        <v>0</v>
      </c>
      <c r="G192" s="58">
        <v>1.4371086305547301E+19</v>
      </c>
    </row>
    <row r="193" spans="3:7">
      <c r="C193" s="29" t="b">
        <v>0</v>
      </c>
      <c r="D193" s="137">
        <v>8919</v>
      </c>
      <c r="E193" s="136">
        <v>93.3</v>
      </c>
      <c r="F193" s="30">
        <v>0</v>
      </c>
      <c r="G193" s="58">
        <v>1.11627906714491E+19</v>
      </c>
    </row>
    <row r="194" spans="3:7">
      <c r="C194" s="29" t="b">
        <v>0</v>
      </c>
      <c r="D194" s="137">
        <v>8949</v>
      </c>
      <c r="E194" s="136">
        <v>99.25</v>
      </c>
      <c r="F194" s="30">
        <v>0</v>
      </c>
      <c r="G194" s="58">
        <v>3.7860672048690202E+18</v>
      </c>
    </row>
    <row r="195" spans="3:7">
      <c r="C195" s="29" t="b">
        <v>0</v>
      </c>
      <c r="D195" s="137">
        <v>8980</v>
      </c>
      <c r="E195" s="136">
        <v>103.55</v>
      </c>
      <c r="F195" s="30">
        <v>0</v>
      </c>
      <c r="G195" s="58">
        <v>9.8996451306525102E+18</v>
      </c>
    </row>
    <row r="196" spans="3:7">
      <c r="C196" s="29" t="b">
        <v>0</v>
      </c>
      <c r="D196" s="137">
        <v>9011</v>
      </c>
      <c r="E196" s="136">
        <v>102.9</v>
      </c>
      <c r="F196" s="30">
        <v>0</v>
      </c>
      <c r="G196" s="58">
        <v>1.58381116111803E+19</v>
      </c>
    </row>
    <row r="197" spans="3:7">
      <c r="C197" s="29" t="b">
        <v>0</v>
      </c>
      <c r="D197" s="137">
        <v>9041</v>
      </c>
      <c r="E197" s="136">
        <v>101.65</v>
      </c>
      <c r="F197" s="30">
        <v>0</v>
      </c>
      <c r="G197" s="58">
        <v>7.3429719415519498E+18</v>
      </c>
    </row>
    <row r="198" spans="3:7">
      <c r="C198" s="29" t="b">
        <v>0</v>
      </c>
      <c r="D198" s="137">
        <v>9072</v>
      </c>
      <c r="E198" s="136">
        <v>107.65</v>
      </c>
      <c r="F198" s="30">
        <v>0</v>
      </c>
      <c r="G198" s="58">
        <v>2.3508109172208502E+18</v>
      </c>
    </row>
    <row r="199" spans="3:7">
      <c r="C199" s="29" t="b">
        <v>0</v>
      </c>
      <c r="D199" s="137">
        <v>9102</v>
      </c>
      <c r="E199" s="136">
        <v>115.45</v>
      </c>
      <c r="F199" s="30">
        <v>0</v>
      </c>
      <c r="G199" s="58">
        <v>1.1376943609224901E+19</v>
      </c>
    </row>
    <row r="200" spans="3:7">
      <c r="C200" s="29" t="b">
        <v>0</v>
      </c>
      <c r="D200" s="137">
        <v>9133</v>
      </c>
      <c r="E200" s="136">
        <v>121.55</v>
      </c>
      <c r="F200" s="30">
        <v>0</v>
      </c>
      <c r="G200" s="58">
        <v>1.12891156307689E+19</v>
      </c>
    </row>
    <row r="201" spans="3:7">
      <c r="C201" s="29" t="b">
        <v>0</v>
      </c>
      <c r="D201" s="137">
        <v>9164</v>
      </c>
      <c r="E201" s="136">
        <v>120.45</v>
      </c>
      <c r="F201" s="30">
        <v>0</v>
      </c>
      <c r="G201" s="58">
        <v>1.7561665454354399E+19</v>
      </c>
    </row>
    <row r="202" spans="3:7">
      <c r="C202" s="29" t="b">
        <v>0</v>
      </c>
      <c r="D202" s="137">
        <v>9192</v>
      </c>
      <c r="E202" s="136">
        <v>120.35</v>
      </c>
      <c r="F202" s="30">
        <v>0</v>
      </c>
      <c r="G202" s="58">
        <v>1.47155839265566E+19</v>
      </c>
    </row>
    <row r="203" spans="3:7">
      <c r="C203" s="29" t="b">
        <v>0</v>
      </c>
      <c r="D203" s="137">
        <v>9223</v>
      </c>
      <c r="E203" s="136">
        <v>119.7</v>
      </c>
      <c r="F203" s="30">
        <v>0</v>
      </c>
      <c r="G203" s="58">
        <v>1.00681085201461E+19</v>
      </c>
    </row>
    <row r="204" spans="3:7">
      <c r="C204" s="29" t="b">
        <v>0</v>
      </c>
      <c r="D204" s="137">
        <v>9253</v>
      </c>
      <c r="E204" s="136">
        <v>125.55</v>
      </c>
      <c r="F204" s="30">
        <v>0</v>
      </c>
      <c r="G204" s="58">
        <v>8.0727169642441001E+18</v>
      </c>
    </row>
    <row r="205" spans="3:7">
      <c r="C205" s="29" t="b">
        <v>0</v>
      </c>
      <c r="D205" s="137">
        <v>9284</v>
      </c>
      <c r="E205" s="136">
        <v>128.9</v>
      </c>
      <c r="F205" s="30">
        <v>0</v>
      </c>
      <c r="G205" s="58">
        <v>4.54919385360849E+18</v>
      </c>
    </row>
    <row r="206" spans="3:7">
      <c r="C206" s="29" t="b">
        <v>0</v>
      </c>
      <c r="D206" s="137">
        <v>9314</v>
      </c>
      <c r="E206" s="136">
        <v>133.9</v>
      </c>
      <c r="F206" s="30">
        <v>0</v>
      </c>
      <c r="G206" s="58">
        <v>1.4503082698748E+19</v>
      </c>
    </row>
    <row r="207" spans="3:7">
      <c r="C207" s="29" t="b">
        <v>0</v>
      </c>
      <c r="D207" s="137">
        <v>9345</v>
      </c>
      <c r="E207" s="136">
        <v>138.85</v>
      </c>
      <c r="F207" s="30">
        <v>0</v>
      </c>
      <c r="G207" s="58">
        <v>4.1057756347537398E+18</v>
      </c>
    </row>
    <row r="208" spans="3:7">
      <c r="C208" s="29" t="b">
        <v>0</v>
      </c>
      <c r="D208" s="137">
        <v>9376</v>
      </c>
      <c r="E208" s="136">
        <v>142.44999999999999</v>
      </c>
      <c r="F208" s="30">
        <v>0</v>
      </c>
      <c r="G208" s="58">
        <v>9.3728184003822694E+18</v>
      </c>
    </row>
    <row r="209" spans="3:7">
      <c r="C209" s="29" t="b">
        <v>0</v>
      </c>
      <c r="D209" s="137">
        <v>9406</v>
      </c>
      <c r="E209" s="136">
        <v>150.65</v>
      </c>
      <c r="F209" s="30">
        <v>0</v>
      </c>
      <c r="G209" s="58">
        <v>2.26175631404237E+18</v>
      </c>
    </row>
    <row r="210" spans="3:7">
      <c r="C210" s="29" t="b">
        <v>0</v>
      </c>
      <c r="D210" s="137">
        <v>9437</v>
      </c>
      <c r="E210" s="136">
        <v>153.80000000000001</v>
      </c>
      <c r="F210" s="30">
        <v>0</v>
      </c>
      <c r="G210" s="58">
        <v>1.49524701577589E+19</v>
      </c>
    </row>
    <row r="211" spans="3:7">
      <c r="C211" s="29" t="b">
        <v>0</v>
      </c>
      <c r="D211" s="137">
        <v>9467</v>
      </c>
      <c r="E211" s="136">
        <v>154.55000000000001</v>
      </c>
      <c r="F211" s="30">
        <v>0</v>
      </c>
      <c r="G211" s="58">
        <v>5.4383019367044905E+18</v>
      </c>
    </row>
    <row r="212" spans="3:7">
      <c r="C212" s="29" t="b">
        <v>0</v>
      </c>
      <c r="D212" s="137">
        <v>9498</v>
      </c>
      <c r="E212" s="136">
        <v>156.1</v>
      </c>
      <c r="F212" s="30">
        <v>0</v>
      </c>
      <c r="G212" s="58">
        <v>5.6656263752690995E+18</v>
      </c>
    </row>
    <row r="213" spans="3:7">
      <c r="C213" s="29" t="b">
        <v>0</v>
      </c>
      <c r="D213" s="137">
        <v>9529</v>
      </c>
      <c r="E213" s="136">
        <v>158.4</v>
      </c>
      <c r="F213" s="30">
        <v>0</v>
      </c>
      <c r="G213" s="58">
        <v>6.7456859512689603E+18</v>
      </c>
    </row>
    <row r="214" spans="3:7">
      <c r="C214" s="29" t="b">
        <v>0</v>
      </c>
      <c r="D214" s="137">
        <v>9557</v>
      </c>
      <c r="E214" s="136">
        <v>144.25</v>
      </c>
      <c r="F214" s="30">
        <v>0</v>
      </c>
      <c r="G214" s="58">
        <v>7.6164278244208998E+18</v>
      </c>
    </row>
    <row r="215" spans="3:7">
      <c r="C215" s="29" t="b">
        <v>0</v>
      </c>
      <c r="D215" s="137">
        <v>9588</v>
      </c>
      <c r="E215" s="136">
        <v>140.55000000000001</v>
      </c>
      <c r="F215" s="30">
        <v>0</v>
      </c>
      <c r="G215" s="58">
        <v>1.09012512846754E+19</v>
      </c>
    </row>
    <row r="216" spans="3:7">
      <c r="C216" s="29" t="b">
        <v>0</v>
      </c>
      <c r="D216" s="137">
        <v>9618</v>
      </c>
      <c r="E216" s="136">
        <v>140.30000000000001</v>
      </c>
      <c r="F216" s="30">
        <v>0</v>
      </c>
      <c r="G216" s="58">
        <v>1.22977156918661E+19</v>
      </c>
    </row>
    <row r="217" spans="3:7">
      <c r="C217" s="29" t="b">
        <v>0</v>
      </c>
      <c r="D217" s="137">
        <v>9649</v>
      </c>
      <c r="E217" s="136">
        <v>148.15</v>
      </c>
      <c r="F217" s="30">
        <v>0</v>
      </c>
      <c r="G217" s="58">
        <v>8.3425706702156403E+17</v>
      </c>
    </row>
    <row r="218" spans="3:7">
      <c r="C218" s="29" t="b">
        <v>0</v>
      </c>
      <c r="D218" s="137">
        <v>9679</v>
      </c>
      <c r="E218" s="136">
        <v>156.80000000000001</v>
      </c>
      <c r="F218" s="30">
        <v>0</v>
      </c>
      <c r="G218" s="58">
        <v>9.35123781604752E+17</v>
      </c>
    </row>
    <row r="219" spans="3:7">
      <c r="C219" s="29" t="b">
        <v>0</v>
      </c>
      <c r="D219" s="137">
        <v>9710</v>
      </c>
      <c r="E219" s="136">
        <v>163.5</v>
      </c>
      <c r="F219" s="30">
        <v>0</v>
      </c>
      <c r="G219" s="58">
        <v>7.2505468108019804E+18</v>
      </c>
    </row>
    <row r="220" spans="3:7">
      <c r="C220" s="29" t="b">
        <v>0</v>
      </c>
      <c r="D220" s="137">
        <v>9741</v>
      </c>
      <c r="E220" s="136">
        <v>161.19999999999999</v>
      </c>
      <c r="F220" s="30">
        <v>0</v>
      </c>
      <c r="G220" s="58">
        <v>4.5500083970409902E+18</v>
      </c>
    </row>
    <row r="221" spans="3:7">
      <c r="C221" s="29" t="b">
        <v>0</v>
      </c>
      <c r="D221" s="137">
        <v>9771</v>
      </c>
      <c r="E221" s="136">
        <v>152.69999999999999</v>
      </c>
      <c r="F221" s="30">
        <v>0</v>
      </c>
      <c r="G221" s="58">
        <v>1.8071868684160999E+19</v>
      </c>
    </row>
    <row r="222" spans="3:7">
      <c r="C222" s="29" t="b">
        <v>0</v>
      </c>
      <c r="D222" s="137">
        <v>9802</v>
      </c>
      <c r="E222" s="136">
        <v>153.94999999999999</v>
      </c>
      <c r="F222" s="30">
        <v>0</v>
      </c>
      <c r="G222" s="58">
        <v>1.5229022234024901E+19</v>
      </c>
    </row>
    <row r="223" spans="3:7">
      <c r="C223" s="29" t="b">
        <v>0</v>
      </c>
      <c r="D223" s="137">
        <v>9832</v>
      </c>
      <c r="E223" s="136">
        <v>159.30000000000001</v>
      </c>
      <c r="F223" s="30">
        <v>0</v>
      </c>
      <c r="G223" s="58">
        <v>1.0944525782742999E+19</v>
      </c>
    </row>
    <row r="224" spans="3:7">
      <c r="C224" s="29" t="b">
        <v>0</v>
      </c>
      <c r="D224" s="137">
        <v>9863</v>
      </c>
      <c r="E224" s="136">
        <v>154.65</v>
      </c>
      <c r="F224" s="30">
        <v>0</v>
      </c>
      <c r="G224" s="58">
        <v>1.80422724416972E+19</v>
      </c>
    </row>
    <row r="225" spans="3:7">
      <c r="C225" s="29" t="b">
        <v>0</v>
      </c>
      <c r="D225" s="137">
        <v>9894</v>
      </c>
      <c r="E225" s="136">
        <v>158.15</v>
      </c>
      <c r="F225" s="30">
        <v>0</v>
      </c>
      <c r="G225" s="58">
        <v>1.03223413733387E+19</v>
      </c>
    </row>
    <row r="226" spans="3:7">
      <c r="C226" s="29" t="b">
        <v>0</v>
      </c>
      <c r="D226" s="137">
        <v>9922</v>
      </c>
      <c r="E226" s="136">
        <v>160.1</v>
      </c>
      <c r="F226" s="30">
        <v>0</v>
      </c>
      <c r="G226" s="58">
        <v>1.1068331462396801E+19</v>
      </c>
    </row>
    <row r="227" spans="3:7">
      <c r="C227" s="29" t="b">
        <v>0</v>
      </c>
      <c r="D227" s="137">
        <v>9953</v>
      </c>
      <c r="E227" s="136">
        <v>164.05</v>
      </c>
      <c r="F227" s="30">
        <v>0</v>
      </c>
      <c r="G227" s="58">
        <v>8.0220879330016502E+18</v>
      </c>
    </row>
    <row r="228" spans="3:7">
      <c r="C228" s="29" t="b">
        <v>0</v>
      </c>
      <c r="D228" s="137">
        <v>9983</v>
      </c>
      <c r="E228" s="136">
        <v>168.8</v>
      </c>
      <c r="F228" s="30">
        <v>0</v>
      </c>
      <c r="G228" s="58">
        <v>3.2053045745688499E+17</v>
      </c>
    </row>
    <row r="229" spans="3:7">
      <c r="C229" s="29" t="b">
        <v>0</v>
      </c>
      <c r="D229" s="137">
        <v>10014</v>
      </c>
      <c r="E229" s="136">
        <v>168.85</v>
      </c>
      <c r="F229" s="30">
        <v>0</v>
      </c>
      <c r="G229" s="58">
        <v>1.6011772331143399E+19</v>
      </c>
    </row>
    <row r="230" spans="3:7">
      <c r="C230" s="29" t="b">
        <v>0</v>
      </c>
      <c r="D230" s="137">
        <v>10044</v>
      </c>
      <c r="E230" s="136">
        <v>175.35</v>
      </c>
      <c r="F230" s="30">
        <v>0</v>
      </c>
      <c r="G230" s="58">
        <v>1.70610676495353E+19</v>
      </c>
    </row>
    <row r="231" spans="3:7">
      <c r="C231" s="29" t="b">
        <v>0</v>
      </c>
      <c r="D231" s="137">
        <v>10075</v>
      </c>
      <c r="E231" s="136">
        <v>183.85</v>
      </c>
      <c r="F231" s="30">
        <v>0</v>
      </c>
      <c r="G231" s="58">
        <v>6.1660260088099901E+18</v>
      </c>
    </row>
    <row r="232" spans="3:7">
      <c r="C232" s="29" t="b">
        <v>0</v>
      </c>
      <c r="D232" s="137">
        <v>10106</v>
      </c>
      <c r="E232" s="136">
        <v>195.3</v>
      </c>
      <c r="F232" s="30">
        <v>0</v>
      </c>
      <c r="G232" s="58">
        <v>4.6719226434919997E+18</v>
      </c>
    </row>
    <row r="233" spans="3:7">
      <c r="C233" s="29" t="b">
        <v>0</v>
      </c>
      <c r="D233" s="137">
        <v>10136</v>
      </c>
      <c r="E233" s="136">
        <v>189.8</v>
      </c>
      <c r="F233" s="30">
        <v>0</v>
      </c>
      <c r="G233" s="58">
        <v>3.2297047083232599E+18</v>
      </c>
    </row>
    <row r="234" spans="3:7">
      <c r="C234" s="29" t="b">
        <v>0</v>
      </c>
      <c r="D234" s="137">
        <v>10167</v>
      </c>
      <c r="E234" s="136">
        <v>189.95</v>
      </c>
      <c r="F234" s="30">
        <v>0</v>
      </c>
      <c r="G234" s="58">
        <v>1.3810410595068299E+19</v>
      </c>
    </row>
    <row r="235" spans="3:7">
      <c r="C235" s="29" t="b">
        <v>0</v>
      </c>
      <c r="D235" s="137">
        <v>10197</v>
      </c>
      <c r="E235" s="136">
        <v>198</v>
      </c>
      <c r="F235" s="30">
        <v>0</v>
      </c>
      <c r="G235" s="58">
        <v>2.7656982614022099E+17</v>
      </c>
    </row>
    <row r="236" spans="3:7">
      <c r="C236" s="29" t="b">
        <v>0</v>
      </c>
      <c r="D236" s="137">
        <v>10228</v>
      </c>
      <c r="E236" s="136">
        <v>198.95</v>
      </c>
      <c r="F236" s="30">
        <v>0</v>
      </c>
      <c r="G236" s="58">
        <v>1.2874716784649001E+19</v>
      </c>
    </row>
    <row r="237" spans="3:7">
      <c r="C237" s="29" t="b">
        <v>0</v>
      </c>
      <c r="D237" s="137">
        <v>10259</v>
      </c>
      <c r="E237" s="136">
        <v>195.35</v>
      </c>
      <c r="F237" s="30">
        <v>0</v>
      </c>
      <c r="G237" s="58">
        <v>5.8787849796184904E+18</v>
      </c>
    </row>
    <row r="238" spans="3:7">
      <c r="C238" s="29" t="b">
        <v>0</v>
      </c>
      <c r="D238" s="137">
        <v>10288</v>
      </c>
      <c r="E238" s="136">
        <v>204.5</v>
      </c>
      <c r="F238" s="30">
        <v>0</v>
      </c>
      <c r="G238" s="58">
        <v>1.7677614547837299E+18</v>
      </c>
    </row>
    <row r="239" spans="3:7">
      <c r="C239" s="29" t="b">
        <v>0</v>
      </c>
      <c r="D239" s="137">
        <v>10319</v>
      </c>
      <c r="E239" s="136">
        <v>212.45</v>
      </c>
      <c r="F239" s="30">
        <v>0</v>
      </c>
      <c r="G239" s="58">
        <v>2.9749472019436298E+18</v>
      </c>
    </row>
    <row r="240" spans="3:7">
      <c r="C240" s="29" t="b">
        <v>0</v>
      </c>
      <c r="D240" s="137">
        <v>10349</v>
      </c>
      <c r="E240" s="136">
        <v>216.3</v>
      </c>
      <c r="F240" s="30">
        <v>0</v>
      </c>
      <c r="G240" s="58">
        <v>3.9833255081397499E+18</v>
      </c>
    </row>
    <row r="241" spans="3:7">
      <c r="C241" s="29" t="b">
        <v>0</v>
      </c>
      <c r="D241" s="137">
        <v>10380</v>
      </c>
      <c r="E241" s="136">
        <v>211.5</v>
      </c>
      <c r="F241" s="30">
        <v>0</v>
      </c>
      <c r="G241" s="58">
        <v>4.7618636170558904E+18</v>
      </c>
    </row>
    <row r="242" spans="3:7">
      <c r="C242" s="29" t="b">
        <v>0</v>
      </c>
      <c r="D242" s="137">
        <v>10410</v>
      </c>
      <c r="E242" s="136">
        <v>210.85</v>
      </c>
      <c r="F242" s="30">
        <v>0</v>
      </c>
      <c r="G242" s="58">
        <v>1.4684910296081299E+19</v>
      </c>
    </row>
    <row r="243" spans="3:7">
      <c r="C243" s="29" t="b">
        <v>0</v>
      </c>
      <c r="D243" s="137">
        <v>10441</v>
      </c>
      <c r="E243" s="136">
        <v>227.25</v>
      </c>
      <c r="F243" s="30">
        <v>0</v>
      </c>
      <c r="G243" s="58">
        <v>8.8430183263200102E+17</v>
      </c>
    </row>
    <row r="244" spans="3:7">
      <c r="C244" s="29" t="b">
        <v>0</v>
      </c>
      <c r="D244" s="137">
        <v>10472</v>
      </c>
      <c r="E244" s="136">
        <v>239.3</v>
      </c>
      <c r="F244" s="30">
        <v>0</v>
      </c>
      <c r="G244" s="58">
        <v>1.24917021636905E+19</v>
      </c>
    </row>
    <row r="245" spans="3:7">
      <c r="C245" s="29" t="b">
        <v>0</v>
      </c>
      <c r="D245" s="137">
        <v>10502</v>
      </c>
      <c r="E245" s="136">
        <v>247.45</v>
      </c>
      <c r="F245" s="30">
        <v>0</v>
      </c>
      <c r="G245" s="58">
        <v>5.4177823438245898E+18</v>
      </c>
    </row>
    <row r="246" spans="3:7">
      <c r="C246" s="29" t="b">
        <v>0</v>
      </c>
      <c r="D246" s="137">
        <v>10533</v>
      </c>
      <c r="E246" s="136">
        <v>274.89999999999998</v>
      </c>
      <c r="F246" s="30">
        <v>0</v>
      </c>
      <c r="G246" s="58">
        <v>1.0368825990442299E+19</v>
      </c>
    </row>
    <row r="247" spans="3:7">
      <c r="C247" s="29" t="b">
        <v>0</v>
      </c>
      <c r="D247" s="137">
        <v>10563</v>
      </c>
      <c r="E247" s="136">
        <v>278.64999999999998</v>
      </c>
      <c r="F247" s="30">
        <v>0</v>
      </c>
      <c r="G247" s="58">
        <v>3.3305348596005699E+18</v>
      </c>
    </row>
    <row r="248" spans="3:7">
      <c r="C248" s="29" t="b">
        <v>0</v>
      </c>
      <c r="D248" s="137">
        <v>10594</v>
      </c>
      <c r="E248" s="136">
        <v>307.25</v>
      </c>
      <c r="F248" s="30">
        <v>0</v>
      </c>
      <c r="G248" s="58">
        <v>2.75310267278946E+18</v>
      </c>
    </row>
    <row r="249" spans="3:7">
      <c r="C249" s="29" t="b">
        <v>0</v>
      </c>
      <c r="D249" s="137">
        <v>10625</v>
      </c>
      <c r="E249" s="136">
        <v>309</v>
      </c>
      <c r="F249" s="30">
        <v>0</v>
      </c>
      <c r="G249" s="58">
        <v>1.52939108598952E+19</v>
      </c>
    </row>
    <row r="250" spans="3:7">
      <c r="C250" s="29" t="b">
        <v>0</v>
      </c>
      <c r="D250" s="137">
        <v>10653</v>
      </c>
      <c r="E250" s="136">
        <v>308.85000000000002</v>
      </c>
      <c r="F250" s="30">
        <v>0</v>
      </c>
      <c r="G250" s="58">
        <v>3.3282651146189701E+18</v>
      </c>
    </row>
    <row r="251" spans="3:7">
      <c r="C251" s="29" t="b">
        <v>0</v>
      </c>
      <c r="D251" s="137">
        <v>10684</v>
      </c>
      <c r="E251" s="136">
        <v>309.2</v>
      </c>
      <c r="F251" s="30">
        <v>0</v>
      </c>
      <c r="G251" s="58">
        <v>2.7378040807393398E+18</v>
      </c>
    </row>
    <row r="252" spans="3:7">
      <c r="C252" s="29" t="b">
        <v>0</v>
      </c>
      <c r="D252" s="137">
        <v>10714</v>
      </c>
      <c r="E252" s="136">
        <v>310.25</v>
      </c>
      <c r="F252" s="30">
        <v>0</v>
      </c>
      <c r="G252" s="58">
        <v>1.4989533354497401E+19</v>
      </c>
    </row>
    <row r="253" spans="3:7">
      <c r="C253" s="29" t="b">
        <v>0</v>
      </c>
      <c r="D253" s="137">
        <v>10745</v>
      </c>
      <c r="E253" s="136">
        <v>316.45</v>
      </c>
      <c r="F253" s="30">
        <v>0</v>
      </c>
      <c r="G253" s="58">
        <v>6.3734748873801503E+18</v>
      </c>
    </row>
    <row r="254" spans="3:7">
      <c r="C254" s="29" t="b">
        <v>0</v>
      </c>
      <c r="D254" s="137">
        <v>10775</v>
      </c>
      <c r="E254" s="136">
        <v>341.45</v>
      </c>
      <c r="F254" s="30">
        <v>0</v>
      </c>
      <c r="G254" s="58">
        <v>4.8841756642735802E+17</v>
      </c>
    </row>
    <row r="255" spans="3:7">
      <c r="C255" s="29" t="b">
        <v>0</v>
      </c>
      <c r="D255" s="137">
        <v>10806</v>
      </c>
      <c r="E255" s="136">
        <v>359.15</v>
      </c>
      <c r="F255" s="30">
        <v>0</v>
      </c>
      <c r="G255" s="58">
        <v>1.06736833571804E+19</v>
      </c>
    </row>
    <row r="256" spans="3:7">
      <c r="C256" s="29" t="b">
        <v>0</v>
      </c>
      <c r="D256" s="137">
        <v>10837</v>
      </c>
      <c r="E256" s="136">
        <v>362.35</v>
      </c>
      <c r="F256" s="30">
        <v>0</v>
      </c>
      <c r="G256" s="58">
        <v>1.2784674385748601E+19</v>
      </c>
    </row>
    <row r="257" spans="3:7">
      <c r="C257" s="29" t="b">
        <v>0</v>
      </c>
      <c r="D257" s="137">
        <v>10867</v>
      </c>
      <c r="E257" s="136">
        <v>291.5</v>
      </c>
      <c r="F257" s="30">
        <v>0</v>
      </c>
      <c r="G257" s="58">
        <v>5.9992654668182405E+18</v>
      </c>
    </row>
    <row r="258" spans="3:7">
      <c r="C258" s="29" t="b">
        <v>0</v>
      </c>
      <c r="D258" s="137">
        <v>10898</v>
      </c>
      <c r="E258" s="136">
        <v>228.2</v>
      </c>
      <c r="F258" s="30">
        <v>0</v>
      </c>
      <c r="G258" s="58">
        <v>1.5596709722467701E+19</v>
      </c>
    </row>
    <row r="259" spans="3:7">
      <c r="C259" s="29" t="b">
        <v>0</v>
      </c>
      <c r="D259" s="137">
        <v>10928</v>
      </c>
      <c r="E259" s="136">
        <v>247.2</v>
      </c>
      <c r="F259" s="30">
        <v>0</v>
      </c>
      <c r="G259" s="58">
        <v>1.8431422002191999E+19</v>
      </c>
    </row>
    <row r="260" spans="3:7">
      <c r="C260" s="29" t="b">
        <v>0</v>
      </c>
      <c r="D260" s="137">
        <v>10959</v>
      </c>
      <c r="E260" s="136">
        <v>255.65</v>
      </c>
      <c r="F260" s="30">
        <v>0</v>
      </c>
      <c r="G260" s="58">
        <v>3.9153142785409E+16</v>
      </c>
    </row>
    <row r="261" spans="3:7">
      <c r="C261" s="29" t="b">
        <v>0</v>
      </c>
      <c r="D261" s="137">
        <v>10990</v>
      </c>
      <c r="E261" s="136">
        <v>267.39999999999998</v>
      </c>
      <c r="F261" s="30">
        <v>0</v>
      </c>
      <c r="G261" s="58">
        <v>1.09522392573796E+19</v>
      </c>
    </row>
    <row r="262" spans="3:7">
      <c r="C262" s="29" t="b">
        <v>0</v>
      </c>
      <c r="D262" s="137">
        <v>11018</v>
      </c>
      <c r="E262" s="136">
        <v>278.25</v>
      </c>
      <c r="F262" s="30">
        <v>0</v>
      </c>
      <c r="G262" s="58">
        <v>3.8767597735878902E+18</v>
      </c>
    </row>
    <row r="263" spans="3:7">
      <c r="C263" s="29" t="b">
        <v>0</v>
      </c>
      <c r="D263" s="137">
        <v>11049</v>
      </c>
      <c r="E263" s="136">
        <v>285.5</v>
      </c>
      <c r="F263" s="30">
        <v>0</v>
      </c>
      <c r="G263" s="58">
        <v>1.61261625444195E+19</v>
      </c>
    </row>
    <row r="264" spans="3:7">
      <c r="C264" s="29" t="b">
        <v>0</v>
      </c>
      <c r="D264" s="137">
        <v>11079</v>
      </c>
      <c r="E264" s="136">
        <v>266.7</v>
      </c>
      <c r="F264" s="30">
        <v>0</v>
      </c>
      <c r="G264" s="58">
        <v>2.6015368849469501E+18</v>
      </c>
    </row>
    <row r="265" spans="3:7">
      <c r="C265" s="29" t="b">
        <v>0</v>
      </c>
      <c r="D265" s="137">
        <v>11110</v>
      </c>
      <c r="E265" s="136">
        <v>243.15</v>
      </c>
      <c r="F265" s="30">
        <v>0</v>
      </c>
      <c r="G265" s="58">
        <v>3.4430931746639099E+18</v>
      </c>
    </row>
    <row r="266" spans="3:7">
      <c r="C266" s="29" t="b">
        <v>0</v>
      </c>
      <c r="D266" s="137">
        <v>11140</v>
      </c>
      <c r="E266" s="136">
        <v>229.8</v>
      </c>
      <c r="F266" s="30">
        <v>0</v>
      </c>
      <c r="G266" s="58">
        <v>3.5459364905530501E+18</v>
      </c>
    </row>
    <row r="267" spans="3:7">
      <c r="C267" s="29" t="b">
        <v>0</v>
      </c>
      <c r="D267" s="137">
        <v>11171</v>
      </c>
      <c r="E267" s="136">
        <v>228.8</v>
      </c>
      <c r="F267" s="30">
        <v>0</v>
      </c>
      <c r="G267" s="58">
        <v>7.0713861407190702E+18</v>
      </c>
    </row>
    <row r="268" spans="3:7">
      <c r="C268" s="29" t="b">
        <v>0</v>
      </c>
      <c r="D268" s="137">
        <v>11202</v>
      </c>
      <c r="E268" s="136">
        <v>225</v>
      </c>
      <c r="F268" s="30">
        <v>0</v>
      </c>
      <c r="G268" s="58">
        <v>1.61242272897807E+18</v>
      </c>
    </row>
    <row r="269" spans="3:7">
      <c r="C269" s="29" t="b">
        <v>0</v>
      </c>
      <c r="D269" s="137">
        <v>11232</v>
      </c>
      <c r="E269" s="136">
        <v>198.75</v>
      </c>
      <c r="F269" s="30">
        <v>0</v>
      </c>
      <c r="G269" s="58">
        <v>9.9156884208872998E+17</v>
      </c>
    </row>
    <row r="270" spans="3:7">
      <c r="C270" s="29" t="b">
        <v>0</v>
      </c>
      <c r="D270" s="137">
        <v>11263</v>
      </c>
      <c r="E270" s="136">
        <v>180.95</v>
      </c>
      <c r="F270" s="30">
        <v>0</v>
      </c>
      <c r="G270" s="58">
        <v>1.0341466162857001E+19</v>
      </c>
    </row>
    <row r="271" spans="3:7">
      <c r="C271" s="29" t="b">
        <v>0</v>
      </c>
      <c r="D271" s="137">
        <v>11293</v>
      </c>
      <c r="E271" s="136">
        <v>172.15</v>
      </c>
      <c r="F271" s="30">
        <v>0</v>
      </c>
      <c r="G271" s="58">
        <v>7.07817902708386E+18</v>
      </c>
    </row>
    <row r="272" spans="3:7">
      <c r="C272" s="29" t="b">
        <v>0</v>
      </c>
      <c r="D272" s="137">
        <v>11324</v>
      </c>
      <c r="E272" s="136">
        <v>167.25</v>
      </c>
      <c r="F272" s="30">
        <v>0</v>
      </c>
      <c r="G272" s="58">
        <v>1.3048444246238099E+19</v>
      </c>
    </row>
    <row r="273" spans="3:7">
      <c r="C273" s="29" t="b">
        <v>0</v>
      </c>
      <c r="D273" s="137">
        <v>11355</v>
      </c>
      <c r="E273" s="136">
        <v>181.55</v>
      </c>
      <c r="F273" s="30">
        <v>0</v>
      </c>
      <c r="G273" s="58">
        <v>3.64974940687358E+18</v>
      </c>
    </row>
    <row r="274" spans="3:7">
      <c r="C274" s="29" t="b">
        <v>0</v>
      </c>
      <c r="D274" s="137">
        <v>11383</v>
      </c>
      <c r="E274" s="136">
        <v>180.05</v>
      </c>
      <c r="F274" s="30">
        <v>0</v>
      </c>
      <c r="G274" s="58">
        <v>1.7532913252923099E+19</v>
      </c>
    </row>
    <row r="275" spans="3:7">
      <c r="C275" s="29" t="b">
        <v>0</v>
      </c>
      <c r="D275" s="137">
        <v>11414</v>
      </c>
      <c r="E275" s="136">
        <v>158</v>
      </c>
      <c r="F275" s="30">
        <v>0</v>
      </c>
      <c r="G275" s="58">
        <v>1.1101834344875301E+19</v>
      </c>
    </row>
    <row r="276" spans="3:7">
      <c r="C276" s="29" t="b">
        <v>0</v>
      </c>
      <c r="D276" s="137">
        <v>11444</v>
      </c>
      <c r="E276" s="136">
        <v>141.44999999999999</v>
      </c>
      <c r="F276" s="30">
        <v>0</v>
      </c>
      <c r="G276" s="58">
        <v>7.29627206864098E+18</v>
      </c>
    </row>
    <row r="277" spans="3:7">
      <c r="C277" s="29" t="b">
        <v>0</v>
      </c>
      <c r="D277" s="137">
        <v>11475</v>
      </c>
      <c r="E277" s="136">
        <v>139.30000000000001</v>
      </c>
      <c r="F277" s="30">
        <v>0</v>
      </c>
      <c r="G277" s="58">
        <v>1.39256383085718E+19</v>
      </c>
    </row>
    <row r="278" spans="3:7">
      <c r="C278" s="29" t="b">
        <v>0</v>
      </c>
      <c r="D278" s="137">
        <v>11505</v>
      </c>
      <c r="E278" s="136">
        <v>145.35</v>
      </c>
      <c r="F278" s="30">
        <v>0</v>
      </c>
      <c r="G278" s="58">
        <v>9.8976337584820797E+18</v>
      </c>
    </row>
    <row r="279" spans="3:7">
      <c r="C279" s="29" t="b">
        <v>0</v>
      </c>
      <c r="D279" s="137">
        <v>11536</v>
      </c>
      <c r="E279" s="136">
        <v>139.80000000000001</v>
      </c>
      <c r="F279" s="30">
        <v>0</v>
      </c>
      <c r="G279" s="58">
        <v>1.18740174273962E+19</v>
      </c>
    </row>
    <row r="280" spans="3:7">
      <c r="C280" s="29" t="b">
        <v>0</v>
      </c>
      <c r="D280" s="137">
        <v>11567</v>
      </c>
      <c r="E280" s="136">
        <v>118.35</v>
      </c>
      <c r="F280" s="30">
        <v>0</v>
      </c>
      <c r="G280" s="58">
        <v>1.4677589142499299E+19</v>
      </c>
    </row>
    <row r="281" spans="3:7">
      <c r="C281" s="29" t="b">
        <v>0</v>
      </c>
      <c r="D281" s="137">
        <v>11597</v>
      </c>
      <c r="E281" s="136">
        <v>98.1</v>
      </c>
      <c r="F281" s="30">
        <v>0</v>
      </c>
      <c r="G281" s="58">
        <v>2.24118833127358E+18</v>
      </c>
    </row>
    <row r="282" spans="3:7">
      <c r="C282" s="29" t="b">
        <v>0</v>
      </c>
      <c r="D282" s="137">
        <v>11628</v>
      </c>
      <c r="E282" s="136">
        <v>103.4</v>
      </c>
      <c r="F282" s="30">
        <v>0</v>
      </c>
      <c r="G282" s="58">
        <v>1.0581685325383299E+19</v>
      </c>
    </row>
    <row r="283" spans="3:7">
      <c r="C283" s="29" t="b">
        <v>0</v>
      </c>
      <c r="D283" s="137">
        <v>11658</v>
      </c>
      <c r="E283" s="136">
        <v>82.8</v>
      </c>
      <c r="F283" s="30">
        <v>0</v>
      </c>
      <c r="G283" s="58">
        <v>4.4592993105798502E+18</v>
      </c>
    </row>
    <row r="284" spans="3:7">
      <c r="C284" s="29" t="b">
        <v>0</v>
      </c>
      <c r="D284" s="137">
        <v>11689</v>
      </c>
      <c r="E284" s="136">
        <v>78.55</v>
      </c>
      <c r="F284" s="30">
        <v>0</v>
      </c>
      <c r="G284" s="58">
        <v>4.3526152854451599E+18</v>
      </c>
    </row>
    <row r="285" spans="3:7">
      <c r="C285" s="29" t="b">
        <v>0</v>
      </c>
      <c r="D285" s="137">
        <v>11720</v>
      </c>
      <c r="E285" s="136">
        <v>78.900000000000006</v>
      </c>
      <c r="F285" s="30">
        <v>0</v>
      </c>
      <c r="G285" s="58">
        <v>1.39280187817855E+19</v>
      </c>
    </row>
    <row r="286" spans="3:7">
      <c r="C286" s="29" t="b">
        <v>0</v>
      </c>
      <c r="D286" s="137">
        <v>11749</v>
      </c>
      <c r="E286" s="136">
        <v>81.05</v>
      </c>
      <c r="F286" s="30">
        <v>0</v>
      </c>
      <c r="G286" s="58">
        <v>1.58383562883323E+19</v>
      </c>
    </row>
    <row r="287" spans="3:7">
      <c r="C287" s="29" t="b">
        <v>0</v>
      </c>
      <c r="D287" s="137">
        <v>11780</v>
      </c>
      <c r="E287" s="136">
        <v>64.05</v>
      </c>
      <c r="F287" s="30">
        <v>0</v>
      </c>
      <c r="G287" s="58">
        <v>4.6415260364759002E+17</v>
      </c>
    </row>
    <row r="288" spans="3:7">
      <c r="C288" s="29" t="b">
        <v>0</v>
      </c>
      <c r="D288" s="137">
        <v>11810</v>
      </c>
      <c r="E288" s="136">
        <v>51.85</v>
      </c>
      <c r="F288" s="30">
        <v>0</v>
      </c>
      <c r="G288" s="58">
        <v>7.76481339469837E+18</v>
      </c>
    </row>
    <row r="289" spans="3:7">
      <c r="C289" s="29" t="b">
        <v>0</v>
      </c>
      <c r="D289" s="137">
        <v>11841</v>
      </c>
      <c r="E289" s="136">
        <v>46.85</v>
      </c>
      <c r="F289" s="30">
        <v>0</v>
      </c>
      <c r="G289" s="58">
        <v>1.06680422790558E+19</v>
      </c>
    </row>
    <row r="290" spans="3:7">
      <c r="C290" s="29" t="b">
        <v>0</v>
      </c>
      <c r="D290" s="137">
        <v>11871</v>
      </c>
      <c r="E290" s="136">
        <v>47.75</v>
      </c>
      <c r="F290" s="30">
        <v>0</v>
      </c>
      <c r="G290" s="58">
        <v>6.7156319261234401E+18</v>
      </c>
    </row>
    <row r="291" spans="3:7">
      <c r="C291" s="29" t="b">
        <v>0</v>
      </c>
      <c r="D291" s="137">
        <v>11902</v>
      </c>
      <c r="E291" s="136">
        <v>64.400000000000006</v>
      </c>
      <c r="F291" s="30">
        <v>0</v>
      </c>
      <c r="G291" s="58">
        <v>1.45068740596772E+19</v>
      </c>
    </row>
    <row r="292" spans="3:7">
      <c r="C292" s="29" t="b">
        <v>0</v>
      </c>
      <c r="D292" s="137">
        <v>11933</v>
      </c>
      <c r="E292" s="136">
        <v>71</v>
      </c>
      <c r="F292" s="30">
        <v>0</v>
      </c>
      <c r="G292" s="58">
        <v>3.4844693351287598E+18</v>
      </c>
    </row>
    <row r="293" spans="3:7">
      <c r="C293" s="29" t="b">
        <v>0</v>
      </c>
      <c r="D293" s="137">
        <v>11963</v>
      </c>
      <c r="E293" s="136">
        <v>65.3</v>
      </c>
      <c r="F293" s="30">
        <v>0</v>
      </c>
      <c r="G293" s="58">
        <v>7.9117632265986499E+18</v>
      </c>
    </row>
    <row r="294" spans="3:7">
      <c r="C294" s="29" t="b">
        <v>0</v>
      </c>
      <c r="D294" s="137">
        <v>11994</v>
      </c>
      <c r="E294" s="136">
        <v>62.2</v>
      </c>
      <c r="F294" s="30">
        <v>0</v>
      </c>
      <c r="G294" s="58">
        <v>1.7294742865988499E+19</v>
      </c>
    </row>
    <row r="295" spans="3:7">
      <c r="C295" s="29" t="b">
        <v>0</v>
      </c>
      <c r="D295" s="137">
        <v>12024</v>
      </c>
      <c r="E295" s="136">
        <v>58.85</v>
      </c>
      <c r="F295" s="30">
        <v>0</v>
      </c>
      <c r="G295" s="58">
        <v>1.82999352653364E+19</v>
      </c>
    </row>
    <row r="296" spans="3:7">
      <c r="C296" s="29" t="b">
        <v>0</v>
      </c>
      <c r="D296" s="137">
        <v>12055</v>
      </c>
      <c r="E296" s="136">
        <v>61.85</v>
      </c>
      <c r="F296" s="30">
        <v>0</v>
      </c>
      <c r="G296" s="58">
        <v>6.3885684506775504E+16</v>
      </c>
    </row>
    <row r="297" spans="3:7">
      <c r="C297" s="29" t="b">
        <v>0</v>
      </c>
      <c r="D297" s="137">
        <v>12086</v>
      </c>
      <c r="E297" s="136">
        <v>55.15</v>
      </c>
      <c r="F297" s="30">
        <v>0</v>
      </c>
      <c r="G297" s="58">
        <v>1.58979562863471E+19</v>
      </c>
    </row>
    <row r="298" spans="3:7">
      <c r="C298" s="29" t="b">
        <v>0</v>
      </c>
      <c r="D298" s="137">
        <v>12114</v>
      </c>
      <c r="E298" s="136">
        <v>57.75</v>
      </c>
      <c r="F298" s="30">
        <v>0</v>
      </c>
      <c r="G298" s="58">
        <v>1.4496970523114799E+19</v>
      </c>
    </row>
    <row r="299" spans="3:7">
      <c r="C299" s="29" t="b">
        <v>0</v>
      </c>
      <c r="D299" s="137">
        <v>12145</v>
      </c>
      <c r="E299" s="136">
        <v>66.7</v>
      </c>
      <c r="F299" s="30">
        <v>0</v>
      </c>
      <c r="G299" s="58">
        <v>1.64589898229418E+19</v>
      </c>
    </row>
    <row r="300" spans="3:7">
      <c r="C300" s="29" t="b">
        <v>0</v>
      </c>
      <c r="D300" s="137">
        <v>12175</v>
      </c>
      <c r="E300" s="136">
        <v>83.3</v>
      </c>
      <c r="F300" s="30">
        <v>0</v>
      </c>
      <c r="G300" s="58">
        <v>8.2388725591859804E+18</v>
      </c>
    </row>
    <row r="301" spans="3:7">
      <c r="C301" s="29" t="b">
        <v>0</v>
      </c>
      <c r="D301" s="137">
        <v>12206</v>
      </c>
      <c r="E301" s="136">
        <v>93.8</v>
      </c>
      <c r="F301" s="30">
        <v>0</v>
      </c>
      <c r="G301" s="58">
        <v>5.8696348108719196E+18</v>
      </c>
    </row>
    <row r="302" spans="3:7">
      <c r="C302" s="29" t="b">
        <v>0</v>
      </c>
      <c r="D302" s="137">
        <v>12236</v>
      </c>
      <c r="E302" s="136">
        <v>98.55</v>
      </c>
      <c r="F302" s="30">
        <v>0</v>
      </c>
      <c r="G302" s="58">
        <v>1.23790728137421E+19</v>
      </c>
    </row>
    <row r="303" spans="3:7">
      <c r="C303" s="29" t="b">
        <v>0</v>
      </c>
      <c r="D303" s="137">
        <v>12267</v>
      </c>
      <c r="E303" s="136">
        <v>98.85</v>
      </c>
      <c r="F303" s="30">
        <v>0</v>
      </c>
      <c r="G303" s="58">
        <v>9.7053225052170609E+18</v>
      </c>
    </row>
    <row r="304" spans="3:7">
      <c r="C304" s="29" t="b">
        <v>0</v>
      </c>
      <c r="D304" s="137">
        <v>12298</v>
      </c>
      <c r="E304" s="136">
        <v>99.45</v>
      </c>
      <c r="F304" s="30">
        <v>0</v>
      </c>
      <c r="G304" s="58">
        <v>1.9893345988615301E+18</v>
      </c>
    </row>
    <row r="305" spans="3:7">
      <c r="C305" s="29" t="b">
        <v>0</v>
      </c>
      <c r="D305" s="137">
        <v>12328</v>
      </c>
      <c r="E305" s="136">
        <v>91.65</v>
      </c>
      <c r="F305" s="30">
        <v>0</v>
      </c>
      <c r="G305" s="58">
        <v>1.1927904172948401E+18</v>
      </c>
    </row>
    <row r="306" spans="3:7">
      <c r="C306" s="29" t="b">
        <v>0</v>
      </c>
      <c r="D306" s="137">
        <v>12359</v>
      </c>
      <c r="E306" s="136">
        <v>95.45</v>
      </c>
      <c r="F306" s="30">
        <v>0</v>
      </c>
      <c r="G306" s="58">
        <v>6.66003563399407E+18</v>
      </c>
    </row>
    <row r="307" spans="3:7">
      <c r="C307" s="29" t="b">
        <v>0</v>
      </c>
      <c r="D307" s="137">
        <v>12389</v>
      </c>
      <c r="E307" s="136">
        <v>99.05</v>
      </c>
      <c r="F307" s="30">
        <v>0</v>
      </c>
      <c r="G307" s="58">
        <v>3.7248507610103301E+18</v>
      </c>
    </row>
    <row r="308" spans="3:7">
      <c r="C308" s="29" t="b">
        <v>0</v>
      </c>
      <c r="D308" s="137">
        <v>12420</v>
      </c>
      <c r="E308" s="136">
        <v>102.85</v>
      </c>
      <c r="F308" s="30">
        <v>0</v>
      </c>
      <c r="G308" s="58">
        <v>1.7966498891911601E+18</v>
      </c>
    </row>
    <row r="309" spans="3:7">
      <c r="C309" s="29" t="b">
        <v>0</v>
      </c>
      <c r="D309" s="137">
        <v>12451</v>
      </c>
      <c r="E309" s="136">
        <v>106.9</v>
      </c>
      <c r="F309" s="30">
        <v>0</v>
      </c>
      <c r="G309" s="58">
        <v>5.5451715921070602E+18</v>
      </c>
    </row>
    <row r="310" spans="3:7">
      <c r="C310" s="29" t="b">
        <v>0</v>
      </c>
      <c r="D310" s="137">
        <v>12479</v>
      </c>
      <c r="E310" s="136">
        <v>102.3</v>
      </c>
      <c r="F310" s="30">
        <v>0</v>
      </c>
      <c r="G310" s="58">
        <v>8.9170096975372196E+18</v>
      </c>
    </row>
    <row r="311" spans="3:7">
      <c r="C311" s="29" t="b">
        <v>0</v>
      </c>
      <c r="D311" s="137">
        <v>12510</v>
      </c>
      <c r="E311" s="136">
        <v>103.55</v>
      </c>
      <c r="F311" s="30">
        <v>0</v>
      </c>
      <c r="G311" s="58">
        <v>1.5289771868944E+18</v>
      </c>
    </row>
    <row r="312" spans="3:7">
      <c r="C312" s="29" t="b">
        <v>0</v>
      </c>
      <c r="D312" s="137">
        <v>12540</v>
      </c>
      <c r="E312" s="136">
        <v>96.2</v>
      </c>
      <c r="F312" s="30">
        <v>0</v>
      </c>
      <c r="G312" s="58">
        <v>1.15414855439435E+19</v>
      </c>
    </row>
    <row r="313" spans="3:7">
      <c r="C313" s="29" t="b">
        <v>0</v>
      </c>
      <c r="D313" s="137">
        <v>12571</v>
      </c>
      <c r="E313" s="136">
        <v>95.9</v>
      </c>
      <c r="F313" s="30">
        <v>0</v>
      </c>
      <c r="G313" s="58">
        <v>1.7220376625432101E+19</v>
      </c>
    </row>
    <row r="314" spans="3:7">
      <c r="C314" s="29" t="b">
        <v>0</v>
      </c>
      <c r="D314" s="137">
        <v>12601</v>
      </c>
      <c r="E314" s="136">
        <v>92.25</v>
      </c>
      <c r="F314" s="30">
        <v>0</v>
      </c>
      <c r="G314" s="58">
        <v>6.3762471863285801E+18</v>
      </c>
    </row>
    <row r="315" spans="3:7">
      <c r="C315" s="29" t="b">
        <v>0</v>
      </c>
      <c r="D315" s="137">
        <v>12632</v>
      </c>
      <c r="E315" s="136">
        <v>91.6</v>
      </c>
      <c r="F315" s="30">
        <v>0</v>
      </c>
      <c r="G315" s="58">
        <v>4.27390736701967E+18</v>
      </c>
    </row>
    <row r="316" spans="3:7">
      <c r="C316" s="29" t="b">
        <v>0</v>
      </c>
      <c r="D316" s="137">
        <v>12663</v>
      </c>
      <c r="E316" s="136">
        <v>90.2</v>
      </c>
      <c r="F316" s="30">
        <v>0</v>
      </c>
      <c r="G316" s="58">
        <v>4.9423109799411702E+18</v>
      </c>
    </row>
    <row r="317" spans="3:7">
      <c r="C317" s="29" t="b">
        <v>0</v>
      </c>
      <c r="D317" s="137">
        <v>12693</v>
      </c>
      <c r="E317" s="136">
        <v>93</v>
      </c>
      <c r="F317" s="30">
        <v>0</v>
      </c>
      <c r="G317" s="58">
        <v>9.99000767611554E+18</v>
      </c>
    </row>
    <row r="318" spans="3:7">
      <c r="C318" s="29" t="b">
        <v>0</v>
      </c>
      <c r="D318" s="137">
        <v>12724</v>
      </c>
      <c r="E318" s="136">
        <v>98.3</v>
      </c>
      <c r="F318" s="30">
        <v>0</v>
      </c>
      <c r="G318" s="58">
        <v>7.4700022013173299E+18</v>
      </c>
    </row>
    <row r="319" spans="3:7">
      <c r="C319" s="29" t="b">
        <v>0</v>
      </c>
      <c r="D319" s="137">
        <v>12754</v>
      </c>
      <c r="E319" s="136">
        <v>101.8</v>
      </c>
      <c r="F319" s="30">
        <v>0</v>
      </c>
      <c r="G319" s="58">
        <v>9.5700386820239501E+17</v>
      </c>
    </row>
    <row r="320" spans="3:7">
      <c r="C320" s="29" t="b">
        <v>0</v>
      </c>
      <c r="D320" s="137">
        <v>12785</v>
      </c>
      <c r="E320" s="136">
        <v>103.2</v>
      </c>
      <c r="F320" s="30">
        <v>0</v>
      </c>
      <c r="G320" s="58">
        <v>2.4914708881605801E+18</v>
      </c>
    </row>
    <row r="321" spans="3:7">
      <c r="C321" s="29" t="b">
        <v>0</v>
      </c>
      <c r="D321" s="137">
        <v>12816</v>
      </c>
      <c r="E321" s="136">
        <v>103.7</v>
      </c>
      <c r="F321" s="30">
        <v>0</v>
      </c>
      <c r="G321" s="58">
        <v>4.0498470546937902E+18</v>
      </c>
    </row>
    <row r="322" spans="3:7">
      <c r="C322" s="29" t="b">
        <v>0</v>
      </c>
      <c r="D322" s="137">
        <v>12844</v>
      </c>
      <c r="E322" s="136">
        <v>100</v>
      </c>
      <c r="F322" s="30">
        <v>0</v>
      </c>
      <c r="G322" s="58">
        <v>6.7431378394830705E+18</v>
      </c>
    </row>
    <row r="323" spans="3:7">
      <c r="C323" s="29" t="b">
        <v>0</v>
      </c>
      <c r="D323" s="137">
        <v>12875</v>
      </c>
      <c r="E323" s="136">
        <v>105.45</v>
      </c>
      <c r="F323" s="30">
        <v>0</v>
      </c>
      <c r="G323" s="58">
        <v>9.7179553472194007E+18</v>
      </c>
    </row>
    <row r="324" spans="3:7">
      <c r="C324" s="29" t="b">
        <v>0</v>
      </c>
      <c r="D324" s="137">
        <v>12905</v>
      </c>
      <c r="E324" s="136">
        <v>112.75</v>
      </c>
      <c r="F324" s="30">
        <v>0</v>
      </c>
      <c r="G324" s="58">
        <v>7.1122357356209705E+18</v>
      </c>
    </row>
    <row r="325" spans="3:7">
      <c r="C325" s="29" t="b">
        <v>0</v>
      </c>
      <c r="D325" s="137">
        <v>12936</v>
      </c>
      <c r="E325" s="136">
        <v>115.25</v>
      </c>
      <c r="F325" s="30">
        <v>0</v>
      </c>
      <c r="G325" s="58">
        <v>3.8943650323598198E+18</v>
      </c>
    </row>
    <row r="326" spans="3:7">
      <c r="C326" s="29" t="b">
        <v>0</v>
      </c>
      <c r="D326" s="137">
        <v>12966</v>
      </c>
      <c r="E326" s="136">
        <v>122.65</v>
      </c>
      <c r="F326" s="30">
        <v>0</v>
      </c>
      <c r="G326" s="58">
        <v>4.4026535067825802E+18</v>
      </c>
    </row>
    <row r="327" spans="3:7">
      <c r="C327" s="29" t="b">
        <v>0</v>
      </c>
      <c r="D327" s="137">
        <v>12997</v>
      </c>
      <c r="E327" s="136">
        <v>126.95</v>
      </c>
      <c r="F327" s="30">
        <v>0</v>
      </c>
      <c r="G327" s="58">
        <v>9.5391819500408996E+18</v>
      </c>
    </row>
    <row r="328" spans="3:7">
      <c r="C328" s="29" t="b">
        <v>0</v>
      </c>
      <c r="D328" s="137">
        <v>13028</v>
      </c>
      <c r="E328" s="136">
        <v>130.69999999999999</v>
      </c>
      <c r="F328" s="30">
        <v>0</v>
      </c>
      <c r="G328" s="58">
        <v>1.5205506807703501E+19</v>
      </c>
    </row>
    <row r="329" spans="3:7">
      <c r="C329" s="29" t="b">
        <v>0</v>
      </c>
      <c r="D329" s="137">
        <v>13058</v>
      </c>
      <c r="E329" s="136">
        <v>134.80000000000001</v>
      </c>
      <c r="F329" s="30">
        <v>0</v>
      </c>
      <c r="G329" s="58">
        <v>8.5344343484762696E+18</v>
      </c>
    </row>
    <row r="330" spans="3:7">
      <c r="C330" s="29" t="b">
        <v>0</v>
      </c>
      <c r="D330" s="137">
        <v>13089</v>
      </c>
      <c r="E330" s="136">
        <v>144.75</v>
      </c>
      <c r="F330" s="30">
        <v>0</v>
      </c>
      <c r="G330" s="58">
        <v>1.6477540327060099E+17</v>
      </c>
    </row>
    <row r="331" spans="3:7">
      <c r="C331" s="29" t="b">
        <v>0</v>
      </c>
      <c r="D331" s="137">
        <v>13119</v>
      </c>
      <c r="E331" s="136">
        <v>141.69999999999999</v>
      </c>
      <c r="F331" s="30">
        <v>0</v>
      </c>
      <c r="G331" s="58">
        <v>5.96733897048128E+18</v>
      </c>
    </row>
    <row r="332" spans="3:7">
      <c r="C332" s="29" t="b">
        <v>0</v>
      </c>
      <c r="D332" s="137">
        <v>13150</v>
      </c>
      <c r="E332" s="136">
        <v>146.30000000000001</v>
      </c>
      <c r="F332" s="30">
        <v>0</v>
      </c>
      <c r="G332" s="58">
        <v>6.9259598510546299E+18</v>
      </c>
    </row>
    <row r="333" spans="3:7">
      <c r="C333" s="29" t="b">
        <v>0</v>
      </c>
      <c r="D333" s="137">
        <v>13181</v>
      </c>
      <c r="E333" s="136">
        <v>152</v>
      </c>
      <c r="F333" s="30">
        <v>0</v>
      </c>
      <c r="G333" s="58">
        <v>2.29577592753152E+18</v>
      </c>
    </row>
    <row r="334" spans="3:7">
      <c r="C334" s="29" t="b">
        <v>0</v>
      </c>
      <c r="D334" s="137">
        <v>13210</v>
      </c>
      <c r="E334" s="136">
        <v>154.6</v>
      </c>
      <c r="F334" s="30">
        <v>0</v>
      </c>
      <c r="G334" s="58">
        <v>1.21759916816897E+19</v>
      </c>
    </row>
    <row r="335" spans="3:7">
      <c r="C335" s="29" t="b">
        <v>0</v>
      </c>
      <c r="D335" s="137">
        <v>13241</v>
      </c>
      <c r="E335" s="136">
        <v>152.85</v>
      </c>
      <c r="F335" s="30">
        <v>0</v>
      </c>
      <c r="G335" s="58">
        <v>6.1971767752543703E+18</v>
      </c>
    </row>
    <row r="336" spans="3:7">
      <c r="C336" s="29" t="b">
        <v>0</v>
      </c>
      <c r="D336" s="137">
        <v>13271</v>
      </c>
      <c r="E336" s="136">
        <v>149.5</v>
      </c>
      <c r="F336" s="30">
        <v>0</v>
      </c>
      <c r="G336" s="58">
        <v>5.4186288965716204E+18</v>
      </c>
    </row>
    <row r="337" spans="3:7">
      <c r="C337" s="29" t="b">
        <v>0</v>
      </c>
      <c r="D337" s="137">
        <v>13302</v>
      </c>
      <c r="E337" s="136">
        <v>155</v>
      </c>
      <c r="F337" s="30">
        <v>0</v>
      </c>
      <c r="G337" s="58">
        <v>1.3563936986752299E+19</v>
      </c>
    </row>
    <row r="338" spans="3:7">
      <c r="C338" s="29" t="b">
        <v>0</v>
      </c>
      <c r="D338" s="137">
        <v>13332</v>
      </c>
      <c r="E338" s="136">
        <v>162.25</v>
      </c>
      <c r="F338" s="30">
        <v>0</v>
      </c>
      <c r="G338" s="58">
        <v>1.3239747493153901E+19</v>
      </c>
    </row>
    <row r="339" spans="3:7">
      <c r="C339" s="29" t="b">
        <v>0</v>
      </c>
      <c r="D339" s="137">
        <v>13363</v>
      </c>
      <c r="E339" s="136">
        <v>164.95</v>
      </c>
      <c r="F339" s="30">
        <v>0</v>
      </c>
      <c r="G339" s="58">
        <v>1.05801536506571E+19</v>
      </c>
    </row>
    <row r="340" spans="3:7">
      <c r="C340" s="29" t="b">
        <v>0</v>
      </c>
      <c r="D340" s="137">
        <v>13394</v>
      </c>
      <c r="E340" s="136">
        <v>167.4</v>
      </c>
      <c r="F340" s="30">
        <v>0</v>
      </c>
      <c r="G340" s="58">
        <v>9.2543073121737498E+17</v>
      </c>
    </row>
    <row r="341" spans="3:7">
      <c r="C341" s="29" t="b">
        <v>0</v>
      </c>
      <c r="D341" s="137">
        <v>13424</v>
      </c>
      <c r="E341" s="136">
        <v>172.95</v>
      </c>
      <c r="F341" s="30">
        <v>0</v>
      </c>
      <c r="G341" s="58">
        <v>1.20949737758832E+18</v>
      </c>
    </row>
    <row r="342" spans="3:7">
      <c r="C342" s="29" t="b">
        <v>0</v>
      </c>
      <c r="D342" s="137">
        <v>13455</v>
      </c>
      <c r="E342" s="136">
        <v>180.8</v>
      </c>
      <c r="F342" s="30">
        <v>0</v>
      </c>
      <c r="G342" s="58">
        <v>7.1364799142402701E+17</v>
      </c>
    </row>
    <row r="343" spans="3:7">
      <c r="C343" s="29" t="b">
        <v>0</v>
      </c>
      <c r="D343" s="137">
        <v>13485</v>
      </c>
      <c r="E343" s="136">
        <v>179.05</v>
      </c>
      <c r="F343" s="30">
        <v>0</v>
      </c>
      <c r="G343" s="58">
        <v>2.27478795014274E+18</v>
      </c>
    </row>
    <row r="344" spans="3:7">
      <c r="C344" s="29" t="b">
        <v>0</v>
      </c>
      <c r="D344" s="137">
        <v>13516</v>
      </c>
      <c r="E344" s="136">
        <v>182.3</v>
      </c>
      <c r="F344" s="30">
        <v>0</v>
      </c>
      <c r="G344" s="58">
        <v>1.3626535331800001E+19</v>
      </c>
    </row>
    <row r="345" spans="3:7">
      <c r="C345" s="29" t="b">
        <v>0</v>
      </c>
      <c r="D345" s="137">
        <v>13547</v>
      </c>
      <c r="E345" s="136">
        <v>188.4</v>
      </c>
      <c r="F345" s="30">
        <v>0</v>
      </c>
      <c r="G345" s="58">
        <v>1.0641505950534101E+19</v>
      </c>
    </row>
    <row r="346" spans="3:7">
      <c r="C346" s="29" t="b">
        <v>0</v>
      </c>
      <c r="D346" s="137">
        <v>13575</v>
      </c>
      <c r="E346" s="136">
        <v>187.1</v>
      </c>
      <c r="F346" s="30">
        <v>0</v>
      </c>
      <c r="G346" s="58">
        <v>1.0953314693369399E+19</v>
      </c>
    </row>
    <row r="347" spans="3:7">
      <c r="C347" s="29" t="b">
        <v>0</v>
      </c>
      <c r="D347" s="137">
        <v>13606</v>
      </c>
      <c r="E347" s="136">
        <v>177.65</v>
      </c>
      <c r="F347" s="30">
        <v>0</v>
      </c>
      <c r="G347" s="58">
        <v>6.2398493884167598E+18</v>
      </c>
    </row>
    <row r="348" spans="3:7">
      <c r="C348" s="29" t="b">
        <v>0</v>
      </c>
      <c r="D348" s="137">
        <v>13636</v>
      </c>
      <c r="E348" s="136">
        <v>171.9</v>
      </c>
      <c r="F348" s="30">
        <v>0</v>
      </c>
      <c r="G348" s="58">
        <v>1.4853646853243501E+19</v>
      </c>
    </row>
    <row r="349" spans="3:7">
      <c r="C349" s="29" t="b">
        <v>0</v>
      </c>
      <c r="D349" s="137">
        <v>13667</v>
      </c>
      <c r="E349" s="136">
        <v>170.3</v>
      </c>
      <c r="F349" s="30">
        <v>0</v>
      </c>
      <c r="G349" s="58">
        <v>7.6708472494002596E+18</v>
      </c>
    </row>
    <row r="350" spans="3:7">
      <c r="C350" s="29" t="b">
        <v>0</v>
      </c>
      <c r="D350" s="137">
        <v>13697</v>
      </c>
      <c r="E350" s="136">
        <v>177.85</v>
      </c>
      <c r="F350" s="30">
        <v>0</v>
      </c>
      <c r="G350" s="58">
        <v>1.71026082926442E+19</v>
      </c>
    </row>
    <row r="351" spans="3:7">
      <c r="C351" s="29" t="b">
        <v>0</v>
      </c>
      <c r="D351" s="137">
        <v>13728</v>
      </c>
      <c r="E351" s="136">
        <v>182.95</v>
      </c>
      <c r="F351" s="30">
        <v>0</v>
      </c>
      <c r="G351" s="58">
        <v>8.2477801136933704E+18</v>
      </c>
    </row>
    <row r="352" spans="3:7">
      <c r="C352" s="29" t="b">
        <v>0</v>
      </c>
      <c r="D352" s="137">
        <v>13759</v>
      </c>
      <c r="E352" s="136">
        <v>160.25</v>
      </c>
      <c r="F352" s="30">
        <v>0</v>
      </c>
      <c r="G352" s="58">
        <v>2.6951065600570899E+17</v>
      </c>
    </row>
    <row r="353" spans="3:7">
      <c r="C353" s="29" t="b">
        <v>0</v>
      </c>
      <c r="D353" s="137">
        <v>13789</v>
      </c>
      <c r="E353" s="136">
        <v>139.9</v>
      </c>
      <c r="F353" s="30">
        <v>0</v>
      </c>
      <c r="G353" s="58">
        <v>1.68621101031877E+19</v>
      </c>
    </row>
    <row r="354" spans="3:7">
      <c r="C354" s="29" t="b">
        <v>0</v>
      </c>
      <c r="D354" s="137">
        <v>13820</v>
      </c>
      <c r="E354" s="136">
        <v>124.75</v>
      </c>
      <c r="F354" s="30">
        <v>0</v>
      </c>
      <c r="G354" s="58">
        <v>3.8907324811611402E+18</v>
      </c>
    </row>
    <row r="355" spans="3:7">
      <c r="C355" s="29" t="b">
        <v>0</v>
      </c>
      <c r="D355" s="137">
        <v>13850</v>
      </c>
      <c r="E355" s="136">
        <v>124.35</v>
      </c>
      <c r="F355" s="30">
        <v>0</v>
      </c>
      <c r="G355" s="58">
        <v>1.3979836795663E+19</v>
      </c>
    </row>
    <row r="356" spans="3:7">
      <c r="C356" s="29" t="b">
        <v>0</v>
      </c>
      <c r="D356" s="137">
        <v>13881</v>
      </c>
      <c r="E356" s="136">
        <v>127.25</v>
      </c>
      <c r="F356" s="30">
        <v>0</v>
      </c>
      <c r="G356" s="58">
        <v>9.6391259989518602E+18</v>
      </c>
    </row>
    <row r="357" spans="3:7">
      <c r="C357" s="29" t="b">
        <v>0</v>
      </c>
      <c r="D357" s="137">
        <v>13912</v>
      </c>
      <c r="E357" s="136">
        <v>125.45</v>
      </c>
      <c r="F357" s="30">
        <v>0</v>
      </c>
      <c r="G357" s="58">
        <v>1.4811639861514299E+19</v>
      </c>
    </row>
    <row r="358" spans="3:7">
      <c r="C358" s="29" t="b">
        <v>0</v>
      </c>
      <c r="D358" s="137">
        <v>13940</v>
      </c>
      <c r="E358" s="136">
        <v>114.75</v>
      </c>
      <c r="F358" s="30">
        <v>0</v>
      </c>
      <c r="G358" s="58">
        <v>1.6265606577771801E+19</v>
      </c>
    </row>
    <row r="359" spans="3:7">
      <c r="C359" s="29" t="b">
        <v>0</v>
      </c>
      <c r="D359" s="137">
        <v>13971</v>
      </c>
      <c r="E359" s="136">
        <v>111</v>
      </c>
      <c r="F359" s="30">
        <v>0</v>
      </c>
      <c r="G359" s="58">
        <v>1.1390222552689199E+19</v>
      </c>
    </row>
    <row r="360" spans="3:7">
      <c r="C360" s="29" t="b">
        <v>0</v>
      </c>
      <c r="D360" s="137">
        <v>14001</v>
      </c>
      <c r="E360" s="136">
        <v>113.55</v>
      </c>
      <c r="F360" s="30">
        <v>0</v>
      </c>
      <c r="G360" s="58">
        <v>1.7318389050437599E+19</v>
      </c>
    </row>
    <row r="361" spans="3:7">
      <c r="C361" s="29" t="b">
        <v>0</v>
      </c>
      <c r="D361" s="137">
        <v>14032</v>
      </c>
      <c r="E361" s="136">
        <v>122.8</v>
      </c>
      <c r="F361" s="30">
        <v>0</v>
      </c>
      <c r="G361" s="58">
        <v>1.74656122472838E+19</v>
      </c>
    </row>
    <row r="362" spans="3:7">
      <c r="C362" s="29" t="b">
        <v>0</v>
      </c>
      <c r="D362" s="137">
        <v>14062</v>
      </c>
      <c r="E362" s="136">
        <v>139.75</v>
      </c>
      <c r="F362" s="30">
        <v>0</v>
      </c>
      <c r="G362" s="58">
        <v>1.24558017013701E+19</v>
      </c>
    </row>
    <row r="363" spans="3:7">
      <c r="C363" s="29" t="b">
        <v>0</v>
      </c>
      <c r="D363" s="137">
        <v>14093</v>
      </c>
      <c r="E363" s="136">
        <v>140.94999999999999</v>
      </c>
      <c r="F363" s="30">
        <v>0</v>
      </c>
      <c r="G363" s="58">
        <v>7.7407542911490099E+18</v>
      </c>
    </row>
    <row r="364" spans="3:7">
      <c r="C364" s="29" t="b">
        <v>0</v>
      </c>
      <c r="D364" s="137">
        <v>14124</v>
      </c>
      <c r="E364" s="136">
        <v>136.5</v>
      </c>
      <c r="F364" s="30">
        <v>0</v>
      </c>
      <c r="G364" s="58">
        <v>3.7288745920003599E+18</v>
      </c>
    </row>
    <row r="365" spans="3:7">
      <c r="C365" s="29" t="b">
        <v>0</v>
      </c>
      <c r="D365" s="137">
        <v>14154</v>
      </c>
      <c r="E365" s="136">
        <v>148.65</v>
      </c>
      <c r="F365" s="30">
        <v>0</v>
      </c>
      <c r="G365" s="58">
        <v>7.4823040585834803E+17</v>
      </c>
    </row>
    <row r="366" spans="3:7">
      <c r="C366" s="29" t="b">
        <v>0</v>
      </c>
      <c r="D366" s="137">
        <v>14185</v>
      </c>
      <c r="E366" s="136">
        <v>152.25</v>
      </c>
      <c r="F366" s="30">
        <v>0</v>
      </c>
      <c r="G366" s="58">
        <v>1.1260395926137999E+19</v>
      </c>
    </row>
    <row r="367" spans="3:7">
      <c r="C367" s="29" t="b">
        <v>0</v>
      </c>
      <c r="D367" s="137">
        <v>14215</v>
      </c>
      <c r="E367" s="136">
        <v>151.1</v>
      </c>
      <c r="F367" s="30">
        <v>0</v>
      </c>
      <c r="G367" s="58">
        <v>1.60786834971975E+19</v>
      </c>
    </row>
    <row r="368" spans="3:7">
      <c r="C368" s="29" t="b">
        <v>0</v>
      </c>
      <c r="D368" s="137">
        <v>14246</v>
      </c>
      <c r="E368" s="136">
        <v>145.65</v>
      </c>
      <c r="F368" s="30">
        <v>0</v>
      </c>
      <c r="G368" s="58">
        <v>1.6634962537070801E+19</v>
      </c>
    </row>
    <row r="369" spans="3:7">
      <c r="C369" s="29" t="b">
        <v>0</v>
      </c>
      <c r="D369" s="137">
        <v>14277</v>
      </c>
      <c r="E369" s="136">
        <v>144.85</v>
      </c>
      <c r="F369" s="30">
        <v>0</v>
      </c>
      <c r="G369" s="58">
        <v>3.83525580964879E+18</v>
      </c>
    </row>
    <row r="370" spans="3:7">
      <c r="C370" s="29" t="b">
        <v>0</v>
      </c>
      <c r="D370" s="137">
        <v>14305</v>
      </c>
      <c r="E370" s="136">
        <v>142.05000000000001</v>
      </c>
      <c r="F370" s="30">
        <v>0</v>
      </c>
      <c r="G370" s="58">
        <v>1.66863408769123E+18</v>
      </c>
    </row>
    <row r="371" spans="3:7">
      <c r="C371" s="29" t="b">
        <v>0</v>
      </c>
      <c r="D371" s="137">
        <v>14336</v>
      </c>
      <c r="E371" s="136">
        <v>127.1</v>
      </c>
      <c r="F371" s="30">
        <v>0</v>
      </c>
      <c r="G371" s="58">
        <v>6.2928692655459697E+18</v>
      </c>
    </row>
    <row r="372" spans="3:7">
      <c r="C372" s="29" t="b">
        <v>0</v>
      </c>
      <c r="D372" s="137">
        <v>14366</v>
      </c>
      <c r="E372" s="136">
        <v>133</v>
      </c>
      <c r="F372" s="30">
        <v>0</v>
      </c>
      <c r="G372" s="58">
        <v>1.6915599713968001E+19</v>
      </c>
    </row>
    <row r="373" spans="3:7">
      <c r="C373" s="29" t="b">
        <v>0</v>
      </c>
      <c r="D373" s="137">
        <v>14397</v>
      </c>
      <c r="E373" s="136">
        <v>135.1</v>
      </c>
      <c r="F373" s="30">
        <v>0</v>
      </c>
      <c r="G373" s="58">
        <v>5.08482675331277E+18</v>
      </c>
    </row>
    <row r="374" spans="3:7">
      <c r="C374" s="29" t="b">
        <v>0</v>
      </c>
      <c r="D374" s="137">
        <v>14427</v>
      </c>
      <c r="E374" s="136">
        <v>138.19999999999999</v>
      </c>
      <c r="F374" s="30">
        <v>0</v>
      </c>
      <c r="G374" s="58">
        <v>2.3103967553407698E+18</v>
      </c>
    </row>
    <row r="375" spans="3:7">
      <c r="C375" s="29" t="b">
        <v>0</v>
      </c>
      <c r="D375" s="137">
        <v>14458</v>
      </c>
      <c r="E375" s="136">
        <v>137.80000000000001</v>
      </c>
      <c r="F375" s="30">
        <v>0</v>
      </c>
      <c r="G375" s="58">
        <v>1.8263865846919201E+19</v>
      </c>
    </row>
    <row r="376" spans="3:7">
      <c r="C376" s="29" t="b">
        <v>0</v>
      </c>
      <c r="D376" s="137">
        <v>14489</v>
      </c>
      <c r="E376" s="136">
        <v>144.4</v>
      </c>
      <c r="F376" s="30">
        <v>0</v>
      </c>
      <c r="G376" s="58">
        <v>1.5452222462418901E+19</v>
      </c>
    </row>
    <row r="377" spans="3:7">
      <c r="C377" s="29" t="b">
        <v>0</v>
      </c>
      <c r="D377" s="137">
        <v>14519</v>
      </c>
      <c r="E377" s="136">
        <v>152.55000000000001</v>
      </c>
      <c r="F377" s="30">
        <v>0</v>
      </c>
      <c r="G377" s="58">
        <v>1.5619233923181799E+19</v>
      </c>
    </row>
    <row r="378" spans="3:7">
      <c r="C378" s="29" t="b">
        <v>0</v>
      </c>
      <c r="D378" s="137">
        <v>14550</v>
      </c>
      <c r="E378" s="136">
        <v>149.15</v>
      </c>
      <c r="F378" s="30">
        <v>0</v>
      </c>
      <c r="G378" s="58">
        <v>1.3651211592178901E+19</v>
      </c>
    </row>
    <row r="379" spans="3:7">
      <c r="C379" s="29" t="b">
        <v>0</v>
      </c>
      <c r="D379" s="137">
        <v>14580</v>
      </c>
      <c r="E379" s="136">
        <v>148.35</v>
      </c>
      <c r="F379" s="30">
        <v>0</v>
      </c>
      <c r="G379" s="58">
        <v>8.6752302986957404E+18</v>
      </c>
    </row>
    <row r="380" spans="3:7">
      <c r="C380" s="29" t="b">
        <v>0</v>
      </c>
      <c r="D380" s="137">
        <v>14611</v>
      </c>
      <c r="E380" s="136">
        <v>148.75</v>
      </c>
      <c r="F380" s="30">
        <v>0</v>
      </c>
      <c r="G380" s="58">
        <v>1.30549261825281E+19</v>
      </c>
    </row>
    <row r="381" spans="3:7">
      <c r="C381" s="29" t="b">
        <v>0</v>
      </c>
      <c r="D381" s="137">
        <v>14642</v>
      </c>
      <c r="E381" s="136">
        <v>146.94999999999999</v>
      </c>
      <c r="F381" s="30">
        <v>0</v>
      </c>
      <c r="G381" s="58">
        <v>3.0614260277370501E+18</v>
      </c>
    </row>
    <row r="382" spans="3:7">
      <c r="C382" s="29" t="b">
        <v>0</v>
      </c>
      <c r="D382" s="137">
        <v>14671</v>
      </c>
      <c r="E382" s="136">
        <v>147</v>
      </c>
      <c r="F382" s="30">
        <v>0</v>
      </c>
      <c r="G382" s="58">
        <v>5.5549726077424804E+18</v>
      </c>
    </row>
    <row r="383" spans="3:7">
      <c r="C383" s="29" t="b">
        <v>0</v>
      </c>
      <c r="D383" s="137">
        <v>14702</v>
      </c>
      <c r="E383" s="136">
        <v>149.05000000000001</v>
      </c>
      <c r="F383" s="30">
        <v>0</v>
      </c>
      <c r="G383" s="58">
        <v>1.48108140083032E+19</v>
      </c>
    </row>
    <row r="384" spans="3:7">
      <c r="C384" s="29" t="b">
        <v>0</v>
      </c>
      <c r="D384" s="137">
        <v>14732</v>
      </c>
      <c r="E384" s="136">
        <v>131.05000000000001</v>
      </c>
      <c r="F384" s="30">
        <v>0</v>
      </c>
      <c r="G384" s="58">
        <v>1.02284045732457E+19</v>
      </c>
    </row>
    <row r="385" spans="3:7">
      <c r="C385" s="29" t="b">
        <v>0</v>
      </c>
      <c r="D385" s="137">
        <v>14763</v>
      </c>
      <c r="E385" s="136">
        <v>117.85</v>
      </c>
      <c r="F385" s="30">
        <v>0</v>
      </c>
      <c r="G385" s="58">
        <v>3.53378019832271E+18</v>
      </c>
    </row>
    <row r="386" spans="3:7">
      <c r="C386" s="29" t="b">
        <v>0</v>
      </c>
      <c r="D386" s="137">
        <v>14793</v>
      </c>
      <c r="E386" s="136">
        <v>123.55</v>
      </c>
      <c r="F386" s="30">
        <v>0</v>
      </c>
      <c r="G386" s="58">
        <v>3.43049116873986E+18</v>
      </c>
    </row>
    <row r="387" spans="3:7">
      <c r="C387" s="29" t="b">
        <v>0</v>
      </c>
      <c r="D387" s="137">
        <v>14824</v>
      </c>
      <c r="E387" s="136">
        <v>125.35</v>
      </c>
      <c r="F387" s="30">
        <v>0</v>
      </c>
      <c r="G387" s="58">
        <v>1.59827454714518E+19</v>
      </c>
    </row>
    <row r="388" spans="3:7">
      <c r="C388" s="29" t="b">
        <v>0</v>
      </c>
      <c r="D388" s="137">
        <v>14855</v>
      </c>
      <c r="E388" s="136">
        <v>131.4</v>
      </c>
      <c r="F388" s="30">
        <v>0</v>
      </c>
      <c r="G388" s="58">
        <v>4.5584875063913901E+17</v>
      </c>
    </row>
    <row r="389" spans="3:7">
      <c r="C389" s="29" t="b">
        <v>0</v>
      </c>
      <c r="D389" s="137">
        <v>14885</v>
      </c>
      <c r="E389" s="136">
        <v>132.75</v>
      </c>
      <c r="F389" s="30">
        <v>0</v>
      </c>
      <c r="G389" s="58">
        <v>1.6134794431531201E+19</v>
      </c>
    </row>
    <row r="390" spans="3:7">
      <c r="C390" s="29" t="b">
        <v>0</v>
      </c>
      <c r="D390" s="137">
        <v>14916</v>
      </c>
      <c r="E390" s="136">
        <v>133.94999999999999</v>
      </c>
      <c r="F390" s="30">
        <v>0</v>
      </c>
      <c r="G390" s="58">
        <v>1.46811450306567E+19</v>
      </c>
    </row>
    <row r="391" spans="3:7">
      <c r="C391" s="29" t="b">
        <v>0</v>
      </c>
      <c r="D391" s="137">
        <v>14946</v>
      </c>
      <c r="E391" s="136">
        <v>130.4</v>
      </c>
      <c r="F391" s="30">
        <v>0</v>
      </c>
      <c r="G391" s="58">
        <v>2.6536616196875203E+18</v>
      </c>
    </row>
    <row r="392" spans="3:7">
      <c r="C392" s="29" t="b">
        <v>0</v>
      </c>
      <c r="D392" s="137">
        <v>14977</v>
      </c>
      <c r="E392" s="136">
        <v>128.85</v>
      </c>
      <c r="F392" s="30">
        <v>0</v>
      </c>
      <c r="G392" s="58">
        <v>1.4685818965277301E+19</v>
      </c>
    </row>
    <row r="393" spans="3:7">
      <c r="C393" s="29" t="b">
        <v>0</v>
      </c>
      <c r="D393" s="137">
        <v>15008</v>
      </c>
      <c r="E393" s="136">
        <v>121.25</v>
      </c>
      <c r="F393" s="30">
        <v>0</v>
      </c>
      <c r="G393" s="58">
        <v>1.58724587317143E+19</v>
      </c>
    </row>
    <row r="394" spans="3:7">
      <c r="C394" s="29" t="b">
        <v>0</v>
      </c>
      <c r="D394" s="137">
        <v>15036</v>
      </c>
      <c r="E394" s="136">
        <v>122.1</v>
      </c>
      <c r="F394" s="30">
        <v>0</v>
      </c>
      <c r="G394" s="58">
        <v>1.53448755139039E+18</v>
      </c>
    </row>
    <row r="395" spans="3:7">
      <c r="C395" s="29" t="b">
        <v>0</v>
      </c>
      <c r="D395" s="137">
        <v>15067</v>
      </c>
      <c r="E395" s="136">
        <v>120.1</v>
      </c>
      <c r="F395" s="30">
        <v>0</v>
      </c>
      <c r="G395" s="58">
        <v>1.7631614559586099E+19</v>
      </c>
    </row>
    <row r="396" spans="3:7">
      <c r="C396" s="29" t="b">
        <v>0</v>
      </c>
      <c r="D396" s="137">
        <v>15097</v>
      </c>
      <c r="E396" s="136">
        <v>116.55</v>
      </c>
      <c r="F396" s="30">
        <v>0</v>
      </c>
      <c r="G396" s="58">
        <v>7.5797310243433902E+18</v>
      </c>
    </row>
    <row r="397" spans="3:7">
      <c r="C397" s="29" t="b">
        <v>0</v>
      </c>
      <c r="D397" s="137">
        <v>15128</v>
      </c>
      <c r="E397" s="136">
        <v>120.1</v>
      </c>
      <c r="F397" s="30">
        <v>0</v>
      </c>
      <c r="G397" s="58">
        <v>1.6436340685984801E+19</v>
      </c>
    </row>
    <row r="398" spans="3:7">
      <c r="C398" s="29" t="b">
        <v>0</v>
      </c>
      <c r="D398" s="137">
        <v>15158</v>
      </c>
      <c r="E398" s="136">
        <v>126.5</v>
      </c>
      <c r="F398" s="30">
        <v>0</v>
      </c>
      <c r="G398" s="58">
        <v>1.29958818563537E+19</v>
      </c>
    </row>
    <row r="399" spans="3:7">
      <c r="C399" s="29" t="b">
        <v>0</v>
      </c>
      <c r="D399" s="137">
        <v>15189</v>
      </c>
      <c r="E399" s="136">
        <v>126.55</v>
      </c>
      <c r="F399" s="30">
        <v>0</v>
      </c>
      <c r="G399" s="58">
        <v>1.1550762624909901E+18</v>
      </c>
    </row>
    <row r="400" spans="3:7">
      <c r="C400" s="29" t="b">
        <v>0</v>
      </c>
      <c r="D400" s="137">
        <v>15220</v>
      </c>
      <c r="E400" s="136">
        <v>127.55</v>
      </c>
      <c r="F400" s="30">
        <v>0</v>
      </c>
      <c r="G400" s="58">
        <v>7.2247701435469402E+17</v>
      </c>
    </row>
    <row r="401" spans="3:7">
      <c r="C401" s="29" t="b">
        <v>0</v>
      </c>
      <c r="D401" s="137">
        <v>15250</v>
      </c>
      <c r="E401" s="136">
        <v>122.35</v>
      </c>
      <c r="F401" s="30">
        <v>0</v>
      </c>
      <c r="G401" s="58">
        <v>7.2934686994931405E+18</v>
      </c>
    </row>
    <row r="402" spans="3:7">
      <c r="C402" s="29" t="b">
        <v>0</v>
      </c>
      <c r="D402" s="137">
        <v>15281</v>
      </c>
      <c r="E402" s="136">
        <v>117.05</v>
      </c>
      <c r="F402" s="30">
        <v>0</v>
      </c>
      <c r="G402" s="58">
        <v>9.6053992486029906E+18</v>
      </c>
    </row>
    <row r="403" spans="3:7">
      <c r="C403" s="29" t="b">
        <v>0</v>
      </c>
      <c r="D403" s="137">
        <v>15311</v>
      </c>
      <c r="E403" s="136">
        <v>111.5</v>
      </c>
      <c r="F403" s="30">
        <v>0</v>
      </c>
      <c r="G403" s="58">
        <v>2.3187849161881098E+18</v>
      </c>
    </row>
    <row r="404" spans="3:7">
      <c r="C404" s="29" t="b">
        <v>0</v>
      </c>
      <c r="D404" s="137">
        <v>15342</v>
      </c>
      <c r="E404" s="136">
        <v>111.55</v>
      </c>
      <c r="F404" s="30">
        <v>0</v>
      </c>
      <c r="G404" s="58">
        <v>4.3564633509152102E+17</v>
      </c>
    </row>
    <row r="405" spans="3:7">
      <c r="C405" s="29" t="b">
        <v>0</v>
      </c>
      <c r="D405" s="137">
        <v>15373</v>
      </c>
      <c r="E405" s="136">
        <v>107.95</v>
      </c>
      <c r="F405" s="30">
        <v>0</v>
      </c>
      <c r="G405" s="58">
        <v>3.29625250222737E+18</v>
      </c>
    </row>
    <row r="406" spans="3:7">
      <c r="C406" s="29" t="b">
        <v>0</v>
      </c>
      <c r="D406" s="137">
        <v>15401</v>
      </c>
      <c r="E406" s="136">
        <v>103.1</v>
      </c>
      <c r="F406" s="30">
        <v>0</v>
      </c>
      <c r="G406" s="58">
        <v>1.6198321348212601E+19</v>
      </c>
    </row>
    <row r="407" spans="3:7">
      <c r="C407" s="29" t="b">
        <v>0</v>
      </c>
      <c r="D407" s="137">
        <v>15432</v>
      </c>
      <c r="E407" s="136">
        <v>97.7</v>
      </c>
      <c r="F407" s="30">
        <v>0</v>
      </c>
      <c r="G407" s="58">
        <v>1.3606418961866299E+19</v>
      </c>
    </row>
    <row r="408" spans="3:7">
      <c r="C408" s="29" t="b">
        <v>0</v>
      </c>
      <c r="D408" s="137">
        <v>15462</v>
      </c>
      <c r="E408" s="136">
        <v>98.45</v>
      </c>
      <c r="F408" s="30">
        <v>0</v>
      </c>
      <c r="G408" s="58">
        <v>6.3239402496511396E+18</v>
      </c>
    </row>
    <row r="409" spans="3:7">
      <c r="C409" s="29" t="b">
        <v>0</v>
      </c>
      <c r="D409" s="137">
        <v>15493</v>
      </c>
      <c r="E409" s="136">
        <v>103.8</v>
      </c>
      <c r="F409" s="30">
        <v>0</v>
      </c>
      <c r="G409" s="58">
        <v>1.60117967938647E+19</v>
      </c>
    </row>
    <row r="410" spans="3:7">
      <c r="C410" s="29" t="b">
        <v>0</v>
      </c>
      <c r="D410" s="137">
        <v>15523</v>
      </c>
      <c r="E410" s="136">
        <v>105.8</v>
      </c>
      <c r="F410" s="30">
        <v>0</v>
      </c>
      <c r="G410" s="58">
        <v>2.9102707404453299E+18</v>
      </c>
    </row>
    <row r="411" spans="3:7">
      <c r="C411" s="29" t="b">
        <v>0</v>
      </c>
      <c r="D411" s="137">
        <v>15554</v>
      </c>
      <c r="E411" s="136">
        <v>106.2</v>
      </c>
      <c r="F411" s="30">
        <v>0</v>
      </c>
      <c r="G411" s="58">
        <v>1.11349457817251E+19</v>
      </c>
    </row>
    <row r="412" spans="3:7">
      <c r="C412" s="29" t="b">
        <v>0</v>
      </c>
      <c r="D412" s="137">
        <v>15585</v>
      </c>
      <c r="E412" s="136">
        <v>107.8</v>
      </c>
      <c r="F412" s="30">
        <v>0</v>
      </c>
      <c r="G412" s="58">
        <v>1.54186290634549E+19</v>
      </c>
    </row>
    <row r="413" spans="3:7">
      <c r="C413" s="29" t="b">
        <v>0</v>
      </c>
      <c r="D413" s="137">
        <v>15615</v>
      </c>
      <c r="E413" s="136">
        <v>112.5</v>
      </c>
      <c r="F413" s="30">
        <v>0</v>
      </c>
      <c r="G413" s="58">
        <v>1.5989848108528599E+19</v>
      </c>
    </row>
    <row r="414" spans="3:7">
      <c r="C414" s="29" t="b">
        <v>0</v>
      </c>
      <c r="D414" s="137">
        <v>15646</v>
      </c>
      <c r="E414" s="136">
        <v>115.7</v>
      </c>
      <c r="F414" s="30">
        <v>0</v>
      </c>
      <c r="G414" s="58">
        <v>1.7124259334873899E+19</v>
      </c>
    </row>
    <row r="415" spans="3:7">
      <c r="C415" s="29" t="b">
        <v>0</v>
      </c>
      <c r="D415" s="137">
        <v>15676</v>
      </c>
      <c r="E415" s="136">
        <v>117.15</v>
      </c>
      <c r="F415" s="30">
        <v>0</v>
      </c>
      <c r="G415" s="58">
        <v>1.90272394449506E+18</v>
      </c>
    </row>
    <row r="416" spans="3:7">
      <c r="C416" s="29" t="b">
        <v>0</v>
      </c>
      <c r="D416" s="137">
        <v>15707</v>
      </c>
      <c r="E416" s="136">
        <v>122.42</v>
      </c>
      <c r="F416" s="30">
        <v>0</v>
      </c>
      <c r="G416" s="58">
        <v>2.2647140863615201E+18</v>
      </c>
    </row>
    <row r="417" spans="3:7">
      <c r="C417" s="29" t="b">
        <v>0</v>
      </c>
      <c r="D417" s="137">
        <v>15738</v>
      </c>
      <c r="E417" s="136">
        <v>127.59</v>
      </c>
      <c r="F417" s="30">
        <v>0</v>
      </c>
      <c r="G417" s="58">
        <v>1.00137790213474E+19</v>
      </c>
    </row>
    <row r="418" spans="3:7">
      <c r="C418" s="29" t="b">
        <v>0</v>
      </c>
      <c r="D418" s="137">
        <v>15766</v>
      </c>
      <c r="E418" s="136">
        <v>132.71</v>
      </c>
      <c r="F418" s="30">
        <v>0</v>
      </c>
      <c r="G418" s="58">
        <v>4.3099980394889902E+18</v>
      </c>
    </row>
    <row r="419" spans="3:7">
      <c r="C419" s="29" t="b">
        <v>0</v>
      </c>
      <c r="D419" s="137">
        <v>15797</v>
      </c>
      <c r="E419" s="136">
        <v>134.06</v>
      </c>
      <c r="F419" s="30">
        <v>0</v>
      </c>
      <c r="G419" s="58">
        <v>1.13772616972582E+18</v>
      </c>
    </row>
    <row r="420" spans="3:7">
      <c r="C420" s="29" t="b">
        <v>0</v>
      </c>
      <c r="D420" s="137">
        <v>15827</v>
      </c>
      <c r="E420" s="136">
        <v>139.13</v>
      </c>
      <c r="F420" s="30">
        <v>0</v>
      </c>
      <c r="G420" s="58">
        <v>1.83444801369017E+19</v>
      </c>
    </row>
    <row r="421" spans="3:7">
      <c r="C421" s="29" t="b">
        <v>0</v>
      </c>
      <c r="D421" s="137">
        <v>15858</v>
      </c>
      <c r="E421" s="136">
        <v>141.08000000000001</v>
      </c>
      <c r="F421" s="30">
        <v>0</v>
      </c>
      <c r="G421" s="58">
        <v>1.7319985148514699E+19</v>
      </c>
    </row>
    <row r="422" spans="3:7">
      <c r="C422" s="29" t="b">
        <v>0</v>
      </c>
      <c r="D422" s="137">
        <v>15888</v>
      </c>
      <c r="E422" s="136">
        <v>140.88</v>
      </c>
      <c r="F422" s="30">
        <v>0</v>
      </c>
      <c r="G422" s="58">
        <v>6.9920946880823204E+18</v>
      </c>
    </row>
    <row r="423" spans="3:7">
      <c r="C423" s="29" t="b">
        <v>0</v>
      </c>
      <c r="D423" s="137">
        <v>15919</v>
      </c>
      <c r="E423" s="136">
        <v>136.22</v>
      </c>
      <c r="F423" s="30">
        <v>0</v>
      </c>
      <c r="G423" s="58">
        <v>1.2583065134323599E+19</v>
      </c>
    </row>
    <row r="424" spans="3:7">
      <c r="C424" s="29" t="b">
        <v>0</v>
      </c>
      <c r="D424" s="137">
        <v>15950</v>
      </c>
      <c r="E424" s="136">
        <v>139.33000000000001</v>
      </c>
      <c r="F424" s="30">
        <v>0</v>
      </c>
      <c r="G424" s="58">
        <v>6.2609145455995597E+18</v>
      </c>
    </row>
    <row r="425" spans="3:7">
      <c r="C425" s="29" t="b">
        <v>0</v>
      </c>
      <c r="D425" s="137">
        <v>15980</v>
      </c>
      <c r="E425" s="136">
        <v>138.36000000000001</v>
      </c>
      <c r="F425" s="30">
        <v>0</v>
      </c>
      <c r="G425" s="58">
        <v>1.0463508287075101E+19</v>
      </c>
    </row>
    <row r="426" spans="3:7">
      <c r="C426" s="29" t="b">
        <v>0</v>
      </c>
      <c r="D426" s="137">
        <v>16011</v>
      </c>
      <c r="E426" s="136">
        <v>134.04</v>
      </c>
      <c r="F426" s="30">
        <v>0</v>
      </c>
      <c r="G426" s="58">
        <v>3.4938003591083602E+18</v>
      </c>
    </row>
    <row r="427" spans="3:7">
      <c r="C427" s="29" t="b">
        <v>0</v>
      </c>
      <c r="D427" s="137">
        <v>16041</v>
      </c>
      <c r="E427" s="136">
        <v>133.46</v>
      </c>
      <c r="F427" s="30">
        <v>0</v>
      </c>
      <c r="G427" s="58">
        <v>1.5617303458004001E+19</v>
      </c>
    </row>
    <row r="428" spans="3:7">
      <c r="C428" s="29" t="b">
        <v>0</v>
      </c>
      <c r="D428" s="137">
        <v>16072</v>
      </c>
      <c r="E428" s="136">
        <v>137.28</v>
      </c>
      <c r="F428" s="30">
        <v>0</v>
      </c>
      <c r="G428" s="58">
        <v>2.4329902162328499E+17</v>
      </c>
    </row>
    <row r="429" spans="3:7">
      <c r="C429" s="29" t="b">
        <v>0</v>
      </c>
      <c r="D429" s="137">
        <v>16103</v>
      </c>
      <c r="E429" s="136">
        <v>135.84</v>
      </c>
      <c r="F429" s="30">
        <v>0</v>
      </c>
      <c r="G429" s="58">
        <v>1.20446565842318E+18</v>
      </c>
    </row>
    <row r="430" spans="3:7">
      <c r="C430" s="29" t="b">
        <v>0</v>
      </c>
      <c r="D430" s="137">
        <v>16132</v>
      </c>
      <c r="E430" s="136">
        <v>138.72</v>
      </c>
      <c r="F430" s="30">
        <v>0</v>
      </c>
      <c r="G430" s="58">
        <v>5.7182953829382605E+18</v>
      </c>
    </row>
    <row r="431" spans="3:7">
      <c r="C431" s="29" t="b">
        <v>0</v>
      </c>
      <c r="D431" s="137">
        <v>16163</v>
      </c>
      <c r="E431" s="136">
        <v>137.06</v>
      </c>
      <c r="F431" s="30">
        <v>0</v>
      </c>
      <c r="G431" s="58">
        <v>1.1706505529813801E+19</v>
      </c>
    </row>
    <row r="432" spans="3:7">
      <c r="C432" s="29" t="b">
        <v>0</v>
      </c>
      <c r="D432" s="137">
        <v>16193</v>
      </c>
      <c r="E432" s="136">
        <v>139.65</v>
      </c>
      <c r="F432" s="30">
        <v>0</v>
      </c>
      <c r="G432" s="58">
        <v>1.5394089924255101E+19</v>
      </c>
    </row>
    <row r="433" spans="3:7">
      <c r="C433" s="29" t="b">
        <v>0</v>
      </c>
      <c r="D433" s="137">
        <v>16224</v>
      </c>
      <c r="E433" s="136">
        <v>145.12</v>
      </c>
      <c r="F433" s="30">
        <v>0</v>
      </c>
      <c r="G433" s="58">
        <v>3.55690080125903E+18</v>
      </c>
    </row>
    <row r="434" spans="3:7">
      <c r="C434" s="29" t="b">
        <v>0</v>
      </c>
      <c r="D434" s="137">
        <v>16254</v>
      </c>
      <c r="E434" s="136">
        <v>148.04</v>
      </c>
      <c r="F434" s="30">
        <v>0</v>
      </c>
      <c r="G434" s="58">
        <v>1.46200537955523E+18</v>
      </c>
    </row>
    <row r="435" spans="3:7">
      <c r="C435" s="29" t="b">
        <v>0</v>
      </c>
      <c r="D435" s="137">
        <v>16285</v>
      </c>
      <c r="E435" s="136">
        <v>146.93</v>
      </c>
      <c r="F435" s="30">
        <v>0</v>
      </c>
      <c r="G435" s="58">
        <v>1.2651560825916899E+19</v>
      </c>
    </row>
    <row r="436" spans="3:7">
      <c r="C436" s="29" t="b">
        <v>0</v>
      </c>
      <c r="D436" s="137">
        <v>16316</v>
      </c>
      <c r="E436" s="136">
        <v>145.06</v>
      </c>
      <c r="F436" s="30">
        <v>0</v>
      </c>
      <c r="G436" s="58">
        <v>5.3842496036816097E+18</v>
      </c>
    </row>
    <row r="437" spans="3:7">
      <c r="C437" s="29" t="b">
        <v>0</v>
      </c>
      <c r="D437" s="137">
        <v>16346</v>
      </c>
      <c r="E437" s="136">
        <v>147.38</v>
      </c>
      <c r="F437" s="30">
        <v>0</v>
      </c>
      <c r="G437" s="58">
        <v>3.87452995787023E+18</v>
      </c>
    </row>
    <row r="438" spans="3:7">
      <c r="C438" s="29" t="b">
        <v>0</v>
      </c>
      <c r="D438" s="137">
        <v>16377</v>
      </c>
      <c r="E438" s="136">
        <v>146.84</v>
      </c>
      <c r="F438" s="30">
        <v>0</v>
      </c>
      <c r="G438" s="58">
        <v>4.3467818807647601E+18</v>
      </c>
    </row>
    <row r="439" spans="3:7">
      <c r="C439" s="29" t="b">
        <v>0</v>
      </c>
      <c r="D439" s="137">
        <v>16407</v>
      </c>
      <c r="E439" s="136">
        <v>149.91999999999999</v>
      </c>
      <c r="F439" s="30">
        <v>0</v>
      </c>
      <c r="G439" s="58">
        <v>1.42572710545385E+19</v>
      </c>
    </row>
    <row r="440" spans="3:7">
      <c r="C440" s="29" t="b">
        <v>0</v>
      </c>
      <c r="D440" s="137">
        <v>16438</v>
      </c>
      <c r="E440" s="136">
        <v>153.6</v>
      </c>
      <c r="F440" s="30">
        <v>0</v>
      </c>
      <c r="G440" s="58">
        <v>1.3593722211826801E+19</v>
      </c>
    </row>
    <row r="441" spans="3:7">
      <c r="C441" s="29" t="b">
        <v>0</v>
      </c>
      <c r="D441" s="137">
        <v>16469</v>
      </c>
      <c r="E441" s="136">
        <v>157.1</v>
      </c>
      <c r="F441" s="30">
        <v>0</v>
      </c>
      <c r="G441" s="58">
        <v>2.6796146331038403E+18</v>
      </c>
    </row>
    <row r="442" spans="3:7">
      <c r="C442" s="29" t="b">
        <v>0</v>
      </c>
      <c r="D442" s="137">
        <v>16497</v>
      </c>
      <c r="E442" s="136">
        <v>156.9</v>
      </c>
      <c r="F442" s="30">
        <v>0</v>
      </c>
      <c r="G442" s="58">
        <v>4.05238204617133E+18</v>
      </c>
    </row>
    <row r="443" spans="3:7">
      <c r="C443" s="29" t="b">
        <v>0</v>
      </c>
      <c r="D443" s="137">
        <v>16528</v>
      </c>
      <c r="E443" s="136">
        <v>160.22</v>
      </c>
      <c r="F443" s="30">
        <v>0</v>
      </c>
      <c r="G443" s="58">
        <v>1.48853181342156E+19</v>
      </c>
    </row>
    <row r="444" spans="3:7">
      <c r="C444" s="29" t="b">
        <v>0</v>
      </c>
      <c r="D444" s="137">
        <v>16558</v>
      </c>
      <c r="E444" s="136">
        <v>166.08</v>
      </c>
      <c r="F444" s="30">
        <v>0</v>
      </c>
      <c r="G444" s="58">
        <v>1.50280350520489E+19</v>
      </c>
    </row>
    <row r="445" spans="3:7">
      <c r="C445" s="29" t="b">
        <v>0</v>
      </c>
      <c r="D445" s="137">
        <v>16589</v>
      </c>
      <c r="E445" s="136">
        <v>166.74</v>
      </c>
      <c r="F445" s="30">
        <v>0</v>
      </c>
      <c r="G445" s="58">
        <v>5.3407566131098604E+18</v>
      </c>
    </row>
    <row r="446" spans="3:7">
      <c r="C446" s="29" t="b">
        <v>0</v>
      </c>
      <c r="D446" s="137">
        <v>16619</v>
      </c>
      <c r="E446" s="136">
        <v>164</v>
      </c>
      <c r="F446" s="30">
        <v>0</v>
      </c>
      <c r="G446" s="58">
        <v>1.8151328454581801E+19</v>
      </c>
    </row>
    <row r="447" spans="3:7">
      <c r="C447" s="29" t="b">
        <v>0</v>
      </c>
      <c r="D447" s="137">
        <v>16650</v>
      </c>
      <c r="E447" s="136">
        <v>167.92</v>
      </c>
      <c r="F447" s="30">
        <v>0</v>
      </c>
      <c r="G447" s="58">
        <v>4.4636814143507702E+18</v>
      </c>
    </row>
    <row r="448" spans="3:7">
      <c r="C448" s="29" t="b">
        <v>0</v>
      </c>
      <c r="D448" s="137">
        <v>16681</v>
      </c>
      <c r="E448" s="136">
        <v>177.8</v>
      </c>
      <c r="F448" s="30">
        <v>0</v>
      </c>
      <c r="G448" s="58">
        <v>1.39962857317289E+19</v>
      </c>
    </row>
    <row r="449" spans="3:7">
      <c r="C449" s="29" t="b">
        <v>0</v>
      </c>
      <c r="D449" s="137">
        <v>16711</v>
      </c>
      <c r="E449" s="136">
        <v>185.06</v>
      </c>
      <c r="F449" s="30">
        <v>0</v>
      </c>
      <c r="G449" s="58">
        <v>1.36314788187962E+19</v>
      </c>
    </row>
    <row r="450" spans="3:7">
      <c r="C450" s="29" t="b">
        <v>0</v>
      </c>
      <c r="D450" s="137">
        <v>16742</v>
      </c>
      <c r="E450" s="136">
        <v>189.34</v>
      </c>
      <c r="F450" s="30">
        <v>0</v>
      </c>
      <c r="G450" s="58">
        <v>9.5477070438038899E+17</v>
      </c>
    </row>
    <row r="451" spans="3:7">
      <c r="C451" s="29" t="b">
        <v>0</v>
      </c>
      <c r="D451" s="137">
        <v>16772</v>
      </c>
      <c r="E451" s="136">
        <v>192.44</v>
      </c>
      <c r="F451" s="30">
        <v>0</v>
      </c>
      <c r="G451" s="58">
        <v>8.1500803315782697E+18</v>
      </c>
    </row>
    <row r="452" spans="3:7">
      <c r="C452" s="29" t="b">
        <v>0</v>
      </c>
      <c r="D452" s="137">
        <v>16803</v>
      </c>
      <c r="E452" s="136">
        <v>198.12</v>
      </c>
      <c r="F452" s="30">
        <v>0</v>
      </c>
      <c r="G452" s="58">
        <v>1.0816809113669599E+19</v>
      </c>
    </row>
    <row r="453" spans="3:7">
      <c r="C453" s="29" t="b">
        <v>0</v>
      </c>
      <c r="D453" s="137">
        <v>16834</v>
      </c>
      <c r="E453" s="136">
        <v>196.5</v>
      </c>
      <c r="F453" s="30">
        <v>0</v>
      </c>
      <c r="G453" s="58">
        <v>8.0296409669679596E+18</v>
      </c>
    </row>
    <row r="454" spans="3:7">
      <c r="C454" s="29" t="b">
        <v>0</v>
      </c>
      <c r="D454" s="137">
        <v>16862</v>
      </c>
      <c r="E454" s="136">
        <v>194.51</v>
      </c>
      <c r="F454" s="30">
        <v>0</v>
      </c>
      <c r="G454" s="58">
        <v>1.3251666475635999E+18</v>
      </c>
    </row>
    <row r="455" spans="3:7">
      <c r="C455" s="29" t="b">
        <v>0</v>
      </c>
      <c r="D455" s="137">
        <v>16893</v>
      </c>
      <c r="E455" s="136">
        <v>203.75</v>
      </c>
      <c r="F455" s="30">
        <v>0</v>
      </c>
      <c r="G455" s="58">
        <v>5.7517996989187802E+17</v>
      </c>
    </row>
    <row r="456" spans="3:7">
      <c r="C456" s="29" t="b">
        <v>0</v>
      </c>
      <c r="D456" s="137">
        <v>16923</v>
      </c>
      <c r="E456" s="136">
        <v>206.58</v>
      </c>
      <c r="F456" s="30">
        <v>0</v>
      </c>
      <c r="G456" s="58">
        <v>7.9904711162439096E+18</v>
      </c>
    </row>
    <row r="457" spans="3:7">
      <c r="C457" s="29" t="b">
        <v>0</v>
      </c>
      <c r="D457" s="137">
        <v>16954</v>
      </c>
      <c r="E457" s="136">
        <v>206</v>
      </c>
      <c r="F457" s="30">
        <v>0</v>
      </c>
      <c r="G457" s="58">
        <v>2.5181138659051699E+18</v>
      </c>
    </row>
    <row r="458" spans="3:7">
      <c r="C458" s="29" t="b">
        <v>0</v>
      </c>
      <c r="D458" s="137">
        <v>16984</v>
      </c>
      <c r="E458" s="136">
        <v>201.39</v>
      </c>
      <c r="F458" s="30">
        <v>0</v>
      </c>
      <c r="G458" s="58">
        <v>7.5453898423650499E+18</v>
      </c>
    </row>
    <row r="459" spans="3:7">
      <c r="C459" s="29" t="b">
        <v>0</v>
      </c>
      <c r="D459" s="137">
        <v>17015</v>
      </c>
      <c r="E459" s="136">
        <v>196.86</v>
      </c>
      <c r="F459" s="30">
        <v>0</v>
      </c>
      <c r="G459" s="58">
        <v>6.9135315821718804E+18</v>
      </c>
    </row>
    <row r="460" spans="3:7">
      <c r="C460" s="29" t="b">
        <v>0</v>
      </c>
      <c r="D460" s="137">
        <v>17046</v>
      </c>
      <c r="E460" s="136">
        <v>173.18</v>
      </c>
      <c r="F460" s="30">
        <v>0</v>
      </c>
      <c r="G460" s="58">
        <v>5.8591214938287596E+18</v>
      </c>
    </row>
    <row r="461" spans="3:7">
      <c r="C461" s="29" t="b">
        <v>0</v>
      </c>
      <c r="D461" s="137">
        <v>17076</v>
      </c>
      <c r="E461" s="136">
        <v>169.53</v>
      </c>
      <c r="F461" s="30">
        <v>0</v>
      </c>
      <c r="G461" s="58">
        <v>8.8716857634348503E+18</v>
      </c>
    </row>
    <row r="462" spans="3:7">
      <c r="C462" s="29" t="b">
        <v>0</v>
      </c>
      <c r="D462" s="137">
        <v>17107</v>
      </c>
      <c r="E462" s="136">
        <v>168.98</v>
      </c>
      <c r="F462" s="30">
        <v>0</v>
      </c>
      <c r="G462" s="58">
        <v>4.7228104600295096E+18</v>
      </c>
    </row>
    <row r="463" spans="3:7">
      <c r="C463" s="29" t="b">
        <v>0</v>
      </c>
      <c r="D463" s="137">
        <v>17137</v>
      </c>
      <c r="E463" s="136">
        <v>172.91</v>
      </c>
      <c r="F463" s="30">
        <v>0</v>
      </c>
      <c r="G463" s="58">
        <v>1.2149445673528199E+19</v>
      </c>
    </row>
    <row r="464" spans="3:7">
      <c r="C464" s="29" t="b">
        <v>0</v>
      </c>
      <c r="D464" s="137">
        <v>17168</v>
      </c>
      <c r="E464" s="136">
        <v>176.2</v>
      </c>
      <c r="F464" s="30">
        <v>0</v>
      </c>
      <c r="G464" s="58">
        <v>7.5248115051140096E+18</v>
      </c>
    </row>
    <row r="465" spans="3:7">
      <c r="C465" s="29" t="b">
        <v>0</v>
      </c>
      <c r="D465" s="137">
        <v>17199</v>
      </c>
      <c r="E465" s="136">
        <v>180.86</v>
      </c>
      <c r="F465" s="30">
        <v>0</v>
      </c>
      <c r="G465" s="58">
        <v>1.58282223609268E+19</v>
      </c>
    </row>
    <row r="466" spans="3:7">
      <c r="C466" s="29" t="b">
        <v>0</v>
      </c>
      <c r="D466" s="137">
        <v>17227</v>
      </c>
      <c r="E466" s="136">
        <v>177.12</v>
      </c>
      <c r="F466" s="30">
        <v>0</v>
      </c>
      <c r="G466" s="58">
        <v>9.3233886921527501E+18</v>
      </c>
    </row>
    <row r="467" spans="3:7">
      <c r="C467" s="29" t="b">
        <v>0</v>
      </c>
      <c r="D467" s="137">
        <v>17258</v>
      </c>
      <c r="E467" s="136">
        <v>172.07</v>
      </c>
      <c r="F467" s="30">
        <v>0</v>
      </c>
      <c r="G467" s="58">
        <v>1.4803537573888801E+19</v>
      </c>
    </row>
    <row r="468" spans="3:7">
      <c r="C468" s="29" t="b">
        <v>0</v>
      </c>
      <c r="D468" s="137">
        <v>17288</v>
      </c>
      <c r="E468" s="136">
        <v>168.71</v>
      </c>
      <c r="F468" s="30">
        <v>0</v>
      </c>
      <c r="G468" s="58">
        <v>9.8388107571990508E+18</v>
      </c>
    </row>
    <row r="469" spans="3:7">
      <c r="C469" s="29" t="b">
        <v>0</v>
      </c>
      <c r="D469" s="137">
        <v>17319</v>
      </c>
      <c r="E469" s="136">
        <v>172.72</v>
      </c>
      <c r="F469" s="30">
        <v>0</v>
      </c>
      <c r="G469" s="58">
        <v>3.07487260462225E+18</v>
      </c>
    </row>
    <row r="470" spans="3:7">
      <c r="C470" s="29" t="b">
        <v>0</v>
      </c>
      <c r="D470" s="137">
        <v>17349</v>
      </c>
      <c r="E470" s="136">
        <v>183.36</v>
      </c>
      <c r="F470" s="30">
        <v>0</v>
      </c>
      <c r="G470" s="58">
        <v>1.47260952897495E+19</v>
      </c>
    </row>
    <row r="471" spans="3:7">
      <c r="C471" s="29" t="b">
        <v>0</v>
      </c>
      <c r="D471" s="137">
        <v>17380</v>
      </c>
      <c r="E471" s="136">
        <v>180.69</v>
      </c>
      <c r="F471" s="30">
        <v>0</v>
      </c>
      <c r="G471" s="58">
        <v>1.2574120529735201E+19</v>
      </c>
    </row>
    <row r="472" spans="3:7">
      <c r="C472" s="29" t="b">
        <v>0</v>
      </c>
      <c r="D472" s="137">
        <v>17411</v>
      </c>
      <c r="E472" s="136">
        <v>177.34</v>
      </c>
      <c r="F472" s="30">
        <v>0</v>
      </c>
      <c r="G472" s="58">
        <v>1.7649671792242399E+19</v>
      </c>
    </row>
    <row r="473" spans="3:7">
      <c r="C473" s="29" t="b">
        <v>0</v>
      </c>
      <c r="D473" s="137">
        <v>17441</v>
      </c>
      <c r="E473" s="136">
        <v>181.7</v>
      </c>
      <c r="F473" s="30">
        <v>0</v>
      </c>
      <c r="G473" s="58">
        <v>4.2588131220810301E+18</v>
      </c>
    </row>
    <row r="474" spans="3:7">
      <c r="C474" s="29" t="b">
        <v>0</v>
      </c>
      <c r="D474" s="137">
        <v>17472</v>
      </c>
      <c r="E474" s="136">
        <v>181.28</v>
      </c>
      <c r="F474" s="30">
        <v>0</v>
      </c>
      <c r="G474" s="58">
        <v>5.4187071365107599E+18</v>
      </c>
    </row>
    <row r="475" spans="3:7">
      <c r="C475" s="29" t="b">
        <v>0</v>
      </c>
      <c r="D475" s="137">
        <v>17502</v>
      </c>
      <c r="E475" s="136">
        <v>178.45</v>
      </c>
      <c r="F475" s="30">
        <v>0</v>
      </c>
      <c r="G475" s="58">
        <v>1.7140758018445E+18</v>
      </c>
    </row>
    <row r="476" spans="3:7">
      <c r="C476" s="29" t="b">
        <v>0</v>
      </c>
      <c r="D476" s="137">
        <v>17533</v>
      </c>
      <c r="E476" s="136">
        <v>176.11</v>
      </c>
      <c r="F476" s="30">
        <v>0</v>
      </c>
      <c r="G476" s="58">
        <v>7.3532081079375795E+17</v>
      </c>
    </row>
    <row r="477" spans="3:7">
      <c r="C477" s="29" t="b">
        <v>0</v>
      </c>
      <c r="D477" s="137">
        <v>17564</v>
      </c>
      <c r="E477" s="136">
        <v>170.28</v>
      </c>
      <c r="F477" s="30">
        <v>0</v>
      </c>
      <c r="G477" s="58">
        <v>7.4780927048468296E+18</v>
      </c>
    </row>
    <row r="478" spans="3:7">
      <c r="C478" s="29" t="b">
        <v>0</v>
      </c>
      <c r="D478" s="137">
        <v>17593</v>
      </c>
      <c r="E478" s="136">
        <v>171.3</v>
      </c>
      <c r="F478" s="30">
        <v>0</v>
      </c>
      <c r="G478" s="58">
        <v>1.0843093801525201E+19</v>
      </c>
    </row>
    <row r="479" spans="3:7">
      <c r="C479" s="29" t="b">
        <v>0</v>
      </c>
      <c r="D479" s="137">
        <v>17624</v>
      </c>
      <c r="E479" s="136">
        <v>180.55</v>
      </c>
      <c r="F479" s="30">
        <v>0</v>
      </c>
      <c r="G479" s="58">
        <v>2.15172525719715E+18</v>
      </c>
    </row>
    <row r="480" spans="3:7">
      <c r="C480" s="29" t="b">
        <v>0</v>
      </c>
      <c r="D480" s="137">
        <v>17654</v>
      </c>
      <c r="E480" s="136">
        <v>185.67</v>
      </c>
      <c r="F480" s="30">
        <v>0</v>
      </c>
      <c r="G480" s="58">
        <v>6.9664529765827195E+18</v>
      </c>
    </row>
    <row r="481" spans="3:7">
      <c r="C481" s="29" t="b">
        <v>0</v>
      </c>
      <c r="D481" s="137">
        <v>17685</v>
      </c>
      <c r="E481" s="136">
        <v>190.53</v>
      </c>
      <c r="F481" s="30">
        <v>0</v>
      </c>
      <c r="G481" s="58">
        <v>1.2696461124999199E+18</v>
      </c>
    </row>
    <row r="482" spans="3:7">
      <c r="C482" s="29" t="b">
        <v>0</v>
      </c>
      <c r="D482" s="137">
        <v>17715</v>
      </c>
      <c r="E482" s="136">
        <v>186.41</v>
      </c>
      <c r="F482" s="30">
        <v>0</v>
      </c>
      <c r="G482" s="58">
        <v>4.8273291443803996E+18</v>
      </c>
    </row>
    <row r="483" spans="3:7">
      <c r="C483" s="29" t="b">
        <v>0</v>
      </c>
      <c r="D483" s="137">
        <v>17746</v>
      </c>
      <c r="E483" s="136">
        <v>181.44</v>
      </c>
      <c r="F483" s="30">
        <v>0</v>
      </c>
      <c r="G483" s="58">
        <v>1.3106269951534701E+19</v>
      </c>
    </row>
    <row r="484" spans="3:7">
      <c r="C484" s="29" t="b">
        <v>0</v>
      </c>
      <c r="D484" s="137">
        <v>17777</v>
      </c>
      <c r="E484" s="136">
        <v>180.68</v>
      </c>
      <c r="F484" s="30">
        <v>0</v>
      </c>
      <c r="G484" s="58">
        <v>1.0470294229069799E+19</v>
      </c>
    </row>
    <row r="485" spans="3:7">
      <c r="C485" s="29" t="b">
        <v>0</v>
      </c>
      <c r="D485" s="137">
        <v>17807</v>
      </c>
      <c r="E485" s="136">
        <v>185.03</v>
      </c>
      <c r="F485" s="30">
        <v>0</v>
      </c>
      <c r="G485" s="58">
        <v>1.58385993184891E+19</v>
      </c>
    </row>
    <row r="486" spans="3:7">
      <c r="C486" s="29" t="b">
        <v>0</v>
      </c>
      <c r="D486" s="137">
        <v>17838</v>
      </c>
      <c r="E486" s="136">
        <v>180.48</v>
      </c>
      <c r="F486" s="30">
        <v>0</v>
      </c>
      <c r="G486" s="58">
        <v>4.9304169058444698E+18</v>
      </c>
    </row>
    <row r="487" spans="3:7">
      <c r="C487" s="29" t="b">
        <v>0</v>
      </c>
      <c r="D487" s="137">
        <v>17868</v>
      </c>
      <c r="E487" s="136">
        <v>175.57</v>
      </c>
      <c r="F487" s="30">
        <v>0</v>
      </c>
      <c r="G487" s="58">
        <v>4.7966008585465098E+18</v>
      </c>
    </row>
    <row r="488" spans="3:7">
      <c r="C488" s="29" t="b">
        <v>0</v>
      </c>
      <c r="D488" s="137">
        <v>17899</v>
      </c>
      <c r="E488" s="136">
        <v>178.28</v>
      </c>
      <c r="F488" s="30">
        <v>0</v>
      </c>
      <c r="G488" s="58">
        <v>1.0086295457216E+19</v>
      </c>
    </row>
    <row r="489" spans="3:7">
      <c r="C489" s="29" t="b">
        <v>0</v>
      </c>
      <c r="D489" s="137">
        <v>17930</v>
      </c>
      <c r="E489" s="136">
        <v>175.74</v>
      </c>
      <c r="F489" s="30">
        <v>0</v>
      </c>
      <c r="G489" s="58">
        <v>1.35377174864362E+19</v>
      </c>
    </row>
    <row r="490" spans="3:7">
      <c r="C490" s="29" t="b">
        <v>0</v>
      </c>
      <c r="D490" s="137">
        <v>17958</v>
      </c>
      <c r="E490" s="136">
        <v>176.06</v>
      </c>
      <c r="F490" s="30">
        <v>0</v>
      </c>
      <c r="G490" s="58">
        <v>2.2241160876798999E+18</v>
      </c>
    </row>
    <row r="491" spans="3:7">
      <c r="C491" s="29" t="b">
        <v>0</v>
      </c>
      <c r="D491" s="137">
        <v>17989</v>
      </c>
      <c r="E491" s="136">
        <v>175.2</v>
      </c>
      <c r="F491" s="30">
        <v>0</v>
      </c>
      <c r="G491" s="58">
        <v>9.7626181010135204E+18</v>
      </c>
    </row>
    <row r="492" spans="3:7">
      <c r="C492" s="29" t="b">
        <v>0</v>
      </c>
      <c r="D492" s="137">
        <v>18019</v>
      </c>
      <c r="E492" s="136">
        <v>172.5</v>
      </c>
      <c r="F492" s="30">
        <v>0</v>
      </c>
      <c r="G492" s="58">
        <v>1.3046209697771E+19</v>
      </c>
    </row>
    <row r="493" spans="3:7">
      <c r="C493" s="29" t="b">
        <v>0</v>
      </c>
      <c r="D493" s="137">
        <v>18050</v>
      </c>
      <c r="E493" s="136">
        <v>164.88</v>
      </c>
      <c r="F493" s="30">
        <v>0</v>
      </c>
      <c r="G493" s="58">
        <v>4.4598491578812401E+18</v>
      </c>
    </row>
    <row r="494" spans="3:7">
      <c r="C494" s="29" t="b">
        <v>0</v>
      </c>
      <c r="D494" s="137">
        <v>18080</v>
      </c>
      <c r="E494" s="136">
        <v>172.27</v>
      </c>
      <c r="F494" s="30">
        <v>0</v>
      </c>
      <c r="G494" s="58">
        <v>7.4023067685664799E+18</v>
      </c>
    </row>
    <row r="495" spans="3:7">
      <c r="C495" s="29" t="b">
        <v>0</v>
      </c>
      <c r="D495" s="137">
        <v>18111</v>
      </c>
      <c r="E495" s="136">
        <v>179.43</v>
      </c>
      <c r="F495" s="30">
        <v>0</v>
      </c>
      <c r="G495" s="58">
        <v>1.1568477198216801E+18</v>
      </c>
    </row>
    <row r="496" spans="3:7">
      <c r="C496" s="29" t="b">
        <v>0</v>
      </c>
      <c r="D496" s="137">
        <v>18142</v>
      </c>
      <c r="E496" s="136">
        <v>180.66</v>
      </c>
      <c r="F496" s="30">
        <v>0</v>
      </c>
      <c r="G496" s="58">
        <v>1.7751118386284501E+19</v>
      </c>
    </row>
    <row r="497" spans="3:7">
      <c r="C497" s="29" t="b">
        <v>0</v>
      </c>
      <c r="D497" s="137">
        <v>18172</v>
      </c>
      <c r="E497" s="136">
        <v>186.17</v>
      </c>
      <c r="F497" s="30">
        <v>0</v>
      </c>
      <c r="G497" s="58">
        <v>1.81399768810874E+19</v>
      </c>
    </row>
    <row r="498" spans="3:7">
      <c r="C498" s="29" t="b">
        <v>0</v>
      </c>
      <c r="D498" s="137">
        <v>18203</v>
      </c>
      <c r="E498" s="136">
        <v>190.8</v>
      </c>
      <c r="F498" s="30">
        <v>0</v>
      </c>
      <c r="G498" s="58">
        <v>5.7451590290490501E+18</v>
      </c>
    </row>
    <row r="499" spans="3:7">
      <c r="C499" s="29" t="b">
        <v>0</v>
      </c>
      <c r="D499" s="137">
        <v>18233</v>
      </c>
      <c r="E499" s="136">
        <v>196.62</v>
      </c>
      <c r="F499" s="30">
        <v>0</v>
      </c>
      <c r="G499" s="58">
        <v>1.05338953032908E+19</v>
      </c>
    </row>
    <row r="500" spans="3:7">
      <c r="C500" s="29" t="b">
        <v>0</v>
      </c>
      <c r="D500" s="137">
        <v>18264</v>
      </c>
      <c r="E500" s="136">
        <v>199.79</v>
      </c>
      <c r="F500" s="30">
        <v>0</v>
      </c>
      <c r="G500" s="58">
        <v>4.3873231534146601E+18</v>
      </c>
    </row>
    <row r="501" spans="3:7">
      <c r="C501" s="29" t="b">
        <v>0</v>
      </c>
      <c r="D501" s="137">
        <v>18295</v>
      </c>
      <c r="E501" s="136">
        <v>203.46</v>
      </c>
      <c r="F501" s="30">
        <v>0</v>
      </c>
      <c r="G501" s="58">
        <v>1.5503738990900799E+19</v>
      </c>
    </row>
    <row r="502" spans="3:7">
      <c r="C502" s="29" t="b">
        <v>0</v>
      </c>
      <c r="D502" s="137">
        <v>18323</v>
      </c>
      <c r="E502" s="136">
        <v>206.3</v>
      </c>
      <c r="F502" s="30">
        <v>0</v>
      </c>
      <c r="G502" s="58">
        <v>8.8571389929711706E+17</v>
      </c>
    </row>
    <row r="503" spans="3:7">
      <c r="C503" s="29" t="b">
        <v>0</v>
      </c>
      <c r="D503" s="137">
        <v>18354</v>
      </c>
      <c r="E503" s="136">
        <v>212.67</v>
      </c>
      <c r="F503" s="30">
        <v>0</v>
      </c>
      <c r="G503" s="58">
        <v>2.7134110393890499E+18</v>
      </c>
    </row>
    <row r="504" spans="3:7">
      <c r="C504" s="29" t="b">
        <v>0</v>
      </c>
      <c r="D504" s="137">
        <v>18384</v>
      </c>
      <c r="E504" s="136">
        <v>219.36</v>
      </c>
      <c r="F504" s="30">
        <v>0</v>
      </c>
      <c r="G504" s="58">
        <v>6.5719233217133005E+18</v>
      </c>
    </row>
    <row r="505" spans="3:7">
      <c r="C505" s="29" t="b">
        <v>0</v>
      </c>
      <c r="D505" s="137">
        <v>18415</v>
      </c>
      <c r="E505" s="136">
        <v>221.02</v>
      </c>
      <c r="F505" s="30">
        <v>0</v>
      </c>
      <c r="G505" s="58">
        <v>9.5301981011192607E+18</v>
      </c>
    </row>
    <row r="506" spans="3:7">
      <c r="C506" s="29" t="b">
        <v>0</v>
      </c>
      <c r="D506" s="137">
        <v>18445</v>
      </c>
      <c r="E506" s="136">
        <v>205.3</v>
      </c>
      <c r="F506" s="30">
        <v>0</v>
      </c>
      <c r="G506" s="58">
        <v>1.2597767157116899E+19</v>
      </c>
    </row>
    <row r="507" spans="3:7">
      <c r="C507" s="29" t="b">
        <v>0</v>
      </c>
      <c r="D507" s="137">
        <v>18476</v>
      </c>
      <c r="E507" s="136">
        <v>216.6</v>
      </c>
      <c r="F507" s="30">
        <v>0</v>
      </c>
      <c r="G507" s="58">
        <v>2.9395645923600102E+18</v>
      </c>
    </row>
    <row r="508" spans="3:7">
      <c r="C508" s="29" t="b">
        <v>0</v>
      </c>
      <c r="D508" s="137">
        <v>18507</v>
      </c>
      <c r="E508" s="136">
        <v>223.21</v>
      </c>
      <c r="F508" s="30">
        <v>0</v>
      </c>
      <c r="G508" s="58">
        <v>3.4079426470011899E+18</v>
      </c>
    </row>
    <row r="509" spans="3:7">
      <c r="C509" s="29" t="b">
        <v>0</v>
      </c>
      <c r="D509" s="137">
        <v>18537</v>
      </c>
      <c r="E509" s="136">
        <v>229.32</v>
      </c>
      <c r="F509" s="30">
        <v>0</v>
      </c>
      <c r="G509" s="58">
        <v>3.0194991396174198E+18</v>
      </c>
    </row>
    <row r="510" spans="3:7">
      <c r="C510" s="29" t="b">
        <v>0</v>
      </c>
      <c r="D510" s="137">
        <v>18568</v>
      </c>
      <c r="E510" s="136">
        <v>229.38</v>
      </c>
      <c r="F510" s="30">
        <v>0</v>
      </c>
      <c r="G510" s="58">
        <v>1.69711255507613E+19</v>
      </c>
    </row>
    <row r="511" spans="3:7">
      <c r="C511" s="29" t="b">
        <v>0</v>
      </c>
      <c r="D511" s="137">
        <v>18598</v>
      </c>
      <c r="E511" s="136">
        <v>229.26</v>
      </c>
      <c r="F511" s="30">
        <v>0</v>
      </c>
      <c r="G511" s="58">
        <v>1.65454684722664E+19</v>
      </c>
    </row>
    <row r="512" spans="3:7">
      <c r="C512" s="29" t="b">
        <v>0</v>
      </c>
      <c r="D512" s="137">
        <v>18629</v>
      </c>
      <c r="E512" s="136">
        <v>244.45</v>
      </c>
      <c r="F512" s="30">
        <v>0</v>
      </c>
      <c r="G512" s="58">
        <v>9.6912683472572293E+18</v>
      </c>
    </row>
    <row r="513" spans="3:7">
      <c r="C513" s="29" t="b">
        <v>0</v>
      </c>
      <c r="D513" s="137">
        <v>18660</v>
      </c>
      <c r="E513" s="136">
        <v>253.32</v>
      </c>
      <c r="F513" s="30">
        <v>0</v>
      </c>
      <c r="G513" s="58">
        <v>6.0731709755502397E+18</v>
      </c>
    </row>
    <row r="514" spans="3:7">
      <c r="C514" s="29" t="b">
        <v>0</v>
      </c>
      <c r="D514" s="137">
        <v>18688</v>
      </c>
      <c r="E514" s="136">
        <v>249.5</v>
      </c>
      <c r="F514" s="30">
        <v>0</v>
      </c>
      <c r="G514" s="58">
        <v>2.83509788726142E+18</v>
      </c>
    </row>
    <row r="515" spans="3:7">
      <c r="C515" s="29" t="b">
        <v>0</v>
      </c>
      <c r="D515" s="137">
        <v>18719</v>
      </c>
      <c r="E515" s="136">
        <v>253.36</v>
      </c>
      <c r="F515" s="30">
        <v>0</v>
      </c>
      <c r="G515" s="58">
        <v>1.42075662755579E+19</v>
      </c>
    </row>
    <row r="516" spans="3:7">
      <c r="C516" s="29" t="b">
        <v>0</v>
      </c>
      <c r="D516" s="137">
        <v>18749</v>
      </c>
      <c r="E516" s="136">
        <v>254.36</v>
      </c>
      <c r="F516" s="30">
        <v>0</v>
      </c>
      <c r="G516" s="58">
        <v>4.0109479314499599E+18</v>
      </c>
    </row>
    <row r="517" spans="3:7">
      <c r="C517" s="29" t="b">
        <v>0</v>
      </c>
      <c r="D517" s="137">
        <v>18780</v>
      </c>
      <c r="E517" s="136">
        <v>249.32</v>
      </c>
      <c r="F517" s="30">
        <v>0</v>
      </c>
      <c r="G517" s="58">
        <v>3.4499241788899098E+17</v>
      </c>
    </row>
    <row r="518" spans="3:7">
      <c r="C518" s="29" t="b">
        <v>0</v>
      </c>
      <c r="D518" s="137">
        <v>18810</v>
      </c>
      <c r="E518" s="136">
        <v>253.6</v>
      </c>
      <c r="F518" s="30">
        <v>0</v>
      </c>
      <c r="G518" s="58">
        <v>2.067544345268E+18</v>
      </c>
    </row>
    <row r="519" spans="3:7">
      <c r="C519" s="29" t="b">
        <v>0</v>
      </c>
      <c r="D519" s="137">
        <v>18841</v>
      </c>
      <c r="E519" s="136">
        <v>264.92</v>
      </c>
      <c r="F519" s="30">
        <v>0</v>
      </c>
      <c r="G519" s="58">
        <v>3.7772687703807698E+18</v>
      </c>
    </row>
    <row r="520" spans="3:7">
      <c r="C520" s="29" t="b">
        <v>0</v>
      </c>
      <c r="D520" s="137">
        <v>18872</v>
      </c>
      <c r="E520" s="136">
        <v>273.36</v>
      </c>
      <c r="F520" s="30">
        <v>0</v>
      </c>
      <c r="G520" s="58">
        <v>1.65506639836388E+19</v>
      </c>
    </row>
    <row r="521" spans="3:7">
      <c r="C521" s="29" t="b">
        <v>0</v>
      </c>
      <c r="D521" s="137">
        <v>18902</v>
      </c>
      <c r="E521" s="136">
        <v>269.73</v>
      </c>
      <c r="F521" s="30">
        <v>0</v>
      </c>
      <c r="G521" s="58">
        <v>1.70057226308252E+19</v>
      </c>
    </row>
    <row r="522" spans="3:7">
      <c r="C522" s="29" t="b">
        <v>0</v>
      </c>
      <c r="D522" s="137">
        <v>18933</v>
      </c>
      <c r="E522" s="136">
        <v>259.61</v>
      </c>
      <c r="F522" s="30">
        <v>0</v>
      </c>
      <c r="G522" s="58">
        <v>7.5480906424174397E+18</v>
      </c>
    </row>
    <row r="523" spans="3:7">
      <c r="C523" s="29" t="b">
        <v>0</v>
      </c>
      <c r="D523" s="137">
        <v>18963</v>
      </c>
      <c r="E523" s="136">
        <v>266.08999999999997</v>
      </c>
      <c r="F523" s="30">
        <v>0</v>
      </c>
      <c r="G523" s="58">
        <v>1.77893172424001E+19</v>
      </c>
    </row>
    <row r="524" spans="3:7">
      <c r="C524" s="29" t="b">
        <v>0</v>
      </c>
      <c r="D524" s="137">
        <v>18994</v>
      </c>
      <c r="E524" s="136">
        <v>271.70999999999998</v>
      </c>
      <c r="F524" s="30">
        <v>0</v>
      </c>
      <c r="G524" s="58">
        <v>1.76004241001547E+19</v>
      </c>
    </row>
    <row r="525" spans="3:7">
      <c r="C525" s="29" t="b">
        <v>0</v>
      </c>
      <c r="D525" s="137">
        <v>19025</v>
      </c>
      <c r="E525" s="136">
        <v>265.19</v>
      </c>
      <c r="F525" s="30">
        <v>0</v>
      </c>
      <c r="G525" s="58">
        <v>1.84230076336746E+19</v>
      </c>
    </row>
    <row r="526" spans="3:7">
      <c r="C526" s="29" t="b">
        <v>0</v>
      </c>
      <c r="D526" s="137">
        <v>19054</v>
      </c>
      <c r="E526" s="136">
        <v>264.48</v>
      </c>
      <c r="F526" s="30">
        <v>0</v>
      </c>
      <c r="G526" s="58">
        <v>1.4543101717595699E+19</v>
      </c>
    </row>
    <row r="527" spans="3:7">
      <c r="C527" s="29" t="b">
        <v>0</v>
      </c>
      <c r="D527" s="137">
        <v>19085</v>
      </c>
      <c r="E527" s="136">
        <v>262.55</v>
      </c>
      <c r="F527" s="30">
        <v>0</v>
      </c>
      <c r="G527" s="58">
        <v>1.1487395918848801E+19</v>
      </c>
    </row>
    <row r="528" spans="3:7">
      <c r="C528" s="29" t="b">
        <v>0</v>
      </c>
      <c r="D528" s="137">
        <v>19115</v>
      </c>
      <c r="E528" s="136">
        <v>261.61</v>
      </c>
      <c r="F528" s="30">
        <v>0</v>
      </c>
      <c r="G528" s="58">
        <v>1.14989450793046E+19</v>
      </c>
    </row>
    <row r="529" spans="3:7">
      <c r="C529" s="29" t="b">
        <v>0</v>
      </c>
      <c r="D529" s="137">
        <v>19146</v>
      </c>
      <c r="E529" s="136">
        <v>268.39</v>
      </c>
      <c r="F529" s="30">
        <v>0</v>
      </c>
      <c r="G529" s="58">
        <v>1.3591758900260999E+19</v>
      </c>
    </row>
    <row r="530" spans="3:7">
      <c r="C530" s="29" t="b">
        <v>0</v>
      </c>
      <c r="D530" s="137">
        <v>19176</v>
      </c>
      <c r="E530" s="136">
        <v>276.04000000000002</v>
      </c>
      <c r="F530" s="30">
        <v>0</v>
      </c>
      <c r="G530" s="58">
        <v>8.4511693218808904E+18</v>
      </c>
    </row>
    <row r="531" spans="3:7">
      <c r="C531" s="29" t="b">
        <v>0</v>
      </c>
      <c r="D531" s="137">
        <v>19207</v>
      </c>
      <c r="E531" s="136">
        <v>276.7</v>
      </c>
      <c r="F531" s="30">
        <v>0</v>
      </c>
      <c r="G531" s="58">
        <v>1.2933085934927901E+19</v>
      </c>
    </row>
    <row r="532" spans="3:7">
      <c r="C532" s="29" t="b">
        <v>0</v>
      </c>
      <c r="D532" s="137">
        <v>19238</v>
      </c>
      <c r="E532" s="136">
        <v>272.39999999999998</v>
      </c>
      <c r="F532" s="30">
        <v>0</v>
      </c>
      <c r="G532" s="58">
        <v>1.25383507542515E+19</v>
      </c>
    </row>
    <row r="533" spans="3:7">
      <c r="C533" s="29" t="b">
        <v>0</v>
      </c>
      <c r="D533" s="137">
        <v>19268</v>
      </c>
      <c r="E533" s="136">
        <v>267.77</v>
      </c>
      <c r="F533" s="30">
        <v>0</v>
      </c>
      <c r="G533" s="58">
        <v>3.5601298376735098E+17</v>
      </c>
    </row>
    <row r="534" spans="3:7">
      <c r="C534" s="29" t="b">
        <v>0</v>
      </c>
      <c r="D534" s="137">
        <v>19299</v>
      </c>
      <c r="E534" s="136">
        <v>276.37</v>
      </c>
      <c r="F534" s="30">
        <v>0</v>
      </c>
      <c r="G534" s="58">
        <v>1.74015104042171E+19</v>
      </c>
    </row>
    <row r="535" spans="3:7">
      <c r="C535" s="29" t="b">
        <v>0</v>
      </c>
      <c r="D535" s="137">
        <v>19329</v>
      </c>
      <c r="E535" s="136">
        <v>285.95</v>
      </c>
      <c r="F535" s="30">
        <v>0</v>
      </c>
      <c r="G535" s="58">
        <v>5.4777657239332301E+18</v>
      </c>
    </row>
    <row r="536" spans="3:7">
      <c r="C536" s="29" t="b">
        <v>0</v>
      </c>
      <c r="D536" s="137">
        <v>19360</v>
      </c>
      <c r="E536" s="136">
        <v>288.44</v>
      </c>
      <c r="F536" s="30">
        <v>0</v>
      </c>
      <c r="G536" s="58">
        <v>1.47595857237638E+19</v>
      </c>
    </row>
    <row r="537" spans="3:7">
      <c r="C537" s="29" t="b">
        <v>0</v>
      </c>
      <c r="D537" s="137">
        <v>19391</v>
      </c>
      <c r="E537" s="136">
        <v>283.94</v>
      </c>
      <c r="F537" s="30">
        <v>0</v>
      </c>
      <c r="G537" s="58">
        <v>3.9924083630368701E+18</v>
      </c>
    </row>
    <row r="538" spans="3:7">
      <c r="C538" s="29" t="b">
        <v>0</v>
      </c>
      <c r="D538" s="137">
        <v>19419</v>
      </c>
      <c r="E538" s="136">
        <v>286.79000000000002</v>
      </c>
      <c r="F538" s="30">
        <v>0</v>
      </c>
      <c r="G538" s="58">
        <v>9.0226255295334106E+17</v>
      </c>
    </row>
    <row r="539" spans="3:7">
      <c r="C539" s="29" t="b">
        <v>0</v>
      </c>
      <c r="D539" s="137">
        <v>19450</v>
      </c>
      <c r="E539" s="136">
        <v>275.27999999999997</v>
      </c>
      <c r="F539" s="30">
        <v>0</v>
      </c>
      <c r="G539" s="58">
        <v>1.65691741554711E+19</v>
      </c>
    </row>
    <row r="540" spans="3:7">
      <c r="C540" s="29" t="b">
        <v>0</v>
      </c>
      <c r="D540" s="137">
        <v>19480</v>
      </c>
      <c r="E540" s="136">
        <v>276.83999999999997</v>
      </c>
      <c r="F540" s="30">
        <v>0</v>
      </c>
      <c r="G540" s="58">
        <v>5.4067895945103698E+18</v>
      </c>
    </row>
    <row r="541" spans="3:7">
      <c r="C541" s="29" t="b">
        <v>0</v>
      </c>
      <c r="D541" s="137">
        <v>19511</v>
      </c>
      <c r="E541" s="136">
        <v>266.88</v>
      </c>
      <c r="F541" s="30">
        <v>0</v>
      </c>
      <c r="G541" s="58">
        <v>5.7788781206634598E+18</v>
      </c>
    </row>
    <row r="542" spans="3:7">
      <c r="C542" s="29" t="b">
        <v>0</v>
      </c>
      <c r="D542" s="137">
        <v>19541</v>
      </c>
      <c r="E542" s="136">
        <v>270.32</v>
      </c>
      <c r="F542" s="30">
        <v>0</v>
      </c>
      <c r="G542" s="58">
        <v>1.43663803989683E+19</v>
      </c>
    </row>
    <row r="543" spans="3:7">
      <c r="C543" s="29" t="b">
        <v>0</v>
      </c>
      <c r="D543" s="137">
        <v>19572</v>
      </c>
      <c r="E543" s="136">
        <v>272.20999999999998</v>
      </c>
      <c r="F543" s="30">
        <v>0</v>
      </c>
      <c r="G543" s="58">
        <v>2.9946200058584699E+18</v>
      </c>
    </row>
    <row r="544" spans="3:7">
      <c r="C544" s="29" t="b">
        <v>0</v>
      </c>
      <c r="D544" s="137">
        <v>19603</v>
      </c>
      <c r="E544" s="136">
        <v>261.89999999999998</v>
      </c>
      <c r="F544" s="30">
        <v>0</v>
      </c>
      <c r="G544" s="58">
        <v>1.1594969601820701E+19</v>
      </c>
    </row>
    <row r="545" spans="3:7">
      <c r="C545" s="29" t="b">
        <v>0</v>
      </c>
      <c r="D545" s="137">
        <v>19633</v>
      </c>
      <c r="E545" s="136">
        <v>270.73</v>
      </c>
      <c r="F545" s="30">
        <v>0</v>
      </c>
      <c r="G545" s="58">
        <v>9.2953842669613402E+17</v>
      </c>
    </row>
    <row r="546" spans="3:7">
      <c r="C546" s="29" t="b">
        <v>0</v>
      </c>
      <c r="D546" s="137">
        <v>19664</v>
      </c>
      <c r="E546" s="136">
        <v>277.10000000000002</v>
      </c>
      <c r="F546" s="30">
        <v>0</v>
      </c>
      <c r="G546" s="58">
        <v>1.2378116190484799E+19</v>
      </c>
    </row>
    <row r="547" spans="3:7">
      <c r="C547" s="29" t="b">
        <v>0</v>
      </c>
      <c r="D547" s="137">
        <v>19694</v>
      </c>
      <c r="E547" s="136">
        <v>281.14999999999998</v>
      </c>
      <c r="F547" s="30">
        <v>0</v>
      </c>
      <c r="G547" s="58">
        <v>7.5323778886477896E+18</v>
      </c>
    </row>
    <row r="548" spans="3:7">
      <c r="C548" s="29" t="b">
        <v>0</v>
      </c>
      <c r="D548" s="137">
        <v>19725</v>
      </c>
      <c r="E548" s="136">
        <v>286.64</v>
      </c>
      <c r="F548" s="30">
        <v>0</v>
      </c>
      <c r="G548" s="58">
        <v>6.97144993542242E+18</v>
      </c>
    </row>
    <row r="549" spans="3:7">
      <c r="C549" s="29" t="b">
        <v>0</v>
      </c>
      <c r="D549" s="137">
        <v>19756</v>
      </c>
      <c r="E549" s="136">
        <v>292.13</v>
      </c>
      <c r="F549" s="30">
        <v>0</v>
      </c>
      <c r="G549" s="58">
        <v>1.03739646466293E+19</v>
      </c>
    </row>
    <row r="550" spans="3:7">
      <c r="C550" s="29" t="b">
        <v>0</v>
      </c>
      <c r="D550" s="137">
        <v>19784</v>
      </c>
      <c r="E550" s="136">
        <v>299.14999999999998</v>
      </c>
      <c r="F550" s="30">
        <v>0</v>
      </c>
      <c r="G550" s="58">
        <v>5.20244615542221E+18</v>
      </c>
    </row>
    <row r="551" spans="3:7">
      <c r="C551" s="29" t="b">
        <v>0</v>
      </c>
      <c r="D551" s="137">
        <v>19815</v>
      </c>
      <c r="E551" s="136">
        <v>310.92</v>
      </c>
      <c r="F551" s="30">
        <v>0</v>
      </c>
      <c r="G551" s="58">
        <v>6.7536788861167299E+18</v>
      </c>
    </row>
    <row r="552" spans="3:7">
      <c r="C552" s="29" t="b">
        <v>0</v>
      </c>
      <c r="D552" s="137">
        <v>19845</v>
      </c>
      <c r="E552" s="136">
        <v>322.86</v>
      </c>
      <c r="F552" s="30">
        <v>0</v>
      </c>
      <c r="G552" s="58">
        <v>8.3745017111322906E+17</v>
      </c>
    </row>
    <row r="553" spans="3:7">
      <c r="C553" s="29" t="b">
        <v>0</v>
      </c>
      <c r="D553" s="137">
        <v>19876</v>
      </c>
      <c r="E553" s="136">
        <v>327.91</v>
      </c>
      <c r="F553" s="30">
        <v>0</v>
      </c>
      <c r="G553" s="58">
        <v>1.5616520974178001E+19</v>
      </c>
    </row>
    <row r="554" spans="3:7">
      <c r="C554" s="29" t="b">
        <v>0</v>
      </c>
      <c r="D554" s="137">
        <v>19906</v>
      </c>
      <c r="E554" s="136">
        <v>341.27</v>
      </c>
      <c r="F554" s="30">
        <v>0</v>
      </c>
      <c r="G554" s="58">
        <v>7.1235064558713395E+17</v>
      </c>
    </row>
    <row r="555" spans="3:7">
      <c r="C555" s="29" t="b">
        <v>0</v>
      </c>
      <c r="D555" s="137">
        <v>19937</v>
      </c>
      <c r="E555" s="136">
        <v>346.06</v>
      </c>
      <c r="F555" s="30">
        <v>0</v>
      </c>
      <c r="G555" s="58">
        <v>7.7994853481759795E+18</v>
      </c>
    </row>
    <row r="556" spans="3:7">
      <c r="C556" s="29" t="b">
        <v>0</v>
      </c>
      <c r="D556" s="137">
        <v>19968</v>
      </c>
      <c r="E556" s="136">
        <v>352.71</v>
      </c>
      <c r="F556" s="30">
        <v>0</v>
      </c>
      <c r="G556" s="58">
        <v>2.3083766846703401E+18</v>
      </c>
    </row>
    <row r="557" spans="3:7">
      <c r="C557" s="29" t="b">
        <v>0</v>
      </c>
      <c r="D557" s="137">
        <v>19998</v>
      </c>
      <c r="E557" s="136">
        <v>358.29</v>
      </c>
      <c r="F557" s="30">
        <v>0</v>
      </c>
      <c r="G557" s="58">
        <v>8.6223206109184901E+18</v>
      </c>
    </row>
    <row r="558" spans="3:7">
      <c r="C558" s="29" t="b">
        <v>0</v>
      </c>
      <c r="D558" s="137">
        <v>20029</v>
      </c>
      <c r="E558" s="136">
        <v>375.75</v>
      </c>
      <c r="F558" s="30">
        <v>0</v>
      </c>
      <c r="G558" s="58">
        <v>6.62362717820817E+18</v>
      </c>
    </row>
    <row r="559" spans="3:7">
      <c r="C559" s="29" t="b">
        <v>0</v>
      </c>
      <c r="D559" s="137">
        <v>20059</v>
      </c>
      <c r="E559" s="136">
        <v>393.84</v>
      </c>
      <c r="F559" s="30">
        <v>0</v>
      </c>
      <c r="G559" s="58">
        <v>1.5074986536178801E+19</v>
      </c>
    </row>
    <row r="560" spans="3:7">
      <c r="C560" s="29" t="b">
        <v>0</v>
      </c>
      <c r="D560" s="137">
        <v>20090</v>
      </c>
      <c r="E560" s="136">
        <v>398.43</v>
      </c>
      <c r="F560" s="30">
        <v>0</v>
      </c>
      <c r="G560" s="58">
        <v>7.3597103427622697E+18</v>
      </c>
    </row>
    <row r="561" spans="3:7">
      <c r="C561" s="29" t="b">
        <v>0</v>
      </c>
      <c r="D561" s="137">
        <v>20121</v>
      </c>
      <c r="E561" s="136">
        <v>410.25</v>
      </c>
      <c r="F561" s="30">
        <v>0</v>
      </c>
      <c r="G561" s="58">
        <v>1.8635310797123999E+18</v>
      </c>
    </row>
    <row r="562" spans="3:7">
      <c r="C562" s="29" t="b">
        <v>0</v>
      </c>
      <c r="D562" s="137">
        <v>20149</v>
      </c>
      <c r="E562" s="136">
        <v>408.91</v>
      </c>
      <c r="F562" s="30">
        <v>0</v>
      </c>
      <c r="G562" s="58">
        <v>9.8478521077232804E+18</v>
      </c>
    </row>
    <row r="563" spans="3:7">
      <c r="C563" s="29" t="b">
        <v>0</v>
      </c>
      <c r="D563" s="137">
        <v>20180</v>
      </c>
      <c r="E563" s="136">
        <v>422.99</v>
      </c>
      <c r="F563" s="30">
        <v>0</v>
      </c>
      <c r="G563" s="58">
        <v>3.2147331483683901E+18</v>
      </c>
    </row>
    <row r="564" spans="3:7">
      <c r="C564" s="29" t="b">
        <v>0</v>
      </c>
      <c r="D564" s="137">
        <v>20210</v>
      </c>
      <c r="E564" s="136">
        <v>421.55</v>
      </c>
      <c r="F564" s="30">
        <v>0</v>
      </c>
      <c r="G564" s="58">
        <v>1.85717564961171E+18</v>
      </c>
    </row>
    <row r="565" spans="3:7">
      <c r="C565" s="29" t="b">
        <v>0</v>
      </c>
      <c r="D565" s="137">
        <v>20241</v>
      </c>
      <c r="E565" s="136">
        <v>440.79</v>
      </c>
      <c r="F565" s="30">
        <v>0</v>
      </c>
      <c r="G565" s="58">
        <v>7.9157842052832102E+18</v>
      </c>
    </row>
    <row r="566" spans="3:7">
      <c r="C566" s="29" t="b">
        <v>0</v>
      </c>
      <c r="D566" s="137">
        <v>20271</v>
      </c>
      <c r="E566" s="136">
        <v>462.16</v>
      </c>
      <c r="F566" s="30">
        <v>0</v>
      </c>
      <c r="G566" s="58">
        <v>6.8622761171262505E+18</v>
      </c>
    </row>
    <row r="567" spans="3:7">
      <c r="C567" s="29" t="b">
        <v>0</v>
      </c>
      <c r="D567" s="137">
        <v>20302</v>
      </c>
      <c r="E567" s="136">
        <v>457.29</v>
      </c>
      <c r="F567" s="30">
        <v>0</v>
      </c>
      <c r="G567" s="58">
        <v>1.2506848836694401E+19</v>
      </c>
    </row>
    <row r="568" spans="3:7">
      <c r="C568" s="29" t="b">
        <v>0</v>
      </c>
      <c r="D568" s="137">
        <v>20333</v>
      </c>
      <c r="E568" s="136">
        <v>476.43</v>
      </c>
      <c r="F568" s="30">
        <v>0</v>
      </c>
      <c r="G568" s="58">
        <v>1.67274609415174E+19</v>
      </c>
    </row>
    <row r="569" spans="3:7">
      <c r="C569" s="29" t="b">
        <v>0</v>
      </c>
      <c r="D569" s="137">
        <v>20363</v>
      </c>
      <c r="E569" s="136">
        <v>452.65</v>
      </c>
      <c r="F569" s="30">
        <v>0</v>
      </c>
      <c r="G569" s="58">
        <v>1.0372631658431199E+19</v>
      </c>
    </row>
    <row r="570" spans="3:7">
      <c r="C570" s="29" t="b">
        <v>0</v>
      </c>
      <c r="D570" s="137">
        <v>20394</v>
      </c>
      <c r="E570" s="136">
        <v>476.58</v>
      </c>
      <c r="F570" s="30">
        <v>0</v>
      </c>
      <c r="G570" s="58">
        <v>3.8715178177181102E+18</v>
      </c>
    </row>
    <row r="571" spans="3:7">
      <c r="C571" s="29" t="b">
        <v>0</v>
      </c>
      <c r="D571" s="137">
        <v>20424</v>
      </c>
      <c r="E571" s="136">
        <v>484.58</v>
      </c>
      <c r="F571" s="30">
        <v>0</v>
      </c>
      <c r="G571" s="58">
        <v>4.7029910729609103E+18</v>
      </c>
    </row>
    <row r="572" spans="3:7">
      <c r="C572" s="29" t="b">
        <v>0</v>
      </c>
      <c r="D572" s="137">
        <v>20455</v>
      </c>
      <c r="E572" s="136">
        <v>474.75</v>
      </c>
      <c r="F572" s="30">
        <v>0</v>
      </c>
      <c r="G572" s="58">
        <v>1.1326529107937299E+17</v>
      </c>
    </row>
    <row r="573" spans="3:7">
      <c r="C573" s="29" t="b">
        <v>0</v>
      </c>
      <c r="D573" s="137">
        <v>20486</v>
      </c>
      <c r="E573" s="136">
        <v>475.52</v>
      </c>
      <c r="F573" s="30">
        <v>0</v>
      </c>
      <c r="G573" s="58">
        <v>4.1307586471742202E+17</v>
      </c>
    </row>
    <row r="574" spans="3:7">
      <c r="C574" s="29" t="b">
        <v>0</v>
      </c>
      <c r="D574" s="137">
        <v>20515</v>
      </c>
      <c r="E574" s="136">
        <v>502.67</v>
      </c>
      <c r="F574" s="30">
        <v>0</v>
      </c>
      <c r="G574" s="58">
        <v>7.4679965755392799E+18</v>
      </c>
    </row>
    <row r="575" spans="3:7">
      <c r="C575" s="29" t="b">
        <v>0</v>
      </c>
      <c r="D575" s="137">
        <v>20546</v>
      </c>
      <c r="E575" s="136">
        <v>511.04</v>
      </c>
      <c r="F575" s="30">
        <v>0</v>
      </c>
      <c r="G575" s="58">
        <v>3.1583713780629499E+18</v>
      </c>
    </row>
    <row r="576" spans="3:7">
      <c r="C576" s="29" t="b">
        <v>0</v>
      </c>
      <c r="D576" s="137">
        <v>20576</v>
      </c>
      <c r="E576" s="136">
        <v>495.2</v>
      </c>
      <c r="F576" s="30">
        <v>0</v>
      </c>
      <c r="G576" s="58">
        <v>3.4124117303354701E+18</v>
      </c>
    </row>
    <row r="577" spans="3:7">
      <c r="C577" s="29" t="b">
        <v>0</v>
      </c>
      <c r="D577" s="137">
        <v>20607</v>
      </c>
      <c r="E577" s="136">
        <v>485.33</v>
      </c>
      <c r="F577" s="30">
        <v>0</v>
      </c>
      <c r="G577" s="58">
        <v>8.4343184361538202E+18</v>
      </c>
    </row>
    <row r="578" spans="3:7">
      <c r="C578" s="29" t="b">
        <v>0</v>
      </c>
      <c r="D578" s="137">
        <v>20637</v>
      </c>
      <c r="E578" s="136">
        <v>509.76</v>
      </c>
      <c r="F578" s="30">
        <v>0</v>
      </c>
      <c r="G578" s="58">
        <v>1.5701047234058101E+19</v>
      </c>
    </row>
    <row r="579" spans="3:7">
      <c r="C579" s="29" t="b">
        <v>0</v>
      </c>
      <c r="D579" s="137">
        <v>20668</v>
      </c>
      <c r="E579" s="136">
        <v>511.69</v>
      </c>
      <c r="F579" s="30">
        <v>0</v>
      </c>
      <c r="G579" s="58">
        <v>8.0807792401392102E+17</v>
      </c>
    </row>
    <row r="580" spans="3:7">
      <c r="C580" s="29" t="b">
        <v>0</v>
      </c>
      <c r="D580" s="137">
        <v>20699</v>
      </c>
      <c r="E580" s="136">
        <v>495.01</v>
      </c>
      <c r="F580" s="30">
        <v>0</v>
      </c>
      <c r="G580" s="58">
        <v>1.27461285304286E+19</v>
      </c>
    </row>
    <row r="581" spans="3:7">
      <c r="C581" s="29" t="b">
        <v>0</v>
      </c>
      <c r="D581" s="137">
        <v>20729</v>
      </c>
      <c r="E581" s="136">
        <v>483.8</v>
      </c>
      <c r="F581" s="30">
        <v>0</v>
      </c>
      <c r="G581" s="58">
        <v>4.7575124485756805E+18</v>
      </c>
    </row>
    <row r="582" spans="3:7">
      <c r="C582" s="29" t="b">
        <v>0</v>
      </c>
      <c r="D582" s="137">
        <v>20760</v>
      </c>
      <c r="E582" s="136">
        <v>479.34</v>
      </c>
      <c r="F582" s="30">
        <v>0</v>
      </c>
      <c r="G582" s="58">
        <v>7.9129828250578299E+18</v>
      </c>
    </row>
    <row r="583" spans="3:7">
      <c r="C583" s="29" t="b">
        <v>0</v>
      </c>
      <c r="D583" s="137">
        <v>20790</v>
      </c>
      <c r="E583" s="136">
        <v>492.01</v>
      </c>
      <c r="F583" s="30">
        <v>0</v>
      </c>
      <c r="G583" s="58">
        <v>3.58482359348254E+18</v>
      </c>
    </row>
    <row r="584" spans="3:7">
      <c r="C584" s="29" t="b">
        <v>0</v>
      </c>
      <c r="D584" s="137">
        <v>20821</v>
      </c>
      <c r="E584" s="136">
        <v>485.9</v>
      </c>
      <c r="F584" s="30">
        <v>0</v>
      </c>
      <c r="G584" s="58">
        <v>1.7755229698972E+19</v>
      </c>
    </row>
    <row r="585" spans="3:7">
      <c r="C585" s="29" t="b">
        <v>0</v>
      </c>
      <c r="D585" s="137">
        <v>20852</v>
      </c>
      <c r="E585" s="136">
        <v>466.84</v>
      </c>
      <c r="F585" s="30">
        <v>0</v>
      </c>
      <c r="G585" s="58">
        <v>4.78246342979934E+18</v>
      </c>
    </row>
    <row r="586" spans="3:7">
      <c r="C586" s="29" t="b">
        <v>0</v>
      </c>
      <c r="D586" s="137">
        <v>20880</v>
      </c>
      <c r="E586" s="136">
        <v>472.78</v>
      </c>
      <c r="F586" s="30">
        <v>0</v>
      </c>
      <c r="G586" s="58">
        <v>1.6959263486575499E+19</v>
      </c>
    </row>
    <row r="587" spans="3:7">
      <c r="C587" s="29" t="b">
        <v>0</v>
      </c>
      <c r="D587" s="137">
        <v>20911</v>
      </c>
      <c r="E587" s="136">
        <v>485.42</v>
      </c>
      <c r="F587" s="30">
        <v>0</v>
      </c>
      <c r="G587" s="58">
        <v>1.81819177899571E+19</v>
      </c>
    </row>
    <row r="588" spans="3:7">
      <c r="C588" s="29" t="b">
        <v>0</v>
      </c>
      <c r="D588" s="137">
        <v>20941</v>
      </c>
      <c r="E588" s="136">
        <v>500.83</v>
      </c>
      <c r="F588" s="30">
        <v>0</v>
      </c>
      <c r="G588" s="58">
        <v>3.3814740781656202E+18</v>
      </c>
    </row>
    <row r="589" spans="3:7">
      <c r="C589" s="29" t="b">
        <v>0</v>
      </c>
      <c r="D589" s="137">
        <v>20972</v>
      </c>
      <c r="E589" s="136">
        <v>505.27</v>
      </c>
      <c r="F589" s="30">
        <v>0</v>
      </c>
      <c r="G589" s="58">
        <v>1.19582209518289E+19</v>
      </c>
    </row>
    <row r="590" spans="3:7">
      <c r="C590" s="29" t="b">
        <v>0</v>
      </c>
      <c r="D590" s="137">
        <v>21002</v>
      </c>
      <c r="E590" s="136">
        <v>514.64</v>
      </c>
      <c r="F590" s="30">
        <v>0</v>
      </c>
      <c r="G590" s="58">
        <v>6.7567293824034499E+18</v>
      </c>
    </row>
    <row r="591" spans="3:7">
      <c r="C591" s="29" t="b">
        <v>0</v>
      </c>
      <c r="D591" s="137">
        <v>21033</v>
      </c>
      <c r="E591" s="136">
        <v>487.97</v>
      </c>
      <c r="F591" s="30">
        <v>0</v>
      </c>
      <c r="G591" s="58">
        <v>1.52285245634136E+19</v>
      </c>
    </row>
    <row r="592" spans="3:7">
      <c r="C592" s="29" t="b">
        <v>0</v>
      </c>
      <c r="D592" s="137">
        <v>21064</v>
      </c>
      <c r="E592" s="136">
        <v>471.79</v>
      </c>
      <c r="F592" s="30">
        <v>0</v>
      </c>
      <c r="G592" s="58">
        <v>7.2639986346230395E+18</v>
      </c>
    </row>
    <row r="593" spans="3:7">
      <c r="C593" s="29" t="b">
        <v>0</v>
      </c>
      <c r="D593" s="137">
        <v>21094</v>
      </c>
      <c r="E593" s="136">
        <v>443.38</v>
      </c>
      <c r="F593" s="30">
        <v>0</v>
      </c>
      <c r="G593" s="58">
        <v>6.8463864672584499E+18</v>
      </c>
    </row>
    <row r="594" spans="3:7">
      <c r="C594" s="29" t="b">
        <v>0</v>
      </c>
      <c r="D594" s="137">
        <v>21125</v>
      </c>
      <c r="E594" s="136">
        <v>436.73</v>
      </c>
      <c r="F594" s="30">
        <v>0</v>
      </c>
      <c r="G594" s="58">
        <v>1.43873904374E+18</v>
      </c>
    </row>
    <row r="595" spans="3:7">
      <c r="C595" s="29" t="b">
        <v>0</v>
      </c>
      <c r="D595" s="137">
        <v>21155</v>
      </c>
      <c r="E595" s="136">
        <v>436.94</v>
      </c>
      <c r="F595" s="30">
        <v>0</v>
      </c>
      <c r="G595" s="58">
        <v>4.3582995102339E+18</v>
      </c>
    </row>
    <row r="596" spans="3:7">
      <c r="C596" s="29" t="b">
        <v>0</v>
      </c>
      <c r="D596" s="137">
        <v>21186</v>
      </c>
      <c r="E596" s="136">
        <v>445.68</v>
      </c>
      <c r="F596" s="30">
        <v>0</v>
      </c>
      <c r="G596" s="58">
        <v>3.1353229074677101E+17</v>
      </c>
    </row>
    <row r="597" spans="3:7">
      <c r="C597" s="29" t="b">
        <v>0</v>
      </c>
      <c r="D597" s="137">
        <v>21217</v>
      </c>
      <c r="E597" s="136">
        <v>444.16</v>
      </c>
      <c r="F597" s="30">
        <v>0</v>
      </c>
      <c r="G597" s="58">
        <v>6.03843548019379E+18</v>
      </c>
    </row>
    <row r="598" spans="3:7">
      <c r="C598" s="29" t="b">
        <v>0</v>
      </c>
      <c r="D598" s="137">
        <v>21245</v>
      </c>
      <c r="E598" s="136">
        <v>450.14</v>
      </c>
      <c r="F598" s="30">
        <v>0</v>
      </c>
      <c r="G598" s="58">
        <v>6.1090970831392102E+18</v>
      </c>
    </row>
    <row r="599" spans="3:7">
      <c r="C599" s="29" t="b">
        <v>0</v>
      </c>
      <c r="D599" s="137">
        <v>21276</v>
      </c>
      <c r="E599" s="136">
        <v>446.9</v>
      </c>
      <c r="F599" s="30">
        <v>0</v>
      </c>
      <c r="G599" s="58">
        <v>7.6300107286213898E+18</v>
      </c>
    </row>
    <row r="600" spans="3:7">
      <c r="C600" s="29" t="b">
        <v>0</v>
      </c>
      <c r="D600" s="137">
        <v>21306</v>
      </c>
      <c r="E600" s="136">
        <v>460.04</v>
      </c>
      <c r="F600" s="30">
        <v>0</v>
      </c>
      <c r="G600" s="58">
        <v>4.4929343664398602E+18</v>
      </c>
    </row>
    <row r="601" spans="3:7">
      <c r="C601" s="29" t="b">
        <v>0</v>
      </c>
      <c r="D601" s="137">
        <v>21337</v>
      </c>
      <c r="E601" s="136">
        <v>471.97</v>
      </c>
      <c r="F601" s="30">
        <v>0</v>
      </c>
      <c r="G601" s="58">
        <v>1.70287271244485E+19</v>
      </c>
    </row>
    <row r="602" spans="3:7">
      <c r="C602" s="29" t="b">
        <v>0</v>
      </c>
      <c r="D602" s="137">
        <v>21367</v>
      </c>
      <c r="E602" s="136">
        <v>488.27</v>
      </c>
      <c r="F602" s="30">
        <v>0</v>
      </c>
      <c r="G602" s="58">
        <v>5.3512371622623304E+18</v>
      </c>
    </row>
    <row r="603" spans="3:7">
      <c r="C603" s="29" t="b">
        <v>0</v>
      </c>
      <c r="D603" s="137">
        <v>21398</v>
      </c>
      <c r="E603" s="136">
        <v>507.55</v>
      </c>
      <c r="F603" s="30">
        <v>0</v>
      </c>
      <c r="G603" s="58">
        <v>1.11207708689769E+19</v>
      </c>
    </row>
    <row r="604" spans="3:7">
      <c r="C604" s="29" t="b">
        <v>0</v>
      </c>
      <c r="D604" s="137">
        <v>21429</v>
      </c>
      <c r="E604" s="136">
        <v>521.82000000000005</v>
      </c>
      <c r="F604" s="30">
        <v>0</v>
      </c>
      <c r="G604" s="58">
        <v>2.7713391237074698E+18</v>
      </c>
    </row>
    <row r="605" spans="3:7">
      <c r="C605" s="29" t="b">
        <v>0</v>
      </c>
      <c r="D605" s="137">
        <v>21459</v>
      </c>
      <c r="E605" s="136">
        <v>539.85</v>
      </c>
      <c r="F605" s="30">
        <v>0</v>
      </c>
      <c r="G605" s="58">
        <v>5.0179364514095196E+18</v>
      </c>
    </row>
    <row r="606" spans="3:7">
      <c r="C606" s="29" t="b">
        <v>0</v>
      </c>
      <c r="D606" s="137">
        <v>21490</v>
      </c>
      <c r="E606" s="136">
        <v>557.1</v>
      </c>
      <c r="F606" s="30">
        <v>0</v>
      </c>
      <c r="G606" s="58">
        <v>1.3947426739975801E+19</v>
      </c>
    </row>
    <row r="607" spans="3:7">
      <c r="C607" s="29" t="b">
        <v>0</v>
      </c>
      <c r="D607" s="137">
        <v>21520</v>
      </c>
      <c r="E607" s="136">
        <v>566.42999999999995</v>
      </c>
      <c r="F607" s="30">
        <v>0</v>
      </c>
      <c r="G607" s="58">
        <v>1.4370903805844799E+19</v>
      </c>
    </row>
    <row r="608" spans="3:7">
      <c r="C608" s="29" t="b">
        <v>0</v>
      </c>
      <c r="D608" s="137">
        <v>21551</v>
      </c>
      <c r="E608" s="136">
        <v>592.29</v>
      </c>
      <c r="F608" s="30">
        <v>0</v>
      </c>
      <c r="G608" s="58">
        <v>6.24716610045171E+18</v>
      </c>
    </row>
    <row r="609" spans="3:7">
      <c r="C609" s="29" t="b">
        <v>0</v>
      </c>
      <c r="D609" s="137">
        <v>21582</v>
      </c>
      <c r="E609" s="136">
        <v>590.72</v>
      </c>
      <c r="F609" s="30">
        <v>0</v>
      </c>
      <c r="G609" s="58">
        <v>1.3254600678560699E+18</v>
      </c>
    </row>
    <row r="610" spans="3:7">
      <c r="C610" s="29" t="b">
        <v>0</v>
      </c>
      <c r="D610" s="137">
        <v>21610</v>
      </c>
      <c r="E610" s="136">
        <v>609.12</v>
      </c>
      <c r="F610" s="30">
        <v>0</v>
      </c>
      <c r="G610" s="58">
        <v>7.1885168270681498E+18</v>
      </c>
    </row>
    <row r="611" spans="3:7">
      <c r="C611" s="29" t="b">
        <v>0</v>
      </c>
      <c r="D611" s="137">
        <v>21641</v>
      </c>
      <c r="E611" s="136">
        <v>616.99</v>
      </c>
      <c r="F611" s="30">
        <v>0</v>
      </c>
      <c r="G611" s="58">
        <v>3.1582017686328699E+18</v>
      </c>
    </row>
    <row r="612" spans="3:7">
      <c r="C612" s="29" t="b">
        <v>0</v>
      </c>
      <c r="D612" s="137">
        <v>21671</v>
      </c>
      <c r="E612" s="136">
        <v>630.79999999999995</v>
      </c>
      <c r="F612" s="30">
        <v>0</v>
      </c>
      <c r="G612" s="58">
        <v>1.8000770237499601E+19</v>
      </c>
    </row>
    <row r="613" spans="3:7">
      <c r="C613" s="29" t="b">
        <v>0</v>
      </c>
      <c r="D613" s="137">
        <v>21702</v>
      </c>
      <c r="E613" s="136">
        <v>631.51</v>
      </c>
      <c r="F613" s="30">
        <v>0</v>
      </c>
      <c r="G613" s="58">
        <v>4.4751402349053998E+18</v>
      </c>
    </row>
    <row r="614" spans="3:7">
      <c r="C614" s="29" t="b">
        <v>0</v>
      </c>
      <c r="D614" s="137">
        <v>21732</v>
      </c>
      <c r="E614" s="136">
        <v>662.81</v>
      </c>
      <c r="F614" s="30">
        <v>0</v>
      </c>
      <c r="G614" s="58">
        <v>1.0580845598997299E+19</v>
      </c>
    </row>
    <row r="615" spans="3:7">
      <c r="C615" s="29" t="b">
        <v>0</v>
      </c>
      <c r="D615" s="137">
        <v>21763</v>
      </c>
      <c r="E615" s="136">
        <v>660.58</v>
      </c>
      <c r="F615" s="30">
        <v>0</v>
      </c>
      <c r="G615" s="58">
        <v>1.7377234500990401E+19</v>
      </c>
    </row>
    <row r="616" spans="3:7">
      <c r="C616" s="29" t="b">
        <v>0</v>
      </c>
      <c r="D616" s="137">
        <v>21794</v>
      </c>
      <c r="E616" s="136">
        <v>635.47</v>
      </c>
      <c r="F616" s="30">
        <v>0</v>
      </c>
      <c r="G616" s="58">
        <v>5.6690920271303598E+18</v>
      </c>
    </row>
    <row r="617" spans="3:7">
      <c r="C617" s="29" t="b">
        <v>0</v>
      </c>
      <c r="D617" s="137">
        <v>21824</v>
      </c>
      <c r="E617" s="136">
        <v>637.34</v>
      </c>
      <c r="F617" s="30">
        <v>0</v>
      </c>
      <c r="G617" s="58">
        <v>1.09668676461191E+19</v>
      </c>
    </row>
    <row r="618" spans="3:7">
      <c r="C618" s="29" t="b">
        <v>0</v>
      </c>
      <c r="D618" s="137">
        <v>21855</v>
      </c>
      <c r="E618" s="136">
        <v>646.42999999999995</v>
      </c>
      <c r="F618" s="30">
        <v>0</v>
      </c>
      <c r="G618" s="58">
        <v>4.1496855697096202E+18</v>
      </c>
    </row>
    <row r="619" spans="3:7">
      <c r="C619" s="29" t="b">
        <v>0</v>
      </c>
      <c r="D619" s="137">
        <v>21885</v>
      </c>
      <c r="E619" s="136">
        <v>671.35</v>
      </c>
      <c r="F619" s="30">
        <v>0</v>
      </c>
      <c r="G619" s="58">
        <v>1.74336877906666E+19</v>
      </c>
    </row>
    <row r="620" spans="3:7">
      <c r="C620" s="29" t="b">
        <v>0</v>
      </c>
      <c r="D620" s="137">
        <v>21916</v>
      </c>
      <c r="E620" s="136">
        <v>665.39</v>
      </c>
      <c r="F620" s="30">
        <v>0</v>
      </c>
      <c r="G620" s="58">
        <v>1.4197558427019399E+19</v>
      </c>
    </row>
    <row r="621" spans="3:7">
      <c r="C621" s="29" t="b">
        <v>0</v>
      </c>
      <c r="D621" s="137">
        <v>21947</v>
      </c>
      <c r="E621" s="136">
        <v>624.88</v>
      </c>
      <c r="F621" s="30">
        <v>0</v>
      </c>
      <c r="G621" s="58">
        <v>1.7604256805795701E+19</v>
      </c>
    </row>
    <row r="622" spans="3:7">
      <c r="C622" s="29" t="b">
        <v>0</v>
      </c>
      <c r="D622" s="137">
        <v>21976</v>
      </c>
      <c r="E622" s="136">
        <v>614.70000000000005</v>
      </c>
      <c r="F622" s="30">
        <v>0</v>
      </c>
      <c r="G622" s="58">
        <v>2.4786394290085601E+18</v>
      </c>
    </row>
    <row r="623" spans="3:7">
      <c r="C623" s="29" t="b">
        <v>0</v>
      </c>
      <c r="D623" s="137">
        <v>22007</v>
      </c>
      <c r="E623" s="136">
        <v>619.98</v>
      </c>
      <c r="F623" s="30">
        <v>0</v>
      </c>
      <c r="G623" s="58">
        <v>2.46973350050253E+18</v>
      </c>
    </row>
    <row r="624" spans="3:7">
      <c r="C624" s="29" t="b">
        <v>0</v>
      </c>
      <c r="D624" s="137">
        <v>22037</v>
      </c>
      <c r="E624" s="136">
        <v>615.64</v>
      </c>
      <c r="F624" s="30">
        <v>0</v>
      </c>
      <c r="G624" s="58">
        <v>1.4768318231170099E+18</v>
      </c>
    </row>
    <row r="625" spans="3:7">
      <c r="C625" s="29" t="b">
        <v>0</v>
      </c>
      <c r="D625" s="137">
        <v>22068</v>
      </c>
      <c r="E625" s="136">
        <v>644.38</v>
      </c>
      <c r="F625" s="30">
        <v>0</v>
      </c>
      <c r="G625" s="58">
        <v>1.0674357220952101E+19</v>
      </c>
    </row>
    <row r="626" spans="3:7">
      <c r="C626" s="29" t="b">
        <v>0</v>
      </c>
      <c r="D626" s="137">
        <v>22098</v>
      </c>
      <c r="E626" s="136">
        <v>625.83000000000004</v>
      </c>
      <c r="F626" s="30">
        <v>0</v>
      </c>
      <c r="G626" s="58">
        <v>1.15682146315386E+19</v>
      </c>
    </row>
    <row r="627" spans="3:7">
      <c r="C627" s="29" t="b">
        <v>0</v>
      </c>
      <c r="D627" s="137">
        <v>22129</v>
      </c>
      <c r="E627" s="136">
        <v>624.47</v>
      </c>
      <c r="F627" s="30">
        <v>0</v>
      </c>
      <c r="G627" s="58">
        <v>1.2952716497954601E+18</v>
      </c>
    </row>
    <row r="628" spans="3:7">
      <c r="C628" s="29" t="b">
        <v>0</v>
      </c>
      <c r="D628" s="137">
        <v>22160</v>
      </c>
      <c r="E628" s="136">
        <v>598.1</v>
      </c>
      <c r="F628" s="30">
        <v>0</v>
      </c>
      <c r="G628" s="58">
        <v>2.8395038026231199E+18</v>
      </c>
    </row>
    <row r="629" spans="3:7">
      <c r="C629" s="29" t="b">
        <v>0</v>
      </c>
      <c r="D629" s="137">
        <v>22190</v>
      </c>
      <c r="E629" s="136">
        <v>582.45000000000005</v>
      </c>
      <c r="F629" s="30">
        <v>0</v>
      </c>
      <c r="G629" s="58">
        <v>5.28261383020992E+18</v>
      </c>
    </row>
    <row r="630" spans="3:7">
      <c r="C630" s="29" t="b">
        <v>0</v>
      </c>
      <c r="D630" s="137">
        <v>22221</v>
      </c>
      <c r="E630" s="136">
        <v>601.14</v>
      </c>
      <c r="F630" s="30">
        <v>0</v>
      </c>
      <c r="G630" s="58">
        <v>2.32492007583038E+18</v>
      </c>
    </row>
    <row r="631" spans="3:7">
      <c r="C631" s="29" t="b">
        <v>0</v>
      </c>
      <c r="D631" s="137">
        <v>22251</v>
      </c>
      <c r="E631" s="136">
        <v>609.54</v>
      </c>
      <c r="F631" s="30">
        <v>0</v>
      </c>
      <c r="G631" s="58">
        <v>1.842988531349E+19</v>
      </c>
    </row>
    <row r="632" spans="3:7">
      <c r="C632" s="29" t="b">
        <v>0</v>
      </c>
      <c r="D632" s="137">
        <v>22282</v>
      </c>
      <c r="E632" s="136">
        <v>632.20000000000005</v>
      </c>
      <c r="F632" s="30">
        <v>0</v>
      </c>
      <c r="G632" s="58">
        <v>4.79535087385886E+18</v>
      </c>
    </row>
    <row r="633" spans="3:7">
      <c r="C633" s="29" t="b">
        <v>0</v>
      </c>
      <c r="D633" s="137">
        <v>22313</v>
      </c>
      <c r="E633" s="136">
        <v>650.01</v>
      </c>
      <c r="F633" s="30">
        <v>0</v>
      </c>
      <c r="G633" s="58">
        <v>5.0503291390595195E+18</v>
      </c>
    </row>
    <row r="634" spans="3:7">
      <c r="C634" s="29" t="b">
        <v>0</v>
      </c>
      <c r="D634" s="137">
        <v>22341</v>
      </c>
      <c r="E634" s="136">
        <v>670.56</v>
      </c>
      <c r="F634" s="30">
        <v>0</v>
      </c>
      <c r="G634" s="58">
        <v>1.3414764346353601E+19</v>
      </c>
    </row>
    <row r="635" spans="3:7">
      <c r="C635" s="29" t="b">
        <v>0</v>
      </c>
      <c r="D635" s="137">
        <v>22372</v>
      </c>
      <c r="E635" s="136">
        <v>684.9</v>
      </c>
      <c r="F635" s="30">
        <v>0</v>
      </c>
      <c r="G635" s="58">
        <v>1.71323374875409E+18</v>
      </c>
    </row>
    <row r="636" spans="3:7">
      <c r="C636" s="29" t="b">
        <v>0</v>
      </c>
      <c r="D636" s="137">
        <v>22402</v>
      </c>
      <c r="E636" s="136">
        <v>693.03</v>
      </c>
      <c r="F636" s="30">
        <v>0</v>
      </c>
      <c r="G636" s="58">
        <v>1.13228167867258E+19</v>
      </c>
    </row>
    <row r="637" spans="3:7">
      <c r="C637" s="29" t="b">
        <v>0</v>
      </c>
      <c r="D637" s="137">
        <v>22433</v>
      </c>
      <c r="E637" s="136">
        <v>691.44</v>
      </c>
      <c r="F637" s="30">
        <v>0</v>
      </c>
      <c r="G637" s="58">
        <v>1.6704905039852599E+19</v>
      </c>
    </row>
    <row r="638" spans="3:7">
      <c r="C638" s="29" t="b">
        <v>0</v>
      </c>
      <c r="D638" s="137">
        <v>22463</v>
      </c>
      <c r="E638" s="136">
        <v>690.66</v>
      </c>
      <c r="F638" s="30">
        <v>0</v>
      </c>
      <c r="G638" s="58">
        <v>1.8085489068334899E+19</v>
      </c>
    </row>
    <row r="639" spans="3:7">
      <c r="C639" s="29" t="b">
        <v>0</v>
      </c>
      <c r="D639" s="137">
        <v>22494</v>
      </c>
      <c r="E639" s="136">
        <v>718.64</v>
      </c>
      <c r="F639" s="30">
        <v>0</v>
      </c>
      <c r="G639" s="58">
        <v>8.5449745148165197E+17</v>
      </c>
    </row>
    <row r="640" spans="3:7">
      <c r="C640" s="29" t="b">
        <v>0</v>
      </c>
      <c r="D640" s="137">
        <v>22525</v>
      </c>
      <c r="E640" s="136">
        <v>711.02</v>
      </c>
      <c r="F640" s="30">
        <v>0</v>
      </c>
      <c r="G640" s="58">
        <v>8.2780080780465295E+18</v>
      </c>
    </row>
    <row r="641" spans="3:7">
      <c r="C641" s="29" t="b">
        <v>0</v>
      </c>
      <c r="D641" s="137">
        <v>22555</v>
      </c>
      <c r="E641" s="136">
        <v>703.01</v>
      </c>
      <c r="F641" s="30">
        <v>0</v>
      </c>
      <c r="G641" s="58">
        <v>1.3848737991487799E+19</v>
      </c>
    </row>
    <row r="642" spans="3:7">
      <c r="C642" s="29" t="b">
        <v>0</v>
      </c>
      <c r="D642" s="137">
        <v>22586</v>
      </c>
      <c r="E642" s="136">
        <v>724.74</v>
      </c>
      <c r="F642" s="30">
        <v>0</v>
      </c>
      <c r="G642" s="58">
        <v>1.1718319511661199E+19</v>
      </c>
    </row>
    <row r="643" spans="3:7">
      <c r="C643" s="29" t="b">
        <v>0</v>
      </c>
      <c r="D643" s="137">
        <v>22616</v>
      </c>
      <c r="E643" s="136">
        <v>728.44</v>
      </c>
      <c r="F643" s="30">
        <v>0</v>
      </c>
      <c r="G643" s="58">
        <v>1.42918360646451E+19</v>
      </c>
    </row>
    <row r="644" spans="3:7">
      <c r="C644" s="29" t="b">
        <v>0</v>
      </c>
      <c r="D644" s="137">
        <v>22647</v>
      </c>
      <c r="E644" s="136">
        <v>705.16</v>
      </c>
      <c r="F644" s="30">
        <v>0</v>
      </c>
      <c r="G644" s="58">
        <v>1.0186489553024E+19</v>
      </c>
    </row>
    <row r="645" spans="3:7">
      <c r="C645" s="29" t="b">
        <v>0</v>
      </c>
      <c r="D645" s="137">
        <v>22678</v>
      </c>
      <c r="E645" s="136">
        <v>711.95</v>
      </c>
      <c r="F645" s="30">
        <v>0</v>
      </c>
      <c r="G645" s="58">
        <v>4.41410056583471E+18</v>
      </c>
    </row>
    <row r="646" spans="3:7">
      <c r="C646" s="29" t="b">
        <v>0</v>
      </c>
      <c r="D646" s="137">
        <v>22706</v>
      </c>
      <c r="E646" s="136">
        <v>714.21</v>
      </c>
      <c r="F646" s="30">
        <v>0</v>
      </c>
      <c r="G646" s="58">
        <v>1.67710058936321E+19</v>
      </c>
    </row>
    <row r="647" spans="3:7">
      <c r="C647" s="29" t="b">
        <v>0</v>
      </c>
      <c r="D647" s="137">
        <v>22737</v>
      </c>
      <c r="E647" s="136">
        <v>690.28</v>
      </c>
      <c r="F647" s="30">
        <v>0</v>
      </c>
      <c r="G647" s="58">
        <v>1.1641853328456901E+19</v>
      </c>
    </row>
    <row r="648" spans="3:7">
      <c r="C648" s="29" t="b">
        <v>0</v>
      </c>
      <c r="D648" s="137">
        <v>22767</v>
      </c>
      <c r="E648" s="136">
        <v>643.71</v>
      </c>
      <c r="F648" s="30">
        <v>0</v>
      </c>
      <c r="G648" s="58">
        <v>2.81702629272766E+18</v>
      </c>
    </row>
    <row r="649" spans="3:7">
      <c r="C649" s="29" t="b">
        <v>0</v>
      </c>
      <c r="D649" s="137">
        <v>22798</v>
      </c>
      <c r="E649" s="136">
        <v>572.64</v>
      </c>
      <c r="F649" s="30">
        <v>0</v>
      </c>
      <c r="G649" s="58">
        <v>6.3138992029900595E+18</v>
      </c>
    </row>
    <row r="650" spans="3:7">
      <c r="C650" s="29" t="b">
        <v>0</v>
      </c>
      <c r="D650" s="137">
        <v>22828</v>
      </c>
      <c r="E650" s="136">
        <v>581.78</v>
      </c>
      <c r="F650" s="30">
        <v>0</v>
      </c>
      <c r="G650" s="58">
        <v>2.9694659190622198E+18</v>
      </c>
    </row>
    <row r="651" spans="3:7">
      <c r="C651" s="29" t="b">
        <v>0</v>
      </c>
      <c r="D651" s="137">
        <v>22859</v>
      </c>
      <c r="E651" s="136">
        <v>602.51</v>
      </c>
      <c r="F651" s="30">
        <v>0</v>
      </c>
      <c r="G651" s="58">
        <v>7.2135872497254902E+18</v>
      </c>
    </row>
    <row r="652" spans="3:7">
      <c r="C652" s="29" t="b">
        <v>0</v>
      </c>
      <c r="D652" s="137">
        <v>22890</v>
      </c>
      <c r="E652" s="136">
        <v>597.02</v>
      </c>
      <c r="F652" s="30">
        <v>0</v>
      </c>
      <c r="G652" s="58">
        <v>9.651418527145599E+18</v>
      </c>
    </row>
    <row r="653" spans="3:7">
      <c r="C653" s="29" t="b">
        <v>0</v>
      </c>
      <c r="D653" s="137">
        <v>22920</v>
      </c>
      <c r="E653" s="136">
        <v>580.65</v>
      </c>
      <c r="F653" s="30">
        <v>0</v>
      </c>
      <c r="G653" s="58">
        <v>4.7403171017987799E+18</v>
      </c>
    </row>
    <row r="654" spans="3:7">
      <c r="C654" s="29" t="b">
        <v>0</v>
      </c>
      <c r="D654" s="137">
        <v>22951</v>
      </c>
      <c r="E654" s="136">
        <v>628.82000000000005</v>
      </c>
      <c r="F654" s="30">
        <v>0</v>
      </c>
      <c r="G654" s="58">
        <v>2.4898968096177398E+18</v>
      </c>
    </row>
    <row r="655" spans="3:7">
      <c r="C655" s="29" t="b">
        <v>0</v>
      </c>
      <c r="D655" s="137">
        <v>22981</v>
      </c>
      <c r="E655" s="136">
        <v>648.38</v>
      </c>
      <c r="F655" s="30">
        <v>0</v>
      </c>
      <c r="G655" s="58">
        <v>1.0899640494120401E+19</v>
      </c>
    </row>
    <row r="656" spans="3:7">
      <c r="C656" s="29" t="b">
        <v>0</v>
      </c>
      <c r="D656" s="137">
        <v>23012</v>
      </c>
      <c r="E656" s="136">
        <v>672.1</v>
      </c>
      <c r="F656" s="30">
        <v>0</v>
      </c>
      <c r="G656" s="58">
        <v>6.9972708908247101E+18</v>
      </c>
    </row>
    <row r="657" spans="3:7">
      <c r="C657" s="29" t="b">
        <v>0</v>
      </c>
      <c r="D657" s="137">
        <v>23043</v>
      </c>
      <c r="E657" s="136">
        <v>679.75</v>
      </c>
      <c r="F657" s="30">
        <v>0</v>
      </c>
      <c r="G657" s="58">
        <v>2.5626242423954499E+17</v>
      </c>
    </row>
    <row r="658" spans="3:7">
      <c r="C658" s="29" t="b">
        <v>0</v>
      </c>
      <c r="D658" s="137">
        <v>23071</v>
      </c>
      <c r="E658" s="136">
        <v>674.63</v>
      </c>
      <c r="F658" s="30">
        <v>0</v>
      </c>
      <c r="G658" s="58">
        <v>2.4263274184611599E+18</v>
      </c>
    </row>
    <row r="659" spans="3:7">
      <c r="C659" s="29" t="b">
        <v>0</v>
      </c>
      <c r="D659" s="137">
        <v>23102</v>
      </c>
      <c r="E659" s="136">
        <v>707.12</v>
      </c>
      <c r="F659" s="30">
        <v>0</v>
      </c>
      <c r="G659" s="58">
        <v>2.4126610288758298E+18</v>
      </c>
    </row>
    <row r="660" spans="3:7">
      <c r="C660" s="29" t="b">
        <v>0</v>
      </c>
      <c r="D660" s="137">
        <v>23132</v>
      </c>
      <c r="E660" s="136">
        <v>720.84</v>
      </c>
      <c r="F660" s="30">
        <v>0</v>
      </c>
      <c r="G660" s="58">
        <v>3.3500256868400302E+18</v>
      </c>
    </row>
    <row r="661" spans="3:7">
      <c r="C661" s="29" t="b">
        <v>0</v>
      </c>
      <c r="D661" s="137">
        <v>23163</v>
      </c>
      <c r="E661" s="136">
        <v>719.14</v>
      </c>
      <c r="F661" s="30">
        <v>0</v>
      </c>
      <c r="G661" s="58">
        <v>1.0861133228757101E+19</v>
      </c>
    </row>
    <row r="662" spans="3:7">
      <c r="C662" s="29" t="b">
        <v>0</v>
      </c>
      <c r="D662" s="137">
        <v>23193</v>
      </c>
      <c r="E662" s="136">
        <v>700.75</v>
      </c>
      <c r="F662" s="30">
        <v>0</v>
      </c>
      <c r="G662" s="58">
        <v>1.49875049374244E+19</v>
      </c>
    </row>
    <row r="663" spans="3:7">
      <c r="C663" s="29" t="b">
        <v>0</v>
      </c>
      <c r="D663" s="137">
        <v>23224</v>
      </c>
      <c r="E663" s="136">
        <v>714.15</v>
      </c>
      <c r="F663" s="30">
        <v>0</v>
      </c>
      <c r="G663" s="58">
        <v>4.9458681720569098E+18</v>
      </c>
    </row>
    <row r="664" spans="3:7">
      <c r="C664" s="29" t="b">
        <v>0</v>
      </c>
      <c r="D664" s="137">
        <v>23255</v>
      </c>
      <c r="E664" s="136">
        <v>738.52</v>
      </c>
      <c r="F664" s="30">
        <v>0</v>
      </c>
      <c r="G664" s="58">
        <v>1.81117214885736E+19</v>
      </c>
    </row>
    <row r="665" spans="3:7">
      <c r="C665" s="29" t="b">
        <v>0</v>
      </c>
      <c r="D665" s="137">
        <v>23285</v>
      </c>
      <c r="E665" s="136">
        <v>747.52</v>
      </c>
      <c r="F665" s="30">
        <v>0</v>
      </c>
      <c r="G665" s="58">
        <v>1.34119074579909E+19</v>
      </c>
    </row>
    <row r="666" spans="3:7">
      <c r="C666" s="29" t="b">
        <v>0</v>
      </c>
      <c r="D666" s="137">
        <v>23316</v>
      </c>
      <c r="E666" s="136">
        <v>743.24</v>
      </c>
      <c r="F666" s="30">
        <v>0</v>
      </c>
      <c r="G666" s="58">
        <v>1.9575494483540198E+17</v>
      </c>
    </row>
    <row r="667" spans="3:7">
      <c r="C667" s="29" t="b">
        <v>0</v>
      </c>
      <c r="D667" s="137">
        <v>23346</v>
      </c>
      <c r="E667" s="136">
        <v>759.94</v>
      </c>
      <c r="F667" s="30">
        <v>0</v>
      </c>
      <c r="G667" s="58">
        <v>2.13590827192141E+18</v>
      </c>
    </row>
    <row r="668" spans="3:7">
      <c r="C668" s="29" t="b">
        <v>0</v>
      </c>
      <c r="D668" s="137">
        <v>23377</v>
      </c>
      <c r="E668" s="136">
        <v>776.62</v>
      </c>
      <c r="F668" s="30">
        <v>0</v>
      </c>
      <c r="G668" s="58">
        <v>2.3641708911065702E+18</v>
      </c>
    </row>
    <row r="669" spans="3:7">
      <c r="C669" s="29" t="b">
        <v>0</v>
      </c>
      <c r="D669" s="137">
        <v>23408</v>
      </c>
      <c r="E669" s="136">
        <v>793.03</v>
      </c>
      <c r="F669" s="30">
        <v>0</v>
      </c>
      <c r="G669" s="58">
        <v>1.3884999728968401E+19</v>
      </c>
    </row>
    <row r="670" spans="3:7">
      <c r="C670" s="29" t="b">
        <v>0</v>
      </c>
      <c r="D670" s="137">
        <v>23437</v>
      </c>
      <c r="E670" s="136">
        <v>812.18</v>
      </c>
      <c r="F670" s="30">
        <v>0</v>
      </c>
      <c r="G670" s="58">
        <v>1.2394359233405499E+19</v>
      </c>
    </row>
    <row r="671" spans="3:7">
      <c r="C671" s="29" t="b">
        <v>0</v>
      </c>
      <c r="D671" s="137">
        <v>23468</v>
      </c>
      <c r="E671" s="136">
        <v>820.94</v>
      </c>
      <c r="F671" s="30">
        <v>0</v>
      </c>
      <c r="G671" s="58">
        <v>1.05979651957945E+19</v>
      </c>
    </row>
    <row r="672" spans="3:7">
      <c r="C672" s="29" t="b">
        <v>0</v>
      </c>
      <c r="D672" s="137">
        <v>23498</v>
      </c>
      <c r="E672" s="136">
        <v>823.12</v>
      </c>
      <c r="F672" s="30">
        <v>0</v>
      </c>
      <c r="G672" s="58">
        <v>1.0024697598948E+19</v>
      </c>
    </row>
    <row r="673" spans="3:7">
      <c r="C673" s="29" t="b">
        <v>0</v>
      </c>
      <c r="D673" s="137">
        <v>23529</v>
      </c>
      <c r="E673" s="136">
        <v>817.63</v>
      </c>
      <c r="F673" s="30">
        <v>0</v>
      </c>
      <c r="G673" s="58">
        <v>3.5087553970944998E+18</v>
      </c>
    </row>
    <row r="674" spans="3:7">
      <c r="C674" s="29" t="b">
        <v>0</v>
      </c>
      <c r="D674" s="137">
        <v>23559</v>
      </c>
      <c r="E674" s="136">
        <v>844.24</v>
      </c>
      <c r="F674" s="30">
        <v>0</v>
      </c>
      <c r="G674" s="58">
        <v>6.8785576654016901E+18</v>
      </c>
    </row>
    <row r="675" spans="3:7">
      <c r="C675" s="29" t="b">
        <v>0</v>
      </c>
      <c r="D675" s="137">
        <v>23590</v>
      </c>
      <c r="E675" s="136">
        <v>835.3</v>
      </c>
      <c r="F675" s="30">
        <v>0</v>
      </c>
      <c r="G675" s="58">
        <v>1.1542484909303599E+19</v>
      </c>
    </row>
    <row r="676" spans="3:7">
      <c r="C676" s="29" t="b">
        <v>0</v>
      </c>
      <c r="D676" s="137">
        <v>23621</v>
      </c>
      <c r="E676" s="136">
        <v>863.55</v>
      </c>
      <c r="F676" s="30">
        <v>0</v>
      </c>
      <c r="G676" s="58">
        <v>8.2518791755120701E+18</v>
      </c>
    </row>
    <row r="677" spans="3:7">
      <c r="C677" s="29" t="b">
        <v>0</v>
      </c>
      <c r="D677" s="137">
        <v>23651</v>
      </c>
      <c r="E677" s="136">
        <v>875.26</v>
      </c>
      <c r="F677" s="30">
        <v>0</v>
      </c>
      <c r="G677" s="58">
        <v>7.0991046383723602E+18</v>
      </c>
    </row>
    <row r="678" spans="3:7">
      <c r="C678" s="29" t="b">
        <v>0</v>
      </c>
      <c r="D678" s="137">
        <v>23682</v>
      </c>
      <c r="E678" s="136">
        <v>880.04</v>
      </c>
      <c r="F678" s="30">
        <v>0</v>
      </c>
      <c r="G678" s="58">
        <v>6.3654675831036897E+18</v>
      </c>
    </row>
    <row r="679" spans="3:7">
      <c r="C679" s="29" t="b">
        <v>0</v>
      </c>
      <c r="D679" s="137">
        <v>23712</v>
      </c>
      <c r="E679" s="136">
        <v>866.73</v>
      </c>
      <c r="F679" s="30">
        <v>0</v>
      </c>
      <c r="G679" s="58">
        <v>1.16891064920543E+18</v>
      </c>
    </row>
    <row r="680" spans="3:7">
      <c r="C680" s="29" t="b">
        <v>0</v>
      </c>
      <c r="D680" s="137">
        <v>23743</v>
      </c>
      <c r="E680" s="136">
        <v>889.89</v>
      </c>
      <c r="F680" s="30">
        <v>0</v>
      </c>
      <c r="G680" s="58">
        <v>1.66982071765399E+19</v>
      </c>
    </row>
    <row r="681" spans="3:7">
      <c r="C681" s="29" t="b">
        <v>0</v>
      </c>
      <c r="D681" s="137">
        <v>23774</v>
      </c>
      <c r="E681" s="136">
        <v>894.41</v>
      </c>
      <c r="F681" s="30">
        <v>0</v>
      </c>
      <c r="G681" s="58">
        <v>1.0780723515210101E+19</v>
      </c>
    </row>
    <row r="682" spans="3:7">
      <c r="C682" s="29" t="b">
        <v>0</v>
      </c>
      <c r="D682" s="137">
        <v>23802</v>
      </c>
      <c r="E682" s="136">
        <v>896.44</v>
      </c>
      <c r="F682" s="30">
        <v>0</v>
      </c>
      <c r="G682" s="58">
        <v>7.1285149711507302E+18</v>
      </c>
    </row>
    <row r="683" spans="3:7">
      <c r="C683" s="29" t="b">
        <v>0</v>
      </c>
      <c r="D683" s="137">
        <v>23833</v>
      </c>
      <c r="E683" s="136">
        <v>907.71</v>
      </c>
      <c r="F683" s="30">
        <v>0</v>
      </c>
      <c r="G683" s="58">
        <v>1.44506424683228E+19</v>
      </c>
    </row>
    <row r="684" spans="3:7">
      <c r="C684" s="29" t="b">
        <v>0</v>
      </c>
      <c r="D684" s="137">
        <v>23863</v>
      </c>
      <c r="E684" s="136">
        <v>927.5</v>
      </c>
      <c r="F684" s="30">
        <v>0</v>
      </c>
      <c r="G684" s="58">
        <v>2.3246887374941399E+18</v>
      </c>
    </row>
    <row r="685" spans="3:7">
      <c r="C685" s="29" t="b">
        <v>0</v>
      </c>
      <c r="D685" s="137">
        <v>23894</v>
      </c>
      <c r="E685" s="136">
        <v>878.06</v>
      </c>
      <c r="F685" s="30">
        <v>0</v>
      </c>
      <c r="G685" s="58">
        <v>1.5456334152075E+19</v>
      </c>
    </row>
    <row r="686" spans="3:7">
      <c r="C686" s="29" t="b">
        <v>0</v>
      </c>
      <c r="D686" s="137">
        <v>23924</v>
      </c>
      <c r="E686" s="136">
        <v>873.43</v>
      </c>
      <c r="F686" s="30">
        <v>0</v>
      </c>
      <c r="G686" s="58">
        <v>1.47442274513287E+19</v>
      </c>
    </row>
    <row r="687" spans="3:7">
      <c r="C687" s="29" t="b">
        <v>0</v>
      </c>
      <c r="D687" s="137">
        <v>23955</v>
      </c>
      <c r="E687" s="136">
        <v>887.7</v>
      </c>
      <c r="F687" s="30">
        <v>0</v>
      </c>
      <c r="G687" s="58">
        <v>4.26139364195944E+17</v>
      </c>
    </row>
    <row r="688" spans="3:7">
      <c r="C688" s="29" t="b">
        <v>0</v>
      </c>
      <c r="D688" s="137">
        <v>23986</v>
      </c>
      <c r="E688" s="136">
        <v>922.18</v>
      </c>
      <c r="F688" s="30">
        <v>0</v>
      </c>
      <c r="G688" s="58">
        <v>1.5850626204253399E+19</v>
      </c>
    </row>
    <row r="689" spans="3:7">
      <c r="C689" s="29" t="b">
        <v>0</v>
      </c>
      <c r="D689" s="137">
        <v>24016</v>
      </c>
      <c r="E689" s="136">
        <v>944.77</v>
      </c>
      <c r="F689" s="30">
        <v>0</v>
      </c>
      <c r="G689" s="58">
        <v>1.47531545341934E+19</v>
      </c>
    </row>
    <row r="690" spans="3:7">
      <c r="C690" s="29" t="b">
        <v>0</v>
      </c>
      <c r="D690" s="137">
        <v>24047</v>
      </c>
      <c r="E690" s="136">
        <v>953.31</v>
      </c>
      <c r="F690" s="30">
        <v>0</v>
      </c>
      <c r="G690" s="58">
        <v>1.2823891754208999E+19</v>
      </c>
    </row>
    <row r="691" spans="3:7">
      <c r="C691" s="29" t="b">
        <v>0</v>
      </c>
      <c r="D691" s="137">
        <v>24077</v>
      </c>
      <c r="E691" s="136">
        <v>955.19</v>
      </c>
      <c r="F691" s="30">
        <v>0</v>
      </c>
      <c r="G691" s="58">
        <v>1.6817460055541499E+18</v>
      </c>
    </row>
    <row r="692" spans="3:7">
      <c r="C692" s="29" t="b">
        <v>0</v>
      </c>
      <c r="D692" s="137">
        <v>24108</v>
      </c>
      <c r="E692" s="136">
        <v>985.93</v>
      </c>
      <c r="F692" s="30">
        <v>0</v>
      </c>
      <c r="G692" s="58">
        <v>1.53639379543564E+19</v>
      </c>
    </row>
    <row r="693" spans="3:7">
      <c r="C693" s="29" t="b">
        <v>0</v>
      </c>
      <c r="D693" s="137">
        <v>24139</v>
      </c>
      <c r="E693" s="136">
        <v>977.15</v>
      </c>
      <c r="F693" s="30">
        <v>0</v>
      </c>
      <c r="G693" s="58">
        <v>1.66363603915199E+18</v>
      </c>
    </row>
    <row r="694" spans="3:7">
      <c r="C694" s="29" t="b">
        <v>0</v>
      </c>
      <c r="D694" s="137">
        <v>24167</v>
      </c>
      <c r="E694" s="136">
        <v>926.43</v>
      </c>
      <c r="F694" s="30">
        <v>0</v>
      </c>
      <c r="G694" s="58">
        <v>1.10291501133958E+19</v>
      </c>
    </row>
    <row r="695" spans="3:7">
      <c r="C695" s="29" t="b">
        <v>0</v>
      </c>
      <c r="D695" s="137">
        <v>24198</v>
      </c>
      <c r="E695" s="136">
        <v>943.7</v>
      </c>
      <c r="F695" s="30">
        <v>0</v>
      </c>
      <c r="G695" s="58">
        <v>8.8805921122357105E+18</v>
      </c>
    </row>
    <row r="696" spans="3:7">
      <c r="C696" s="29" t="b">
        <v>0</v>
      </c>
      <c r="D696" s="137">
        <v>24228</v>
      </c>
      <c r="E696" s="136">
        <v>890.7</v>
      </c>
      <c r="F696" s="30">
        <v>0</v>
      </c>
      <c r="G696" s="58">
        <v>1.60718288976915E+18</v>
      </c>
    </row>
    <row r="697" spans="3:7">
      <c r="C697" s="29" t="b">
        <v>0</v>
      </c>
      <c r="D697" s="137">
        <v>24259</v>
      </c>
      <c r="E697" s="136">
        <v>888.73</v>
      </c>
      <c r="F697" s="30">
        <v>0</v>
      </c>
      <c r="G697" s="58">
        <v>1.57496808013325E+18</v>
      </c>
    </row>
    <row r="698" spans="3:7">
      <c r="C698" s="29" t="b">
        <v>0</v>
      </c>
      <c r="D698" s="137">
        <v>24289</v>
      </c>
      <c r="E698" s="136">
        <v>875.87</v>
      </c>
      <c r="F698" s="30">
        <v>0</v>
      </c>
      <c r="G698" s="58">
        <v>1.08846337335877E+19</v>
      </c>
    </row>
    <row r="699" spans="3:7">
      <c r="C699" s="29" t="b">
        <v>0</v>
      </c>
      <c r="D699" s="137">
        <v>24320</v>
      </c>
      <c r="E699" s="136">
        <v>817.55</v>
      </c>
      <c r="F699" s="30">
        <v>0</v>
      </c>
      <c r="G699" s="58">
        <v>4.7999584259992596E+18</v>
      </c>
    </row>
    <row r="700" spans="3:7">
      <c r="C700" s="29" t="b">
        <v>0</v>
      </c>
      <c r="D700" s="137">
        <v>24351</v>
      </c>
      <c r="E700" s="136">
        <v>791.65</v>
      </c>
      <c r="F700" s="30">
        <v>0</v>
      </c>
      <c r="G700" s="58">
        <v>1.26381773703778E+19</v>
      </c>
    </row>
    <row r="701" spans="3:7">
      <c r="C701" s="29" t="b">
        <v>0</v>
      </c>
      <c r="D701" s="137">
        <v>24381</v>
      </c>
      <c r="E701" s="136">
        <v>778.1</v>
      </c>
      <c r="F701" s="30">
        <v>0</v>
      </c>
      <c r="G701" s="58">
        <v>1.97970914694952E+17</v>
      </c>
    </row>
    <row r="702" spans="3:7">
      <c r="C702" s="29" t="b">
        <v>0</v>
      </c>
      <c r="D702" s="137">
        <v>24412</v>
      </c>
      <c r="E702" s="136">
        <v>806.55</v>
      </c>
      <c r="F702" s="30">
        <v>0</v>
      </c>
      <c r="G702" s="58">
        <v>1.0103676567443E+17</v>
      </c>
    </row>
    <row r="703" spans="3:7">
      <c r="C703" s="29" t="b">
        <v>0</v>
      </c>
      <c r="D703" s="137">
        <v>24442</v>
      </c>
      <c r="E703" s="136">
        <v>800.86</v>
      </c>
      <c r="F703" s="30">
        <v>0</v>
      </c>
      <c r="G703" s="58">
        <v>1.47204102529251E+19</v>
      </c>
    </row>
    <row r="704" spans="3:7">
      <c r="C704" s="29" t="b">
        <v>0</v>
      </c>
      <c r="D704" s="137">
        <v>24473</v>
      </c>
      <c r="E704" s="136">
        <v>830.56</v>
      </c>
      <c r="F704" s="30">
        <v>0</v>
      </c>
      <c r="G704" s="58">
        <v>1.47140135707507E+19</v>
      </c>
    </row>
    <row r="705" spans="3:7">
      <c r="C705" s="29" t="b">
        <v>0</v>
      </c>
      <c r="D705" s="137">
        <v>24504</v>
      </c>
      <c r="E705" s="136">
        <v>851.12</v>
      </c>
      <c r="F705" s="30">
        <v>0</v>
      </c>
      <c r="G705" s="58">
        <v>4.9327448152501596E+18</v>
      </c>
    </row>
    <row r="706" spans="3:7">
      <c r="C706" s="29" t="b">
        <v>0</v>
      </c>
      <c r="D706" s="137">
        <v>24532</v>
      </c>
      <c r="E706" s="136">
        <v>858.11</v>
      </c>
      <c r="F706" s="30">
        <v>0</v>
      </c>
      <c r="G706" s="58">
        <v>4.2599287579367997E+18</v>
      </c>
    </row>
    <row r="707" spans="3:7">
      <c r="C707" s="29" t="b">
        <v>0</v>
      </c>
      <c r="D707" s="137">
        <v>24563</v>
      </c>
      <c r="E707" s="136">
        <v>868.66</v>
      </c>
      <c r="F707" s="30">
        <v>0</v>
      </c>
      <c r="G707" s="58">
        <v>8.24361074595149E+18</v>
      </c>
    </row>
    <row r="708" spans="3:7">
      <c r="C708" s="29" t="b">
        <v>0</v>
      </c>
      <c r="D708" s="137">
        <v>24593</v>
      </c>
      <c r="E708" s="136">
        <v>883.74</v>
      </c>
      <c r="F708" s="30">
        <v>0</v>
      </c>
      <c r="G708" s="58">
        <v>5.4150468263984301E+17</v>
      </c>
    </row>
    <row r="709" spans="3:7">
      <c r="C709" s="29" t="b">
        <v>0</v>
      </c>
      <c r="D709" s="137">
        <v>24624</v>
      </c>
      <c r="E709" s="136">
        <v>872.66</v>
      </c>
      <c r="F709" s="30">
        <v>0</v>
      </c>
      <c r="G709" s="58">
        <v>6.2577100265513697E+18</v>
      </c>
    </row>
    <row r="710" spans="3:7">
      <c r="C710" s="29" t="b">
        <v>0</v>
      </c>
      <c r="D710" s="137">
        <v>24654</v>
      </c>
      <c r="E710" s="136">
        <v>888.51</v>
      </c>
      <c r="F710" s="30">
        <v>0</v>
      </c>
      <c r="G710" s="58">
        <v>1.31101575638133E+19</v>
      </c>
    </row>
    <row r="711" spans="3:7">
      <c r="C711" s="29" t="b">
        <v>0</v>
      </c>
      <c r="D711" s="137">
        <v>24685</v>
      </c>
      <c r="E711" s="136">
        <v>912.46</v>
      </c>
      <c r="F711" s="30">
        <v>0</v>
      </c>
      <c r="G711" s="58">
        <v>9.4983195158419907E+18</v>
      </c>
    </row>
    <row r="712" spans="3:7">
      <c r="C712" s="29" t="b">
        <v>0</v>
      </c>
      <c r="D712" s="137">
        <v>24716</v>
      </c>
      <c r="E712" s="136">
        <v>923.45</v>
      </c>
      <c r="F712" s="30">
        <v>0</v>
      </c>
      <c r="G712" s="58">
        <v>1.02439824988787E+18</v>
      </c>
    </row>
    <row r="713" spans="3:7">
      <c r="C713" s="29" t="b">
        <v>0</v>
      </c>
      <c r="D713" s="137">
        <v>24746</v>
      </c>
      <c r="E713" s="136">
        <v>907.54</v>
      </c>
      <c r="F713" s="30">
        <v>0</v>
      </c>
      <c r="G713" s="58">
        <v>6.9308130457872896E+18</v>
      </c>
    </row>
    <row r="714" spans="3:7">
      <c r="C714" s="29" t="b">
        <v>0</v>
      </c>
      <c r="D714" s="137">
        <v>24777</v>
      </c>
      <c r="E714" s="136">
        <v>865.43</v>
      </c>
      <c r="F714" s="30">
        <v>0</v>
      </c>
      <c r="G714" s="58">
        <v>9.4045123427816796E+18</v>
      </c>
    </row>
    <row r="715" spans="3:7">
      <c r="C715" s="29" t="b">
        <v>0</v>
      </c>
      <c r="D715" s="137">
        <v>24807</v>
      </c>
      <c r="E715" s="136">
        <v>887.2</v>
      </c>
      <c r="F715" s="30">
        <v>0</v>
      </c>
      <c r="G715" s="58">
        <v>9.3999895629324698E+18</v>
      </c>
    </row>
    <row r="716" spans="3:7">
      <c r="C716" s="29" t="b">
        <v>0</v>
      </c>
      <c r="D716" s="137">
        <v>24838</v>
      </c>
      <c r="E716" s="136">
        <v>884.77</v>
      </c>
      <c r="F716" s="30">
        <v>0</v>
      </c>
      <c r="G716" s="58">
        <v>1.8139336740170299E+19</v>
      </c>
    </row>
    <row r="717" spans="3:7">
      <c r="C717" s="29" t="b">
        <v>0</v>
      </c>
      <c r="D717" s="137">
        <v>24869</v>
      </c>
      <c r="E717" s="136">
        <v>847.2</v>
      </c>
      <c r="F717" s="30">
        <v>0</v>
      </c>
      <c r="G717" s="58">
        <v>7.8204092521435699E+18</v>
      </c>
    </row>
    <row r="718" spans="3:7">
      <c r="C718" s="29" t="b">
        <v>0</v>
      </c>
      <c r="D718" s="137">
        <v>24898</v>
      </c>
      <c r="E718" s="136">
        <v>834.76</v>
      </c>
      <c r="F718" s="30">
        <v>0</v>
      </c>
      <c r="G718" s="58">
        <v>2.1990616342594801E+18</v>
      </c>
    </row>
    <row r="719" spans="3:7">
      <c r="C719" s="29" t="b">
        <v>0</v>
      </c>
      <c r="D719" s="137">
        <v>24929</v>
      </c>
      <c r="E719" s="136">
        <v>893.37</v>
      </c>
      <c r="F719" s="30">
        <v>0</v>
      </c>
      <c r="G719" s="58">
        <v>1.4271770445443701E+19</v>
      </c>
    </row>
    <row r="720" spans="3:7">
      <c r="C720" s="29" t="b">
        <v>0</v>
      </c>
      <c r="D720" s="137">
        <v>24959</v>
      </c>
      <c r="E720" s="136">
        <v>905.22</v>
      </c>
      <c r="F720" s="30">
        <v>0</v>
      </c>
      <c r="G720" s="58">
        <v>6.8771977177077996E+18</v>
      </c>
    </row>
    <row r="721" spans="3:7">
      <c r="C721" s="29" t="b">
        <v>0</v>
      </c>
      <c r="D721" s="137">
        <v>24990</v>
      </c>
      <c r="E721" s="136">
        <v>906.82</v>
      </c>
      <c r="F721" s="30">
        <v>0</v>
      </c>
      <c r="G721" s="58">
        <v>5.78329704089327E+18</v>
      </c>
    </row>
    <row r="722" spans="3:7">
      <c r="C722" s="29" t="b">
        <v>0</v>
      </c>
      <c r="D722" s="137">
        <v>25020</v>
      </c>
      <c r="E722" s="136">
        <v>905.32</v>
      </c>
      <c r="F722" s="30">
        <v>0</v>
      </c>
      <c r="G722" s="58">
        <v>1.70307719715862E+19</v>
      </c>
    </row>
    <row r="723" spans="3:7">
      <c r="C723" s="29" t="b">
        <v>0</v>
      </c>
      <c r="D723" s="137">
        <v>25051</v>
      </c>
      <c r="E723" s="136">
        <v>883.72</v>
      </c>
      <c r="F723" s="30">
        <v>0</v>
      </c>
      <c r="G723" s="58">
        <v>1.6479892194536499E+19</v>
      </c>
    </row>
    <row r="724" spans="3:7">
      <c r="C724" s="29" t="b">
        <v>0</v>
      </c>
      <c r="D724" s="137">
        <v>25082</v>
      </c>
      <c r="E724" s="136">
        <v>922.8</v>
      </c>
      <c r="F724" s="30">
        <v>0</v>
      </c>
      <c r="G724" s="58">
        <v>1.8399284983317E+19</v>
      </c>
    </row>
    <row r="725" spans="3:7">
      <c r="C725" s="29" t="b">
        <v>0</v>
      </c>
      <c r="D725" s="137">
        <v>25112</v>
      </c>
      <c r="E725" s="136">
        <v>955.47</v>
      </c>
      <c r="F725" s="30">
        <v>0</v>
      </c>
      <c r="G725" s="58">
        <v>1.2916935314600301E+19</v>
      </c>
    </row>
    <row r="726" spans="3:7">
      <c r="C726" s="29" t="b">
        <v>0</v>
      </c>
      <c r="D726" s="137">
        <v>25143</v>
      </c>
      <c r="E726" s="136">
        <v>964.12</v>
      </c>
      <c r="F726" s="30">
        <v>0</v>
      </c>
      <c r="G726" s="58">
        <v>1.2488483230433599E+19</v>
      </c>
    </row>
    <row r="727" spans="3:7">
      <c r="C727" s="29" t="b">
        <v>0</v>
      </c>
      <c r="D727" s="137">
        <v>25173</v>
      </c>
      <c r="E727" s="136">
        <v>965.39</v>
      </c>
      <c r="F727" s="30">
        <v>0</v>
      </c>
      <c r="G727" s="58">
        <v>1.52464217267193E+19</v>
      </c>
    </row>
  </sheetData>
  <mergeCells count="1">
    <mergeCell ref="D15:E15"/>
  </mergeCells>
  <phoneticPr fontId="15" type="noConversion"/>
  <conditionalFormatting sqref="D22:F29 D35:F39 D45:F53">
    <cfRule type="cellIs" dxfId="1388" priority="54" operator="equal">
      <formula>0</formula>
    </cfRule>
  </conditionalFormatting>
  <conditionalFormatting sqref="C79:C727">
    <cfRule type="cellIs" dxfId="1387" priority="50" operator="equal">
      <formula>FALSE</formula>
    </cfRule>
    <cfRule type="cellIs" dxfId="1386" priority="51" operator="notEqual">
      <formula>FALSE</formula>
    </cfRule>
  </conditionalFormatting>
  <conditionalFormatting sqref="D9:F9">
    <cfRule type="cellIs" dxfId="1385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384" priority="25"/>
  </conditionalFormatting>
  <conditionalFormatting sqref="D7:F7">
    <cfRule type="cellIs" dxfId="1383" priority="18" operator="notEqual">
      <formula>"Definition"</formula>
    </cfRule>
  </conditionalFormatting>
  <conditionalFormatting sqref="D15">
    <cfRule type="cellIs" dxfId="1382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381" priority="48" operator="equal">
      <formula>FALSE</formula>
    </cfRule>
    <cfRule type="cellIs" dxfId="1380" priority="49" operator="notEqual">
      <formula>FALSE</formula>
    </cfRule>
  </conditionalFormatting>
  <conditionalFormatting sqref="F78:G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658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1.5546875" bestFit="1" customWidth="1"/>
    <col min="4" max="4" width="9.5546875" bestFit="1" customWidth="1"/>
    <col min="5" max="6" width="15.77734375" customWidth="1"/>
    <col min="7" max="9" width="9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10" t="str">
        <f>Name</f>
        <v>dowjones</v>
      </c>
      <c r="E2" s="111"/>
      <c r="G2" s="111"/>
      <c r="H2" s="111"/>
      <c r="I2" s="111"/>
      <c r="J2" s="111"/>
      <c r="K2" s="111"/>
      <c r="L2" s="111"/>
      <c r="M2" s="111"/>
      <c r="N2" s="111"/>
      <c r="O2" s="111"/>
      <c r="P2" s="112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</row>
    <row r="5" spans="2:17" ht="15" customHeight="1"/>
    <row r="6" spans="2:17" ht="15" customHeight="1"/>
    <row r="7" spans="2:17" ht="15" customHeight="1">
      <c r="C7" s="107"/>
    </row>
    <row r="8" spans="2:17" ht="36.6" customHeight="1">
      <c r="C8" s="140" t="s">
        <v>56</v>
      </c>
      <c r="D8" s="139" t="s">
        <v>57</v>
      </c>
      <c r="E8" s="108" t="s">
        <v>52</v>
      </c>
      <c r="F8" s="108" t="s">
        <v>53</v>
      </c>
    </row>
    <row r="9" spans="2:17" ht="15" customHeight="1">
      <c r="C9" s="138">
        <v>5449</v>
      </c>
      <c r="D9" s="100"/>
      <c r="E9" s="109">
        <v>0</v>
      </c>
      <c r="F9" s="141"/>
    </row>
    <row r="10" spans="2:17" ht="15" customHeight="1">
      <c r="C10" s="138">
        <v>5480</v>
      </c>
      <c r="D10" s="100"/>
      <c r="E10" s="109">
        <v>0</v>
      </c>
      <c r="F10" s="141"/>
    </row>
    <row r="11" spans="2:17" ht="15" customHeight="1">
      <c r="C11" s="138">
        <v>5511</v>
      </c>
      <c r="D11" s="100"/>
      <c r="E11" s="109">
        <v>0</v>
      </c>
      <c r="F11" s="141"/>
    </row>
    <row r="12" spans="2:17" ht="15" customHeight="1">
      <c r="C12" s="138">
        <v>5539</v>
      </c>
      <c r="D12" s="100"/>
      <c r="E12" s="109">
        <v>0</v>
      </c>
      <c r="F12" s="141"/>
    </row>
    <row r="13" spans="2:17" ht="15" customHeight="1">
      <c r="C13" s="138">
        <v>5570</v>
      </c>
      <c r="D13" s="100"/>
      <c r="E13" s="109">
        <v>0</v>
      </c>
      <c r="F13" s="141"/>
    </row>
    <row r="14" spans="2:17">
      <c r="C14" s="138">
        <v>5600</v>
      </c>
      <c r="D14" s="100"/>
      <c r="E14" s="109">
        <v>0</v>
      </c>
      <c r="F14" s="141"/>
    </row>
    <row r="15" spans="2:17">
      <c r="C15" s="138">
        <v>5631</v>
      </c>
      <c r="D15" s="100"/>
      <c r="E15" s="109">
        <v>0</v>
      </c>
      <c r="F15" s="141"/>
    </row>
    <row r="16" spans="2:17">
      <c r="C16" s="138">
        <v>5661</v>
      </c>
      <c r="D16" s="100"/>
      <c r="E16" s="109">
        <v>0</v>
      </c>
      <c r="F16" s="141"/>
    </row>
    <row r="17" spans="3:6">
      <c r="C17" s="138">
        <v>5692</v>
      </c>
      <c r="D17" s="100"/>
      <c r="E17" s="109">
        <v>0</v>
      </c>
      <c r="F17" s="141"/>
    </row>
    <row r="18" spans="3:6">
      <c r="C18" s="138">
        <v>5723</v>
      </c>
      <c r="D18" s="100"/>
      <c r="E18" s="109">
        <v>0</v>
      </c>
      <c r="F18" s="141"/>
    </row>
    <row r="19" spans="3:6">
      <c r="C19" s="138">
        <v>5753</v>
      </c>
      <c r="D19" s="100"/>
      <c r="E19" s="109">
        <v>0</v>
      </c>
      <c r="F19" s="141"/>
    </row>
    <row r="20" spans="3:6">
      <c r="C20" s="138">
        <v>5784</v>
      </c>
      <c r="D20" s="100"/>
      <c r="E20" s="109">
        <v>0</v>
      </c>
      <c r="F20" s="141"/>
    </row>
    <row r="21" spans="3:6">
      <c r="C21" s="138">
        <v>5814</v>
      </c>
      <c r="D21" s="100"/>
      <c r="E21" s="109">
        <v>0</v>
      </c>
      <c r="F21" s="141"/>
    </row>
    <row r="22" spans="3:6">
      <c r="C22" s="138">
        <v>5845</v>
      </c>
      <c r="D22" s="100"/>
      <c r="E22" s="109">
        <v>0</v>
      </c>
      <c r="F22" s="141"/>
    </row>
    <row r="23" spans="3:6">
      <c r="C23" s="138">
        <v>5876</v>
      </c>
      <c r="D23" s="100"/>
      <c r="E23" s="109">
        <v>0</v>
      </c>
      <c r="F23" s="141"/>
    </row>
    <row r="24" spans="3:6">
      <c r="C24" s="138">
        <v>5905</v>
      </c>
      <c r="D24" s="100"/>
      <c r="E24" s="109">
        <v>0</v>
      </c>
      <c r="F24" s="141"/>
    </row>
    <row r="25" spans="3:6">
      <c r="C25" s="138">
        <v>5936</v>
      </c>
      <c r="D25" s="100"/>
      <c r="E25" s="109">
        <v>0</v>
      </c>
      <c r="F25" s="141"/>
    </row>
    <row r="26" spans="3:6">
      <c r="C26" s="138">
        <v>5966</v>
      </c>
      <c r="D26" s="100"/>
      <c r="E26" s="109">
        <v>0</v>
      </c>
      <c r="F26" s="141"/>
    </row>
    <row r="27" spans="3:6">
      <c r="C27" s="138">
        <v>5997</v>
      </c>
      <c r="D27" s="100"/>
      <c r="E27" s="109">
        <v>0</v>
      </c>
      <c r="F27" s="141"/>
    </row>
    <row r="28" spans="3:6">
      <c r="C28" s="138">
        <v>6027</v>
      </c>
      <c r="D28" s="100"/>
      <c r="E28" s="109">
        <v>0</v>
      </c>
      <c r="F28" s="141"/>
    </row>
    <row r="29" spans="3:6">
      <c r="C29" s="138">
        <v>6058</v>
      </c>
      <c r="D29" s="100"/>
      <c r="E29" s="109">
        <v>0</v>
      </c>
      <c r="F29" s="141"/>
    </row>
    <row r="30" spans="3:6">
      <c r="C30" s="138">
        <v>6089</v>
      </c>
      <c r="D30" s="100"/>
      <c r="E30" s="109">
        <v>0</v>
      </c>
      <c r="F30" s="141"/>
    </row>
    <row r="31" spans="3:6">
      <c r="C31" s="138">
        <v>6119</v>
      </c>
      <c r="D31" s="100"/>
      <c r="E31" s="109">
        <v>0</v>
      </c>
      <c r="F31" s="141"/>
    </row>
    <row r="32" spans="3:6">
      <c r="C32" s="138">
        <v>6150</v>
      </c>
      <c r="D32" s="100"/>
      <c r="E32" s="109">
        <v>0</v>
      </c>
      <c r="F32" s="141"/>
    </row>
    <row r="33" spans="3:6">
      <c r="C33" s="138">
        <v>6180</v>
      </c>
      <c r="D33" s="100"/>
      <c r="E33" s="109">
        <v>0</v>
      </c>
      <c r="F33" s="141"/>
    </row>
    <row r="34" spans="3:6">
      <c r="C34" s="138">
        <v>6211</v>
      </c>
      <c r="D34" s="100"/>
      <c r="E34" s="109">
        <v>0</v>
      </c>
      <c r="F34" s="141"/>
    </row>
    <row r="35" spans="3:6">
      <c r="C35" s="138">
        <v>6242</v>
      </c>
      <c r="D35" s="100"/>
      <c r="E35" s="109">
        <v>0</v>
      </c>
      <c r="F35" s="141"/>
    </row>
    <row r="36" spans="3:6">
      <c r="C36" s="138">
        <v>6270</v>
      </c>
      <c r="D36" s="100"/>
      <c r="E36" s="109">
        <v>0</v>
      </c>
      <c r="F36" s="141"/>
    </row>
    <row r="37" spans="3:6">
      <c r="C37" s="138">
        <v>6301</v>
      </c>
      <c r="D37" s="100"/>
      <c r="E37" s="109">
        <v>0</v>
      </c>
      <c r="F37" s="141"/>
    </row>
    <row r="38" spans="3:6">
      <c r="C38" s="138">
        <v>6331</v>
      </c>
      <c r="D38" s="100"/>
      <c r="E38" s="109">
        <v>0</v>
      </c>
      <c r="F38" s="141"/>
    </row>
    <row r="39" spans="3:6">
      <c r="C39" s="138">
        <v>6362</v>
      </c>
      <c r="D39" s="100"/>
      <c r="E39" s="109">
        <v>0</v>
      </c>
      <c r="F39" s="141"/>
    </row>
    <row r="40" spans="3:6">
      <c r="C40" s="138">
        <v>6392</v>
      </c>
      <c r="D40" s="100"/>
      <c r="E40" s="109">
        <v>0</v>
      </c>
      <c r="F40" s="141"/>
    </row>
    <row r="41" spans="3:6">
      <c r="C41" s="138">
        <v>6423</v>
      </c>
      <c r="D41" s="100"/>
      <c r="E41" s="109">
        <v>0</v>
      </c>
      <c r="F41" s="141"/>
    </row>
    <row r="42" spans="3:6">
      <c r="C42" s="138">
        <v>6454</v>
      </c>
      <c r="D42" s="100"/>
      <c r="E42" s="109">
        <v>0</v>
      </c>
      <c r="F42" s="141"/>
    </row>
    <row r="43" spans="3:6">
      <c r="C43" s="138">
        <v>6484</v>
      </c>
      <c r="D43" s="100"/>
      <c r="E43" s="109">
        <v>0</v>
      </c>
      <c r="F43" s="141"/>
    </row>
    <row r="44" spans="3:6">
      <c r="C44" s="138">
        <v>6515</v>
      </c>
      <c r="D44" s="100"/>
      <c r="E44" s="109">
        <v>0</v>
      </c>
      <c r="F44" s="141"/>
    </row>
    <row r="45" spans="3:6">
      <c r="C45" s="138">
        <v>6545</v>
      </c>
      <c r="D45" s="100"/>
      <c r="E45" s="109">
        <v>0</v>
      </c>
      <c r="F45" s="141"/>
    </row>
    <row r="46" spans="3:6">
      <c r="C46" s="138">
        <v>6576</v>
      </c>
      <c r="D46" s="100"/>
      <c r="E46" s="109">
        <v>0</v>
      </c>
      <c r="F46" s="141"/>
    </row>
    <row r="47" spans="3:6">
      <c r="C47" s="138">
        <v>6607</v>
      </c>
      <c r="D47" s="100"/>
      <c r="E47" s="109">
        <v>0</v>
      </c>
      <c r="F47" s="141"/>
    </row>
    <row r="48" spans="3:6">
      <c r="C48" s="138">
        <v>6635</v>
      </c>
      <c r="D48" s="100"/>
      <c r="E48" s="109">
        <v>0</v>
      </c>
      <c r="F48" s="141"/>
    </row>
    <row r="49" spans="3:6">
      <c r="C49" s="138">
        <v>6666</v>
      </c>
      <c r="D49" s="100"/>
      <c r="E49" s="109">
        <v>0</v>
      </c>
      <c r="F49" s="141"/>
    </row>
    <row r="50" spans="3:6">
      <c r="C50" s="138">
        <v>6696</v>
      </c>
      <c r="D50" s="100"/>
      <c r="E50" s="109">
        <v>0</v>
      </c>
      <c r="F50" s="141"/>
    </row>
    <row r="51" spans="3:6">
      <c r="C51" s="138">
        <v>6727</v>
      </c>
      <c r="D51" s="100"/>
      <c r="E51" s="109">
        <v>0</v>
      </c>
      <c r="F51" s="141"/>
    </row>
    <row r="52" spans="3:6">
      <c r="C52" s="138">
        <v>6757</v>
      </c>
      <c r="D52" s="100"/>
      <c r="E52" s="109">
        <v>0</v>
      </c>
      <c r="F52" s="141"/>
    </row>
    <row r="53" spans="3:6">
      <c r="C53" s="138">
        <v>6788</v>
      </c>
      <c r="D53" s="100"/>
      <c r="E53" s="109">
        <v>0</v>
      </c>
      <c r="F53" s="141"/>
    </row>
    <row r="54" spans="3:6">
      <c r="C54" s="138">
        <v>6819</v>
      </c>
      <c r="D54" s="100"/>
      <c r="E54" s="109">
        <v>0</v>
      </c>
      <c r="F54" s="141"/>
    </row>
    <row r="55" spans="3:6">
      <c r="C55" s="138">
        <v>6849</v>
      </c>
      <c r="D55" s="100"/>
      <c r="E55" s="109">
        <v>0</v>
      </c>
      <c r="F55" s="141"/>
    </row>
    <row r="56" spans="3:6">
      <c r="C56" s="138">
        <v>6880</v>
      </c>
      <c r="D56" s="100"/>
      <c r="E56" s="109">
        <v>0</v>
      </c>
      <c r="F56" s="141"/>
    </row>
    <row r="57" spans="3:6">
      <c r="C57" s="138">
        <v>6910</v>
      </c>
      <c r="D57" s="100"/>
      <c r="E57" s="109">
        <v>0</v>
      </c>
      <c r="F57" s="141"/>
    </row>
    <row r="58" spans="3:6">
      <c r="C58" s="138">
        <v>6941</v>
      </c>
      <c r="D58" s="100"/>
      <c r="E58" s="109">
        <v>0</v>
      </c>
      <c r="F58" s="141"/>
    </row>
    <row r="59" spans="3:6">
      <c r="C59" s="138">
        <v>6972</v>
      </c>
      <c r="D59" s="100"/>
      <c r="E59" s="109">
        <v>0</v>
      </c>
      <c r="F59" s="141"/>
    </row>
    <row r="60" spans="3:6">
      <c r="C60" s="138">
        <v>7000</v>
      </c>
      <c r="D60" s="100"/>
      <c r="E60" s="109">
        <v>0</v>
      </c>
      <c r="F60" s="141"/>
    </row>
    <row r="61" spans="3:6">
      <c r="C61" s="138">
        <v>7031</v>
      </c>
      <c r="D61" s="100"/>
      <c r="E61" s="109">
        <v>0</v>
      </c>
      <c r="F61" s="141"/>
    </row>
    <row r="62" spans="3:6">
      <c r="C62" s="138">
        <v>7061</v>
      </c>
      <c r="D62" s="100"/>
      <c r="E62" s="109">
        <v>0</v>
      </c>
      <c r="F62" s="141"/>
    </row>
    <row r="63" spans="3:6">
      <c r="C63" s="138">
        <v>7092</v>
      </c>
      <c r="D63" s="100"/>
      <c r="E63" s="109">
        <v>0</v>
      </c>
      <c r="F63" s="141"/>
    </row>
    <row r="64" spans="3:6">
      <c r="C64" s="138">
        <v>7122</v>
      </c>
      <c r="D64" s="100"/>
      <c r="E64" s="109">
        <v>0</v>
      </c>
      <c r="F64" s="141"/>
    </row>
    <row r="65" spans="3:6">
      <c r="C65" s="138">
        <v>7153</v>
      </c>
      <c r="D65" s="100"/>
      <c r="E65" s="109">
        <v>0</v>
      </c>
      <c r="F65" s="141"/>
    </row>
    <row r="66" spans="3:6">
      <c r="C66" s="138">
        <v>7184</v>
      </c>
      <c r="D66" s="100"/>
      <c r="E66" s="109">
        <v>0</v>
      </c>
      <c r="F66" s="141"/>
    </row>
    <row r="67" spans="3:6">
      <c r="C67" s="138">
        <v>7214</v>
      </c>
      <c r="D67" s="100"/>
      <c r="E67" s="109">
        <v>0</v>
      </c>
      <c r="F67" s="141"/>
    </row>
    <row r="68" spans="3:6">
      <c r="C68" s="138">
        <v>7245</v>
      </c>
      <c r="D68" s="100"/>
      <c r="E68" s="109">
        <v>0</v>
      </c>
      <c r="F68" s="141"/>
    </row>
    <row r="69" spans="3:6">
      <c r="C69" s="138">
        <v>7275</v>
      </c>
      <c r="D69" s="100"/>
      <c r="E69" s="109">
        <v>0</v>
      </c>
      <c r="F69" s="141"/>
    </row>
    <row r="70" spans="3:6">
      <c r="C70" s="138">
        <v>7306</v>
      </c>
      <c r="D70" s="100"/>
      <c r="E70" s="109">
        <v>0</v>
      </c>
      <c r="F70" s="141"/>
    </row>
    <row r="71" spans="3:6">
      <c r="C71" s="138">
        <v>7337</v>
      </c>
      <c r="D71" s="100"/>
      <c r="E71" s="109">
        <v>0</v>
      </c>
      <c r="F71" s="141"/>
    </row>
    <row r="72" spans="3:6">
      <c r="C72" s="138">
        <v>7366</v>
      </c>
      <c r="D72" s="100"/>
      <c r="E72" s="109">
        <v>0</v>
      </c>
      <c r="F72" s="141"/>
    </row>
    <row r="73" spans="3:6">
      <c r="C73" s="138">
        <v>7397</v>
      </c>
      <c r="D73" s="100"/>
      <c r="E73" s="109">
        <v>0</v>
      </c>
      <c r="F73" s="141"/>
    </row>
    <row r="74" spans="3:6">
      <c r="C74" s="138">
        <v>7427</v>
      </c>
      <c r="D74" s="100"/>
      <c r="E74" s="109">
        <v>0</v>
      </c>
      <c r="F74" s="141"/>
    </row>
    <row r="75" spans="3:6">
      <c r="C75" s="138">
        <v>7458</v>
      </c>
      <c r="D75" s="100"/>
      <c r="E75" s="109">
        <v>0</v>
      </c>
      <c r="F75" s="141"/>
    </row>
    <row r="76" spans="3:6">
      <c r="C76" s="138">
        <v>7488</v>
      </c>
      <c r="D76" s="100"/>
      <c r="E76" s="109">
        <v>0</v>
      </c>
      <c r="F76" s="141"/>
    </row>
    <row r="77" spans="3:6">
      <c r="C77" s="138">
        <v>7519</v>
      </c>
      <c r="D77" s="100"/>
      <c r="E77" s="109">
        <v>0</v>
      </c>
      <c r="F77" s="141"/>
    </row>
    <row r="78" spans="3:6">
      <c r="C78" s="138">
        <v>7550</v>
      </c>
      <c r="D78" s="100"/>
      <c r="E78" s="109">
        <v>0</v>
      </c>
      <c r="F78" s="141"/>
    </row>
    <row r="79" spans="3:6">
      <c r="C79" s="138">
        <v>7580</v>
      </c>
      <c r="D79" s="100"/>
      <c r="E79" s="109">
        <v>0</v>
      </c>
      <c r="F79" s="141"/>
    </row>
    <row r="80" spans="3:6">
      <c r="C80" s="138">
        <v>7611</v>
      </c>
      <c r="D80" s="100"/>
      <c r="E80" s="109">
        <v>0</v>
      </c>
      <c r="F80" s="141"/>
    </row>
    <row r="81" spans="3:6">
      <c r="C81" s="138">
        <v>7641</v>
      </c>
      <c r="D81" s="100"/>
      <c r="E81" s="109">
        <v>0</v>
      </c>
      <c r="F81" s="141"/>
    </row>
    <row r="82" spans="3:6">
      <c r="C82" s="138">
        <v>7672</v>
      </c>
      <c r="D82" s="100"/>
      <c r="E82" s="109">
        <v>0</v>
      </c>
      <c r="F82" s="141"/>
    </row>
    <row r="83" spans="3:6">
      <c r="C83" s="138">
        <v>7703</v>
      </c>
      <c r="D83" s="100"/>
      <c r="E83" s="109">
        <v>0</v>
      </c>
      <c r="F83" s="141"/>
    </row>
    <row r="84" spans="3:6">
      <c r="C84" s="138">
        <v>7731</v>
      </c>
      <c r="D84" s="100"/>
      <c r="E84" s="109">
        <v>0</v>
      </c>
      <c r="F84" s="141"/>
    </row>
    <row r="85" spans="3:6">
      <c r="C85" s="138">
        <v>7762</v>
      </c>
      <c r="D85" s="100"/>
      <c r="E85" s="109">
        <v>0</v>
      </c>
      <c r="F85" s="141"/>
    </row>
    <row r="86" spans="3:6">
      <c r="C86" s="138">
        <v>7792</v>
      </c>
      <c r="D86" s="100"/>
      <c r="E86" s="109">
        <v>0</v>
      </c>
      <c r="F86" s="141"/>
    </row>
    <row r="87" spans="3:6">
      <c r="C87" s="138">
        <v>7823</v>
      </c>
      <c r="D87" s="100"/>
      <c r="E87" s="109">
        <v>0</v>
      </c>
      <c r="F87" s="141"/>
    </row>
    <row r="88" spans="3:6">
      <c r="C88" s="138">
        <v>7853</v>
      </c>
      <c r="D88" s="100"/>
      <c r="E88" s="109">
        <v>0</v>
      </c>
      <c r="F88" s="141"/>
    </row>
    <row r="89" spans="3:6">
      <c r="C89" s="138">
        <v>7884</v>
      </c>
      <c r="D89" s="100"/>
      <c r="E89" s="109">
        <v>0</v>
      </c>
      <c r="F89" s="141"/>
    </row>
    <row r="90" spans="3:6">
      <c r="C90" s="138">
        <v>7915</v>
      </c>
      <c r="D90" s="100"/>
      <c r="E90" s="109">
        <v>0</v>
      </c>
      <c r="F90" s="141"/>
    </row>
    <row r="91" spans="3:6">
      <c r="C91" s="138">
        <v>7945</v>
      </c>
      <c r="D91" s="100"/>
      <c r="E91" s="109">
        <v>0</v>
      </c>
      <c r="F91" s="141"/>
    </row>
    <row r="92" spans="3:6">
      <c r="C92" s="138">
        <v>7976</v>
      </c>
      <c r="D92" s="100"/>
      <c r="E92" s="109">
        <v>0</v>
      </c>
      <c r="F92" s="141"/>
    </row>
    <row r="93" spans="3:6">
      <c r="C93" s="138">
        <v>8006</v>
      </c>
      <c r="D93" s="100"/>
      <c r="E93" s="109">
        <v>0</v>
      </c>
      <c r="F93" s="141"/>
    </row>
    <row r="94" spans="3:6">
      <c r="C94" s="138">
        <v>8037</v>
      </c>
      <c r="D94" s="100"/>
      <c r="E94" s="109">
        <v>0</v>
      </c>
      <c r="F94" s="141"/>
    </row>
    <row r="95" spans="3:6">
      <c r="C95" s="138">
        <v>8068</v>
      </c>
      <c r="D95" s="100"/>
      <c r="E95" s="109">
        <v>0</v>
      </c>
      <c r="F95" s="141"/>
    </row>
    <row r="96" spans="3:6">
      <c r="C96" s="138">
        <v>8096</v>
      </c>
      <c r="D96" s="100"/>
      <c r="E96" s="109">
        <v>0</v>
      </c>
      <c r="F96" s="141"/>
    </row>
    <row r="97" spans="3:6">
      <c r="C97" s="138">
        <v>8127</v>
      </c>
      <c r="D97" s="100"/>
      <c r="E97" s="109">
        <v>0</v>
      </c>
      <c r="F97" s="141"/>
    </row>
    <row r="98" spans="3:6">
      <c r="C98" s="138">
        <v>8157</v>
      </c>
      <c r="D98" s="100"/>
      <c r="E98" s="109">
        <v>0</v>
      </c>
      <c r="F98" s="141"/>
    </row>
    <row r="99" spans="3:6">
      <c r="C99" s="138">
        <v>8188</v>
      </c>
      <c r="D99" s="100"/>
      <c r="E99" s="109">
        <v>0</v>
      </c>
      <c r="F99" s="141"/>
    </row>
    <row r="100" spans="3:6">
      <c r="C100" s="138">
        <v>8218</v>
      </c>
      <c r="D100" s="100"/>
      <c r="E100" s="109">
        <v>0</v>
      </c>
      <c r="F100" s="141"/>
    </row>
    <row r="101" spans="3:6">
      <c r="C101" s="138">
        <v>8249</v>
      </c>
      <c r="D101" s="100"/>
      <c r="E101" s="109">
        <v>0</v>
      </c>
      <c r="F101" s="141"/>
    </row>
    <row r="102" spans="3:6">
      <c r="C102" s="138">
        <v>8280</v>
      </c>
      <c r="D102" s="100"/>
      <c r="E102" s="109">
        <v>0</v>
      </c>
      <c r="F102" s="141"/>
    </row>
    <row r="103" spans="3:6">
      <c r="C103" s="138">
        <v>8310</v>
      </c>
      <c r="D103" s="100"/>
      <c r="E103" s="109">
        <v>0</v>
      </c>
      <c r="F103" s="141"/>
    </row>
    <row r="104" spans="3:6">
      <c r="C104" s="138">
        <v>8341</v>
      </c>
      <c r="D104" s="100"/>
      <c r="E104" s="109">
        <v>0</v>
      </c>
      <c r="F104" s="141"/>
    </row>
    <row r="105" spans="3:6">
      <c r="C105" s="138">
        <v>8371</v>
      </c>
      <c r="D105" s="100"/>
      <c r="E105" s="109">
        <v>0</v>
      </c>
      <c r="F105" s="141"/>
    </row>
    <row r="106" spans="3:6">
      <c r="C106" s="138">
        <v>8402</v>
      </c>
      <c r="D106" s="100"/>
      <c r="E106" s="109">
        <v>0</v>
      </c>
      <c r="F106" s="141"/>
    </row>
    <row r="107" spans="3:6">
      <c r="C107" s="138">
        <v>8433</v>
      </c>
      <c r="D107" s="100"/>
      <c r="E107" s="109">
        <v>0</v>
      </c>
      <c r="F107" s="141"/>
    </row>
    <row r="108" spans="3:6">
      <c r="C108" s="138">
        <v>8461</v>
      </c>
      <c r="D108" s="100"/>
      <c r="E108" s="109">
        <v>0</v>
      </c>
      <c r="F108" s="141"/>
    </row>
    <row r="109" spans="3:6">
      <c r="C109" s="138">
        <v>8492</v>
      </c>
      <c r="D109" s="100"/>
      <c r="E109" s="109">
        <v>0</v>
      </c>
      <c r="F109" s="141"/>
    </row>
    <row r="110" spans="3:6">
      <c r="C110" s="138">
        <v>8522</v>
      </c>
      <c r="D110" s="100"/>
      <c r="E110" s="109">
        <v>0</v>
      </c>
      <c r="F110" s="141"/>
    </row>
    <row r="111" spans="3:6">
      <c r="C111" s="138">
        <v>8553</v>
      </c>
      <c r="D111" s="100"/>
      <c r="E111" s="109">
        <v>0</v>
      </c>
      <c r="F111" s="141"/>
    </row>
    <row r="112" spans="3:6">
      <c r="C112" s="138">
        <v>8583</v>
      </c>
      <c r="D112" s="100"/>
      <c r="E112" s="109">
        <v>0</v>
      </c>
      <c r="F112" s="141"/>
    </row>
    <row r="113" spans="3:6">
      <c r="C113" s="138">
        <v>8614</v>
      </c>
      <c r="D113" s="100"/>
      <c r="E113" s="109">
        <v>0</v>
      </c>
      <c r="F113" s="141"/>
    </row>
    <row r="114" spans="3:6">
      <c r="C114" s="138">
        <v>8645</v>
      </c>
      <c r="D114" s="100"/>
      <c r="E114" s="109">
        <v>0</v>
      </c>
      <c r="F114" s="141"/>
    </row>
    <row r="115" spans="3:6">
      <c r="C115" s="138">
        <v>8675</v>
      </c>
      <c r="D115" s="100"/>
      <c r="E115" s="109">
        <v>0</v>
      </c>
      <c r="F115" s="141"/>
    </row>
    <row r="116" spans="3:6">
      <c r="C116" s="138">
        <v>8706</v>
      </c>
      <c r="D116" s="100"/>
      <c r="E116" s="109">
        <v>0</v>
      </c>
      <c r="F116" s="141"/>
    </row>
    <row r="117" spans="3:6">
      <c r="C117" s="138">
        <v>8736</v>
      </c>
      <c r="D117" s="100"/>
      <c r="E117" s="109">
        <v>0</v>
      </c>
      <c r="F117" s="141"/>
    </row>
    <row r="118" spans="3:6">
      <c r="C118" s="138">
        <v>8767</v>
      </c>
      <c r="D118" s="100"/>
      <c r="E118" s="109">
        <v>0</v>
      </c>
      <c r="F118" s="141"/>
    </row>
    <row r="119" spans="3:6">
      <c r="C119" s="138">
        <v>8798</v>
      </c>
      <c r="D119" s="100"/>
      <c r="E119" s="109">
        <v>0</v>
      </c>
      <c r="F119" s="141"/>
    </row>
    <row r="120" spans="3:6">
      <c r="C120" s="138">
        <v>8827</v>
      </c>
      <c r="D120" s="100"/>
      <c r="E120" s="109">
        <v>0</v>
      </c>
      <c r="F120" s="141"/>
    </row>
    <row r="121" spans="3:6">
      <c r="C121" s="138">
        <v>8858</v>
      </c>
      <c r="D121" s="100"/>
      <c r="E121" s="109">
        <v>0</v>
      </c>
      <c r="F121" s="141"/>
    </row>
    <row r="122" spans="3:6">
      <c r="C122" s="138">
        <v>8888</v>
      </c>
      <c r="D122" s="100"/>
      <c r="E122" s="109">
        <v>0</v>
      </c>
      <c r="F122" s="141"/>
    </row>
    <row r="123" spans="3:6">
      <c r="C123" s="138">
        <v>8919</v>
      </c>
      <c r="D123" s="100"/>
      <c r="E123" s="109">
        <v>0</v>
      </c>
      <c r="F123" s="141"/>
    </row>
    <row r="124" spans="3:6">
      <c r="C124" s="138">
        <v>8949</v>
      </c>
      <c r="D124" s="100"/>
      <c r="E124" s="109">
        <v>0</v>
      </c>
      <c r="F124" s="141"/>
    </row>
    <row r="125" spans="3:6">
      <c r="C125" s="138">
        <v>8980</v>
      </c>
      <c r="D125" s="100"/>
      <c r="E125" s="109">
        <v>0</v>
      </c>
      <c r="F125" s="141"/>
    </row>
    <row r="126" spans="3:6">
      <c r="C126" s="138">
        <v>9011</v>
      </c>
      <c r="D126" s="100"/>
      <c r="E126" s="109">
        <v>0</v>
      </c>
      <c r="F126" s="141"/>
    </row>
    <row r="127" spans="3:6">
      <c r="C127" s="138">
        <v>9041</v>
      </c>
      <c r="D127" s="100"/>
      <c r="E127" s="109">
        <v>0</v>
      </c>
      <c r="F127" s="141"/>
    </row>
    <row r="128" spans="3:6">
      <c r="C128" s="138">
        <v>9072</v>
      </c>
      <c r="D128" s="100"/>
      <c r="E128" s="109">
        <v>0</v>
      </c>
      <c r="F128" s="141"/>
    </row>
    <row r="129" spans="3:6">
      <c r="C129" s="138">
        <v>9102</v>
      </c>
      <c r="D129" s="100"/>
      <c r="E129" s="109">
        <v>0</v>
      </c>
      <c r="F129" s="141"/>
    </row>
    <row r="130" spans="3:6">
      <c r="C130" s="138">
        <v>9133</v>
      </c>
      <c r="D130" s="100"/>
      <c r="E130" s="109">
        <v>0</v>
      </c>
      <c r="F130" s="141"/>
    </row>
    <row r="131" spans="3:6">
      <c r="C131" s="138">
        <v>9164</v>
      </c>
      <c r="D131" s="100"/>
      <c r="E131" s="109">
        <v>0</v>
      </c>
      <c r="F131" s="141"/>
    </row>
    <row r="132" spans="3:6">
      <c r="C132" s="138">
        <v>9192</v>
      </c>
      <c r="D132" s="100"/>
      <c r="E132" s="109">
        <v>0</v>
      </c>
      <c r="F132" s="141"/>
    </row>
    <row r="133" spans="3:6">
      <c r="C133" s="138">
        <v>9223</v>
      </c>
      <c r="D133" s="100"/>
      <c r="E133" s="109">
        <v>0</v>
      </c>
      <c r="F133" s="141"/>
    </row>
    <row r="134" spans="3:6">
      <c r="C134" s="138">
        <v>9253</v>
      </c>
      <c r="D134" s="100"/>
      <c r="E134" s="109">
        <v>0</v>
      </c>
      <c r="F134" s="141"/>
    </row>
    <row r="135" spans="3:6">
      <c r="C135" s="138">
        <v>9284</v>
      </c>
      <c r="D135" s="100"/>
      <c r="E135" s="109">
        <v>0</v>
      </c>
      <c r="F135" s="141"/>
    </row>
    <row r="136" spans="3:6">
      <c r="C136" s="138">
        <v>9314</v>
      </c>
      <c r="D136" s="100"/>
      <c r="E136" s="109">
        <v>0</v>
      </c>
      <c r="F136" s="141"/>
    </row>
    <row r="137" spans="3:6">
      <c r="C137" s="138">
        <v>9345</v>
      </c>
      <c r="D137" s="100"/>
      <c r="E137" s="109">
        <v>0</v>
      </c>
      <c r="F137" s="141"/>
    </row>
    <row r="138" spans="3:6">
      <c r="C138" s="138">
        <v>9376</v>
      </c>
      <c r="D138" s="100"/>
      <c r="E138" s="109">
        <v>0</v>
      </c>
      <c r="F138" s="141"/>
    </row>
    <row r="139" spans="3:6">
      <c r="C139" s="138">
        <v>9406</v>
      </c>
      <c r="D139" s="100"/>
      <c r="E139" s="109">
        <v>0</v>
      </c>
      <c r="F139" s="141"/>
    </row>
    <row r="140" spans="3:6">
      <c r="C140" s="138">
        <v>9437</v>
      </c>
      <c r="D140" s="100"/>
      <c r="E140" s="109">
        <v>0</v>
      </c>
      <c r="F140" s="141"/>
    </row>
    <row r="141" spans="3:6">
      <c r="C141" s="138">
        <v>9467</v>
      </c>
      <c r="D141" s="100"/>
      <c r="E141" s="109">
        <v>0</v>
      </c>
      <c r="F141" s="141"/>
    </row>
    <row r="142" spans="3:6">
      <c r="C142" s="138">
        <v>9498</v>
      </c>
      <c r="D142" s="100"/>
      <c r="E142" s="109">
        <v>0</v>
      </c>
      <c r="F142" s="141"/>
    </row>
    <row r="143" spans="3:6">
      <c r="C143" s="138">
        <v>9529</v>
      </c>
      <c r="D143" s="100"/>
      <c r="E143" s="109">
        <v>0</v>
      </c>
      <c r="F143" s="141"/>
    </row>
    <row r="144" spans="3:6">
      <c r="C144" s="138">
        <v>9557</v>
      </c>
      <c r="D144" s="100"/>
      <c r="E144" s="109">
        <v>0</v>
      </c>
      <c r="F144" s="141"/>
    </row>
    <row r="145" spans="3:6">
      <c r="C145" s="138">
        <v>9588</v>
      </c>
      <c r="D145" s="100"/>
      <c r="E145" s="109">
        <v>0</v>
      </c>
      <c r="F145" s="141"/>
    </row>
    <row r="146" spans="3:6">
      <c r="C146" s="138">
        <v>9618</v>
      </c>
      <c r="D146" s="100"/>
      <c r="E146" s="109">
        <v>0</v>
      </c>
      <c r="F146" s="141"/>
    </row>
    <row r="147" spans="3:6">
      <c r="C147" s="138">
        <v>9649</v>
      </c>
      <c r="D147" s="100"/>
      <c r="E147" s="109">
        <v>0</v>
      </c>
      <c r="F147" s="141"/>
    </row>
    <row r="148" spans="3:6">
      <c r="C148" s="138">
        <v>9679</v>
      </c>
      <c r="D148" s="100"/>
      <c r="E148" s="109">
        <v>0</v>
      </c>
      <c r="F148" s="141"/>
    </row>
    <row r="149" spans="3:6">
      <c r="C149" s="138">
        <v>9710</v>
      </c>
      <c r="D149" s="100"/>
      <c r="E149" s="109">
        <v>0</v>
      </c>
      <c r="F149" s="141"/>
    </row>
    <row r="150" spans="3:6">
      <c r="C150" s="138">
        <v>9741</v>
      </c>
      <c r="D150" s="100"/>
      <c r="E150" s="109">
        <v>0</v>
      </c>
      <c r="F150" s="141"/>
    </row>
    <row r="151" spans="3:6">
      <c r="C151" s="138">
        <v>9771</v>
      </c>
      <c r="D151" s="100"/>
      <c r="E151" s="109">
        <v>0</v>
      </c>
      <c r="F151" s="141"/>
    </row>
    <row r="152" spans="3:6">
      <c r="C152" s="138">
        <v>9802</v>
      </c>
      <c r="D152" s="100"/>
      <c r="E152" s="109">
        <v>0</v>
      </c>
      <c r="F152" s="141"/>
    </row>
    <row r="153" spans="3:6">
      <c r="C153" s="138">
        <v>9832</v>
      </c>
      <c r="D153" s="100"/>
      <c r="E153" s="109">
        <v>0</v>
      </c>
      <c r="F153" s="141"/>
    </row>
    <row r="154" spans="3:6">
      <c r="C154" s="138">
        <v>9863</v>
      </c>
      <c r="D154" s="100"/>
      <c r="E154" s="109">
        <v>0</v>
      </c>
      <c r="F154" s="141"/>
    </row>
    <row r="155" spans="3:6">
      <c r="C155" s="138">
        <v>9894</v>
      </c>
      <c r="D155" s="100"/>
      <c r="E155" s="109">
        <v>0</v>
      </c>
      <c r="F155" s="141"/>
    </row>
    <row r="156" spans="3:6">
      <c r="C156" s="138">
        <v>9922</v>
      </c>
      <c r="D156" s="100"/>
      <c r="E156" s="109">
        <v>0</v>
      </c>
      <c r="F156" s="141"/>
    </row>
    <row r="157" spans="3:6">
      <c r="C157" s="138">
        <v>9953</v>
      </c>
      <c r="D157" s="100"/>
      <c r="E157" s="109">
        <v>0</v>
      </c>
      <c r="F157" s="141"/>
    </row>
    <row r="158" spans="3:6">
      <c r="C158" s="138">
        <v>9983</v>
      </c>
      <c r="D158" s="100"/>
      <c r="E158" s="109">
        <v>0</v>
      </c>
      <c r="F158" s="141"/>
    </row>
    <row r="159" spans="3:6">
      <c r="C159" s="138">
        <v>10014</v>
      </c>
      <c r="D159" s="100"/>
      <c r="E159" s="109">
        <v>0</v>
      </c>
      <c r="F159" s="141"/>
    </row>
    <row r="160" spans="3:6">
      <c r="C160" s="138">
        <v>10044</v>
      </c>
      <c r="D160" s="100"/>
      <c r="E160" s="109">
        <v>0</v>
      </c>
      <c r="F160" s="141"/>
    </row>
    <row r="161" spans="3:6">
      <c r="C161" s="138">
        <v>10075</v>
      </c>
      <c r="D161" s="100"/>
      <c r="E161" s="109">
        <v>0</v>
      </c>
      <c r="F161" s="141"/>
    </row>
    <row r="162" spans="3:6">
      <c r="C162" s="138">
        <v>10106</v>
      </c>
      <c r="D162" s="100"/>
      <c r="E162" s="109">
        <v>0</v>
      </c>
      <c r="F162" s="141"/>
    </row>
    <row r="163" spans="3:6">
      <c r="C163" s="138">
        <v>10136</v>
      </c>
      <c r="D163" s="100"/>
      <c r="E163" s="109">
        <v>0</v>
      </c>
      <c r="F163" s="141"/>
    </row>
    <row r="164" spans="3:6">
      <c r="C164" s="138">
        <v>10167</v>
      </c>
      <c r="D164" s="100"/>
      <c r="E164" s="109">
        <v>0</v>
      </c>
      <c r="F164" s="141"/>
    </row>
    <row r="165" spans="3:6">
      <c r="C165" s="138">
        <v>10197</v>
      </c>
      <c r="D165" s="100"/>
      <c r="E165" s="109">
        <v>0</v>
      </c>
      <c r="F165" s="141"/>
    </row>
    <row r="166" spans="3:6">
      <c r="C166" s="138">
        <v>10228</v>
      </c>
      <c r="D166" s="100"/>
      <c r="E166" s="109">
        <v>0</v>
      </c>
      <c r="F166" s="141"/>
    </row>
    <row r="167" spans="3:6">
      <c r="C167" s="138">
        <v>10259</v>
      </c>
      <c r="D167" s="100"/>
      <c r="E167" s="109">
        <v>0</v>
      </c>
      <c r="F167" s="141"/>
    </row>
    <row r="168" spans="3:6">
      <c r="C168" s="138">
        <v>10288</v>
      </c>
      <c r="D168" s="100"/>
      <c r="E168" s="109">
        <v>0</v>
      </c>
      <c r="F168" s="141"/>
    </row>
    <row r="169" spans="3:6">
      <c r="C169" s="138">
        <v>10319</v>
      </c>
      <c r="D169" s="100"/>
      <c r="E169" s="109">
        <v>0</v>
      </c>
      <c r="F169" s="141"/>
    </row>
    <row r="170" spans="3:6">
      <c r="C170" s="138">
        <v>10349</v>
      </c>
      <c r="D170" s="100"/>
      <c r="E170" s="109">
        <v>0</v>
      </c>
      <c r="F170" s="141"/>
    </row>
    <row r="171" spans="3:6">
      <c r="C171" s="138">
        <v>10380</v>
      </c>
      <c r="D171" s="100"/>
      <c r="E171" s="109">
        <v>0</v>
      </c>
      <c r="F171" s="141"/>
    </row>
    <row r="172" spans="3:6">
      <c r="C172" s="138">
        <v>10410</v>
      </c>
      <c r="D172" s="100"/>
      <c r="E172" s="109">
        <v>0</v>
      </c>
      <c r="F172" s="141"/>
    </row>
    <row r="173" spans="3:6">
      <c r="C173" s="138">
        <v>10441</v>
      </c>
      <c r="D173" s="100"/>
      <c r="E173" s="109">
        <v>0</v>
      </c>
      <c r="F173" s="141"/>
    </row>
    <row r="174" spans="3:6">
      <c r="C174" s="138">
        <v>10472</v>
      </c>
      <c r="D174" s="100"/>
      <c r="E174" s="109">
        <v>0</v>
      </c>
      <c r="F174" s="141"/>
    </row>
    <row r="175" spans="3:6">
      <c r="C175" s="138">
        <v>10502</v>
      </c>
      <c r="D175" s="100"/>
      <c r="E175" s="109">
        <v>0</v>
      </c>
      <c r="F175" s="141"/>
    </row>
    <row r="176" spans="3:6">
      <c r="C176" s="138">
        <v>10533</v>
      </c>
      <c r="D176" s="100"/>
      <c r="E176" s="109">
        <v>0</v>
      </c>
      <c r="F176" s="141"/>
    </row>
    <row r="177" spans="3:6">
      <c r="C177" s="138">
        <v>10563</v>
      </c>
      <c r="D177" s="100"/>
      <c r="E177" s="109">
        <v>0</v>
      </c>
      <c r="F177" s="141"/>
    </row>
    <row r="178" spans="3:6">
      <c r="C178" s="138">
        <v>10594</v>
      </c>
      <c r="D178" s="100"/>
      <c r="E178" s="109">
        <v>0</v>
      </c>
      <c r="F178" s="141"/>
    </row>
    <row r="179" spans="3:6">
      <c r="C179" s="138">
        <v>10625</v>
      </c>
      <c r="D179" s="100"/>
      <c r="E179" s="109">
        <v>0</v>
      </c>
      <c r="F179" s="141"/>
    </row>
    <row r="180" spans="3:6">
      <c r="C180" s="138">
        <v>10653</v>
      </c>
      <c r="D180" s="100"/>
      <c r="E180" s="109">
        <v>0</v>
      </c>
      <c r="F180" s="141"/>
    </row>
    <row r="181" spans="3:6">
      <c r="C181" s="138">
        <v>10684</v>
      </c>
      <c r="D181" s="100"/>
      <c r="E181" s="109">
        <v>0</v>
      </c>
      <c r="F181" s="141"/>
    </row>
    <row r="182" spans="3:6">
      <c r="C182" s="138">
        <v>10714</v>
      </c>
      <c r="D182" s="100"/>
      <c r="E182" s="109">
        <v>0</v>
      </c>
      <c r="F182" s="141"/>
    </row>
    <row r="183" spans="3:6">
      <c r="C183" s="138">
        <v>10745</v>
      </c>
      <c r="D183" s="100"/>
      <c r="E183" s="109">
        <v>0</v>
      </c>
      <c r="F183" s="141"/>
    </row>
    <row r="184" spans="3:6">
      <c r="C184" s="138">
        <v>10775</v>
      </c>
      <c r="D184" s="100"/>
      <c r="E184" s="109">
        <v>0</v>
      </c>
      <c r="F184" s="141"/>
    </row>
    <row r="185" spans="3:6">
      <c r="C185" s="138">
        <v>10806</v>
      </c>
      <c r="D185" s="100"/>
      <c r="E185" s="109">
        <v>0</v>
      </c>
      <c r="F185" s="141"/>
    </row>
    <row r="186" spans="3:6">
      <c r="C186" s="138">
        <v>10837</v>
      </c>
      <c r="D186" s="100"/>
      <c r="E186" s="109">
        <v>0</v>
      </c>
      <c r="F186" s="141"/>
    </row>
    <row r="187" spans="3:6">
      <c r="C187" s="138">
        <v>10867</v>
      </c>
      <c r="D187" s="100"/>
      <c r="E187" s="109">
        <v>0</v>
      </c>
      <c r="F187" s="141"/>
    </row>
    <row r="188" spans="3:6">
      <c r="C188" s="138">
        <v>10898</v>
      </c>
      <c r="D188" s="100"/>
      <c r="E188" s="109">
        <v>0</v>
      </c>
      <c r="F188" s="141"/>
    </row>
    <row r="189" spans="3:6">
      <c r="C189" s="138">
        <v>10928</v>
      </c>
      <c r="D189" s="100"/>
      <c r="E189" s="109">
        <v>0</v>
      </c>
      <c r="F189" s="141"/>
    </row>
    <row r="190" spans="3:6">
      <c r="C190" s="138">
        <v>10959</v>
      </c>
      <c r="D190" s="100"/>
      <c r="E190" s="109">
        <v>0</v>
      </c>
      <c r="F190" s="141"/>
    </row>
    <row r="191" spans="3:6">
      <c r="C191" s="138">
        <v>10990</v>
      </c>
      <c r="D191" s="100"/>
      <c r="E191" s="109">
        <v>0</v>
      </c>
      <c r="F191" s="141"/>
    </row>
    <row r="192" spans="3:6">
      <c r="C192" s="138">
        <v>11018</v>
      </c>
      <c r="D192" s="100"/>
      <c r="E192" s="109">
        <v>0</v>
      </c>
      <c r="F192" s="141"/>
    </row>
    <row r="193" spans="3:6">
      <c r="C193" s="138">
        <v>11049</v>
      </c>
      <c r="D193" s="100"/>
      <c r="E193" s="109">
        <v>0</v>
      </c>
      <c r="F193" s="141"/>
    </row>
    <row r="194" spans="3:6">
      <c r="C194" s="138">
        <v>11079</v>
      </c>
      <c r="D194" s="100"/>
      <c r="E194" s="109">
        <v>0</v>
      </c>
      <c r="F194" s="141"/>
    </row>
    <row r="195" spans="3:6">
      <c r="C195" s="138">
        <v>11110</v>
      </c>
      <c r="D195" s="100"/>
      <c r="E195" s="109">
        <v>0</v>
      </c>
      <c r="F195" s="141"/>
    </row>
    <row r="196" spans="3:6">
      <c r="C196" s="138">
        <v>11140</v>
      </c>
      <c r="D196" s="100"/>
      <c r="E196" s="109">
        <v>0</v>
      </c>
      <c r="F196" s="141"/>
    </row>
    <row r="197" spans="3:6">
      <c r="C197" s="138">
        <v>11171</v>
      </c>
      <c r="D197" s="100"/>
      <c r="E197" s="109">
        <v>0</v>
      </c>
      <c r="F197" s="141"/>
    </row>
    <row r="198" spans="3:6">
      <c r="C198" s="138">
        <v>11202</v>
      </c>
      <c r="D198" s="100"/>
      <c r="E198" s="109">
        <v>0</v>
      </c>
      <c r="F198" s="141"/>
    </row>
    <row r="199" spans="3:6">
      <c r="C199" s="138">
        <v>11232</v>
      </c>
      <c r="D199" s="100"/>
      <c r="E199" s="109">
        <v>0</v>
      </c>
      <c r="F199" s="141"/>
    </row>
    <row r="200" spans="3:6">
      <c r="C200" s="138">
        <v>11263</v>
      </c>
      <c r="D200" s="100"/>
      <c r="E200" s="109">
        <v>0</v>
      </c>
      <c r="F200" s="141"/>
    </row>
    <row r="201" spans="3:6">
      <c r="C201" s="138">
        <v>11293</v>
      </c>
      <c r="D201" s="100"/>
      <c r="E201" s="109">
        <v>0</v>
      </c>
      <c r="F201" s="141"/>
    </row>
    <row r="202" spans="3:6">
      <c r="C202" s="138">
        <v>11324</v>
      </c>
      <c r="D202" s="100"/>
      <c r="E202" s="109">
        <v>0</v>
      </c>
      <c r="F202" s="141"/>
    </row>
    <row r="203" spans="3:6">
      <c r="C203" s="138">
        <v>11355</v>
      </c>
      <c r="D203" s="100"/>
      <c r="E203" s="109">
        <v>0</v>
      </c>
      <c r="F203" s="141"/>
    </row>
    <row r="204" spans="3:6">
      <c r="C204" s="138">
        <v>11383</v>
      </c>
      <c r="D204" s="100"/>
      <c r="E204" s="109">
        <v>0</v>
      </c>
      <c r="F204" s="141"/>
    </row>
    <row r="205" spans="3:6">
      <c r="C205" s="138">
        <v>11414</v>
      </c>
      <c r="D205" s="100"/>
      <c r="E205" s="109">
        <v>0</v>
      </c>
      <c r="F205" s="141"/>
    </row>
    <row r="206" spans="3:6">
      <c r="C206" s="138">
        <v>11444</v>
      </c>
      <c r="D206" s="100"/>
      <c r="E206" s="109">
        <v>0</v>
      </c>
      <c r="F206" s="141"/>
    </row>
    <row r="207" spans="3:6">
      <c r="C207" s="138">
        <v>11475</v>
      </c>
      <c r="D207" s="100"/>
      <c r="E207" s="109">
        <v>0</v>
      </c>
      <c r="F207" s="141"/>
    </row>
    <row r="208" spans="3:6">
      <c r="C208" s="138">
        <v>11505</v>
      </c>
      <c r="D208" s="100"/>
      <c r="E208" s="109">
        <v>0</v>
      </c>
      <c r="F208" s="141"/>
    </row>
    <row r="209" spans="3:6">
      <c r="C209" s="138">
        <v>11536</v>
      </c>
      <c r="D209" s="100"/>
      <c r="E209" s="109">
        <v>0</v>
      </c>
      <c r="F209" s="141"/>
    </row>
    <row r="210" spans="3:6">
      <c r="C210" s="138">
        <v>11567</v>
      </c>
      <c r="D210" s="100"/>
      <c r="E210" s="109">
        <v>0</v>
      </c>
      <c r="F210" s="141"/>
    </row>
    <row r="211" spans="3:6">
      <c r="C211" s="138">
        <v>11597</v>
      </c>
      <c r="D211" s="100"/>
      <c r="E211" s="109">
        <v>0</v>
      </c>
      <c r="F211" s="141"/>
    </row>
    <row r="212" spans="3:6">
      <c r="C212" s="138">
        <v>11628</v>
      </c>
      <c r="D212" s="100"/>
      <c r="E212" s="109">
        <v>0</v>
      </c>
      <c r="F212" s="141"/>
    </row>
    <row r="213" spans="3:6">
      <c r="C213" s="138">
        <v>11658</v>
      </c>
      <c r="D213" s="100"/>
      <c r="E213" s="109">
        <v>0</v>
      </c>
      <c r="F213" s="141"/>
    </row>
    <row r="214" spans="3:6">
      <c r="C214" s="138">
        <v>11689</v>
      </c>
      <c r="D214" s="100"/>
      <c r="E214" s="109">
        <v>0</v>
      </c>
      <c r="F214" s="141"/>
    </row>
    <row r="215" spans="3:6">
      <c r="C215" s="138">
        <v>11720</v>
      </c>
      <c r="D215" s="100"/>
      <c r="E215" s="109">
        <v>0</v>
      </c>
      <c r="F215" s="141"/>
    </row>
    <row r="216" spans="3:6">
      <c r="C216" s="138">
        <v>11749</v>
      </c>
      <c r="D216" s="100"/>
      <c r="E216" s="109">
        <v>0</v>
      </c>
      <c r="F216" s="141"/>
    </row>
    <row r="217" spans="3:6">
      <c r="C217" s="138">
        <v>11780</v>
      </c>
      <c r="D217" s="100"/>
      <c r="E217" s="109">
        <v>0</v>
      </c>
      <c r="F217" s="141"/>
    </row>
    <row r="218" spans="3:6">
      <c r="C218" s="138">
        <v>11810</v>
      </c>
      <c r="D218" s="100"/>
      <c r="E218" s="109">
        <v>0</v>
      </c>
      <c r="F218" s="141"/>
    </row>
    <row r="219" spans="3:6">
      <c r="C219" s="138">
        <v>11841</v>
      </c>
      <c r="D219" s="100"/>
      <c r="E219" s="109">
        <v>0</v>
      </c>
      <c r="F219" s="141"/>
    </row>
    <row r="220" spans="3:6">
      <c r="C220" s="138">
        <v>11871</v>
      </c>
      <c r="D220" s="100"/>
      <c r="E220" s="109">
        <v>0</v>
      </c>
      <c r="F220" s="141"/>
    </row>
    <row r="221" spans="3:6">
      <c r="C221" s="138">
        <v>11902</v>
      </c>
      <c r="D221" s="100"/>
      <c r="E221" s="109">
        <v>0</v>
      </c>
      <c r="F221" s="141"/>
    </row>
    <row r="222" spans="3:6">
      <c r="C222" s="138">
        <v>11933</v>
      </c>
      <c r="D222" s="100"/>
      <c r="E222" s="109">
        <v>0</v>
      </c>
      <c r="F222" s="141"/>
    </row>
    <row r="223" spans="3:6">
      <c r="C223" s="138">
        <v>11963</v>
      </c>
      <c r="D223" s="100"/>
      <c r="E223" s="109">
        <v>0</v>
      </c>
      <c r="F223" s="141"/>
    </row>
    <row r="224" spans="3:6">
      <c r="C224" s="138">
        <v>11994</v>
      </c>
      <c r="D224" s="100"/>
      <c r="E224" s="109">
        <v>0</v>
      </c>
      <c r="F224" s="141"/>
    </row>
    <row r="225" spans="3:6">
      <c r="C225" s="138">
        <v>12024</v>
      </c>
      <c r="D225" s="100"/>
      <c r="E225" s="109">
        <v>0</v>
      </c>
      <c r="F225" s="141"/>
    </row>
    <row r="226" spans="3:6">
      <c r="C226" s="138">
        <v>12055</v>
      </c>
      <c r="D226" s="100"/>
      <c r="E226" s="109">
        <v>0</v>
      </c>
      <c r="F226" s="141"/>
    </row>
    <row r="227" spans="3:6">
      <c r="C227" s="138">
        <v>12086</v>
      </c>
      <c r="D227" s="100"/>
      <c r="E227" s="109">
        <v>0</v>
      </c>
      <c r="F227" s="141"/>
    </row>
    <row r="228" spans="3:6">
      <c r="C228" s="138">
        <v>12114</v>
      </c>
      <c r="D228" s="100"/>
      <c r="E228" s="109">
        <v>0</v>
      </c>
      <c r="F228" s="141"/>
    </row>
    <row r="229" spans="3:6">
      <c r="C229" s="138">
        <v>12145</v>
      </c>
      <c r="D229" s="100"/>
      <c r="E229" s="109">
        <v>0</v>
      </c>
      <c r="F229" s="141"/>
    </row>
    <row r="230" spans="3:6">
      <c r="C230" s="138">
        <v>12175</v>
      </c>
      <c r="D230" s="100"/>
      <c r="E230" s="109">
        <v>0</v>
      </c>
      <c r="F230" s="141"/>
    </row>
    <row r="231" spans="3:6">
      <c r="C231" s="138">
        <v>12206</v>
      </c>
      <c r="D231" s="100"/>
      <c r="E231" s="109">
        <v>0</v>
      </c>
      <c r="F231" s="141"/>
    </row>
    <row r="232" spans="3:6">
      <c r="C232" s="138">
        <v>12236</v>
      </c>
      <c r="D232" s="100"/>
      <c r="E232" s="109">
        <v>0</v>
      </c>
      <c r="F232" s="141"/>
    </row>
    <row r="233" spans="3:6">
      <c r="C233" s="138">
        <v>12267</v>
      </c>
      <c r="D233" s="100"/>
      <c r="E233" s="109">
        <v>0</v>
      </c>
      <c r="F233" s="141"/>
    </row>
    <row r="234" spans="3:6">
      <c r="C234" s="138">
        <v>12298</v>
      </c>
      <c r="D234" s="100"/>
      <c r="E234" s="109">
        <v>0</v>
      </c>
      <c r="F234" s="141"/>
    </row>
    <row r="235" spans="3:6">
      <c r="C235" s="138">
        <v>12328</v>
      </c>
      <c r="D235" s="100"/>
      <c r="E235" s="109">
        <v>0</v>
      </c>
      <c r="F235" s="141"/>
    </row>
    <row r="236" spans="3:6">
      <c r="C236" s="138">
        <v>12359</v>
      </c>
      <c r="D236" s="100"/>
      <c r="E236" s="109">
        <v>0</v>
      </c>
      <c r="F236" s="141"/>
    </row>
    <row r="237" spans="3:6">
      <c r="C237" s="138">
        <v>12389</v>
      </c>
      <c r="D237" s="100"/>
      <c r="E237" s="109">
        <v>0</v>
      </c>
      <c r="F237" s="141"/>
    </row>
    <row r="238" spans="3:6">
      <c r="C238" s="138">
        <v>12420</v>
      </c>
      <c r="D238" s="100"/>
      <c r="E238" s="109">
        <v>0</v>
      </c>
      <c r="F238" s="141"/>
    </row>
    <row r="239" spans="3:6">
      <c r="C239" s="138">
        <v>12451</v>
      </c>
      <c r="D239" s="100"/>
      <c r="E239" s="109">
        <v>0</v>
      </c>
      <c r="F239" s="141"/>
    </row>
    <row r="240" spans="3:6">
      <c r="C240" s="138">
        <v>12479</v>
      </c>
      <c r="D240" s="100"/>
      <c r="E240" s="109">
        <v>0</v>
      </c>
      <c r="F240" s="141"/>
    </row>
    <row r="241" spans="3:6">
      <c r="C241" s="138">
        <v>12510</v>
      </c>
      <c r="D241" s="100"/>
      <c r="E241" s="109">
        <v>0</v>
      </c>
      <c r="F241" s="141"/>
    </row>
    <row r="242" spans="3:6">
      <c r="C242" s="138">
        <v>12540</v>
      </c>
      <c r="D242" s="100"/>
      <c r="E242" s="109">
        <v>0</v>
      </c>
      <c r="F242" s="141"/>
    </row>
    <row r="243" spans="3:6">
      <c r="C243" s="138">
        <v>12571</v>
      </c>
      <c r="D243" s="100"/>
      <c r="E243" s="109">
        <v>0</v>
      </c>
      <c r="F243" s="141"/>
    </row>
    <row r="244" spans="3:6">
      <c r="C244" s="138">
        <v>12601</v>
      </c>
      <c r="D244" s="100"/>
      <c r="E244" s="109">
        <v>0</v>
      </c>
      <c r="F244" s="141"/>
    </row>
    <row r="245" spans="3:6">
      <c r="C245" s="138">
        <v>12632</v>
      </c>
      <c r="D245" s="100"/>
      <c r="E245" s="109">
        <v>0</v>
      </c>
      <c r="F245" s="141"/>
    </row>
    <row r="246" spans="3:6">
      <c r="C246" s="138">
        <v>12663</v>
      </c>
      <c r="D246" s="100"/>
      <c r="E246" s="109">
        <v>0</v>
      </c>
      <c r="F246" s="141"/>
    </row>
    <row r="247" spans="3:6">
      <c r="C247" s="138">
        <v>12693</v>
      </c>
      <c r="D247" s="100"/>
      <c r="E247" s="109">
        <v>0</v>
      </c>
      <c r="F247" s="141"/>
    </row>
    <row r="248" spans="3:6">
      <c r="C248" s="138">
        <v>12724</v>
      </c>
      <c r="D248" s="100"/>
      <c r="E248" s="109">
        <v>0</v>
      </c>
      <c r="F248" s="141"/>
    </row>
    <row r="249" spans="3:6">
      <c r="C249" s="138">
        <v>12754</v>
      </c>
      <c r="D249" s="100"/>
      <c r="E249" s="109">
        <v>0</v>
      </c>
      <c r="F249" s="141"/>
    </row>
    <row r="250" spans="3:6">
      <c r="C250" s="138">
        <v>12785</v>
      </c>
      <c r="D250" s="100"/>
      <c r="E250" s="109">
        <v>0</v>
      </c>
      <c r="F250" s="141"/>
    </row>
    <row r="251" spans="3:6">
      <c r="C251" s="138">
        <v>12816</v>
      </c>
      <c r="D251" s="100"/>
      <c r="E251" s="109">
        <v>0</v>
      </c>
      <c r="F251" s="141"/>
    </row>
    <row r="252" spans="3:6">
      <c r="C252" s="138">
        <v>12844</v>
      </c>
      <c r="D252" s="100"/>
      <c r="E252" s="109">
        <v>0</v>
      </c>
      <c r="F252" s="141"/>
    </row>
    <row r="253" spans="3:6">
      <c r="C253" s="138">
        <v>12875</v>
      </c>
      <c r="D253" s="100"/>
      <c r="E253" s="109">
        <v>0</v>
      </c>
      <c r="F253" s="141"/>
    </row>
    <row r="254" spans="3:6">
      <c r="C254" s="138">
        <v>12905</v>
      </c>
      <c r="D254" s="100"/>
      <c r="E254" s="109">
        <v>0</v>
      </c>
      <c r="F254" s="141"/>
    </row>
    <row r="255" spans="3:6">
      <c r="C255" s="138">
        <v>12936</v>
      </c>
      <c r="D255" s="100"/>
      <c r="E255" s="109">
        <v>0</v>
      </c>
      <c r="F255" s="141"/>
    </row>
    <row r="256" spans="3:6">
      <c r="C256" s="138">
        <v>12966</v>
      </c>
      <c r="D256" s="100"/>
      <c r="E256" s="109">
        <v>0</v>
      </c>
      <c r="F256" s="141"/>
    </row>
    <row r="257" spans="3:6">
      <c r="C257" s="138">
        <v>12997</v>
      </c>
      <c r="D257" s="100"/>
      <c r="E257" s="109">
        <v>0</v>
      </c>
      <c r="F257" s="141"/>
    </row>
    <row r="258" spans="3:6">
      <c r="C258" s="138">
        <v>13028</v>
      </c>
      <c r="D258" s="100"/>
      <c r="E258" s="109">
        <v>0</v>
      </c>
      <c r="F258" s="141"/>
    </row>
    <row r="259" spans="3:6">
      <c r="C259" s="138">
        <v>13058</v>
      </c>
      <c r="D259" s="100"/>
      <c r="E259" s="109">
        <v>0</v>
      </c>
      <c r="F259" s="141"/>
    </row>
    <row r="260" spans="3:6">
      <c r="C260" s="138">
        <v>13089</v>
      </c>
      <c r="D260" s="100"/>
      <c r="E260" s="109">
        <v>0</v>
      </c>
      <c r="F260" s="141"/>
    </row>
    <row r="261" spans="3:6">
      <c r="C261" s="138">
        <v>13119</v>
      </c>
      <c r="D261" s="100"/>
      <c r="E261" s="109">
        <v>0</v>
      </c>
      <c r="F261" s="141"/>
    </row>
    <row r="262" spans="3:6">
      <c r="C262" s="138">
        <v>13150</v>
      </c>
      <c r="D262" s="100"/>
      <c r="E262" s="109">
        <v>0</v>
      </c>
      <c r="F262" s="141"/>
    </row>
    <row r="263" spans="3:6">
      <c r="C263" s="138">
        <v>13181</v>
      </c>
      <c r="D263" s="100"/>
      <c r="E263" s="109">
        <v>0</v>
      </c>
      <c r="F263" s="141"/>
    </row>
    <row r="264" spans="3:6">
      <c r="C264" s="138">
        <v>13210</v>
      </c>
      <c r="D264" s="100"/>
      <c r="E264" s="109">
        <v>0</v>
      </c>
      <c r="F264" s="141"/>
    </row>
    <row r="265" spans="3:6">
      <c r="C265" s="138">
        <v>13241</v>
      </c>
      <c r="D265" s="100"/>
      <c r="E265" s="109">
        <v>0</v>
      </c>
      <c r="F265" s="141"/>
    </row>
    <row r="266" spans="3:6">
      <c r="C266" s="138">
        <v>13271</v>
      </c>
      <c r="D266" s="100"/>
      <c r="E266" s="109">
        <v>0</v>
      </c>
      <c r="F266" s="141"/>
    </row>
    <row r="267" spans="3:6">
      <c r="C267" s="138">
        <v>13302</v>
      </c>
      <c r="D267" s="100"/>
      <c r="E267" s="109">
        <v>0</v>
      </c>
      <c r="F267" s="141"/>
    </row>
    <row r="268" spans="3:6">
      <c r="C268" s="138">
        <v>13332</v>
      </c>
      <c r="D268" s="100"/>
      <c r="E268" s="109">
        <v>0</v>
      </c>
      <c r="F268" s="141"/>
    </row>
    <row r="269" spans="3:6">
      <c r="C269" s="138">
        <v>13363</v>
      </c>
      <c r="D269" s="100"/>
      <c r="E269" s="109">
        <v>0</v>
      </c>
      <c r="F269" s="141"/>
    </row>
    <row r="270" spans="3:6">
      <c r="C270" s="138">
        <v>13394</v>
      </c>
      <c r="D270" s="100"/>
      <c r="E270" s="109">
        <v>0</v>
      </c>
      <c r="F270" s="141"/>
    </row>
    <row r="271" spans="3:6">
      <c r="C271" s="138">
        <v>13424</v>
      </c>
      <c r="D271" s="100"/>
      <c r="E271" s="109">
        <v>0</v>
      </c>
      <c r="F271" s="141"/>
    </row>
    <row r="272" spans="3:6">
      <c r="C272" s="138">
        <v>13455</v>
      </c>
      <c r="D272" s="100"/>
      <c r="E272" s="109">
        <v>0</v>
      </c>
      <c r="F272" s="141"/>
    </row>
    <row r="273" spans="3:6">
      <c r="C273" s="138">
        <v>13485</v>
      </c>
      <c r="D273" s="100"/>
      <c r="E273" s="109">
        <v>0</v>
      </c>
      <c r="F273" s="141"/>
    </row>
    <row r="274" spans="3:6">
      <c r="C274" s="138">
        <v>13516</v>
      </c>
      <c r="D274" s="100"/>
      <c r="E274" s="109">
        <v>0</v>
      </c>
      <c r="F274" s="141"/>
    </row>
    <row r="275" spans="3:6">
      <c r="C275" s="138">
        <v>13547</v>
      </c>
      <c r="D275" s="100"/>
      <c r="E275" s="109">
        <v>0</v>
      </c>
      <c r="F275" s="141"/>
    </row>
    <row r="276" spans="3:6">
      <c r="C276" s="138">
        <v>13575</v>
      </c>
      <c r="D276" s="100"/>
      <c r="E276" s="109">
        <v>0</v>
      </c>
      <c r="F276" s="141"/>
    </row>
    <row r="277" spans="3:6">
      <c r="C277" s="138">
        <v>13606</v>
      </c>
      <c r="D277" s="100"/>
      <c r="E277" s="109">
        <v>0</v>
      </c>
      <c r="F277" s="141"/>
    </row>
    <row r="278" spans="3:6">
      <c r="C278" s="138">
        <v>13636</v>
      </c>
      <c r="D278" s="100"/>
      <c r="E278" s="109">
        <v>0</v>
      </c>
      <c r="F278" s="141"/>
    </row>
    <row r="279" spans="3:6">
      <c r="C279" s="138">
        <v>13667</v>
      </c>
      <c r="D279" s="100"/>
      <c r="E279" s="109">
        <v>0</v>
      </c>
      <c r="F279" s="141"/>
    </row>
    <row r="280" spans="3:6">
      <c r="C280" s="138">
        <v>13697</v>
      </c>
      <c r="D280" s="100"/>
      <c r="E280" s="109">
        <v>0</v>
      </c>
      <c r="F280" s="141"/>
    </row>
    <row r="281" spans="3:6">
      <c r="C281" s="138">
        <v>13728</v>
      </c>
      <c r="D281" s="100"/>
      <c r="E281" s="109">
        <v>0</v>
      </c>
      <c r="F281" s="141"/>
    </row>
    <row r="282" spans="3:6">
      <c r="C282" s="138">
        <v>13759</v>
      </c>
      <c r="D282" s="100"/>
      <c r="E282" s="109">
        <v>0</v>
      </c>
      <c r="F282" s="141"/>
    </row>
    <row r="283" spans="3:6">
      <c r="C283" s="138">
        <v>13789</v>
      </c>
      <c r="D283" s="100"/>
      <c r="E283" s="109">
        <v>0</v>
      </c>
      <c r="F283" s="141"/>
    </row>
    <row r="284" spans="3:6">
      <c r="C284" s="138">
        <v>13820</v>
      </c>
      <c r="D284" s="100"/>
      <c r="E284" s="109">
        <v>0</v>
      </c>
      <c r="F284" s="141"/>
    </row>
    <row r="285" spans="3:6">
      <c r="C285" s="138">
        <v>13850</v>
      </c>
      <c r="D285" s="100"/>
      <c r="E285" s="109">
        <v>0</v>
      </c>
      <c r="F285" s="141"/>
    </row>
    <row r="286" spans="3:6">
      <c r="C286" s="138">
        <v>13881</v>
      </c>
      <c r="D286" s="100"/>
      <c r="E286" s="109">
        <v>0</v>
      </c>
      <c r="F286" s="141"/>
    </row>
    <row r="287" spans="3:6">
      <c r="C287" s="138">
        <v>13912</v>
      </c>
      <c r="D287" s="100"/>
      <c r="E287" s="109">
        <v>0</v>
      </c>
      <c r="F287" s="141"/>
    </row>
    <row r="288" spans="3:6">
      <c r="C288" s="138">
        <v>13940</v>
      </c>
      <c r="D288" s="100"/>
      <c r="E288" s="109">
        <v>0</v>
      </c>
      <c r="F288" s="141"/>
    </row>
    <row r="289" spans="3:6">
      <c r="C289" s="138">
        <v>13971</v>
      </c>
      <c r="D289" s="100"/>
      <c r="E289" s="109">
        <v>0</v>
      </c>
      <c r="F289" s="141"/>
    </row>
    <row r="290" spans="3:6">
      <c r="C290" s="138">
        <v>14001</v>
      </c>
      <c r="D290" s="100"/>
      <c r="E290" s="109">
        <v>0</v>
      </c>
      <c r="F290" s="141"/>
    </row>
    <row r="291" spans="3:6">
      <c r="C291" s="138">
        <v>14032</v>
      </c>
      <c r="D291" s="100"/>
      <c r="E291" s="109">
        <v>0</v>
      </c>
      <c r="F291" s="141"/>
    </row>
    <row r="292" spans="3:6">
      <c r="C292" s="138">
        <v>14062</v>
      </c>
      <c r="D292" s="100"/>
      <c r="E292" s="109">
        <v>0</v>
      </c>
      <c r="F292" s="141"/>
    </row>
    <row r="293" spans="3:6">
      <c r="C293" s="138">
        <v>14093</v>
      </c>
      <c r="D293" s="100"/>
      <c r="E293" s="109">
        <v>0</v>
      </c>
      <c r="F293" s="141"/>
    </row>
    <row r="294" spans="3:6">
      <c r="C294" s="138">
        <v>14124</v>
      </c>
      <c r="D294" s="100"/>
      <c r="E294" s="109">
        <v>0</v>
      </c>
      <c r="F294" s="141"/>
    </row>
    <row r="295" spans="3:6">
      <c r="C295" s="138">
        <v>14154</v>
      </c>
      <c r="D295" s="100"/>
      <c r="E295" s="109">
        <v>0</v>
      </c>
      <c r="F295" s="141"/>
    </row>
    <row r="296" spans="3:6">
      <c r="C296" s="138">
        <v>14185</v>
      </c>
      <c r="D296" s="100"/>
      <c r="E296" s="109">
        <v>0</v>
      </c>
      <c r="F296" s="141"/>
    </row>
    <row r="297" spans="3:6">
      <c r="C297" s="138">
        <v>14215</v>
      </c>
      <c r="D297" s="100"/>
      <c r="E297" s="109">
        <v>0</v>
      </c>
      <c r="F297" s="141"/>
    </row>
    <row r="298" spans="3:6">
      <c r="C298" s="138">
        <v>14246</v>
      </c>
      <c r="D298" s="100"/>
      <c r="E298" s="109">
        <v>0</v>
      </c>
      <c r="F298" s="141"/>
    </row>
    <row r="299" spans="3:6">
      <c r="C299" s="138">
        <v>14277</v>
      </c>
      <c r="D299" s="100"/>
      <c r="E299" s="109">
        <v>0</v>
      </c>
      <c r="F299" s="141"/>
    </row>
    <row r="300" spans="3:6">
      <c r="C300" s="138">
        <v>14305</v>
      </c>
      <c r="D300" s="100"/>
      <c r="E300" s="109">
        <v>0</v>
      </c>
      <c r="F300" s="141"/>
    </row>
    <row r="301" spans="3:6">
      <c r="C301" s="138">
        <v>14336</v>
      </c>
      <c r="D301" s="100"/>
      <c r="E301" s="109">
        <v>0</v>
      </c>
      <c r="F301" s="141"/>
    </row>
    <row r="302" spans="3:6">
      <c r="C302" s="138">
        <v>14366</v>
      </c>
      <c r="D302" s="100"/>
      <c r="E302" s="109">
        <v>0</v>
      </c>
      <c r="F302" s="141"/>
    </row>
    <row r="303" spans="3:6">
      <c r="C303" s="138">
        <v>14397</v>
      </c>
      <c r="D303" s="100"/>
      <c r="E303" s="109">
        <v>0</v>
      </c>
      <c r="F303" s="141"/>
    </row>
    <row r="304" spans="3:6">
      <c r="C304" s="138">
        <v>14427</v>
      </c>
      <c r="D304" s="100"/>
      <c r="E304" s="109">
        <v>0</v>
      </c>
      <c r="F304" s="141"/>
    </row>
    <row r="305" spans="3:6">
      <c r="C305" s="138">
        <v>14458</v>
      </c>
      <c r="D305" s="100"/>
      <c r="E305" s="109">
        <v>0</v>
      </c>
      <c r="F305" s="141"/>
    </row>
    <row r="306" spans="3:6">
      <c r="C306" s="138">
        <v>14489</v>
      </c>
      <c r="D306" s="100"/>
      <c r="E306" s="109">
        <v>0</v>
      </c>
      <c r="F306" s="141"/>
    </row>
    <row r="307" spans="3:6">
      <c r="C307" s="138">
        <v>14519</v>
      </c>
      <c r="D307" s="100"/>
      <c r="E307" s="109">
        <v>0</v>
      </c>
      <c r="F307" s="141"/>
    </row>
    <row r="308" spans="3:6">
      <c r="C308" s="138">
        <v>14550</v>
      </c>
      <c r="D308" s="100"/>
      <c r="E308" s="109">
        <v>0</v>
      </c>
      <c r="F308" s="141"/>
    </row>
    <row r="309" spans="3:6">
      <c r="C309" s="138">
        <v>14580</v>
      </c>
      <c r="D309" s="100"/>
      <c r="E309" s="109">
        <v>0</v>
      </c>
      <c r="F309" s="141"/>
    </row>
    <row r="310" spans="3:6">
      <c r="C310" s="138">
        <v>14611</v>
      </c>
      <c r="D310" s="100"/>
      <c r="E310" s="109">
        <v>0</v>
      </c>
      <c r="F310" s="141"/>
    </row>
    <row r="311" spans="3:6">
      <c r="C311" s="138">
        <v>14642</v>
      </c>
      <c r="D311" s="100"/>
      <c r="E311" s="109">
        <v>0</v>
      </c>
      <c r="F311" s="141"/>
    </row>
    <row r="312" spans="3:6">
      <c r="C312" s="138">
        <v>14671</v>
      </c>
      <c r="D312" s="100"/>
      <c r="E312" s="109">
        <v>0</v>
      </c>
      <c r="F312" s="141"/>
    </row>
    <row r="313" spans="3:6">
      <c r="C313" s="138">
        <v>14702</v>
      </c>
      <c r="D313" s="100"/>
      <c r="E313" s="109">
        <v>0</v>
      </c>
      <c r="F313" s="141"/>
    </row>
    <row r="314" spans="3:6">
      <c r="C314" s="138">
        <v>14732</v>
      </c>
      <c r="D314" s="100"/>
      <c r="E314" s="109">
        <v>0</v>
      </c>
      <c r="F314" s="141"/>
    </row>
    <row r="315" spans="3:6">
      <c r="C315" s="138">
        <v>14763</v>
      </c>
      <c r="D315" s="100"/>
      <c r="E315" s="109">
        <v>0</v>
      </c>
      <c r="F315" s="141"/>
    </row>
    <row r="316" spans="3:6">
      <c r="C316" s="138">
        <v>14793</v>
      </c>
      <c r="D316" s="100"/>
      <c r="E316" s="109">
        <v>0</v>
      </c>
      <c r="F316" s="141"/>
    </row>
    <row r="317" spans="3:6">
      <c r="C317" s="138">
        <v>14824</v>
      </c>
      <c r="D317" s="100"/>
      <c r="E317" s="109">
        <v>0</v>
      </c>
      <c r="F317" s="141"/>
    </row>
    <row r="318" spans="3:6">
      <c r="C318" s="138">
        <v>14855</v>
      </c>
      <c r="D318" s="100"/>
      <c r="E318" s="109">
        <v>0</v>
      </c>
      <c r="F318" s="141"/>
    </row>
    <row r="319" spans="3:6">
      <c r="C319" s="138">
        <v>14885</v>
      </c>
      <c r="D319" s="100"/>
      <c r="E319" s="109">
        <v>0</v>
      </c>
      <c r="F319" s="141"/>
    </row>
    <row r="320" spans="3:6">
      <c r="C320" s="138">
        <v>14916</v>
      </c>
      <c r="D320" s="100"/>
      <c r="E320" s="109">
        <v>0</v>
      </c>
      <c r="F320" s="141"/>
    </row>
    <row r="321" spans="3:6">
      <c r="C321" s="138">
        <v>14946</v>
      </c>
      <c r="D321" s="100"/>
      <c r="E321" s="109">
        <v>0</v>
      </c>
      <c r="F321" s="141"/>
    </row>
    <row r="322" spans="3:6">
      <c r="C322" s="138">
        <v>14977</v>
      </c>
      <c r="D322" s="100"/>
      <c r="E322" s="109">
        <v>0</v>
      </c>
      <c r="F322" s="141"/>
    </row>
    <row r="323" spans="3:6">
      <c r="C323" s="138">
        <v>15008</v>
      </c>
      <c r="D323" s="100"/>
      <c r="E323" s="109">
        <v>0</v>
      </c>
      <c r="F323" s="141"/>
    </row>
    <row r="324" spans="3:6">
      <c r="C324" s="138">
        <v>15036</v>
      </c>
      <c r="D324" s="100"/>
      <c r="E324" s="109">
        <v>0</v>
      </c>
      <c r="F324" s="141"/>
    </row>
    <row r="325" spans="3:6">
      <c r="C325" s="138">
        <v>15067</v>
      </c>
      <c r="D325" s="100"/>
      <c r="E325" s="109">
        <v>0</v>
      </c>
      <c r="F325" s="141"/>
    </row>
    <row r="326" spans="3:6">
      <c r="C326" s="138">
        <v>15097</v>
      </c>
      <c r="D326" s="100"/>
      <c r="E326" s="109">
        <v>0</v>
      </c>
      <c r="F326" s="141"/>
    </row>
    <row r="327" spans="3:6">
      <c r="C327" s="138">
        <v>15128</v>
      </c>
      <c r="D327" s="100"/>
      <c r="E327" s="109">
        <v>0</v>
      </c>
      <c r="F327" s="141"/>
    </row>
    <row r="328" spans="3:6">
      <c r="C328" s="138">
        <v>15158</v>
      </c>
      <c r="D328" s="100"/>
      <c r="E328" s="109">
        <v>0</v>
      </c>
      <c r="F328" s="141"/>
    </row>
    <row r="329" spans="3:6">
      <c r="C329" s="138">
        <v>15189</v>
      </c>
      <c r="D329" s="100"/>
      <c r="E329" s="109">
        <v>0</v>
      </c>
      <c r="F329" s="141"/>
    </row>
    <row r="330" spans="3:6">
      <c r="C330" s="138">
        <v>15220</v>
      </c>
      <c r="D330" s="100"/>
      <c r="E330" s="109">
        <v>0</v>
      </c>
      <c r="F330" s="141"/>
    </row>
    <row r="331" spans="3:6">
      <c r="C331" s="138">
        <v>15250</v>
      </c>
      <c r="D331" s="100"/>
      <c r="E331" s="109">
        <v>0</v>
      </c>
      <c r="F331" s="141"/>
    </row>
    <row r="332" spans="3:6">
      <c r="C332" s="138">
        <v>15281</v>
      </c>
      <c r="D332" s="100"/>
      <c r="E332" s="109">
        <v>0</v>
      </c>
      <c r="F332" s="141"/>
    </row>
    <row r="333" spans="3:6">
      <c r="C333" s="138">
        <v>15311</v>
      </c>
      <c r="D333" s="100"/>
      <c r="E333" s="109">
        <v>0</v>
      </c>
      <c r="F333" s="141"/>
    </row>
    <row r="334" spans="3:6">
      <c r="C334" s="138">
        <v>15342</v>
      </c>
      <c r="D334" s="100"/>
      <c r="E334" s="109">
        <v>0</v>
      </c>
      <c r="F334" s="141"/>
    </row>
    <row r="335" spans="3:6">
      <c r="C335" s="138">
        <v>15373</v>
      </c>
      <c r="D335" s="100"/>
      <c r="E335" s="109">
        <v>0</v>
      </c>
      <c r="F335" s="141"/>
    </row>
    <row r="336" spans="3:6">
      <c r="C336" s="138">
        <v>15401</v>
      </c>
      <c r="D336" s="100"/>
      <c r="E336" s="109">
        <v>0</v>
      </c>
      <c r="F336" s="141"/>
    </row>
    <row r="337" spans="3:6">
      <c r="C337" s="138">
        <v>15432</v>
      </c>
      <c r="D337" s="100"/>
      <c r="E337" s="109">
        <v>0</v>
      </c>
      <c r="F337" s="141"/>
    </row>
    <row r="338" spans="3:6">
      <c r="C338" s="138">
        <v>15462</v>
      </c>
      <c r="D338" s="100"/>
      <c r="E338" s="109">
        <v>0</v>
      </c>
      <c r="F338" s="141"/>
    </row>
    <row r="339" spans="3:6">
      <c r="C339" s="138">
        <v>15493</v>
      </c>
      <c r="D339" s="100"/>
      <c r="E339" s="109">
        <v>0</v>
      </c>
      <c r="F339" s="141"/>
    </row>
    <row r="340" spans="3:6">
      <c r="C340" s="138">
        <v>15523</v>
      </c>
      <c r="D340" s="100"/>
      <c r="E340" s="109">
        <v>0</v>
      </c>
      <c r="F340" s="141"/>
    </row>
    <row r="341" spans="3:6">
      <c r="C341" s="138">
        <v>15554</v>
      </c>
      <c r="D341" s="100"/>
      <c r="E341" s="109">
        <v>0</v>
      </c>
      <c r="F341" s="141"/>
    </row>
    <row r="342" spans="3:6">
      <c r="C342" s="138">
        <v>15585</v>
      </c>
      <c r="D342" s="100"/>
      <c r="E342" s="109">
        <v>0</v>
      </c>
      <c r="F342" s="141"/>
    </row>
    <row r="343" spans="3:6">
      <c r="C343" s="138">
        <v>15615</v>
      </c>
      <c r="D343" s="100"/>
      <c r="E343" s="109">
        <v>0</v>
      </c>
      <c r="F343" s="141"/>
    </row>
    <row r="344" spans="3:6">
      <c r="C344" s="138">
        <v>15646</v>
      </c>
      <c r="D344" s="100"/>
      <c r="E344" s="109">
        <v>0</v>
      </c>
      <c r="F344" s="141"/>
    </row>
    <row r="345" spans="3:6">
      <c r="C345" s="138">
        <v>15676</v>
      </c>
      <c r="D345" s="100"/>
      <c r="E345" s="109">
        <v>0</v>
      </c>
      <c r="F345" s="141"/>
    </row>
    <row r="346" spans="3:6">
      <c r="C346" s="138">
        <v>15707</v>
      </c>
      <c r="D346" s="100"/>
      <c r="E346" s="109">
        <v>0</v>
      </c>
      <c r="F346" s="141"/>
    </row>
    <row r="347" spans="3:6">
      <c r="C347" s="138">
        <v>15738</v>
      </c>
      <c r="D347" s="100"/>
      <c r="E347" s="109">
        <v>0</v>
      </c>
      <c r="F347" s="141"/>
    </row>
    <row r="348" spans="3:6">
      <c r="C348" s="138">
        <v>15766</v>
      </c>
      <c r="D348" s="100"/>
      <c r="E348" s="109">
        <v>0</v>
      </c>
      <c r="F348" s="141"/>
    </row>
    <row r="349" spans="3:6">
      <c r="C349" s="138">
        <v>15797</v>
      </c>
      <c r="D349" s="100"/>
      <c r="E349" s="109">
        <v>0</v>
      </c>
      <c r="F349" s="141"/>
    </row>
    <row r="350" spans="3:6">
      <c r="C350" s="138">
        <v>15827</v>
      </c>
      <c r="D350" s="100"/>
      <c r="E350" s="109">
        <v>0</v>
      </c>
      <c r="F350" s="141"/>
    </row>
    <row r="351" spans="3:6">
      <c r="C351" s="138">
        <v>15858</v>
      </c>
      <c r="D351" s="100"/>
      <c r="E351" s="109">
        <v>0</v>
      </c>
      <c r="F351" s="141"/>
    </row>
    <row r="352" spans="3:6">
      <c r="C352" s="138">
        <v>15888</v>
      </c>
      <c r="D352" s="100"/>
      <c r="E352" s="109">
        <v>0</v>
      </c>
      <c r="F352" s="141"/>
    </row>
    <row r="353" spans="3:6">
      <c r="C353" s="138">
        <v>15919</v>
      </c>
      <c r="D353" s="100"/>
      <c r="E353" s="109">
        <v>0</v>
      </c>
      <c r="F353" s="141"/>
    </row>
    <row r="354" spans="3:6">
      <c r="C354" s="138">
        <v>15950</v>
      </c>
      <c r="D354" s="100"/>
      <c r="E354" s="109">
        <v>0</v>
      </c>
      <c r="F354" s="141"/>
    </row>
    <row r="355" spans="3:6">
      <c r="C355" s="138">
        <v>15980</v>
      </c>
      <c r="D355" s="100"/>
      <c r="E355" s="109">
        <v>0</v>
      </c>
      <c r="F355" s="141"/>
    </row>
    <row r="356" spans="3:6">
      <c r="C356" s="138">
        <v>16011</v>
      </c>
      <c r="D356" s="100"/>
      <c r="E356" s="109">
        <v>0</v>
      </c>
      <c r="F356" s="141"/>
    </row>
    <row r="357" spans="3:6">
      <c r="C357" s="138">
        <v>16041</v>
      </c>
      <c r="D357" s="100"/>
      <c r="E357" s="109">
        <v>0</v>
      </c>
      <c r="F357" s="141"/>
    </row>
    <row r="358" spans="3:6">
      <c r="C358" s="138">
        <v>16072</v>
      </c>
      <c r="D358" s="100"/>
      <c r="E358" s="109">
        <v>0</v>
      </c>
      <c r="F358" s="141"/>
    </row>
    <row r="359" spans="3:6">
      <c r="C359" s="138">
        <v>16103</v>
      </c>
      <c r="D359" s="100"/>
      <c r="E359" s="109">
        <v>0</v>
      </c>
      <c r="F359" s="141"/>
    </row>
    <row r="360" spans="3:6">
      <c r="C360" s="138">
        <v>16132</v>
      </c>
      <c r="D360" s="100"/>
      <c r="E360" s="109">
        <v>0</v>
      </c>
      <c r="F360" s="141"/>
    </row>
    <row r="361" spans="3:6">
      <c r="C361" s="138">
        <v>16163</v>
      </c>
      <c r="D361" s="100"/>
      <c r="E361" s="109">
        <v>0</v>
      </c>
      <c r="F361" s="141"/>
    </row>
    <row r="362" spans="3:6">
      <c r="C362" s="138">
        <v>16193</v>
      </c>
      <c r="D362" s="100"/>
      <c r="E362" s="109">
        <v>0</v>
      </c>
      <c r="F362" s="141"/>
    </row>
    <row r="363" spans="3:6">
      <c r="C363" s="138">
        <v>16224</v>
      </c>
      <c r="D363" s="100"/>
      <c r="E363" s="109">
        <v>0</v>
      </c>
      <c r="F363" s="141"/>
    </row>
    <row r="364" spans="3:6">
      <c r="C364" s="138">
        <v>16254</v>
      </c>
      <c r="D364" s="100"/>
      <c r="E364" s="109">
        <v>0</v>
      </c>
      <c r="F364" s="141"/>
    </row>
    <row r="365" spans="3:6">
      <c r="C365" s="138">
        <v>16285</v>
      </c>
      <c r="D365" s="100"/>
      <c r="E365" s="109">
        <v>0</v>
      </c>
      <c r="F365" s="141"/>
    </row>
    <row r="366" spans="3:6">
      <c r="C366" s="138">
        <v>16316</v>
      </c>
      <c r="D366" s="100"/>
      <c r="E366" s="109">
        <v>0</v>
      </c>
      <c r="F366" s="141"/>
    </row>
    <row r="367" spans="3:6">
      <c r="C367" s="138">
        <v>16346</v>
      </c>
      <c r="D367" s="100"/>
      <c r="E367" s="109">
        <v>0</v>
      </c>
      <c r="F367" s="141"/>
    </row>
    <row r="368" spans="3:6">
      <c r="C368" s="138">
        <v>16377</v>
      </c>
      <c r="D368" s="100"/>
      <c r="E368" s="109">
        <v>0</v>
      </c>
      <c r="F368" s="141"/>
    </row>
    <row r="369" spans="3:6">
      <c r="C369" s="138">
        <v>16407</v>
      </c>
      <c r="D369" s="100"/>
      <c r="E369" s="109">
        <v>0</v>
      </c>
      <c r="F369" s="141"/>
    </row>
    <row r="370" spans="3:6">
      <c r="C370" s="138">
        <v>16438</v>
      </c>
      <c r="D370" s="100"/>
      <c r="E370" s="109">
        <v>0</v>
      </c>
      <c r="F370" s="141"/>
    </row>
    <row r="371" spans="3:6">
      <c r="C371" s="138">
        <v>16469</v>
      </c>
      <c r="D371" s="100"/>
      <c r="E371" s="109">
        <v>0</v>
      </c>
      <c r="F371" s="141"/>
    </row>
    <row r="372" spans="3:6">
      <c r="C372" s="138">
        <v>16497</v>
      </c>
      <c r="D372" s="100"/>
      <c r="E372" s="109">
        <v>0</v>
      </c>
      <c r="F372" s="141"/>
    </row>
    <row r="373" spans="3:6">
      <c r="C373" s="138">
        <v>16528</v>
      </c>
      <c r="D373" s="100"/>
      <c r="E373" s="109">
        <v>0</v>
      </c>
      <c r="F373" s="141"/>
    </row>
    <row r="374" spans="3:6">
      <c r="C374" s="138">
        <v>16558</v>
      </c>
      <c r="D374" s="100"/>
      <c r="E374" s="109">
        <v>0</v>
      </c>
      <c r="F374" s="141"/>
    </row>
    <row r="375" spans="3:6">
      <c r="C375" s="138">
        <v>16589</v>
      </c>
      <c r="D375" s="100"/>
      <c r="E375" s="109">
        <v>0</v>
      </c>
      <c r="F375" s="141"/>
    </row>
    <row r="376" spans="3:6">
      <c r="C376" s="138">
        <v>16619</v>
      </c>
      <c r="D376" s="100"/>
      <c r="E376" s="109">
        <v>0</v>
      </c>
      <c r="F376" s="141"/>
    </row>
    <row r="377" spans="3:6">
      <c r="C377" s="138">
        <v>16650</v>
      </c>
      <c r="D377" s="100"/>
      <c r="E377" s="109">
        <v>0</v>
      </c>
      <c r="F377" s="141"/>
    </row>
    <row r="378" spans="3:6">
      <c r="C378" s="138">
        <v>16681</v>
      </c>
      <c r="D378" s="100"/>
      <c r="E378" s="109">
        <v>0</v>
      </c>
      <c r="F378" s="141"/>
    </row>
    <row r="379" spans="3:6">
      <c r="C379" s="138">
        <v>16711</v>
      </c>
      <c r="D379" s="100"/>
      <c r="E379" s="109">
        <v>0</v>
      </c>
      <c r="F379" s="141"/>
    </row>
    <row r="380" spans="3:6">
      <c r="C380" s="138">
        <v>16742</v>
      </c>
      <c r="D380" s="100"/>
      <c r="E380" s="109">
        <v>0</v>
      </c>
      <c r="F380" s="141"/>
    </row>
    <row r="381" spans="3:6">
      <c r="C381" s="138">
        <v>16772</v>
      </c>
      <c r="D381" s="100"/>
      <c r="E381" s="109">
        <v>0</v>
      </c>
      <c r="F381" s="141"/>
    </row>
    <row r="382" spans="3:6">
      <c r="C382" s="138">
        <v>16803</v>
      </c>
      <c r="D382" s="100"/>
      <c r="E382" s="109">
        <v>0</v>
      </c>
      <c r="F382" s="141"/>
    </row>
    <row r="383" spans="3:6">
      <c r="C383" s="138">
        <v>16834</v>
      </c>
      <c r="D383" s="100"/>
      <c r="E383" s="109">
        <v>0</v>
      </c>
      <c r="F383" s="141"/>
    </row>
    <row r="384" spans="3:6">
      <c r="C384" s="138">
        <v>16862</v>
      </c>
      <c r="D384" s="100"/>
      <c r="E384" s="109">
        <v>0</v>
      </c>
      <c r="F384" s="141"/>
    </row>
    <row r="385" spans="3:6">
      <c r="C385" s="138">
        <v>16893</v>
      </c>
      <c r="D385" s="100"/>
      <c r="E385" s="109">
        <v>0</v>
      </c>
      <c r="F385" s="141"/>
    </row>
    <row r="386" spans="3:6">
      <c r="C386" s="138">
        <v>16923</v>
      </c>
      <c r="D386" s="100"/>
      <c r="E386" s="109">
        <v>0</v>
      </c>
      <c r="F386" s="141"/>
    </row>
    <row r="387" spans="3:6">
      <c r="C387" s="138">
        <v>16954</v>
      </c>
      <c r="D387" s="100"/>
      <c r="E387" s="109">
        <v>0</v>
      </c>
      <c r="F387" s="141"/>
    </row>
    <row r="388" spans="3:6">
      <c r="C388" s="138">
        <v>16984</v>
      </c>
      <c r="D388" s="100"/>
      <c r="E388" s="109">
        <v>0</v>
      </c>
      <c r="F388" s="141"/>
    </row>
    <row r="389" spans="3:6">
      <c r="C389" s="138">
        <v>17015</v>
      </c>
      <c r="D389" s="100"/>
      <c r="E389" s="109">
        <v>0</v>
      </c>
      <c r="F389" s="141"/>
    </row>
    <row r="390" spans="3:6">
      <c r="C390" s="138">
        <v>17046</v>
      </c>
      <c r="D390" s="100"/>
      <c r="E390" s="109">
        <v>0</v>
      </c>
      <c r="F390" s="141"/>
    </row>
    <row r="391" spans="3:6">
      <c r="C391" s="138">
        <v>17076</v>
      </c>
      <c r="D391" s="100"/>
      <c r="E391" s="109">
        <v>0</v>
      </c>
      <c r="F391" s="141"/>
    </row>
    <row r="392" spans="3:6">
      <c r="C392" s="138">
        <v>17107</v>
      </c>
      <c r="D392" s="100"/>
      <c r="E392" s="109">
        <v>0</v>
      </c>
      <c r="F392" s="141"/>
    </row>
    <row r="393" spans="3:6">
      <c r="C393" s="138">
        <v>17137</v>
      </c>
      <c r="D393" s="100"/>
      <c r="E393" s="109">
        <v>0</v>
      </c>
      <c r="F393" s="141"/>
    </row>
    <row r="394" spans="3:6">
      <c r="C394" s="138">
        <v>17168</v>
      </c>
      <c r="D394" s="100"/>
      <c r="E394" s="109">
        <v>0</v>
      </c>
      <c r="F394" s="141"/>
    </row>
    <row r="395" spans="3:6">
      <c r="C395" s="138">
        <v>17199</v>
      </c>
      <c r="D395" s="100"/>
      <c r="E395" s="109">
        <v>0</v>
      </c>
      <c r="F395" s="141"/>
    </row>
    <row r="396" spans="3:6">
      <c r="C396" s="138">
        <v>17227</v>
      </c>
      <c r="D396" s="100"/>
      <c r="E396" s="109">
        <v>0</v>
      </c>
      <c r="F396" s="141"/>
    </row>
    <row r="397" spans="3:6">
      <c r="C397" s="138">
        <v>17258</v>
      </c>
      <c r="D397" s="100"/>
      <c r="E397" s="109">
        <v>0</v>
      </c>
      <c r="F397" s="141"/>
    </row>
    <row r="398" spans="3:6">
      <c r="C398" s="138">
        <v>17288</v>
      </c>
      <c r="D398" s="100"/>
      <c r="E398" s="109">
        <v>0</v>
      </c>
      <c r="F398" s="141"/>
    </row>
    <row r="399" spans="3:6">
      <c r="C399" s="138">
        <v>17319</v>
      </c>
      <c r="D399" s="100"/>
      <c r="E399" s="109">
        <v>0</v>
      </c>
      <c r="F399" s="141"/>
    </row>
    <row r="400" spans="3:6">
      <c r="C400" s="138">
        <v>17349</v>
      </c>
      <c r="D400" s="100"/>
      <c r="E400" s="109">
        <v>0</v>
      </c>
      <c r="F400" s="141"/>
    </row>
    <row r="401" spans="3:6">
      <c r="C401" s="138">
        <v>17380</v>
      </c>
      <c r="D401" s="100"/>
      <c r="E401" s="109">
        <v>0</v>
      </c>
      <c r="F401" s="141"/>
    </row>
    <row r="402" spans="3:6">
      <c r="C402" s="138">
        <v>17411</v>
      </c>
      <c r="D402" s="100"/>
      <c r="E402" s="109">
        <v>0</v>
      </c>
      <c r="F402" s="141"/>
    </row>
    <row r="403" spans="3:6">
      <c r="C403" s="138">
        <v>17441</v>
      </c>
      <c r="D403" s="100"/>
      <c r="E403" s="109">
        <v>0</v>
      </c>
      <c r="F403" s="141"/>
    </row>
    <row r="404" spans="3:6">
      <c r="C404" s="138">
        <v>17472</v>
      </c>
      <c r="D404" s="100"/>
      <c r="E404" s="109">
        <v>0</v>
      </c>
      <c r="F404" s="141"/>
    </row>
    <row r="405" spans="3:6">
      <c r="C405" s="138">
        <v>17502</v>
      </c>
      <c r="D405" s="100"/>
      <c r="E405" s="109">
        <v>0</v>
      </c>
      <c r="F405" s="141"/>
    </row>
    <row r="406" spans="3:6">
      <c r="C406" s="138">
        <v>17533</v>
      </c>
      <c r="D406" s="100"/>
      <c r="E406" s="109">
        <v>0</v>
      </c>
      <c r="F406" s="141"/>
    </row>
    <row r="407" spans="3:6">
      <c r="C407" s="138">
        <v>17564</v>
      </c>
      <c r="D407" s="100"/>
      <c r="E407" s="109">
        <v>0</v>
      </c>
      <c r="F407" s="141"/>
    </row>
    <row r="408" spans="3:6">
      <c r="C408" s="138">
        <v>17593</v>
      </c>
      <c r="D408" s="100"/>
      <c r="E408" s="109">
        <v>0</v>
      </c>
      <c r="F408" s="141"/>
    </row>
    <row r="409" spans="3:6">
      <c r="C409" s="138">
        <v>17624</v>
      </c>
      <c r="D409" s="100"/>
      <c r="E409" s="109">
        <v>0</v>
      </c>
      <c r="F409" s="141"/>
    </row>
    <row r="410" spans="3:6">
      <c r="C410" s="138">
        <v>17654</v>
      </c>
      <c r="D410" s="100"/>
      <c r="E410" s="109">
        <v>0</v>
      </c>
      <c r="F410" s="141"/>
    </row>
    <row r="411" spans="3:6">
      <c r="C411" s="138">
        <v>17685</v>
      </c>
      <c r="D411" s="100"/>
      <c r="E411" s="109">
        <v>0</v>
      </c>
      <c r="F411" s="141"/>
    </row>
    <row r="412" spans="3:6">
      <c r="C412" s="138">
        <v>17715</v>
      </c>
      <c r="D412" s="100"/>
      <c r="E412" s="109">
        <v>0</v>
      </c>
      <c r="F412" s="141"/>
    </row>
    <row r="413" spans="3:6">
      <c r="C413" s="138">
        <v>17746</v>
      </c>
      <c r="D413" s="100"/>
      <c r="E413" s="109">
        <v>0</v>
      </c>
      <c r="F413" s="141"/>
    </row>
    <row r="414" spans="3:6">
      <c r="C414" s="138">
        <v>17777</v>
      </c>
      <c r="D414" s="100"/>
      <c r="E414" s="109">
        <v>0</v>
      </c>
      <c r="F414" s="141"/>
    </row>
    <row r="415" spans="3:6">
      <c r="C415" s="138">
        <v>17807</v>
      </c>
      <c r="D415" s="100"/>
      <c r="E415" s="109">
        <v>0</v>
      </c>
      <c r="F415" s="141"/>
    </row>
    <row r="416" spans="3:6">
      <c r="C416" s="138">
        <v>17838</v>
      </c>
      <c r="D416" s="100"/>
      <c r="E416" s="109">
        <v>0</v>
      </c>
      <c r="F416" s="141"/>
    </row>
    <row r="417" spans="3:6">
      <c r="C417" s="138">
        <v>17868</v>
      </c>
      <c r="D417" s="100"/>
      <c r="E417" s="109">
        <v>0</v>
      </c>
      <c r="F417" s="141"/>
    </row>
    <row r="418" spans="3:6">
      <c r="C418" s="138">
        <v>17899</v>
      </c>
      <c r="D418" s="100"/>
      <c r="E418" s="109">
        <v>0</v>
      </c>
      <c r="F418" s="141"/>
    </row>
    <row r="419" spans="3:6">
      <c r="C419" s="138">
        <v>17930</v>
      </c>
      <c r="D419" s="100"/>
      <c r="E419" s="109">
        <v>0</v>
      </c>
      <c r="F419" s="141"/>
    </row>
    <row r="420" spans="3:6">
      <c r="C420" s="138">
        <v>17958</v>
      </c>
      <c r="D420" s="100"/>
      <c r="E420" s="109">
        <v>0</v>
      </c>
      <c r="F420" s="141"/>
    </row>
    <row r="421" spans="3:6">
      <c r="C421" s="138">
        <v>17989</v>
      </c>
      <c r="D421" s="100"/>
      <c r="E421" s="109">
        <v>0</v>
      </c>
      <c r="F421" s="141"/>
    </row>
    <row r="422" spans="3:6">
      <c r="C422" s="138">
        <v>18019</v>
      </c>
      <c r="D422" s="100"/>
      <c r="E422" s="109">
        <v>0</v>
      </c>
      <c r="F422" s="141"/>
    </row>
    <row r="423" spans="3:6">
      <c r="C423" s="138">
        <v>18050</v>
      </c>
      <c r="D423" s="100"/>
      <c r="E423" s="109">
        <v>0</v>
      </c>
      <c r="F423" s="141"/>
    </row>
    <row r="424" spans="3:6">
      <c r="C424" s="138">
        <v>18080</v>
      </c>
      <c r="D424" s="100"/>
      <c r="E424" s="109">
        <v>0</v>
      </c>
      <c r="F424" s="141"/>
    </row>
    <row r="425" spans="3:6">
      <c r="C425" s="138">
        <v>18111</v>
      </c>
      <c r="D425" s="100"/>
      <c r="E425" s="109">
        <v>0</v>
      </c>
      <c r="F425" s="141"/>
    </row>
    <row r="426" spans="3:6">
      <c r="C426" s="138">
        <v>18142</v>
      </c>
      <c r="D426" s="100"/>
      <c r="E426" s="109">
        <v>0</v>
      </c>
      <c r="F426" s="141"/>
    </row>
    <row r="427" spans="3:6">
      <c r="C427" s="138">
        <v>18172</v>
      </c>
      <c r="D427" s="100"/>
      <c r="E427" s="109">
        <v>0</v>
      </c>
      <c r="F427" s="141"/>
    </row>
    <row r="428" spans="3:6">
      <c r="C428" s="138">
        <v>18203</v>
      </c>
      <c r="D428" s="100"/>
      <c r="E428" s="109">
        <v>0</v>
      </c>
      <c r="F428" s="141"/>
    </row>
    <row r="429" spans="3:6">
      <c r="C429" s="138">
        <v>18233</v>
      </c>
      <c r="D429" s="100"/>
      <c r="E429" s="109">
        <v>0</v>
      </c>
      <c r="F429" s="141"/>
    </row>
    <row r="430" spans="3:6">
      <c r="C430" s="138">
        <v>18264</v>
      </c>
      <c r="D430" s="100"/>
      <c r="E430" s="109">
        <v>0</v>
      </c>
      <c r="F430" s="141"/>
    </row>
    <row r="431" spans="3:6">
      <c r="C431" s="138">
        <v>18295</v>
      </c>
      <c r="D431" s="100"/>
      <c r="E431" s="109">
        <v>0</v>
      </c>
      <c r="F431" s="141"/>
    </row>
    <row r="432" spans="3:6">
      <c r="C432" s="138">
        <v>18323</v>
      </c>
      <c r="D432" s="100"/>
      <c r="E432" s="109">
        <v>0</v>
      </c>
      <c r="F432" s="141"/>
    </row>
    <row r="433" spans="3:6">
      <c r="C433" s="138">
        <v>18354</v>
      </c>
      <c r="D433" s="100"/>
      <c r="E433" s="109">
        <v>0</v>
      </c>
      <c r="F433" s="141"/>
    </row>
    <row r="434" spans="3:6">
      <c r="C434" s="138">
        <v>18384</v>
      </c>
      <c r="D434" s="100"/>
      <c r="E434" s="109">
        <v>0</v>
      </c>
      <c r="F434" s="141"/>
    </row>
    <row r="435" spans="3:6">
      <c r="C435" s="138">
        <v>18415</v>
      </c>
      <c r="D435" s="100"/>
      <c r="E435" s="109">
        <v>0</v>
      </c>
      <c r="F435" s="141"/>
    </row>
    <row r="436" spans="3:6">
      <c r="C436" s="138">
        <v>18445</v>
      </c>
      <c r="D436" s="100"/>
      <c r="E436" s="109">
        <v>0</v>
      </c>
      <c r="F436" s="141"/>
    </row>
    <row r="437" spans="3:6">
      <c r="C437" s="138">
        <v>18476</v>
      </c>
      <c r="D437" s="100"/>
      <c r="E437" s="109">
        <v>0</v>
      </c>
      <c r="F437" s="141"/>
    </row>
    <row r="438" spans="3:6">
      <c r="C438" s="138">
        <v>18507</v>
      </c>
      <c r="D438" s="100"/>
      <c r="E438" s="109">
        <v>0</v>
      </c>
      <c r="F438" s="141"/>
    </row>
    <row r="439" spans="3:6">
      <c r="C439" s="138">
        <v>18537</v>
      </c>
      <c r="D439" s="100"/>
      <c r="E439" s="109">
        <v>0</v>
      </c>
      <c r="F439" s="141"/>
    </row>
    <row r="440" spans="3:6">
      <c r="C440" s="138">
        <v>18568</v>
      </c>
      <c r="D440" s="100"/>
      <c r="E440" s="109">
        <v>0</v>
      </c>
      <c r="F440" s="141"/>
    </row>
    <row r="441" spans="3:6">
      <c r="C441" s="138">
        <v>18598</v>
      </c>
      <c r="D441" s="100"/>
      <c r="E441" s="109">
        <v>0</v>
      </c>
      <c r="F441" s="141"/>
    </row>
    <row r="442" spans="3:6">
      <c r="C442" s="138">
        <v>18629</v>
      </c>
      <c r="D442" s="100"/>
      <c r="E442" s="109">
        <v>0</v>
      </c>
      <c r="F442" s="141"/>
    </row>
    <row r="443" spans="3:6">
      <c r="C443" s="138">
        <v>18660</v>
      </c>
      <c r="D443" s="100"/>
      <c r="E443" s="109">
        <v>0</v>
      </c>
      <c r="F443" s="141"/>
    </row>
    <row r="444" spans="3:6">
      <c r="C444" s="138">
        <v>18688</v>
      </c>
      <c r="D444" s="100"/>
      <c r="E444" s="109">
        <v>0</v>
      </c>
      <c r="F444" s="141"/>
    </row>
    <row r="445" spans="3:6">
      <c r="C445" s="138">
        <v>18719</v>
      </c>
      <c r="D445" s="100"/>
      <c r="E445" s="109">
        <v>0</v>
      </c>
      <c r="F445" s="141"/>
    </row>
    <row r="446" spans="3:6">
      <c r="C446" s="138">
        <v>18749</v>
      </c>
      <c r="D446" s="100"/>
      <c r="E446" s="109">
        <v>0</v>
      </c>
      <c r="F446" s="141"/>
    </row>
    <row r="447" spans="3:6">
      <c r="C447" s="138">
        <v>18780</v>
      </c>
      <c r="D447" s="100"/>
      <c r="E447" s="109">
        <v>0</v>
      </c>
      <c r="F447" s="141"/>
    </row>
    <row r="448" spans="3:6">
      <c r="C448" s="138">
        <v>18810</v>
      </c>
      <c r="D448" s="100"/>
      <c r="E448" s="109">
        <v>0</v>
      </c>
      <c r="F448" s="141"/>
    </row>
    <row r="449" spans="3:6">
      <c r="C449" s="138">
        <v>18841</v>
      </c>
      <c r="D449" s="100"/>
      <c r="E449" s="109">
        <v>0</v>
      </c>
      <c r="F449" s="141"/>
    </row>
    <row r="450" spans="3:6">
      <c r="C450" s="138">
        <v>18872</v>
      </c>
      <c r="D450" s="100"/>
      <c r="E450" s="109">
        <v>0</v>
      </c>
      <c r="F450" s="141"/>
    </row>
    <row r="451" spans="3:6">
      <c r="C451" s="138">
        <v>18902</v>
      </c>
      <c r="D451" s="100"/>
      <c r="E451" s="109">
        <v>0</v>
      </c>
      <c r="F451" s="141"/>
    </row>
    <row r="452" spans="3:6">
      <c r="C452" s="138">
        <v>18933</v>
      </c>
      <c r="D452" s="100"/>
      <c r="E452" s="109">
        <v>0</v>
      </c>
      <c r="F452" s="141"/>
    </row>
    <row r="453" spans="3:6">
      <c r="C453" s="138">
        <v>18963</v>
      </c>
      <c r="D453" s="100"/>
      <c r="E453" s="109">
        <v>0</v>
      </c>
      <c r="F453" s="141"/>
    </row>
    <row r="454" spans="3:6">
      <c r="C454" s="138">
        <v>18994</v>
      </c>
      <c r="D454" s="100"/>
      <c r="E454" s="109">
        <v>0</v>
      </c>
      <c r="F454" s="141"/>
    </row>
    <row r="455" spans="3:6">
      <c r="C455" s="138">
        <v>19025</v>
      </c>
      <c r="D455" s="100"/>
      <c r="E455" s="109">
        <v>0</v>
      </c>
      <c r="F455" s="141"/>
    </row>
    <row r="456" spans="3:6">
      <c r="C456" s="138">
        <v>19054</v>
      </c>
      <c r="D456" s="100"/>
      <c r="E456" s="109">
        <v>0</v>
      </c>
      <c r="F456" s="141"/>
    </row>
    <row r="457" spans="3:6">
      <c r="C457" s="138">
        <v>19085</v>
      </c>
      <c r="D457" s="100"/>
      <c r="E457" s="109">
        <v>0</v>
      </c>
      <c r="F457" s="141"/>
    </row>
    <row r="458" spans="3:6">
      <c r="C458" s="138">
        <v>19115</v>
      </c>
      <c r="D458" s="100"/>
      <c r="E458" s="109">
        <v>0</v>
      </c>
      <c r="F458" s="141"/>
    </row>
    <row r="459" spans="3:6">
      <c r="C459" s="138">
        <v>19146</v>
      </c>
      <c r="D459" s="100"/>
      <c r="E459" s="109">
        <v>0</v>
      </c>
      <c r="F459" s="141"/>
    </row>
    <row r="460" spans="3:6">
      <c r="C460" s="138">
        <v>19176</v>
      </c>
      <c r="D460" s="100"/>
      <c r="E460" s="109">
        <v>0</v>
      </c>
      <c r="F460" s="141"/>
    </row>
    <row r="461" spans="3:6">
      <c r="C461" s="138">
        <v>19207</v>
      </c>
      <c r="D461" s="100"/>
      <c r="E461" s="109">
        <v>0</v>
      </c>
      <c r="F461" s="141"/>
    </row>
    <row r="462" spans="3:6">
      <c r="C462" s="138">
        <v>19238</v>
      </c>
      <c r="D462" s="100"/>
      <c r="E462" s="109">
        <v>0</v>
      </c>
      <c r="F462" s="141"/>
    </row>
    <row r="463" spans="3:6">
      <c r="C463" s="138">
        <v>19268</v>
      </c>
      <c r="D463" s="100"/>
      <c r="E463" s="109">
        <v>0</v>
      </c>
      <c r="F463" s="141"/>
    </row>
    <row r="464" spans="3:6">
      <c r="C464" s="138">
        <v>19299</v>
      </c>
      <c r="D464" s="100"/>
      <c r="E464" s="109">
        <v>0</v>
      </c>
      <c r="F464" s="141"/>
    </row>
    <row r="465" spans="3:6">
      <c r="C465" s="138">
        <v>19329</v>
      </c>
      <c r="D465" s="100"/>
      <c r="E465" s="109">
        <v>0</v>
      </c>
      <c r="F465" s="141"/>
    </row>
    <row r="466" spans="3:6">
      <c r="C466" s="138">
        <v>19360</v>
      </c>
      <c r="D466" s="100"/>
      <c r="E466" s="109">
        <v>0</v>
      </c>
      <c r="F466" s="141"/>
    </row>
    <row r="467" spans="3:6">
      <c r="C467" s="138">
        <v>19391</v>
      </c>
      <c r="D467" s="100"/>
      <c r="E467" s="109">
        <v>0</v>
      </c>
      <c r="F467" s="141"/>
    </row>
    <row r="468" spans="3:6">
      <c r="C468" s="138">
        <v>19419</v>
      </c>
      <c r="D468" s="100"/>
      <c r="E468" s="109">
        <v>0</v>
      </c>
      <c r="F468" s="141"/>
    </row>
    <row r="469" spans="3:6">
      <c r="C469" s="138">
        <v>19450</v>
      </c>
      <c r="D469" s="100"/>
      <c r="E469" s="109">
        <v>0</v>
      </c>
      <c r="F469" s="141"/>
    </row>
    <row r="470" spans="3:6">
      <c r="C470" s="138">
        <v>19480</v>
      </c>
      <c r="D470" s="100"/>
      <c r="E470" s="109">
        <v>0</v>
      </c>
      <c r="F470" s="141"/>
    </row>
    <row r="471" spans="3:6">
      <c r="C471" s="138">
        <v>19511</v>
      </c>
      <c r="D471" s="100"/>
      <c r="E471" s="109">
        <v>0</v>
      </c>
      <c r="F471" s="141"/>
    </row>
    <row r="472" spans="3:6">
      <c r="C472" s="138">
        <v>19541</v>
      </c>
      <c r="D472" s="100"/>
      <c r="E472" s="109">
        <v>0</v>
      </c>
      <c r="F472" s="141"/>
    </row>
    <row r="473" spans="3:6">
      <c r="C473" s="138">
        <v>19572</v>
      </c>
      <c r="D473" s="100"/>
      <c r="E473" s="109">
        <v>0</v>
      </c>
      <c r="F473" s="141"/>
    </row>
    <row r="474" spans="3:6">
      <c r="C474" s="138">
        <v>19603</v>
      </c>
      <c r="D474" s="100"/>
      <c r="E474" s="109">
        <v>0</v>
      </c>
      <c r="F474" s="141"/>
    </row>
    <row r="475" spans="3:6">
      <c r="C475" s="138">
        <v>19633</v>
      </c>
      <c r="D475" s="100"/>
      <c r="E475" s="109">
        <v>0</v>
      </c>
      <c r="F475" s="141"/>
    </row>
    <row r="476" spans="3:6">
      <c r="C476" s="138">
        <v>19664</v>
      </c>
      <c r="D476" s="100"/>
      <c r="E476" s="109">
        <v>0</v>
      </c>
      <c r="F476" s="141"/>
    </row>
    <row r="477" spans="3:6">
      <c r="C477" s="138">
        <v>19694</v>
      </c>
      <c r="D477" s="100"/>
      <c r="E477" s="109">
        <v>0</v>
      </c>
      <c r="F477" s="141"/>
    </row>
    <row r="478" spans="3:6">
      <c r="C478" s="138">
        <v>19725</v>
      </c>
      <c r="D478" s="100"/>
      <c r="E478" s="109">
        <v>0</v>
      </c>
      <c r="F478" s="141"/>
    </row>
    <row r="479" spans="3:6">
      <c r="C479" s="138">
        <v>19756</v>
      </c>
      <c r="D479" s="100"/>
      <c r="E479" s="109">
        <v>0</v>
      </c>
      <c r="F479" s="141"/>
    </row>
    <row r="480" spans="3:6">
      <c r="C480" s="138">
        <v>19784</v>
      </c>
      <c r="D480" s="100"/>
      <c r="E480" s="109">
        <v>0</v>
      </c>
      <c r="F480" s="141"/>
    </row>
    <row r="481" spans="3:6">
      <c r="C481" s="138">
        <v>19815</v>
      </c>
      <c r="D481" s="100"/>
      <c r="E481" s="109">
        <v>0</v>
      </c>
      <c r="F481" s="141"/>
    </row>
    <row r="482" spans="3:6">
      <c r="C482" s="138">
        <v>19845</v>
      </c>
      <c r="D482" s="100"/>
      <c r="E482" s="109">
        <v>0</v>
      </c>
      <c r="F482" s="141"/>
    </row>
    <row r="483" spans="3:6">
      <c r="C483" s="138">
        <v>19876</v>
      </c>
      <c r="D483" s="100"/>
      <c r="E483" s="109">
        <v>0</v>
      </c>
      <c r="F483" s="141"/>
    </row>
    <row r="484" spans="3:6">
      <c r="C484" s="138">
        <v>19906</v>
      </c>
      <c r="D484" s="100"/>
      <c r="E484" s="109">
        <v>0</v>
      </c>
      <c r="F484" s="141"/>
    </row>
    <row r="485" spans="3:6">
      <c r="C485" s="138">
        <v>19937</v>
      </c>
      <c r="D485" s="100"/>
      <c r="E485" s="109">
        <v>0</v>
      </c>
      <c r="F485" s="141"/>
    </row>
    <row r="486" spans="3:6">
      <c r="C486" s="138">
        <v>19968</v>
      </c>
      <c r="D486" s="100"/>
      <c r="E486" s="109">
        <v>0</v>
      </c>
      <c r="F486" s="141"/>
    </row>
    <row r="487" spans="3:6">
      <c r="C487" s="138">
        <v>19998</v>
      </c>
      <c r="D487" s="100"/>
      <c r="E487" s="109">
        <v>0</v>
      </c>
      <c r="F487" s="141"/>
    </row>
    <row r="488" spans="3:6">
      <c r="C488" s="138">
        <v>20029</v>
      </c>
      <c r="D488" s="100"/>
      <c r="E488" s="109">
        <v>0</v>
      </c>
      <c r="F488" s="141"/>
    </row>
    <row r="489" spans="3:6">
      <c r="C489" s="138">
        <v>20059</v>
      </c>
      <c r="D489" s="100"/>
      <c r="E489" s="109">
        <v>0</v>
      </c>
      <c r="F489" s="141"/>
    </row>
    <row r="490" spans="3:6">
      <c r="C490" s="138">
        <v>20090</v>
      </c>
      <c r="D490" s="100"/>
      <c r="E490" s="109">
        <v>0</v>
      </c>
      <c r="F490" s="141"/>
    </row>
    <row r="491" spans="3:6">
      <c r="C491" s="138">
        <v>20121</v>
      </c>
      <c r="D491" s="100"/>
      <c r="E491" s="109">
        <v>0</v>
      </c>
      <c r="F491" s="141"/>
    </row>
    <row r="492" spans="3:6">
      <c r="C492" s="138">
        <v>20149</v>
      </c>
      <c r="D492" s="100"/>
      <c r="E492" s="109">
        <v>0</v>
      </c>
      <c r="F492" s="141"/>
    </row>
    <row r="493" spans="3:6">
      <c r="C493" s="138">
        <v>20180</v>
      </c>
      <c r="D493" s="100"/>
      <c r="E493" s="109">
        <v>0</v>
      </c>
      <c r="F493" s="141"/>
    </row>
    <row r="494" spans="3:6">
      <c r="C494" s="138">
        <v>20210</v>
      </c>
      <c r="D494" s="100"/>
      <c r="E494" s="109">
        <v>0</v>
      </c>
      <c r="F494" s="141"/>
    </row>
    <row r="495" spans="3:6">
      <c r="C495" s="138">
        <v>20241</v>
      </c>
      <c r="D495" s="100"/>
      <c r="E495" s="109">
        <v>0</v>
      </c>
      <c r="F495" s="141"/>
    </row>
    <row r="496" spans="3:6">
      <c r="C496" s="138">
        <v>20271</v>
      </c>
      <c r="D496" s="100"/>
      <c r="E496" s="109">
        <v>0</v>
      </c>
      <c r="F496" s="141"/>
    </row>
    <row r="497" spans="3:6">
      <c r="C497" s="138">
        <v>20302</v>
      </c>
      <c r="D497" s="100"/>
      <c r="E497" s="109">
        <v>0</v>
      </c>
      <c r="F497" s="141"/>
    </row>
    <row r="498" spans="3:6">
      <c r="C498" s="138">
        <v>20333</v>
      </c>
      <c r="D498" s="100"/>
      <c r="E498" s="109">
        <v>0</v>
      </c>
      <c r="F498" s="141"/>
    </row>
    <row r="499" spans="3:6">
      <c r="C499" s="138">
        <v>20363</v>
      </c>
      <c r="D499" s="100"/>
      <c r="E499" s="109">
        <v>0</v>
      </c>
      <c r="F499" s="141"/>
    </row>
    <row r="500" spans="3:6">
      <c r="C500" s="138">
        <v>20394</v>
      </c>
      <c r="D500" s="100"/>
      <c r="E500" s="109">
        <v>0</v>
      </c>
      <c r="F500" s="141"/>
    </row>
    <row r="501" spans="3:6">
      <c r="C501" s="138">
        <v>20424</v>
      </c>
      <c r="D501" s="100"/>
      <c r="E501" s="109">
        <v>0</v>
      </c>
      <c r="F501" s="141"/>
    </row>
    <row r="502" spans="3:6">
      <c r="C502" s="138">
        <v>20455</v>
      </c>
      <c r="D502" s="100"/>
      <c r="E502" s="109">
        <v>0</v>
      </c>
      <c r="F502" s="141"/>
    </row>
    <row r="503" spans="3:6">
      <c r="C503" s="138">
        <v>20486</v>
      </c>
      <c r="D503" s="100"/>
      <c r="E503" s="109">
        <v>0</v>
      </c>
      <c r="F503" s="141"/>
    </row>
    <row r="504" spans="3:6">
      <c r="C504" s="138">
        <v>20515</v>
      </c>
      <c r="D504" s="100"/>
      <c r="E504" s="109">
        <v>0</v>
      </c>
      <c r="F504" s="141"/>
    </row>
    <row r="505" spans="3:6">
      <c r="C505" s="138">
        <v>20546</v>
      </c>
      <c r="D505" s="100"/>
      <c r="E505" s="109">
        <v>0</v>
      </c>
      <c r="F505" s="141"/>
    </row>
    <row r="506" spans="3:6">
      <c r="C506" s="138">
        <v>20576</v>
      </c>
      <c r="D506" s="100"/>
      <c r="E506" s="109">
        <v>0</v>
      </c>
      <c r="F506" s="141"/>
    </row>
    <row r="507" spans="3:6">
      <c r="C507" s="138">
        <v>20607</v>
      </c>
      <c r="D507" s="100"/>
      <c r="E507" s="109">
        <v>0</v>
      </c>
      <c r="F507" s="141"/>
    </row>
    <row r="508" spans="3:6">
      <c r="C508" s="138">
        <v>20637</v>
      </c>
      <c r="D508" s="100"/>
      <c r="E508" s="109">
        <v>0</v>
      </c>
      <c r="F508" s="141"/>
    </row>
    <row r="509" spans="3:6">
      <c r="C509" s="138">
        <v>20668</v>
      </c>
      <c r="D509" s="100"/>
      <c r="E509" s="109">
        <v>0</v>
      </c>
      <c r="F509" s="141"/>
    </row>
    <row r="510" spans="3:6">
      <c r="C510" s="138">
        <v>20699</v>
      </c>
      <c r="D510" s="100"/>
      <c r="E510" s="109">
        <v>0</v>
      </c>
      <c r="F510" s="141"/>
    </row>
    <row r="511" spans="3:6">
      <c r="C511" s="138">
        <v>20729</v>
      </c>
      <c r="D511" s="100"/>
      <c r="E511" s="109">
        <v>0</v>
      </c>
      <c r="F511" s="141"/>
    </row>
    <row r="512" spans="3:6">
      <c r="C512" s="138">
        <v>20760</v>
      </c>
      <c r="D512" s="100"/>
      <c r="E512" s="109">
        <v>0</v>
      </c>
      <c r="F512" s="141"/>
    </row>
    <row r="513" spans="3:6">
      <c r="C513" s="138">
        <v>20790</v>
      </c>
      <c r="D513" s="100"/>
      <c r="E513" s="109">
        <v>0</v>
      </c>
      <c r="F513" s="141"/>
    </row>
    <row r="514" spans="3:6">
      <c r="C514" s="138">
        <v>20821</v>
      </c>
      <c r="D514" s="100"/>
      <c r="E514" s="109">
        <v>0</v>
      </c>
      <c r="F514" s="141"/>
    </row>
    <row r="515" spans="3:6">
      <c r="C515" s="138">
        <v>20852</v>
      </c>
      <c r="D515" s="100"/>
      <c r="E515" s="109">
        <v>0</v>
      </c>
      <c r="F515" s="141"/>
    </row>
    <row r="516" spans="3:6">
      <c r="C516" s="138">
        <v>20880</v>
      </c>
      <c r="D516" s="100"/>
      <c r="E516" s="109">
        <v>0</v>
      </c>
      <c r="F516" s="141"/>
    </row>
    <row r="517" spans="3:6">
      <c r="C517" s="138">
        <v>20911</v>
      </c>
      <c r="D517" s="100"/>
      <c r="E517" s="109">
        <v>0</v>
      </c>
      <c r="F517" s="141"/>
    </row>
    <row r="518" spans="3:6">
      <c r="C518" s="138">
        <v>20941</v>
      </c>
      <c r="D518" s="100"/>
      <c r="E518" s="109">
        <v>0</v>
      </c>
      <c r="F518" s="141"/>
    </row>
    <row r="519" spans="3:6">
      <c r="C519" s="138">
        <v>20972</v>
      </c>
      <c r="D519" s="100"/>
      <c r="E519" s="109">
        <v>0</v>
      </c>
      <c r="F519" s="141"/>
    </row>
    <row r="520" spans="3:6">
      <c r="C520" s="138">
        <v>21002</v>
      </c>
      <c r="D520" s="100"/>
      <c r="E520" s="109">
        <v>0</v>
      </c>
      <c r="F520" s="141"/>
    </row>
    <row r="521" spans="3:6">
      <c r="C521" s="138">
        <v>21033</v>
      </c>
      <c r="D521" s="100"/>
      <c r="E521" s="109">
        <v>0</v>
      </c>
      <c r="F521" s="141"/>
    </row>
    <row r="522" spans="3:6">
      <c r="C522" s="138">
        <v>21064</v>
      </c>
      <c r="D522" s="100"/>
      <c r="E522" s="109">
        <v>0</v>
      </c>
      <c r="F522" s="141"/>
    </row>
    <row r="523" spans="3:6">
      <c r="C523" s="138">
        <v>21094</v>
      </c>
      <c r="D523" s="100"/>
      <c r="E523" s="109">
        <v>0</v>
      </c>
      <c r="F523" s="141"/>
    </row>
    <row r="524" spans="3:6">
      <c r="C524" s="138">
        <v>21125</v>
      </c>
      <c r="D524" s="100"/>
      <c r="E524" s="109">
        <v>0</v>
      </c>
      <c r="F524" s="141"/>
    </row>
    <row r="525" spans="3:6">
      <c r="C525" s="138">
        <v>21155</v>
      </c>
      <c r="D525" s="100"/>
      <c r="E525" s="109">
        <v>0</v>
      </c>
      <c r="F525" s="141"/>
    </row>
    <row r="526" spans="3:6">
      <c r="C526" s="138">
        <v>21186</v>
      </c>
      <c r="D526" s="100"/>
      <c r="E526" s="109">
        <v>0</v>
      </c>
      <c r="F526" s="141"/>
    </row>
    <row r="527" spans="3:6">
      <c r="C527" s="138">
        <v>21217</v>
      </c>
      <c r="D527" s="100"/>
      <c r="E527" s="109">
        <v>0</v>
      </c>
      <c r="F527" s="141"/>
    </row>
    <row r="528" spans="3:6">
      <c r="C528" s="138">
        <v>21245</v>
      </c>
      <c r="D528" s="100"/>
      <c r="E528" s="109">
        <v>0</v>
      </c>
      <c r="F528" s="141"/>
    </row>
    <row r="529" spans="3:6">
      <c r="C529" s="138">
        <v>21276</v>
      </c>
      <c r="D529" s="100"/>
      <c r="E529" s="109">
        <v>0</v>
      </c>
      <c r="F529" s="141"/>
    </row>
    <row r="530" spans="3:6">
      <c r="C530" s="138">
        <v>21306</v>
      </c>
      <c r="D530" s="100"/>
      <c r="E530" s="109">
        <v>0</v>
      </c>
      <c r="F530" s="141"/>
    </row>
    <row r="531" spans="3:6">
      <c r="C531" s="138">
        <v>21337</v>
      </c>
      <c r="D531" s="100"/>
      <c r="E531" s="109">
        <v>0</v>
      </c>
      <c r="F531" s="141"/>
    </row>
    <row r="532" spans="3:6">
      <c r="C532" s="138">
        <v>21367</v>
      </c>
      <c r="D532" s="100"/>
      <c r="E532" s="109">
        <v>0</v>
      </c>
      <c r="F532" s="141"/>
    </row>
    <row r="533" spans="3:6">
      <c r="C533" s="138">
        <v>21398</v>
      </c>
      <c r="D533" s="100"/>
      <c r="E533" s="109">
        <v>0</v>
      </c>
      <c r="F533" s="141"/>
    </row>
    <row r="534" spans="3:6">
      <c r="C534" s="138">
        <v>21429</v>
      </c>
      <c r="D534" s="100"/>
      <c r="E534" s="109">
        <v>0</v>
      </c>
      <c r="F534" s="141"/>
    </row>
    <row r="535" spans="3:6">
      <c r="C535" s="138">
        <v>21459</v>
      </c>
      <c r="D535" s="100"/>
      <c r="E535" s="109">
        <v>0</v>
      </c>
      <c r="F535" s="141"/>
    </row>
    <row r="536" spans="3:6">
      <c r="C536" s="138">
        <v>21490</v>
      </c>
      <c r="D536" s="100"/>
      <c r="E536" s="109">
        <v>0</v>
      </c>
      <c r="F536" s="141"/>
    </row>
    <row r="537" spans="3:6">
      <c r="C537" s="138">
        <v>21520</v>
      </c>
      <c r="D537" s="100"/>
      <c r="E537" s="109">
        <v>0</v>
      </c>
      <c r="F537" s="141"/>
    </row>
    <row r="538" spans="3:6">
      <c r="C538" s="138">
        <v>21551</v>
      </c>
      <c r="D538" s="100"/>
      <c r="E538" s="109">
        <v>0</v>
      </c>
      <c r="F538" s="141"/>
    </row>
    <row r="539" spans="3:6">
      <c r="C539" s="138">
        <v>21582</v>
      </c>
      <c r="D539" s="100"/>
      <c r="E539" s="109">
        <v>0</v>
      </c>
      <c r="F539" s="141"/>
    </row>
    <row r="540" spans="3:6">
      <c r="C540" s="138">
        <v>21610</v>
      </c>
      <c r="D540" s="100"/>
      <c r="E540" s="109">
        <v>0</v>
      </c>
      <c r="F540" s="141"/>
    </row>
    <row r="541" spans="3:6">
      <c r="C541" s="138">
        <v>21641</v>
      </c>
      <c r="D541" s="100"/>
      <c r="E541" s="109">
        <v>0</v>
      </c>
      <c r="F541" s="141"/>
    </row>
    <row r="542" spans="3:6">
      <c r="C542" s="138">
        <v>21671</v>
      </c>
      <c r="D542" s="100"/>
      <c r="E542" s="109">
        <v>0</v>
      </c>
      <c r="F542" s="141"/>
    </row>
    <row r="543" spans="3:6">
      <c r="C543" s="138">
        <v>21702</v>
      </c>
      <c r="D543" s="100"/>
      <c r="E543" s="109">
        <v>0</v>
      </c>
      <c r="F543" s="141"/>
    </row>
    <row r="544" spans="3:6">
      <c r="C544" s="138">
        <v>21732</v>
      </c>
      <c r="D544" s="100"/>
      <c r="E544" s="109">
        <v>0</v>
      </c>
      <c r="F544" s="141"/>
    </row>
    <row r="545" spans="3:6">
      <c r="C545" s="138">
        <v>21763</v>
      </c>
      <c r="D545" s="100"/>
      <c r="E545" s="109">
        <v>0</v>
      </c>
      <c r="F545" s="141"/>
    </row>
    <row r="546" spans="3:6">
      <c r="C546" s="138">
        <v>21794</v>
      </c>
      <c r="D546" s="100"/>
      <c r="E546" s="109">
        <v>0</v>
      </c>
      <c r="F546" s="141"/>
    </row>
    <row r="547" spans="3:6">
      <c r="C547" s="138">
        <v>21824</v>
      </c>
      <c r="D547" s="100"/>
      <c r="E547" s="109">
        <v>0</v>
      </c>
      <c r="F547" s="141"/>
    </row>
    <row r="548" spans="3:6">
      <c r="C548" s="138">
        <v>21855</v>
      </c>
      <c r="D548" s="100"/>
      <c r="E548" s="109">
        <v>0</v>
      </c>
      <c r="F548" s="141"/>
    </row>
    <row r="549" spans="3:6">
      <c r="C549" s="138">
        <v>21885</v>
      </c>
      <c r="D549" s="100"/>
      <c r="E549" s="109">
        <v>0</v>
      </c>
      <c r="F549" s="141"/>
    </row>
    <row r="550" spans="3:6">
      <c r="C550" s="138">
        <v>21916</v>
      </c>
      <c r="D550" s="100"/>
      <c r="E550" s="109">
        <v>0</v>
      </c>
      <c r="F550" s="141"/>
    </row>
    <row r="551" spans="3:6">
      <c r="C551" s="138">
        <v>21947</v>
      </c>
      <c r="D551" s="100"/>
      <c r="E551" s="109">
        <v>0</v>
      </c>
      <c r="F551" s="141"/>
    </row>
    <row r="552" spans="3:6">
      <c r="C552" s="138">
        <v>21976</v>
      </c>
      <c r="D552" s="100"/>
      <c r="E552" s="109">
        <v>0</v>
      </c>
      <c r="F552" s="141"/>
    </row>
    <row r="553" spans="3:6">
      <c r="C553" s="138">
        <v>22007</v>
      </c>
      <c r="D553" s="100"/>
      <c r="E553" s="109">
        <v>0</v>
      </c>
      <c r="F553" s="141"/>
    </row>
    <row r="554" spans="3:6">
      <c r="C554" s="138">
        <v>22037</v>
      </c>
      <c r="D554" s="100"/>
      <c r="E554" s="109">
        <v>0</v>
      </c>
      <c r="F554" s="141"/>
    </row>
    <row r="555" spans="3:6">
      <c r="C555" s="138">
        <v>22068</v>
      </c>
      <c r="D555" s="100"/>
      <c r="E555" s="109">
        <v>0</v>
      </c>
      <c r="F555" s="141"/>
    </row>
    <row r="556" spans="3:6">
      <c r="C556" s="138">
        <v>22098</v>
      </c>
      <c r="D556" s="100"/>
      <c r="E556" s="109">
        <v>0</v>
      </c>
      <c r="F556" s="141"/>
    </row>
    <row r="557" spans="3:6">
      <c r="C557" s="138">
        <v>22129</v>
      </c>
      <c r="D557" s="100"/>
      <c r="E557" s="109">
        <v>0</v>
      </c>
      <c r="F557" s="141"/>
    </row>
    <row r="558" spans="3:6">
      <c r="C558" s="138">
        <v>22160</v>
      </c>
      <c r="D558" s="100"/>
      <c r="E558" s="109">
        <v>0</v>
      </c>
      <c r="F558" s="141"/>
    </row>
    <row r="559" spans="3:6">
      <c r="C559" s="138">
        <v>22190</v>
      </c>
      <c r="D559" s="100"/>
      <c r="E559" s="109">
        <v>0</v>
      </c>
      <c r="F559" s="141"/>
    </row>
    <row r="560" spans="3:6">
      <c r="C560" s="138">
        <v>22221</v>
      </c>
      <c r="D560" s="100"/>
      <c r="E560" s="109">
        <v>0</v>
      </c>
      <c r="F560" s="141"/>
    </row>
    <row r="561" spans="3:6">
      <c r="C561" s="138">
        <v>22251</v>
      </c>
      <c r="D561" s="100"/>
      <c r="E561" s="109">
        <v>0</v>
      </c>
      <c r="F561" s="141"/>
    </row>
    <row r="562" spans="3:6">
      <c r="C562" s="138">
        <v>22282</v>
      </c>
      <c r="D562" s="100"/>
      <c r="E562" s="109">
        <v>0</v>
      </c>
      <c r="F562" s="141"/>
    </row>
    <row r="563" spans="3:6">
      <c r="C563" s="138">
        <v>22313</v>
      </c>
      <c r="D563" s="100"/>
      <c r="E563" s="109">
        <v>0</v>
      </c>
      <c r="F563" s="141"/>
    </row>
    <row r="564" spans="3:6">
      <c r="C564" s="138">
        <v>22341</v>
      </c>
      <c r="D564" s="100"/>
      <c r="E564" s="109">
        <v>0</v>
      </c>
      <c r="F564" s="141"/>
    </row>
    <row r="565" spans="3:6">
      <c r="C565" s="138">
        <v>22372</v>
      </c>
      <c r="D565" s="100"/>
      <c r="E565" s="109">
        <v>0</v>
      </c>
      <c r="F565" s="141"/>
    </row>
    <row r="566" spans="3:6">
      <c r="C566" s="138">
        <v>22402</v>
      </c>
      <c r="D566" s="100"/>
      <c r="E566" s="109">
        <v>0</v>
      </c>
      <c r="F566" s="141"/>
    </row>
    <row r="567" spans="3:6">
      <c r="C567" s="138">
        <v>22433</v>
      </c>
      <c r="D567" s="100"/>
      <c r="E567" s="109">
        <v>0</v>
      </c>
      <c r="F567" s="141"/>
    </row>
    <row r="568" spans="3:6">
      <c r="C568" s="138">
        <v>22463</v>
      </c>
      <c r="D568" s="100"/>
      <c r="E568" s="109">
        <v>0</v>
      </c>
      <c r="F568" s="141"/>
    </row>
    <row r="569" spans="3:6">
      <c r="C569" s="138">
        <v>22494</v>
      </c>
      <c r="D569" s="100"/>
      <c r="E569" s="109">
        <v>0</v>
      </c>
      <c r="F569" s="141"/>
    </row>
    <row r="570" spans="3:6">
      <c r="C570" s="138">
        <v>22525</v>
      </c>
      <c r="D570" s="100"/>
      <c r="E570" s="109">
        <v>0</v>
      </c>
      <c r="F570" s="141"/>
    </row>
    <row r="571" spans="3:6">
      <c r="C571" s="138">
        <v>22555</v>
      </c>
      <c r="D571" s="100"/>
      <c r="E571" s="109">
        <v>0</v>
      </c>
      <c r="F571" s="141"/>
    </row>
    <row r="572" spans="3:6">
      <c r="C572" s="138">
        <v>22586</v>
      </c>
      <c r="D572" s="100"/>
      <c r="E572" s="109">
        <v>0</v>
      </c>
      <c r="F572" s="141"/>
    </row>
    <row r="573" spans="3:6">
      <c r="C573" s="138">
        <v>22616</v>
      </c>
      <c r="D573" s="100"/>
      <c r="E573" s="109">
        <v>0</v>
      </c>
      <c r="F573" s="141"/>
    </row>
    <row r="574" spans="3:6">
      <c r="C574" s="138">
        <v>22647</v>
      </c>
      <c r="D574" s="100"/>
      <c r="E574" s="109">
        <v>0</v>
      </c>
      <c r="F574" s="141"/>
    </row>
    <row r="575" spans="3:6">
      <c r="C575" s="138">
        <v>22678</v>
      </c>
      <c r="D575" s="100"/>
      <c r="E575" s="109">
        <v>0</v>
      </c>
      <c r="F575" s="141"/>
    </row>
    <row r="576" spans="3:6">
      <c r="C576" s="138">
        <v>22706</v>
      </c>
      <c r="D576" s="100"/>
      <c r="E576" s="109">
        <v>0</v>
      </c>
      <c r="F576" s="141"/>
    </row>
    <row r="577" spans="3:6">
      <c r="C577" s="138">
        <v>22737</v>
      </c>
      <c r="D577" s="100"/>
      <c r="E577" s="109">
        <v>0</v>
      </c>
      <c r="F577" s="141"/>
    </row>
    <row r="578" spans="3:6">
      <c r="C578" s="138">
        <v>22767</v>
      </c>
      <c r="D578" s="100"/>
      <c r="E578" s="109">
        <v>0</v>
      </c>
      <c r="F578" s="141"/>
    </row>
    <row r="579" spans="3:6">
      <c r="C579" s="138">
        <v>22798</v>
      </c>
      <c r="D579" s="100"/>
      <c r="E579" s="109">
        <v>0</v>
      </c>
      <c r="F579" s="141"/>
    </row>
    <row r="580" spans="3:6">
      <c r="C580" s="138">
        <v>22828</v>
      </c>
      <c r="D580" s="100"/>
      <c r="E580" s="109">
        <v>0</v>
      </c>
      <c r="F580" s="141"/>
    </row>
    <row r="581" spans="3:6">
      <c r="C581" s="138">
        <v>22859</v>
      </c>
      <c r="D581" s="100"/>
      <c r="E581" s="109">
        <v>0</v>
      </c>
      <c r="F581" s="141"/>
    </row>
    <row r="582" spans="3:6">
      <c r="C582" s="138">
        <v>22890</v>
      </c>
      <c r="D582" s="100"/>
      <c r="E582" s="109">
        <v>0</v>
      </c>
      <c r="F582" s="141"/>
    </row>
    <row r="583" spans="3:6">
      <c r="C583" s="138">
        <v>22920</v>
      </c>
      <c r="D583" s="100"/>
      <c r="E583" s="109">
        <v>0</v>
      </c>
      <c r="F583" s="141"/>
    </row>
    <row r="584" spans="3:6">
      <c r="C584" s="138">
        <v>22951</v>
      </c>
      <c r="D584" s="100"/>
      <c r="E584" s="109">
        <v>0</v>
      </c>
      <c r="F584" s="141"/>
    </row>
    <row r="585" spans="3:6">
      <c r="C585" s="138">
        <v>22981</v>
      </c>
      <c r="D585" s="100"/>
      <c r="E585" s="109">
        <v>0</v>
      </c>
      <c r="F585" s="141"/>
    </row>
    <row r="586" spans="3:6">
      <c r="C586" s="138">
        <v>23012</v>
      </c>
      <c r="D586" s="100"/>
      <c r="E586" s="109">
        <v>0</v>
      </c>
      <c r="F586" s="141"/>
    </row>
    <row r="587" spans="3:6">
      <c r="C587" s="138">
        <v>23043</v>
      </c>
      <c r="D587" s="100"/>
      <c r="E587" s="109">
        <v>0</v>
      </c>
      <c r="F587" s="141"/>
    </row>
    <row r="588" spans="3:6">
      <c r="C588" s="138">
        <v>23071</v>
      </c>
      <c r="D588" s="100"/>
      <c r="E588" s="109">
        <v>0</v>
      </c>
      <c r="F588" s="141"/>
    </row>
    <row r="589" spans="3:6">
      <c r="C589" s="138">
        <v>23102</v>
      </c>
      <c r="D589" s="100"/>
      <c r="E589" s="109">
        <v>0</v>
      </c>
      <c r="F589" s="141"/>
    </row>
    <row r="590" spans="3:6">
      <c r="C590" s="138">
        <v>23132</v>
      </c>
      <c r="D590" s="100"/>
      <c r="E590" s="109">
        <v>0</v>
      </c>
      <c r="F590" s="141"/>
    </row>
    <row r="591" spans="3:6">
      <c r="C591" s="138">
        <v>23163</v>
      </c>
      <c r="D591" s="100"/>
      <c r="E591" s="109">
        <v>0</v>
      </c>
      <c r="F591" s="141"/>
    </row>
    <row r="592" spans="3:6">
      <c r="C592" s="138">
        <v>23193</v>
      </c>
      <c r="D592" s="100"/>
      <c r="E592" s="109">
        <v>0</v>
      </c>
      <c r="F592" s="141"/>
    </row>
    <row r="593" spans="3:6">
      <c r="C593" s="138">
        <v>23224</v>
      </c>
      <c r="D593" s="100"/>
      <c r="E593" s="109">
        <v>0</v>
      </c>
      <c r="F593" s="141"/>
    </row>
    <row r="594" spans="3:6">
      <c r="C594" s="138">
        <v>23255</v>
      </c>
      <c r="D594" s="100"/>
      <c r="E594" s="109">
        <v>0</v>
      </c>
      <c r="F594" s="141"/>
    </row>
    <row r="595" spans="3:6">
      <c r="C595" s="138">
        <v>23285</v>
      </c>
      <c r="D595" s="100"/>
      <c r="E595" s="109">
        <v>0</v>
      </c>
      <c r="F595" s="141"/>
    </row>
    <row r="596" spans="3:6">
      <c r="C596" s="138">
        <v>23316</v>
      </c>
      <c r="D596" s="100"/>
      <c r="E596" s="109">
        <v>0</v>
      </c>
      <c r="F596" s="141"/>
    </row>
    <row r="597" spans="3:6">
      <c r="C597" s="138">
        <v>23346</v>
      </c>
      <c r="D597" s="100"/>
      <c r="E597" s="109">
        <v>0</v>
      </c>
      <c r="F597" s="141"/>
    </row>
    <row r="598" spans="3:6">
      <c r="C598" s="138">
        <v>23377</v>
      </c>
      <c r="D598" s="100"/>
      <c r="E598" s="109">
        <v>0</v>
      </c>
      <c r="F598" s="141"/>
    </row>
    <row r="599" spans="3:6">
      <c r="C599" s="138">
        <v>23408</v>
      </c>
      <c r="D599" s="100"/>
      <c r="E599" s="109">
        <v>0</v>
      </c>
      <c r="F599" s="141"/>
    </row>
    <row r="600" spans="3:6">
      <c r="C600" s="138">
        <v>23437</v>
      </c>
      <c r="D600" s="100"/>
      <c r="E600" s="109">
        <v>0</v>
      </c>
      <c r="F600" s="141"/>
    </row>
    <row r="601" spans="3:6">
      <c r="C601" s="138">
        <v>23468</v>
      </c>
      <c r="D601" s="100"/>
      <c r="E601" s="109">
        <v>0</v>
      </c>
      <c r="F601" s="141"/>
    </row>
    <row r="602" spans="3:6">
      <c r="C602" s="138">
        <v>23498</v>
      </c>
      <c r="D602" s="100"/>
      <c r="E602" s="109">
        <v>0</v>
      </c>
      <c r="F602" s="141"/>
    </row>
    <row r="603" spans="3:6">
      <c r="C603" s="138">
        <v>23529</v>
      </c>
      <c r="D603" s="100"/>
      <c r="E603" s="109">
        <v>0</v>
      </c>
      <c r="F603" s="141"/>
    </row>
    <row r="604" spans="3:6">
      <c r="C604" s="138">
        <v>23559</v>
      </c>
      <c r="D604" s="100"/>
      <c r="E604" s="109">
        <v>0</v>
      </c>
      <c r="F604" s="141"/>
    </row>
    <row r="605" spans="3:6">
      <c r="C605" s="138">
        <v>23590</v>
      </c>
      <c r="D605" s="100"/>
      <c r="E605" s="109">
        <v>0</v>
      </c>
      <c r="F605" s="141"/>
    </row>
    <row r="606" spans="3:6">
      <c r="C606" s="138">
        <v>23621</v>
      </c>
      <c r="D606" s="100"/>
      <c r="E606" s="109">
        <v>0</v>
      </c>
      <c r="F606" s="141"/>
    </row>
    <row r="607" spans="3:6">
      <c r="C607" s="138">
        <v>23651</v>
      </c>
      <c r="D607" s="100"/>
      <c r="E607" s="109">
        <v>0</v>
      </c>
      <c r="F607" s="141"/>
    </row>
    <row r="608" spans="3:6">
      <c r="C608" s="138">
        <v>23682</v>
      </c>
      <c r="D608" s="100"/>
      <c r="E608" s="109">
        <v>0</v>
      </c>
      <c r="F608" s="141"/>
    </row>
    <row r="609" spans="3:6">
      <c r="C609" s="138">
        <v>23712</v>
      </c>
      <c r="D609" s="100"/>
      <c r="E609" s="109">
        <v>0</v>
      </c>
      <c r="F609" s="141"/>
    </row>
    <row r="610" spans="3:6">
      <c r="C610" s="138">
        <v>23743</v>
      </c>
      <c r="D610" s="100"/>
      <c r="E610" s="109">
        <v>0</v>
      </c>
      <c r="F610" s="141"/>
    </row>
    <row r="611" spans="3:6">
      <c r="C611" s="138">
        <v>23774</v>
      </c>
      <c r="D611" s="100"/>
      <c r="E611" s="109">
        <v>0</v>
      </c>
      <c r="F611" s="141"/>
    </row>
    <row r="612" spans="3:6">
      <c r="C612" s="138">
        <v>23802</v>
      </c>
      <c r="D612" s="100"/>
      <c r="E612" s="109">
        <v>0</v>
      </c>
      <c r="F612" s="141"/>
    </row>
    <row r="613" spans="3:6">
      <c r="C613" s="138">
        <v>23833</v>
      </c>
      <c r="D613" s="100"/>
      <c r="E613" s="109">
        <v>0</v>
      </c>
      <c r="F613" s="141"/>
    </row>
    <row r="614" spans="3:6">
      <c r="C614" s="138">
        <v>23863</v>
      </c>
      <c r="D614" s="100"/>
      <c r="E614" s="109">
        <v>0</v>
      </c>
      <c r="F614" s="141"/>
    </row>
    <row r="615" spans="3:6">
      <c r="C615" s="138">
        <v>23894</v>
      </c>
      <c r="D615" s="100"/>
      <c r="E615" s="109">
        <v>0</v>
      </c>
      <c r="F615" s="141"/>
    </row>
    <row r="616" spans="3:6">
      <c r="C616" s="138">
        <v>23924</v>
      </c>
      <c r="D616" s="100"/>
      <c r="E616" s="109">
        <v>0</v>
      </c>
      <c r="F616" s="141"/>
    </row>
    <row r="617" spans="3:6">
      <c r="C617" s="138">
        <v>23955</v>
      </c>
      <c r="D617" s="100"/>
      <c r="E617" s="109">
        <v>0</v>
      </c>
      <c r="F617" s="141"/>
    </row>
    <row r="618" spans="3:6">
      <c r="C618" s="138">
        <v>23986</v>
      </c>
      <c r="D618" s="100"/>
      <c r="E618" s="109">
        <v>0</v>
      </c>
      <c r="F618" s="141"/>
    </row>
    <row r="619" spans="3:6">
      <c r="C619" s="138">
        <v>24016</v>
      </c>
      <c r="D619" s="100"/>
      <c r="E619" s="109">
        <v>0</v>
      </c>
      <c r="F619" s="141"/>
    </row>
    <row r="620" spans="3:6">
      <c r="C620" s="138">
        <v>24047</v>
      </c>
      <c r="D620" s="100"/>
      <c r="E620" s="109">
        <v>0</v>
      </c>
      <c r="F620" s="141"/>
    </row>
    <row r="621" spans="3:6">
      <c r="C621" s="138">
        <v>24077</v>
      </c>
      <c r="D621" s="100"/>
      <c r="E621" s="109">
        <v>0</v>
      </c>
      <c r="F621" s="141"/>
    </row>
    <row r="622" spans="3:6">
      <c r="C622" s="138">
        <v>24108</v>
      </c>
      <c r="D622" s="100"/>
      <c r="E622" s="109">
        <v>0</v>
      </c>
      <c r="F622" s="141"/>
    </row>
    <row r="623" spans="3:6">
      <c r="C623" s="138">
        <v>24139</v>
      </c>
      <c r="D623" s="100"/>
      <c r="E623" s="109">
        <v>0</v>
      </c>
      <c r="F623" s="141"/>
    </row>
    <row r="624" spans="3:6">
      <c r="C624" s="138">
        <v>24167</v>
      </c>
      <c r="D624" s="100"/>
      <c r="E624" s="109">
        <v>0</v>
      </c>
      <c r="F624" s="141"/>
    </row>
    <row r="625" spans="3:6">
      <c r="C625" s="138">
        <v>24198</v>
      </c>
      <c r="D625" s="100"/>
      <c r="E625" s="109">
        <v>0</v>
      </c>
      <c r="F625" s="141"/>
    </row>
    <row r="626" spans="3:6">
      <c r="C626" s="138">
        <v>24228</v>
      </c>
      <c r="D626" s="100"/>
      <c r="E626" s="109">
        <v>0</v>
      </c>
      <c r="F626" s="141"/>
    </row>
    <row r="627" spans="3:6">
      <c r="C627" s="138">
        <v>24259</v>
      </c>
      <c r="D627" s="100"/>
      <c r="E627" s="109">
        <v>0</v>
      </c>
      <c r="F627" s="141"/>
    </row>
    <row r="628" spans="3:6">
      <c r="C628" s="138">
        <v>24289</v>
      </c>
      <c r="D628" s="100"/>
      <c r="E628" s="109">
        <v>0</v>
      </c>
      <c r="F628" s="141"/>
    </row>
    <row r="629" spans="3:6">
      <c r="C629" s="138">
        <v>24320</v>
      </c>
      <c r="D629" s="100"/>
      <c r="E629" s="109">
        <v>0</v>
      </c>
      <c r="F629" s="141"/>
    </row>
    <row r="630" spans="3:6">
      <c r="C630" s="138">
        <v>24351</v>
      </c>
      <c r="D630" s="100"/>
      <c r="E630" s="109">
        <v>0</v>
      </c>
      <c r="F630" s="141"/>
    </row>
    <row r="631" spans="3:6">
      <c r="C631" s="138">
        <v>24381</v>
      </c>
      <c r="D631" s="100"/>
      <c r="E631" s="109">
        <v>0</v>
      </c>
      <c r="F631" s="141"/>
    </row>
    <row r="632" spans="3:6">
      <c r="C632" s="138">
        <v>24412</v>
      </c>
      <c r="D632" s="100"/>
      <c r="E632" s="109">
        <v>0</v>
      </c>
      <c r="F632" s="141"/>
    </row>
    <row r="633" spans="3:6">
      <c r="C633" s="138">
        <v>24442</v>
      </c>
      <c r="D633" s="100"/>
      <c r="E633" s="109">
        <v>0</v>
      </c>
      <c r="F633" s="141"/>
    </row>
    <row r="634" spans="3:6">
      <c r="C634" s="138">
        <v>24473</v>
      </c>
      <c r="D634" s="100"/>
      <c r="E634" s="109">
        <v>0</v>
      </c>
      <c r="F634" s="141"/>
    </row>
    <row r="635" spans="3:6">
      <c r="C635" s="138">
        <v>24504</v>
      </c>
      <c r="D635" s="100"/>
      <c r="E635" s="109">
        <v>0</v>
      </c>
      <c r="F635" s="141"/>
    </row>
    <row r="636" spans="3:6">
      <c r="C636" s="138">
        <v>24532</v>
      </c>
      <c r="D636" s="100"/>
      <c r="E636" s="109">
        <v>0</v>
      </c>
      <c r="F636" s="141"/>
    </row>
    <row r="637" spans="3:6">
      <c r="C637" s="138">
        <v>24563</v>
      </c>
      <c r="D637" s="100"/>
      <c r="E637" s="109">
        <v>0</v>
      </c>
      <c r="F637" s="141"/>
    </row>
    <row r="638" spans="3:6">
      <c r="C638" s="138">
        <v>24593</v>
      </c>
      <c r="D638" s="100"/>
      <c r="E638" s="109">
        <v>0</v>
      </c>
      <c r="F638" s="141"/>
    </row>
    <row r="639" spans="3:6">
      <c r="C639" s="138">
        <v>24624</v>
      </c>
      <c r="D639" s="100"/>
      <c r="E639" s="109">
        <v>0</v>
      </c>
      <c r="F639" s="141"/>
    </row>
    <row r="640" spans="3:6">
      <c r="C640" s="138">
        <v>24654</v>
      </c>
      <c r="D640" s="100"/>
      <c r="E640" s="109">
        <v>0</v>
      </c>
      <c r="F640" s="141"/>
    </row>
    <row r="641" spans="3:6">
      <c r="C641" s="138">
        <v>24685</v>
      </c>
      <c r="D641" s="100"/>
      <c r="E641" s="109">
        <v>0</v>
      </c>
      <c r="F641" s="141"/>
    </row>
    <row r="642" spans="3:6">
      <c r="C642" s="138">
        <v>24716</v>
      </c>
      <c r="D642" s="100"/>
      <c r="E642" s="109">
        <v>0</v>
      </c>
      <c r="F642" s="141"/>
    </row>
    <row r="643" spans="3:6">
      <c r="C643" s="138">
        <v>24746</v>
      </c>
      <c r="D643" s="100"/>
      <c r="E643" s="109">
        <v>0</v>
      </c>
      <c r="F643" s="141"/>
    </row>
    <row r="644" spans="3:6">
      <c r="C644" s="138">
        <v>24777</v>
      </c>
      <c r="D644" s="100"/>
      <c r="E644" s="109">
        <v>0</v>
      </c>
      <c r="F644" s="141"/>
    </row>
    <row r="645" spans="3:6">
      <c r="C645" s="138">
        <v>24807</v>
      </c>
      <c r="D645" s="100"/>
      <c r="E645" s="109">
        <v>0</v>
      </c>
      <c r="F645" s="141"/>
    </row>
    <row r="646" spans="3:6">
      <c r="C646" s="138">
        <v>24838</v>
      </c>
      <c r="D646" s="100"/>
      <c r="E646" s="109">
        <v>0</v>
      </c>
      <c r="F646" s="141"/>
    </row>
    <row r="647" spans="3:6">
      <c r="C647" s="138">
        <v>24869</v>
      </c>
      <c r="D647" s="100"/>
      <c r="E647" s="109">
        <v>0</v>
      </c>
      <c r="F647" s="141"/>
    </row>
    <row r="648" spans="3:6">
      <c r="C648" s="138">
        <v>24898</v>
      </c>
      <c r="D648" s="100"/>
      <c r="E648" s="109">
        <v>0</v>
      </c>
      <c r="F648" s="141"/>
    </row>
    <row r="649" spans="3:6">
      <c r="C649" s="138">
        <v>24929</v>
      </c>
      <c r="D649" s="100"/>
      <c r="E649" s="109">
        <v>0</v>
      </c>
      <c r="F649" s="141"/>
    </row>
    <row r="650" spans="3:6">
      <c r="C650" s="138">
        <v>24959</v>
      </c>
      <c r="D650" s="100"/>
      <c r="E650" s="109">
        <v>0</v>
      </c>
      <c r="F650" s="141"/>
    </row>
    <row r="651" spans="3:6">
      <c r="C651" s="138">
        <v>24990</v>
      </c>
      <c r="D651" s="100"/>
      <c r="E651" s="109">
        <v>0</v>
      </c>
      <c r="F651" s="141"/>
    </row>
    <row r="652" spans="3:6">
      <c r="C652" s="138">
        <v>25020</v>
      </c>
      <c r="D652" s="100"/>
      <c r="E652" s="109">
        <v>0</v>
      </c>
      <c r="F652" s="141"/>
    </row>
    <row r="653" spans="3:6">
      <c r="C653" s="138">
        <v>25051</v>
      </c>
      <c r="D653" s="100"/>
      <c r="E653" s="109">
        <v>0</v>
      </c>
      <c r="F653" s="141"/>
    </row>
    <row r="654" spans="3:6">
      <c r="C654" s="138">
        <v>25082</v>
      </c>
      <c r="D654" s="100"/>
      <c r="E654" s="109">
        <v>0</v>
      </c>
      <c r="F654" s="141"/>
    </row>
    <row r="655" spans="3:6">
      <c r="C655" s="138">
        <v>25112</v>
      </c>
      <c r="D655" s="100"/>
      <c r="E655" s="109">
        <v>0</v>
      </c>
      <c r="F655" s="141"/>
    </row>
    <row r="656" spans="3:6">
      <c r="C656" s="138">
        <v>25143</v>
      </c>
      <c r="D656" s="100"/>
      <c r="E656" s="109">
        <v>0</v>
      </c>
      <c r="F656" s="141"/>
    </row>
    <row r="657" spans="3:6">
      <c r="C657" s="138">
        <v>25173</v>
      </c>
      <c r="D657" s="100"/>
      <c r="E657" s="109">
        <v>0</v>
      </c>
      <c r="F657" s="141"/>
    </row>
    <row r="658" spans="3:6">
      <c r="C658" s="138" t="s">
        <v>64</v>
      </c>
      <c r="D658" s="100"/>
      <c r="E658" s="109">
        <v>0</v>
      </c>
      <c r="F658" s="141"/>
    </row>
  </sheetData>
  <conditionalFormatting pivot="1" sqref="E9:E658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F9:F658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658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1.5546875" bestFit="1" customWidth="1"/>
    <col min="4" max="4" width="9.5546875" bestFit="1" customWidth="1"/>
    <col min="5" max="7" width="12.44140625" bestFit="1" customWidth="1"/>
    <col min="8" max="8" width="22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10" t="str">
        <f>Name</f>
        <v>dowjones</v>
      </c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2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</row>
    <row r="5" spans="2:17" ht="15" customHeight="1"/>
    <row r="6" spans="2:17" ht="15" customHeight="1"/>
    <row r="7" spans="2:17" ht="15" customHeight="1">
      <c r="C7" s="107"/>
    </row>
    <row r="8" spans="2:17" ht="36.6" customHeight="1">
      <c r="C8" s="140" t="s">
        <v>56</v>
      </c>
      <c r="D8" s="139" t="s">
        <v>57</v>
      </c>
    </row>
    <row r="9" spans="2:17" ht="15" customHeight="1">
      <c r="C9" s="138">
        <v>5449</v>
      </c>
      <c r="D9" s="100"/>
    </row>
    <row r="10" spans="2:17" ht="15" customHeight="1">
      <c r="C10" s="138">
        <v>5480</v>
      </c>
      <c r="D10" s="100"/>
    </row>
    <row r="11" spans="2:17" ht="15" customHeight="1">
      <c r="C11" s="138">
        <v>5511</v>
      </c>
      <c r="D11" s="100"/>
    </row>
    <row r="12" spans="2:17" ht="15" customHeight="1">
      <c r="C12" s="138">
        <v>5539</v>
      </c>
      <c r="D12" s="100"/>
    </row>
    <row r="13" spans="2:17" ht="15" customHeight="1">
      <c r="C13" s="138">
        <v>5570</v>
      </c>
      <c r="D13" s="100"/>
    </row>
    <row r="14" spans="2:17">
      <c r="C14" s="138">
        <v>5600</v>
      </c>
      <c r="D14" s="100"/>
    </row>
    <row r="15" spans="2:17">
      <c r="C15" s="138">
        <v>5631</v>
      </c>
      <c r="D15" s="100"/>
    </row>
    <row r="16" spans="2:17">
      <c r="C16" s="138">
        <v>5661</v>
      </c>
      <c r="D16" s="100"/>
    </row>
    <row r="17" spans="3:4">
      <c r="C17" s="138">
        <v>5692</v>
      </c>
      <c r="D17" s="100"/>
    </row>
    <row r="18" spans="3:4">
      <c r="C18" s="138">
        <v>5723</v>
      </c>
      <c r="D18" s="100"/>
    </row>
    <row r="19" spans="3:4">
      <c r="C19" s="138">
        <v>5753</v>
      </c>
      <c r="D19" s="100"/>
    </row>
    <row r="20" spans="3:4">
      <c r="C20" s="138">
        <v>5784</v>
      </c>
      <c r="D20" s="100"/>
    </row>
    <row r="21" spans="3:4">
      <c r="C21" s="138">
        <v>5814</v>
      </c>
      <c r="D21" s="100"/>
    </row>
    <row r="22" spans="3:4">
      <c r="C22" s="138">
        <v>5845</v>
      </c>
      <c r="D22" s="100"/>
    </row>
    <row r="23" spans="3:4">
      <c r="C23" s="138">
        <v>5876</v>
      </c>
      <c r="D23" s="100"/>
    </row>
    <row r="24" spans="3:4">
      <c r="C24" s="138">
        <v>5905</v>
      </c>
      <c r="D24" s="100"/>
    </row>
    <row r="25" spans="3:4">
      <c r="C25" s="138">
        <v>5936</v>
      </c>
      <c r="D25" s="100"/>
    </row>
    <row r="26" spans="3:4">
      <c r="C26" s="138">
        <v>5966</v>
      </c>
      <c r="D26" s="100"/>
    </row>
    <row r="27" spans="3:4">
      <c r="C27" s="138">
        <v>5997</v>
      </c>
      <c r="D27" s="100"/>
    </row>
    <row r="28" spans="3:4">
      <c r="C28" s="138">
        <v>6027</v>
      </c>
      <c r="D28" s="100"/>
    </row>
    <row r="29" spans="3:4">
      <c r="C29" s="138">
        <v>6058</v>
      </c>
      <c r="D29" s="100"/>
    </row>
    <row r="30" spans="3:4">
      <c r="C30" s="138">
        <v>6089</v>
      </c>
      <c r="D30" s="100"/>
    </row>
    <row r="31" spans="3:4">
      <c r="C31" s="138">
        <v>6119</v>
      </c>
      <c r="D31" s="100"/>
    </row>
    <row r="32" spans="3:4">
      <c r="C32" s="138">
        <v>6150</v>
      </c>
      <c r="D32" s="100"/>
    </row>
    <row r="33" spans="3:4">
      <c r="C33" s="138">
        <v>6180</v>
      </c>
      <c r="D33" s="100"/>
    </row>
    <row r="34" spans="3:4">
      <c r="C34" s="138">
        <v>6211</v>
      </c>
      <c r="D34" s="100"/>
    </row>
    <row r="35" spans="3:4">
      <c r="C35" s="138">
        <v>6242</v>
      </c>
      <c r="D35" s="100"/>
    </row>
    <row r="36" spans="3:4">
      <c r="C36" s="138">
        <v>6270</v>
      </c>
      <c r="D36" s="100"/>
    </row>
    <row r="37" spans="3:4">
      <c r="C37" s="138">
        <v>6301</v>
      </c>
      <c r="D37" s="100"/>
    </row>
    <row r="38" spans="3:4">
      <c r="C38" s="138">
        <v>6331</v>
      </c>
      <c r="D38" s="100"/>
    </row>
    <row r="39" spans="3:4">
      <c r="C39" s="138">
        <v>6362</v>
      </c>
      <c r="D39" s="100"/>
    </row>
    <row r="40" spans="3:4">
      <c r="C40" s="138">
        <v>6392</v>
      </c>
      <c r="D40" s="100"/>
    </row>
    <row r="41" spans="3:4">
      <c r="C41" s="138">
        <v>6423</v>
      </c>
      <c r="D41" s="100"/>
    </row>
    <row r="42" spans="3:4">
      <c r="C42" s="138">
        <v>6454</v>
      </c>
      <c r="D42" s="100"/>
    </row>
    <row r="43" spans="3:4">
      <c r="C43" s="138">
        <v>6484</v>
      </c>
      <c r="D43" s="100"/>
    </row>
    <row r="44" spans="3:4">
      <c r="C44" s="138">
        <v>6515</v>
      </c>
      <c r="D44" s="100"/>
    </row>
    <row r="45" spans="3:4">
      <c r="C45" s="138">
        <v>6545</v>
      </c>
      <c r="D45" s="100"/>
    </row>
    <row r="46" spans="3:4">
      <c r="C46" s="138">
        <v>6576</v>
      </c>
      <c r="D46" s="100"/>
    </row>
    <row r="47" spans="3:4">
      <c r="C47" s="138">
        <v>6607</v>
      </c>
      <c r="D47" s="100"/>
    </row>
    <row r="48" spans="3:4">
      <c r="C48" s="138">
        <v>6635</v>
      </c>
      <c r="D48" s="100"/>
    </row>
    <row r="49" spans="3:4">
      <c r="C49" s="138">
        <v>6666</v>
      </c>
      <c r="D49" s="100"/>
    </row>
    <row r="50" spans="3:4">
      <c r="C50" s="138">
        <v>6696</v>
      </c>
      <c r="D50" s="100"/>
    </row>
    <row r="51" spans="3:4">
      <c r="C51" s="138">
        <v>6727</v>
      </c>
      <c r="D51" s="100"/>
    </row>
    <row r="52" spans="3:4">
      <c r="C52" s="138">
        <v>6757</v>
      </c>
      <c r="D52" s="100"/>
    </row>
    <row r="53" spans="3:4">
      <c r="C53" s="138">
        <v>6788</v>
      </c>
      <c r="D53" s="100"/>
    </row>
    <row r="54" spans="3:4">
      <c r="C54" s="138">
        <v>6819</v>
      </c>
      <c r="D54" s="100"/>
    </row>
    <row r="55" spans="3:4">
      <c r="C55" s="138">
        <v>6849</v>
      </c>
      <c r="D55" s="100"/>
    </row>
    <row r="56" spans="3:4">
      <c r="C56" s="138">
        <v>6880</v>
      </c>
      <c r="D56" s="100"/>
    </row>
    <row r="57" spans="3:4">
      <c r="C57" s="138">
        <v>6910</v>
      </c>
      <c r="D57" s="100"/>
    </row>
    <row r="58" spans="3:4">
      <c r="C58" s="138">
        <v>6941</v>
      </c>
      <c r="D58" s="100"/>
    </row>
    <row r="59" spans="3:4">
      <c r="C59" s="138">
        <v>6972</v>
      </c>
      <c r="D59" s="100"/>
    </row>
    <row r="60" spans="3:4">
      <c r="C60" s="138">
        <v>7000</v>
      </c>
      <c r="D60" s="100"/>
    </row>
    <row r="61" spans="3:4">
      <c r="C61" s="138">
        <v>7031</v>
      </c>
      <c r="D61" s="100"/>
    </row>
    <row r="62" spans="3:4">
      <c r="C62" s="138">
        <v>7061</v>
      </c>
      <c r="D62" s="100"/>
    </row>
    <row r="63" spans="3:4">
      <c r="C63" s="138">
        <v>7092</v>
      </c>
      <c r="D63" s="100"/>
    </row>
    <row r="64" spans="3:4">
      <c r="C64" s="138">
        <v>7122</v>
      </c>
      <c r="D64" s="100"/>
    </row>
    <row r="65" spans="3:4">
      <c r="C65" s="138">
        <v>7153</v>
      </c>
      <c r="D65" s="100"/>
    </row>
    <row r="66" spans="3:4">
      <c r="C66" s="138">
        <v>7184</v>
      </c>
      <c r="D66" s="100"/>
    </row>
    <row r="67" spans="3:4">
      <c r="C67" s="138">
        <v>7214</v>
      </c>
      <c r="D67" s="100"/>
    </row>
    <row r="68" spans="3:4">
      <c r="C68" s="138">
        <v>7245</v>
      </c>
      <c r="D68" s="100"/>
    </row>
    <row r="69" spans="3:4">
      <c r="C69" s="138">
        <v>7275</v>
      </c>
      <c r="D69" s="100"/>
    </row>
    <row r="70" spans="3:4">
      <c r="C70" s="138">
        <v>7306</v>
      </c>
      <c r="D70" s="100"/>
    </row>
    <row r="71" spans="3:4">
      <c r="C71" s="138">
        <v>7337</v>
      </c>
      <c r="D71" s="100"/>
    </row>
    <row r="72" spans="3:4">
      <c r="C72" s="138">
        <v>7366</v>
      </c>
      <c r="D72" s="100"/>
    </row>
    <row r="73" spans="3:4">
      <c r="C73" s="138">
        <v>7397</v>
      </c>
      <c r="D73" s="100"/>
    </row>
    <row r="74" spans="3:4">
      <c r="C74" s="138">
        <v>7427</v>
      </c>
      <c r="D74" s="100"/>
    </row>
    <row r="75" spans="3:4">
      <c r="C75" s="138">
        <v>7458</v>
      </c>
      <c r="D75" s="100"/>
    </row>
    <row r="76" spans="3:4">
      <c r="C76" s="138">
        <v>7488</v>
      </c>
      <c r="D76" s="100"/>
    </row>
    <row r="77" spans="3:4">
      <c r="C77" s="138">
        <v>7519</v>
      </c>
      <c r="D77" s="100"/>
    </row>
    <row r="78" spans="3:4">
      <c r="C78" s="138">
        <v>7550</v>
      </c>
      <c r="D78" s="100"/>
    </row>
    <row r="79" spans="3:4">
      <c r="C79" s="138">
        <v>7580</v>
      </c>
      <c r="D79" s="100"/>
    </row>
    <row r="80" spans="3:4">
      <c r="C80" s="138">
        <v>7611</v>
      </c>
      <c r="D80" s="100"/>
    </row>
    <row r="81" spans="3:4">
      <c r="C81" s="138">
        <v>7641</v>
      </c>
      <c r="D81" s="100"/>
    </row>
    <row r="82" spans="3:4">
      <c r="C82" s="138">
        <v>7672</v>
      </c>
      <c r="D82" s="100"/>
    </row>
    <row r="83" spans="3:4">
      <c r="C83" s="138">
        <v>7703</v>
      </c>
      <c r="D83" s="100"/>
    </row>
    <row r="84" spans="3:4">
      <c r="C84" s="138">
        <v>7731</v>
      </c>
      <c r="D84" s="100"/>
    </row>
    <row r="85" spans="3:4">
      <c r="C85" s="138">
        <v>7762</v>
      </c>
      <c r="D85" s="100"/>
    </row>
    <row r="86" spans="3:4">
      <c r="C86" s="138">
        <v>7792</v>
      </c>
      <c r="D86" s="100"/>
    </row>
    <row r="87" spans="3:4">
      <c r="C87" s="138">
        <v>7823</v>
      </c>
      <c r="D87" s="100"/>
    </row>
    <row r="88" spans="3:4">
      <c r="C88" s="138">
        <v>7853</v>
      </c>
      <c r="D88" s="100"/>
    </row>
    <row r="89" spans="3:4">
      <c r="C89" s="138">
        <v>7884</v>
      </c>
      <c r="D89" s="100"/>
    </row>
    <row r="90" spans="3:4">
      <c r="C90" s="138">
        <v>7915</v>
      </c>
      <c r="D90" s="100"/>
    </row>
    <row r="91" spans="3:4">
      <c r="C91" s="138">
        <v>7945</v>
      </c>
      <c r="D91" s="100"/>
    </row>
    <row r="92" spans="3:4">
      <c r="C92" s="138">
        <v>7976</v>
      </c>
      <c r="D92" s="100"/>
    </row>
    <row r="93" spans="3:4">
      <c r="C93" s="138">
        <v>8006</v>
      </c>
      <c r="D93" s="100"/>
    </row>
    <row r="94" spans="3:4">
      <c r="C94" s="138">
        <v>8037</v>
      </c>
      <c r="D94" s="100"/>
    </row>
    <row r="95" spans="3:4">
      <c r="C95" s="138">
        <v>8068</v>
      </c>
      <c r="D95" s="100"/>
    </row>
    <row r="96" spans="3:4">
      <c r="C96" s="138">
        <v>8096</v>
      </c>
      <c r="D96" s="100"/>
    </row>
    <row r="97" spans="3:4">
      <c r="C97" s="138">
        <v>8127</v>
      </c>
      <c r="D97" s="100"/>
    </row>
    <row r="98" spans="3:4">
      <c r="C98" s="138">
        <v>8157</v>
      </c>
      <c r="D98" s="100"/>
    </row>
    <row r="99" spans="3:4">
      <c r="C99" s="138">
        <v>8188</v>
      </c>
      <c r="D99" s="100"/>
    </row>
    <row r="100" spans="3:4">
      <c r="C100" s="138">
        <v>8218</v>
      </c>
      <c r="D100" s="100"/>
    </row>
    <row r="101" spans="3:4">
      <c r="C101" s="138">
        <v>8249</v>
      </c>
      <c r="D101" s="100"/>
    </row>
    <row r="102" spans="3:4">
      <c r="C102" s="138">
        <v>8280</v>
      </c>
      <c r="D102" s="100"/>
    </row>
    <row r="103" spans="3:4">
      <c r="C103" s="138">
        <v>8310</v>
      </c>
      <c r="D103" s="100"/>
    </row>
    <row r="104" spans="3:4">
      <c r="C104" s="138">
        <v>8341</v>
      </c>
      <c r="D104" s="100"/>
    </row>
    <row r="105" spans="3:4">
      <c r="C105" s="138">
        <v>8371</v>
      </c>
      <c r="D105" s="100"/>
    </row>
    <row r="106" spans="3:4">
      <c r="C106" s="138">
        <v>8402</v>
      </c>
      <c r="D106" s="100"/>
    </row>
    <row r="107" spans="3:4">
      <c r="C107" s="138">
        <v>8433</v>
      </c>
      <c r="D107" s="100"/>
    </row>
    <row r="108" spans="3:4">
      <c r="C108" s="138">
        <v>8461</v>
      </c>
      <c r="D108" s="100"/>
    </row>
    <row r="109" spans="3:4">
      <c r="C109" s="138">
        <v>8492</v>
      </c>
      <c r="D109" s="100"/>
    </row>
    <row r="110" spans="3:4">
      <c r="C110" s="138">
        <v>8522</v>
      </c>
      <c r="D110" s="100"/>
    </row>
    <row r="111" spans="3:4">
      <c r="C111" s="138">
        <v>8553</v>
      </c>
      <c r="D111" s="100"/>
    </row>
    <row r="112" spans="3:4">
      <c r="C112" s="138">
        <v>8583</v>
      </c>
      <c r="D112" s="100"/>
    </row>
    <row r="113" spans="3:4">
      <c r="C113" s="138">
        <v>8614</v>
      </c>
      <c r="D113" s="100"/>
    </row>
    <row r="114" spans="3:4">
      <c r="C114" s="138">
        <v>8645</v>
      </c>
      <c r="D114" s="100"/>
    </row>
    <row r="115" spans="3:4">
      <c r="C115" s="138">
        <v>8675</v>
      </c>
      <c r="D115" s="100"/>
    </row>
    <row r="116" spans="3:4">
      <c r="C116" s="138">
        <v>8706</v>
      </c>
      <c r="D116" s="100"/>
    </row>
    <row r="117" spans="3:4">
      <c r="C117" s="138">
        <v>8736</v>
      </c>
      <c r="D117" s="100"/>
    </row>
    <row r="118" spans="3:4">
      <c r="C118" s="138">
        <v>8767</v>
      </c>
      <c r="D118" s="100"/>
    </row>
    <row r="119" spans="3:4">
      <c r="C119" s="138">
        <v>8798</v>
      </c>
      <c r="D119" s="100"/>
    </row>
    <row r="120" spans="3:4">
      <c r="C120" s="138">
        <v>8827</v>
      </c>
      <c r="D120" s="100"/>
    </row>
    <row r="121" spans="3:4">
      <c r="C121" s="138">
        <v>8858</v>
      </c>
      <c r="D121" s="100"/>
    </row>
    <row r="122" spans="3:4">
      <c r="C122" s="138">
        <v>8888</v>
      </c>
      <c r="D122" s="100"/>
    </row>
    <row r="123" spans="3:4">
      <c r="C123" s="138">
        <v>8919</v>
      </c>
      <c r="D123" s="100"/>
    </row>
    <row r="124" spans="3:4">
      <c r="C124" s="138">
        <v>8949</v>
      </c>
      <c r="D124" s="100"/>
    </row>
    <row r="125" spans="3:4">
      <c r="C125" s="138">
        <v>8980</v>
      </c>
      <c r="D125" s="100"/>
    </row>
    <row r="126" spans="3:4">
      <c r="C126" s="138">
        <v>9011</v>
      </c>
      <c r="D126" s="100"/>
    </row>
    <row r="127" spans="3:4">
      <c r="C127" s="138">
        <v>9041</v>
      </c>
      <c r="D127" s="100"/>
    </row>
    <row r="128" spans="3:4">
      <c r="C128" s="138">
        <v>9072</v>
      </c>
      <c r="D128" s="100"/>
    </row>
    <row r="129" spans="3:4">
      <c r="C129" s="138">
        <v>9102</v>
      </c>
      <c r="D129" s="100"/>
    </row>
    <row r="130" spans="3:4">
      <c r="C130" s="138">
        <v>9133</v>
      </c>
      <c r="D130" s="100"/>
    </row>
    <row r="131" spans="3:4">
      <c r="C131" s="138">
        <v>9164</v>
      </c>
      <c r="D131" s="100"/>
    </row>
    <row r="132" spans="3:4">
      <c r="C132" s="138">
        <v>9192</v>
      </c>
      <c r="D132" s="100"/>
    </row>
    <row r="133" spans="3:4">
      <c r="C133" s="138">
        <v>9223</v>
      </c>
      <c r="D133" s="100"/>
    </row>
    <row r="134" spans="3:4">
      <c r="C134" s="138">
        <v>9253</v>
      </c>
      <c r="D134" s="100"/>
    </row>
    <row r="135" spans="3:4">
      <c r="C135" s="138">
        <v>9284</v>
      </c>
      <c r="D135" s="100"/>
    </row>
    <row r="136" spans="3:4">
      <c r="C136" s="138">
        <v>9314</v>
      </c>
      <c r="D136" s="100"/>
    </row>
    <row r="137" spans="3:4">
      <c r="C137" s="138">
        <v>9345</v>
      </c>
      <c r="D137" s="100"/>
    </row>
    <row r="138" spans="3:4">
      <c r="C138" s="138">
        <v>9376</v>
      </c>
      <c r="D138" s="100"/>
    </row>
    <row r="139" spans="3:4">
      <c r="C139" s="138">
        <v>9406</v>
      </c>
      <c r="D139" s="100"/>
    </row>
    <row r="140" spans="3:4">
      <c r="C140" s="138">
        <v>9437</v>
      </c>
      <c r="D140" s="100"/>
    </row>
    <row r="141" spans="3:4">
      <c r="C141" s="138">
        <v>9467</v>
      </c>
      <c r="D141" s="100"/>
    </row>
    <row r="142" spans="3:4">
      <c r="C142" s="138">
        <v>9498</v>
      </c>
      <c r="D142" s="100"/>
    </row>
    <row r="143" spans="3:4">
      <c r="C143" s="138">
        <v>9529</v>
      </c>
      <c r="D143" s="100"/>
    </row>
    <row r="144" spans="3:4">
      <c r="C144" s="138">
        <v>9557</v>
      </c>
      <c r="D144" s="100"/>
    </row>
    <row r="145" spans="3:4">
      <c r="C145" s="138">
        <v>9588</v>
      </c>
      <c r="D145" s="100"/>
    </row>
    <row r="146" spans="3:4">
      <c r="C146" s="138">
        <v>9618</v>
      </c>
      <c r="D146" s="100"/>
    </row>
    <row r="147" spans="3:4">
      <c r="C147" s="138">
        <v>9649</v>
      </c>
      <c r="D147" s="100"/>
    </row>
    <row r="148" spans="3:4">
      <c r="C148" s="138">
        <v>9679</v>
      </c>
      <c r="D148" s="100"/>
    </row>
    <row r="149" spans="3:4">
      <c r="C149" s="138">
        <v>9710</v>
      </c>
      <c r="D149" s="100"/>
    </row>
    <row r="150" spans="3:4">
      <c r="C150" s="138">
        <v>9741</v>
      </c>
      <c r="D150" s="100"/>
    </row>
    <row r="151" spans="3:4">
      <c r="C151" s="138">
        <v>9771</v>
      </c>
      <c r="D151" s="100"/>
    </row>
    <row r="152" spans="3:4">
      <c r="C152" s="138">
        <v>9802</v>
      </c>
      <c r="D152" s="100"/>
    </row>
    <row r="153" spans="3:4">
      <c r="C153" s="138">
        <v>9832</v>
      </c>
      <c r="D153" s="100"/>
    </row>
    <row r="154" spans="3:4">
      <c r="C154" s="138">
        <v>9863</v>
      </c>
      <c r="D154" s="100"/>
    </row>
    <row r="155" spans="3:4">
      <c r="C155" s="138">
        <v>9894</v>
      </c>
      <c r="D155" s="100"/>
    </row>
    <row r="156" spans="3:4">
      <c r="C156" s="138">
        <v>9922</v>
      </c>
      <c r="D156" s="100"/>
    </row>
    <row r="157" spans="3:4">
      <c r="C157" s="138">
        <v>9953</v>
      </c>
      <c r="D157" s="100"/>
    </row>
    <row r="158" spans="3:4">
      <c r="C158" s="138">
        <v>9983</v>
      </c>
      <c r="D158" s="100"/>
    </row>
    <row r="159" spans="3:4">
      <c r="C159" s="138">
        <v>10014</v>
      </c>
      <c r="D159" s="100"/>
    </row>
    <row r="160" spans="3:4">
      <c r="C160" s="138">
        <v>10044</v>
      </c>
      <c r="D160" s="100"/>
    </row>
    <row r="161" spans="3:4">
      <c r="C161" s="138">
        <v>10075</v>
      </c>
      <c r="D161" s="100"/>
    </row>
    <row r="162" spans="3:4">
      <c r="C162" s="138">
        <v>10106</v>
      </c>
      <c r="D162" s="100"/>
    </row>
    <row r="163" spans="3:4">
      <c r="C163" s="138">
        <v>10136</v>
      </c>
      <c r="D163" s="100"/>
    </row>
    <row r="164" spans="3:4">
      <c r="C164" s="138">
        <v>10167</v>
      </c>
      <c r="D164" s="100"/>
    </row>
    <row r="165" spans="3:4">
      <c r="C165" s="138">
        <v>10197</v>
      </c>
      <c r="D165" s="100"/>
    </row>
    <row r="166" spans="3:4">
      <c r="C166" s="138">
        <v>10228</v>
      </c>
      <c r="D166" s="100"/>
    </row>
    <row r="167" spans="3:4">
      <c r="C167" s="138">
        <v>10259</v>
      </c>
      <c r="D167" s="100"/>
    </row>
    <row r="168" spans="3:4">
      <c r="C168" s="138">
        <v>10288</v>
      </c>
      <c r="D168" s="100"/>
    </row>
    <row r="169" spans="3:4">
      <c r="C169" s="138">
        <v>10319</v>
      </c>
      <c r="D169" s="100"/>
    </row>
    <row r="170" spans="3:4">
      <c r="C170" s="138">
        <v>10349</v>
      </c>
      <c r="D170" s="100"/>
    </row>
    <row r="171" spans="3:4">
      <c r="C171" s="138">
        <v>10380</v>
      </c>
      <c r="D171" s="100"/>
    </row>
    <row r="172" spans="3:4">
      <c r="C172" s="138">
        <v>10410</v>
      </c>
      <c r="D172" s="100"/>
    </row>
    <row r="173" spans="3:4">
      <c r="C173" s="138">
        <v>10441</v>
      </c>
      <c r="D173" s="100"/>
    </row>
    <row r="174" spans="3:4">
      <c r="C174" s="138">
        <v>10472</v>
      </c>
      <c r="D174" s="100"/>
    </row>
    <row r="175" spans="3:4">
      <c r="C175" s="138">
        <v>10502</v>
      </c>
      <c r="D175" s="100"/>
    </row>
    <row r="176" spans="3:4">
      <c r="C176" s="138">
        <v>10533</v>
      </c>
      <c r="D176" s="100"/>
    </row>
    <row r="177" spans="3:4">
      <c r="C177" s="138">
        <v>10563</v>
      </c>
      <c r="D177" s="100"/>
    </row>
    <row r="178" spans="3:4">
      <c r="C178" s="138">
        <v>10594</v>
      </c>
      <c r="D178" s="100"/>
    </row>
    <row r="179" spans="3:4">
      <c r="C179" s="138">
        <v>10625</v>
      </c>
      <c r="D179" s="100"/>
    </row>
    <row r="180" spans="3:4">
      <c r="C180" s="138">
        <v>10653</v>
      </c>
      <c r="D180" s="100"/>
    </row>
    <row r="181" spans="3:4">
      <c r="C181" s="138">
        <v>10684</v>
      </c>
      <c r="D181" s="100"/>
    </row>
    <row r="182" spans="3:4">
      <c r="C182" s="138">
        <v>10714</v>
      </c>
      <c r="D182" s="100"/>
    </row>
    <row r="183" spans="3:4">
      <c r="C183" s="138">
        <v>10745</v>
      </c>
      <c r="D183" s="100"/>
    </row>
    <row r="184" spans="3:4">
      <c r="C184" s="138">
        <v>10775</v>
      </c>
      <c r="D184" s="100"/>
    </row>
    <row r="185" spans="3:4">
      <c r="C185" s="138">
        <v>10806</v>
      </c>
      <c r="D185" s="100"/>
    </row>
    <row r="186" spans="3:4">
      <c r="C186" s="138">
        <v>10837</v>
      </c>
      <c r="D186" s="100"/>
    </row>
    <row r="187" spans="3:4">
      <c r="C187" s="138">
        <v>10867</v>
      </c>
      <c r="D187" s="100"/>
    </row>
    <row r="188" spans="3:4">
      <c r="C188" s="138">
        <v>10898</v>
      </c>
      <c r="D188" s="100"/>
    </row>
    <row r="189" spans="3:4">
      <c r="C189" s="138">
        <v>10928</v>
      </c>
      <c r="D189" s="100"/>
    </row>
    <row r="190" spans="3:4">
      <c r="C190" s="138">
        <v>10959</v>
      </c>
      <c r="D190" s="100"/>
    </row>
    <row r="191" spans="3:4">
      <c r="C191" s="138">
        <v>10990</v>
      </c>
      <c r="D191" s="100"/>
    </row>
    <row r="192" spans="3:4">
      <c r="C192" s="138">
        <v>11018</v>
      </c>
      <c r="D192" s="100"/>
    </row>
    <row r="193" spans="3:4">
      <c r="C193" s="138">
        <v>11049</v>
      </c>
      <c r="D193" s="100"/>
    </row>
    <row r="194" spans="3:4">
      <c r="C194" s="138">
        <v>11079</v>
      </c>
      <c r="D194" s="100"/>
    </row>
    <row r="195" spans="3:4">
      <c r="C195" s="138">
        <v>11110</v>
      </c>
      <c r="D195" s="100"/>
    </row>
    <row r="196" spans="3:4">
      <c r="C196" s="138">
        <v>11140</v>
      </c>
      <c r="D196" s="100"/>
    </row>
    <row r="197" spans="3:4">
      <c r="C197" s="138">
        <v>11171</v>
      </c>
      <c r="D197" s="100"/>
    </row>
    <row r="198" spans="3:4">
      <c r="C198" s="138">
        <v>11202</v>
      </c>
      <c r="D198" s="100"/>
    </row>
    <row r="199" spans="3:4">
      <c r="C199" s="138">
        <v>11232</v>
      </c>
      <c r="D199" s="100"/>
    </row>
    <row r="200" spans="3:4">
      <c r="C200" s="138">
        <v>11263</v>
      </c>
      <c r="D200" s="100"/>
    </row>
    <row r="201" spans="3:4">
      <c r="C201" s="138">
        <v>11293</v>
      </c>
      <c r="D201" s="100"/>
    </row>
    <row r="202" spans="3:4">
      <c r="C202" s="138">
        <v>11324</v>
      </c>
      <c r="D202" s="100"/>
    </row>
    <row r="203" spans="3:4">
      <c r="C203" s="138">
        <v>11355</v>
      </c>
      <c r="D203" s="100"/>
    </row>
    <row r="204" spans="3:4">
      <c r="C204" s="138">
        <v>11383</v>
      </c>
      <c r="D204" s="100"/>
    </row>
    <row r="205" spans="3:4">
      <c r="C205" s="138">
        <v>11414</v>
      </c>
      <c r="D205" s="100"/>
    </row>
    <row r="206" spans="3:4">
      <c r="C206" s="138">
        <v>11444</v>
      </c>
      <c r="D206" s="100"/>
    </row>
    <row r="207" spans="3:4">
      <c r="C207" s="138">
        <v>11475</v>
      </c>
      <c r="D207" s="100"/>
    </row>
    <row r="208" spans="3:4">
      <c r="C208" s="138">
        <v>11505</v>
      </c>
      <c r="D208" s="100"/>
    </row>
    <row r="209" spans="3:4">
      <c r="C209" s="138">
        <v>11536</v>
      </c>
      <c r="D209" s="100"/>
    </row>
    <row r="210" spans="3:4">
      <c r="C210" s="138">
        <v>11567</v>
      </c>
      <c r="D210" s="100"/>
    </row>
    <row r="211" spans="3:4">
      <c r="C211" s="138">
        <v>11597</v>
      </c>
      <c r="D211" s="100"/>
    </row>
    <row r="212" spans="3:4">
      <c r="C212" s="138">
        <v>11628</v>
      </c>
      <c r="D212" s="100"/>
    </row>
    <row r="213" spans="3:4">
      <c r="C213" s="138">
        <v>11658</v>
      </c>
      <c r="D213" s="100"/>
    </row>
    <row r="214" spans="3:4">
      <c r="C214" s="138">
        <v>11689</v>
      </c>
      <c r="D214" s="100"/>
    </row>
    <row r="215" spans="3:4">
      <c r="C215" s="138">
        <v>11720</v>
      </c>
      <c r="D215" s="100"/>
    </row>
    <row r="216" spans="3:4">
      <c r="C216" s="138">
        <v>11749</v>
      </c>
      <c r="D216" s="100"/>
    </row>
    <row r="217" spans="3:4">
      <c r="C217" s="138">
        <v>11780</v>
      </c>
      <c r="D217" s="100"/>
    </row>
    <row r="218" spans="3:4">
      <c r="C218" s="138">
        <v>11810</v>
      </c>
      <c r="D218" s="100"/>
    </row>
    <row r="219" spans="3:4">
      <c r="C219" s="138">
        <v>11841</v>
      </c>
      <c r="D219" s="100"/>
    </row>
    <row r="220" spans="3:4">
      <c r="C220" s="138">
        <v>11871</v>
      </c>
      <c r="D220" s="100"/>
    </row>
    <row r="221" spans="3:4">
      <c r="C221" s="138">
        <v>11902</v>
      </c>
      <c r="D221" s="100"/>
    </row>
    <row r="222" spans="3:4">
      <c r="C222" s="138">
        <v>11933</v>
      </c>
      <c r="D222" s="100"/>
    </row>
    <row r="223" spans="3:4">
      <c r="C223" s="138">
        <v>11963</v>
      </c>
      <c r="D223" s="100"/>
    </row>
    <row r="224" spans="3:4">
      <c r="C224" s="138">
        <v>11994</v>
      </c>
      <c r="D224" s="100"/>
    </row>
    <row r="225" spans="3:4">
      <c r="C225" s="138">
        <v>12024</v>
      </c>
      <c r="D225" s="100"/>
    </row>
    <row r="226" spans="3:4">
      <c r="C226" s="138">
        <v>12055</v>
      </c>
      <c r="D226" s="100"/>
    </row>
    <row r="227" spans="3:4">
      <c r="C227" s="138">
        <v>12086</v>
      </c>
      <c r="D227" s="100"/>
    </row>
    <row r="228" spans="3:4">
      <c r="C228" s="138">
        <v>12114</v>
      </c>
      <c r="D228" s="100"/>
    </row>
    <row r="229" spans="3:4">
      <c r="C229" s="138">
        <v>12145</v>
      </c>
      <c r="D229" s="100"/>
    </row>
    <row r="230" spans="3:4">
      <c r="C230" s="138">
        <v>12175</v>
      </c>
      <c r="D230" s="100"/>
    </row>
    <row r="231" spans="3:4">
      <c r="C231" s="138">
        <v>12206</v>
      </c>
      <c r="D231" s="100"/>
    </row>
    <row r="232" spans="3:4">
      <c r="C232" s="138">
        <v>12236</v>
      </c>
      <c r="D232" s="100"/>
    </row>
    <row r="233" spans="3:4">
      <c r="C233" s="138">
        <v>12267</v>
      </c>
      <c r="D233" s="100"/>
    </row>
    <row r="234" spans="3:4">
      <c r="C234" s="138">
        <v>12298</v>
      </c>
      <c r="D234" s="100"/>
    </row>
    <row r="235" spans="3:4">
      <c r="C235" s="138">
        <v>12328</v>
      </c>
      <c r="D235" s="100"/>
    </row>
    <row r="236" spans="3:4">
      <c r="C236" s="138">
        <v>12359</v>
      </c>
      <c r="D236" s="100"/>
    </row>
    <row r="237" spans="3:4">
      <c r="C237" s="138">
        <v>12389</v>
      </c>
      <c r="D237" s="100"/>
    </row>
    <row r="238" spans="3:4">
      <c r="C238" s="138">
        <v>12420</v>
      </c>
      <c r="D238" s="100"/>
    </row>
    <row r="239" spans="3:4">
      <c r="C239" s="138">
        <v>12451</v>
      </c>
      <c r="D239" s="100"/>
    </row>
    <row r="240" spans="3:4">
      <c r="C240" s="138">
        <v>12479</v>
      </c>
      <c r="D240" s="100"/>
    </row>
    <row r="241" spans="3:4">
      <c r="C241" s="138">
        <v>12510</v>
      </c>
      <c r="D241" s="100"/>
    </row>
    <row r="242" spans="3:4">
      <c r="C242" s="138">
        <v>12540</v>
      </c>
      <c r="D242" s="100"/>
    </row>
    <row r="243" spans="3:4">
      <c r="C243" s="138">
        <v>12571</v>
      </c>
      <c r="D243" s="100"/>
    </row>
    <row r="244" spans="3:4">
      <c r="C244" s="138">
        <v>12601</v>
      </c>
      <c r="D244" s="100"/>
    </row>
    <row r="245" spans="3:4">
      <c r="C245" s="138">
        <v>12632</v>
      </c>
      <c r="D245" s="100"/>
    </row>
    <row r="246" spans="3:4">
      <c r="C246" s="138">
        <v>12663</v>
      </c>
      <c r="D246" s="100"/>
    </row>
    <row r="247" spans="3:4">
      <c r="C247" s="138">
        <v>12693</v>
      </c>
      <c r="D247" s="100"/>
    </row>
    <row r="248" spans="3:4">
      <c r="C248" s="138">
        <v>12724</v>
      </c>
      <c r="D248" s="100"/>
    </row>
    <row r="249" spans="3:4">
      <c r="C249" s="138">
        <v>12754</v>
      </c>
      <c r="D249" s="100"/>
    </row>
    <row r="250" spans="3:4">
      <c r="C250" s="138">
        <v>12785</v>
      </c>
      <c r="D250" s="100"/>
    </row>
    <row r="251" spans="3:4">
      <c r="C251" s="138">
        <v>12816</v>
      </c>
      <c r="D251" s="100"/>
    </row>
    <row r="252" spans="3:4">
      <c r="C252" s="138">
        <v>12844</v>
      </c>
      <c r="D252" s="100"/>
    </row>
    <row r="253" spans="3:4">
      <c r="C253" s="138">
        <v>12875</v>
      </c>
      <c r="D253" s="100"/>
    </row>
    <row r="254" spans="3:4">
      <c r="C254" s="138">
        <v>12905</v>
      </c>
      <c r="D254" s="100"/>
    </row>
    <row r="255" spans="3:4">
      <c r="C255" s="138">
        <v>12936</v>
      </c>
      <c r="D255" s="100"/>
    </row>
    <row r="256" spans="3:4">
      <c r="C256" s="138">
        <v>12966</v>
      </c>
      <c r="D256" s="100"/>
    </row>
    <row r="257" spans="3:4">
      <c r="C257" s="138">
        <v>12997</v>
      </c>
      <c r="D257" s="100"/>
    </row>
    <row r="258" spans="3:4">
      <c r="C258" s="138">
        <v>13028</v>
      </c>
      <c r="D258" s="100"/>
    </row>
    <row r="259" spans="3:4">
      <c r="C259" s="138">
        <v>13058</v>
      </c>
      <c r="D259" s="100"/>
    </row>
    <row r="260" spans="3:4">
      <c r="C260" s="138">
        <v>13089</v>
      </c>
      <c r="D260" s="100"/>
    </row>
    <row r="261" spans="3:4">
      <c r="C261" s="138">
        <v>13119</v>
      </c>
      <c r="D261" s="100"/>
    </row>
    <row r="262" spans="3:4">
      <c r="C262" s="138">
        <v>13150</v>
      </c>
      <c r="D262" s="100"/>
    </row>
    <row r="263" spans="3:4">
      <c r="C263" s="138">
        <v>13181</v>
      </c>
      <c r="D263" s="100"/>
    </row>
    <row r="264" spans="3:4">
      <c r="C264" s="138">
        <v>13210</v>
      </c>
      <c r="D264" s="100"/>
    </row>
    <row r="265" spans="3:4">
      <c r="C265" s="138">
        <v>13241</v>
      </c>
      <c r="D265" s="100"/>
    </row>
    <row r="266" spans="3:4">
      <c r="C266" s="138">
        <v>13271</v>
      </c>
      <c r="D266" s="100"/>
    </row>
    <row r="267" spans="3:4">
      <c r="C267" s="138">
        <v>13302</v>
      </c>
      <c r="D267" s="100"/>
    </row>
    <row r="268" spans="3:4">
      <c r="C268" s="138">
        <v>13332</v>
      </c>
      <c r="D268" s="100"/>
    </row>
    <row r="269" spans="3:4">
      <c r="C269" s="138">
        <v>13363</v>
      </c>
      <c r="D269" s="100"/>
    </row>
    <row r="270" spans="3:4">
      <c r="C270" s="138">
        <v>13394</v>
      </c>
      <c r="D270" s="100"/>
    </row>
    <row r="271" spans="3:4">
      <c r="C271" s="138">
        <v>13424</v>
      </c>
      <c r="D271" s="100"/>
    </row>
    <row r="272" spans="3:4">
      <c r="C272" s="138">
        <v>13455</v>
      </c>
      <c r="D272" s="100"/>
    </row>
    <row r="273" spans="3:4">
      <c r="C273" s="138">
        <v>13485</v>
      </c>
      <c r="D273" s="100"/>
    </row>
    <row r="274" spans="3:4">
      <c r="C274" s="138">
        <v>13516</v>
      </c>
      <c r="D274" s="100"/>
    </row>
    <row r="275" spans="3:4">
      <c r="C275" s="138">
        <v>13547</v>
      </c>
      <c r="D275" s="100"/>
    </row>
    <row r="276" spans="3:4">
      <c r="C276" s="138">
        <v>13575</v>
      </c>
      <c r="D276" s="100"/>
    </row>
    <row r="277" spans="3:4">
      <c r="C277" s="138">
        <v>13606</v>
      </c>
      <c r="D277" s="100"/>
    </row>
    <row r="278" spans="3:4">
      <c r="C278" s="138">
        <v>13636</v>
      </c>
      <c r="D278" s="100"/>
    </row>
    <row r="279" spans="3:4">
      <c r="C279" s="138">
        <v>13667</v>
      </c>
      <c r="D279" s="100"/>
    </row>
    <row r="280" spans="3:4">
      <c r="C280" s="138">
        <v>13697</v>
      </c>
      <c r="D280" s="100"/>
    </row>
    <row r="281" spans="3:4">
      <c r="C281" s="138">
        <v>13728</v>
      </c>
      <c r="D281" s="100"/>
    </row>
    <row r="282" spans="3:4">
      <c r="C282" s="138">
        <v>13759</v>
      </c>
      <c r="D282" s="100"/>
    </row>
    <row r="283" spans="3:4">
      <c r="C283" s="138">
        <v>13789</v>
      </c>
      <c r="D283" s="100"/>
    </row>
    <row r="284" spans="3:4">
      <c r="C284" s="138">
        <v>13820</v>
      </c>
      <c r="D284" s="100"/>
    </row>
    <row r="285" spans="3:4">
      <c r="C285" s="138">
        <v>13850</v>
      </c>
      <c r="D285" s="100"/>
    </row>
    <row r="286" spans="3:4">
      <c r="C286" s="138">
        <v>13881</v>
      </c>
      <c r="D286" s="100"/>
    </row>
    <row r="287" spans="3:4">
      <c r="C287" s="138">
        <v>13912</v>
      </c>
      <c r="D287" s="100"/>
    </row>
    <row r="288" spans="3:4">
      <c r="C288" s="138">
        <v>13940</v>
      </c>
      <c r="D288" s="100"/>
    </row>
    <row r="289" spans="3:4">
      <c r="C289" s="138">
        <v>13971</v>
      </c>
      <c r="D289" s="100"/>
    </row>
    <row r="290" spans="3:4">
      <c r="C290" s="138">
        <v>14001</v>
      </c>
      <c r="D290" s="100"/>
    </row>
    <row r="291" spans="3:4">
      <c r="C291" s="138">
        <v>14032</v>
      </c>
      <c r="D291" s="100"/>
    </row>
    <row r="292" spans="3:4">
      <c r="C292" s="138">
        <v>14062</v>
      </c>
      <c r="D292" s="100"/>
    </row>
    <row r="293" spans="3:4">
      <c r="C293" s="138">
        <v>14093</v>
      </c>
      <c r="D293" s="100"/>
    </row>
    <row r="294" spans="3:4">
      <c r="C294" s="138">
        <v>14124</v>
      </c>
      <c r="D294" s="100"/>
    </row>
    <row r="295" spans="3:4">
      <c r="C295" s="138">
        <v>14154</v>
      </c>
      <c r="D295" s="100"/>
    </row>
    <row r="296" spans="3:4">
      <c r="C296" s="138">
        <v>14185</v>
      </c>
      <c r="D296" s="100"/>
    </row>
    <row r="297" spans="3:4">
      <c r="C297" s="138">
        <v>14215</v>
      </c>
      <c r="D297" s="100"/>
    </row>
    <row r="298" spans="3:4">
      <c r="C298" s="138">
        <v>14246</v>
      </c>
      <c r="D298" s="100"/>
    </row>
    <row r="299" spans="3:4">
      <c r="C299" s="138">
        <v>14277</v>
      </c>
      <c r="D299" s="100"/>
    </row>
    <row r="300" spans="3:4">
      <c r="C300" s="138">
        <v>14305</v>
      </c>
      <c r="D300" s="100"/>
    </row>
    <row r="301" spans="3:4">
      <c r="C301" s="138">
        <v>14336</v>
      </c>
      <c r="D301" s="100"/>
    </row>
    <row r="302" spans="3:4">
      <c r="C302" s="138">
        <v>14366</v>
      </c>
      <c r="D302" s="100"/>
    </row>
    <row r="303" spans="3:4">
      <c r="C303" s="138">
        <v>14397</v>
      </c>
      <c r="D303" s="100"/>
    </row>
    <row r="304" spans="3:4">
      <c r="C304" s="138">
        <v>14427</v>
      </c>
      <c r="D304" s="100"/>
    </row>
    <row r="305" spans="3:4">
      <c r="C305" s="138">
        <v>14458</v>
      </c>
      <c r="D305" s="100"/>
    </row>
    <row r="306" spans="3:4">
      <c r="C306" s="138">
        <v>14489</v>
      </c>
      <c r="D306" s="100"/>
    </row>
    <row r="307" spans="3:4">
      <c r="C307" s="138">
        <v>14519</v>
      </c>
      <c r="D307" s="100"/>
    </row>
    <row r="308" spans="3:4">
      <c r="C308" s="138">
        <v>14550</v>
      </c>
      <c r="D308" s="100"/>
    </row>
    <row r="309" spans="3:4">
      <c r="C309" s="138">
        <v>14580</v>
      </c>
      <c r="D309" s="100"/>
    </row>
    <row r="310" spans="3:4">
      <c r="C310" s="138">
        <v>14611</v>
      </c>
      <c r="D310" s="100"/>
    </row>
    <row r="311" spans="3:4">
      <c r="C311" s="138">
        <v>14642</v>
      </c>
      <c r="D311" s="100"/>
    </row>
    <row r="312" spans="3:4">
      <c r="C312" s="138">
        <v>14671</v>
      </c>
      <c r="D312" s="100"/>
    </row>
    <row r="313" spans="3:4">
      <c r="C313" s="138">
        <v>14702</v>
      </c>
      <c r="D313" s="100"/>
    </row>
    <row r="314" spans="3:4">
      <c r="C314" s="138">
        <v>14732</v>
      </c>
      <c r="D314" s="100"/>
    </row>
    <row r="315" spans="3:4">
      <c r="C315" s="138">
        <v>14763</v>
      </c>
      <c r="D315" s="100"/>
    </row>
    <row r="316" spans="3:4">
      <c r="C316" s="138">
        <v>14793</v>
      </c>
      <c r="D316" s="100"/>
    </row>
    <row r="317" spans="3:4">
      <c r="C317" s="138">
        <v>14824</v>
      </c>
      <c r="D317" s="100"/>
    </row>
    <row r="318" spans="3:4">
      <c r="C318" s="138">
        <v>14855</v>
      </c>
      <c r="D318" s="100"/>
    </row>
    <row r="319" spans="3:4">
      <c r="C319" s="138">
        <v>14885</v>
      </c>
      <c r="D319" s="100"/>
    </row>
    <row r="320" spans="3:4">
      <c r="C320" s="138">
        <v>14916</v>
      </c>
      <c r="D320" s="100"/>
    </row>
    <row r="321" spans="3:4">
      <c r="C321" s="138">
        <v>14946</v>
      </c>
      <c r="D321" s="100"/>
    </row>
    <row r="322" spans="3:4">
      <c r="C322" s="138">
        <v>14977</v>
      </c>
      <c r="D322" s="100"/>
    </row>
    <row r="323" spans="3:4">
      <c r="C323" s="138">
        <v>15008</v>
      </c>
      <c r="D323" s="100"/>
    </row>
    <row r="324" spans="3:4">
      <c r="C324" s="138">
        <v>15036</v>
      </c>
      <c r="D324" s="100"/>
    </row>
    <row r="325" spans="3:4">
      <c r="C325" s="138">
        <v>15067</v>
      </c>
      <c r="D325" s="100"/>
    </row>
    <row r="326" spans="3:4">
      <c r="C326" s="138">
        <v>15097</v>
      </c>
      <c r="D326" s="100"/>
    </row>
    <row r="327" spans="3:4">
      <c r="C327" s="138">
        <v>15128</v>
      </c>
      <c r="D327" s="100"/>
    </row>
    <row r="328" spans="3:4">
      <c r="C328" s="138">
        <v>15158</v>
      </c>
      <c r="D328" s="100"/>
    </row>
    <row r="329" spans="3:4">
      <c r="C329" s="138">
        <v>15189</v>
      </c>
      <c r="D329" s="100"/>
    </row>
    <row r="330" spans="3:4">
      <c r="C330" s="138">
        <v>15220</v>
      </c>
      <c r="D330" s="100"/>
    </row>
    <row r="331" spans="3:4">
      <c r="C331" s="138">
        <v>15250</v>
      </c>
      <c r="D331" s="100"/>
    </row>
    <row r="332" spans="3:4">
      <c r="C332" s="138">
        <v>15281</v>
      </c>
      <c r="D332" s="100"/>
    </row>
    <row r="333" spans="3:4">
      <c r="C333" s="138">
        <v>15311</v>
      </c>
      <c r="D333" s="100"/>
    </row>
    <row r="334" spans="3:4">
      <c r="C334" s="138">
        <v>15342</v>
      </c>
      <c r="D334" s="100"/>
    </row>
    <row r="335" spans="3:4">
      <c r="C335" s="138">
        <v>15373</v>
      </c>
      <c r="D335" s="100"/>
    </row>
    <row r="336" spans="3:4">
      <c r="C336" s="138">
        <v>15401</v>
      </c>
      <c r="D336" s="100"/>
    </row>
    <row r="337" spans="3:4">
      <c r="C337" s="138">
        <v>15432</v>
      </c>
      <c r="D337" s="100"/>
    </row>
    <row r="338" spans="3:4">
      <c r="C338" s="138">
        <v>15462</v>
      </c>
      <c r="D338" s="100"/>
    </row>
    <row r="339" spans="3:4">
      <c r="C339" s="138">
        <v>15493</v>
      </c>
      <c r="D339" s="100"/>
    </row>
    <row r="340" spans="3:4">
      <c r="C340" s="138">
        <v>15523</v>
      </c>
      <c r="D340" s="100"/>
    </row>
    <row r="341" spans="3:4">
      <c r="C341" s="138">
        <v>15554</v>
      </c>
      <c r="D341" s="100"/>
    </row>
    <row r="342" spans="3:4">
      <c r="C342" s="138">
        <v>15585</v>
      </c>
      <c r="D342" s="100"/>
    </row>
    <row r="343" spans="3:4">
      <c r="C343" s="138">
        <v>15615</v>
      </c>
      <c r="D343" s="100"/>
    </row>
    <row r="344" spans="3:4">
      <c r="C344" s="138">
        <v>15646</v>
      </c>
      <c r="D344" s="100"/>
    </row>
    <row r="345" spans="3:4">
      <c r="C345" s="138">
        <v>15676</v>
      </c>
      <c r="D345" s="100"/>
    </row>
    <row r="346" spans="3:4">
      <c r="C346" s="138">
        <v>15707</v>
      </c>
      <c r="D346" s="100"/>
    </row>
    <row r="347" spans="3:4">
      <c r="C347" s="138">
        <v>15738</v>
      </c>
      <c r="D347" s="100"/>
    </row>
    <row r="348" spans="3:4">
      <c r="C348" s="138">
        <v>15766</v>
      </c>
      <c r="D348" s="100"/>
    </row>
    <row r="349" spans="3:4">
      <c r="C349" s="138">
        <v>15797</v>
      </c>
      <c r="D349" s="100"/>
    </row>
    <row r="350" spans="3:4">
      <c r="C350" s="138">
        <v>15827</v>
      </c>
      <c r="D350" s="100"/>
    </row>
    <row r="351" spans="3:4">
      <c r="C351" s="138">
        <v>15858</v>
      </c>
      <c r="D351" s="100"/>
    </row>
    <row r="352" spans="3:4">
      <c r="C352" s="138">
        <v>15888</v>
      </c>
      <c r="D352" s="100"/>
    </row>
    <row r="353" spans="3:4">
      <c r="C353" s="138">
        <v>15919</v>
      </c>
      <c r="D353" s="100"/>
    </row>
    <row r="354" spans="3:4">
      <c r="C354" s="138">
        <v>15950</v>
      </c>
      <c r="D354" s="100"/>
    </row>
    <row r="355" spans="3:4">
      <c r="C355" s="138">
        <v>15980</v>
      </c>
      <c r="D355" s="100"/>
    </row>
    <row r="356" spans="3:4">
      <c r="C356" s="138">
        <v>16011</v>
      </c>
      <c r="D356" s="100"/>
    </row>
    <row r="357" spans="3:4">
      <c r="C357" s="138">
        <v>16041</v>
      </c>
      <c r="D357" s="100"/>
    </row>
    <row r="358" spans="3:4">
      <c r="C358" s="138">
        <v>16072</v>
      </c>
      <c r="D358" s="100"/>
    </row>
    <row r="359" spans="3:4">
      <c r="C359" s="138">
        <v>16103</v>
      </c>
      <c r="D359" s="100"/>
    </row>
    <row r="360" spans="3:4">
      <c r="C360" s="138">
        <v>16132</v>
      </c>
      <c r="D360" s="100"/>
    </row>
    <row r="361" spans="3:4">
      <c r="C361" s="138">
        <v>16163</v>
      </c>
      <c r="D361" s="100"/>
    </row>
    <row r="362" spans="3:4">
      <c r="C362" s="138">
        <v>16193</v>
      </c>
      <c r="D362" s="100"/>
    </row>
    <row r="363" spans="3:4">
      <c r="C363" s="138">
        <v>16224</v>
      </c>
      <c r="D363" s="100"/>
    </row>
    <row r="364" spans="3:4">
      <c r="C364" s="138">
        <v>16254</v>
      </c>
      <c r="D364" s="100"/>
    </row>
    <row r="365" spans="3:4">
      <c r="C365" s="138">
        <v>16285</v>
      </c>
      <c r="D365" s="100"/>
    </row>
    <row r="366" spans="3:4">
      <c r="C366" s="138">
        <v>16316</v>
      </c>
      <c r="D366" s="100"/>
    </row>
    <row r="367" spans="3:4">
      <c r="C367" s="138">
        <v>16346</v>
      </c>
      <c r="D367" s="100"/>
    </row>
    <row r="368" spans="3:4">
      <c r="C368" s="138">
        <v>16377</v>
      </c>
      <c r="D368" s="100"/>
    </row>
    <row r="369" spans="3:4">
      <c r="C369" s="138">
        <v>16407</v>
      </c>
      <c r="D369" s="100"/>
    </row>
    <row r="370" spans="3:4">
      <c r="C370" s="138">
        <v>16438</v>
      </c>
      <c r="D370" s="100"/>
    </row>
    <row r="371" spans="3:4">
      <c r="C371" s="138">
        <v>16469</v>
      </c>
      <c r="D371" s="100"/>
    </row>
    <row r="372" spans="3:4">
      <c r="C372" s="138">
        <v>16497</v>
      </c>
      <c r="D372" s="100"/>
    </row>
    <row r="373" spans="3:4">
      <c r="C373" s="138">
        <v>16528</v>
      </c>
      <c r="D373" s="100"/>
    </row>
    <row r="374" spans="3:4">
      <c r="C374" s="138">
        <v>16558</v>
      </c>
      <c r="D374" s="100"/>
    </row>
    <row r="375" spans="3:4">
      <c r="C375" s="138">
        <v>16589</v>
      </c>
      <c r="D375" s="100"/>
    </row>
    <row r="376" spans="3:4">
      <c r="C376" s="138">
        <v>16619</v>
      </c>
      <c r="D376" s="100"/>
    </row>
    <row r="377" spans="3:4">
      <c r="C377" s="138">
        <v>16650</v>
      </c>
      <c r="D377" s="100"/>
    </row>
    <row r="378" spans="3:4">
      <c r="C378" s="138">
        <v>16681</v>
      </c>
      <c r="D378" s="100"/>
    </row>
    <row r="379" spans="3:4">
      <c r="C379" s="138">
        <v>16711</v>
      </c>
      <c r="D379" s="100"/>
    </row>
    <row r="380" spans="3:4">
      <c r="C380" s="138">
        <v>16742</v>
      </c>
      <c r="D380" s="100"/>
    </row>
    <row r="381" spans="3:4">
      <c r="C381" s="138">
        <v>16772</v>
      </c>
      <c r="D381" s="100"/>
    </row>
    <row r="382" spans="3:4">
      <c r="C382" s="138">
        <v>16803</v>
      </c>
      <c r="D382" s="100"/>
    </row>
    <row r="383" spans="3:4">
      <c r="C383" s="138">
        <v>16834</v>
      </c>
      <c r="D383" s="100"/>
    </row>
    <row r="384" spans="3:4">
      <c r="C384" s="138">
        <v>16862</v>
      </c>
      <c r="D384" s="100"/>
    </row>
    <row r="385" spans="3:4">
      <c r="C385" s="138">
        <v>16893</v>
      </c>
      <c r="D385" s="100"/>
    </row>
    <row r="386" spans="3:4">
      <c r="C386" s="138">
        <v>16923</v>
      </c>
      <c r="D386" s="100"/>
    </row>
    <row r="387" spans="3:4">
      <c r="C387" s="138">
        <v>16954</v>
      </c>
      <c r="D387" s="100"/>
    </row>
    <row r="388" spans="3:4">
      <c r="C388" s="138">
        <v>16984</v>
      </c>
      <c r="D388" s="100"/>
    </row>
    <row r="389" spans="3:4">
      <c r="C389" s="138">
        <v>17015</v>
      </c>
      <c r="D389" s="100"/>
    </row>
    <row r="390" spans="3:4">
      <c r="C390" s="138">
        <v>17046</v>
      </c>
      <c r="D390" s="100"/>
    </row>
    <row r="391" spans="3:4">
      <c r="C391" s="138">
        <v>17076</v>
      </c>
      <c r="D391" s="100"/>
    </row>
    <row r="392" spans="3:4">
      <c r="C392" s="138">
        <v>17107</v>
      </c>
      <c r="D392" s="100"/>
    </row>
    <row r="393" spans="3:4">
      <c r="C393" s="138">
        <v>17137</v>
      </c>
      <c r="D393" s="100"/>
    </row>
    <row r="394" spans="3:4">
      <c r="C394" s="138">
        <v>17168</v>
      </c>
      <c r="D394" s="100"/>
    </row>
    <row r="395" spans="3:4">
      <c r="C395" s="138">
        <v>17199</v>
      </c>
      <c r="D395" s="100"/>
    </row>
    <row r="396" spans="3:4">
      <c r="C396" s="138">
        <v>17227</v>
      </c>
      <c r="D396" s="100"/>
    </row>
    <row r="397" spans="3:4">
      <c r="C397" s="138">
        <v>17258</v>
      </c>
      <c r="D397" s="100"/>
    </row>
    <row r="398" spans="3:4">
      <c r="C398" s="138">
        <v>17288</v>
      </c>
      <c r="D398" s="100"/>
    </row>
    <row r="399" spans="3:4">
      <c r="C399" s="138">
        <v>17319</v>
      </c>
      <c r="D399" s="100"/>
    </row>
    <row r="400" spans="3:4">
      <c r="C400" s="138">
        <v>17349</v>
      </c>
      <c r="D400" s="100"/>
    </row>
    <row r="401" spans="3:4">
      <c r="C401" s="138">
        <v>17380</v>
      </c>
      <c r="D401" s="100"/>
    </row>
    <row r="402" spans="3:4">
      <c r="C402" s="138">
        <v>17411</v>
      </c>
      <c r="D402" s="100"/>
    </row>
    <row r="403" spans="3:4">
      <c r="C403" s="138">
        <v>17441</v>
      </c>
      <c r="D403" s="100"/>
    </row>
    <row r="404" spans="3:4">
      <c r="C404" s="138">
        <v>17472</v>
      </c>
      <c r="D404" s="100"/>
    </row>
    <row r="405" spans="3:4">
      <c r="C405" s="138">
        <v>17502</v>
      </c>
      <c r="D405" s="100"/>
    </row>
    <row r="406" spans="3:4">
      <c r="C406" s="138">
        <v>17533</v>
      </c>
      <c r="D406" s="100"/>
    </row>
    <row r="407" spans="3:4">
      <c r="C407" s="138">
        <v>17564</v>
      </c>
      <c r="D407" s="100"/>
    </row>
    <row r="408" spans="3:4">
      <c r="C408" s="138">
        <v>17593</v>
      </c>
      <c r="D408" s="100"/>
    </row>
    <row r="409" spans="3:4">
      <c r="C409" s="138">
        <v>17624</v>
      </c>
      <c r="D409" s="100"/>
    </row>
    <row r="410" spans="3:4">
      <c r="C410" s="138">
        <v>17654</v>
      </c>
      <c r="D410" s="100"/>
    </row>
    <row r="411" spans="3:4">
      <c r="C411" s="138">
        <v>17685</v>
      </c>
      <c r="D411" s="100"/>
    </row>
    <row r="412" spans="3:4">
      <c r="C412" s="138">
        <v>17715</v>
      </c>
      <c r="D412" s="100"/>
    </row>
    <row r="413" spans="3:4">
      <c r="C413" s="138">
        <v>17746</v>
      </c>
      <c r="D413" s="100"/>
    </row>
    <row r="414" spans="3:4">
      <c r="C414" s="138">
        <v>17777</v>
      </c>
      <c r="D414" s="100"/>
    </row>
    <row r="415" spans="3:4">
      <c r="C415" s="138">
        <v>17807</v>
      </c>
      <c r="D415" s="100"/>
    </row>
    <row r="416" spans="3:4">
      <c r="C416" s="138">
        <v>17838</v>
      </c>
      <c r="D416" s="100"/>
    </row>
    <row r="417" spans="3:4">
      <c r="C417" s="138">
        <v>17868</v>
      </c>
      <c r="D417" s="100"/>
    </row>
    <row r="418" spans="3:4">
      <c r="C418" s="138">
        <v>17899</v>
      </c>
      <c r="D418" s="100"/>
    </row>
    <row r="419" spans="3:4">
      <c r="C419" s="138">
        <v>17930</v>
      </c>
      <c r="D419" s="100"/>
    </row>
    <row r="420" spans="3:4">
      <c r="C420" s="138">
        <v>17958</v>
      </c>
      <c r="D420" s="100"/>
    </row>
    <row r="421" spans="3:4">
      <c r="C421" s="138">
        <v>17989</v>
      </c>
      <c r="D421" s="100"/>
    </row>
    <row r="422" spans="3:4">
      <c r="C422" s="138">
        <v>18019</v>
      </c>
      <c r="D422" s="100"/>
    </row>
    <row r="423" spans="3:4">
      <c r="C423" s="138">
        <v>18050</v>
      </c>
      <c r="D423" s="100"/>
    </row>
    <row r="424" spans="3:4">
      <c r="C424" s="138">
        <v>18080</v>
      </c>
      <c r="D424" s="100"/>
    </row>
    <row r="425" spans="3:4">
      <c r="C425" s="138">
        <v>18111</v>
      </c>
      <c r="D425" s="100"/>
    </row>
    <row r="426" spans="3:4">
      <c r="C426" s="138">
        <v>18142</v>
      </c>
      <c r="D426" s="100"/>
    </row>
    <row r="427" spans="3:4">
      <c r="C427" s="138">
        <v>18172</v>
      </c>
      <c r="D427" s="100"/>
    </row>
    <row r="428" spans="3:4">
      <c r="C428" s="138">
        <v>18203</v>
      </c>
      <c r="D428" s="100"/>
    </row>
    <row r="429" spans="3:4">
      <c r="C429" s="138">
        <v>18233</v>
      </c>
      <c r="D429" s="100"/>
    </row>
    <row r="430" spans="3:4">
      <c r="C430" s="138">
        <v>18264</v>
      </c>
      <c r="D430" s="100"/>
    </row>
    <row r="431" spans="3:4">
      <c r="C431" s="138">
        <v>18295</v>
      </c>
      <c r="D431" s="100"/>
    </row>
    <row r="432" spans="3:4">
      <c r="C432" s="138">
        <v>18323</v>
      </c>
      <c r="D432" s="100"/>
    </row>
    <row r="433" spans="3:4">
      <c r="C433" s="138">
        <v>18354</v>
      </c>
      <c r="D433" s="100"/>
    </row>
    <row r="434" spans="3:4">
      <c r="C434" s="138">
        <v>18384</v>
      </c>
      <c r="D434" s="100"/>
    </row>
    <row r="435" spans="3:4">
      <c r="C435" s="138">
        <v>18415</v>
      </c>
      <c r="D435" s="100"/>
    </row>
    <row r="436" spans="3:4">
      <c r="C436" s="138">
        <v>18445</v>
      </c>
      <c r="D436" s="100"/>
    </row>
    <row r="437" spans="3:4">
      <c r="C437" s="138">
        <v>18476</v>
      </c>
      <c r="D437" s="100"/>
    </row>
    <row r="438" spans="3:4">
      <c r="C438" s="138">
        <v>18507</v>
      </c>
      <c r="D438" s="100"/>
    </row>
    <row r="439" spans="3:4">
      <c r="C439" s="138">
        <v>18537</v>
      </c>
      <c r="D439" s="100"/>
    </row>
    <row r="440" spans="3:4">
      <c r="C440" s="138">
        <v>18568</v>
      </c>
      <c r="D440" s="100"/>
    </row>
    <row r="441" spans="3:4">
      <c r="C441" s="138">
        <v>18598</v>
      </c>
      <c r="D441" s="100"/>
    </row>
    <row r="442" spans="3:4">
      <c r="C442" s="138">
        <v>18629</v>
      </c>
      <c r="D442" s="100"/>
    </row>
    <row r="443" spans="3:4">
      <c r="C443" s="138">
        <v>18660</v>
      </c>
      <c r="D443" s="100"/>
    </row>
    <row r="444" spans="3:4">
      <c r="C444" s="138">
        <v>18688</v>
      </c>
      <c r="D444" s="100"/>
    </row>
    <row r="445" spans="3:4">
      <c r="C445" s="138">
        <v>18719</v>
      </c>
      <c r="D445" s="100"/>
    </row>
    <row r="446" spans="3:4">
      <c r="C446" s="138">
        <v>18749</v>
      </c>
      <c r="D446" s="100"/>
    </row>
    <row r="447" spans="3:4">
      <c r="C447" s="138">
        <v>18780</v>
      </c>
      <c r="D447" s="100"/>
    </row>
    <row r="448" spans="3:4">
      <c r="C448" s="138">
        <v>18810</v>
      </c>
      <c r="D448" s="100"/>
    </row>
    <row r="449" spans="3:4">
      <c r="C449" s="138">
        <v>18841</v>
      </c>
      <c r="D449" s="100"/>
    </row>
    <row r="450" spans="3:4">
      <c r="C450" s="138">
        <v>18872</v>
      </c>
      <c r="D450" s="100"/>
    </row>
    <row r="451" spans="3:4">
      <c r="C451" s="138">
        <v>18902</v>
      </c>
      <c r="D451" s="100"/>
    </row>
    <row r="452" spans="3:4">
      <c r="C452" s="138">
        <v>18933</v>
      </c>
      <c r="D452" s="100"/>
    </row>
    <row r="453" spans="3:4">
      <c r="C453" s="138">
        <v>18963</v>
      </c>
      <c r="D453" s="100"/>
    </row>
    <row r="454" spans="3:4">
      <c r="C454" s="138">
        <v>18994</v>
      </c>
      <c r="D454" s="100"/>
    </row>
    <row r="455" spans="3:4">
      <c r="C455" s="138">
        <v>19025</v>
      </c>
      <c r="D455" s="100"/>
    </row>
    <row r="456" spans="3:4">
      <c r="C456" s="138">
        <v>19054</v>
      </c>
      <c r="D456" s="100"/>
    </row>
    <row r="457" spans="3:4">
      <c r="C457" s="138">
        <v>19085</v>
      </c>
      <c r="D457" s="100"/>
    </row>
    <row r="458" spans="3:4">
      <c r="C458" s="138">
        <v>19115</v>
      </c>
      <c r="D458" s="100"/>
    </row>
    <row r="459" spans="3:4">
      <c r="C459" s="138">
        <v>19146</v>
      </c>
      <c r="D459" s="100"/>
    </row>
    <row r="460" spans="3:4">
      <c r="C460" s="138">
        <v>19176</v>
      </c>
      <c r="D460" s="100"/>
    </row>
    <row r="461" spans="3:4">
      <c r="C461" s="138">
        <v>19207</v>
      </c>
      <c r="D461" s="100"/>
    </row>
    <row r="462" spans="3:4">
      <c r="C462" s="138">
        <v>19238</v>
      </c>
      <c r="D462" s="100"/>
    </row>
    <row r="463" spans="3:4">
      <c r="C463" s="138">
        <v>19268</v>
      </c>
      <c r="D463" s="100"/>
    </row>
    <row r="464" spans="3:4">
      <c r="C464" s="138">
        <v>19299</v>
      </c>
      <c r="D464" s="100"/>
    </row>
    <row r="465" spans="3:4">
      <c r="C465" s="138">
        <v>19329</v>
      </c>
      <c r="D465" s="100"/>
    </row>
    <row r="466" spans="3:4">
      <c r="C466" s="138">
        <v>19360</v>
      </c>
      <c r="D466" s="100"/>
    </row>
    <row r="467" spans="3:4">
      <c r="C467" s="138">
        <v>19391</v>
      </c>
      <c r="D467" s="100"/>
    </row>
    <row r="468" spans="3:4">
      <c r="C468" s="138">
        <v>19419</v>
      </c>
      <c r="D468" s="100"/>
    </row>
    <row r="469" spans="3:4">
      <c r="C469" s="138">
        <v>19450</v>
      </c>
      <c r="D469" s="100"/>
    </row>
    <row r="470" spans="3:4">
      <c r="C470" s="138">
        <v>19480</v>
      </c>
      <c r="D470" s="100"/>
    </row>
    <row r="471" spans="3:4">
      <c r="C471" s="138">
        <v>19511</v>
      </c>
      <c r="D471" s="100"/>
    </row>
    <row r="472" spans="3:4">
      <c r="C472" s="138">
        <v>19541</v>
      </c>
      <c r="D472" s="100"/>
    </row>
    <row r="473" spans="3:4">
      <c r="C473" s="138">
        <v>19572</v>
      </c>
      <c r="D473" s="100"/>
    </row>
    <row r="474" spans="3:4">
      <c r="C474" s="138">
        <v>19603</v>
      </c>
      <c r="D474" s="100"/>
    </row>
    <row r="475" spans="3:4">
      <c r="C475" s="138">
        <v>19633</v>
      </c>
      <c r="D475" s="100"/>
    </row>
    <row r="476" spans="3:4">
      <c r="C476" s="138">
        <v>19664</v>
      </c>
      <c r="D476" s="100"/>
    </row>
    <row r="477" spans="3:4">
      <c r="C477" s="138">
        <v>19694</v>
      </c>
      <c r="D477" s="100"/>
    </row>
    <row r="478" spans="3:4">
      <c r="C478" s="138">
        <v>19725</v>
      </c>
      <c r="D478" s="100"/>
    </row>
    <row r="479" spans="3:4">
      <c r="C479" s="138">
        <v>19756</v>
      </c>
      <c r="D479" s="100"/>
    </row>
    <row r="480" spans="3:4">
      <c r="C480" s="138">
        <v>19784</v>
      </c>
      <c r="D480" s="100"/>
    </row>
    <row r="481" spans="3:4">
      <c r="C481" s="138">
        <v>19815</v>
      </c>
      <c r="D481" s="100"/>
    </row>
    <row r="482" spans="3:4">
      <c r="C482" s="138">
        <v>19845</v>
      </c>
      <c r="D482" s="100"/>
    </row>
    <row r="483" spans="3:4">
      <c r="C483" s="138">
        <v>19876</v>
      </c>
      <c r="D483" s="100"/>
    </row>
    <row r="484" spans="3:4">
      <c r="C484" s="138">
        <v>19906</v>
      </c>
      <c r="D484" s="100"/>
    </row>
    <row r="485" spans="3:4">
      <c r="C485" s="138">
        <v>19937</v>
      </c>
      <c r="D485" s="100"/>
    </row>
    <row r="486" spans="3:4">
      <c r="C486" s="138">
        <v>19968</v>
      </c>
      <c r="D486" s="100"/>
    </row>
    <row r="487" spans="3:4">
      <c r="C487" s="138">
        <v>19998</v>
      </c>
      <c r="D487" s="100"/>
    </row>
    <row r="488" spans="3:4">
      <c r="C488" s="138">
        <v>20029</v>
      </c>
      <c r="D488" s="100"/>
    </row>
    <row r="489" spans="3:4">
      <c r="C489" s="138">
        <v>20059</v>
      </c>
      <c r="D489" s="100"/>
    </row>
    <row r="490" spans="3:4">
      <c r="C490" s="138">
        <v>20090</v>
      </c>
      <c r="D490" s="100"/>
    </row>
    <row r="491" spans="3:4">
      <c r="C491" s="138">
        <v>20121</v>
      </c>
      <c r="D491" s="100"/>
    </row>
    <row r="492" spans="3:4">
      <c r="C492" s="138">
        <v>20149</v>
      </c>
      <c r="D492" s="100"/>
    </row>
    <row r="493" spans="3:4">
      <c r="C493" s="138">
        <v>20180</v>
      </c>
      <c r="D493" s="100"/>
    </row>
    <row r="494" spans="3:4">
      <c r="C494" s="138">
        <v>20210</v>
      </c>
      <c r="D494" s="100"/>
    </row>
    <row r="495" spans="3:4">
      <c r="C495" s="138">
        <v>20241</v>
      </c>
      <c r="D495" s="100"/>
    </row>
    <row r="496" spans="3:4">
      <c r="C496" s="138">
        <v>20271</v>
      </c>
      <c r="D496" s="100"/>
    </row>
    <row r="497" spans="3:4">
      <c r="C497" s="138">
        <v>20302</v>
      </c>
      <c r="D497" s="100"/>
    </row>
    <row r="498" spans="3:4">
      <c r="C498" s="138">
        <v>20333</v>
      </c>
      <c r="D498" s="100"/>
    </row>
    <row r="499" spans="3:4">
      <c r="C499" s="138">
        <v>20363</v>
      </c>
      <c r="D499" s="100"/>
    </row>
    <row r="500" spans="3:4">
      <c r="C500" s="138">
        <v>20394</v>
      </c>
      <c r="D500" s="100"/>
    </row>
    <row r="501" spans="3:4">
      <c r="C501" s="138">
        <v>20424</v>
      </c>
      <c r="D501" s="100"/>
    </row>
    <row r="502" spans="3:4">
      <c r="C502" s="138">
        <v>20455</v>
      </c>
      <c r="D502" s="100"/>
    </row>
    <row r="503" spans="3:4">
      <c r="C503" s="138">
        <v>20486</v>
      </c>
      <c r="D503" s="100"/>
    </row>
    <row r="504" spans="3:4">
      <c r="C504" s="138">
        <v>20515</v>
      </c>
      <c r="D504" s="100"/>
    </row>
    <row r="505" spans="3:4">
      <c r="C505" s="138">
        <v>20546</v>
      </c>
      <c r="D505" s="100"/>
    </row>
    <row r="506" spans="3:4">
      <c r="C506" s="138">
        <v>20576</v>
      </c>
      <c r="D506" s="100"/>
    </row>
    <row r="507" spans="3:4">
      <c r="C507" s="138">
        <v>20607</v>
      </c>
      <c r="D507" s="100"/>
    </row>
    <row r="508" spans="3:4">
      <c r="C508" s="138">
        <v>20637</v>
      </c>
      <c r="D508" s="100"/>
    </row>
    <row r="509" spans="3:4">
      <c r="C509" s="138">
        <v>20668</v>
      </c>
      <c r="D509" s="100"/>
    </row>
    <row r="510" spans="3:4">
      <c r="C510" s="138">
        <v>20699</v>
      </c>
      <c r="D510" s="100"/>
    </row>
    <row r="511" spans="3:4">
      <c r="C511" s="138">
        <v>20729</v>
      </c>
      <c r="D511" s="100"/>
    </row>
    <row r="512" spans="3:4">
      <c r="C512" s="138">
        <v>20760</v>
      </c>
      <c r="D512" s="100"/>
    </row>
    <row r="513" spans="3:4">
      <c r="C513" s="138">
        <v>20790</v>
      </c>
      <c r="D513" s="100"/>
    </row>
    <row r="514" spans="3:4">
      <c r="C514" s="138">
        <v>20821</v>
      </c>
      <c r="D514" s="100"/>
    </row>
    <row r="515" spans="3:4">
      <c r="C515" s="138">
        <v>20852</v>
      </c>
      <c r="D515" s="100"/>
    </row>
    <row r="516" spans="3:4">
      <c r="C516" s="138">
        <v>20880</v>
      </c>
      <c r="D516" s="100"/>
    </row>
    <row r="517" spans="3:4">
      <c r="C517" s="138">
        <v>20911</v>
      </c>
      <c r="D517" s="100"/>
    </row>
    <row r="518" spans="3:4">
      <c r="C518" s="138">
        <v>20941</v>
      </c>
      <c r="D518" s="100"/>
    </row>
    <row r="519" spans="3:4">
      <c r="C519" s="138">
        <v>20972</v>
      </c>
      <c r="D519" s="100"/>
    </row>
    <row r="520" spans="3:4">
      <c r="C520" s="138">
        <v>21002</v>
      </c>
      <c r="D520" s="100"/>
    </row>
    <row r="521" spans="3:4">
      <c r="C521" s="138">
        <v>21033</v>
      </c>
      <c r="D521" s="100"/>
    </row>
    <row r="522" spans="3:4">
      <c r="C522" s="138">
        <v>21064</v>
      </c>
      <c r="D522" s="100"/>
    </row>
    <row r="523" spans="3:4">
      <c r="C523" s="138">
        <v>21094</v>
      </c>
      <c r="D523" s="100"/>
    </row>
    <row r="524" spans="3:4">
      <c r="C524" s="138">
        <v>21125</v>
      </c>
      <c r="D524" s="100"/>
    </row>
    <row r="525" spans="3:4">
      <c r="C525" s="138">
        <v>21155</v>
      </c>
      <c r="D525" s="100"/>
    </row>
    <row r="526" spans="3:4">
      <c r="C526" s="138">
        <v>21186</v>
      </c>
      <c r="D526" s="100"/>
    </row>
    <row r="527" spans="3:4">
      <c r="C527" s="138">
        <v>21217</v>
      </c>
      <c r="D527" s="100"/>
    </row>
    <row r="528" spans="3:4">
      <c r="C528" s="138">
        <v>21245</v>
      </c>
      <c r="D528" s="100"/>
    </row>
    <row r="529" spans="3:4">
      <c r="C529" s="138">
        <v>21276</v>
      </c>
      <c r="D529" s="100"/>
    </row>
    <row r="530" spans="3:4">
      <c r="C530" s="138">
        <v>21306</v>
      </c>
      <c r="D530" s="100"/>
    </row>
    <row r="531" spans="3:4">
      <c r="C531" s="138">
        <v>21337</v>
      </c>
      <c r="D531" s="100"/>
    </row>
    <row r="532" spans="3:4">
      <c r="C532" s="138">
        <v>21367</v>
      </c>
      <c r="D532" s="100"/>
    </row>
    <row r="533" spans="3:4">
      <c r="C533" s="138">
        <v>21398</v>
      </c>
      <c r="D533" s="100"/>
    </row>
    <row r="534" spans="3:4">
      <c r="C534" s="138">
        <v>21429</v>
      </c>
      <c r="D534" s="100"/>
    </row>
    <row r="535" spans="3:4">
      <c r="C535" s="138">
        <v>21459</v>
      </c>
      <c r="D535" s="100"/>
    </row>
    <row r="536" spans="3:4">
      <c r="C536" s="138">
        <v>21490</v>
      </c>
      <c r="D536" s="100"/>
    </row>
    <row r="537" spans="3:4">
      <c r="C537" s="138">
        <v>21520</v>
      </c>
      <c r="D537" s="100"/>
    </row>
    <row r="538" spans="3:4">
      <c r="C538" s="138">
        <v>21551</v>
      </c>
      <c r="D538" s="100"/>
    </row>
    <row r="539" spans="3:4">
      <c r="C539" s="138">
        <v>21582</v>
      </c>
      <c r="D539" s="100"/>
    </row>
    <row r="540" spans="3:4">
      <c r="C540" s="138">
        <v>21610</v>
      </c>
      <c r="D540" s="100"/>
    </row>
    <row r="541" spans="3:4">
      <c r="C541" s="138">
        <v>21641</v>
      </c>
      <c r="D541" s="100"/>
    </row>
    <row r="542" spans="3:4">
      <c r="C542" s="138">
        <v>21671</v>
      </c>
      <c r="D542" s="100"/>
    </row>
    <row r="543" spans="3:4">
      <c r="C543" s="138">
        <v>21702</v>
      </c>
      <c r="D543" s="100"/>
    </row>
    <row r="544" spans="3:4">
      <c r="C544" s="138">
        <v>21732</v>
      </c>
      <c r="D544" s="100"/>
    </row>
    <row r="545" spans="3:4">
      <c r="C545" s="138">
        <v>21763</v>
      </c>
      <c r="D545" s="100"/>
    </row>
    <row r="546" spans="3:4">
      <c r="C546" s="138">
        <v>21794</v>
      </c>
      <c r="D546" s="100"/>
    </row>
    <row r="547" spans="3:4">
      <c r="C547" s="138">
        <v>21824</v>
      </c>
      <c r="D547" s="100"/>
    </row>
    <row r="548" spans="3:4">
      <c r="C548" s="138">
        <v>21855</v>
      </c>
      <c r="D548" s="100"/>
    </row>
    <row r="549" spans="3:4">
      <c r="C549" s="138">
        <v>21885</v>
      </c>
      <c r="D549" s="100"/>
    </row>
    <row r="550" spans="3:4">
      <c r="C550" s="138">
        <v>21916</v>
      </c>
      <c r="D550" s="100"/>
    </row>
    <row r="551" spans="3:4">
      <c r="C551" s="138">
        <v>21947</v>
      </c>
      <c r="D551" s="100"/>
    </row>
    <row r="552" spans="3:4">
      <c r="C552" s="138">
        <v>21976</v>
      </c>
      <c r="D552" s="100"/>
    </row>
    <row r="553" spans="3:4">
      <c r="C553" s="138">
        <v>22007</v>
      </c>
      <c r="D553" s="100"/>
    </row>
    <row r="554" spans="3:4">
      <c r="C554" s="138">
        <v>22037</v>
      </c>
      <c r="D554" s="100"/>
    </row>
    <row r="555" spans="3:4">
      <c r="C555" s="138">
        <v>22068</v>
      </c>
      <c r="D555" s="100"/>
    </row>
    <row r="556" spans="3:4">
      <c r="C556" s="138">
        <v>22098</v>
      </c>
      <c r="D556" s="100"/>
    </row>
    <row r="557" spans="3:4">
      <c r="C557" s="138">
        <v>22129</v>
      </c>
      <c r="D557" s="100"/>
    </row>
    <row r="558" spans="3:4">
      <c r="C558" s="138">
        <v>22160</v>
      </c>
      <c r="D558" s="100"/>
    </row>
    <row r="559" spans="3:4">
      <c r="C559" s="138">
        <v>22190</v>
      </c>
      <c r="D559" s="100"/>
    </row>
    <row r="560" spans="3:4">
      <c r="C560" s="138">
        <v>22221</v>
      </c>
      <c r="D560" s="100"/>
    </row>
    <row r="561" spans="3:4">
      <c r="C561" s="138">
        <v>22251</v>
      </c>
      <c r="D561" s="100"/>
    </row>
    <row r="562" spans="3:4">
      <c r="C562" s="138">
        <v>22282</v>
      </c>
      <c r="D562" s="100"/>
    </row>
    <row r="563" spans="3:4">
      <c r="C563" s="138">
        <v>22313</v>
      </c>
      <c r="D563" s="100"/>
    </row>
    <row r="564" spans="3:4">
      <c r="C564" s="138">
        <v>22341</v>
      </c>
      <c r="D564" s="100"/>
    </row>
    <row r="565" spans="3:4">
      <c r="C565" s="138">
        <v>22372</v>
      </c>
      <c r="D565" s="100"/>
    </row>
    <row r="566" spans="3:4">
      <c r="C566" s="138">
        <v>22402</v>
      </c>
      <c r="D566" s="100"/>
    </row>
    <row r="567" spans="3:4">
      <c r="C567" s="138">
        <v>22433</v>
      </c>
      <c r="D567" s="100"/>
    </row>
    <row r="568" spans="3:4">
      <c r="C568" s="138">
        <v>22463</v>
      </c>
      <c r="D568" s="100"/>
    </row>
    <row r="569" spans="3:4">
      <c r="C569" s="138">
        <v>22494</v>
      </c>
      <c r="D569" s="100"/>
    </row>
    <row r="570" spans="3:4">
      <c r="C570" s="138">
        <v>22525</v>
      </c>
      <c r="D570" s="100"/>
    </row>
    <row r="571" spans="3:4">
      <c r="C571" s="138">
        <v>22555</v>
      </c>
      <c r="D571" s="100"/>
    </row>
    <row r="572" spans="3:4">
      <c r="C572" s="138">
        <v>22586</v>
      </c>
      <c r="D572" s="100"/>
    </row>
    <row r="573" spans="3:4">
      <c r="C573" s="138">
        <v>22616</v>
      </c>
      <c r="D573" s="100"/>
    </row>
    <row r="574" spans="3:4">
      <c r="C574" s="138">
        <v>22647</v>
      </c>
      <c r="D574" s="100"/>
    </row>
    <row r="575" spans="3:4">
      <c r="C575" s="138">
        <v>22678</v>
      </c>
      <c r="D575" s="100"/>
    </row>
    <row r="576" spans="3:4">
      <c r="C576" s="138">
        <v>22706</v>
      </c>
      <c r="D576" s="100"/>
    </row>
    <row r="577" spans="3:4">
      <c r="C577" s="138">
        <v>22737</v>
      </c>
      <c r="D577" s="100"/>
    </row>
    <row r="578" spans="3:4">
      <c r="C578" s="138">
        <v>22767</v>
      </c>
      <c r="D578" s="100"/>
    </row>
    <row r="579" spans="3:4">
      <c r="C579" s="138">
        <v>22798</v>
      </c>
      <c r="D579" s="100"/>
    </row>
    <row r="580" spans="3:4">
      <c r="C580" s="138">
        <v>22828</v>
      </c>
      <c r="D580" s="100"/>
    </row>
    <row r="581" spans="3:4">
      <c r="C581" s="138">
        <v>22859</v>
      </c>
      <c r="D581" s="100"/>
    </row>
    <row r="582" spans="3:4">
      <c r="C582" s="138">
        <v>22890</v>
      </c>
      <c r="D582" s="100"/>
    </row>
    <row r="583" spans="3:4">
      <c r="C583" s="138">
        <v>22920</v>
      </c>
      <c r="D583" s="100"/>
    </row>
    <row r="584" spans="3:4">
      <c r="C584" s="138">
        <v>22951</v>
      </c>
      <c r="D584" s="100"/>
    </row>
    <row r="585" spans="3:4">
      <c r="C585" s="138">
        <v>22981</v>
      </c>
      <c r="D585" s="100"/>
    </row>
    <row r="586" spans="3:4">
      <c r="C586" s="138">
        <v>23012</v>
      </c>
      <c r="D586" s="100"/>
    </row>
    <row r="587" spans="3:4">
      <c r="C587" s="138">
        <v>23043</v>
      </c>
      <c r="D587" s="100"/>
    </row>
    <row r="588" spans="3:4">
      <c r="C588" s="138">
        <v>23071</v>
      </c>
      <c r="D588" s="100"/>
    </row>
    <row r="589" spans="3:4">
      <c r="C589" s="138">
        <v>23102</v>
      </c>
      <c r="D589" s="100"/>
    </row>
    <row r="590" spans="3:4">
      <c r="C590" s="138">
        <v>23132</v>
      </c>
      <c r="D590" s="100"/>
    </row>
    <row r="591" spans="3:4">
      <c r="C591" s="138">
        <v>23163</v>
      </c>
      <c r="D591" s="100"/>
    </row>
    <row r="592" spans="3:4">
      <c r="C592" s="138">
        <v>23193</v>
      </c>
      <c r="D592" s="100"/>
    </row>
    <row r="593" spans="3:4">
      <c r="C593" s="138">
        <v>23224</v>
      </c>
      <c r="D593" s="100"/>
    </row>
    <row r="594" spans="3:4">
      <c r="C594" s="138">
        <v>23255</v>
      </c>
      <c r="D594" s="100"/>
    </row>
    <row r="595" spans="3:4">
      <c r="C595" s="138">
        <v>23285</v>
      </c>
      <c r="D595" s="100"/>
    </row>
    <row r="596" spans="3:4">
      <c r="C596" s="138">
        <v>23316</v>
      </c>
      <c r="D596" s="100"/>
    </row>
    <row r="597" spans="3:4">
      <c r="C597" s="138">
        <v>23346</v>
      </c>
      <c r="D597" s="100"/>
    </row>
    <row r="598" spans="3:4">
      <c r="C598" s="138">
        <v>23377</v>
      </c>
      <c r="D598" s="100"/>
    </row>
    <row r="599" spans="3:4">
      <c r="C599" s="138">
        <v>23408</v>
      </c>
      <c r="D599" s="100"/>
    </row>
    <row r="600" spans="3:4">
      <c r="C600" s="138">
        <v>23437</v>
      </c>
      <c r="D600" s="100"/>
    </row>
    <row r="601" spans="3:4">
      <c r="C601" s="138">
        <v>23468</v>
      </c>
      <c r="D601" s="100"/>
    </row>
    <row r="602" spans="3:4">
      <c r="C602" s="138">
        <v>23498</v>
      </c>
      <c r="D602" s="100"/>
    </row>
    <row r="603" spans="3:4">
      <c r="C603" s="138">
        <v>23529</v>
      </c>
      <c r="D603" s="100"/>
    </row>
    <row r="604" spans="3:4">
      <c r="C604" s="138">
        <v>23559</v>
      </c>
      <c r="D604" s="100"/>
    </row>
    <row r="605" spans="3:4">
      <c r="C605" s="138">
        <v>23590</v>
      </c>
      <c r="D605" s="100"/>
    </row>
    <row r="606" spans="3:4">
      <c r="C606" s="138">
        <v>23621</v>
      </c>
      <c r="D606" s="100"/>
    </row>
    <row r="607" spans="3:4">
      <c r="C607" s="138">
        <v>23651</v>
      </c>
      <c r="D607" s="100"/>
    </row>
    <row r="608" spans="3:4">
      <c r="C608" s="138">
        <v>23682</v>
      </c>
      <c r="D608" s="100"/>
    </row>
    <row r="609" spans="3:4">
      <c r="C609" s="138">
        <v>23712</v>
      </c>
      <c r="D609" s="100"/>
    </row>
    <row r="610" spans="3:4">
      <c r="C610" s="138">
        <v>23743</v>
      </c>
      <c r="D610" s="100"/>
    </row>
    <row r="611" spans="3:4">
      <c r="C611" s="138">
        <v>23774</v>
      </c>
      <c r="D611" s="100"/>
    </row>
    <row r="612" spans="3:4">
      <c r="C612" s="138">
        <v>23802</v>
      </c>
      <c r="D612" s="100"/>
    </row>
    <row r="613" spans="3:4">
      <c r="C613" s="138">
        <v>23833</v>
      </c>
      <c r="D613" s="100"/>
    </row>
    <row r="614" spans="3:4">
      <c r="C614" s="138">
        <v>23863</v>
      </c>
      <c r="D614" s="100"/>
    </row>
    <row r="615" spans="3:4">
      <c r="C615" s="138">
        <v>23894</v>
      </c>
      <c r="D615" s="100"/>
    </row>
    <row r="616" spans="3:4">
      <c r="C616" s="138">
        <v>23924</v>
      </c>
      <c r="D616" s="100"/>
    </row>
    <row r="617" spans="3:4">
      <c r="C617" s="138">
        <v>23955</v>
      </c>
      <c r="D617" s="100"/>
    </row>
    <row r="618" spans="3:4">
      <c r="C618" s="138">
        <v>23986</v>
      </c>
      <c r="D618" s="100"/>
    </row>
    <row r="619" spans="3:4">
      <c r="C619" s="138">
        <v>24016</v>
      </c>
      <c r="D619" s="100"/>
    </row>
    <row r="620" spans="3:4">
      <c r="C620" s="138">
        <v>24047</v>
      </c>
      <c r="D620" s="100"/>
    </row>
    <row r="621" spans="3:4">
      <c r="C621" s="138">
        <v>24077</v>
      </c>
      <c r="D621" s="100"/>
    </row>
    <row r="622" spans="3:4">
      <c r="C622" s="138">
        <v>24108</v>
      </c>
      <c r="D622" s="100"/>
    </row>
    <row r="623" spans="3:4">
      <c r="C623" s="138">
        <v>24139</v>
      </c>
      <c r="D623" s="100"/>
    </row>
    <row r="624" spans="3:4">
      <c r="C624" s="138">
        <v>24167</v>
      </c>
      <c r="D624" s="100"/>
    </row>
    <row r="625" spans="3:4">
      <c r="C625" s="138">
        <v>24198</v>
      </c>
      <c r="D625" s="100"/>
    </row>
    <row r="626" spans="3:4">
      <c r="C626" s="138">
        <v>24228</v>
      </c>
      <c r="D626" s="100"/>
    </row>
    <row r="627" spans="3:4">
      <c r="C627" s="138">
        <v>24259</v>
      </c>
      <c r="D627" s="100"/>
    </row>
    <row r="628" spans="3:4">
      <c r="C628" s="138">
        <v>24289</v>
      </c>
      <c r="D628" s="100"/>
    </row>
    <row r="629" spans="3:4">
      <c r="C629" s="138">
        <v>24320</v>
      </c>
      <c r="D629" s="100"/>
    </row>
    <row r="630" spans="3:4">
      <c r="C630" s="138">
        <v>24351</v>
      </c>
      <c r="D630" s="100"/>
    </row>
    <row r="631" spans="3:4">
      <c r="C631" s="138">
        <v>24381</v>
      </c>
      <c r="D631" s="100"/>
    </row>
    <row r="632" spans="3:4">
      <c r="C632" s="138">
        <v>24412</v>
      </c>
      <c r="D632" s="100"/>
    </row>
    <row r="633" spans="3:4">
      <c r="C633" s="138">
        <v>24442</v>
      </c>
      <c r="D633" s="100"/>
    </row>
    <row r="634" spans="3:4">
      <c r="C634" s="138">
        <v>24473</v>
      </c>
      <c r="D634" s="100"/>
    </row>
    <row r="635" spans="3:4">
      <c r="C635" s="138">
        <v>24504</v>
      </c>
      <c r="D635" s="100"/>
    </row>
    <row r="636" spans="3:4">
      <c r="C636" s="138">
        <v>24532</v>
      </c>
      <c r="D636" s="100"/>
    </row>
    <row r="637" spans="3:4">
      <c r="C637" s="138">
        <v>24563</v>
      </c>
      <c r="D637" s="100"/>
    </row>
    <row r="638" spans="3:4">
      <c r="C638" s="138">
        <v>24593</v>
      </c>
      <c r="D638" s="100"/>
    </row>
    <row r="639" spans="3:4">
      <c r="C639" s="138">
        <v>24624</v>
      </c>
      <c r="D639" s="100"/>
    </row>
    <row r="640" spans="3:4">
      <c r="C640" s="138">
        <v>24654</v>
      </c>
      <c r="D640" s="100"/>
    </row>
    <row r="641" spans="3:4">
      <c r="C641" s="138">
        <v>24685</v>
      </c>
      <c r="D641" s="100"/>
    </row>
    <row r="642" spans="3:4">
      <c r="C642" s="138">
        <v>24716</v>
      </c>
      <c r="D642" s="100"/>
    </row>
    <row r="643" spans="3:4">
      <c r="C643" s="138">
        <v>24746</v>
      </c>
      <c r="D643" s="100"/>
    </row>
    <row r="644" spans="3:4">
      <c r="C644" s="138">
        <v>24777</v>
      </c>
      <c r="D644" s="100"/>
    </row>
    <row r="645" spans="3:4">
      <c r="C645" s="138">
        <v>24807</v>
      </c>
      <c r="D645" s="100"/>
    </row>
    <row r="646" spans="3:4">
      <c r="C646" s="138">
        <v>24838</v>
      </c>
      <c r="D646" s="100"/>
    </row>
    <row r="647" spans="3:4">
      <c r="C647" s="138">
        <v>24869</v>
      </c>
      <c r="D647" s="100"/>
    </row>
    <row r="648" spans="3:4">
      <c r="C648" s="138">
        <v>24898</v>
      </c>
      <c r="D648" s="100"/>
    </row>
    <row r="649" spans="3:4">
      <c r="C649" s="138">
        <v>24929</v>
      </c>
      <c r="D649" s="100"/>
    </row>
    <row r="650" spans="3:4">
      <c r="C650" s="138">
        <v>24959</v>
      </c>
      <c r="D650" s="100"/>
    </row>
    <row r="651" spans="3:4">
      <c r="C651" s="138">
        <v>24990</v>
      </c>
      <c r="D651" s="100"/>
    </row>
    <row r="652" spans="3:4">
      <c r="C652" s="138">
        <v>25020</v>
      </c>
      <c r="D652" s="100"/>
    </row>
    <row r="653" spans="3:4">
      <c r="C653" s="138">
        <v>25051</v>
      </c>
      <c r="D653" s="100"/>
    </row>
    <row r="654" spans="3:4">
      <c r="C654" s="138">
        <v>25082</v>
      </c>
      <c r="D654" s="100"/>
    </row>
    <row r="655" spans="3:4">
      <c r="C655" s="138">
        <v>25112</v>
      </c>
      <c r="D655" s="100"/>
    </row>
    <row r="656" spans="3:4">
      <c r="C656" s="138">
        <v>25143</v>
      </c>
      <c r="D656" s="100"/>
    </row>
    <row r="657" spans="3:4">
      <c r="C657" s="138">
        <v>25173</v>
      </c>
      <c r="D657" s="100"/>
    </row>
    <row r="658" spans="3:4">
      <c r="C658" s="138" t="s">
        <v>64</v>
      </c>
      <c r="D658" s="100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5" t="s">
        <v>23</v>
      </c>
      <c r="P2" s="94"/>
    </row>
    <row r="3" spans="1:16" ht="4.95" customHeight="1">
      <c r="B3" s="1"/>
      <c r="C3" s="4"/>
      <c r="P3" s="93"/>
    </row>
    <row r="4" spans="1:16" ht="19.95" customHeight="1">
      <c r="B4" s="1"/>
      <c r="C4" s="4"/>
      <c r="P4" s="95"/>
    </row>
    <row r="5" spans="1:16" ht="4.95" customHeight="1">
      <c r="B5" s="1"/>
      <c r="C5" s="4"/>
    </row>
    <row r="6" spans="1:16" ht="34.950000000000003" customHeight="1">
      <c r="B6" s="120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5" t="s">
        <v>30</v>
      </c>
      <c r="D2" s="98"/>
      <c r="P2" s="94"/>
    </row>
    <row r="3" spans="2:16" ht="4.95" customHeight="1">
      <c r="B3" s="40"/>
      <c r="C3" s="96"/>
      <c r="D3" s="97"/>
      <c r="P3" s="93"/>
    </row>
    <row r="4" spans="2:16" ht="19.95" customHeight="1">
      <c r="B4" s="40"/>
      <c r="C4" s="96"/>
      <c r="D4" s="97"/>
      <c r="P4" s="95"/>
    </row>
    <row r="5" spans="2:16" ht="4.95" customHeight="1">
      <c r="B5" s="1"/>
      <c r="C5" s="4"/>
    </row>
    <row r="6" spans="2:16" s="5" customFormat="1" ht="30" customHeight="1">
      <c r="B6" s="120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2026-05-25T06:53:34Z</dcterms:modified>
</cp:coreProperties>
</file>