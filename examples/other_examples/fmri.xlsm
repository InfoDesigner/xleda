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3C028DB5-9EED-45B0-B5FB-187ACE0A18CC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Analysis'!$D$7:$H$7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Analysis'!$D$57:$H$57</definedName>
    <definedName name="FieldList2">'Field Analysis'!$D$58:$H$58</definedName>
    <definedName name="FieldList3">'Field Analysis'!$D$59:$H$59</definedName>
    <definedName name="FieldList4">'Field Analysis'!$D$60:$H$60</definedName>
    <definedName name="FieldList5">'Field Analysis'!$D$61:$H$61</definedName>
    <definedName name="FieldList6">'Field Analysis'!$D$62:$H$62</definedName>
    <definedName name="FieldList7">'Field Analysis'!$D$63:$H$63</definedName>
    <definedName name="FieldList8">'Field Analysis'!$D$64:$H$64</definedName>
    <definedName name="FieldLists">'Field Analysis'!$C$57:$H$64</definedName>
    <definedName name="FieldRange">'Field Analysis'!$D$78:$H$78</definedName>
    <definedName name="FormatRange">'Field Analysis'!$F:$F</definedName>
    <definedName name="Headers">'Field Analysis'!$D$11:$H$11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Analysis'!$D$9:$H$9</definedName>
    <definedName name="Percentiles">'Field Analysis'!$D$45:$D$54</definedName>
    <definedName name="RecordHashes">'Field Analysis'!$J$79:$J$1142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<sst xmlns="http://schemas.openxmlformats.org/spreadsheetml/2006/main" count="3362" uniqueCount="85">
  <si>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</si>
  <si>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</si>
  <si>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</si>
  <si>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</si>
  <si>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</si>
  <si>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</si>
  <si>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</si>
  <si>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</si>
  <si>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</si>
  <si>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</si>
  <si>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</si>
  <si>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</si>
  <si>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</si>
  <si>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</si>
  <si>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</si>
  <si>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</si>
  <si>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</si>
  <si>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</si>
  <si>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</si>
  <si>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</si>
  <si>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</si>
  <si>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</si>
  <si>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</si>
  <si>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</si>
  <si>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</si>
  <si>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</si>
  <si>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</si>
  <si>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</si>
  <si>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</si>
  <si>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</si>
  <si>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</si>
  <si>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</si>
  <si>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</si>
  <si>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</si>
  <si>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</si>
  <si>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</si>
  <si>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</si>
  <si>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</si>
  <si>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</si>
  <si>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</si>
  <si>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</si>
  <si>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</si>
  <si>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</si>
  <si>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</si>
  <si>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</si>
  <si>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</si>
  <si>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</si>
  <si>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</si>
  <si>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</si>
  <si>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</si>
  <si>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</si>
  <si>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</si>
  <si>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</si>
  <si>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</si>
  <si>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</si>
  <si>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fmri</t>
  </si>
  <si>
    <t>subject</t>
  </si>
  <si>
    <t>timepoint</t>
  </si>
  <si>
    <t>event</t>
  </si>
  <si>
    <t>region</t>
  </si>
  <si>
    <t>signal</t>
  </si>
  <si>
    <t>Record Hash</t>
  </si>
  <si>
    <t>56,828 bytes</t>
  </si>
  <si>
    <t>str</t>
  </si>
  <si>
    <t>s0</t>
  </si>
  <si>
    <t>int64</t>
  </si>
  <si>
    <t>cue</t>
  </si>
  <si>
    <t>frontal</t>
  </si>
  <si>
    <t>float64</t>
  </si>
  <si>
    <t>s13</t>
  </si>
  <si>
    <t>stim</t>
  </si>
  <si>
    <t>parietal</t>
  </si>
  <si>
    <t>s5</t>
  </si>
  <si>
    <t>s12</t>
  </si>
  <si>
    <t>s11</t>
  </si>
  <si>
    <t>s10</t>
  </si>
  <si>
    <t>s9</t>
  </si>
  <si>
    <t>s8</t>
  </si>
  <si>
    <t>s7</t>
  </si>
  <si>
    <t>s6</t>
  </si>
  <si>
    <t>s4</t>
  </si>
  <si>
    <t>s3</t>
  </si>
  <si>
    <t>s2</t>
  </si>
  <si>
    <t>s1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</si>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</sst>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5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E9B4F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44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2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1" fillId="2" borderId="0" xfId="5" applyBorder="1" applyAlignment="1">
      <alignment horizontal="right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left" vertical="center" wrapText="1" indent="1"/>
    </xf>
    <xf numFmtId="0" fontId="33" fillId="9" borderId="7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center" vertical="center" wrapText="1"/>
    </xf>
    <xf numFmtId="9" fontId="33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4" fillId="9" borderId="0" xfId="1" applyFont="1" applyFill="1" applyBorder="1" applyAlignment="1">
      <alignment horizontal="center" vertical="center" wrapText="1"/>
    </xf>
    <xf numFmtId="0" fontId="34" fillId="9" borderId="9" xfId="1" applyFont="1" applyFill="1" applyBorder="1" applyAlignment="1">
      <alignment horizontal="center" vertical="center"/>
    </xf>
    <xf numFmtId="0" fontId="23" fillId="9" borderId="0" xfId="0" applyFont="1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2" fillId="3" borderId="0" xfId="1" applyNumberFormat="1" applyFill="1"/>
    <xf numFmtId="11" fontId="2" fillId="3" borderId="0" xfId="1" applyNumberFormat="1" applyFill="1"/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135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FE9B4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ill>
        <patternFill patternType="solid">
          <fgColor indexed="64"/>
          <bgColor theme="1" tint="4.9989318521683403E-2"/>
        </patternFill>
      </fill>
    </dxf>
    <dxf>
      <numFmt numFmtId="0" formatCode="General"/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134"/>
      <tableStyleElement type="headerRow" dxfId="133"/>
      <tableStyleElement type="totalRow" dxfId="132"/>
    </tableStyle>
    <tableStyle name="TableStyleDarker" pivot="0" count="2" xr9:uid="{6808BEA3-E65F-4F4F-A6CC-D0226D87DD56}">
      <tableStyleElement type="wholeTable" dxfId="131"/>
      <tableStyleElement type="headerRow" dxfId="130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subject">
          <a:extLst>
            <a:ext uri="{FF2B5EF4-FFF2-40B4-BE49-F238E27FC236}">
              <a16:creationId xmlns:a16="http://schemas.microsoft.com/office/drawing/2014/main" id="{6D5034AA-4E75-3B85-08CF-D40371A952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timepoint">
          <a:extLst>
            <a:ext uri="{FF2B5EF4-FFF2-40B4-BE49-F238E27FC236}">
              <a16:creationId xmlns:a16="http://schemas.microsoft.com/office/drawing/2014/main" id="{AB6A034E-448F-B3DA-FD02-D523F0B2B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histogram_timepoint">
          <a:extLst>
            <a:ext uri="{FF2B5EF4-FFF2-40B4-BE49-F238E27FC236}">
              <a16:creationId xmlns:a16="http://schemas.microsoft.com/office/drawing/2014/main" id="{2DB9C728-586F-26E0-74AD-9BA5072F67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composition_event">
          <a:extLst>
            <a:ext uri="{FF2B5EF4-FFF2-40B4-BE49-F238E27FC236}">
              <a16:creationId xmlns:a16="http://schemas.microsoft.com/office/drawing/2014/main" id="{82EB49FA-C53D-CCC1-7344-EBB6C360A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9" name="composition_region">
          <a:extLst>
            <a:ext uri="{FF2B5EF4-FFF2-40B4-BE49-F238E27FC236}">
              <a16:creationId xmlns:a16="http://schemas.microsoft.com/office/drawing/2014/main" id="{D001BBF3-011C-35EE-25DB-ABA93545C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1" name="composition_signal">
          <a:extLst>
            <a:ext uri="{FF2B5EF4-FFF2-40B4-BE49-F238E27FC236}">
              <a16:creationId xmlns:a16="http://schemas.microsoft.com/office/drawing/2014/main" id="{B3ABDB77-8C4D-6EC7-07A2-001DBB7F9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3" name="histogram_signal">
          <a:extLst>
            <a:ext uri="{FF2B5EF4-FFF2-40B4-BE49-F238E27FC236}">
              <a16:creationId xmlns:a16="http://schemas.microsoft.com/office/drawing/2014/main" id="{B174BB57-CA01-53BA-8030-3673AD313E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30480</xdr:colOff>
      <xdr:row>30</xdr:row>
      <xdr:rowOff>95250</xdr:rowOff>
    </xdr:from>
    <xdr:to>
      <xdr:col>8</xdr:col>
      <xdr:colOff>579120</xdr:colOff>
      <xdr:row>30</xdr:row>
      <xdr:rowOff>1809750</xdr:rowOff>
    </xdr:to>
    <xdr:pic>
      <xdr:nvPicPr>
        <xdr:cNvPr id="25" name="composition_HasBlank">
          <a:extLst>
            <a:ext uri="{FF2B5EF4-FFF2-40B4-BE49-F238E27FC236}">
              <a16:creationId xmlns:a16="http://schemas.microsoft.com/office/drawing/2014/main" id="{3A8805C5-50EA-4864-A91E-B08A794252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719560" y="2122170"/>
          <a:ext cx="548640" cy="1714500"/>
        </a:xfrm>
        <a:prstGeom prst="rect">
          <a:avLst/>
        </a:prstGeom>
      </xdr:spPr>
    </xdr:pic>
    <xdr:clientData/>
  </xdr:twoCellAnchor>
  <xdr:twoCellAnchor>
    <xdr:from>
      <xdr:col>8</xdr:col>
      <xdr:colOff>30480</xdr:colOff>
      <xdr:row>40</xdr:row>
      <xdr:rowOff>95250</xdr:rowOff>
    </xdr:from>
    <xdr:to>
      <xdr:col>8</xdr:col>
      <xdr:colOff>579120</xdr:colOff>
      <xdr:row>40</xdr:row>
      <xdr:rowOff>1809750</xdr:rowOff>
    </xdr:to>
    <xdr:pic>
      <xdr:nvPicPr>
        <xdr:cNvPr id="27" name="histogram_HasBlank">
          <a:extLst>
            <a:ext uri="{FF2B5EF4-FFF2-40B4-BE49-F238E27FC236}">
              <a16:creationId xmlns:a16="http://schemas.microsoft.com/office/drawing/2014/main" id="{04978FA9-1BF1-2466-EDB9-701FBCB3D9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719560" y="4339590"/>
          <a:ext cx="54864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6.995828240739" createdVersion="8" refreshedVersion="8" minRefreshableVersion="3" recordCount="1064" xr:uid="{9CA2673A-A870-437E-AB9F-91D8276FD930}">
  <cacheSource type="worksheet">
    <worksheetSource name="tbl_SourceData"/>
  </cacheSource>
  <cacheFields count="8">
    <cacheField name="Record List" numFmtId="0">
      <sharedItems/>
    </cacheField>
    <cacheField name="subject" numFmtId="0">
      <sharedItems count="14">
        <s v="s13"/>
        <s v="s5"/>
        <s v="s12"/>
        <s v="s11"/>
        <s v="s10"/>
        <s v="s9"/>
        <s v="s8"/>
        <s v="s7"/>
        <s v="s6"/>
        <s v="s4"/>
        <s v="s3"/>
        <s v="s2"/>
        <s v="s1"/>
        <s v="s0"/>
      </sharedItems>
    </cacheField>
    <cacheField name="timepoint" numFmtId="0">
      <sharedItems containsSemiMixedTypes="0" containsString="0" containsNumber="1" containsInteger="1" minValue="0" maxValue="18" count="19">
        <n v="18"/>
        <n v="14"/>
        <n v="17"/>
        <n v="9"/>
        <n v="16"/>
        <n v="15"/>
        <n v="0"/>
        <n v="13"/>
        <n v="12"/>
        <n v="11"/>
        <n v="10"/>
        <n v="3"/>
        <n v="7"/>
        <n v="8"/>
        <n v="2"/>
        <n v="6"/>
        <n v="5"/>
        <n v="4"/>
        <n v="1"/>
      </sharedItems>
    </cacheField>
    <cacheField name="event" numFmtId="0">
      <sharedItems count="2">
        <s v="stim"/>
        <s v="cue"/>
      </sharedItems>
    </cacheField>
    <cacheField name="region" numFmtId="0">
      <sharedItems count="2">
        <s v="parietal"/>
        <s v="frontal"/>
      </sharedItems>
    </cacheField>
    <cacheField name="signal" numFmtId="0">
      <sharedItems containsSemiMixedTypes="0" containsString="0" containsNumber="1" minValue="-0.25548585957999997" maxValue="0.56498472144800005" count="1064">
        <n v="-1.7551581537999999E-2"/>
        <n v="-8.0882931950500003E-2"/>
        <n v="-8.1033018733300002E-2"/>
        <n v="-4.6134390175199901E-2"/>
        <n v="-3.7970203264200003E-2"/>
        <n v="-0.10351309616"/>
        <n v="-6.4408194723200002E-2"/>
        <n v="-6.0526201712400002E-2"/>
        <n v="-7.0285609100699999E-3"/>
        <n v="-4.0556854615700001E-2"/>
        <n v="-4.8812199946599903E-2"/>
        <n v="-4.7148145827500001E-2"/>
        <n v="-8.6622959491799906E-2"/>
        <n v="-4.6659046163799997E-2"/>
        <n v="-7.5569975947699999E-2"/>
        <n v="-8.2646252611099993E-3"/>
        <n v="-8.8511750122499996E-2"/>
        <n v="5.8896545297000003E-2"/>
        <n v="-1.6846516626999999E-2"/>
        <n v="-0.12157375579"/>
        <n v="-7.6287120796199995E-2"/>
        <n v="-4.3812021381899997E-2"/>
        <n v="-1.47463892981E-2"/>
        <n v="-5.6682060804399997E-2"/>
        <n v="-4.4581900875899999E-2"/>
        <n v="-5.3514067747099998E-2"/>
        <n v="-7.7292400188599994E-2"/>
        <n v="-3.80205789406E-2"/>
        <n v="-7.1300385397799995E-2"/>
        <n v="-2.8562938711900001E-3"/>
        <n v="-8.9943363336099993E-2"/>
        <n v="-4.9587035833800003E-2"/>
        <n v="-1.3566317631599999E-2"/>
        <n v="-0.131640690822"/>
        <n v="-9.3024310947700001E-2"/>
        <n v="-2.18971578269E-2"/>
        <n v="0.17022688634399999"/>
        <n v="-6.4137842040400003E-2"/>
        <n v="-4.7433168385499998E-2"/>
        <n v="-7.1022402216200001E-2"/>
        <n v="-6.4998169291699895E-2"/>
        <n v="-6.1356030524600001E-2"/>
        <n v="-5.7715066878200001E-2"/>
        <n v="-1.0971463220299999E-2"/>
        <n v="-8.0697963171399906E-2"/>
        <n v="-7.2112194047099995E-2"/>
        <n v="-2.8809304808100001E-2"/>
        <n v="-0.13482840338300001"/>
        <n v="-0.11257759694199999"/>
        <n v="-9.3831291911400001E-3"/>
        <n v="-6.8720225246699906E-2"/>
        <n v="-7.0561537851100004E-2"/>
        <n v="-5.6031053491800001E-2"/>
        <n v="-9.0735181528199996E-2"/>
        <n v="-5.5461856933099997E-2"/>
        <n v="-0.11074232179600001"/>
        <n v="-5.3078664772299999E-2"/>
        <n v="-3.3713389014900001E-2"/>
        <n v="-6.8297336715800003E-2"/>
        <n v="-0.11446883040399999"/>
        <n v="-5.2287723872400001E-2"/>
        <n v="-0.13026659830000001"/>
        <n v="-0.12844753006199999"/>
        <n v="-1.51398384821E-2"/>
        <n v="-9.8844633553499997E-2"/>
        <n v="-4.1960488855999997E-2"/>
        <n v="-6.3990407172300007E-2"/>
        <n v="-2.1452459461500002E-2"/>
        <n v="-0.110040787828"/>
        <n v="-0.16931168115799999"/>
        <n v="-5.2418751534200003E-2"/>
        <n v="-6.86374735514E-2"/>
        <n v="-5.6306337975000002E-2"/>
        <n v="-0.15783418699400001"/>
        <n v="-7.3892348784199993E-2"/>
        <n v="-0.11938345548199999"/>
        <n v="-0.1239496932"/>
        <n v="-3.0026322192E-2"/>
        <n v="-0.133170667646"/>
        <n v="-9.4970704658199998E-2"/>
        <n v="-7.4759867149199993E-2"/>
        <n v="-0.1165517168"/>
        <n v="-5.2655737335699997E-2"/>
        <n v="-0.22435132305200001"/>
        <n v="-6.4454004861000003E-2"/>
        <n v="-0.100984175249"/>
        <n v="-5.2295304632899997E-2"/>
        <n v="-0.17850970186199999"/>
        <n v="-8.7232413845699894E-2"/>
        <n v="-9.7788995693799993E-2"/>
        <n v="-9.2510848678200003E-2"/>
        <n v="-4.0385242518199999E-2"/>
        <n v="-0.15069342830499999"/>
        <n v="-0.11049636909"/>
        <n v="-9.00360515443E-2"/>
        <n v="-9.1300950938400002E-2"/>
        <n v="-5.6376647172E-2"/>
        <n v="-0.25548585957999997"/>
        <n v="-5.2911483143400002E-2"/>
        <n v="-0.11257541213"/>
        <n v="-5.6628447707399998E-2"/>
        <n v="-0.15070934253900001"/>
        <n v="-7.8080284296400002E-2"/>
        <n v="-7.2241225574000006E-2"/>
        <n v="-2.80246228922E-2"/>
        <n v="-3.09911807764E-2"/>
        <n v="-0.13479542274299999"/>
        <n v="-0.120694930753"/>
        <n v="-0.12854654313"/>
        <n v="-2.32737328152E-2"/>
        <n v="-7.3416817271600002E-2"/>
        <n v="-0.23847376427700001"/>
        <n v="-5.1469472451400003E-2"/>
        <n v="-7.4502610044300005E-2"/>
        <n v="-6.69700192247E-2"/>
        <n v="-7.2780476678E-2"/>
        <n v="-4.1702309631699998E-2"/>
        <n v="-3.23796382167E-2"/>
        <n v="6.5197509942099996E-2"/>
        <n v="1.6484911058299999E-3"/>
        <n v="-7.54333889525E-2"/>
        <n v="-0.114761917544"/>
        <n v="-0.15265246158000001"/>
        <n v="8.9231478763799998E-2"/>
        <n v="-8.7687680518800007E-2"/>
        <n v="-0.13304099332699901"/>
        <n v="-4.79149730158E-2"/>
        <n v="1.32453345685E-2"/>
        <n v="-6.2335021025599999E-2"/>
        <n v="4.5418531372900001E-2"/>
        <n v="3.1006446777599998E-2"/>
        <n v="2.9052961628000001E-2"/>
        <n v="-5.2874529950100002E-2"/>
        <n v="9.0174040109400003E-3"/>
        <n v="9.54793068239E-3"/>
        <n v="7.4342752843299997E-2"/>
        <n v="0.22171613873000001"/>
        <n v="-8.2613396202999997E-2"/>
        <n v="5.7891763880400002E-2"/>
        <n v="-3.5586997112499998E-2"/>
        <n v="0.13099104705100001"/>
        <n v="-2.7577479840900001E-2"/>
        <n v="0.16967329735100001"/>
        <n v="0.136290736966"/>
        <n v="0.121580532588"/>
        <n v="0.263207487992"/>
        <n v="0.13317559373000001"/>
        <n v="0.112147204561"/>
        <n v="6.8051353980600002E-3"/>
        <n v="1.7534785968E-2"/>
        <n v="0.33714329755400002"/>
        <n v="-3.07806076045E-2"/>
        <n v="0.29463915742000002"/>
        <n v="5.10065001767E-3"/>
        <n v="0.24074707368600001"/>
        <n v="5.0172678325300001E-2"/>
        <n v="0.25404232123699999"/>
        <n v="0.24564175970499999"/>
        <n v="0.23823081562000001"/>
        <n v="0.31281103367500002"/>
        <n v="0.198789642958"/>
        <n v="0.21447957006599999"/>
        <n v="0.119176862322"/>
        <n v="0.22044852459200001"/>
        <n v="0.39046573375999999"/>
        <n v="4.5743626945300001E-2"/>
        <n v="0.49478686519699999"/>
        <n v="-0.114241981967"/>
        <n v="0.29188431877600002"/>
        <n v="0.24813800944799999"/>
        <n v="0.101050432206"/>
        <n v="0.56498472144800005"/>
        <n v="0.14343611999700001"/>
        <n v="0.34047991813799999"/>
        <n v="0.40584005702800002"/>
        <n v="0.22149288327800001"/>
        <n v="0.157799926472"/>
        <n v="0.21806119446899999"/>
        <n v="0.29800904203299999"/>
        <n v="0.34591807436799998"/>
        <n v="0.29696023289700002"/>
        <n v="0.26277110148799998"/>
        <n v="0.14309337175699999"/>
        <n v="0.27095581007300001"/>
        <n v="0.25262726434100002"/>
        <n v="0.23917509783400001"/>
        <n v="0.194215001153"/>
        <n v="0.253871308297"/>
        <n v="0.381495102897"/>
        <n v="0.21285483643299999"/>
        <n v="0.177629510785"/>
        <n v="0.26005706923600003"/>
        <n v="0.460896318187"/>
        <n v="0.19918833824000001"/>
        <n v="0.20935495812800001"/>
        <n v="0.47605549549699999"/>
        <n v="0.17553169760599999"/>
        <n v="0.13621945979299999"/>
        <n v="0.26128330488099999"/>
        <n v="-3.7406605416200001E-2"/>
        <n v="8.7175170267400001E-2"/>
        <n v="-3.4874183421600001E-2"/>
        <n v="-2.8108730398099999E-2"/>
        <n v="9.3181364026499999E-2"/>
        <n v="9.33092582309E-2"/>
        <n v="0.13684747243699999"/>
        <n v="0.208112190773"/>
        <n v="0.34677467236199999"/>
        <n v="2.7878546512700001E-2"/>
        <n v="0.19646103036699999"/>
        <n v="0.28729398082300001"/>
        <n v="0.15405788336099999"/>
        <n v="8.4175142848099994E-3"/>
        <n v="0.185581486022"/>
        <n v="-1.0137985855900001E-2"/>
        <n v="4.5838352633700001E-2"/>
        <n v="0.164445987706"/>
        <n v="0.143985648987"/>
        <n v="-6.1228073488900003E-3"/>
        <n v="2.7562364835600001E-2"/>
        <n v="9.2711731212599999E-2"/>
        <n v="0.14145805064700001"/>
        <n v="-8.9707770780000001E-2"/>
        <n v="0.108915570222"/>
        <n v="9.2220783228300005E-2"/>
        <n v="8.6398922938799999E-2"/>
        <n v="-6.2915906846599895E-2"/>
        <n v="7.7277210144800004E-2"/>
        <n v="-5.9089031994500003E-2"/>
        <n v="1.17514891824E-2"/>
        <n v="4.0620181407899997E-2"/>
        <n v="-4.9964018640400003E-2"/>
        <n v="-1.74990444292E-2"/>
        <n v="-0.11056526278999999"/>
        <n v="0.30725043704799998"/>
        <n v="8.7913747746600004E-3"/>
        <n v="-3.5153391354299998E-2"/>
        <n v="9.6415299176700001E-3"/>
        <n v="-6.4256453087899998E-2"/>
        <n v="1.0624696534E-2"/>
        <n v="-5.9354144857200003E-2"/>
        <n v="2.9822198264599999E-2"/>
        <n v="-1.27649638126E-2"/>
        <n v="-4.9531531835800002E-2"/>
        <n v="-2.3882622303800002E-2"/>
        <n v="-3.7325933617300001E-2"/>
        <n v="-6.3906637387199997E-2"/>
        <n v="-8.2174358040399895E-2"/>
        <n v="-6.1460354427799999E-2"/>
        <n v="-4.2086617437399998E-2"/>
        <n v="-7.4401787598899996E-2"/>
        <n v="-3.5735213903800002E-2"/>
        <n v="-4.2466603073700003E-2"/>
        <n v="3.35775487784E-3"/>
        <n v="-4.46339217791E-2"/>
        <n v="5.2618547179800003E-2"/>
        <n v="-1.8369277027099999E-2"/>
        <n v="-3.4339732083700003E-2"/>
        <n v="4.0813560997600001E-3"/>
        <n v="-2.3319154880700001E-2"/>
        <n v="-5.1227710195500001E-2"/>
        <n v="-4.8868504750799999E-2"/>
        <n v="-8.57603635283E-3"/>
        <n v="-3.4407186420199999E-2"/>
        <n v="-7.4842806795899997E-2"/>
        <n v="-5.5263680727699903E-2"/>
        <n v="-3.9950784210799999E-2"/>
        <n v="3.00440528842E-2"/>
        <n v="7.5957371738000004E-2"/>
        <n v="1.10564879557E-2"/>
        <n v="-1.7515501773799999E-2"/>
        <n v="-2.2977351038199999E-2"/>
        <n v="-7.9466073651399995E-3"/>
        <n v="-2.0863777412799999E-2"/>
        <n v="1.885189399E-2"/>
        <n v="2.88790240614E-3"/>
        <n v="7.4398996372700005E-2"/>
        <n v="-2.8422663656000002E-2"/>
        <n v="3.8392460917700003E-2"/>
        <n v="-3.8266156035399998E-2"/>
        <n v="-2.1053629110199999E-2"/>
        <n v="-6.0272636838900003E-2"/>
        <n v="-3.6432999521000001E-2"/>
        <n v="-1.02617412665E-2"/>
        <n v="-4.6048590200200003E-2"/>
        <n v="-2.71789021177E-2"/>
        <n v="9.5666517756900007E-3"/>
        <n v="-2.3525579233099999E-2"/>
        <n v="-9.2315044353799992E-3"/>
        <n v="-5.6164258793199003E-3"/>
        <n v="6.3558400463699996E-2"/>
        <n v="-4.6234614754899997E-2"/>
        <n v="4.4769577296300003E-2"/>
        <n v="-4.6492563012900001E-2"/>
        <n v="-9.0376373109799998E-3"/>
        <n v="-3.7519810928800003E-2"/>
        <n v="-1.07439374483E-2"/>
        <n v="-5.7306292773500002E-2"/>
        <n v="-2.27629589625E-2"/>
        <n v="3.8356421033800001E-3"/>
        <n v="2.5363154735000001E-2"/>
        <n v="1.7951089365800001E-3"/>
        <n v="-4.2531903615500001E-2"/>
        <n v="-1.44415260014E-2"/>
        <n v="3.08917221226E-2"/>
        <n v="-5.5153658518700001E-2"/>
        <n v="7.5066612923100004E-2"/>
        <n v="-2.4230703115100002E-2"/>
        <n v="2.6726699906E-2"/>
        <n v="5.7598373927900001E-2"/>
        <n v="5.7460966992900001E-2"/>
        <n v="-7.5213355972499896E-2"/>
        <n v="0.12045372771600001"/>
        <n v="8.6629405415499905E-2"/>
        <n v="6.1119784541199998E-2"/>
        <n v="6.4001600329699995E-2"/>
        <n v="-4.7032247436500002E-2"/>
        <n v="2.0633992954200001E-3"/>
        <n v="9.5987009063099992E-3"/>
        <n v="-1.49878467224E-2"/>
        <n v="0.112746171369"/>
        <n v="4.8317678438900002E-2"/>
        <n v="7.0557529261800006E-2"/>
        <n v="0.20212268931499999"/>
        <n v="0.128158046374"/>
        <n v="-1.8348091554500001E-3"/>
        <n v="0.32426482152300001"/>
        <n v="0.186011726948"/>
        <n v="0.13485124476900001"/>
        <n v="0.13349739442299999"/>
        <n v="-1.20831656004E-2"/>
        <n v="4.0636219985799998E-2"/>
        <n v="-5.05230209634E-2"/>
        <n v="0.12304968245099999"/>
        <n v="-9.6564695478700002E-2"/>
        <n v="0.147685336045"/>
        <n v="0.31585962119"/>
        <n v="0.149879208805"/>
        <n v="0.14798532912599999"/>
        <n v="0.45557481893599999"/>
        <n v="0.236025401676"/>
        <n v="0.21348405273000001"/>
        <n v="0.176160706827999"/>
        <n v="4.2811448229200001E-2"/>
        <n v="5.8952639515499998E-2"/>
        <n v="7.2731032417199998E-2"/>
        <n v="0.160734983232"/>
        <n v="9.1026941520199994E-2"/>
        <n v="0.21123239726199999"/>
        <n v="5.9436141935199902E-2"/>
        <n v="0.32133460128300001"/>
        <n v="8.5386996799399997E-2"/>
        <n v="0.28222157970599998"/>
        <n v="0.41066097261399997"/>
        <n v="0.19637029304299999"/>
        <n v="0.24678399755800001"/>
        <n v="0.17111681208900001"/>
        <n v="8.6119774727600004E-2"/>
        <n v="3.2806224540700001E-2"/>
        <n v="9.2244953254099996E-2"/>
        <n v="0.176109444388"/>
        <n v="3.2758004672100001E-2"/>
        <n v="0.195928278229"/>
        <n v="7.9932609047200006E-3"/>
        <n v="0.204943330683"/>
        <n v="-1.6985210857299999E-2"/>
        <n v="0.31900901354299999"/>
        <n v="0.218513616025"/>
        <n v="8.8224947383599997E-2"/>
        <n v="0.20388410364699999"/>
        <n v="0.12677769874"/>
        <n v="0.10275865253200001"/>
        <n v="-1.8216158799500001E-2"/>
        <n v="7.1110215695000006E-2"/>
        <n v="0.100876282424"/>
        <n v="-1.5597440004899999E-2"/>
        <n v="0.114907370649"/>
        <n v="-4.2792906461900003E-2"/>
        <n v="3.6684871006799999E-2"/>
        <n v="-5.7302350145700003E-2"/>
        <n v="0.24830210703399999"/>
        <n v="1.09629220321E-2"/>
        <n v="-2.5743206871099999E-2"/>
        <n v="0.10875302066"/>
        <n v="6.6534886834899998E-2"/>
        <n v="8.7506844196300004E-2"/>
        <n v="-6.7074037093500002E-2"/>
        <n v="2.8299193179700002E-2"/>
        <n v="-1.7346932949299999E-2"/>
        <n v="-4.1571668954400003E-2"/>
        <n v="1.35711839707E-2"/>
        <n v="-7.0101803115500003E-2"/>
        <n v="-9.2767648649500004E-2"/>
        <n v="-8.6100160633200001E-2"/>
        <n v="0.127788732332"/>
        <n v="-0.108728887449"/>
        <n v="-9.7376276240900006E-2"/>
        <n v="8.6166370235399997E-3"/>
        <n v="1.21323837445E-2"/>
        <n v="4.6826844016399999E-2"/>
        <n v="1.4763031753799999E-2"/>
        <n v="-2.7338144513599999E-3"/>
        <n v="-4.3594006113600002E-2"/>
        <n v="-4.7257276732000003E-2"/>
        <n v="-6.8050249107299995E-2"/>
        <n v="-6.0432989403900003E-2"/>
        <n v="-0.14330215024000001"/>
        <n v="-7.5935523417700004E-2"/>
        <n v="1.25251224024E-2"/>
        <n v="-0.132442083726"/>
        <n v="-0.118450927525"/>
        <n v="-7.5961230738100002E-2"/>
        <n v="-2.4942025404499999E-2"/>
        <n v="-8.6998164030300008E-3"/>
        <n v="-0.10117784326400001"/>
        <n v="-1.53564272798E-2"/>
        <n v="-0.15977197205099999"/>
        <n v="-0.110284644256"/>
        <n v="-8.8511378245099998E-2"/>
        <n v="-2.6104061350900001E-2"/>
        <n v="-0.13364655005600001"/>
        <n v="-4.9446353536999998E-2"/>
        <n v="-6.7520049355100004E-2"/>
        <n v="-0.107947321225"/>
        <n v="-0.103936816793"/>
        <n v="-0.138152435253"/>
        <n v="-4.2578776313799999E-2"/>
        <n v="-6.0692043695000003E-2"/>
        <n v="-9.2758233152400005E-2"/>
        <n v="-2.0110180842800002E-2"/>
        <n v="-0.15456374771"/>
        <n v="-3.5377498579099997E-2"/>
        <n v="3.06715009204E-3"/>
        <n v="-0.11421541126699999"/>
        <n v="-9.3410707637000004E-2"/>
        <n v="-7.0692136454300003E-2"/>
        <n v="-2.70124417059E-2"/>
        <n v="-4.8007467566200002E-2"/>
        <n v="-8.0443808894499994E-2"/>
        <n v="-7.9538051723399894E-2"/>
        <n v="-0.155545872019"/>
        <n v="-4.2475087106299998E-2"/>
        <n v="-9.68252969745E-2"/>
        <n v="-8.3662753710899998E-2"/>
        <n v="-1.9424671253E-2"/>
        <n v="-0.115368780071"/>
        <n v="-3.2615656200899998E-2"/>
        <n v="-9.0087424296599994E-2"/>
        <n v="3.3298258602400001E-3"/>
        <n v="-5.2714157217599998E-2"/>
        <n v="-1.60922681537999E-2"/>
        <n v="-0.107386192502"/>
        <n v="-7.1226814896499999E-2"/>
        <n v="-5.4613970800099998E-2"/>
        <n v="-0.132768265808"/>
        <n v="-2.6164597815099999E-2"/>
        <n v="-0.109370504289"/>
        <n v="-7.5483806103299994E-2"/>
        <n v="-1.3740168866199999E-2"/>
        <n v="-6.5244687282900005E-2"/>
        <n v="-3.2662742560599999E-2"/>
        <n v="-5.5233993507999998E-2"/>
        <n v="-2.6997048753899999E-3"/>
        <n v="-2.1003326380199999E-2"/>
        <n v="-1.0428949296899999E-2"/>
        <n v="-9.0362563635999996E-2"/>
        <n v="-3.7696315052200002E-2"/>
        <n v="-0.103477352397"/>
        <n v="-9.2517669398400003E-4"/>
        <n v="-3.0570150062899999E-3"/>
        <n v="-6.1817137102999999E-2"/>
        <n v="-7.1620233330999998E-3"/>
        <n v="-2.95578107635E-2"/>
        <n v="-3.9786588547599998E-2"/>
        <n v="-2.2505925822099902E-2"/>
        <n v="-1.19660179605E-2"/>
        <n v="-5.1341126716800004E-3"/>
        <n v="-1.3845701867199999E-2"/>
        <n v="-6.3136252214999994E-2"/>
        <n v="-7.09368968741E-2"/>
        <n v="-2.80269918087E-2"/>
        <n v="-4.0139364068999997E-2"/>
        <n v="-0.11430426359199999"/>
        <n v="-8.4824634116200004E-2"/>
        <n v="-4.1180372538499998E-3"/>
        <n v="-1.6906626259699999E-2"/>
        <n v="-4.9688749410800002E-2"/>
        <n v="-7.5648058168499997E-5"/>
        <n v="-2.1399084619499999E-2"/>
        <n v="-2.7187873155000001E-3"/>
        <n v="-3.06336275507E-2"/>
        <n v="-3.40231130191E-2"/>
        <n v="-6.5939230402899895E-2"/>
        <n v="-2.6811782099600001E-2"/>
        <n v="-2.9256033178099998E-3"/>
        <n v="1.4300699118799999E-2"/>
        <n v="-6.4509588404899995E-2"/>
        <n v="-3.6739438388199999E-2"/>
        <n v="-3.9322265611499999E-2"/>
        <n v="-0.102197957935"/>
        <n v="1.5163029763E-2"/>
        <n v="-2.0795275293400001E-2"/>
        <n v="-5.8470978469199901E-2"/>
        <n v="-5.9462021864300003E-2"/>
        <n v="-4.9078487550200001E-2"/>
        <n v="-1.44004460979E-2"/>
        <n v="-6.2505657092399997E-2"/>
        <n v="-2.9920708961199999E-2"/>
        <n v="3.85751908208E-2"/>
        <n v="1.21181141337E-3"/>
        <n v="-4.2657390488300001E-2"/>
        <n v="-3.0099282008500001E-2"/>
        <n v="-2.5345201288E-2"/>
        <n v="-6.0134361782800003E-2"/>
        <n v="2.3493980664800001E-2"/>
        <n v="-4.8429738532199999E-2"/>
        <n v="-3.5852428488799999E-2"/>
        <n v="-4.5711626210700003E-3"/>
        <n v="-1.09204163368E-2"/>
        <n v="-9.9593398668200005E-3"/>
        <n v="-1.5685861010699999E-2"/>
        <n v="-3.9326600594500001E-2"/>
        <n v="2.4425369406599999E-2"/>
        <n v="-6.2332344586200003E-2"/>
        <n v="-3.07844658374E-2"/>
        <n v="-8.9283856208200001E-3"/>
        <n v="1.4085462730500001E-2"/>
        <n v="-1.1114437076099999E-2"/>
        <n v="4.6499718507900002E-2"/>
        <n v="-3.1012561254800002E-2"/>
        <n v="-6.3263113505499999E-2"/>
        <n v="-1.9634012602000001E-2"/>
        <n v="5.8218611496200001E-2"/>
        <n v="3.8145336855800002E-2"/>
        <n v="-8.1584504110500007E-3"/>
        <n v="4.7136224538200003E-2"/>
        <n v="5.5847309598400001E-2"/>
        <n v="3.78916680876E-2"/>
        <n v="0.11532113825"/>
        <n v="0.14924178268999999"/>
        <n v="4.7576637131000001E-2"/>
        <n v="-7.6608590004100002E-2"/>
        <n v="-2.1568717167200002E-2"/>
        <n v="-9.7791876874499997E-3"/>
        <n v="0.18605337709899999"/>
        <n v="2.8699675456199999E-2"/>
        <n v="4.84638721715E-2"/>
        <n v="8.8903601751699896E-2"/>
        <n v="7.2156380148499996E-3"/>
        <n v="0.215735229271"/>
        <n v="0.102043892318"/>
        <n v="5.3691841596899999E-2"/>
        <n v="5.8198039643999999E-2"/>
        <n v="8.0132608281499994E-3"/>
        <n v="3.4108761223299998E-2"/>
        <n v="6.1187674969299999E-2"/>
        <n v="3.12011634308E-2"/>
        <n v="-4.63474492093E-2"/>
        <n v="2.22709335503E-2"/>
        <n v="5.1541456424299997E-2"/>
        <n v="0.21311712457099999"/>
        <n v="-5.4846473097599997E-2"/>
        <n v="-2.61177119822E-2"/>
        <n v="-3.9841119629100002E-2"/>
        <n v="-9.4851041068300009E-3"/>
        <n v="8.1026744177799995E-2"/>
        <n v="-2.6796022309600001E-2"/>
        <n v="-2.3400494438600001E-2"/>
        <n v="1.8398452624799999E-2"/>
        <n v="-5.6233739376E-2"/>
        <n v="-5.70726138705E-2"/>
        <n v="-0.18124090877900001"/>
        <n v="-1.6938743479599901E-2"/>
        <n v="-7.7412648529899999E-2"/>
        <n v="-6.5755565172699995E-2"/>
        <n v="-2.73843592227E-3"/>
        <n v="3.324151435E-3"/>
        <n v="-1.0310669750300001E-2"/>
        <n v="-3.9477242766000002E-2"/>
        <n v="-1.7212789048299999E-2"/>
        <n v="4.2613130088400002E-2"/>
        <n v="-2.9329591983199999E-2"/>
        <n v="7.4786373409300002E-4"/>
        <n v="3.02697426561E-2"/>
        <n v="-3.2158538952799999E-2"/>
        <n v="2.0683005827399998E-3"/>
        <n v="2.9297950075800001E-2"/>
        <n v="-8.2288697158300003E-4"/>
        <n v="-7.1386198909399998E-2"/>
        <n v="-9.2962215960699993E-3"/>
        <n v="4.6518559180299998E-2"/>
        <n v="0.12960637828900001"/>
        <n v="1.47962077845E-2"/>
        <n v="4.9428130400799998E-2"/>
        <n v="3.3002647832399999E-2"/>
        <n v="8.5040108782600002E-2"/>
        <n v="-8.1169131845800005E-3"/>
        <n v="2.68635605066E-2"/>
        <n v="-3.06139685252E-2"/>
        <n v="-4.9871690772699999E-3"/>
        <n v="6.3486709285500001E-2"/>
        <n v="7.3901577952500005E-2"/>
        <n v="-5.4405233448400002E-2"/>
        <n v="5.8831446676400001E-2"/>
        <n v="5.0775750645999998E-2"/>
        <n v="5.6731471494500002E-2"/>
        <n v="-6.8054447197800003E-3"/>
        <n v="1.53010353095E-2"/>
        <n v="-8.9643559386100007E-3"/>
        <n v="4.7047564861999999E-2"/>
        <n v="1.8259769300700002E-2"/>
        <n v="-1.79456487935E-2"/>
        <n v="3.5829768896099998E-2"/>
        <n v="3.4597218947799997E-2"/>
        <n v="8.9007860214899998E-3"/>
        <n v="3.8996176809700002E-2"/>
        <n v="-4.7019331895800003E-3"/>
        <n v="-4.5231826660200002E-2"/>
        <n v="1.4063397783800001E-2"/>
        <n v="-1.8492885156200001E-2"/>
        <n v="-3.1673851985699997E-2"/>
        <n v="6.5306185505699995E-4"/>
        <n v="-1.0528293727099999E-2"/>
        <n v="-4.5580469935100003E-2"/>
        <n v="1.64397984053E-2"/>
        <n v="-1.2576006559600001E-2"/>
        <n v="5.2390490520399999E-3"/>
        <n v="-5.00327450639E-2"/>
        <n v="-1.2411992748100001E-2"/>
        <n v="5.4701576296998997E-3"/>
        <n v="1.2550962052699999E-2"/>
        <n v="-2.1459549970500001E-2"/>
        <n v="-3.3071675645199999E-3"/>
        <n v="2.2374201699899999E-2"/>
        <n v="-1.3418023288599999E-2"/>
        <n v="0.12859237973599999"/>
        <n v="6.7086399871199895E-2"/>
        <n v="5.8704069645600002E-2"/>
        <n v="-4.57091072418E-4"/>
        <n v="-4.5332168789199998E-3"/>
        <n v="-4.1326642895999997E-3"/>
        <n v="5.4909219522900003E-2"/>
        <n v="7.8496839931100001E-3"/>
        <n v="-3.08180082987E-2"/>
        <n v="2.4072842748799998E-3"/>
        <n v="4.0826218408199999E-2"/>
        <n v="0.20417063097400001"/>
        <n v="5.3442922829399997E-2"/>
        <n v="1.32118552959E-2"/>
        <n v="0.112545102272"/>
        <n v="6.97752064117E-2"/>
        <n v="3.4135135296900002E-2"/>
        <n v="-2.1589349875799999E-3"/>
        <n v="-3.6839959526900001E-2"/>
        <n v="-1.2392697579499999E-2"/>
        <n v="8.0446857924699994E-2"/>
        <n v="4.85983896956E-2"/>
        <n v="0.18852124247099999"/>
        <n v="-7.7261058899098997E-3"/>
        <n v="2.2420434875800001E-2"/>
        <n v="-8.8546706763500006E-3"/>
        <n v="5.7340806961899997E-3"/>
        <n v="-2.74808039741E-2"/>
        <n v="-6.6164549400200001E-2"/>
        <n v="1.0535492664400001E-2"/>
        <n v="-1.7422936044200001E-2"/>
        <n v="3.6709331864400001E-3"/>
        <n v="-2.2675187405500001E-2"/>
        <n v="-7.4131836562799994E-2"/>
        <n v="-4.28350321103E-3"/>
        <n v="1.0085838262500001E-2"/>
        <n v="-3.7429456203300002E-2"/>
        <n v="-2.15063507368E-2"/>
        <n v="1.0660727863199999E-3"/>
        <n v="-7.0931898834100005E-2"/>
        <n v="3.0032269497500002E-4"/>
        <n v="-1.8393733949399999E-2"/>
        <n v="-1.4796893334399999E-2"/>
        <n v="-5.1895750916499998E-2"/>
        <n v="-3.1429552088400002E-2"/>
        <n v="-4.1901165160600001E-3"/>
        <n v="7.3757273700500003E-2"/>
        <n v="-4.84351731185E-2"/>
        <n v="5.2437574042299004E-3"/>
        <n v="-4.4895100945299997E-3"/>
        <n v="4.71023070477E-2"/>
        <n v="1.1241283515799999E-2"/>
        <n v="2.17020842832E-3"/>
        <n v="2.5383209751500001E-2"/>
        <n v="-2.7466991959000001E-2"/>
        <n v="1.00518294106E-2"/>
        <n v="-1.95068625872E-2"/>
        <n v="-3.2512333508000001E-2"/>
        <n v="-2.23767538583E-2"/>
        <n v="2.4733648070599999E-2"/>
        <n v="1.25941591083E-2"/>
        <n v="-1.9636632338000001E-2"/>
        <n v="-2.7914575721399999E-2"/>
        <n v="-3.8732451070900002E-2"/>
        <n v="-5.8919506128800002E-2"/>
        <n v="-2.59042246248E-2"/>
        <n v="-4.3021496865099998E-2"/>
        <n v="4.3152067379599998E-3"/>
        <n v="-4.5956186019900001E-2"/>
        <n v="-2.1160150056600002E-2"/>
        <n v="6.14232810141E-3"/>
        <n v="-5.7705508507799999E-2"/>
        <n v="-4.0937102695999997E-2"/>
        <n v="-1.2163495715E-2"/>
        <n v="4.3837206407099996E-3"/>
        <n v="9.0519855890799999E-2"/>
        <n v="2.1449556770399999E-2"/>
        <n v="-3.2507589022699999E-3"/>
        <n v="1.4358246517299901E-2"/>
        <n v="-3.7438982644699997E-2"/>
        <n v="1.22480941706E-2"/>
        <n v="2.2501330767700001E-2"/>
        <n v="-4.5560288536399998E-2"/>
        <n v="-2.3401578796200001E-2"/>
        <n v="1.5343379465400001E-2"/>
        <n v="-1.53369260139E-3"/>
        <n v="-3.4967425376500002E-3"/>
        <n v="-6.4331639827689996E-4"/>
        <n v="-6.3537439060899994E-2"/>
        <n v="-1.54603315311E-2"/>
        <n v="-2.8992576555599999E-2"/>
        <n v="1.95906789676E-2"/>
        <n v="-5.2212934781600003E-2"/>
        <n v="3.3219554326999898E-2"/>
        <n v="-2.5184002269899999E-2"/>
        <n v="-5.7012352187499997E-3"/>
        <n v="-3.3179533740099998E-3"/>
        <n v="5.0132738157900002E-2"/>
        <n v="-2.2924448743300001E-2"/>
        <n v="-1.98747030483E-2"/>
        <n v="-4.23492412146E-2"/>
        <n v="-0.10822232829099999"/>
        <n v="4.1474959955899997E-2"/>
        <n v="-7.8111717940899994E-2"/>
        <n v="6.5644420198599895E-2"/>
        <n v="2.5388883034100002E-2"/>
        <n v="5.72220144131999E-2"/>
        <n v="1.49150459614E-2"/>
        <n v="5.39885565071999E-2"/>
        <n v="6.2082381352099999E-3"/>
        <n v="1.7308684411099999E-2"/>
        <n v="3.5339957493300003E-2"/>
        <n v="2.3385340025499999E-2"/>
        <n v="2.0649400612300001E-2"/>
        <n v="-9.0965551147599993E-3"/>
        <n v="4.93844589057E-2"/>
        <n v="8.4999618734500001E-2"/>
        <n v="-4.6840744577500003E-2"/>
        <n v="0.181532924007"/>
        <n v="5.2622798354499999E-3"/>
        <n v="6.3798786769799998E-2"/>
        <n v="-2.3481938162300001E-2"/>
        <n v="3.6892431833100002E-2"/>
        <n v="-0.14929926764199999"/>
        <n v="-6.5935072189300004E-2"/>
        <n v="-5.3902534273999998E-2"/>
        <n v="-0.152929131484"/>
        <n v="-2.0043653294899998E-2"/>
        <n v="3.0374543163099999E-2"/>
        <n v="2.54025839431E-2"/>
        <n v="7.1673404014098996E-3"/>
        <n v="2.1762353643300002E-2"/>
        <n v="2.17941110174E-2"/>
        <n v="-1.9831456536800001E-2"/>
        <n v="-2.0814770381099999E-2"/>
        <n v="-3.0534806123900002E-3"/>
        <n v="-1.38694123002E-2"/>
        <n v="-1.7191926650400001E-2"/>
        <n v="1.4509864365600001E-2"/>
        <n v="-4.9004083947000003E-3"/>
        <n v="1.3762123576999999E-2"/>
        <n v="-4.44741031444E-2"/>
        <n v="2.0415337808700001E-2"/>
        <n v="5.8837342272499999E-3"/>
        <n v="-4.4785627350400002E-2"/>
        <n v="-1.4138082875200001E-2"/>
        <n v="1.0319405043400001E-2"/>
        <n v="-4.3873874897500001E-4"/>
        <n v="-1.03752152963E-2"/>
        <n v="-2.5219123314000002E-3"/>
        <n v="-1.72336864926E-3"/>
        <n v="5.7105395789199903E-2"/>
        <n v="1.0163192917800001E-2"/>
        <n v="-4.2898666620399999E-3"/>
        <n v="1.63316275274E-2"/>
        <n v="-3.9686684201899997E-2"/>
        <n v="3.1506509003399998E-2"/>
        <n v="-1.00683021535E-2"/>
        <n v="-4.0862281952799999E-2"/>
        <n v="-1.6807465083799999E-2"/>
        <n v="4.5790837453499999E-3"/>
        <n v="1.04169799858E-2"/>
        <n v="-2.0127482186800001E-2"/>
        <n v="1.8652538309800001E-2"/>
        <n v="-1.72933786357999E-2"/>
        <n v="-1.1434107941100001E-2"/>
        <n v="4.31949665488E-2"/>
        <n v="-4.3577498564799998E-2"/>
        <n v="-5.1040172801100001E-2"/>
        <n v="-1.7097188259200001E-2"/>
        <n v="-1.3380628745099999E-2"/>
        <n v="1.9531637984799999E-2"/>
        <n v="3.7160708432500002E-2"/>
        <n v="-5.2735580722399998E-2"/>
        <n v="-3.9710094182900002E-2"/>
        <n v="1.78053386573E-2"/>
        <n v="-2.63701313418E-2"/>
        <n v="-1.4663525475500001E-2"/>
        <n v="-1.42616476371E-2"/>
        <n v="3.1867005179799998E-2"/>
        <n v="-2.08155049959E-2"/>
        <n v="-3.1246758989199999E-2"/>
        <n v="-3.6362327985599997E-2"/>
        <n v="-5.91917445721E-3"/>
        <n v="-2.64353200358E-2"/>
        <n v="2.79699301572E-2"/>
        <n v="2.58273000272E-2"/>
        <n v="-3.7395453803400001E-2"/>
        <n v="-3.9589391326399999E-2"/>
        <n v="1.7802575185099999E-2"/>
        <n v="-1.04811213701E-2"/>
        <n v="-2.5895657271900002E-2"/>
        <n v="-9.3793630360100005E-3"/>
        <n v="-2.2735163424000001E-2"/>
        <n v="-1.5377691975299999E-2"/>
        <n v="-1.59037536707E-4"/>
        <n v="2.9306763807300001E-2"/>
        <n v="-1.6982237608900001E-2"/>
        <n v="-3.5394790191400002E-2"/>
        <n v="2.0626447783200001E-2"/>
        <n v="1.6004512005900001E-2"/>
        <n v="-2.0759130944699999E-2"/>
        <n v="-4.1899294928100003E-2"/>
        <n v="2.4931103100000001E-2"/>
        <n v="-3.4926938083299999E-4"/>
        <n v="-2.6121668593899999E-2"/>
        <n v="-1.38989175368E-3"/>
        <n v="-2.4801131413900002E-2"/>
        <n v="3.7434527005200002E-2"/>
        <n v="-8.8870112270498999E-3"/>
        <n v="-3.8256760724399999E-2"/>
        <n v="3.5904133750999999E-3"/>
        <n v="-1.38385715149E-2"/>
        <n v="6.4409065029399004E-3"/>
        <n v="7.8846338657400008E-3"/>
        <n v="-1.2294694618599999E-2"/>
        <n v="-4.2253232778599999E-2"/>
        <n v="3.1595400651399999E-2"/>
        <n v="3.23779436699E-3"/>
        <n v="-2.5613787287599998E-2"/>
        <n v="-3.7138094437799999E-3"/>
        <n v="-2.1824245363899999E-2"/>
        <n v="4.13420912135E-2"/>
        <n v="-1.076149627E-2"/>
        <n v="-3.4386455789700003E-2"/>
        <n v="-7.2021608824798999E-3"/>
        <n v="-8.6546472256199998E-3"/>
        <n v="8.4848433591499996E-4"/>
        <n v="4.8159418170100003E-3"/>
        <n v="-4.8376256462599999E-2"/>
        <n v="-2.7032713030399998E-2"/>
        <n v="3.9476259572099999E-2"/>
        <n v="-5.0694975352499998E-2"/>
        <n v="-1.90197680179E-2"/>
        <n v="-3.1080444880299998E-2"/>
        <n v="-9.1116300419999997E-3"/>
        <n v="-2.01091472848E-2"/>
        <n v="2.8160690140799999E-2"/>
        <n v="-2.1587219240699999E-2"/>
        <n v="-1.6970349192600001E-2"/>
        <n v="-2.6404726600000001E-2"/>
        <n v="-1.40842106927E-2"/>
        <n v="-3.0560872725799999E-2"/>
        <n v="-6.5067708844600003E-3"/>
        <n v="-1.0612646217500001E-2"/>
        <n v="-6.3704719393799999E-2"/>
        <n v="3.5839985216500003E-2"/>
        <n v="-4.5459978241200003E-2"/>
        <n v="-3.5779817917000002E-2"/>
        <n v="-0.103784572155"/>
        <n v="3.09226741576E-2"/>
        <n v="-8.1459997922700006E-2"/>
        <n v="-7.0921039911899996E-3"/>
        <n v="-5.27102127415E-2"/>
        <n v="-4.2589368053600002E-2"/>
        <n v="-2.2032900625100001E-2"/>
        <n v="-4.2112387214300002E-2"/>
        <n v="-4.0443315189900002E-3"/>
        <n v="-3.0997334225499999E-2"/>
        <n v="-2.37654002501E-3"/>
        <n v="-1.78295249988E-2"/>
        <n v="-2.5716410197600001E-2"/>
        <n v="-3.6943354135299998E-2"/>
        <n v="-1.79281868977E-2"/>
        <n v="-1.8536397984499998E-2"/>
        <n v="-1.35379597181E-2"/>
        <n v="-4.1411468339299998E-3"/>
        <n v="-4.5938702772600003E-2"/>
        <n v="-2.02657605321E-2"/>
        <n v="-5.1604343514900002E-2"/>
        <n v="-3.9027386376700002E-2"/>
        <n v="-1.90119095318E-2"/>
        <n v="-9.4231337223899994E-2"/>
        <n v="9.1369731164899996E-3"/>
        <n v="-0.14978519266099999"/>
        <n v="-3.9001979212700003E-2"/>
        <n v="-7.3327609463199994E-2"/>
        <n v="-1.1868015143299999E-2"/>
        <n v="-4.2917220338000002E-2"/>
        <n v="-3.44473228553E-2"/>
        <n v="-5.6047260253100001E-2"/>
        <n v="-4.5905959259199901E-2"/>
        <n v="-1.42832458072E-2"/>
        <n v="-6.3754787388500003E-2"/>
        <n v="-4.9764670767699998E-2"/>
        <n v="-6.8971426839600003E-2"/>
        <n v="-9.1749149690199996E-2"/>
        <n v="-2.20622212949E-2"/>
        <n v="-0.17645250840999999"/>
        <n v="-3.2698832431899999E-2"/>
        <n v="-7.5079450520699906E-2"/>
        <n v="-1.7397307980500001E-2"/>
        <n v="-2.6744402820199999E-2"/>
        <n v="-6.7724604377300004E-2"/>
        <n v="-2.95463942763E-2"/>
        <n v="-2.4589306399400001E-2"/>
        <n v="-3.9663695843299998E-2"/>
        <n v="7.76611182029E-3"/>
        <n v="-8.8991179695999997E-2"/>
        <n v="-7.0714049508399907E-2"/>
        <n v="4.2362869768499997E-2"/>
        <n v="1.22552469576E-2"/>
        <n v="-7.1251336892799999E-3"/>
        <n v="-4.0369212203099997E-2"/>
        <n v="-6.3492580597599999E-3"/>
        <n v="3.05283964358E-2"/>
        <n v="-1.50336559644E-3"/>
        <n v="2.0380343808299999E-2"/>
        <n v="-1.4830160752999999E-2"/>
        <n v="-5.1140807625099996E-3"/>
        <n v="-5.2011779193599998E-2"/>
        <n v="-2.3329026041000001E-2"/>
        <n v="-2.4692765015699999E-2"/>
        <n v="2.26803666835E-2"/>
        <n v="-6.9248081046399998E-2"/>
        <n v="-3.2769644362599999E-2"/>
        <n v="7.4604307922499996E-3"/>
        <n v="-6.62865277457E-2"/>
        <n v="-9.3537530182300002E-3"/>
        <n v="-1.8145940303299999E-2"/>
        <n v="-4.13791137607E-3"/>
        <n v="-4.3699594114399998E-2"/>
        <n v="-7.4306930527298998E-3"/>
        <n v="2.02417407157E-2"/>
        <n v="-2.4075714438700001E-2"/>
        <n v="-9.3882724079199995E-3"/>
        <n v="-4.4499695279299999E-3"/>
        <n v="5.9510357334099998E-2"/>
        <n v="4.3997427415299996E-3"/>
        <n v="-1.6983906673999901E-2"/>
        <n v="2.66682447552E-2"/>
        <n v="-5.3825194023399997E-2"/>
        <n v="-5.6756631189500001E-2"/>
        <n v="-3.9116488496499999E-2"/>
        <n v="-5.4623998170100002E-4"/>
        <n v="7.80174578614E-3"/>
        <n v="5.3418856404399999E-3"/>
        <n v="-3.96855716001E-2"/>
        <n v="-2.25271650437E-2"/>
        <n v="-7.1713801683100003E-3"/>
        <n v="2.5692650575599999E-2"/>
        <n v="0.11851503795"/>
        <n v="1.9946493697700001E-2"/>
        <n v="9.9147919200599996E-3"/>
        <n v="3.7749951916600001E-2"/>
        <n v="4.7858788842199997E-2"/>
        <n v="4.3959925906400001E-3"/>
        <n v="-7.5071279196E-3"/>
        <n v="-5.6768090243400002E-2"/>
        <n v="-1.9876666191700001E-2"/>
        <n v="2.7964419796900002E-2"/>
        <n v="-1.24962347482E-2"/>
        <n v="-4.3013682712399998E-2"/>
        <n v="9.2107667874900007E-3"/>
        <n v="2.1205214717200001E-3"/>
        <n v="1.8849762983799999E-2"/>
        <n v="2.4528362129799999E-3"/>
        <n v="-9.0484902829900005E-3"/>
        <n v="-2.7065890167099999E-2"/>
        <n v="2.42960024654E-2"/>
        <n v="-1.034610232E-2"/>
        <n v="-5.8813681659999999E-2"/>
        <n v="2.0073957107900001E-2"/>
        <n v="8.4192567381499994E-3"/>
        <n v="-1.7513090760299999E-2"/>
        <n v="1.9027522028199999E-2"/>
        <n v="-4.2295381926500002E-2"/>
        <n v="-1.4399555075999999E-2"/>
        <n v="-8.6785674423599996E-2"/>
        <n v="-4.4925329705800002E-2"/>
        <n v="1.04634607701E-2"/>
        <n v="-3.1947671693900001E-3"/>
        <n v="1.00270560903E-2"/>
        <n v="5.5851620762999996E-3"/>
        <n v="-6.4226067084399999E-2"/>
        <n v="-2.5539184123700001E-2"/>
        <n v="-6.6592866457300004E-2"/>
        <n v="-9.3256784603899995E-2"/>
        <n v="-3.7706668274100001E-3"/>
        <n v="-9.79839589249E-2"/>
        <n v="1.09838741313E-2"/>
        <n v="-8.2954840814799993E-2"/>
        <n v="-7.6560735962599999E-3"/>
        <n v="-3.6139696051499998E-2"/>
        <n v="-3.9302713894400002E-2"/>
        <n v="-3.1332023346100002E-3"/>
        <n v="-5.7353647347299997E-3"/>
        <n v="1.4398518726E-2"/>
        <n v="-7.0898082576899904E-2"/>
        <n v="-2.8837065255700001E-2"/>
        <n v="-0.13659174175399999"/>
        <n v="-7.7533447476899997E-2"/>
        <n v="-3.7688644057000002E-2"/>
        <n v="-0.14604799449299999"/>
        <n v="-7.09909206509E-2"/>
        <n v="8.8439810480299991E-3"/>
        <n v="3.6425919010999999E-3"/>
        <n v="-3.7652260428800002E-2"/>
        <n v="-4.7083648611700002E-2"/>
        <n v="-1.49847251958999E-2"/>
        <n v="-2.1514218925100002E-2"/>
        <n v="-4.7639050575099998E-2"/>
        <n v="4.7918334885400003E-2"/>
        <n v="2.8378655018399999E-2"/>
        <n v="-2.1728985185100001E-2"/>
        <n v="-2.06860781516E-2"/>
        <n v="-3.0341903851799999E-3"/>
        <n v="5.5766216769800002E-2"/>
        <n v="5.7111811819600001E-3"/>
        <n v="2.4291516774900001E-2"/>
        <n v="-1.40053394853E-2"/>
        <n v="-7.8363220279500004E-2"/>
        <n v="-1.6124104235700001E-2"/>
        <n v="-1.51405187963E-2"/>
        <n v="-5.2504539283400001E-2"/>
        <n v="-8.7286320142899998E-3"/>
        <n v="7.2777902114699996E-3"/>
        <n v="1.5765089874E-2"/>
        <n v="-6.3960667095099996E-2"/>
        <n v="-2.8291747644300001E-2"/>
        <n v="-0.160820708077"/>
        <n v="-3.3848206983599999E-2"/>
        <n v="-6.9665806879200001E-2"/>
        <n v="-0.136059024168"/>
        <n v="1.8165420851400001E-2"/>
        <n v="-2.9130299781099999E-2"/>
        <n v="-4.9391061362100003E-3"/>
        <n v="-2.5366709818199999E-2"/>
        <n v="-6.8992347809200003E-3"/>
      </sharedItems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2.97509639982563E+16" maxValue="1.84360203383023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64">
  <r>
    <b v="0"/>
    <x v="0"/>
    <x v="0"/>
    <x v="0"/>
    <x v="0"/>
    <x v="0"/>
    <n v="0"/>
    <n v="4.50005763951744E+17"/>
  </r>
  <r>
    <b v="0"/>
    <x v="1"/>
    <x v="1"/>
    <x v="0"/>
    <x v="0"/>
    <x v="1"/>
    <n v="0"/>
    <n v="1.3486396285696999E+19"/>
  </r>
  <r>
    <b v="0"/>
    <x v="2"/>
    <x v="0"/>
    <x v="0"/>
    <x v="0"/>
    <x v="2"/>
    <n v="0"/>
    <n v="1.5305703994048999E+19"/>
  </r>
  <r>
    <b v="0"/>
    <x v="3"/>
    <x v="0"/>
    <x v="0"/>
    <x v="0"/>
    <x v="3"/>
    <n v="0"/>
    <n v="1.30398696623045E+19"/>
  </r>
  <r>
    <b v="0"/>
    <x v="4"/>
    <x v="0"/>
    <x v="0"/>
    <x v="0"/>
    <x v="4"/>
    <n v="0"/>
    <n v="1.3197513885873101E+19"/>
  </r>
  <r>
    <b v="0"/>
    <x v="5"/>
    <x v="0"/>
    <x v="0"/>
    <x v="0"/>
    <x v="5"/>
    <n v="0"/>
    <n v="1.3018934968633201E+19"/>
  </r>
  <r>
    <b v="0"/>
    <x v="6"/>
    <x v="0"/>
    <x v="0"/>
    <x v="0"/>
    <x v="6"/>
    <n v="0"/>
    <n v="4.4704536397051802E+18"/>
  </r>
  <r>
    <b v="0"/>
    <x v="7"/>
    <x v="0"/>
    <x v="0"/>
    <x v="0"/>
    <x v="7"/>
    <n v="0"/>
    <n v="9.9983412509186806E+18"/>
  </r>
  <r>
    <b v="0"/>
    <x v="8"/>
    <x v="0"/>
    <x v="0"/>
    <x v="0"/>
    <x v="8"/>
    <n v="0"/>
    <n v="4.37687163885856E+18"/>
  </r>
  <r>
    <b v="0"/>
    <x v="1"/>
    <x v="0"/>
    <x v="0"/>
    <x v="0"/>
    <x v="9"/>
    <n v="0"/>
    <n v="3.7096079026357202E+18"/>
  </r>
  <r>
    <b v="0"/>
    <x v="9"/>
    <x v="0"/>
    <x v="0"/>
    <x v="0"/>
    <x v="10"/>
    <n v="0"/>
    <n v="1.1547244502715199E+19"/>
  </r>
  <r>
    <b v="0"/>
    <x v="10"/>
    <x v="0"/>
    <x v="0"/>
    <x v="0"/>
    <x v="11"/>
    <n v="0"/>
    <n v="9.7284039666747494E+18"/>
  </r>
  <r>
    <b v="0"/>
    <x v="11"/>
    <x v="0"/>
    <x v="0"/>
    <x v="0"/>
    <x v="12"/>
    <n v="0"/>
    <n v="8.0789477282576804E+18"/>
  </r>
  <r>
    <b v="0"/>
    <x v="12"/>
    <x v="0"/>
    <x v="0"/>
    <x v="0"/>
    <x v="13"/>
    <n v="0"/>
    <n v="1.2802882192333099E+19"/>
  </r>
  <r>
    <b v="0"/>
    <x v="13"/>
    <x v="0"/>
    <x v="0"/>
    <x v="0"/>
    <x v="14"/>
    <n v="0"/>
    <n v="1.32669653481956E+19"/>
  </r>
  <r>
    <b v="0"/>
    <x v="0"/>
    <x v="2"/>
    <x v="0"/>
    <x v="0"/>
    <x v="15"/>
    <n v="0"/>
    <n v="4.48053413532736E+18"/>
  </r>
  <r>
    <b v="0"/>
    <x v="2"/>
    <x v="2"/>
    <x v="0"/>
    <x v="0"/>
    <x v="16"/>
    <n v="0"/>
    <n v="1.65524129636683E+19"/>
  </r>
  <r>
    <b v="0"/>
    <x v="7"/>
    <x v="3"/>
    <x v="0"/>
    <x v="0"/>
    <x v="17"/>
    <n v="0"/>
    <n v="1.4572475670850501E+19"/>
  </r>
  <r>
    <b v="0"/>
    <x v="4"/>
    <x v="2"/>
    <x v="0"/>
    <x v="0"/>
    <x v="18"/>
    <n v="0"/>
    <n v="3.7886642561408502E+18"/>
  </r>
  <r>
    <b v="0"/>
    <x v="5"/>
    <x v="2"/>
    <x v="0"/>
    <x v="0"/>
    <x v="19"/>
    <n v="0"/>
    <n v="1.75972565868091E+19"/>
  </r>
  <r>
    <b v="0"/>
    <x v="6"/>
    <x v="2"/>
    <x v="0"/>
    <x v="0"/>
    <x v="20"/>
    <n v="0"/>
    <n v="1.28853945392808E+19"/>
  </r>
  <r>
    <b v="0"/>
    <x v="7"/>
    <x v="2"/>
    <x v="0"/>
    <x v="0"/>
    <x v="21"/>
    <n v="0"/>
    <n v="1.4098075022002201E+19"/>
  </r>
  <r>
    <b v="0"/>
    <x v="8"/>
    <x v="2"/>
    <x v="0"/>
    <x v="0"/>
    <x v="22"/>
    <n v="0"/>
    <n v="1.30724993557295E+19"/>
  </r>
  <r>
    <b v="0"/>
    <x v="1"/>
    <x v="2"/>
    <x v="0"/>
    <x v="0"/>
    <x v="23"/>
    <n v="0"/>
    <n v="1.4118234964062599E+19"/>
  </r>
  <r>
    <b v="0"/>
    <x v="9"/>
    <x v="2"/>
    <x v="0"/>
    <x v="0"/>
    <x v="24"/>
    <n v="0"/>
    <n v="9.0961558517246198E+18"/>
  </r>
  <r>
    <b v="0"/>
    <x v="10"/>
    <x v="2"/>
    <x v="0"/>
    <x v="0"/>
    <x v="25"/>
    <n v="0"/>
    <n v="1.0932952021836401E+18"/>
  </r>
  <r>
    <b v="0"/>
    <x v="11"/>
    <x v="2"/>
    <x v="0"/>
    <x v="0"/>
    <x v="26"/>
    <n v="0"/>
    <n v="1.56146783157854E+18"/>
  </r>
  <r>
    <b v="0"/>
    <x v="12"/>
    <x v="2"/>
    <x v="0"/>
    <x v="0"/>
    <x v="27"/>
    <n v="0"/>
    <n v="1.6681558454067E+18"/>
  </r>
  <r>
    <b v="0"/>
    <x v="13"/>
    <x v="2"/>
    <x v="0"/>
    <x v="0"/>
    <x v="28"/>
    <n v="0"/>
    <n v="1.3148949899606901E+19"/>
  </r>
  <r>
    <b v="0"/>
    <x v="0"/>
    <x v="4"/>
    <x v="0"/>
    <x v="0"/>
    <x v="29"/>
    <n v="0"/>
    <n v="1.28144073499007E+18"/>
  </r>
  <r>
    <b v="0"/>
    <x v="2"/>
    <x v="4"/>
    <x v="0"/>
    <x v="0"/>
    <x v="30"/>
    <n v="0"/>
    <n v="2.30712277572879E+18"/>
  </r>
  <r>
    <b v="0"/>
    <x v="3"/>
    <x v="4"/>
    <x v="0"/>
    <x v="0"/>
    <x v="31"/>
    <n v="0"/>
    <n v="1.1694673021551401E+19"/>
  </r>
  <r>
    <b v="0"/>
    <x v="4"/>
    <x v="4"/>
    <x v="0"/>
    <x v="0"/>
    <x v="32"/>
    <n v="0"/>
    <n v="3.04280916228364E+16"/>
  </r>
  <r>
    <b v="0"/>
    <x v="5"/>
    <x v="4"/>
    <x v="0"/>
    <x v="0"/>
    <x v="33"/>
    <n v="0"/>
    <n v="7.2645007231203502E+18"/>
  </r>
  <r>
    <b v="0"/>
    <x v="6"/>
    <x v="4"/>
    <x v="0"/>
    <x v="0"/>
    <x v="34"/>
    <n v="0"/>
    <n v="1.51693393804178E+19"/>
  </r>
  <r>
    <b v="0"/>
    <x v="7"/>
    <x v="4"/>
    <x v="0"/>
    <x v="0"/>
    <x v="35"/>
    <n v="0"/>
    <n v="7.6823843867059497E+18"/>
  </r>
  <r>
    <b v="0"/>
    <x v="6"/>
    <x v="3"/>
    <x v="0"/>
    <x v="0"/>
    <x v="36"/>
    <n v="0"/>
    <n v="4.6790689820117105E+18"/>
  </r>
  <r>
    <b v="0"/>
    <x v="1"/>
    <x v="4"/>
    <x v="0"/>
    <x v="0"/>
    <x v="37"/>
    <n v="0"/>
    <n v="3.6096036932839598E+18"/>
  </r>
  <r>
    <b v="0"/>
    <x v="9"/>
    <x v="4"/>
    <x v="0"/>
    <x v="0"/>
    <x v="38"/>
    <n v="0"/>
    <n v="1.6389954274541499E+18"/>
  </r>
  <r>
    <b v="0"/>
    <x v="10"/>
    <x v="4"/>
    <x v="0"/>
    <x v="0"/>
    <x v="39"/>
    <n v="0"/>
    <n v="1.0375800408711299E+19"/>
  </r>
  <r>
    <b v="0"/>
    <x v="11"/>
    <x v="4"/>
    <x v="0"/>
    <x v="0"/>
    <x v="40"/>
    <n v="0"/>
    <n v="1.2892507369202901E+19"/>
  </r>
  <r>
    <b v="0"/>
    <x v="12"/>
    <x v="4"/>
    <x v="0"/>
    <x v="0"/>
    <x v="41"/>
    <n v="0"/>
    <n v="7.74541391539678E+18"/>
  </r>
  <r>
    <b v="0"/>
    <x v="13"/>
    <x v="4"/>
    <x v="0"/>
    <x v="0"/>
    <x v="42"/>
    <n v="0"/>
    <n v="1.3490798850265899E+19"/>
  </r>
  <r>
    <b v="0"/>
    <x v="0"/>
    <x v="5"/>
    <x v="0"/>
    <x v="0"/>
    <x v="43"/>
    <n v="0"/>
    <n v="2.14938410472607E+18"/>
  </r>
  <r>
    <b v="0"/>
    <x v="2"/>
    <x v="5"/>
    <x v="0"/>
    <x v="0"/>
    <x v="44"/>
    <n v="0"/>
    <n v="1.6404911510884901E+19"/>
  </r>
  <r>
    <b v="0"/>
    <x v="3"/>
    <x v="5"/>
    <x v="0"/>
    <x v="0"/>
    <x v="45"/>
    <n v="0"/>
    <n v="5.58632687581743E+18"/>
  </r>
  <r>
    <b v="0"/>
    <x v="4"/>
    <x v="5"/>
    <x v="0"/>
    <x v="0"/>
    <x v="46"/>
    <n v="0"/>
    <n v="9.7135965570618304E+17"/>
  </r>
  <r>
    <b v="0"/>
    <x v="5"/>
    <x v="5"/>
    <x v="0"/>
    <x v="0"/>
    <x v="47"/>
    <n v="0"/>
    <n v="1.73040975379828E+19"/>
  </r>
  <r>
    <b v="0"/>
    <x v="6"/>
    <x v="5"/>
    <x v="0"/>
    <x v="0"/>
    <x v="48"/>
    <n v="0"/>
    <n v="3.3631658229762202E+18"/>
  </r>
  <r>
    <b v="0"/>
    <x v="7"/>
    <x v="5"/>
    <x v="0"/>
    <x v="0"/>
    <x v="49"/>
    <n v="0"/>
    <n v="5.2025488760717097E+18"/>
  </r>
  <r>
    <b v="0"/>
    <x v="8"/>
    <x v="5"/>
    <x v="0"/>
    <x v="0"/>
    <x v="50"/>
    <n v="0"/>
    <n v="5.8107356164530698E+18"/>
  </r>
  <r>
    <b v="0"/>
    <x v="1"/>
    <x v="5"/>
    <x v="0"/>
    <x v="0"/>
    <x v="51"/>
    <n v="0"/>
    <n v="1.64475582302878E+19"/>
  </r>
  <r>
    <b v="0"/>
    <x v="9"/>
    <x v="5"/>
    <x v="0"/>
    <x v="0"/>
    <x v="52"/>
    <n v="0"/>
    <n v="1.34260418175245E+19"/>
  </r>
  <r>
    <b v="0"/>
    <x v="10"/>
    <x v="5"/>
    <x v="0"/>
    <x v="0"/>
    <x v="53"/>
    <n v="0"/>
    <n v="1.47953812859939E+19"/>
  </r>
  <r>
    <b v="0"/>
    <x v="11"/>
    <x v="5"/>
    <x v="0"/>
    <x v="0"/>
    <x v="54"/>
    <n v="0"/>
    <n v="1.1333762056342E+19"/>
  </r>
  <r>
    <b v="0"/>
    <x v="12"/>
    <x v="5"/>
    <x v="0"/>
    <x v="0"/>
    <x v="55"/>
    <n v="0"/>
    <n v="1.70169658552849E+19"/>
  </r>
  <r>
    <b v="0"/>
    <x v="13"/>
    <x v="5"/>
    <x v="0"/>
    <x v="0"/>
    <x v="56"/>
    <n v="0"/>
    <n v="1.3607837146599E+19"/>
  </r>
  <r>
    <b v="0"/>
    <x v="0"/>
    <x v="1"/>
    <x v="0"/>
    <x v="0"/>
    <x v="57"/>
    <n v="0"/>
    <n v="1.3900143283435201E+19"/>
  </r>
  <r>
    <b v="0"/>
    <x v="2"/>
    <x v="1"/>
    <x v="0"/>
    <x v="0"/>
    <x v="58"/>
    <n v="0"/>
    <n v="1.8280628786708699E+19"/>
  </r>
  <r>
    <b v="0"/>
    <x v="3"/>
    <x v="1"/>
    <x v="0"/>
    <x v="0"/>
    <x v="59"/>
    <n v="0"/>
    <n v="1.31924845950818E+19"/>
  </r>
  <r>
    <b v="0"/>
    <x v="4"/>
    <x v="1"/>
    <x v="0"/>
    <x v="0"/>
    <x v="60"/>
    <n v="0"/>
    <n v="9.7088565231803208E+18"/>
  </r>
  <r>
    <b v="0"/>
    <x v="5"/>
    <x v="1"/>
    <x v="0"/>
    <x v="0"/>
    <x v="61"/>
    <n v="0"/>
    <n v="7.9766291975304305E+18"/>
  </r>
  <r>
    <b v="0"/>
    <x v="6"/>
    <x v="1"/>
    <x v="0"/>
    <x v="0"/>
    <x v="62"/>
    <n v="0"/>
    <n v="1.0856014600855599E+19"/>
  </r>
  <r>
    <b v="0"/>
    <x v="7"/>
    <x v="1"/>
    <x v="0"/>
    <x v="0"/>
    <x v="63"/>
    <n v="0"/>
    <n v="5.0239413896404204E+18"/>
  </r>
  <r>
    <b v="0"/>
    <x v="8"/>
    <x v="1"/>
    <x v="0"/>
    <x v="0"/>
    <x v="64"/>
    <n v="0"/>
    <n v="4.32087406965905E+18"/>
  </r>
  <r>
    <b v="0"/>
    <x v="3"/>
    <x v="2"/>
    <x v="0"/>
    <x v="0"/>
    <x v="65"/>
    <n v="0"/>
    <n v="9.5669421195854397E+18"/>
  </r>
  <r>
    <b v="0"/>
    <x v="9"/>
    <x v="1"/>
    <x v="0"/>
    <x v="0"/>
    <x v="66"/>
    <n v="0"/>
    <n v="1.4409838774486499E+19"/>
  </r>
  <r>
    <b v="0"/>
    <x v="13"/>
    <x v="6"/>
    <x v="0"/>
    <x v="1"/>
    <x v="67"/>
    <n v="0"/>
    <n v="6.9961916573983601E+18"/>
  </r>
  <r>
    <b v="0"/>
    <x v="10"/>
    <x v="1"/>
    <x v="0"/>
    <x v="0"/>
    <x v="68"/>
    <n v="0"/>
    <n v="2.2010961362264399E+18"/>
  </r>
  <r>
    <b v="0"/>
    <x v="12"/>
    <x v="1"/>
    <x v="0"/>
    <x v="0"/>
    <x v="69"/>
    <n v="0"/>
    <n v="1.2769202637032499E+19"/>
  </r>
  <r>
    <b v="0"/>
    <x v="13"/>
    <x v="1"/>
    <x v="0"/>
    <x v="0"/>
    <x v="70"/>
    <n v="0"/>
    <n v="2.92613433224077E+18"/>
  </r>
  <r>
    <b v="0"/>
    <x v="0"/>
    <x v="7"/>
    <x v="0"/>
    <x v="0"/>
    <x v="71"/>
    <n v="0"/>
    <n v="2.62676011321216E+17"/>
  </r>
  <r>
    <b v="0"/>
    <x v="2"/>
    <x v="7"/>
    <x v="0"/>
    <x v="0"/>
    <x v="72"/>
    <n v="0"/>
    <n v="4.3670853965703101E+18"/>
  </r>
  <r>
    <b v="0"/>
    <x v="3"/>
    <x v="7"/>
    <x v="0"/>
    <x v="0"/>
    <x v="73"/>
    <n v="0"/>
    <n v="1.8357139025870799E+18"/>
  </r>
  <r>
    <b v="0"/>
    <x v="4"/>
    <x v="7"/>
    <x v="0"/>
    <x v="0"/>
    <x v="74"/>
    <n v="0"/>
    <n v="1.6557318754193199E+19"/>
  </r>
  <r>
    <b v="0"/>
    <x v="5"/>
    <x v="7"/>
    <x v="0"/>
    <x v="0"/>
    <x v="75"/>
    <n v="0"/>
    <n v="1.23338443720244E+19"/>
  </r>
  <r>
    <b v="0"/>
    <x v="6"/>
    <x v="7"/>
    <x v="0"/>
    <x v="0"/>
    <x v="76"/>
    <n v="0"/>
    <n v="6.0102443928284703E+18"/>
  </r>
  <r>
    <b v="0"/>
    <x v="7"/>
    <x v="7"/>
    <x v="0"/>
    <x v="0"/>
    <x v="77"/>
    <n v="0"/>
    <n v="1.3835813959929999E+19"/>
  </r>
  <r>
    <b v="0"/>
    <x v="8"/>
    <x v="7"/>
    <x v="0"/>
    <x v="0"/>
    <x v="78"/>
    <n v="0"/>
    <n v="2.3138584174320302E+18"/>
  </r>
  <r>
    <b v="0"/>
    <x v="1"/>
    <x v="7"/>
    <x v="0"/>
    <x v="0"/>
    <x v="79"/>
    <n v="0"/>
    <n v="4.7126554430937395E+18"/>
  </r>
  <r>
    <b v="0"/>
    <x v="9"/>
    <x v="7"/>
    <x v="0"/>
    <x v="0"/>
    <x v="80"/>
    <n v="0"/>
    <n v="9.7786607480220201E+18"/>
  </r>
  <r>
    <b v="0"/>
    <x v="10"/>
    <x v="7"/>
    <x v="0"/>
    <x v="0"/>
    <x v="81"/>
    <n v="0"/>
    <n v="1.7411176556924201E+19"/>
  </r>
  <r>
    <b v="0"/>
    <x v="11"/>
    <x v="7"/>
    <x v="0"/>
    <x v="0"/>
    <x v="82"/>
    <n v="0"/>
    <n v="1.57228809163426E+19"/>
  </r>
  <r>
    <b v="0"/>
    <x v="12"/>
    <x v="7"/>
    <x v="0"/>
    <x v="0"/>
    <x v="83"/>
    <n v="0"/>
    <n v="1.22205186592569E+19"/>
  </r>
  <r>
    <b v="0"/>
    <x v="12"/>
    <x v="6"/>
    <x v="0"/>
    <x v="0"/>
    <x v="84"/>
    <n v="0"/>
    <n v="6.2342355860017101E+18"/>
  </r>
  <r>
    <b v="0"/>
    <x v="0"/>
    <x v="8"/>
    <x v="0"/>
    <x v="0"/>
    <x v="85"/>
    <n v="0"/>
    <n v="1.43409100927576E+19"/>
  </r>
  <r>
    <b v="0"/>
    <x v="2"/>
    <x v="8"/>
    <x v="0"/>
    <x v="0"/>
    <x v="86"/>
    <n v="0"/>
    <n v="1.5790367017413599E+19"/>
  </r>
  <r>
    <b v="0"/>
    <x v="3"/>
    <x v="8"/>
    <x v="0"/>
    <x v="0"/>
    <x v="87"/>
    <n v="0"/>
    <n v="4.4275020740032399E+18"/>
  </r>
  <r>
    <b v="0"/>
    <x v="4"/>
    <x v="8"/>
    <x v="0"/>
    <x v="0"/>
    <x v="88"/>
    <n v="0"/>
    <n v="3.3284957093030702E+18"/>
  </r>
  <r>
    <b v="0"/>
    <x v="5"/>
    <x v="8"/>
    <x v="0"/>
    <x v="0"/>
    <x v="89"/>
    <n v="0"/>
    <n v="6.4720163572053903E+18"/>
  </r>
  <r>
    <b v="0"/>
    <x v="6"/>
    <x v="8"/>
    <x v="0"/>
    <x v="0"/>
    <x v="90"/>
    <n v="0"/>
    <n v="1.7103463113482899E+19"/>
  </r>
  <r>
    <b v="0"/>
    <x v="7"/>
    <x v="8"/>
    <x v="0"/>
    <x v="0"/>
    <x v="91"/>
    <n v="0"/>
    <n v="1.1712625424217101E+18"/>
  </r>
  <r>
    <b v="0"/>
    <x v="8"/>
    <x v="8"/>
    <x v="0"/>
    <x v="0"/>
    <x v="92"/>
    <n v="0"/>
    <n v="2.5777654750797199E+18"/>
  </r>
  <r>
    <b v="0"/>
    <x v="1"/>
    <x v="8"/>
    <x v="0"/>
    <x v="0"/>
    <x v="93"/>
    <n v="0"/>
    <n v="1.5605114458945401E+19"/>
  </r>
  <r>
    <b v="0"/>
    <x v="9"/>
    <x v="8"/>
    <x v="0"/>
    <x v="0"/>
    <x v="94"/>
    <n v="0"/>
    <n v="5.5927103526341704E+18"/>
  </r>
  <r>
    <b v="0"/>
    <x v="10"/>
    <x v="8"/>
    <x v="0"/>
    <x v="0"/>
    <x v="95"/>
    <n v="0"/>
    <n v="1.6383418156614799E+19"/>
  </r>
  <r>
    <b v="0"/>
    <x v="11"/>
    <x v="8"/>
    <x v="0"/>
    <x v="0"/>
    <x v="96"/>
    <n v="0"/>
    <n v="1.11586681258403E+19"/>
  </r>
  <r>
    <b v="0"/>
    <x v="12"/>
    <x v="8"/>
    <x v="0"/>
    <x v="0"/>
    <x v="97"/>
    <n v="0"/>
    <n v="1.01928860789271E+19"/>
  </r>
  <r>
    <b v="0"/>
    <x v="13"/>
    <x v="8"/>
    <x v="0"/>
    <x v="0"/>
    <x v="98"/>
    <n v="0"/>
    <n v="1.7003581728164101E+18"/>
  </r>
  <r>
    <b v="0"/>
    <x v="0"/>
    <x v="9"/>
    <x v="0"/>
    <x v="0"/>
    <x v="99"/>
    <n v="0"/>
    <n v="5.32132436750707E+18"/>
  </r>
  <r>
    <b v="0"/>
    <x v="2"/>
    <x v="9"/>
    <x v="0"/>
    <x v="0"/>
    <x v="100"/>
    <n v="0"/>
    <n v="4.6622396289016801E+18"/>
  </r>
  <r>
    <b v="0"/>
    <x v="3"/>
    <x v="9"/>
    <x v="0"/>
    <x v="0"/>
    <x v="101"/>
    <n v="0"/>
    <n v="9.2824325084895805E+18"/>
  </r>
  <r>
    <b v="0"/>
    <x v="4"/>
    <x v="9"/>
    <x v="0"/>
    <x v="0"/>
    <x v="102"/>
    <n v="0"/>
    <n v="1.1411789364028299E+19"/>
  </r>
  <r>
    <b v="0"/>
    <x v="5"/>
    <x v="9"/>
    <x v="0"/>
    <x v="0"/>
    <x v="103"/>
    <n v="0"/>
    <n v="1.5864919534445001E+19"/>
  </r>
  <r>
    <b v="0"/>
    <x v="6"/>
    <x v="9"/>
    <x v="0"/>
    <x v="0"/>
    <x v="104"/>
    <n v="0"/>
    <n v="1.13010864571901E+18"/>
  </r>
  <r>
    <b v="0"/>
    <x v="7"/>
    <x v="9"/>
    <x v="0"/>
    <x v="0"/>
    <x v="105"/>
    <n v="0"/>
    <n v="1.6201574827666999E+19"/>
  </r>
  <r>
    <b v="0"/>
    <x v="8"/>
    <x v="9"/>
    <x v="0"/>
    <x v="0"/>
    <x v="106"/>
    <n v="0"/>
    <n v="1.2428703243136899E+19"/>
  </r>
  <r>
    <b v="0"/>
    <x v="1"/>
    <x v="9"/>
    <x v="0"/>
    <x v="0"/>
    <x v="107"/>
    <n v="0"/>
    <n v="1.11222256162538E+19"/>
  </r>
  <r>
    <b v="0"/>
    <x v="9"/>
    <x v="9"/>
    <x v="0"/>
    <x v="0"/>
    <x v="108"/>
    <n v="0"/>
    <n v="3.6528674965934099E+17"/>
  </r>
  <r>
    <b v="0"/>
    <x v="10"/>
    <x v="9"/>
    <x v="0"/>
    <x v="0"/>
    <x v="109"/>
    <n v="0"/>
    <n v="1.9250358175901901E+18"/>
  </r>
  <r>
    <b v="0"/>
    <x v="11"/>
    <x v="9"/>
    <x v="0"/>
    <x v="0"/>
    <x v="110"/>
    <n v="0"/>
    <n v="4.5538212325839099E+18"/>
  </r>
  <r>
    <b v="0"/>
    <x v="12"/>
    <x v="9"/>
    <x v="0"/>
    <x v="0"/>
    <x v="111"/>
    <n v="0"/>
    <n v="5.8295888436416901E+18"/>
  </r>
  <r>
    <b v="0"/>
    <x v="13"/>
    <x v="9"/>
    <x v="0"/>
    <x v="0"/>
    <x v="112"/>
    <n v="0"/>
    <n v="3.0293730109001498E+18"/>
  </r>
  <r>
    <b v="0"/>
    <x v="0"/>
    <x v="10"/>
    <x v="0"/>
    <x v="0"/>
    <x v="113"/>
    <n v="0"/>
    <n v="1.6309171728013799E+19"/>
  </r>
  <r>
    <b v="0"/>
    <x v="2"/>
    <x v="10"/>
    <x v="0"/>
    <x v="0"/>
    <x v="114"/>
    <n v="0"/>
    <n v="1.07195113781614E+19"/>
  </r>
  <r>
    <b v="0"/>
    <x v="3"/>
    <x v="10"/>
    <x v="0"/>
    <x v="0"/>
    <x v="115"/>
    <n v="0"/>
    <n v="5.8220120648390298E+18"/>
  </r>
  <r>
    <b v="0"/>
    <x v="4"/>
    <x v="10"/>
    <x v="0"/>
    <x v="0"/>
    <x v="116"/>
    <n v="0"/>
    <n v="7.6350203387926497E+18"/>
  </r>
  <r>
    <b v="0"/>
    <x v="5"/>
    <x v="10"/>
    <x v="0"/>
    <x v="0"/>
    <x v="117"/>
    <n v="0"/>
    <n v="5.8117380687833098E+18"/>
  </r>
  <r>
    <b v="0"/>
    <x v="6"/>
    <x v="10"/>
    <x v="0"/>
    <x v="0"/>
    <x v="118"/>
    <n v="0"/>
    <n v="1.13849803262877E+18"/>
  </r>
  <r>
    <b v="0"/>
    <x v="7"/>
    <x v="10"/>
    <x v="0"/>
    <x v="0"/>
    <x v="119"/>
    <n v="0"/>
    <n v="6.5635002907347405E+18"/>
  </r>
  <r>
    <b v="0"/>
    <x v="8"/>
    <x v="10"/>
    <x v="0"/>
    <x v="0"/>
    <x v="120"/>
    <n v="0"/>
    <n v="6.30089703684365E+18"/>
  </r>
  <r>
    <b v="0"/>
    <x v="1"/>
    <x v="10"/>
    <x v="0"/>
    <x v="0"/>
    <x v="121"/>
    <n v="0"/>
    <n v="4.0445134717869701E+18"/>
  </r>
  <r>
    <b v="0"/>
    <x v="9"/>
    <x v="10"/>
    <x v="0"/>
    <x v="0"/>
    <x v="122"/>
    <n v="0"/>
    <n v="1.8148051680428501E+19"/>
  </r>
  <r>
    <b v="0"/>
    <x v="10"/>
    <x v="10"/>
    <x v="0"/>
    <x v="0"/>
    <x v="123"/>
    <n v="0"/>
    <n v="7.1105369092409098E+18"/>
  </r>
  <r>
    <b v="0"/>
    <x v="11"/>
    <x v="10"/>
    <x v="0"/>
    <x v="0"/>
    <x v="124"/>
    <n v="0"/>
    <n v="1.6045569143986801E+19"/>
  </r>
  <r>
    <b v="0"/>
    <x v="12"/>
    <x v="10"/>
    <x v="0"/>
    <x v="0"/>
    <x v="125"/>
    <n v="0"/>
    <n v="6.8660713094537503E+18"/>
  </r>
  <r>
    <b v="0"/>
    <x v="13"/>
    <x v="10"/>
    <x v="0"/>
    <x v="0"/>
    <x v="126"/>
    <n v="0"/>
    <n v="1.2008499514368999E+19"/>
  </r>
  <r>
    <b v="0"/>
    <x v="0"/>
    <x v="3"/>
    <x v="0"/>
    <x v="0"/>
    <x v="127"/>
    <n v="0"/>
    <n v="6.3958497350573302E+18"/>
  </r>
  <r>
    <b v="0"/>
    <x v="2"/>
    <x v="3"/>
    <x v="0"/>
    <x v="0"/>
    <x v="128"/>
    <n v="0"/>
    <n v="9.9325402416402801E+18"/>
  </r>
  <r>
    <b v="0"/>
    <x v="3"/>
    <x v="3"/>
    <x v="0"/>
    <x v="0"/>
    <x v="129"/>
    <n v="0"/>
    <n v="4.4487828988200202E+18"/>
  </r>
  <r>
    <b v="0"/>
    <x v="4"/>
    <x v="3"/>
    <x v="0"/>
    <x v="0"/>
    <x v="130"/>
    <n v="0"/>
    <n v="1.73604336069883E+19"/>
  </r>
  <r>
    <b v="0"/>
    <x v="5"/>
    <x v="3"/>
    <x v="0"/>
    <x v="0"/>
    <x v="131"/>
    <n v="0"/>
    <n v="1.2708899841818499E+19"/>
  </r>
  <r>
    <b v="0"/>
    <x v="11"/>
    <x v="1"/>
    <x v="0"/>
    <x v="0"/>
    <x v="132"/>
    <n v="0"/>
    <n v="2.6804363494330798E+18"/>
  </r>
  <r>
    <b v="0"/>
    <x v="8"/>
    <x v="3"/>
    <x v="0"/>
    <x v="0"/>
    <x v="133"/>
    <n v="0"/>
    <n v="8.7661989708417597E+18"/>
  </r>
  <r>
    <b v="0"/>
    <x v="7"/>
    <x v="11"/>
    <x v="0"/>
    <x v="0"/>
    <x v="134"/>
    <n v="0"/>
    <n v="1.7886515946844001E+18"/>
  </r>
  <r>
    <b v="0"/>
    <x v="13"/>
    <x v="12"/>
    <x v="0"/>
    <x v="0"/>
    <x v="135"/>
    <n v="0"/>
    <n v="6.5315820255813094E+17"/>
  </r>
  <r>
    <b v="0"/>
    <x v="10"/>
    <x v="3"/>
    <x v="0"/>
    <x v="0"/>
    <x v="136"/>
    <n v="0"/>
    <n v="7.4966222391640596E+18"/>
  </r>
  <r>
    <b v="0"/>
    <x v="11"/>
    <x v="3"/>
    <x v="0"/>
    <x v="0"/>
    <x v="137"/>
    <n v="0"/>
    <n v="1.6878387582992599E+19"/>
  </r>
  <r>
    <b v="0"/>
    <x v="12"/>
    <x v="3"/>
    <x v="0"/>
    <x v="0"/>
    <x v="138"/>
    <n v="0"/>
    <n v="1.2278069357247701E+19"/>
  </r>
  <r>
    <b v="0"/>
    <x v="13"/>
    <x v="3"/>
    <x v="0"/>
    <x v="0"/>
    <x v="139"/>
    <n v="0"/>
    <n v="1.44706900602573E+19"/>
  </r>
  <r>
    <b v="0"/>
    <x v="0"/>
    <x v="13"/>
    <x v="0"/>
    <x v="0"/>
    <x v="140"/>
    <n v="0"/>
    <n v="5.0213605777970401E+18"/>
  </r>
  <r>
    <b v="0"/>
    <x v="2"/>
    <x v="13"/>
    <x v="0"/>
    <x v="0"/>
    <x v="141"/>
    <n v="0"/>
    <n v="1.07009437828278E+18"/>
  </r>
  <r>
    <b v="0"/>
    <x v="3"/>
    <x v="13"/>
    <x v="0"/>
    <x v="0"/>
    <x v="142"/>
    <n v="0"/>
    <n v="1.53708065665954E+19"/>
  </r>
  <r>
    <b v="0"/>
    <x v="4"/>
    <x v="13"/>
    <x v="0"/>
    <x v="0"/>
    <x v="143"/>
    <n v="0"/>
    <n v="6.4736237100578099E+18"/>
  </r>
  <r>
    <b v="0"/>
    <x v="5"/>
    <x v="13"/>
    <x v="0"/>
    <x v="0"/>
    <x v="144"/>
    <n v="0"/>
    <n v="1.16184541506326E+19"/>
  </r>
  <r>
    <b v="0"/>
    <x v="6"/>
    <x v="13"/>
    <x v="0"/>
    <x v="0"/>
    <x v="145"/>
    <n v="0"/>
    <n v="2.6969293771427501E+17"/>
  </r>
  <r>
    <b v="0"/>
    <x v="7"/>
    <x v="13"/>
    <x v="0"/>
    <x v="0"/>
    <x v="146"/>
    <n v="0"/>
    <n v="7.2844717577349796E+18"/>
  </r>
  <r>
    <b v="0"/>
    <x v="8"/>
    <x v="13"/>
    <x v="0"/>
    <x v="0"/>
    <x v="147"/>
    <n v="0"/>
    <n v="6.87315081099695E+18"/>
  </r>
  <r>
    <b v="0"/>
    <x v="1"/>
    <x v="13"/>
    <x v="0"/>
    <x v="0"/>
    <x v="148"/>
    <n v="0"/>
    <n v="1.22207838379231E+18"/>
  </r>
  <r>
    <b v="0"/>
    <x v="9"/>
    <x v="13"/>
    <x v="0"/>
    <x v="0"/>
    <x v="149"/>
    <n v="0"/>
    <n v="2.3216378985326899E+17"/>
  </r>
  <r>
    <b v="0"/>
    <x v="10"/>
    <x v="13"/>
    <x v="0"/>
    <x v="0"/>
    <x v="150"/>
    <n v="0"/>
    <n v="1.8294916419513999E+19"/>
  </r>
  <r>
    <b v="0"/>
    <x v="8"/>
    <x v="14"/>
    <x v="0"/>
    <x v="0"/>
    <x v="151"/>
    <n v="0"/>
    <n v="7.8504245805158605E+17"/>
  </r>
  <r>
    <b v="0"/>
    <x v="12"/>
    <x v="13"/>
    <x v="0"/>
    <x v="0"/>
    <x v="152"/>
    <n v="0"/>
    <n v="6.8850984757390203E+18"/>
  </r>
  <r>
    <b v="0"/>
    <x v="13"/>
    <x v="13"/>
    <x v="0"/>
    <x v="0"/>
    <x v="153"/>
    <n v="0"/>
    <n v="5.39580427985263E+18"/>
  </r>
  <r>
    <b v="0"/>
    <x v="0"/>
    <x v="12"/>
    <x v="0"/>
    <x v="0"/>
    <x v="154"/>
    <n v="0"/>
    <n v="1.37468586640849E+19"/>
  </r>
  <r>
    <b v="0"/>
    <x v="2"/>
    <x v="12"/>
    <x v="0"/>
    <x v="0"/>
    <x v="155"/>
    <n v="0"/>
    <n v="1.5184035668027001E+19"/>
  </r>
  <r>
    <b v="0"/>
    <x v="3"/>
    <x v="12"/>
    <x v="0"/>
    <x v="0"/>
    <x v="156"/>
    <n v="0"/>
    <n v="1.3334106321826699E+19"/>
  </r>
  <r>
    <b v="0"/>
    <x v="4"/>
    <x v="12"/>
    <x v="0"/>
    <x v="0"/>
    <x v="157"/>
    <n v="0"/>
    <n v="7.3556761816149299E+18"/>
  </r>
  <r>
    <b v="0"/>
    <x v="5"/>
    <x v="12"/>
    <x v="0"/>
    <x v="0"/>
    <x v="158"/>
    <n v="0"/>
    <n v="9.8141772641060209E+18"/>
  </r>
  <r>
    <b v="0"/>
    <x v="6"/>
    <x v="12"/>
    <x v="0"/>
    <x v="0"/>
    <x v="159"/>
    <n v="0"/>
    <n v="9.9412060607654707E+18"/>
  </r>
  <r>
    <b v="0"/>
    <x v="7"/>
    <x v="12"/>
    <x v="0"/>
    <x v="0"/>
    <x v="160"/>
    <n v="0"/>
    <n v="1.84360203383023E+19"/>
  </r>
  <r>
    <b v="0"/>
    <x v="8"/>
    <x v="12"/>
    <x v="0"/>
    <x v="0"/>
    <x v="161"/>
    <n v="0"/>
    <n v="1.50077886627975E+19"/>
  </r>
  <r>
    <b v="0"/>
    <x v="1"/>
    <x v="12"/>
    <x v="0"/>
    <x v="0"/>
    <x v="162"/>
    <n v="0"/>
    <n v="1.46083968183226E+19"/>
  </r>
  <r>
    <b v="0"/>
    <x v="9"/>
    <x v="12"/>
    <x v="0"/>
    <x v="0"/>
    <x v="163"/>
    <n v="0"/>
    <n v="8.0752708434929295E+18"/>
  </r>
  <r>
    <b v="0"/>
    <x v="10"/>
    <x v="12"/>
    <x v="0"/>
    <x v="0"/>
    <x v="164"/>
    <n v="0"/>
    <n v="8.3622560416507802E+17"/>
  </r>
  <r>
    <b v="0"/>
    <x v="11"/>
    <x v="12"/>
    <x v="0"/>
    <x v="0"/>
    <x v="165"/>
    <n v="0"/>
    <n v="8.7992456145250703E+18"/>
  </r>
  <r>
    <b v="0"/>
    <x v="12"/>
    <x v="12"/>
    <x v="0"/>
    <x v="0"/>
    <x v="166"/>
    <n v="0"/>
    <n v="1.32654677687679E+19"/>
  </r>
  <r>
    <b v="0"/>
    <x v="9"/>
    <x v="3"/>
    <x v="0"/>
    <x v="0"/>
    <x v="167"/>
    <n v="0"/>
    <n v="1.88329195240384E+18"/>
  </r>
  <r>
    <b v="0"/>
    <x v="0"/>
    <x v="15"/>
    <x v="0"/>
    <x v="0"/>
    <x v="168"/>
    <n v="0"/>
    <n v="1.5493911970812801E+19"/>
  </r>
  <r>
    <b v="0"/>
    <x v="2"/>
    <x v="16"/>
    <x v="0"/>
    <x v="0"/>
    <x v="169"/>
    <n v="0"/>
    <n v="2.3090805616292598E+18"/>
  </r>
  <r>
    <b v="0"/>
    <x v="11"/>
    <x v="15"/>
    <x v="0"/>
    <x v="1"/>
    <x v="170"/>
    <n v="0"/>
    <n v="5.8623042850935798E+18"/>
  </r>
  <r>
    <b v="0"/>
    <x v="12"/>
    <x v="15"/>
    <x v="0"/>
    <x v="0"/>
    <x v="171"/>
    <n v="0"/>
    <n v="1.77307829145378E+19"/>
  </r>
  <r>
    <b v="0"/>
    <x v="11"/>
    <x v="15"/>
    <x v="0"/>
    <x v="0"/>
    <x v="172"/>
    <n v="0"/>
    <n v="1.2095151955211301E+19"/>
  </r>
  <r>
    <b v="0"/>
    <x v="10"/>
    <x v="15"/>
    <x v="0"/>
    <x v="0"/>
    <x v="173"/>
    <n v="0"/>
    <n v="9.75474043420365E+18"/>
  </r>
  <r>
    <b v="0"/>
    <x v="9"/>
    <x v="15"/>
    <x v="0"/>
    <x v="0"/>
    <x v="174"/>
    <n v="0"/>
    <n v="7.0603322759213005E+18"/>
  </r>
  <r>
    <b v="0"/>
    <x v="1"/>
    <x v="15"/>
    <x v="0"/>
    <x v="0"/>
    <x v="175"/>
    <n v="0"/>
    <n v="1.6825124076572701E+19"/>
  </r>
  <r>
    <b v="0"/>
    <x v="2"/>
    <x v="15"/>
    <x v="0"/>
    <x v="0"/>
    <x v="176"/>
    <n v="0"/>
    <n v="1.02703665794879E+19"/>
  </r>
  <r>
    <b v="0"/>
    <x v="7"/>
    <x v="15"/>
    <x v="0"/>
    <x v="0"/>
    <x v="177"/>
    <n v="0"/>
    <n v="1.78448820899178E+19"/>
  </r>
  <r>
    <b v="0"/>
    <x v="6"/>
    <x v="15"/>
    <x v="0"/>
    <x v="0"/>
    <x v="178"/>
    <n v="0"/>
    <n v="1.02888393783233E+19"/>
  </r>
  <r>
    <b v="0"/>
    <x v="5"/>
    <x v="15"/>
    <x v="0"/>
    <x v="0"/>
    <x v="179"/>
    <n v="0"/>
    <n v="5.9911519406840699E+18"/>
  </r>
  <r>
    <b v="0"/>
    <x v="4"/>
    <x v="15"/>
    <x v="0"/>
    <x v="0"/>
    <x v="180"/>
    <n v="0"/>
    <n v="3.1925191277085901E+18"/>
  </r>
  <r>
    <b v="0"/>
    <x v="3"/>
    <x v="15"/>
    <x v="0"/>
    <x v="0"/>
    <x v="181"/>
    <n v="0"/>
    <n v="7.5282053402376899E+18"/>
  </r>
  <r>
    <b v="0"/>
    <x v="13"/>
    <x v="15"/>
    <x v="0"/>
    <x v="0"/>
    <x v="182"/>
    <n v="0"/>
    <n v="1.29842455607615E+19"/>
  </r>
  <r>
    <b v="0"/>
    <x v="8"/>
    <x v="15"/>
    <x v="0"/>
    <x v="0"/>
    <x v="183"/>
    <n v="0"/>
    <n v="1.90325182454945E+18"/>
  </r>
  <r>
    <b v="0"/>
    <x v="0"/>
    <x v="16"/>
    <x v="0"/>
    <x v="0"/>
    <x v="184"/>
    <n v="0"/>
    <n v="1.0301072791293399E+19"/>
  </r>
  <r>
    <b v="0"/>
    <x v="8"/>
    <x v="16"/>
    <x v="0"/>
    <x v="0"/>
    <x v="185"/>
    <n v="0"/>
    <n v="1.5889849939557501E+19"/>
  </r>
  <r>
    <b v="0"/>
    <x v="3"/>
    <x v="16"/>
    <x v="0"/>
    <x v="0"/>
    <x v="186"/>
    <n v="0"/>
    <n v="7.8345050704598497E+18"/>
  </r>
  <r>
    <b v="0"/>
    <x v="4"/>
    <x v="16"/>
    <x v="0"/>
    <x v="0"/>
    <x v="187"/>
    <n v="0"/>
    <n v="5.8750189985222298E+18"/>
  </r>
  <r>
    <b v="0"/>
    <x v="5"/>
    <x v="16"/>
    <x v="0"/>
    <x v="0"/>
    <x v="188"/>
    <n v="0"/>
    <n v="3.6678942887900099E+18"/>
  </r>
  <r>
    <b v="0"/>
    <x v="6"/>
    <x v="16"/>
    <x v="0"/>
    <x v="0"/>
    <x v="189"/>
    <n v="0"/>
    <n v="2.3238328398706401E+18"/>
  </r>
  <r>
    <b v="0"/>
    <x v="7"/>
    <x v="16"/>
    <x v="0"/>
    <x v="0"/>
    <x v="190"/>
    <n v="0"/>
    <n v="1.3801542767898701E+18"/>
  </r>
  <r>
    <b v="0"/>
    <x v="1"/>
    <x v="16"/>
    <x v="0"/>
    <x v="0"/>
    <x v="191"/>
    <n v="0"/>
    <n v="1.1694507986078799E+18"/>
  </r>
  <r>
    <b v="0"/>
    <x v="9"/>
    <x v="16"/>
    <x v="0"/>
    <x v="0"/>
    <x v="192"/>
    <n v="0"/>
    <n v="9.4654951854002995E+18"/>
  </r>
  <r>
    <b v="0"/>
    <x v="10"/>
    <x v="16"/>
    <x v="0"/>
    <x v="0"/>
    <x v="193"/>
    <n v="0"/>
    <n v="1.0464554017009199E+19"/>
  </r>
  <r>
    <b v="0"/>
    <x v="11"/>
    <x v="16"/>
    <x v="0"/>
    <x v="0"/>
    <x v="194"/>
    <n v="0"/>
    <n v="1.68490968698985E+19"/>
  </r>
  <r>
    <b v="0"/>
    <x v="12"/>
    <x v="16"/>
    <x v="0"/>
    <x v="0"/>
    <x v="195"/>
    <n v="0"/>
    <n v="8.1458142244246098E+18"/>
  </r>
  <r>
    <b v="0"/>
    <x v="13"/>
    <x v="16"/>
    <x v="0"/>
    <x v="0"/>
    <x v="196"/>
    <n v="0"/>
    <n v="1.7665365458030399E+19"/>
  </r>
  <r>
    <b v="0"/>
    <x v="0"/>
    <x v="17"/>
    <x v="0"/>
    <x v="0"/>
    <x v="197"/>
    <n v="0"/>
    <n v="4.91793253719117E+18"/>
  </r>
  <r>
    <b v="0"/>
    <x v="2"/>
    <x v="17"/>
    <x v="0"/>
    <x v="0"/>
    <x v="198"/>
    <n v="0"/>
    <n v="9.1536752614090895E+18"/>
  </r>
  <r>
    <b v="0"/>
    <x v="11"/>
    <x v="13"/>
    <x v="0"/>
    <x v="0"/>
    <x v="199"/>
    <n v="0"/>
    <n v="6.8144222275195402E+18"/>
  </r>
  <r>
    <b v="0"/>
    <x v="3"/>
    <x v="17"/>
    <x v="0"/>
    <x v="0"/>
    <x v="200"/>
    <n v="0"/>
    <n v="4.0943522966696202E+18"/>
  </r>
  <r>
    <b v="0"/>
    <x v="7"/>
    <x v="14"/>
    <x v="0"/>
    <x v="0"/>
    <x v="201"/>
    <n v="0"/>
    <n v="9.4259009099564605E+18"/>
  </r>
  <r>
    <b v="0"/>
    <x v="9"/>
    <x v="14"/>
    <x v="0"/>
    <x v="0"/>
    <x v="202"/>
    <n v="0"/>
    <n v="8.0482815327552E+18"/>
  </r>
  <r>
    <b v="0"/>
    <x v="6"/>
    <x v="17"/>
    <x v="0"/>
    <x v="0"/>
    <x v="203"/>
    <n v="0"/>
    <n v="5.8552929008315996E+18"/>
  </r>
  <r>
    <b v="0"/>
    <x v="7"/>
    <x v="17"/>
    <x v="0"/>
    <x v="0"/>
    <x v="204"/>
    <n v="0"/>
    <n v="1.3018731669486201E+19"/>
  </r>
  <r>
    <b v="0"/>
    <x v="8"/>
    <x v="17"/>
    <x v="0"/>
    <x v="0"/>
    <x v="205"/>
    <n v="0"/>
    <n v="3.5524214090818801E+18"/>
  </r>
  <r>
    <b v="0"/>
    <x v="1"/>
    <x v="17"/>
    <x v="0"/>
    <x v="0"/>
    <x v="206"/>
    <n v="0"/>
    <n v="1.53206255462406E+19"/>
  </r>
  <r>
    <b v="0"/>
    <x v="9"/>
    <x v="17"/>
    <x v="0"/>
    <x v="0"/>
    <x v="207"/>
    <n v="0"/>
    <n v="1.3536879881379201E+19"/>
  </r>
  <r>
    <b v="0"/>
    <x v="10"/>
    <x v="17"/>
    <x v="0"/>
    <x v="0"/>
    <x v="208"/>
    <n v="0"/>
    <n v="5.62956548478144E+18"/>
  </r>
  <r>
    <b v="0"/>
    <x v="11"/>
    <x v="17"/>
    <x v="0"/>
    <x v="0"/>
    <x v="209"/>
    <n v="0"/>
    <n v="1.73629929404806E+19"/>
  </r>
  <r>
    <b v="0"/>
    <x v="12"/>
    <x v="17"/>
    <x v="0"/>
    <x v="0"/>
    <x v="210"/>
    <n v="0"/>
    <n v="4.3565360346342502E+18"/>
  </r>
  <r>
    <b v="0"/>
    <x v="13"/>
    <x v="17"/>
    <x v="0"/>
    <x v="0"/>
    <x v="211"/>
    <n v="0"/>
    <n v="1.2846891765861501E+19"/>
  </r>
  <r>
    <b v="0"/>
    <x v="0"/>
    <x v="11"/>
    <x v="0"/>
    <x v="0"/>
    <x v="212"/>
    <n v="0"/>
    <n v="8.8412476368054497E+18"/>
  </r>
  <r>
    <b v="0"/>
    <x v="2"/>
    <x v="11"/>
    <x v="0"/>
    <x v="0"/>
    <x v="213"/>
    <n v="0"/>
    <n v="1.1823139441073101E+19"/>
  </r>
  <r>
    <b v="0"/>
    <x v="3"/>
    <x v="11"/>
    <x v="0"/>
    <x v="0"/>
    <x v="214"/>
    <n v="0"/>
    <n v="1.0941987802507399E+19"/>
  </r>
  <r>
    <b v="0"/>
    <x v="4"/>
    <x v="11"/>
    <x v="0"/>
    <x v="0"/>
    <x v="215"/>
    <n v="0"/>
    <n v="1.7410952065715599E+19"/>
  </r>
  <r>
    <b v="0"/>
    <x v="5"/>
    <x v="11"/>
    <x v="0"/>
    <x v="0"/>
    <x v="216"/>
    <n v="0"/>
    <n v="8.9494957423826002E+18"/>
  </r>
  <r>
    <b v="0"/>
    <x v="4"/>
    <x v="17"/>
    <x v="0"/>
    <x v="0"/>
    <x v="217"/>
    <n v="0"/>
    <n v="9.7615933061056E+18"/>
  </r>
  <r>
    <b v="0"/>
    <x v="6"/>
    <x v="11"/>
    <x v="0"/>
    <x v="0"/>
    <x v="218"/>
    <n v="0"/>
    <n v="1.33960961718913E+19"/>
  </r>
  <r>
    <b v="0"/>
    <x v="8"/>
    <x v="11"/>
    <x v="0"/>
    <x v="0"/>
    <x v="219"/>
    <n v="0"/>
    <n v="8.6790989302417101E+18"/>
  </r>
  <r>
    <b v="0"/>
    <x v="1"/>
    <x v="11"/>
    <x v="0"/>
    <x v="0"/>
    <x v="220"/>
    <n v="0"/>
    <n v="1.02261801527918E+19"/>
  </r>
  <r>
    <b v="0"/>
    <x v="9"/>
    <x v="11"/>
    <x v="0"/>
    <x v="0"/>
    <x v="221"/>
    <n v="0"/>
    <n v="1.39302540813911E+19"/>
  </r>
  <r>
    <b v="0"/>
    <x v="10"/>
    <x v="11"/>
    <x v="0"/>
    <x v="0"/>
    <x v="222"/>
    <n v="0"/>
    <n v="1.12951320385799E+19"/>
  </r>
  <r>
    <b v="0"/>
    <x v="11"/>
    <x v="11"/>
    <x v="0"/>
    <x v="0"/>
    <x v="223"/>
    <n v="0"/>
    <n v="7.3281194685290097E+18"/>
  </r>
  <r>
    <b v="0"/>
    <x v="12"/>
    <x v="11"/>
    <x v="0"/>
    <x v="0"/>
    <x v="224"/>
    <n v="0"/>
    <n v="1.1587457154041399E+19"/>
  </r>
  <r>
    <b v="0"/>
    <x v="13"/>
    <x v="11"/>
    <x v="0"/>
    <x v="0"/>
    <x v="225"/>
    <n v="0"/>
    <n v="1.22475819219864E+19"/>
  </r>
  <r>
    <b v="0"/>
    <x v="0"/>
    <x v="14"/>
    <x v="0"/>
    <x v="0"/>
    <x v="226"/>
    <n v="0"/>
    <n v="1.1559823689283199E+19"/>
  </r>
  <r>
    <b v="0"/>
    <x v="2"/>
    <x v="14"/>
    <x v="0"/>
    <x v="0"/>
    <x v="227"/>
    <n v="0"/>
    <n v="8.3019800852664602E+17"/>
  </r>
  <r>
    <b v="0"/>
    <x v="3"/>
    <x v="14"/>
    <x v="0"/>
    <x v="0"/>
    <x v="228"/>
    <n v="0"/>
    <n v="3.6255018338931502E+18"/>
  </r>
  <r>
    <b v="0"/>
    <x v="4"/>
    <x v="14"/>
    <x v="0"/>
    <x v="0"/>
    <x v="229"/>
    <n v="0"/>
    <n v="7.6925278100015002E+18"/>
  </r>
  <r>
    <b v="0"/>
    <x v="5"/>
    <x v="14"/>
    <x v="0"/>
    <x v="0"/>
    <x v="230"/>
    <n v="0"/>
    <n v="5.6247234997950403E+18"/>
  </r>
  <r>
    <b v="0"/>
    <x v="6"/>
    <x v="14"/>
    <x v="0"/>
    <x v="0"/>
    <x v="231"/>
    <n v="0"/>
    <n v="3.7133637202077199E+18"/>
  </r>
  <r>
    <b v="0"/>
    <x v="1"/>
    <x v="14"/>
    <x v="0"/>
    <x v="0"/>
    <x v="232"/>
    <n v="0"/>
    <n v="7.8181332980630702E+18"/>
  </r>
  <r>
    <b v="0"/>
    <x v="10"/>
    <x v="14"/>
    <x v="0"/>
    <x v="0"/>
    <x v="233"/>
    <n v="0"/>
    <n v="9.7279509779871293E+18"/>
  </r>
  <r>
    <b v="0"/>
    <x v="5"/>
    <x v="17"/>
    <x v="0"/>
    <x v="0"/>
    <x v="234"/>
    <n v="0"/>
    <n v="1.6991621197250099E+18"/>
  </r>
  <r>
    <b v="0"/>
    <x v="11"/>
    <x v="14"/>
    <x v="0"/>
    <x v="0"/>
    <x v="235"/>
    <n v="0"/>
    <n v="1.39075831794549E+19"/>
  </r>
  <r>
    <b v="0"/>
    <x v="12"/>
    <x v="14"/>
    <x v="0"/>
    <x v="0"/>
    <x v="236"/>
    <n v="0"/>
    <n v="6.10576170565043E+18"/>
  </r>
  <r>
    <b v="0"/>
    <x v="13"/>
    <x v="14"/>
    <x v="0"/>
    <x v="0"/>
    <x v="237"/>
    <n v="0"/>
    <n v="3.5482351025768899E+18"/>
  </r>
  <r>
    <b v="0"/>
    <x v="0"/>
    <x v="18"/>
    <x v="0"/>
    <x v="0"/>
    <x v="238"/>
    <n v="0"/>
    <n v="1.25553236754938E+19"/>
  </r>
  <r>
    <b v="0"/>
    <x v="2"/>
    <x v="18"/>
    <x v="0"/>
    <x v="0"/>
    <x v="239"/>
    <n v="0"/>
    <n v="3.0508090247055698E+18"/>
  </r>
  <r>
    <b v="0"/>
    <x v="3"/>
    <x v="18"/>
    <x v="0"/>
    <x v="0"/>
    <x v="240"/>
    <n v="0"/>
    <n v="1.0086261149138301E+19"/>
  </r>
  <r>
    <b v="0"/>
    <x v="4"/>
    <x v="18"/>
    <x v="0"/>
    <x v="0"/>
    <x v="241"/>
    <n v="0"/>
    <n v="8.8408679378199296E+18"/>
  </r>
  <r>
    <b v="0"/>
    <x v="5"/>
    <x v="18"/>
    <x v="0"/>
    <x v="0"/>
    <x v="242"/>
    <n v="0"/>
    <n v="2.3908480872974198E+18"/>
  </r>
  <r>
    <b v="0"/>
    <x v="6"/>
    <x v="18"/>
    <x v="0"/>
    <x v="0"/>
    <x v="243"/>
    <n v="0"/>
    <n v="1.6577006559421499E+19"/>
  </r>
  <r>
    <b v="0"/>
    <x v="7"/>
    <x v="18"/>
    <x v="0"/>
    <x v="0"/>
    <x v="244"/>
    <n v="0"/>
    <n v="9.1784187123611095E+18"/>
  </r>
  <r>
    <b v="0"/>
    <x v="8"/>
    <x v="18"/>
    <x v="0"/>
    <x v="0"/>
    <x v="245"/>
    <n v="0"/>
    <n v="1.6394249404412701E+19"/>
  </r>
  <r>
    <b v="0"/>
    <x v="1"/>
    <x v="18"/>
    <x v="0"/>
    <x v="0"/>
    <x v="246"/>
    <n v="0"/>
    <n v="1.2757789898639901E+19"/>
  </r>
  <r>
    <b v="0"/>
    <x v="9"/>
    <x v="18"/>
    <x v="0"/>
    <x v="0"/>
    <x v="247"/>
    <n v="0"/>
    <n v="1.57558336430685E+19"/>
  </r>
  <r>
    <b v="0"/>
    <x v="10"/>
    <x v="18"/>
    <x v="0"/>
    <x v="0"/>
    <x v="248"/>
    <n v="0"/>
    <n v="8.1302410367231601E+18"/>
  </r>
  <r>
    <b v="0"/>
    <x v="11"/>
    <x v="18"/>
    <x v="0"/>
    <x v="0"/>
    <x v="249"/>
    <n v="0"/>
    <n v="8.6505441746314598E+18"/>
  </r>
  <r>
    <b v="0"/>
    <x v="12"/>
    <x v="18"/>
    <x v="0"/>
    <x v="0"/>
    <x v="250"/>
    <n v="0"/>
    <n v="1.6085317270587699E+19"/>
  </r>
  <r>
    <b v="0"/>
    <x v="13"/>
    <x v="18"/>
    <x v="0"/>
    <x v="0"/>
    <x v="251"/>
    <n v="0"/>
    <n v="6.9872276051039104E+17"/>
  </r>
  <r>
    <b v="0"/>
    <x v="0"/>
    <x v="6"/>
    <x v="0"/>
    <x v="0"/>
    <x v="252"/>
    <n v="0"/>
    <n v="1.2140601919807001E+19"/>
  </r>
  <r>
    <b v="0"/>
    <x v="2"/>
    <x v="6"/>
    <x v="0"/>
    <x v="0"/>
    <x v="253"/>
    <n v="0"/>
    <n v="8.9101236058380902E+18"/>
  </r>
  <r>
    <b v="0"/>
    <x v="3"/>
    <x v="6"/>
    <x v="0"/>
    <x v="0"/>
    <x v="254"/>
    <n v="0"/>
    <n v="7.9998778621358397E+18"/>
  </r>
  <r>
    <b v="0"/>
    <x v="4"/>
    <x v="6"/>
    <x v="0"/>
    <x v="0"/>
    <x v="255"/>
    <n v="0"/>
    <n v="6.7846195379949998E+18"/>
  </r>
  <r>
    <b v="0"/>
    <x v="5"/>
    <x v="6"/>
    <x v="0"/>
    <x v="0"/>
    <x v="256"/>
    <n v="0"/>
    <n v="4.5040426286038799E+18"/>
  </r>
  <r>
    <b v="0"/>
    <x v="6"/>
    <x v="6"/>
    <x v="0"/>
    <x v="0"/>
    <x v="257"/>
    <n v="0"/>
    <n v="1.0102873459573801E+19"/>
  </r>
  <r>
    <b v="0"/>
    <x v="7"/>
    <x v="6"/>
    <x v="0"/>
    <x v="0"/>
    <x v="258"/>
    <n v="0"/>
    <n v="1.1733492517170201E+19"/>
  </r>
  <r>
    <b v="0"/>
    <x v="8"/>
    <x v="6"/>
    <x v="0"/>
    <x v="0"/>
    <x v="259"/>
    <n v="0"/>
    <n v="1.7765953841295499E+19"/>
  </r>
  <r>
    <b v="0"/>
    <x v="1"/>
    <x v="6"/>
    <x v="0"/>
    <x v="0"/>
    <x v="260"/>
    <n v="0"/>
    <n v="2.97509639982563E+16"/>
  </r>
  <r>
    <b v="0"/>
    <x v="9"/>
    <x v="6"/>
    <x v="0"/>
    <x v="0"/>
    <x v="261"/>
    <n v="0"/>
    <n v="1.09525431933689E+19"/>
  </r>
  <r>
    <b v="0"/>
    <x v="10"/>
    <x v="6"/>
    <x v="0"/>
    <x v="0"/>
    <x v="262"/>
    <n v="0"/>
    <n v="1.6837780040611701E+19"/>
  </r>
  <r>
    <b v="0"/>
    <x v="11"/>
    <x v="6"/>
    <x v="0"/>
    <x v="0"/>
    <x v="263"/>
    <n v="0"/>
    <n v="7.0718670454651197E+18"/>
  </r>
  <r>
    <b v="0"/>
    <x v="1"/>
    <x v="3"/>
    <x v="0"/>
    <x v="0"/>
    <x v="264"/>
    <n v="0"/>
    <n v="3.0862777258205798E+18"/>
  </r>
  <r>
    <b v="0"/>
    <x v="13"/>
    <x v="7"/>
    <x v="0"/>
    <x v="0"/>
    <x v="265"/>
    <n v="0"/>
    <n v="4.3190039613734001E+18"/>
  </r>
  <r>
    <b v="0"/>
    <x v="8"/>
    <x v="4"/>
    <x v="0"/>
    <x v="0"/>
    <x v="266"/>
    <n v="0"/>
    <n v="5.4568308504687596E+18"/>
  </r>
  <r>
    <b v="0"/>
    <x v="4"/>
    <x v="17"/>
    <x v="0"/>
    <x v="1"/>
    <x v="267"/>
    <n v="0"/>
    <n v="1.40446172798639E+19"/>
  </r>
  <r>
    <b v="0"/>
    <x v="3"/>
    <x v="17"/>
    <x v="0"/>
    <x v="1"/>
    <x v="268"/>
    <n v="0"/>
    <n v="9.8866065069839401E+18"/>
  </r>
  <r>
    <b v="0"/>
    <x v="10"/>
    <x v="6"/>
    <x v="0"/>
    <x v="1"/>
    <x v="269"/>
    <n v="0"/>
    <n v="1.1957981959847999E+19"/>
  </r>
  <r>
    <b v="0"/>
    <x v="9"/>
    <x v="6"/>
    <x v="0"/>
    <x v="1"/>
    <x v="270"/>
    <n v="0"/>
    <n v="9.0147962096921303E+18"/>
  </r>
  <r>
    <b v="0"/>
    <x v="1"/>
    <x v="6"/>
    <x v="0"/>
    <x v="1"/>
    <x v="271"/>
    <n v="0"/>
    <n v="8.0047288881290097E+18"/>
  </r>
  <r>
    <b v="0"/>
    <x v="8"/>
    <x v="6"/>
    <x v="0"/>
    <x v="1"/>
    <x v="272"/>
    <n v="0"/>
    <n v="1.49530898403461E+19"/>
  </r>
  <r>
    <b v="0"/>
    <x v="7"/>
    <x v="6"/>
    <x v="0"/>
    <x v="1"/>
    <x v="273"/>
    <n v="0"/>
    <n v="7.70448061321044E+16"/>
  </r>
  <r>
    <b v="0"/>
    <x v="6"/>
    <x v="6"/>
    <x v="0"/>
    <x v="1"/>
    <x v="274"/>
    <n v="0"/>
    <n v="1.80949310265322E+19"/>
  </r>
  <r>
    <b v="0"/>
    <x v="5"/>
    <x v="6"/>
    <x v="0"/>
    <x v="1"/>
    <x v="275"/>
    <n v="0"/>
    <n v="2.65349265538189E+18"/>
  </r>
  <r>
    <b v="0"/>
    <x v="4"/>
    <x v="6"/>
    <x v="0"/>
    <x v="1"/>
    <x v="276"/>
    <n v="0"/>
    <n v="3.30360105677576E+17"/>
  </r>
  <r>
    <b v="0"/>
    <x v="3"/>
    <x v="6"/>
    <x v="0"/>
    <x v="1"/>
    <x v="277"/>
    <n v="0"/>
    <n v="7.6593560407942298E+18"/>
  </r>
  <r>
    <b v="0"/>
    <x v="2"/>
    <x v="6"/>
    <x v="0"/>
    <x v="1"/>
    <x v="278"/>
    <n v="0"/>
    <n v="4.9478662678798397E+18"/>
  </r>
  <r>
    <b v="0"/>
    <x v="0"/>
    <x v="6"/>
    <x v="0"/>
    <x v="1"/>
    <x v="279"/>
    <n v="0"/>
    <n v="1.80639102352332E+19"/>
  </r>
  <r>
    <b v="0"/>
    <x v="13"/>
    <x v="18"/>
    <x v="0"/>
    <x v="1"/>
    <x v="280"/>
    <n v="0"/>
    <n v="8.6776926715901696E+18"/>
  </r>
  <r>
    <b v="0"/>
    <x v="12"/>
    <x v="18"/>
    <x v="0"/>
    <x v="1"/>
    <x v="281"/>
    <n v="0"/>
    <n v="7.5817620049508997E+18"/>
  </r>
  <r>
    <b v="0"/>
    <x v="11"/>
    <x v="18"/>
    <x v="0"/>
    <x v="1"/>
    <x v="282"/>
    <n v="0"/>
    <n v="9.83107442957918E+18"/>
  </r>
  <r>
    <b v="0"/>
    <x v="10"/>
    <x v="18"/>
    <x v="0"/>
    <x v="1"/>
    <x v="283"/>
    <n v="0"/>
    <n v="1.23434496030766E+19"/>
  </r>
  <r>
    <b v="0"/>
    <x v="12"/>
    <x v="6"/>
    <x v="0"/>
    <x v="1"/>
    <x v="284"/>
    <n v="0"/>
    <n v="1.2681235324082301E+19"/>
  </r>
  <r>
    <b v="0"/>
    <x v="1"/>
    <x v="18"/>
    <x v="0"/>
    <x v="1"/>
    <x v="285"/>
    <n v="0"/>
    <n v="1.5468635436873501E+19"/>
  </r>
  <r>
    <b v="0"/>
    <x v="8"/>
    <x v="18"/>
    <x v="0"/>
    <x v="1"/>
    <x v="286"/>
    <n v="0"/>
    <n v="3.2370630753522698E+18"/>
  </r>
  <r>
    <b v="0"/>
    <x v="7"/>
    <x v="18"/>
    <x v="0"/>
    <x v="1"/>
    <x v="287"/>
    <n v="0"/>
    <n v="1.4126441846551601E+18"/>
  </r>
  <r>
    <b v="0"/>
    <x v="6"/>
    <x v="18"/>
    <x v="0"/>
    <x v="1"/>
    <x v="288"/>
    <n v="0"/>
    <n v="2.2739586620826701E+18"/>
  </r>
  <r>
    <b v="0"/>
    <x v="5"/>
    <x v="18"/>
    <x v="0"/>
    <x v="1"/>
    <x v="289"/>
    <n v="0"/>
    <n v="1.61739364432012E+19"/>
  </r>
  <r>
    <b v="0"/>
    <x v="4"/>
    <x v="18"/>
    <x v="0"/>
    <x v="1"/>
    <x v="290"/>
    <n v="0"/>
    <n v="4.6974946227623496E+18"/>
  </r>
  <r>
    <b v="0"/>
    <x v="3"/>
    <x v="18"/>
    <x v="0"/>
    <x v="1"/>
    <x v="291"/>
    <n v="0"/>
    <n v="1.6133143122659299E+19"/>
  </r>
  <r>
    <b v="0"/>
    <x v="2"/>
    <x v="18"/>
    <x v="0"/>
    <x v="1"/>
    <x v="292"/>
    <n v="0"/>
    <n v="9.1006231841688504E+18"/>
  </r>
  <r>
    <b v="0"/>
    <x v="0"/>
    <x v="18"/>
    <x v="0"/>
    <x v="1"/>
    <x v="293"/>
    <n v="0"/>
    <n v="2.6278769952963E+18"/>
  </r>
  <r>
    <b v="0"/>
    <x v="13"/>
    <x v="14"/>
    <x v="0"/>
    <x v="1"/>
    <x v="294"/>
    <n v="0"/>
    <n v="1.2953572250688999E+19"/>
  </r>
  <r>
    <b v="0"/>
    <x v="12"/>
    <x v="14"/>
    <x v="0"/>
    <x v="1"/>
    <x v="295"/>
    <n v="0"/>
    <n v="6.57272217674095E+18"/>
  </r>
  <r>
    <b v="0"/>
    <x v="11"/>
    <x v="14"/>
    <x v="0"/>
    <x v="1"/>
    <x v="296"/>
    <n v="0"/>
    <n v="1.04362792661894E+19"/>
  </r>
  <r>
    <b v="0"/>
    <x v="10"/>
    <x v="14"/>
    <x v="0"/>
    <x v="1"/>
    <x v="297"/>
    <n v="0"/>
    <n v="1.3554674719211E+19"/>
  </r>
  <r>
    <b v="0"/>
    <x v="9"/>
    <x v="14"/>
    <x v="0"/>
    <x v="1"/>
    <x v="298"/>
    <n v="0"/>
    <n v="1.05299283114019E+19"/>
  </r>
  <r>
    <b v="0"/>
    <x v="1"/>
    <x v="14"/>
    <x v="0"/>
    <x v="1"/>
    <x v="299"/>
    <n v="0"/>
    <n v="1.6530923999628599E+19"/>
  </r>
  <r>
    <b v="0"/>
    <x v="8"/>
    <x v="14"/>
    <x v="0"/>
    <x v="1"/>
    <x v="300"/>
    <n v="0"/>
    <n v="1.6770520200009099E+19"/>
  </r>
  <r>
    <b v="0"/>
    <x v="7"/>
    <x v="14"/>
    <x v="0"/>
    <x v="1"/>
    <x v="301"/>
    <n v="0"/>
    <n v="1.18980085489425E+19"/>
  </r>
  <r>
    <b v="0"/>
    <x v="6"/>
    <x v="14"/>
    <x v="0"/>
    <x v="1"/>
    <x v="302"/>
    <n v="0"/>
    <n v="1.7306685379876999E+19"/>
  </r>
  <r>
    <b v="0"/>
    <x v="5"/>
    <x v="14"/>
    <x v="0"/>
    <x v="1"/>
    <x v="303"/>
    <n v="0"/>
    <n v="1.01134635036869E+19"/>
  </r>
  <r>
    <b v="0"/>
    <x v="4"/>
    <x v="14"/>
    <x v="0"/>
    <x v="1"/>
    <x v="304"/>
    <n v="0"/>
    <n v="3.2515752061717002E+18"/>
  </r>
  <r>
    <b v="0"/>
    <x v="3"/>
    <x v="14"/>
    <x v="0"/>
    <x v="1"/>
    <x v="305"/>
    <n v="0"/>
    <n v="1.13705746479185E+19"/>
  </r>
  <r>
    <b v="0"/>
    <x v="2"/>
    <x v="14"/>
    <x v="0"/>
    <x v="1"/>
    <x v="306"/>
    <n v="0"/>
    <n v="8.4404414299652198E+18"/>
  </r>
  <r>
    <b v="0"/>
    <x v="0"/>
    <x v="14"/>
    <x v="0"/>
    <x v="1"/>
    <x v="307"/>
    <n v="0"/>
    <n v="1.19252616696879E+19"/>
  </r>
  <r>
    <b v="0"/>
    <x v="13"/>
    <x v="11"/>
    <x v="0"/>
    <x v="1"/>
    <x v="308"/>
    <n v="0"/>
    <n v="1.2194289984015401E+19"/>
  </r>
  <r>
    <b v="0"/>
    <x v="12"/>
    <x v="11"/>
    <x v="0"/>
    <x v="1"/>
    <x v="309"/>
    <n v="0"/>
    <n v="1.48015180157859E+19"/>
  </r>
  <r>
    <b v="0"/>
    <x v="11"/>
    <x v="11"/>
    <x v="0"/>
    <x v="1"/>
    <x v="310"/>
    <n v="0"/>
    <n v="6.9531410418996398E+18"/>
  </r>
  <r>
    <b v="0"/>
    <x v="10"/>
    <x v="11"/>
    <x v="0"/>
    <x v="1"/>
    <x v="311"/>
    <n v="0"/>
    <n v="1.83144131999761E+19"/>
  </r>
  <r>
    <b v="0"/>
    <x v="9"/>
    <x v="11"/>
    <x v="0"/>
    <x v="1"/>
    <x v="312"/>
    <n v="0"/>
    <n v="9.1528541813107302E+18"/>
  </r>
  <r>
    <b v="0"/>
    <x v="1"/>
    <x v="11"/>
    <x v="0"/>
    <x v="1"/>
    <x v="313"/>
    <n v="0"/>
    <n v="1.0581075689114401E+19"/>
  </r>
  <r>
    <b v="0"/>
    <x v="8"/>
    <x v="11"/>
    <x v="0"/>
    <x v="1"/>
    <x v="314"/>
    <n v="0"/>
    <n v="8.3996203099534899E+18"/>
  </r>
  <r>
    <b v="0"/>
    <x v="7"/>
    <x v="11"/>
    <x v="0"/>
    <x v="1"/>
    <x v="315"/>
    <n v="0"/>
    <n v="1.7076871127743601E+19"/>
  </r>
  <r>
    <b v="0"/>
    <x v="6"/>
    <x v="11"/>
    <x v="0"/>
    <x v="1"/>
    <x v="316"/>
    <n v="0"/>
    <n v="1.3824484692651301E+19"/>
  </r>
  <r>
    <b v="0"/>
    <x v="5"/>
    <x v="11"/>
    <x v="0"/>
    <x v="1"/>
    <x v="317"/>
    <n v="0"/>
    <n v="5.3484930772554004E+18"/>
  </r>
  <r>
    <b v="0"/>
    <x v="4"/>
    <x v="11"/>
    <x v="0"/>
    <x v="1"/>
    <x v="318"/>
    <n v="0"/>
    <n v="1.0953268185706E+19"/>
  </r>
  <r>
    <b v="0"/>
    <x v="3"/>
    <x v="11"/>
    <x v="0"/>
    <x v="1"/>
    <x v="319"/>
    <n v="0"/>
    <n v="7.5879584694168699E+18"/>
  </r>
  <r>
    <b v="0"/>
    <x v="2"/>
    <x v="11"/>
    <x v="0"/>
    <x v="1"/>
    <x v="320"/>
    <n v="0"/>
    <n v="1.72478729881286E+19"/>
  </r>
  <r>
    <b v="0"/>
    <x v="0"/>
    <x v="11"/>
    <x v="0"/>
    <x v="1"/>
    <x v="321"/>
    <n v="0"/>
    <n v="1.0267501540532601E+19"/>
  </r>
  <r>
    <b v="0"/>
    <x v="13"/>
    <x v="17"/>
    <x v="0"/>
    <x v="1"/>
    <x v="322"/>
    <n v="0"/>
    <n v="1.7268479361997601E+19"/>
  </r>
  <r>
    <b v="0"/>
    <x v="12"/>
    <x v="17"/>
    <x v="0"/>
    <x v="1"/>
    <x v="323"/>
    <n v="0"/>
    <n v="5.0742648689355704E+18"/>
  </r>
  <r>
    <b v="0"/>
    <x v="11"/>
    <x v="17"/>
    <x v="0"/>
    <x v="1"/>
    <x v="324"/>
    <n v="0"/>
    <n v="2.5132981836610002E+18"/>
  </r>
  <r>
    <b v="0"/>
    <x v="10"/>
    <x v="17"/>
    <x v="0"/>
    <x v="1"/>
    <x v="325"/>
    <n v="0"/>
    <n v="4.8938783995581297E+18"/>
  </r>
  <r>
    <b v="0"/>
    <x v="9"/>
    <x v="17"/>
    <x v="0"/>
    <x v="1"/>
    <x v="326"/>
    <n v="0"/>
    <n v="1.7571304365744099E+19"/>
  </r>
  <r>
    <b v="0"/>
    <x v="1"/>
    <x v="17"/>
    <x v="0"/>
    <x v="1"/>
    <x v="327"/>
    <n v="0"/>
    <n v="4.6375731579473797E+18"/>
  </r>
  <r>
    <b v="0"/>
    <x v="8"/>
    <x v="17"/>
    <x v="0"/>
    <x v="1"/>
    <x v="328"/>
    <n v="0"/>
    <n v="1.59055244978723E+19"/>
  </r>
  <r>
    <b v="0"/>
    <x v="7"/>
    <x v="17"/>
    <x v="0"/>
    <x v="1"/>
    <x v="329"/>
    <n v="0"/>
    <n v="1.07432713782697E+19"/>
  </r>
  <r>
    <b v="0"/>
    <x v="6"/>
    <x v="17"/>
    <x v="0"/>
    <x v="1"/>
    <x v="330"/>
    <n v="0"/>
    <n v="1.6379874526085401E+19"/>
  </r>
  <r>
    <b v="0"/>
    <x v="5"/>
    <x v="17"/>
    <x v="0"/>
    <x v="1"/>
    <x v="331"/>
    <n v="0"/>
    <n v="8.0899807002566502E+18"/>
  </r>
  <r>
    <b v="0"/>
    <x v="9"/>
    <x v="18"/>
    <x v="0"/>
    <x v="1"/>
    <x v="332"/>
    <n v="0"/>
    <n v="1.2039639697822099E+19"/>
  </r>
  <r>
    <b v="0"/>
    <x v="2"/>
    <x v="17"/>
    <x v="0"/>
    <x v="1"/>
    <x v="333"/>
    <n v="0"/>
    <n v="1.08583698120432E+18"/>
  </r>
  <r>
    <b v="0"/>
    <x v="5"/>
    <x v="3"/>
    <x v="0"/>
    <x v="1"/>
    <x v="334"/>
    <n v="0"/>
    <n v="1.0086806683340599E+19"/>
  </r>
  <r>
    <b v="0"/>
    <x v="0"/>
    <x v="17"/>
    <x v="0"/>
    <x v="1"/>
    <x v="335"/>
    <n v="0"/>
    <n v="1.34913912250671E+19"/>
  </r>
  <r>
    <b v="0"/>
    <x v="12"/>
    <x v="16"/>
    <x v="0"/>
    <x v="1"/>
    <x v="336"/>
    <n v="0"/>
    <n v="1.13395224071762E+19"/>
  </r>
  <r>
    <b v="0"/>
    <x v="11"/>
    <x v="16"/>
    <x v="0"/>
    <x v="1"/>
    <x v="337"/>
    <n v="0"/>
    <n v="7.9609203724699597E+17"/>
  </r>
  <r>
    <b v="0"/>
    <x v="10"/>
    <x v="16"/>
    <x v="0"/>
    <x v="1"/>
    <x v="338"/>
    <n v="0"/>
    <n v="4.8684426015630602E+18"/>
  </r>
  <r>
    <b v="0"/>
    <x v="9"/>
    <x v="16"/>
    <x v="0"/>
    <x v="1"/>
    <x v="339"/>
    <n v="0"/>
    <n v="1.5306002480887099E+19"/>
  </r>
  <r>
    <b v="0"/>
    <x v="1"/>
    <x v="16"/>
    <x v="0"/>
    <x v="1"/>
    <x v="340"/>
    <n v="0"/>
    <n v="8.5157808245998106E+17"/>
  </r>
  <r>
    <b v="0"/>
    <x v="8"/>
    <x v="16"/>
    <x v="0"/>
    <x v="1"/>
    <x v="341"/>
    <n v="0"/>
    <n v="9.2322183038907802E+18"/>
  </r>
  <r>
    <b v="0"/>
    <x v="7"/>
    <x v="16"/>
    <x v="0"/>
    <x v="1"/>
    <x v="342"/>
    <n v="0"/>
    <n v="1.3518951049007401E+19"/>
  </r>
  <r>
    <b v="0"/>
    <x v="6"/>
    <x v="16"/>
    <x v="0"/>
    <x v="1"/>
    <x v="343"/>
    <n v="0"/>
    <n v="1.0992493415197499E+19"/>
  </r>
  <r>
    <b v="0"/>
    <x v="5"/>
    <x v="16"/>
    <x v="0"/>
    <x v="1"/>
    <x v="344"/>
    <n v="0"/>
    <n v="5.4115063550213396E+18"/>
  </r>
  <r>
    <b v="0"/>
    <x v="4"/>
    <x v="16"/>
    <x v="0"/>
    <x v="1"/>
    <x v="345"/>
    <n v="0"/>
    <n v="7.8804247965312604E+18"/>
  </r>
  <r>
    <b v="0"/>
    <x v="3"/>
    <x v="16"/>
    <x v="0"/>
    <x v="1"/>
    <x v="346"/>
    <n v="0"/>
    <n v="8.1381204645395804E+18"/>
  </r>
  <r>
    <b v="0"/>
    <x v="2"/>
    <x v="16"/>
    <x v="0"/>
    <x v="1"/>
    <x v="347"/>
    <n v="0"/>
    <n v="8.0573583854590904E+18"/>
  </r>
  <r>
    <b v="0"/>
    <x v="0"/>
    <x v="16"/>
    <x v="0"/>
    <x v="1"/>
    <x v="348"/>
    <n v="0"/>
    <n v="1.4646521124886901E+19"/>
  </r>
  <r>
    <b v="0"/>
    <x v="13"/>
    <x v="15"/>
    <x v="0"/>
    <x v="1"/>
    <x v="349"/>
    <n v="0"/>
    <n v="1.47353625867712E+19"/>
  </r>
  <r>
    <b v="0"/>
    <x v="12"/>
    <x v="15"/>
    <x v="0"/>
    <x v="1"/>
    <x v="350"/>
    <n v="0"/>
    <n v="4.32591130821549E+18"/>
  </r>
  <r>
    <b v="0"/>
    <x v="13"/>
    <x v="16"/>
    <x v="0"/>
    <x v="1"/>
    <x v="351"/>
    <n v="0"/>
    <n v="1.25795034370823E+19"/>
  </r>
  <r>
    <b v="0"/>
    <x v="10"/>
    <x v="15"/>
    <x v="0"/>
    <x v="1"/>
    <x v="352"/>
    <n v="0"/>
    <n v="1.0943288973280399E+19"/>
  </r>
  <r>
    <b v="0"/>
    <x v="9"/>
    <x v="15"/>
    <x v="0"/>
    <x v="1"/>
    <x v="353"/>
    <n v="0"/>
    <n v="1.079798482373E+19"/>
  </r>
  <r>
    <b v="0"/>
    <x v="1"/>
    <x v="15"/>
    <x v="0"/>
    <x v="1"/>
    <x v="354"/>
    <n v="0"/>
    <n v="1.04538743512321E+19"/>
  </r>
  <r>
    <b v="0"/>
    <x v="8"/>
    <x v="15"/>
    <x v="0"/>
    <x v="1"/>
    <x v="355"/>
    <n v="0"/>
    <n v="7.31273612375471E+18"/>
  </r>
  <r>
    <b v="0"/>
    <x v="7"/>
    <x v="15"/>
    <x v="0"/>
    <x v="1"/>
    <x v="356"/>
    <n v="0"/>
    <n v="1.7470819307790801E+19"/>
  </r>
  <r>
    <b v="0"/>
    <x v="6"/>
    <x v="15"/>
    <x v="0"/>
    <x v="1"/>
    <x v="357"/>
    <n v="0"/>
    <n v="9.8440557396208599E+18"/>
  </r>
  <r>
    <b v="0"/>
    <x v="5"/>
    <x v="15"/>
    <x v="0"/>
    <x v="1"/>
    <x v="358"/>
    <n v="0"/>
    <n v="4.4797535393231002E+18"/>
  </r>
  <r>
    <b v="0"/>
    <x v="4"/>
    <x v="15"/>
    <x v="0"/>
    <x v="1"/>
    <x v="359"/>
    <n v="0"/>
    <n v="8.9544922688128704E+17"/>
  </r>
  <r>
    <b v="0"/>
    <x v="3"/>
    <x v="15"/>
    <x v="0"/>
    <x v="1"/>
    <x v="360"/>
    <n v="0"/>
    <n v="1.03282951047501E+19"/>
  </r>
  <r>
    <b v="0"/>
    <x v="2"/>
    <x v="15"/>
    <x v="0"/>
    <x v="1"/>
    <x v="361"/>
    <n v="0"/>
    <n v="6.16529675695953E+18"/>
  </r>
  <r>
    <b v="0"/>
    <x v="0"/>
    <x v="15"/>
    <x v="0"/>
    <x v="1"/>
    <x v="362"/>
    <n v="0"/>
    <n v="1.40857487983365E+19"/>
  </r>
  <r>
    <b v="0"/>
    <x v="13"/>
    <x v="12"/>
    <x v="0"/>
    <x v="1"/>
    <x v="363"/>
    <n v="0"/>
    <n v="1.7966462377967201E+18"/>
  </r>
  <r>
    <b v="0"/>
    <x v="12"/>
    <x v="12"/>
    <x v="0"/>
    <x v="1"/>
    <x v="364"/>
    <n v="0"/>
    <n v="1.0024067045177E+19"/>
  </r>
  <r>
    <b v="0"/>
    <x v="11"/>
    <x v="6"/>
    <x v="0"/>
    <x v="1"/>
    <x v="365"/>
    <n v="0"/>
    <n v="1.4494854478776499E+18"/>
  </r>
  <r>
    <b v="0"/>
    <x v="10"/>
    <x v="12"/>
    <x v="0"/>
    <x v="1"/>
    <x v="366"/>
    <n v="0"/>
    <n v="1.7093603679742401E+19"/>
  </r>
  <r>
    <b v="0"/>
    <x v="9"/>
    <x v="12"/>
    <x v="0"/>
    <x v="1"/>
    <x v="367"/>
    <n v="0"/>
    <n v="3.6384159842405499E+18"/>
  </r>
  <r>
    <b v="0"/>
    <x v="1"/>
    <x v="12"/>
    <x v="0"/>
    <x v="1"/>
    <x v="368"/>
    <n v="0"/>
    <n v="7.2291793017464105E+18"/>
  </r>
  <r>
    <b v="0"/>
    <x v="8"/>
    <x v="12"/>
    <x v="0"/>
    <x v="1"/>
    <x v="369"/>
    <n v="0"/>
    <n v="9.0039677984243802E+17"/>
  </r>
  <r>
    <b v="0"/>
    <x v="7"/>
    <x v="12"/>
    <x v="0"/>
    <x v="1"/>
    <x v="370"/>
    <n v="0"/>
    <n v="1.16872275151825E+19"/>
  </r>
  <r>
    <b v="0"/>
    <x v="6"/>
    <x v="12"/>
    <x v="0"/>
    <x v="1"/>
    <x v="371"/>
    <n v="0"/>
    <n v="1.8194085023979901E+19"/>
  </r>
  <r>
    <b v="0"/>
    <x v="5"/>
    <x v="12"/>
    <x v="0"/>
    <x v="1"/>
    <x v="372"/>
    <n v="0"/>
    <n v="9.9930924517842801E+18"/>
  </r>
  <r>
    <b v="0"/>
    <x v="4"/>
    <x v="12"/>
    <x v="0"/>
    <x v="1"/>
    <x v="373"/>
    <n v="0"/>
    <n v="1.2853773854474701E+19"/>
  </r>
  <r>
    <b v="0"/>
    <x v="3"/>
    <x v="12"/>
    <x v="0"/>
    <x v="1"/>
    <x v="374"/>
    <n v="0"/>
    <n v="5.1226853132986798E+18"/>
  </r>
  <r>
    <b v="0"/>
    <x v="2"/>
    <x v="12"/>
    <x v="0"/>
    <x v="1"/>
    <x v="375"/>
    <n v="0"/>
    <n v="3.7825331143378099E+18"/>
  </r>
  <r>
    <b v="0"/>
    <x v="0"/>
    <x v="12"/>
    <x v="0"/>
    <x v="1"/>
    <x v="376"/>
    <n v="0"/>
    <n v="1.70578940832414E+19"/>
  </r>
  <r>
    <b v="0"/>
    <x v="13"/>
    <x v="13"/>
    <x v="0"/>
    <x v="1"/>
    <x v="377"/>
    <n v="0"/>
    <n v="5.2139736064987505E+18"/>
  </r>
  <r>
    <b v="0"/>
    <x v="12"/>
    <x v="13"/>
    <x v="0"/>
    <x v="1"/>
    <x v="378"/>
    <n v="0"/>
    <n v="1.6879487655609101E+18"/>
  </r>
  <r>
    <b v="0"/>
    <x v="11"/>
    <x v="13"/>
    <x v="0"/>
    <x v="1"/>
    <x v="379"/>
    <n v="0"/>
    <n v="1.30968670679215E+19"/>
  </r>
  <r>
    <b v="0"/>
    <x v="10"/>
    <x v="13"/>
    <x v="0"/>
    <x v="1"/>
    <x v="380"/>
    <n v="0"/>
    <n v="9.8333594191765606E+18"/>
  </r>
  <r>
    <b v="0"/>
    <x v="9"/>
    <x v="13"/>
    <x v="0"/>
    <x v="1"/>
    <x v="381"/>
    <n v="0"/>
    <n v="7.9549124026603397E+18"/>
  </r>
  <r>
    <b v="0"/>
    <x v="1"/>
    <x v="13"/>
    <x v="0"/>
    <x v="1"/>
    <x v="382"/>
    <n v="0"/>
    <n v="1.0783623522028E+18"/>
  </r>
  <r>
    <b v="0"/>
    <x v="8"/>
    <x v="13"/>
    <x v="0"/>
    <x v="1"/>
    <x v="383"/>
    <n v="0"/>
    <n v="1.2982508624455201E+19"/>
  </r>
  <r>
    <b v="0"/>
    <x v="7"/>
    <x v="13"/>
    <x v="0"/>
    <x v="1"/>
    <x v="384"/>
    <n v="0"/>
    <n v="1.73104337236769E+18"/>
  </r>
  <r>
    <b v="0"/>
    <x v="6"/>
    <x v="13"/>
    <x v="0"/>
    <x v="1"/>
    <x v="385"/>
    <n v="0"/>
    <n v="1.77135564849943E+19"/>
  </r>
  <r>
    <b v="0"/>
    <x v="5"/>
    <x v="13"/>
    <x v="0"/>
    <x v="1"/>
    <x v="386"/>
    <n v="0"/>
    <n v="1.0012324445745199E+19"/>
  </r>
  <r>
    <b v="0"/>
    <x v="4"/>
    <x v="13"/>
    <x v="0"/>
    <x v="1"/>
    <x v="387"/>
    <n v="0"/>
    <n v="1.2647176675138299E+18"/>
  </r>
  <r>
    <b v="0"/>
    <x v="3"/>
    <x v="13"/>
    <x v="0"/>
    <x v="1"/>
    <x v="388"/>
    <n v="0"/>
    <n v="1.25340514615848E+19"/>
  </r>
  <r>
    <b v="0"/>
    <x v="2"/>
    <x v="13"/>
    <x v="0"/>
    <x v="1"/>
    <x v="389"/>
    <n v="0"/>
    <n v="1.2678387752383701E+19"/>
  </r>
  <r>
    <b v="0"/>
    <x v="0"/>
    <x v="13"/>
    <x v="0"/>
    <x v="1"/>
    <x v="390"/>
    <n v="0"/>
    <n v="8.8531009369170596E+18"/>
  </r>
  <r>
    <b v="0"/>
    <x v="13"/>
    <x v="3"/>
    <x v="0"/>
    <x v="1"/>
    <x v="391"/>
    <n v="0"/>
    <n v="1.24087290869038E+19"/>
  </r>
  <r>
    <b v="0"/>
    <x v="12"/>
    <x v="3"/>
    <x v="0"/>
    <x v="1"/>
    <x v="392"/>
    <n v="0"/>
    <n v="1.4209822040855601E+18"/>
  </r>
  <r>
    <b v="0"/>
    <x v="11"/>
    <x v="3"/>
    <x v="0"/>
    <x v="1"/>
    <x v="393"/>
    <n v="0"/>
    <n v="1.18532427943174E+19"/>
  </r>
  <r>
    <b v="0"/>
    <x v="10"/>
    <x v="3"/>
    <x v="0"/>
    <x v="1"/>
    <x v="394"/>
    <n v="0"/>
    <n v="6.9144022351196498E+18"/>
  </r>
  <r>
    <b v="0"/>
    <x v="9"/>
    <x v="3"/>
    <x v="0"/>
    <x v="1"/>
    <x v="395"/>
    <n v="0"/>
    <n v="7.9916487204629699E+18"/>
  </r>
  <r>
    <b v="0"/>
    <x v="1"/>
    <x v="3"/>
    <x v="0"/>
    <x v="1"/>
    <x v="396"/>
    <n v="0"/>
    <n v="7.1573854748087501E+17"/>
  </r>
  <r>
    <b v="0"/>
    <x v="8"/>
    <x v="3"/>
    <x v="0"/>
    <x v="1"/>
    <x v="397"/>
    <n v="0"/>
    <n v="5.7801021343585004E+18"/>
  </r>
  <r>
    <b v="0"/>
    <x v="7"/>
    <x v="3"/>
    <x v="0"/>
    <x v="1"/>
    <x v="398"/>
    <n v="0"/>
    <n v="4.3641227818200003E+18"/>
  </r>
  <r>
    <b v="0"/>
    <x v="6"/>
    <x v="3"/>
    <x v="0"/>
    <x v="1"/>
    <x v="399"/>
    <n v="0"/>
    <n v="1.06191650421089E+18"/>
  </r>
  <r>
    <b v="0"/>
    <x v="11"/>
    <x v="12"/>
    <x v="0"/>
    <x v="1"/>
    <x v="400"/>
    <n v="0"/>
    <n v="1.1785509548882401E+18"/>
  </r>
  <r>
    <b v="0"/>
    <x v="4"/>
    <x v="3"/>
    <x v="0"/>
    <x v="1"/>
    <x v="401"/>
    <n v="0"/>
    <n v="1.1297705023531901E+19"/>
  </r>
  <r>
    <b v="0"/>
    <x v="2"/>
    <x v="10"/>
    <x v="0"/>
    <x v="1"/>
    <x v="402"/>
    <n v="0"/>
    <n v="5.0330233990663301E+18"/>
  </r>
  <r>
    <b v="0"/>
    <x v="2"/>
    <x v="3"/>
    <x v="0"/>
    <x v="1"/>
    <x v="403"/>
    <n v="0"/>
    <n v="2.19277774087698E+18"/>
  </r>
  <r>
    <b v="0"/>
    <x v="0"/>
    <x v="3"/>
    <x v="0"/>
    <x v="1"/>
    <x v="404"/>
    <n v="0"/>
    <n v="4.7300775984948797E+18"/>
  </r>
  <r>
    <b v="0"/>
    <x v="13"/>
    <x v="10"/>
    <x v="0"/>
    <x v="1"/>
    <x v="405"/>
    <n v="0"/>
    <n v="2.6170753423184901E+18"/>
  </r>
  <r>
    <b v="0"/>
    <x v="12"/>
    <x v="10"/>
    <x v="0"/>
    <x v="1"/>
    <x v="406"/>
    <n v="0"/>
    <n v="1.7558260626243199E+19"/>
  </r>
  <r>
    <b v="0"/>
    <x v="11"/>
    <x v="10"/>
    <x v="0"/>
    <x v="1"/>
    <x v="407"/>
    <n v="0"/>
    <n v="7.6091461885916498E+18"/>
  </r>
  <r>
    <b v="0"/>
    <x v="10"/>
    <x v="10"/>
    <x v="0"/>
    <x v="1"/>
    <x v="408"/>
    <n v="0"/>
    <n v="5.7282520718658796E+18"/>
  </r>
  <r>
    <b v="0"/>
    <x v="9"/>
    <x v="10"/>
    <x v="0"/>
    <x v="1"/>
    <x v="409"/>
    <n v="0"/>
    <n v="8.0541844237591296E+17"/>
  </r>
  <r>
    <b v="0"/>
    <x v="1"/>
    <x v="10"/>
    <x v="0"/>
    <x v="1"/>
    <x v="410"/>
    <n v="0"/>
    <n v="1.14820179669928E+19"/>
  </r>
  <r>
    <b v="0"/>
    <x v="8"/>
    <x v="10"/>
    <x v="0"/>
    <x v="1"/>
    <x v="411"/>
    <n v="0"/>
    <n v="1.20288835513926E+19"/>
  </r>
  <r>
    <b v="0"/>
    <x v="7"/>
    <x v="10"/>
    <x v="0"/>
    <x v="1"/>
    <x v="412"/>
    <n v="0"/>
    <n v="1.3287879561393601E+19"/>
  </r>
  <r>
    <b v="0"/>
    <x v="6"/>
    <x v="10"/>
    <x v="0"/>
    <x v="1"/>
    <x v="413"/>
    <n v="0"/>
    <n v="6.1309239331228498E+18"/>
  </r>
  <r>
    <b v="0"/>
    <x v="5"/>
    <x v="10"/>
    <x v="0"/>
    <x v="1"/>
    <x v="414"/>
    <n v="0"/>
    <n v="1.2214400982390899E+18"/>
  </r>
  <r>
    <b v="0"/>
    <x v="4"/>
    <x v="10"/>
    <x v="0"/>
    <x v="1"/>
    <x v="415"/>
    <n v="0"/>
    <n v="2.8026858997331901E+18"/>
  </r>
  <r>
    <b v="0"/>
    <x v="3"/>
    <x v="10"/>
    <x v="0"/>
    <x v="1"/>
    <x v="416"/>
    <n v="0"/>
    <n v="1.33232011015396E+19"/>
  </r>
  <r>
    <b v="0"/>
    <x v="0"/>
    <x v="10"/>
    <x v="0"/>
    <x v="1"/>
    <x v="417"/>
    <n v="0"/>
    <n v="1.0480965105958601E+19"/>
  </r>
  <r>
    <b v="0"/>
    <x v="8"/>
    <x v="1"/>
    <x v="0"/>
    <x v="1"/>
    <x v="418"/>
    <n v="0"/>
    <n v="1.4978288199065801E+19"/>
  </r>
  <r>
    <b v="0"/>
    <x v="13"/>
    <x v="9"/>
    <x v="0"/>
    <x v="1"/>
    <x v="419"/>
    <n v="0"/>
    <n v="3.17016304450413E+16"/>
  </r>
  <r>
    <b v="0"/>
    <x v="12"/>
    <x v="9"/>
    <x v="0"/>
    <x v="1"/>
    <x v="420"/>
    <n v="0"/>
    <n v="5.5596496035945697E+18"/>
  </r>
  <r>
    <b v="0"/>
    <x v="11"/>
    <x v="9"/>
    <x v="0"/>
    <x v="1"/>
    <x v="421"/>
    <n v="0"/>
    <n v="7.1106274265016105E+18"/>
  </r>
  <r>
    <b v="0"/>
    <x v="10"/>
    <x v="9"/>
    <x v="0"/>
    <x v="1"/>
    <x v="422"/>
    <n v="0"/>
    <n v="4.6422827889573202E+18"/>
  </r>
  <r>
    <b v="0"/>
    <x v="9"/>
    <x v="9"/>
    <x v="0"/>
    <x v="1"/>
    <x v="423"/>
    <n v="0"/>
    <n v="2.9192824058986501E+18"/>
  </r>
  <r>
    <b v="0"/>
    <x v="1"/>
    <x v="9"/>
    <x v="0"/>
    <x v="1"/>
    <x v="424"/>
    <n v="0"/>
    <n v="6.5451915203922496E+17"/>
  </r>
  <r>
    <b v="0"/>
    <x v="8"/>
    <x v="9"/>
    <x v="0"/>
    <x v="1"/>
    <x v="425"/>
    <n v="0"/>
    <n v="1.5466273290788E+19"/>
  </r>
  <r>
    <b v="0"/>
    <x v="7"/>
    <x v="9"/>
    <x v="0"/>
    <x v="1"/>
    <x v="426"/>
    <n v="0"/>
    <n v="1.0297744750076801E+19"/>
  </r>
  <r>
    <b v="0"/>
    <x v="6"/>
    <x v="9"/>
    <x v="0"/>
    <x v="1"/>
    <x v="427"/>
    <n v="0"/>
    <n v="1.7984196869287201E+19"/>
  </r>
  <r>
    <b v="0"/>
    <x v="5"/>
    <x v="9"/>
    <x v="0"/>
    <x v="1"/>
    <x v="428"/>
    <n v="0"/>
    <n v="1.9089743237855201E+18"/>
  </r>
  <r>
    <b v="0"/>
    <x v="4"/>
    <x v="9"/>
    <x v="0"/>
    <x v="1"/>
    <x v="429"/>
    <n v="0"/>
    <n v="1.56257901831814E+19"/>
  </r>
  <r>
    <b v="0"/>
    <x v="3"/>
    <x v="9"/>
    <x v="0"/>
    <x v="1"/>
    <x v="430"/>
    <n v="0"/>
    <n v="1.21160455259734E+19"/>
  </r>
  <r>
    <b v="0"/>
    <x v="2"/>
    <x v="9"/>
    <x v="0"/>
    <x v="1"/>
    <x v="431"/>
    <n v="0"/>
    <n v="8.6580816913807503E+18"/>
  </r>
  <r>
    <b v="0"/>
    <x v="13"/>
    <x v="8"/>
    <x v="0"/>
    <x v="1"/>
    <x v="432"/>
    <n v="0"/>
    <n v="1.2135396313079599E+19"/>
  </r>
  <r>
    <b v="0"/>
    <x v="0"/>
    <x v="9"/>
    <x v="0"/>
    <x v="1"/>
    <x v="433"/>
    <n v="0"/>
    <n v="1.0813419604755599E+19"/>
  </r>
  <r>
    <b v="0"/>
    <x v="12"/>
    <x v="8"/>
    <x v="0"/>
    <x v="1"/>
    <x v="434"/>
    <n v="0"/>
    <n v="1.63688607237178E+19"/>
  </r>
  <r>
    <b v="0"/>
    <x v="9"/>
    <x v="1"/>
    <x v="0"/>
    <x v="1"/>
    <x v="435"/>
    <n v="0"/>
    <n v="3.3653891187473802E+18"/>
  </r>
  <r>
    <b v="0"/>
    <x v="11"/>
    <x v="8"/>
    <x v="0"/>
    <x v="1"/>
    <x v="436"/>
    <n v="0"/>
    <n v="1.46763252607303E+19"/>
  </r>
  <r>
    <b v="0"/>
    <x v="5"/>
    <x v="5"/>
    <x v="0"/>
    <x v="1"/>
    <x v="437"/>
    <n v="0"/>
    <n v="8.7437522422449306E+17"/>
  </r>
  <r>
    <b v="0"/>
    <x v="9"/>
    <x v="8"/>
    <x v="0"/>
    <x v="1"/>
    <x v="438"/>
    <n v="0"/>
    <n v="1.32352501049549E+19"/>
  </r>
  <r>
    <b v="0"/>
    <x v="1"/>
    <x v="8"/>
    <x v="0"/>
    <x v="1"/>
    <x v="439"/>
    <n v="0"/>
    <n v="1.65997188983233E+19"/>
  </r>
  <r>
    <b v="0"/>
    <x v="8"/>
    <x v="8"/>
    <x v="0"/>
    <x v="1"/>
    <x v="440"/>
    <n v="0"/>
    <n v="1.01160346872273E+19"/>
  </r>
  <r>
    <b v="0"/>
    <x v="7"/>
    <x v="8"/>
    <x v="0"/>
    <x v="1"/>
    <x v="441"/>
    <n v="0"/>
    <n v="8.7514377087120804E+18"/>
  </r>
  <r>
    <b v="0"/>
    <x v="6"/>
    <x v="8"/>
    <x v="0"/>
    <x v="1"/>
    <x v="442"/>
    <n v="0"/>
    <n v="3.5781719804665001E+18"/>
  </r>
  <r>
    <b v="0"/>
    <x v="5"/>
    <x v="8"/>
    <x v="0"/>
    <x v="1"/>
    <x v="443"/>
    <n v="0"/>
    <n v="4.0171649026610099E+18"/>
  </r>
  <r>
    <b v="0"/>
    <x v="4"/>
    <x v="8"/>
    <x v="0"/>
    <x v="1"/>
    <x v="444"/>
    <n v="0"/>
    <n v="1.7970329260924801E+19"/>
  </r>
  <r>
    <b v="0"/>
    <x v="3"/>
    <x v="8"/>
    <x v="0"/>
    <x v="1"/>
    <x v="445"/>
    <n v="0"/>
    <n v="5.8196052835128904E+18"/>
  </r>
  <r>
    <b v="0"/>
    <x v="2"/>
    <x v="8"/>
    <x v="0"/>
    <x v="1"/>
    <x v="446"/>
    <n v="0"/>
    <n v="4.9734816663329495E+18"/>
  </r>
  <r>
    <b v="0"/>
    <x v="0"/>
    <x v="8"/>
    <x v="0"/>
    <x v="1"/>
    <x v="447"/>
    <n v="0"/>
    <n v="7.78890062320606E+18"/>
  </r>
  <r>
    <b v="0"/>
    <x v="13"/>
    <x v="7"/>
    <x v="0"/>
    <x v="1"/>
    <x v="448"/>
    <n v="0"/>
    <n v="1.3198807740834501E+19"/>
  </r>
  <r>
    <b v="0"/>
    <x v="12"/>
    <x v="7"/>
    <x v="0"/>
    <x v="1"/>
    <x v="449"/>
    <n v="0"/>
    <n v="9.4001840497253806E+18"/>
  </r>
  <r>
    <b v="0"/>
    <x v="11"/>
    <x v="7"/>
    <x v="0"/>
    <x v="1"/>
    <x v="450"/>
    <n v="0"/>
    <n v="3.51194217619874E+18"/>
  </r>
  <r>
    <b v="0"/>
    <x v="10"/>
    <x v="7"/>
    <x v="0"/>
    <x v="1"/>
    <x v="451"/>
    <n v="0"/>
    <n v="1.5268461608630499E+19"/>
  </r>
  <r>
    <b v="0"/>
    <x v="9"/>
    <x v="7"/>
    <x v="0"/>
    <x v="1"/>
    <x v="452"/>
    <n v="0"/>
    <n v="5.5103593330328003E+18"/>
  </r>
  <r>
    <b v="0"/>
    <x v="1"/>
    <x v="7"/>
    <x v="0"/>
    <x v="1"/>
    <x v="453"/>
    <n v="0"/>
    <n v="2.4864807360680202E+18"/>
  </r>
  <r>
    <b v="0"/>
    <x v="8"/>
    <x v="7"/>
    <x v="0"/>
    <x v="1"/>
    <x v="454"/>
    <n v="0"/>
    <n v="1.0205428555308401E+19"/>
  </r>
  <r>
    <b v="0"/>
    <x v="7"/>
    <x v="7"/>
    <x v="0"/>
    <x v="1"/>
    <x v="455"/>
    <n v="0"/>
    <n v="1.29567175588131E+19"/>
  </r>
  <r>
    <b v="0"/>
    <x v="6"/>
    <x v="7"/>
    <x v="0"/>
    <x v="1"/>
    <x v="456"/>
    <n v="0"/>
    <n v="4.2097803097850798E+18"/>
  </r>
  <r>
    <b v="0"/>
    <x v="5"/>
    <x v="7"/>
    <x v="0"/>
    <x v="1"/>
    <x v="457"/>
    <n v="0"/>
    <n v="9.1754053804521001E+18"/>
  </r>
  <r>
    <b v="0"/>
    <x v="4"/>
    <x v="7"/>
    <x v="0"/>
    <x v="1"/>
    <x v="458"/>
    <n v="0"/>
    <n v="1.2937827041621801E+19"/>
  </r>
  <r>
    <b v="0"/>
    <x v="3"/>
    <x v="7"/>
    <x v="0"/>
    <x v="1"/>
    <x v="459"/>
    <n v="0"/>
    <n v="7.1508585132567798E+18"/>
  </r>
  <r>
    <b v="0"/>
    <x v="2"/>
    <x v="7"/>
    <x v="0"/>
    <x v="1"/>
    <x v="460"/>
    <n v="0"/>
    <n v="1.59994094045958E+19"/>
  </r>
  <r>
    <b v="0"/>
    <x v="0"/>
    <x v="7"/>
    <x v="0"/>
    <x v="1"/>
    <x v="461"/>
    <n v="0"/>
    <n v="1.1438130301255201E+19"/>
  </r>
  <r>
    <b v="0"/>
    <x v="13"/>
    <x v="1"/>
    <x v="0"/>
    <x v="1"/>
    <x v="462"/>
    <n v="0"/>
    <n v="6.0610703295014797E+17"/>
  </r>
  <r>
    <b v="0"/>
    <x v="12"/>
    <x v="1"/>
    <x v="0"/>
    <x v="1"/>
    <x v="463"/>
    <n v="0"/>
    <n v="5.21735595253648E+17"/>
  </r>
  <r>
    <b v="0"/>
    <x v="11"/>
    <x v="1"/>
    <x v="0"/>
    <x v="1"/>
    <x v="464"/>
    <n v="0"/>
    <n v="8.0695399848397302E+18"/>
  </r>
  <r>
    <b v="0"/>
    <x v="10"/>
    <x v="1"/>
    <x v="0"/>
    <x v="1"/>
    <x v="465"/>
    <n v="0"/>
    <n v="1.81616297678492E+19"/>
  </r>
  <r>
    <b v="0"/>
    <x v="1"/>
    <x v="1"/>
    <x v="0"/>
    <x v="1"/>
    <x v="466"/>
    <n v="0"/>
    <n v="1.64032449360194E+18"/>
  </r>
  <r>
    <b v="0"/>
    <x v="10"/>
    <x v="8"/>
    <x v="0"/>
    <x v="1"/>
    <x v="467"/>
    <n v="0"/>
    <n v="6.0975102913592801E+18"/>
  </r>
  <r>
    <b v="0"/>
    <x v="7"/>
    <x v="1"/>
    <x v="0"/>
    <x v="1"/>
    <x v="468"/>
    <n v="0"/>
    <n v="8.5603108278357801E+18"/>
  </r>
  <r>
    <b v="0"/>
    <x v="4"/>
    <x v="4"/>
    <x v="0"/>
    <x v="1"/>
    <x v="469"/>
    <n v="0"/>
    <n v="1.4141813278560299E+19"/>
  </r>
  <r>
    <b v="0"/>
    <x v="5"/>
    <x v="1"/>
    <x v="0"/>
    <x v="1"/>
    <x v="470"/>
    <n v="0"/>
    <n v="1.6866288503832101E+19"/>
  </r>
  <r>
    <b v="0"/>
    <x v="4"/>
    <x v="1"/>
    <x v="0"/>
    <x v="1"/>
    <x v="471"/>
    <n v="0"/>
    <n v="1.6845313904453701E+18"/>
  </r>
  <r>
    <b v="0"/>
    <x v="3"/>
    <x v="1"/>
    <x v="0"/>
    <x v="1"/>
    <x v="472"/>
    <n v="0"/>
    <n v="1.8858426232797199E+18"/>
  </r>
  <r>
    <b v="0"/>
    <x v="2"/>
    <x v="1"/>
    <x v="0"/>
    <x v="1"/>
    <x v="473"/>
    <n v="0"/>
    <n v="1.18810164876002E+17"/>
  </r>
  <r>
    <b v="0"/>
    <x v="0"/>
    <x v="1"/>
    <x v="0"/>
    <x v="1"/>
    <x v="474"/>
    <n v="0"/>
    <n v="5.62163131468706E+18"/>
  </r>
  <r>
    <b v="0"/>
    <x v="13"/>
    <x v="5"/>
    <x v="0"/>
    <x v="1"/>
    <x v="475"/>
    <n v="0"/>
    <n v="1.6906714073502099E+19"/>
  </r>
  <r>
    <b v="0"/>
    <x v="12"/>
    <x v="5"/>
    <x v="0"/>
    <x v="1"/>
    <x v="476"/>
    <n v="0"/>
    <n v="1.7591056061821E+19"/>
  </r>
  <r>
    <b v="0"/>
    <x v="11"/>
    <x v="5"/>
    <x v="0"/>
    <x v="1"/>
    <x v="477"/>
    <n v="0"/>
    <n v="1.1510475442208299E+19"/>
  </r>
  <r>
    <b v="0"/>
    <x v="10"/>
    <x v="5"/>
    <x v="0"/>
    <x v="1"/>
    <x v="478"/>
    <n v="0"/>
    <n v="3.9390530693530598E+18"/>
  </r>
  <r>
    <b v="0"/>
    <x v="9"/>
    <x v="5"/>
    <x v="0"/>
    <x v="1"/>
    <x v="479"/>
    <n v="0"/>
    <n v="1.74750475143145E+19"/>
  </r>
  <r>
    <b v="0"/>
    <x v="1"/>
    <x v="5"/>
    <x v="0"/>
    <x v="1"/>
    <x v="480"/>
    <n v="0"/>
    <n v="4.3867724958372198E+18"/>
  </r>
  <r>
    <b v="0"/>
    <x v="8"/>
    <x v="5"/>
    <x v="0"/>
    <x v="1"/>
    <x v="481"/>
    <n v="0"/>
    <n v="5.6023069881703098E+17"/>
  </r>
  <r>
    <b v="0"/>
    <x v="3"/>
    <x v="3"/>
    <x v="0"/>
    <x v="1"/>
    <x v="482"/>
    <n v="0"/>
    <n v="3.2893874378664402E+18"/>
  </r>
  <r>
    <b v="0"/>
    <x v="6"/>
    <x v="5"/>
    <x v="0"/>
    <x v="1"/>
    <x v="483"/>
    <n v="0"/>
    <n v="5.1844109072520102E+17"/>
  </r>
  <r>
    <b v="0"/>
    <x v="4"/>
    <x v="5"/>
    <x v="0"/>
    <x v="1"/>
    <x v="484"/>
    <n v="0"/>
    <n v="1.65956075732522E+19"/>
  </r>
  <r>
    <b v="0"/>
    <x v="3"/>
    <x v="5"/>
    <x v="0"/>
    <x v="1"/>
    <x v="485"/>
    <n v="0"/>
    <n v="6.6554001648697702E+18"/>
  </r>
  <r>
    <b v="0"/>
    <x v="2"/>
    <x v="5"/>
    <x v="0"/>
    <x v="1"/>
    <x v="486"/>
    <n v="0"/>
    <n v="5.7972598725616205E+17"/>
  </r>
  <r>
    <b v="0"/>
    <x v="0"/>
    <x v="5"/>
    <x v="0"/>
    <x v="1"/>
    <x v="487"/>
    <n v="0"/>
    <n v="1.57456156890804E+19"/>
  </r>
  <r>
    <b v="0"/>
    <x v="13"/>
    <x v="4"/>
    <x v="0"/>
    <x v="1"/>
    <x v="488"/>
    <n v="0"/>
    <n v="1.4583238962833E+19"/>
  </r>
  <r>
    <b v="0"/>
    <x v="12"/>
    <x v="4"/>
    <x v="0"/>
    <x v="1"/>
    <x v="489"/>
    <n v="0"/>
    <n v="1.4827073334363601E+19"/>
  </r>
  <r>
    <b v="0"/>
    <x v="11"/>
    <x v="4"/>
    <x v="0"/>
    <x v="1"/>
    <x v="490"/>
    <n v="0"/>
    <n v="1.0815640054939501E+19"/>
  </r>
  <r>
    <b v="0"/>
    <x v="10"/>
    <x v="4"/>
    <x v="0"/>
    <x v="1"/>
    <x v="491"/>
    <n v="0"/>
    <n v="6.4077701706803599E+18"/>
  </r>
  <r>
    <b v="0"/>
    <x v="9"/>
    <x v="4"/>
    <x v="0"/>
    <x v="1"/>
    <x v="492"/>
    <n v="0"/>
    <n v="1.78575681032954E+19"/>
  </r>
  <r>
    <b v="0"/>
    <x v="1"/>
    <x v="4"/>
    <x v="0"/>
    <x v="1"/>
    <x v="493"/>
    <n v="0"/>
    <n v="1.07704022656785E+19"/>
  </r>
  <r>
    <b v="0"/>
    <x v="8"/>
    <x v="4"/>
    <x v="0"/>
    <x v="1"/>
    <x v="494"/>
    <n v="0"/>
    <n v="3.0075353796982902E+18"/>
  </r>
  <r>
    <b v="0"/>
    <x v="7"/>
    <x v="4"/>
    <x v="0"/>
    <x v="1"/>
    <x v="495"/>
    <n v="0"/>
    <n v="1.78655780523143E+19"/>
  </r>
  <r>
    <b v="0"/>
    <x v="6"/>
    <x v="4"/>
    <x v="0"/>
    <x v="1"/>
    <x v="496"/>
    <n v="0"/>
    <n v="1.1196894234217299E+17"/>
  </r>
  <r>
    <b v="0"/>
    <x v="5"/>
    <x v="4"/>
    <x v="0"/>
    <x v="1"/>
    <x v="497"/>
    <n v="0"/>
    <n v="1.84813373950563E+18"/>
  </r>
  <r>
    <b v="0"/>
    <x v="13"/>
    <x v="2"/>
    <x v="0"/>
    <x v="1"/>
    <x v="498"/>
    <n v="0"/>
    <n v="6.2719426754657597E+18"/>
  </r>
  <r>
    <b v="0"/>
    <x v="6"/>
    <x v="1"/>
    <x v="0"/>
    <x v="1"/>
    <x v="499"/>
    <n v="0"/>
    <n v="6.7714535999166003E+18"/>
  </r>
  <r>
    <b v="0"/>
    <x v="7"/>
    <x v="5"/>
    <x v="0"/>
    <x v="1"/>
    <x v="500"/>
    <n v="0"/>
    <n v="2.3694184223385902E+18"/>
  </r>
  <r>
    <b v="0"/>
    <x v="3"/>
    <x v="4"/>
    <x v="0"/>
    <x v="1"/>
    <x v="501"/>
    <n v="0"/>
    <n v="1.3656253559872299E+19"/>
  </r>
  <r>
    <b v="0"/>
    <x v="11"/>
    <x v="0"/>
    <x v="0"/>
    <x v="1"/>
    <x v="502"/>
    <n v="0"/>
    <n v="1.25711558419981E+19"/>
  </r>
  <r>
    <b v="0"/>
    <x v="2"/>
    <x v="4"/>
    <x v="0"/>
    <x v="1"/>
    <x v="503"/>
    <n v="0"/>
    <n v="1.7524202973655501E+19"/>
  </r>
  <r>
    <b v="0"/>
    <x v="11"/>
    <x v="2"/>
    <x v="0"/>
    <x v="1"/>
    <x v="504"/>
    <n v="0"/>
    <n v="1.1678436432039801E+19"/>
  </r>
  <r>
    <b v="0"/>
    <x v="10"/>
    <x v="2"/>
    <x v="0"/>
    <x v="1"/>
    <x v="505"/>
    <n v="0"/>
    <n v="1.75342652459096E+19"/>
  </r>
  <r>
    <b v="0"/>
    <x v="9"/>
    <x v="2"/>
    <x v="0"/>
    <x v="1"/>
    <x v="506"/>
    <n v="0"/>
    <n v="4.20006496982159E+18"/>
  </r>
  <r>
    <b v="0"/>
    <x v="1"/>
    <x v="2"/>
    <x v="0"/>
    <x v="1"/>
    <x v="507"/>
    <n v="0"/>
    <n v="1.15222969256664E+19"/>
  </r>
  <r>
    <b v="0"/>
    <x v="8"/>
    <x v="2"/>
    <x v="0"/>
    <x v="1"/>
    <x v="508"/>
    <n v="0"/>
    <n v="7.5231207850714296E+18"/>
  </r>
  <r>
    <b v="0"/>
    <x v="7"/>
    <x v="2"/>
    <x v="0"/>
    <x v="1"/>
    <x v="509"/>
    <n v="0"/>
    <n v="9.0442684711120599E+18"/>
  </r>
  <r>
    <b v="0"/>
    <x v="6"/>
    <x v="2"/>
    <x v="0"/>
    <x v="1"/>
    <x v="510"/>
    <n v="0"/>
    <n v="1.9475159295625999E+18"/>
  </r>
  <r>
    <b v="0"/>
    <x v="5"/>
    <x v="2"/>
    <x v="0"/>
    <x v="1"/>
    <x v="511"/>
    <n v="0"/>
    <n v="6.20011476519522E+18"/>
  </r>
  <r>
    <b v="0"/>
    <x v="3"/>
    <x v="2"/>
    <x v="0"/>
    <x v="1"/>
    <x v="512"/>
    <n v="0"/>
    <n v="1.2801978673532201E+19"/>
  </r>
  <r>
    <b v="0"/>
    <x v="2"/>
    <x v="2"/>
    <x v="0"/>
    <x v="1"/>
    <x v="513"/>
    <n v="0"/>
    <n v="5.9273984920189297E+18"/>
  </r>
  <r>
    <b v="0"/>
    <x v="0"/>
    <x v="2"/>
    <x v="0"/>
    <x v="1"/>
    <x v="514"/>
    <n v="0"/>
    <n v="5.32037296930863E+18"/>
  </r>
  <r>
    <b v="0"/>
    <x v="13"/>
    <x v="0"/>
    <x v="0"/>
    <x v="1"/>
    <x v="515"/>
    <n v="0"/>
    <n v="7.2915666934307103E+18"/>
  </r>
  <r>
    <b v="0"/>
    <x v="12"/>
    <x v="0"/>
    <x v="0"/>
    <x v="1"/>
    <x v="516"/>
    <n v="0"/>
    <n v="1.5866730948826501E+18"/>
  </r>
  <r>
    <b v="0"/>
    <x v="4"/>
    <x v="2"/>
    <x v="0"/>
    <x v="1"/>
    <x v="517"/>
    <n v="0"/>
    <n v="1.61068746100657E+18"/>
  </r>
  <r>
    <b v="0"/>
    <x v="10"/>
    <x v="0"/>
    <x v="0"/>
    <x v="1"/>
    <x v="518"/>
    <n v="0"/>
    <n v="1.7784904713450299E+19"/>
  </r>
  <r>
    <b v="0"/>
    <x v="5"/>
    <x v="0"/>
    <x v="0"/>
    <x v="1"/>
    <x v="519"/>
    <n v="0"/>
    <n v="4.9923874406156001E+18"/>
  </r>
  <r>
    <b v="0"/>
    <x v="12"/>
    <x v="2"/>
    <x v="0"/>
    <x v="1"/>
    <x v="520"/>
    <n v="0"/>
    <n v="5.1661030513982996E+18"/>
  </r>
  <r>
    <b v="0"/>
    <x v="13"/>
    <x v="6"/>
    <x v="0"/>
    <x v="0"/>
    <x v="521"/>
    <n v="0"/>
    <n v="1.6996843119935799E+19"/>
  </r>
  <r>
    <b v="0"/>
    <x v="0"/>
    <x v="0"/>
    <x v="0"/>
    <x v="1"/>
    <x v="522"/>
    <n v="0"/>
    <n v="9.512889836641151E+18"/>
  </r>
  <r>
    <b v="0"/>
    <x v="2"/>
    <x v="0"/>
    <x v="0"/>
    <x v="1"/>
    <x v="523"/>
    <n v="0"/>
    <n v="1.69147955309149E+19"/>
  </r>
  <r>
    <b v="0"/>
    <x v="3"/>
    <x v="0"/>
    <x v="0"/>
    <x v="1"/>
    <x v="524"/>
    <n v="0"/>
    <n v="6.0007312989966797E+18"/>
  </r>
  <r>
    <b v="0"/>
    <x v="4"/>
    <x v="0"/>
    <x v="0"/>
    <x v="1"/>
    <x v="525"/>
    <n v="0"/>
    <n v="1.7285995212213101E+19"/>
  </r>
  <r>
    <b v="0"/>
    <x v="0"/>
    <x v="4"/>
    <x v="0"/>
    <x v="1"/>
    <x v="526"/>
    <n v="0"/>
    <n v="1.7825480253476399E+19"/>
  </r>
  <r>
    <b v="0"/>
    <x v="6"/>
    <x v="0"/>
    <x v="0"/>
    <x v="1"/>
    <x v="527"/>
    <n v="0"/>
    <n v="1.04465408233397E+18"/>
  </r>
  <r>
    <b v="0"/>
    <x v="8"/>
    <x v="0"/>
    <x v="0"/>
    <x v="1"/>
    <x v="528"/>
    <n v="0"/>
    <n v="1.62740150569338E+19"/>
  </r>
  <r>
    <b v="0"/>
    <x v="1"/>
    <x v="0"/>
    <x v="0"/>
    <x v="1"/>
    <x v="529"/>
    <n v="0"/>
    <n v="4.9255079697279795E+18"/>
  </r>
  <r>
    <b v="0"/>
    <x v="9"/>
    <x v="0"/>
    <x v="0"/>
    <x v="1"/>
    <x v="530"/>
    <n v="0"/>
    <n v="1.6913753185197001E+19"/>
  </r>
  <r>
    <b v="0"/>
    <x v="7"/>
    <x v="0"/>
    <x v="0"/>
    <x v="1"/>
    <x v="531"/>
    <n v="0"/>
    <n v="1.7048775644248101E+19"/>
  </r>
  <r>
    <b v="0"/>
    <x v="10"/>
    <x v="17"/>
    <x v="1"/>
    <x v="0"/>
    <x v="532"/>
    <n v="0"/>
    <n v="8.7148776522348698E+18"/>
  </r>
  <r>
    <b v="0"/>
    <x v="8"/>
    <x v="16"/>
    <x v="1"/>
    <x v="0"/>
    <x v="533"/>
    <n v="0"/>
    <n v="6.6790218189465303E+18"/>
  </r>
  <r>
    <b v="0"/>
    <x v="7"/>
    <x v="16"/>
    <x v="1"/>
    <x v="0"/>
    <x v="534"/>
    <n v="0"/>
    <n v="1.7489230186504399E+18"/>
  </r>
  <r>
    <b v="0"/>
    <x v="6"/>
    <x v="16"/>
    <x v="1"/>
    <x v="0"/>
    <x v="535"/>
    <n v="0"/>
    <n v="5.3320166334119301E+18"/>
  </r>
  <r>
    <b v="0"/>
    <x v="5"/>
    <x v="16"/>
    <x v="1"/>
    <x v="0"/>
    <x v="536"/>
    <n v="0"/>
    <n v="1.5997691539819399E+19"/>
  </r>
  <r>
    <b v="0"/>
    <x v="4"/>
    <x v="16"/>
    <x v="1"/>
    <x v="0"/>
    <x v="537"/>
    <n v="0"/>
    <n v="1.6082161813675901E+19"/>
  </r>
  <r>
    <b v="0"/>
    <x v="13"/>
    <x v="17"/>
    <x v="1"/>
    <x v="0"/>
    <x v="538"/>
    <n v="0"/>
    <n v="1.27841078537919E+19"/>
  </r>
  <r>
    <b v="0"/>
    <x v="12"/>
    <x v="17"/>
    <x v="1"/>
    <x v="0"/>
    <x v="539"/>
    <n v="0"/>
    <n v="3.7387785271878502E+18"/>
  </r>
  <r>
    <b v="0"/>
    <x v="2"/>
    <x v="16"/>
    <x v="1"/>
    <x v="0"/>
    <x v="540"/>
    <n v="0"/>
    <n v="9.3001311671415501E+18"/>
  </r>
  <r>
    <b v="0"/>
    <x v="7"/>
    <x v="14"/>
    <x v="1"/>
    <x v="0"/>
    <x v="541"/>
    <n v="0"/>
    <n v="2.7661926639864202E+18"/>
  </r>
  <r>
    <b v="0"/>
    <x v="6"/>
    <x v="14"/>
    <x v="1"/>
    <x v="0"/>
    <x v="542"/>
    <n v="0"/>
    <n v="1.38430747767821E+19"/>
  </r>
  <r>
    <b v="0"/>
    <x v="5"/>
    <x v="14"/>
    <x v="1"/>
    <x v="0"/>
    <x v="543"/>
    <n v="0"/>
    <n v="1.8412251809432001E+19"/>
  </r>
  <r>
    <b v="0"/>
    <x v="9"/>
    <x v="16"/>
    <x v="1"/>
    <x v="0"/>
    <x v="544"/>
    <n v="0"/>
    <n v="1.8317735780318501E+19"/>
  </r>
  <r>
    <b v="0"/>
    <x v="1"/>
    <x v="16"/>
    <x v="1"/>
    <x v="0"/>
    <x v="545"/>
    <n v="0"/>
    <n v="7.4379265218917898E+18"/>
  </r>
  <r>
    <b v="0"/>
    <x v="11"/>
    <x v="17"/>
    <x v="1"/>
    <x v="0"/>
    <x v="546"/>
    <n v="0"/>
    <n v="6.9215292215360799E+18"/>
  </r>
  <r>
    <b v="0"/>
    <x v="10"/>
    <x v="16"/>
    <x v="1"/>
    <x v="0"/>
    <x v="547"/>
    <n v="0"/>
    <n v="3.4632358446092201E+18"/>
  </r>
  <r>
    <b v="0"/>
    <x v="11"/>
    <x v="16"/>
    <x v="1"/>
    <x v="0"/>
    <x v="548"/>
    <n v="0"/>
    <n v="4.6765776698680003E+18"/>
  </r>
  <r>
    <b v="0"/>
    <x v="12"/>
    <x v="16"/>
    <x v="1"/>
    <x v="0"/>
    <x v="549"/>
    <n v="0"/>
    <n v="1.16152043922299E+19"/>
  </r>
  <r>
    <b v="0"/>
    <x v="13"/>
    <x v="16"/>
    <x v="1"/>
    <x v="0"/>
    <x v="550"/>
    <n v="0"/>
    <n v="2.28077770952113E+18"/>
  </r>
  <r>
    <b v="0"/>
    <x v="0"/>
    <x v="17"/>
    <x v="1"/>
    <x v="0"/>
    <x v="551"/>
    <n v="0"/>
    <n v="1.7937606522570799E+19"/>
  </r>
  <r>
    <b v="0"/>
    <x v="2"/>
    <x v="17"/>
    <x v="1"/>
    <x v="0"/>
    <x v="552"/>
    <n v="0"/>
    <n v="9.8643726207952609E+18"/>
  </r>
  <r>
    <b v="0"/>
    <x v="3"/>
    <x v="17"/>
    <x v="1"/>
    <x v="0"/>
    <x v="553"/>
    <n v="0"/>
    <n v="7.4241020034902303E+18"/>
  </r>
  <r>
    <b v="0"/>
    <x v="4"/>
    <x v="17"/>
    <x v="1"/>
    <x v="0"/>
    <x v="554"/>
    <n v="0"/>
    <n v="9.3316029412454298E+18"/>
  </r>
  <r>
    <b v="0"/>
    <x v="5"/>
    <x v="17"/>
    <x v="1"/>
    <x v="0"/>
    <x v="555"/>
    <n v="0"/>
    <n v="6.8834256379022397E+18"/>
  </r>
  <r>
    <b v="0"/>
    <x v="6"/>
    <x v="17"/>
    <x v="1"/>
    <x v="0"/>
    <x v="556"/>
    <n v="0"/>
    <n v="1.21115837255825E+19"/>
  </r>
  <r>
    <b v="0"/>
    <x v="7"/>
    <x v="17"/>
    <x v="1"/>
    <x v="0"/>
    <x v="557"/>
    <n v="0"/>
    <n v="1.01101559715875E+19"/>
  </r>
  <r>
    <b v="0"/>
    <x v="8"/>
    <x v="17"/>
    <x v="1"/>
    <x v="0"/>
    <x v="558"/>
    <n v="0"/>
    <n v="1.3340249673626599E+19"/>
  </r>
  <r>
    <b v="0"/>
    <x v="1"/>
    <x v="17"/>
    <x v="1"/>
    <x v="0"/>
    <x v="559"/>
    <n v="0"/>
    <n v="8.8612368802014597E+18"/>
  </r>
  <r>
    <b v="0"/>
    <x v="9"/>
    <x v="17"/>
    <x v="1"/>
    <x v="0"/>
    <x v="560"/>
    <n v="0"/>
    <n v="4.1971608806074301E+18"/>
  </r>
  <r>
    <b v="0"/>
    <x v="3"/>
    <x v="14"/>
    <x v="1"/>
    <x v="0"/>
    <x v="561"/>
    <n v="0"/>
    <n v="1.35186454037404E+19"/>
  </r>
  <r>
    <b v="0"/>
    <x v="4"/>
    <x v="14"/>
    <x v="1"/>
    <x v="0"/>
    <x v="562"/>
    <n v="0"/>
    <n v="2.4224499632272399E+18"/>
  </r>
  <r>
    <b v="0"/>
    <x v="5"/>
    <x v="13"/>
    <x v="1"/>
    <x v="0"/>
    <x v="563"/>
    <n v="0"/>
    <n v="1.5023835771257E+19"/>
  </r>
  <r>
    <b v="0"/>
    <x v="2"/>
    <x v="14"/>
    <x v="1"/>
    <x v="0"/>
    <x v="564"/>
    <n v="0"/>
    <n v="1.9787669643051599E+18"/>
  </r>
  <r>
    <b v="0"/>
    <x v="0"/>
    <x v="16"/>
    <x v="1"/>
    <x v="0"/>
    <x v="565"/>
    <n v="0"/>
    <n v="6.74950808197265E+18"/>
  </r>
  <r>
    <b v="0"/>
    <x v="9"/>
    <x v="1"/>
    <x v="1"/>
    <x v="1"/>
    <x v="566"/>
    <n v="0"/>
    <n v="1.0763861146217099E+19"/>
  </r>
  <r>
    <b v="0"/>
    <x v="6"/>
    <x v="13"/>
    <x v="1"/>
    <x v="0"/>
    <x v="567"/>
    <n v="0"/>
    <n v="2.5785545965696399E+18"/>
  </r>
  <r>
    <b v="0"/>
    <x v="7"/>
    <x v="13"/>
    <x v="1"/>
    <x v="0"/>
    <x v="568"/>
    <n v="0"/>
    <n v="1.4393743276430801E+19"/>
  </r>
  <r>
    <b v="0"/>
    <x v="8"/>
    <x v="13"/>
    <x v="1"/>
    <x v="0"/>
    <x v="569"/>
    <n v="0"/>
    <n v="1.51911918843356E+19"/>
  </r>
  <r>
    <b v="0"/>
    <x v="1"/>
    <x v="13"/>
    <x v="1"/>
    <x v="0"/>
    <x v="570"/>
    <n v="0"/>
    <n v="9.4668989214098002E+18"/>
  </r>
  <r>
    <b v="0"/>
    <x v="9"/>
    <x v="13"/>
    <x v="1"/>
    <x v="0"/>
    <x v="571"/>
    <n v="0"/>
    <n v="1.50519191424321E+19"/>
  </r>
  <r>
    <b v="0"/>
    <x v="10"/>
    <x v="13"/>
    <x v="1"/>
    <x v="0"/>
    <x v="572"/>
    <n v="0"/>
    <n v="1.30448730641763E+19"/>
  </r>
  <r>
    <b v="0"/>
    <x v="11"/>
    <x v="13"/>
    <x v="1"/>
    <x v="0"/>
    <x v="573"/>
    <n v="0"/>
    <n v="9.8988086944204206E+18"/>
  </r>
  <r>
    <b v="0"/>
    <x v="12"/>
    <x v="13"/>
    <x v="1"/>
    <x v="0"/>
    <x v="574"/>
    <n v="0"/>
    <n v="7.3798039421263401E+18"/>
  </r>
  <r>
    <b v="0"/>
    <x v="13"/>
    <x v="13"/>
    <x v="1"/>
    <x v="0"/>
    <x v="575"/>
    <n v="0"/>
    <n v="1.00979761052922E+19"/>
  </r>
  <r>
    <b v="0"/>
    <x v="0"/>
    <x v="12"/>
    <x v="1"/>
    <x v="0"/>
    <x v="576"/>
    <n v="0"/>
    <n v="7.0142831297918095E+18"/>
  </r>
  <r>
    <b v="0"/>
    <x v="2"/>
    <x v="12"/>
    <x v="1"/>
    <x v="0"/>
    <x v="577"/>
    <n v="0"/>
    <n v="1.1593100426966499E+19"/>
  </r>
  <r>
    <b v="0"/>
    <x v="4"/>
    <x v="12"/>
    <x v="1"/>
    <x v="0"/>
    <x v="578"/>
    <n v="0"/>
    <n v="6.0974544595008E+18"/>
  </r>
  <r>
    <b v="0"/>
    <x v="1"/>
    <x v="1"/>
    <x v="1"/>
    <x v="1"/>
    <x v="579"/>
    <n v="0"/>
    <n v="4.4389379678459699E+18"/>
  </r>
  <r>
    <b v="0"/>
    <x v="3"/>
    <x v="16"/>
    <x v="1"/>
    <x v="0"/>
    <x v="580"/>
    <n v="0"/>
    <n v="1.7357702992061E+19"/>
  </r>
  <r>
    <b v="0"/>
    <x v="0"/>
    <x v="14"/>
    <x v="1"/>
    <x v="0"/>
    <x v="581"/>
    <n v="0"/>
    <n v="1.1715226232894401E+19"/>
  </r>
  <r>
    <b v="0"/>
    <x v="0"/>
    <x v="11"/>
    <x v="1"/>
    <x v="0"/>
    <x v="582"/>
    <n v="0"/>
    <n v="6.98292817233741E+18"/>
  </r>
  <r>
    <b v="0"/>
    <x v="2"/>
    <x v="11"/>
    <x v="1"/>
    <x v="0"/>
    <x v="583"/>
    <n v="0"/>
    <n v="5.6229824548475402E+18"/>
  </r>
  <r>
    <b v="0"/>
    <x v="3"/>
    <x v="11"/>
    <x v="1"/>
    <x v="0"/>
    <x v="584"/>
    <n v="0"/>
    <n v="3.2121074151021501E+18"/>
  </r>
  <r>
    <b v="0"/>
    <x v="4"/>
    <x v="11"/>
    <x v="1"/>
    <x v="0"/>
    <x v="585"/>
    <n v="0"/>
    <n v="4.51207092659247E+18"/>
  </r>
  <r>
    <b v="0"/>
    <x v="5"/>
    <x v="11"/>
    <x v="1"/>
    <x v="0"/>
    <x v="586"/>
    <n v="0"/>
    <n v="6.0110953059068099E+18"/>
  </r>
  <r>
    <b v="0"/>
    <x v="6"/>
    <x v="11"/>
    <x v="1"/>
    <x v="0"/>
    <x v="587"/>
    <n v="0"/>
    <n v="5.7772632564612301E+18"/>
  </r>
  <r>
    <b v="0"/>
    <x v="7"/>
    <x v="11"/>
    <x v="1"/>
    <x v="0"/>
    <x v="588"/>
    <n v="0"/>
    <n v="4.0168120996893E+18"/>
  </r>
  <r>
    <b v="0"/>
    <x v="8"/>
    <x v="11"/>
    <x v="1"/>
    <x v="0"/>
    <x v="589"/>
    <n v="0"/>
    <n v="1.09609987109961E+18"/>
  </r>
  <r>
    <b v="0"/>
    <x v="1"/>
    <x v="11"/>
    <x v="1"/>
    <x v="0"/>
    <x v="590"/>
    <n v="0"/>
    <n v="1.3126624677854501E+19"/>
  </r>
  <r>
    <b v="0"/>
    <x v="9"/>
    <x v="11"/>
    <x v="1"/>
    <x v="0"/>
    <x v="591"/>
    <n v="0"/>
    <n v="1.1447081695599499E+19"/>
  </r>
  <r>
    <b v="0"/>
    <x v="10"/>
    <x v="11"/>
    <x v="1"/>
    <x v="0"/>
    <x v="592"/>
    <n v="0"/>
    <n v="1.8066294100660001E+19"/>
  </r>
  <r>
    <b v="0"/>
    <x v="11"/>
    <x v="11"/>
    <x v="1"/>
    <x v="0"/>
    <x v="593"/>
    <n v="0"/>
    <n v="9.5437575020861706E+18"/>
  </r>
  <r>
    <b v="0"/>
    <x v="12"/>
    <x v="11"/>
    <x v="1"/>
    <x v="0"/>
    <x v="594"/>
    <n v="0"/>
    <n v="1.1480767812148601E+19"/>
  </r>
  <r>
    <b v="0"/>
    <x v="13"/>
    <x v="11"/>
    <x v="1"/>
    <x v="0"/>
    <x v="595"/>
    <n v="0"/>
    <n v="5.87687694702353E+18"/>
  </r>
  <r>
    <b v="0"/>
    <x v="5"/>
    <x v="6"/>
    <x v="1"/>
    <x v="1"/>
    <x v="596"/>
    <n v="0"/>
    <n v="4.7879808376271698E+18"/>
  </r>
  <r>
    <b v="0"/>
    <x v="5"/>
    <x v="15"/>
    <x v="1"/>
    <x v="1"/>
    <x v="597"/>
    <n v="0"/>
    <n v="1.3126809658738399E+19"/>
  </r>
  <r>
    <b v="0"/>
    <x v="10"/>
    <x v="1"/>
    <x v="1"/>
    <x v="1"/>
    <x v="598"/>
    <n v="0"/>
    <n v="1.45647831532544E+19"/>
  </r>
  <r>
    <b v="0"/>
    <x v="6"/>
    <x v="11"/>
    <x v="1"/>
    <x v="1"/>
    <x v="599"/>
    <n v="0"/>
    <n v="1.55803122263511E+19"/>
  </r>
  <r>
    <b v="0"/>
    <x v="9"/>
    <x v="15"/>
    <x v="1"/>
    <x v="1"/>
    <x v="600"/>
    <n v="0"/>
    <n v="1.56184189681279E+19"/>
  </r>
  <r>
    <b v="0"/>
    <x v="10"/>
    <x v="15"/>
    <x v="1"/>
    <x v="1"/>
    <x v="601"/>
    <n v="0"/>
    <n v="5.85739019868224E+18"/>
  </r>
  <r>
    <b v="0"/>
    <x v="11"/>
    <x v="15"/>
    <x v="1"/>
    <x v="1"/>
    <x v="602"/>
    <n v="0"/>
    <n v="3.22279627205869E+18"/>
  </r>
  <r>
    <b v="0"/>
    <x v="12"/>
    <x v="15"/>
    <x v="1"/>
    <x v="1"/>
    <x v="603"/>
    <n v="0"/>
    <n v="9.9029567987268895E+18"/>
  </r>
  <r>
    <b v="0"/>
    <x v="13"/>
    <x v="15"/>
    <x v="1"/>
    <x v="1"/>
    <x v="604"/>
    <n v="0"/>
    <n v="8.7400692112923402E+18"/>
  </r>
  <r>
    <b v="0"/>
    <x v="0"/>
    <x v="16"/>
    <x v="1"/>
    <x v="1"/>
    <x v="605"/>
    <n v="0"/>
    <n v="1.56260631474123E+19"/>
  </r>
  <r>
    <b v="0"/>
    <x v="2"/>
    <x v="16"/>
    <x v="1"/>
    <x v="1"/>
    <x v="606"/>
    <n v="0"/>
    <n v="1.0556875930217599E+19"/>
  </r>
  <r>
    <b v="0"/>
    <x v="3"/>
    <x v="16"/>
    <x v="1"/>
    <x v="1"/>
    <x v="607"/>
    <n v="0"/>
    <n v="6.9845188743984998E+18"/>
  </r>
  <r>
    <b v="0"/>
    <x v="4"/>
    <x v="16"/>
    <x v="1"/>
    <x v="1"/>
    <x v="608"/>
    <n v="0"/>
    <n v="8.2555562809935596E+18"/>
  </r>
  <r>
    <b v="0"/>
    <x v="5"/>
    <x v="16"/>
    <x v="1"/>
    <x v="1"/>
    <x v="609"/>
    <n v="0"/>
    <n v="8.7136560574370099E+18"/>
  </r>
  <r>
    <b v="0"/>
    <x v="6"/>
    <x v="16"/>
    <x v="1"/>
    <x v="1"/>
    <x v="610"/>
    <n v="0"/>
    <n v="1.2703238642160699E+19"/>
  </r>
  <r>
    <b v="0"/>
    <x v="7"/>
    <x v="16"/>
    <x v="1"/>
    <x v="1"/>
    <x v="611"/>
    <n v="0"/>
    <n v="8.0126274671382999E+18"/>
  </r>
  <r>
    <b v="0"/>
    <x v="1"/>
    <x v="16"/>
    <x v="1"/>
    <x v="1"/>
    <x v="612"/>
    <n v="0"/>
    <n v="1.54081803089217E+19"/>
  </r>
  <r>
    <b v="0"/>
    <x v="13"/>
    <x v="12"/>
    <x v="1"/>
    <x v="1"/>
    <x v="613"/>
    <n v="0"/>
    <n v="1.0994928651123599E+19"/>
  </r>
  <r>
    <b v="0"/>
    <x v="8"/>
    <x v="11"/>
    <x v="1"/>
    <x v="1"/>
    <x v="614"/>
    <n v="0"/>
    <n v="2.25413309759296E+18"/>
  </r>
  <r>
    <b v="0"/>
    <x v="11"/>
    <x v="1"/>
    <x v="1"/>
    <x v="1"/>
    <x v="615"/>
    <n v="0"/>
    <n v="1.82208475883682E+19"/>
  </r>
  <r>
    <b v="0"/>
    <x v="6"/>
    <x v="18"/>
    <x v="1"/>
    <x v="1"/>
    <x v="616"/>
    <n v="0"/>
    <n v="1.4612391266470699E+19"/>
  </r>
  <r>
    <b v="0"/>
    <x v="7"/>
    <x v="18"/>
    <x v="1"/>
    <x v="1"/>
    <x v="617"/>
    <n v="0"/>
    <n v="1.74666364839959E+19"/>
  </r>
  <r>
    <b v="0"/>
    <x v="8"/>
    <x v="18"/>
    <x v="1"/>
    <x v="1"/>
    <x v="618"/>
    <n v="0"/>
    <n v="7.9519775974200801E+18"/>
  </r>
  <r>
    <b v="0"/>
    <x v="1"/>
    <x v="18"/>
    <x v="1"/>
    <x v="1"/>
    <x v="619"/>
    <n v="0"/>
    <n v="2.09664423555024E+18"/>
  </r>
  <r>
    <b v="0"/>
    <x v="9"/>
    <x v="18"/>
    <x v="1"/>
    <x v="1"/>
    <x v="620"/>
    <n v="0"/>
    <n v="7.9166657267199296E+17"/>
  </r>
  <r>
    <b v="0"/>
    <x v="10"/>
    <x v="18"/>
    <x v="1"/>
    <x v="1"/>
    <x v="621"/>
    <n v="0"/>
    <n v="1.62635792618532E+19"/>
  </r>
  <r>
    <b v="0"/>
    <x v="11"/>
    <x v="18"/>
    <x v="1"/>
    <x v="1"/>
    <x v="622"/>
    <n v="0"/>
    <n v="2.3683342331259699E+18"/>
  </r>
  <r>
    <b v="0"/>
    <x v="12"/>
    <x v="18"/>
    <x v="1"/>
    <x v="1"/>
    <x v="623"/>
    <n v="0"/>
    <n v="1.20147772016663E+19"/>
  </r>
  <r>
    <b v="0"/>
    <x v="13"/>
    <x v="18"/>
    <x v="1"/>
    <x v="1"/>
    <x v="624"/>
    <n v="0"/>
    <n v="1.61758012157696E+19"/>
  </r>
  <r>
    <b v="0"/>
    <x v="0"/>
    <x v="6"/>
    <x v="1"/>
    <x v="1"/>
    <x v="625"/>
    <n v="0"/>
    <n v="1.6330487749133799E+19"/>
  </r>
  <r>
    <b v="0"/>
    <x v="2"/>
    <x v="6"/>
    <x v="1"/>
    <x v="1"/>
    <x v="626"/>
    <n v="0"/>
    <n v="9.7190606277134193E+18"/>
  </r>
  <r>
    <b v="0"/>
    <x v="3"/>
    <x v="6"/>
    <x v="1"/>
    <x v="1"/>
    <x v="627"/>
    <n v="0"/>
    <n v="6.0849286177996902E+18"/>
  </r>
  <r>
    <b v="0"/>
    <x v="4"/>
    <x v="6"/>
    <x v="1"/>
    <x v="1"/>
    <x v="628"/>
    <n v="0"/>
    <n v="1.44703151057733E+19"/>
  </r>
  <r>
    <b v="0"/>
    <x v="3"/>
    <x v="13"/>
    <x v="1"/>
    <x v="0"/>
    <x v="629"/>
    <n v="0"/>
    <n v="2.4090173506383901E+17"/>
  </r>
  <r>
    <b v="0"/>
    <x v="1"/>
    <x v="15"/>
    <x v="1"/>
    <x v="1"/>
    <x v="630"/>
    <n v="0"/>
    <n v="1.0297421155116599E+19"/>
  </r>
  <r>
    <b v="0"/>
    <x v="8"/>
    <x v="15"/>
    <x v="1"/>
    <x v="1"/>
    <x v="631"/>
    <n v="0"/>
    <n v="8.3822677048015002E+18"/>
  </r>
  <r>
    <b v="0"/>
    <x v="7"/>
    <x v="15"/>
    <x v="1"/>
    <x v="1"/>
    <x v="632"/>
    <n v="0"/>
    <n v="1.13111935612578E+19"/>
  </r>
  <r>
    <b v="0"/>
    <x v="6"/>
    <x v="15"/>
    <x v="1"/>
    <x v="1"/>
    <x v="633"/>
    <n v="0"/>
    <n v="1.5791383711222999E+19"/>
  </r>
  <r>
    <b v="0"/>
    <x v="11"/>
    <x v="16"/>
    <x v="1"/>
    <x v="1"/>
    <x v="634"/>
    <n v="0"/>
    <n v="6.2506645790304102E+18"/>
  </r>
  <r>
    <b v="0"/>
    <x v="12"/>
    <x v="16"/>
    <x v="1"/>
    <x v="1"/>
    <x v="635"/>
    <n v="0"/>
    <n v="2.7126251057006899E+18"/>
  </r>
  <r>
    <b v="0"/>
    <x v="13"/>
    <x v="16"/>
    <x v="1"/>
    <x v="1"/>
    <x v="636"/>
    <n v="0"/>
    <n v="2.9430900541459999E+18"/>
  </r>
  <r>
    <b v="0"/>
    <x v="0"/>
    <x v="17"/>
    <x v="1"/>
    <x v="1"/>
    <x v="637"/>
    <n v="0"/>
    <n v="1.10148954056731E+18"/>
  </r>
  <r>
    <b v="0"/>
    <x v="2"/>
    <x v="17"/>
    <x v="1"/>
    <x v="1"/>
    <x v="638"/>
    <n v="0"/>
    <n v="1.04636639952757E+19"/>
  </r>
  <r>
    <b v="0"/>
    <x v="3"/>
    <x v="17"/>
    <x v="1"/>
    <x v="1"/>
    <x v="639"/>
    <n v="0"/>
    <n v="1.3919021923607501E+19"/>
  </r>
  <r>
    <b v="0"/>
    <x v="4"/>
    <x v="17"/>
    <x v="1"/>
    <x v="1"/>
    <x v="640"/>
    <n v="0"/>
    <n v="1.54668800567396E+19"/>
  </r>
  <r>
    <b v="0"/>
    <x v="5"/>
    <x v="17"/>
    <x v="1"/>
    <x v="1"/>
    <x v="641"/>
    <n v="0"/>
    <n v="5.0815003239599503E+18"/>
  </r>
  <r>
    <b v="0"/>
    <x v="6"/>
    <x v="17"/>
    <x v="1"/>
    <x v="1"/>
    <x v="642"/>
    <n v="0"/>
    <n v="4.8102270488280402E+18"/>
  </r>
  <r>
    <b v="0"/>
    <x v="7"/>
    <x v="17"/>
    <x v="1"/>
    <x v="1"/>
    <x v="643"/>
    <n v="0"/>
    <n v="1.83387590287914E+19"/>
  </r>
  <r>
    <b v="0"/>
    <x v="8"/>
    <x v="17"/>
    <x v="1"/>
    <x v="1"/>
    <x v="644"/>
    <n v="0"/>
    <n v="9.5782591630455501E+18"/>
  </r>
  <r>
    <b v="0"/>
    <x v="1"/>
    <x v="17"/>
    <x v="1"/>
    <x v="1"/>
    <x v="645"/>
    <n v="0"/>
    <n v="1.5461515373510101E+19"/>
  </r>
  <r>
    <b v="0"/>
    <x v="9"/>
    <x v="17"/>
    <x v="1"/>
    <x v="1"/>
    <x v="646"/>
    <n v="0"/>
    <n v="2.76059018245391E+18"/>
  </r>
  <r>
    <b v="0"/>
    <x v="10"/>
    <x v="17"/>
    <x v="1"/>
    <x v="1"/>
    <x v="647"/>
    <n v="0"/>
    <n v="1.35523405506499E+18"/>
  </r>
  <r>
    <b v="0"/>
    <x v="11"/>
    <x v="17"/>
    <x v="1"/>
    <x v="1"/>
    <x v="648"/>
    <n v="0"/>
    <n v="1.2419822311444799E+19"/>
  </r>
  <r>
    <b v="0"/>
    <x v="12"/>
    <x v="17"/>
    <x v="1"/>
    <x v="1"/>
    <x v="649"/>
    <n v="0"/>
    <n v="1.0838140136523399E+19"/>
  </r>
  <r>
    <b v="0"/>
    <x v="13"/>
    <x v="17"/>
    <x v="1"/>
    <x v="1"/>
    <x v="650"/>
    <n v="0"/>
    <n v="1.47988769323101E+19"/>
  </r>
  <r>
    <b v="0"/>
    <x v="0"/>
    <x v="11"/>
    <x v="1"/>
    <x v="1"/>
    <x v="651"/>
    <n v="0"/>
    <n v="1.0112983429871901E+19"/>
  </r>
  <r>
    <b v="0"/>
    <x v="2"/>
    <x v="11"/>
    <x v="1"/>
    <x v="1"/>
    <x v="652"/>
    <n v="0"/>
    <n v="4.64932836236015E+18"/>
  </r>
  <r>
    <b v="0"/>
    <x v="3"/>
    <x v="11"/>
    <x v="1"/>
    <x v="1"/>
    <x v="653"/>
    <n v="0"/>
    <n v="1.2564465977152299E+19"/>
  </r>
  <r>
    <b v="0"/>
    <x v="4"/>
    <x v="11"/>
    <x v="1"/>
    <x v="1"/>
    <x v="654"/>
    <n v="0"/>
    <n v="7.4436487404037601E+18"/>
  </r>
  <r>
    <b v="0"/>
    <x v="10"/>
    <x v="16"/>
    <x v="1"/>
    <x v="1"/>
    <x v="655"/>
    <n v="0"/>
    <n v="3.2367024980816302E+18"/>
  </r>
  <r>
    <b v="0"/>
    <x v="5"/>
    <x v="11"/>
    <x v="1"/>
    <x v="1"/>
    <x v="656"/>
    <n v="0"/>
    <n v="4.5810343276265298E+18"/>
  </r>
  <r>
    <b v="0"/>
    <x v="9"/>
    <x v="16"/>
    <x v="1"/>
    <x v="1"/>
    <x v="657"/>
    <n v="0"/>
    <n v="2.3785869714730199E+18"/>
  </r>
  <r>
    <b v="0"/>
    <x v="8"/>
    <x v="16"/>
    <x v="1"/>
    <x v="1"/>
    <x v="658"/>
    <n v="0"/>
    <n v="3.4947688764090399E+18"/>
  </r>
  <r>
    <b v="0"/>
    <x v="0"/>
    <x v="15"/>
    <x v="1"/>
    <x v="1"/>
    <x v="659"/>
    <n v="0"/>
    <n v="1.24588398190238E+19"/>
  </r>
  <r>
    <b v="0"/>
    <x v="2"/>
    <x v="15"/>
    <x v="1"/>
    <x v="1"/>
    <x v="660"/>
    <n v="0"/>
    <n v="8.1275386324331602E+18"/>
  </r>
  <r>
    <b v="0"/>
    <x v="3"/>
    <x v="15"/>
    <x v="1"/>
    <x v="1"/>
    <x v="661"/>
    <n v="0"/>
    <n v="1.2954960770435199E+19"/>
  </r>
  <r>
    <b v="0"/>
    <x v="4"/>
    <x v="15"/>
    <x v="1"/>
    <x v="1"/>
    <x v="662"/>
    <n v="0"/>
    <n v="1.5282546207099001E+19"/>
  </r>
  <r>
    <b v="0"/>
    <x v="4"/>
    <x v="13"/>
    <x v="1"/>
    <x v="0"/>
    <x v="663"/>
    <n v="0"/>
    <n v="9.643243352739969E+18"/>
  </r>
  <r>
    <b v="0"/>
    <x v="5"/>
    <x v="1"/>
    <x v="1"/>
    <x v="1"/>
    <x v="664"/>
    <n v="0"/>
    <n v="4.1356123813144801E+18"/>
  </r>
  <r>
    <b v="0"/>
    <x v="2"/>
    <x v="13"/>
    <x v="1"/>
    <x v="0"/>
    <x v="665"/>
    <n v="0"/>
    <n v="1.4988078047624401E+19"/>
  </r>
  <r>
    <b v="0"/>
    <x v="2"/>
    <x v="2"/>
    <x v="1"/>
    <x v="1"/>
    <x v="666"/>
    <n v="0"/>
    <n v="2.8236040994629402E+18"/>
  </r>
  <r>
    <b v="0"/>
    <x v="6"/>
    <x v="18"/>
    <x v="1"/>
    <x v="0"/>
    <x v="667"/>
    <n v="0"/>
    <n v="6.7302633718829896E+18"/>
  </r>
  <r>
    <b v="0"/>
    <x v="7"/>
    <x v="18"/>
    <x v="1"/>
    <x v="0"/>
    <x v="668"/>
    <n v="0"/>
    <n v="3.39398622866398E+18"/>
  </r>
  <r>
    <b v="0"/>
    <x v="8"/>
    <x v="18"/>
    <x v="1"/>
    <x v="0"/>
    <x v="669"/>
    <n v="0"/>
    <n v="3.9065307287097498E+18"/>
  </r>
  <r>
    <b v="0"/>
    <x v="1"/>
    <x v="18"/>
    <x v="1"/>
    <x v="0"/>
    <x v="670"/>
    <n v="0"/>
    <n v="1.66112291643293E+19"/>
  </r>
  <r>
    <b v="0"/>
    <x v="9"/>
    <x v="18"/>
    <x v="1"/>
    <x v="0"/>
    <x v="671"/>
    <n v="0"/>
    <n v="1.3197254136870899E+18"/>
  </r>
  <r>
    <b v="0"/>
    <x v="10"/>
    <x v="18"/>
    <x v="1"/>
    <x v="0"/>
    <x v="672"/>
    <n v="0"/>
    <n v="1.7506741728899199E+19"/>
  </r>
  <r>
    <b v="0"/>
    <x v="11"/>
    <x v="18"/>
    <x v="1"/>
    <x v="0"/>
    <x v="673"/>
    <n v="0"/>
    <n v="2.10902447584112E+18"/>
  </r>
  <r>
    <b v="0"/>
    <x v="12"/>
    <x v="18"/>
    <x v="1"/>
    <x v="0"/>
    <x v="674"/>
    <n v="0"/>
    <n v="1.93074659418496E+18"/>
  </r>
  <r>
    <b v="0"/>
    <x v="13"/>
    <x v="18"/>
    <x v="1"/>
    <x v="0"/>
    <x v="675"/>
    <n v="0"/>
    <n v="1.0175673622361E+19"/>
  </r>
  <r>
    <b v="0"/>
    <x v="0"/>
    <x v="6"/>
    <x v="1"/>
    <x v="0"/>
    <x v="676"/>
    <n v="0"/>
    <n v="1.1254469616504799E+19"/>
  </r>
  <r>
    <b v="0"/>
    <x v="2"/>
    <x v="6"/>
    <x v="1"/>
    <x v="0"/>
    <x v="677"/>
    <n v="0"/>
    <n v="4.1460600608444401E+18"/>
  </r>
  <r>
    <b v="0"/>
    <x v="3"/>
    <x v="6"/>
    <x v="1"/>
    <x v="0"/>
    <x v="678"/>
    <n v="0"/>
    <n v="1.80013237974249E+19"/>
  </r>
  <r>
    <b v="0"/>
    <x v="4"/>
    <x v="6"/>
    <x v="1"/>
    <x v="0"/>
    <x v="679"/>
    <n v="0"/>
    <n v="1.4560764691142101E+19"/>
  </r>
  <r>
    <b v="0"/>
    <x v="0"/>
    <x v="2"/>
    <x v="1"/>
    <x v="1"/>
    <x v="680"/>
    <n v="0"/>
    <n v="5.2417363686442004E+18"/>
  </r>
  <r>
    <b v="0"/>
    <x v="3"/>
    <x v="2"/>
    <x v="1"/>
    <x v="1"/>
    <x v="681"/>
    <n v="0"/>
    <n v="5.2786855953888198E+17"/>
  </r>
  <r>
    <b v="0"/>
    <x v="0"/>
    <x v="13"/>
    <x v="1"/>
    <x v="0"/>
    <x v="682"/>
    <n v="0"/>
    <n v="1.0041147923456899E+19"/>
  </r>
  <r>
    <b v="0"/>
    <x v="4"/>
    <x v="2"/>
    <x v="1"/>
    <x v="1"/>
    <x v="683"/>
    <n v="0"/>
    <n v="1.2780475570740199E+19"/>
  </r>
  <r>
    <b v="0"/>
    <x v="2"/>
    <x v="5"/>
    <x v="1"/>
    <x v="1"/>
    <x v="684"/>
    <n v="0"/>
    <n v="1.4465048565222799E+19"/>
  </r>
  <r>
    <b v="0"/>
    <x v="3"/>
    <x v="5"/>
    <x v="1"/>
    <x v="1"/>
    <x v="685"/>
    <n v="0"/>
    <n v="1.4712163597780601E+19"/>
  </r>
  <r>
    <b v="0"/>
    <x v="4"/>
    <x v="5"/>
    <x v="1"/>
    <x v="1"/>
    <x v="686"/>
    <n v="0"/>
    <n v="1.03242546100363E+18"/>
  </r>
  <r>
    <b v="0"/>
    <x v="5"/>
    <x v="5"/>
    <x v="1"/>
    <x v="1"/>
    <x v="687"/>
    <n v="0"/>
    <n v="3.2633273868099E+18"/>
  </r>
  <r>
    <b v="0"/>
    <x v="6"/>
    <x v="5"/>
    <x v="1"/>
    <x v="1"/>
    <x v="688"/>
    <n v="0"/>
    <n v="1.3564344077124801E+19"/>
  </r>
  <r>
    <b v="0"/>
    <x v="7"/>
    <x v="5"/>
    <x v="1"/>
    <x v="1"/>
    <x v="689"/>
    <n v="0"/>
    <n v="3.3218553320197801E+18"/>
  </r>
  <r>
    <b v="0"/>
    <x v="8"/>
    <x v="5"/>
    <x v="1"/>
    <x v="1"/>
    <x v="690"/>
    <n v="0"/>
    <n v="1.3093299286033299E+19"/>
  </r>
  <r>
    <b v="0"/>
    <x v="1"/>
    <x v="5"/>
    <x v="1"/>
    <x v="1"/>
    <x v="691"/>
    <n v="0"/>
    <n v="9.6049962919068508E+18"/>
  </r>
  <r>
    <b v="0"/>
    <x v="9"/>
    <x v="5"/>
    <x v="1"/>
    <x v="1"/>
    <x v="692"/>
    <n v="0"/>
    <n v="1.7857317560519299E+19"/>
  </r>
  <r>
    <b v="0"/>
    <x v="10"/>
    <x v="5"/>
    <x v="1"/>
    <x v="1"/>
    <x v="693"/>
    <n v="0"/>
    <n v="3.29191486190432E+17"/>
  </r>
  <r>
    <b v="0"/>
    <x v="11"/>
    <x v="5"/>
    <x v="1"/>
    <x v="1"/>
    <x v="694"/>
    <n v="0"/>
    <n v="1.42185615482943E+18"/>
  </r>
  <r>
    <b v="0"/>
    <x v="12"/>
    <x v="5"/>
    <x v="1"/>
    <x v="1"/>
    <x v="695"/>
    <n v="0"/>
    <n v="3.7834477021721001E+18"/>
  </r>
  <r>
    <b v="0"/>
    <x v="13"/>
    <x v="5"/>
    <x v="1"/>
    <x v="1"/>
    <x v="696"/>
    <n v="0"/>
    <n v="8.8343325328707302E+17"/>
  </r>
  <r>
    <b v="0"/>
    <x v="5"/>
    <x v="18"/>
    <x v="1"/>
    <x v="0"/>
    <x v="697"/>
    <n v="0"/>
    <n v="7.1265912820037396E+18"/>
  </r>
  <r>
    <b v="0"/>
    <x v="4"/>
    <x v="18"/>
    <x v="1"/>
    <x v="0"/>
    <x v="698"/>
    <n v="0"/>
    <n v="1.5657043497786499E+19"/>
  </r>
  <r>
    <b v="0"/>
    <x v="3"/>
    <x v="18"/>
    <x v="1"/>
    <x v="0"/>
    <x v="699"/>
    <n v="0"/>
    <n v="4.4715254706903199E+18"/>
  </r>
  <r>
    <b v="0"/>
    <x v="2"/>
    <x v="18"/>
    <x v="1"/>
    <x v="0"/>
    <x v="700"/>
    <n v="0"/>
    <n v="9.8975766476109804E+18"/>
  </r>
  <r>
    <b v="0"/>
    <x v="7"/>
    <x v="6"/>
    <x v="1"/>
    <x v="1"/>
    <x v="701"/>
    <n v="0"/>
    <n v="6.6609166793302098E+18"/>
  </r>
  <r>
    <b v="0"/>
    <x v="1"/>
    <x v="6"/>
    <x v="1"/>
    <x v="0"/>
    <x v="702"/>
    <n v="0"/>
    <n v="1.19829096857815E+19"/>
  </r>
  <r>
    <b v="0"/>
    <x v="9"/>
    <x v="6"/>
    <x v="1"/>
    <x v="0"/>
    <x v="703"/>
    <n v="0"/>
    <n v="1.21873592696395E+19"/>
  </r>
  <r>
    <b v="0"/>
    <x v="10"/>
    <x v="6"/>
    <x v="1"/>
    <x v="0"/>
    <x v="704"/>
    <n v="0"/>
    <n v="1.4472490455129899E+19"/>
  </r>
  <r>
    <b v="0"/>
    <x v="11"/>
    <x v="6"/>
    <x v="1"/>
    <x v="0"/>
    <x v="705"/>
    <n v="0"/>
    <n v="2.4255233553473198E+18"/>
  </r>
  <r>
    <b v="0"/>
    <x v="12"/>
    <x v="6"/>
    <x v="1"/>
    <x v="0"/>
    <x v="706"/>
    <n v="0"/>
    <n v="6.1303277111925299E+18"/>
  </r>
  <r>
    <b v="0"/>
    <x v="12"/>
    <x v="6"/>
    <x v="1"/>
    <x v="1"/>
    <x v="707"/>
    <n v="0"/>
    <n v="1.5337478363974699E+19"/>
  </r>
  <r>
    <b v="0"/>
    <x v="0"/>
    <x v="0"/>
    <x v="1"/>
    <x v="1"/>
    <x v="708"/>
    <n v="0"/>
    <n v="8.42783219328418E+18"/>
  </r>
  <r>
    <b v="0"/>
    <x v="2"/>
    <x v="0"/>
    <x v="1"/>
    <x v="1"/>
    <x v="709"/>
    <n v="0"/>
    <n v="9.6526133127656202E+18"/>
  </r>
  <r>
    <b v="0"/>
    <x v="3"/>
    <x v="0"/>
    <x v="1"/>
    <x v="1"/>
    <x v="710"/>
    <n v="0"/>
    <n v="1.0874178091787901E+19"/>
  </r>
  <r>
    <b v="0"/>
    <x v="8"/>
    <x v="6"/>
    <x v="1"/>
    <x v="0"/>
    <x v="711"/>
    <n v="0"/>
    <n v="2.3600341842179502E+18"/>
  </r>
  <r>
    <b v="0"/>
    <x v="4"/>
    <x v="0"/>
    <x v="1"/>
    <x v="1"/>
    <x v="712"/>
    <n v="0"/>
    <n v="7.2453965334321203E+18"/>
  </r>
  <r>
    <b v="0"/>
    <x v="6"/>
    <x v="0"/>
    <x v="1"/>
    <x v="1"/>
    <x v="713"/>
    <n v="0"/>
    <n v="8.3782818011110103E+18"/>
  </r>
  <r>
    <b v="0"/>
    <x v="7"/>
    <x v="0"/>
    <x v="1"/>
    <x v="1"/>
    <x v="714"/>
    <n v="0"/>
    <n v="4.9901807016392704E+18"/>
  </r>
  <r>
    <b v="0"/>
    <x v="8"/>
    <x v="0"/>
    <x v="1"/>
    <x v="1"/>
    <x v="715"/>
    <n v="0"/>
    <n v="4.8436066587209298E+18"/>
  </r>
  <r>
    <b v="0"/>
    <x v="1"/>
    <x v="0"/>
    <x v="1"/>
    <x v="1"/>
    <x v="716"/>
    <n v="0"/>
    <n v="7.0165301687815404E+18"/>
  </r>
  <r>
    <b v="0"/>
    <x v="9"/>
    <x v="0"/>
    <x v="1"/>
    <x v="1"/>
    <x v="717"/>
    <n v="0"/>
    <n v="1.79093249656337E+19"/>
  </r>
  <r>
    <b v="0"/>
    <x v="10"/>
    <x v="0"/>
    <x v="1"/>
    <x v="1"/>
    <x v="718"/>
    <n v="0"/>
    <n v="8.0189742052985702E+18"/>
  </r>
  <r>
    <b v="0"/>
    <x v="11"/>
    <x v="0"/>
    <x v="1"/>
    <x v="1"/>
    <x v="719"/>
    <n v="0"/>
    <n v="1.66262419559663E+19"/>
  </r>
  <r>
    <b v="0"/>
    <x v="12"/>
    <x v="0"/>
    <x v="1"/>
    <x v="1"/>
    <x v="720"/>
    <n v="0"/>
    <n v="1.70917649381005E+19"/>
  </r>
  <r>
    <b v="0"/>
    <x v="13"/>
    <x v="0"/>
    <x v="1"/>
    <x v="1"/>
    <x v="721"/>
    <n v="0"/>
    <n v="9.2789286250617795E+18"/>
  </r>
  <r>
    <b v="0"/>
    <x v="5"/>
    <x v="0"/>
    <x v="1"/>
    <x v="1"/>
    <x v="722"/>
    <n v="0"/>
    <n v="6.5423300132764498E+18"/>
  </r>
  <r>
    <b v="0"/>
    <x v="7"/>
    <x v="6"/>
    <x v="1"/>
    <x v="0"/>
    <x v="723"/>
    <n v="0"/>
    <n v="1.7095410319245699E+19"/>
  </r>
  <r>
    <b v="0"/>
    <x v="6"/>
    <x v="6"/>
    <x v="1"/>
    <x v="0"/>
    <x v="724"/>
    <n v="0"/>
    <n v="1.7953807680863101E+19"/>
  </r>
  <r>
    <b v="0"/>
    <x v="5"/>
    <x v="6"/>
    <x v="1"/>
    <x v="0"/>
    <x v="725"/>
    <n v="0"/>
    <n v="1.1563443841634601E+19"/>
  </r>
  <r>
    <b v="0"/>
    <x v="11"/>
    <x v="14"/>
    <x v="1"/>
    <x v="0"/>
    <x v="726"/>
    <n v="0"/>
    <n v="4.8535344197878003E+17"/>
  </r>
  <r>
    <b v="0"/>
    <x v="12"/>
    <x v="14"/>
    <x v="1"/>
    <x v="0"/>
    <x v="727"/>
    <n v="0"/>
    <n v="1.06552293190963E+19"/>
  </r>
  <r>
    <b v="0"/>
    <x v="13"/>
    <x v="14"/>
    <x v="1"/>
    <x v="0"/>
    <x v="728"/>
    <n v="0"/>
    <n v="1.3795958484668701E+19"/>
  </r>
  <r>
    <b v="0"/>
    <x v="0"/>
    <x v="18"/>
    <x v="1"/>
    <x v="0"/>
    <x v="729"/>
    <n v="0"/>
    <n v="1.7193652856306201E+19"/>
  </r>
  <r>
    <b v="0"/>
    <x v="0"/>
    <x v="1"/>
    <x v="1"/>
    <x v="1"/>
    <x v="730"/>
    <n v="0"/>
    <n v="3.9565979224359501E+18"/>
  </r>
  <r>
    <b v="0"/>
    <x v="2"/>
    <x v="1"/>
    <x v="1"/>
    <x v="1"/>
    <x v="731"/>
    <n v="0"/>
    <n v="3.03685214141807E+18"/>
  </r>
  <r>
    <b v="0"/>
    <x v="3"/>
    <x v="1"/>
    <x v="1"/>
    <x v="1"/>
    <x v="732"/>
    <n v="0"/>
    <n v="8.4840590709770004E+18"/>
  </r>
  <r>
    <b v="0"/>
    <x v="8"/>
    <x v="14"/>
    <x v="1"/>
    <x v="0"/>
    <x v="733"/>
    <n v="0"/>
    <n v="2.9189908774832302E+18"/>
  </r>
  <r>
    <b v="0"/>
    <x v="8"/>
    <x v="12"/>
    <x v="1"/>
    <x v="0"/>
    <x v="734"/>
    <n v="0"/>
    <n v="5.7677707419653898E+18"/>
  </r>
  <r>
    <b v="0"/>
    <x v="1"/>
    <x v="12"/>
    <x v="1"/>
    <x v="0"/>
    <x v="735"/>
    <n v="0"/>
    <n v="3.24162024349888E+18"/>
  </r>
  <r>
    <b v="0"/>
    <x v="9"/>
    <x v="12"/>
    <x v="1"/>
    <x v="0"/>
    <x v="736"/>
    <n v="0"/>
    <n v="5.8148380634202304E+17"/>
  </r>
  <r>
    <b v="0"/>
    <x v="10"/>
    <x v="12"/>
    <x v="1"/>
    <x v="0"/>
    <x v="737"/>
    <n v="0"/>
    <n v="2.4364589386927201E+18"/>
  </r>
  <r>
    <b v="0"/>
    <x v="11"/>
    <x v="12"/>
    <x v="1"/>
    <x v="0"/>
    <x v="738"/>
    <n v="0"/>
    <n v="1.01664749424141E+19"/>
  </r>
  <r>
    <b v="0"/>
    <x v="12"/>
    <x v="12"/>
    <x v="1"/>
    <x v="0"/>
    <x v="739"/>
    <n v="0"/>
    <n v="5.3350029915914701E+18"/>
  </r>
  <r>
    <b v="0"/>
    <x v="13"/>
    <x v="12"/>
    <x v="1"/>
    <x v="0"/>
    <x v="740"/>
    <n v="0"/>
    <n v="9.1728461014376899E+18"/>
  </r>
  <r>
    <b v="0"/>
    <x v="0"/>
    <x v="15"/>
    <x v="1"/>
    <x v="0"/>
    <x v="741"/>
    <n v="0"/>
    <n v="1.9243611836765901E+17"/>
  </r>
  <r>
    <b v="0"/>
    <x v="2"/>
    <x v="15"/>
    <x v="1"/>
    <x v="0"/>
    <x v="742"/>
    <n v="0"/>
    <n v="5.9364667276033198E+18"/>
  </r>
  <r>
    <b v="0"/>
    <x v="3"/>
    <x v="15"/>
    <x v="1"/>
    <x v="0"/>
    <x v="743"/>
    <n v="0"/>
    <n v="1.72798704452545E+19"/>
  </r>
  <r>
    <b v="0"/>
    <x v="4"/>
    <x v="15"/>
    <x v="1"/>
    <x v="0"/>
    <x v="744"/>
    <n v="0"/>
    <n v="1.54724000716812E+19"/>
  </r>
  <r>
    <b v="0"/>
    <x v="5"/>
    <x v="15"/>
    <x v="1"/>
    <x v="0"/>
    <x v="745"/>
    <n v="0"/>
    <n v="1.4842326916382099E+19"/>
  </r>
  <r>
    <b v="0"/>
    <x v="6"/>
    <x v="15"/>
    <x v="1"/>
    <x v="0"/>
    <x v="746"/>
    <n v="0"/>
    <n v="1.69047314056621E+18"/>
  </r>
  <r>
    <b v="0"/>
    <x v="7"/>
    <x v="15"/>
    <x v="1"/>
    <x v="0"/>
    <x v="747"/>
    <n v="0"/>
    <n v="3.7846327872449802E+18"/>
  </r>
  <r>
    <b v="0"/>
    <x v="8"/>
    <x v="15"/>
    <x v="1"/>
    <x v="0"/>
    <x v="748"/>
    <n v="0"/>
    <n v="3.59627588407917E+18"/>
  </r>
  <r>
    <b v="0"/>
    <x v="1"/>
    <x v="15"/>
    <x v="1"/>
    <x v="0"/>
    <x v="749"/>
    <n v="0"/>
    <n v="7.14349078091682E+18"/>
  </r>
  <r>
    <b v="0"/>
    <x v="9"/>
    <x v="15"/>
    <x v="1"/>
    <x v="0"/>
    <x v="750"/>
    <n v="0"/>
    <n v="7.6133105311455201E+18"/>
  </r>
  <r>
    <b v="0"/>
    <x v="10"/>
    <x v="15"/>
    <x v="1"/>
    <x v="0"/>
    <x v="751"/>
    <n v="0"/>
    <n v="8.5284051062706299E+18"/>
  </r>
  <r>
    <b v="0"/>
    <x v="11"/>
    <x v="15"/>
    <x v="1"/>
    <x v="0"/>
    <x v="752"/>
    <n v="0"/>
    <n v="1.6375027469892399E+19"/>
  </r>
  <r>
    <b v="0"/>
    <x v="12"/>
    <x v="15"/>
    <x v="1"/>
    <x v="0"/>
    <x v="753"/>
    <n v="0"/>
    <n v="1.77464719128989E+19"/>
  </r>
  <r>
    <b v="0"/>
    <x v="6"/>
    <x v="12"/>
    <x v="1"/>
    <x v="0"/>
    <x v="754"/>
    <n v="0"/>
    <n v="6.5161942738611098E+18"/>
  </r>
  <r>
    <b v="0"/>
    <x v="13"/>
    <x v="15"/>
    <x v="1"/>
    <x v="0"/>
    <x v="755"/>
    <n v="0"/>
    <n v="1.2609445494616701E+19"/>
  </r>
  <r>
    <b v="0"/>
    <x v="5"/>
    <x v="12"/>
    <x v="1"/>
    <x v="0"/>
    <x v="756"/>
    <n v="0"/>
    <n v="1.03955128432111E+18"/>
  </r>
  <r>
    <b v="0"/>
    <x v="3"/>
    <x v="12"/>
    <x v="1"/>
    <x v="0"/>
    <x v="757"/>
    <n v="0"/>
    <n v="4.0743878936072801E+18"/>
  </r>
  <r>
    <b v="0"/>
    <x v="9"/>
    <x v="3"/>
    <x v="1"/>
    <x v="0"/>
    <x v="758"/>
    <n v="0"/>
    <n v="1.02826178635724E+19"/>
  </r>
  <r>
    <b v="0"/>
    <x v="10"/>
    <x v="3"/>
    <x v="1"/>
    <x v="0"/>
    <x v="759"/>
    <n v="0"/>
    <n v="1.75768107345879E+19"/>
  </r>
  <r>
    <b v="0"/>
    <x v="11"/>
    <x v="3"/>
    <x v="1"/>
    <x v="0"/>
    <x v="760"/>
    <n v="0"/>
    <n v="2.1473251270132101E+18"/>
  </r>
  <r>
    <b v="0"/>
    <x v="12"/>
    <x v="3"/>
    <x v="1"/>
    <x v="0"/>
    <x v="761"/>
    <n v="0"/>
    <n v="6.0992612483395697E+18"/>
  </r>
  <r>
    <b v="0"/>
    <x v="13"/>
    <x v="3"/>
    <x v="1"/>
    <x v="0"/>
    <x v="762"/>
    <n v="0"/>
    <n v="1.74013151447499E+19"/>
  </r>
  <r>
    <b v="0"/>
    <x v="7"/>
    <x v="12"/>
    <x v="1"/>
    <x v="0"/>
    <x v="763"/>
    <n v="0"/>
    <n v="1.3868888019128701E+19"/>
  </r>
  <r>
    <b v="0"/>
    <x v="1"/>
    <x v="14"/>
    <x v="1"/>
    <x v="0"/>
    <x v="764"/>
    <n v="0"/>
    <n v="1.1831539036519899E+19"/>
  </r>
  <r>
    <b v="0"/>
    <x v="4"/>
    <x v="1"/>
    <x v="1"/>
    <x v="1"/>
    <x v="765"/>
    <n v="0"/>
    <n v="8.6953099422072197E+18"/>
  </r>
  <r>
    <b v="0"/>
    <x v="9"/>
    <x v="14"/>
    <x v="1"/>
    <x v="0"/>
    <x v="766"/>
    <n v="0"/>
    <n v="1.57701385576734E+19"/>
  </r>
  <r>
    <b v="0"/>
    <x v="6"/>
    <x v="1"/>
    <x v="1"/>
    <x v="1"/>
    <x v="767"/>
    <n v="0"/>
    <n v="1.27282739707469E+19"/>
  </r>
  <r>
    <b v="0"/>
    <x v="7"/>
    <x v="1"/>
    <x v="1"/>
    <x v="1"/>
    <x v="768"/>
    <n v="0"/>
    <n v="1.4053196820983501E+19"/>
  </r>
  <r>
    <b v="0"/>
    <x v="8"/>
    <x v="1"/>
    <x v="1"/>
    <x v="1"/>
    <x v="769"/>
    <n v="0"/>
    <n v="1.71271502618555E+19"/>
  </r>
  <r>
    <b v="0"/>
    <x v="0"/>
    <x v="5"/>
    <x v="1"/>
    <x v="1"/>
    <x v="770"/>
    <n v="0"/>
    <n v="3.0169838084593802E+18"/>
  </r>
  <r>
    <b v="0"/>
    <x v="10"/>
    <x v="14"/>
    <x v="1"/>
    <x v="0"/>
    <x v="771"/>
    <n v="0"/>
    <n v="1.3690762953162701E+19"/>
  </r>
  <r>
    <b v="0"/>
    <x v="13"/>
    <x v="4"/>
    <x v="1"/>
    <x v="1"/>
    <x v="772"/>
    <n v="0"/>
    <n v="1.6447576867207E+19"/>
  </r>
  <r>
    <b v="0"/>
    <x v="11"/>
    <x v="4"/>
    <x v="1"/>
    <x v="1"/>
    <x v="773"/>
    <n v="0"/>
    <n v="1.4092149185930199E+19"/>
  </r>
  <r>
    <b v="0"/>
    <x v="5"/>
    <x v="2"/>
    <x v="1"/>
    <x v="1"/>
    <x v="774"/>
    <n v="0"/>
    <n v="1.33432904584552E+19"/>
  </r>
  <r>
    <b v="0"/>
    <x v="6"/>
    <x v="2"/>
    <x v="1"/>
    <x v="1"/>
    <x v="775"/>
    <n v="0"/>
    <n v="1.22817283075386E+19"/>
  </r>
  <r>
    <b v="0"/>
    <x v="7"/>
    <x v="2"/>
    <x v="1"/>
    <x v="1"/>
    <x v="776"/>
    <n v="0"/>
    <n v="2.4444873301117599E+18"/>
  </r>
  <r>
    <b v="0"/>
    <x v="8"/>
    <x v="2"/>
    <x v="1"/>
    <x v="1"/>
    <x v="777"/>
    <n v="0"/>
    <n v="7.9315306874567803E+18"/>
  </r>
  <r>
    <b v="0"/>
    <x v="1"/>
    <x v="2"/>
    <x v="1"/>
    <x v="1"/>
    <x v="778"/>
    <n v="0"/>
    <n v="1.5057659422684899E+19"/>
  </r>
  <r>
    <b v="0"/>
    <x v="9"/>
    <x v="2"/>
    <x v="1"/>
    <x v="1"/>
    <x v="779"/>
    <n v="0"/>
    <n v="1.7561118404719E+19"/>
  </r>
  <r>
    <b v="0"/>
    <x v="10"/>
    <x v="2"/>
    <x v="1"/>
    <x v="1"/>
    <x v="780"/>
    <n v="0"/>
    <n v="5.2751691184042701E+18"/>
  </r>
  <r>
    <b v="0"/>
    <x v="11"/>
    <x v="2"/>
    <x v="1"/>
    <x v="1"/>
    <x v="781"/>
    <n v="0"/>
    <n v="1.63470560995598E+18"/>
  </r>
  <r>
    <b v="0"/>
    <x v="12"/>
    <x v="2"/>
    <x v="1"/>
    <x v="1"/>
    <x v="782"/>
    <n v="0"/>
    <n v="1.67384234672169E+19"/>
  </r>
  <r>
    <b v="0"/>
    <x v="13"/>
    <x v="2"/>
    <x v="1"/>
    <x v="1"/>
    <x v="783"/>
    <n v="0"/>
    <n v="1.5553790812398399E+19"/>
  </r>
  <r>
    <b v="0"/>
    <x v="0"/>
    <x v="4"/>
    <x v="1"/>
    <x v="1"/>
    <x v="784"/>
    <n v="0"/>
    <n v="4.5631520115096602E+18"/>
  </r>
  <r>
    <b v="0"/>
    <x v="2"/>
    <x v="4"/>
    <x v="1"/>
    <x v="1"/>
    <x v="785"/>
    <n v="0"/>
    <n v="2.17701815202781E+18"/>
  </r>
  <r>
    <b v="0"/>
    <x v="3"/>
    <x v="4"/>
    <x v="1"/>
    <x v="1"/>
    <x v="786"/>
    <n v="0"/>
    <n v="8.4851870246994596E+18"/>
  </r>
  <r>
    <b v="0"/>
    <x v="4"/>
    <x v="4"/>
    <x v="1"/>
    <x v="1"/>
    <x v="787"/>
    <n v="0"/>
    <n v="3.2986759452276198E+18"/>
  </r>
  <r>
    <b v="0"/>
    <x v="5"/>
    <x v="4"/>
    <x v="1"/>
    <x v="1"/>
    <x v="788"/>
    <n v="0"/>
    <n v="3.4286629102162298E+17"/>
  </r>
  <r>
    <b v="0"/>
    <x v="6"/>
    <x v="4"/>
    <x v="1"/>
    <x v="1"/>
    <x v="789"/>
    <n v="0"/>
    <n v="9.1031833590252196E+18"/>
  </r>
  <r>
    <b v="0"/>
    <x v="7"/>
    <x v="4"/>
    <x v="1"/>
    <x v="1"/>
    <x v="790"/>
    <n v="0"/>
    <n v="7.6902010278221005E+17"/>
  </r>
  <r>
    <b v="0"/>
    <x v="8"/>
    <x v="4"/>
    <x v="1"/>
    <x v="1"/>
    <x v="791"/>
    <n v="0"/>
    <n v="1.3700651402606E+19"/>
  </r>
  <r>
    <b v="0"/>
    <x v="1"/>
    <x v="4"/>
    <x v="1"/>
    <x v="1"/>
    <x v="792"/>
    <n v="0"/>
    <n v="4.2957983937599898E+18"/>
  </r>
  <r>
    <b v="0"/>
    <x v="9"/>
    <x v="4"/>
    <x v="1"/>
    <x v="1"/>
    <x v="793"/>
    <n v="0"/>
    <n v="9.7936742622408008E+18"/>
  </r>
  <r>
    <b v="0"/>
    <x v="10"/>
    <x v="4"/>
    <x v="1"/>
    <x v="1"/>
    <x v="794"/>
    <n v="0"/>
    <n v="8.6056446509232998E+18"/>
  </r>
  <r>
    <b v="0"/>
    <x v="12"/>
    <x v="4"/>
    <x v="1"/>
    <x v="1"/>
    <x v="795"/>
    <n v="0"/>
    <n v="1.74932456767225E+19"/>
  </r>
  <r>
    <b v="0"/>
    <x v="6"/>
    <x v="6"/>
    <x v="1"/>
    <x v="1"/>
    <x v="796"/>
    <n v="0"/>
    <n v="2.1689529658829701E+18"/>
  </r>
  <r>
    <b v="0"/>
    <x v="7"/>
    <x v="8"/>
    <x v="1"/>
    <x v="0"/>
    <x v="797"/>
    <n v="0"/>
    <n v="7.2747054177117E+18"/>
  </r>
  <r>
    <b v="0"/>
    <x v="8"/>
    <x v="6"/>
    <x v="1"/>
    <x v="1"/>
    <x v="798"/>
    <n v="0"/>
    <n v="4.9029175605044695E+18"/>
  </r>
  <r>
    <b v="0"/>
    <x v="0"/>
    <x v="2"/>
    <x v="1"/>
    <x v="0"/>
    <x v="799"/>
    <n v="0"/>
    <n v="1.2422995100532301E+18"/>
  </r>
  <r>
    <b v="0"/>
    <x v="2"/>
    <x v="0"/>
    <x v="1"/>
    <x v="0"/>
    <x v="800"/>
    <n v="0"/>
    <n v="8.8959046534000896E+18"/>
  </r>
  <r>
    <b v="0"/>
    <x v="3"/>
    <x v="0"/>
    <x v="1"/>
    <x v="0"/>
    <x v="801"/>
    <n v="0"/>
    <n v="3.5614263536394701E+18"/>
  </r>
  <r>
    <b v="0"/>
    <x v="4"/>
    <x v="0"/>
    <x v="1"/>
    <x v="0"/>
    <x v="802"/>
    <n v="0"/>
    <n v="9.827115407424811E+18"/>
  </r>
  <r>
    <b v="0"/>
    <x v="5"/>
    <x v="0"/>
    <x v="1"/>
    <x v="0"/>
    <x v="803"/>
    <n v="0"/>
    <n v="1.6829212039781599E+19"/>
  </r>
  <r>
    <b v="0"/>
    <x v="6"/>
    <x v="0"/>
    <x v="1"/>
    <x v="0"/>
    <x v="804"/>
    <n v="0"/>
    <n v="4.2209340361968799E+18"/>
  </r>
  <r>
    <b v="0"/>
    <x v="7"/>
    <x v="0"/>
    <x v="1"/>
    <x v="0"/>
    <x v="805"/>
    <n v="0"/>
    <n v="2.5429743230987402E+18"/>
  </r>
  <r>
    <b v="0"/>
    <x v="8"/>
    <x v="0"/>
    <x v="1"/>
    <x v="0"/>
    <x v="806"/>
    <n v="0"/>
    <n v="7.6574553235404001E+18"/>
  </r>
  <r>
    <b v="0"/>
    <x v="1"/>
    <x v="0"/>
    <x v="1"/>
    <x v="0"/>
    <x v="807"/>
    <n v="0"/>
    <n v="6.3127330719792896E+18"/>
  </r>
  <r>
    <b v="0"/>
    <x v="9"/>
    <x v="0"/>
    <x v="1"/>
    <x v="0"/>
    <x v="808"/>
    <n v="0"/>
    <n v="1.65841200875217E+19"/>
  </r>
  <r>
    <b v="0"/>
    <x v="10"/>
    <x v="0"/>
    <x v="1"/>
    <x v="0"/>
    <x v="809"/>
    <n v="0"/>
    <n v="1.1002130396686701E+19"/>
  </r>
  <r>
    <b v="0"/>
    <x v="11"/>
    <x v="0"/>
    <x v="1"/>
    <x v="0"/>
    <x v="810"/>
    <n v="0"/>
    <n v="4.68349894105583E+18"/>
  </r>
  <r>
    <b v="0"/>
    <x v="12"/>
    <x v="0"/>
    <x v="1"/>
    <x v="0"/>
    <x v="811"/>
    <n v="0"/>
    <n v="1.32980557439784E+19"/>
  </r>
  <r>
    <b v="0"/>
    <x v="13"/>
    <x v="0"/>
    <x v="1"/>
    <x v="0"/>
    <x v="812"/>
    <n v="0"/>
    <n v="1.81580509049735E+19"/>
  </r>
  <r>
    <b v="0"/>
    <x v="8"/>
    <x v="1"/>
    <x v="1"/>
    <x v="0"/>
    <x v="813"/>
    <n v="0"/>
    <n v="1.3515380126385199E+19"/>
  </r>
  <r>
    <b v="0"/>
    <x v="3"/>
    <x v="2"/>
    <x v="1"/>
    <x v="0"/>
    <x v="814"/>
    <n v="0"/>
    <n v="1.25648399624349E+19"/>
  </r>
  <r>
    <b v="0"/>
    <x v="0"/>
    <x v="0"/>
    <x v="1"/>
    <x v="0"/>
    <x v="815"/>
    <n v="0"/>
    <n v="8.57077619842432E+18"/>
  </r>
  <r>
    <b v="0"/>
    <x v="4"/>
    <x v="2"/>
    <x v="1"/>
    <x v="0"/>
    <x v="816"/>
    <n v="0"/>
    <n v="9.5449823501152809E+18"/>
  </r>
  <r>
    <b v="0"/>
    <x v="5"/>
    <x v="2"/>
    <x v="1"/>
    <x v="0"/>
    <x v="817"/>
    <n v="0"/>
    <n v="5.8640140642136504E+18"/>
  </r>
  <r>
    <b v="0"/>
    <x v="6"/>
    <x v="2"/>
    <x v="1"/>
    <x v="0"/>
    <x v="818"/>
    <n v="0"/>
    <n v="9.7718596403990508E+18"/>
  </r>
  <r>
    <b v="0"/>
    <x v="7"/>
    <x v="2"/>
    <x v="1"/>
    <x v="0"/>
    <x v="819"/>
    <n v="0"/>
    <n v="1.9770621029605901E+18"/>
  </r>
  <r>
    <b v="0"/>
    <x v="8"/>
    <x v="2"/>
    <x v="1"/>
    <x v="0"/>
    <x v="820"/>
    <n v="0"/>
    <n v="4.28959304266078E+18"/>
  </r>
  <r>
    <b v="0"/>
    <x v="1"/>
    <x v="2"/>
    <x v="1"/>
    <x v="0"/>
    <x v="821"/>
    <n v="0"/>
    <n v="1.09666353606005E+19"/>
  </r>
  <r>
    <b v="0"/>
    <x v="9"/>
    <x v="2"/>
    <x v="1"/>
    <x v="0"/>
    <x v="822"/>
    <n v="0"/>
    <n v="1.32496200660572E+19"/>
  </r>
  <r>
    <b v="0"/>
    <x v="10"/>
    <x v="2"/>
    <x v="1"/>
    <x v="0"/>
    <x v="823"/>
    <n v="0"/>
    <n v="1.54405884237986E+19"/>
  </r>
  <r>
    <b v="0"/>
    <x v="11"/>
    <x v="2"/>
    <x v="1"/>
    <x v="0"/>
    <x v="824"/>
    <n v="0"/>
    <n v="1.0390325784462399E+19"/>
  </r>
  <r>
    <b v="0"/>
    <x v="12"/>
    <x v="2"/>
    <x v="1"/>
    <x v="0"/>
    <x v="825"/>
    <n v="0"/>
    <n v="9.2440219868693791E+18"/>
  </r>
  <r>
    <b v="0"/>
    <x v="13"/>
    <x v="2"/>
    <x v="1"/>
    <x v="0"/>
    <x v="826"/>
    <n v="0"/>
    <n v="2.05558533804478E+18"/>
  </r>
  <r>
    <b v="0"/>
    <x v="0"/>
    <x v="4"/>
    <x v="1"/>
    <x v="0"/>
    <x v="827"/>
    <n v="0"/>
    <n v="1.09745193626675E+19"/>
  </r>
  <r>
    <b v="0"/>
    <x v="2"/>
    <x v="4"/>
    <x v="1"/>
    <x v="0"/>
    <x v="828"/>
    <n v="0"/>
    <n v="9.8044791440507802E+18"/>
  </r>
  <r>
    <b v="0"/>
    <x v="2"/>
    <x v="2"/>
    <x v="1"/>
    <x v="0"/>
    <x v="829"/>
    <n v="0"/>
    <n v="1.7726725654197101E+19"/>
  </r>
  <r>
    <b v="0"/>
    <x v="7"/>
    <x v="3"/>
    <x v="1"/>
    <x v="0"/>
    <x v="830"/>
    <n v="0"/>
    <n v="3.0845426905650002E+18"/>
  </r>
  <r>
    <b v="0"/>
    <x v="3"/>
    <x v="4"/>
    <x v="1"/>
    <x v="0"/>
    <x v="831"/>
    <n v="0"/>
    <n v="7.0355622796715305E+18"/>
  </r>
  <r>
    <b v="0"/>
    <x v="4"/>
    <x v="4"/>
    <x v="1"/>
    <x v="0"/>
    <x v="832"/>
    <n v="0"/>
    <n v="2.3374527563974799E+18"/>
  </r>
  <r>
    <b v="0"/>
    <x v="5"/>
    <x v="4"/>
    <x v="1"/>
    <x v="0"/>
    <x v="833"/>
    <n v="0"/>
    <n v="1.68935995195648E+19"/>
  </r>
  <r>
    <b v="0"/>
    <x v="8"/>
    <x v="4"/>
    <x v="1"/>
    <x v="0"/>
    <x v="834"/>
    <n v="0"/>
    <n v="6.0615030106703104E+18"/>
  </r>
  <r>
    <b v="0"/>
    <x v="1"/>
    <x v="4"/>
    <x v="1"/>
    <x v="0"/>
    <x v="835"/>
    <n v="0"/>
    <n v="1.24990276643688E+19"/>
  </r>
  <r>
    <b v="0"/>
    <x v="9"/>
    <x v="4"/>
    <x v="1"/>
    <x v="0"/>
    <x v="836"/>
    <n v="0"/>
    <n v="9.5784258729129206E+18"/>
  </r>
  <r>
    <b v="0"/>
    <x v="10"/>
    <x v="4"/>
    <x v="1"/>
    <x v="0"/>
    <x v="837"/>
    <n v="0"/>
    <n v="3.2091356709861699E+18"/>
  </r>
  <r>
    <b v="0"/>
    <x v="11"/>
    <x v="4"/>
    <x v="1"/>
    <x v="0"/>
    <x v="838"/>
    <n v="0"/>
    <n v="1.07308010945455E+19"/>
  </r>
  <r>
    <b v="0"/>
    <x v="12"/>
    <x v="4"/>
    <x v="1"/>
    <x v="0"/>
    <x v="839"/>
    <n v="0"/>
    <n v="8.8706089646357105E+18"/>
  </r>
  <r>
    <b v="0"/>
    <x v="13"/>
    <x v="4"/>
    <x v="1"/>
    <x v="0"/>
    <x v="840"/>
    <n v="0"/>
    <n v="1.3547384100871399E+19"/>
  </r>
  <r>
    <b v="0"/>
    <x v="0"/>
    <x v="5"/>
    <x v="1"/>
    <x v="0"/>
    <x v="841"/>
    <n v="0"/>
    <n v="7.9419633490154404E+18"/>
  </r>
  <r>
    <b v="0"/>
    <x v="2"/>
    <x v="5"/>
    <x v="1"/>
    <x v="0"/>
    <x v="842"/>
    <n v="0"/>
    <n v="7.5084867125788303E+18"/>
  </r>
  <r>
    <b v="0"/>
    <x v="3"/>
    <x v="5"/>
    <x v="1"/>
    <x v="0"/>
    <x v="843"/>
    <n v="0"/>
    <n v="1.575084370096E+19"/>
  </r>
  <r>
    <b v="0"/>
    <x v="4"/>
    <x v="5"/>
    <x v="1"/>
    <x v="0"/>
    <x v="844"/>
    <n v="0"/>
    <n v="1.1009816500574401E+19"/>
  </r>
  <r>
    <b v="0"/>
    <x v="5"/>
    <x v="5"/>
    <x v="1"/>
    <x v="0"/>
    <x v="845"/>
    <n v="0"/>
    <n v="1.6386895905194E+19"/>
  </r>
  <r>
    <b v="0"/>
    <x v="6"/>
    <x v="5"/>
    <x v="1"/>
    <x v="0"/>
    <x v="846"/>
    <n v="0"/>
    <n v="1.6825357433907401E+19"/>
  </r>
  <r>
    <b v="0"/>
    <x v="7"/>
    <x v="5"/>
    <x v="1"/>
    <x v="0"/>
    <x v="847"/>
    <n v="0"/>
    <n v="4.9630915739777597E+18"/>
  </r>
  <r>
    <b v="0"/>
    <x v="8"/>
    <x v="5"/>
    <x v="1"/>
    <x v="0"/>
    <x v="848"/>
    <n v="0"/>
    <n v="1.0504545762330499E+19"/>
  </r>
  <r>
    <b v="0"/>
    <x v="1"/>
    <x v="5"/>
    <x v="1"/>
    <x v="0"/>
    <x v="849"/>
    <n v="0"/>
    <n v="3.2423130804164398E+18"/>
  </r>
  <r>
    <b v="0"/>
    <x v="9"/>
    <x v="5"/>
    <x v="1"/>
    <x v="0"/>
    <x v="850"/>
    <n v="0"/>
    <n v="1.1915042855793E+19"/>
  </r>
  <r>
    <b v="0"/>
    <x v="10"/>
    <x v="5"/>
    <x v="1"/>
    <x v="0"/>
    <x v="851"/>
    <n v="0"/>
    <n v="8.4574512635839703E+18"/>
  </r>
  <r>
    <b v="0"/>
    <x v="11"/>
    <x v="5"/>
    <x v="1"/>
    <x v="0"/>
    <x v="852"/>
    <n v="0"/>
    <n v="2.8296681927296399E+18"/>
  </r>
  <r>
    <b v="0"/>
    <x v="12"/>
    <x v="5"/>
    <x v="1"/>
    <x v="0"/>
    <x v="853"/>
    <n v="0"/>
    <n v="2.9821873141269699E+18"/>
  </r>
  <r>
    <b v="0"/>
    <x v="13"/>
    <x v="5"/>
    <x v="1"/>
    <x v="0"/>
    <x v="854"/>
    <n v="0"/>
    <n v="7.6441432658659103E+18"/>
  </r>
  <r>
    <b v="0"/>
    <x v="0"/>
    <x v="1"/>
    <x v="1"/>
    <x v="0"/>
    <x v="855"/>
    <n v="0"/>
    <n v="9.1335664262930698E+18"/>
  </r>
  <r>
    <b v="0"/>
    <x v="2"/>
    <x v="1"/>
    <x v="1"/>
    <x v="0"/>
    <x v="856"/>
    <n v="0"/>
    <n v="8.2949026846818898E+18"/>
  </r>
  <r>
    <b v="0"/>
    <x v="3"/>
    <x v="1"/>
    <x v="1"/>
    <x v="0"/>
    <x v="857"/>
    <n v="0"/>
    <n v="1.25350784647539E+19"/>
  </r>
  <r>
    <b v="0"/>
    <x v="4"/>
    <x v="1"/>
    <x v="1"/>
    <x v="0"/>
    <x v="858"/>
    <n v="0"/>
    <n v="1.0342900047850899E+19"/>
  </r>
  <r>
    <b v="0"/>
    <x v="5"/>
    <x v="1"/>
    <x v="1"/>
    <x v="0"/>
    <x v="859"/>
    <n v="0"/>
    <n v="1.0589557352757101E+19"/>
  </r>
  <r>
    <b v="0"/>
    <x v="6"/>
    <x v="1"/>
    <x v="1"/>
    <x v="0"/>
    <x v="860"/>
    <n v="0"/>
    <n v="1.19791171619059E+19"/>
  </r>
  <r>
    <b v="0"/>
    <x v="7"/>
    <x v="1"/>
    <x v="1"/>
    <x v="0"/>
    <x v="861"/>
    <n v="0"/>
    <n v="1.0163753204413E+19"/>
  </r>
  <r>
    <b v="0"/>
    <x v="6"/>
    <x v="4"/>
    <x v="1"/>
    <x v="0"/>
    <x v="862"/>
    <n v="0"/>
    <n v="1.53319001295528E+19"/>
  </r>
  <r>
    <b v="0"/>
    <x v="1"/>
    <x v="1"/>
    <x v="1"/>
    <x v="0"/>
    <x v="863"/>
    <n v="0"/>
    <n v="1.09790083451275E+18"/>
  </r>
  <r>
    <b v="0"/>
    <x v="10"/>
    <x v="1"/>
    <x v="1"/>
    <x v="0"/>
    <x v="864"/>
    <n v="0"/>
    <n v="4.7280341563868403E+17"/>
  </r>
  <r>
    <b v="0"/>
    <x v="1"/>
    <x v="6"/>
    <x v="1"/>
    <x v="1"/>
    <x v="865"/>
    <n v="0"/>
    <n v="1.0486208171723801E+19"/>
  </r>
  <r>
    <b v="0"/>
    <x v="11"/>
    <x v="7"/>
    <x v="1"/>
    <x v="0"/>
    <x v="866"/>
    <n v="0"/>
    <n v="2.7670076740341801E+18"/>
  </r>
  <r>
    <b v="0"/>
    <x v="0"/>
    <x v="9"/>
    <x v="1"/>
    <x v="0"/>
    <x v="867"/>
    <n v="0"/>
    <n v="1.5272850239887999E+19"/>
  </r>
  <r>
    <b v="0"/>
    <x v="12"/>
    <x v="1"/>
    <x v="1"/>
    <x v="0"/>
    <x v="868"/>
    <n v="0"/>
    <n v="1.22650349862423E+19"/>
  </r>
  <r>
    <b v="0"/>
    <x v="13"/>
    <x v="1"/>
    <x v="1"/>
    <x v="0"/>
    <x v="869"/>
    <n v="0"/>
    <n v="3.25677893909647E+18"/>
  </r>
  <r>
    <b v="0"/>
    <x v="0"/>
    <x v="7"/>
    <x v="1"/>
    <x v="0"/>
    <x v="870"/>
    <n v="0"/>
    <n v="9.84867009887727E+18"/>
  </r>
  <r>
    <b v="0"/>
    <x v="2"/>
    <x v="7"/>
    <x v="1"/>
    <x v="0"/>
    <x v="871"/>
    <n v="0"/>
    <n v="1.5720394367453499E+19"/>
  </r>
  <r>
    <b v="0"/>
    <x v="3"/>
    <x v="7"/>
    <x v="1"/>
    <x v="0"/>
    <x v="872"/>
    <n v="0"/>
    <n v="1.1372708632436799E+19"/>
  </r>
  <r>
    <b v="0"/>
    <x v="4"/>
    <x v="7"/>
    <x v="1"/>
    <x v="0"/>
    <x v="873"/>
    <n v="0"/>
    <n v="1.5784872452009099E+19"/>
  </r>
  <r>
    <b v="0"/>
    <x v="5"/>
    <x v="7"/>
    <x v="1"/>
    <x v="0"/>
    <x v="874"/>
    <n v="0"/>
    <n v="1.36746880494406E+19"/>
  </r>
  <r>
    <b v="0"/>
    <x v="6"/>
    <x v="7"/>
    <x v="1"/>
    <x v="0"/>
    <x v="875"/>
    <n v="0"/>
    <n v="1.04250482920175E+19"/>
  </r>
  <r>
    <b v="0"/>
    <x v="7"/>
    <x v="7"/>
    <x v="1"/>
    <x v="0"/>
    <x v="876"/>
    <n v="0"/>
    <n v="1.3754782647924001E+19"/>
  </r>
  <r>
    <b v="0"/>
    <x v="8"/>
    <x v="7"/>
    <x v="1"/>
    <x v="0"/>
    <x v="877"/>
    <n v="0"/>
    <n v="4.4336480844812298E+18"/>
  </r>
  <r>
    <b v="0"/>
    <x v="1"/>
    <x v="7"/>
    <x v="1"/>
    <x v="0"/>
    <x v="878"/>
    <n v="0"/>
    <n v="1.51241361064086E+19"/>
  </r>
  <r>
    <b v="0"/>
    <x v="9"/>
    <x v="7"/>
    <x v="1"/>
    <x v="0"/>
    <x v="879"/>
    <n v="0"/>
    <n v="1.1066234333689301E+19"/>
  </r>
  <r>
    <b v="0"/>
    <x v="10"/>
    <x v="7"/>
    <x v="1"/>
    <x v="0"/>
    <x v="880"/>
    <n v="0"/>
    <n v="3.87786501189154E+18"/>
  </r>
  <r>
    <b v="0"/>
    <x v="11"/>
    <x v="1"/>
    <x v="1"/>
    <x v="0"/>
    <x v="881"/>
    <n v="0"/>
    <n v="1.42258640127795E+19"/>
  </r>
  <r>
    <b v="0"/>
    <x v="4"/>
    <x v="9"/>
    <x v="1"/>
    <x v="0"/>
    <x v="882"/>
    <n v="0"/>
    <n v="1.28608897710343E+19"/>
  </r>
  <r>
    <b v="0"/>
    <x v="13"/>
    <x v="7"/>
    <x v="1"/>
    <x v="0"/>
    <x v="883"/>
    <n v="0"/>
    <n v="4.35965611267546E+16"/>
  </r>
  <r>
    <b v="0"/>
    <x v="12"/>
    <x v="8"/>
    <x v="1"/>
    <x v="0"/>
    <x v="884"/>
    <n v="0"/>
    <n v="1.08380243138671E+19"/>
  </r>
  <r>
    <b v="0"/>
    <x v="11"/>
    <x v="8"/>
    <x v="1"/>
    <x v="0"/>
    <x v="885"/>
    <n v="0"/>
    <n v="6.0759781316909701E+18"/>
  </r>
  <r>
    <b v="0"/>
    <x v="10"/>
    <x v="8"/>
    <x v="1"/>
    <x v="0"/>
    <x v="886"/>
    <n v="0"/>
    <n v="1.48301598330357E+19"/>
  </r>
  <r>
    <b v="0"/>
    <x v="9"/>
    <x v="8"/>
    <x v="1"/>
    <x v="0"/>
    <x v="887"/>
    <n v="0"/>
    <n v="9.6544241630021606E+17"/>
  </r>
  <r>
    <b v="0"/>
    <x v="12"/>
    <x v="7"/>
    <x v="1"/>
    <x v="0"/>
    <x v="888"/>
    <n v="0"/>
    <n v="1.78831829999039E+19"/>
  </r>
  <r>
    <b v="0"/>
    <x v="8"/>
    <x v="8"/>
    <x v="1"/>
    <x v="0"/>
    <x v="889"/>
    <n v="0"/>
    <n v="3.4985831834039798E+18"/>
  </r>
  <r>
    <b v="0"/>
    <x v="1"/>
    <x v="8"/>
    <x v="1"/>
    <x v="0"/>
    <x v="890"/>
    <n v="0"/>
    <n v="1.8303081846592801E+19"/>
  </r>
  <r>
    <b v="0"/>
    <x v="6"/>
    <x v="8"/>
    <x v="1"/>
    <x v="0"/>
    <x v="891"/>
    <n v="0"/>
    <n v="2.8828917260277299E+18"/>
  </r>
  <r>
    <b v="0"/>
    <x v="5"/>
    <x v="8"/>
    <x v="1"/>
    <x v="0"/>
    <x v="892"/>
    <n v="0"/>
    <n v="6.9133905957294705E+18"/>
  </r>
  <r>
    <b v="0"/>
    <x v="4"/>
    <x v="8"/>
    <x v="1"/>
    <x v="0"/>
    <x v="893"/>
    <n v="0"/>
    <n v="1.69582652666782E+18"/>
  </r>
  <r>
    <b v="0"/>
    <x v="3"/>
    <x v="8"/>
    <x v="1"/>
    <x v="0"/>
    <x v="894"/>
    <n v="0"/>
    <n v="1.5928390451046101E+19"/>
  </r>
  <r>
    <b v="0"/>
    <x v="2"/>
    <x v="8"/>
    <x v="1"/>
    <x v="0"/>
    <x v="895"/>
    <n v="0"/>
    <n v="1.56407098882857E+19"/>
  </r>
  <r>
    <b v="0"/>
    <x v="0"/>
    <x v="8"/>
    <x v="1"/>
    <x v="0"/>
    <x v="896"/>
    <n v="0"/>
    <n v="1.62637764234635E+19"/>
  </r>
  <r>
    <b v="0"/>
    <x v="13"/>
    <x v="8"/>
    <x v="1"/>
    <x v="0"/>
    <x v="897"/>
    <n v="0"/>
    <n v="1.07726057946526E+19"/>
  </r>
  <r>
    <b v="0"/>
    <x v="2"/>
    <x v="10"/>
    <x v="1"/>
    <x v="0"/>
    <x v="898"/>
    <n v="0"/>
    <n v="5.9416449626296003E+18"/>
  </r>
  <r>
    <b v="0"/>
    <x v="2"/>
    <x v="9"/>
    <x v="1"/>
    <x v="0"/>
    <x v="899"/>
    <n v="0"/>
    <n v="1.64907038245801E+19"/>
  </r>
  <r>
    <b v="0"/>
    <x v="5"/>
    <x v="10"/>
    <x v="1"/>
    <x v="0"/>
    <x v="900"/>
    <n v="0"/>
    <n v="1.6360985866249501E+19"/>
  </r>
  <r>
    <b v="0"/>
    <x v="5"/>
    <x v="9"/>
    <x v="1"/>
    <x v="0"/>
    <x v="901"/>
    <n v="0"/>
    <n v="4.1234172396730798E+18"/>
  </r>
  <r>
    <b v="0"/>
    <x v="6"/>
    <x v="9"/>
    <x v="1"/>
    <x v="0"/>
    <x v="902"/>
    <n v="0"/>
    <n v="1.6629347351405199E+19"/>
  </r>
  <r>
    <b v="0"/>
    <x v="7"/>
    <x v="9"/>
    <x v="1"/>
    <x v="0"/>
    <x v="903"/>
    <n v="0"/>
    <n v="1.30587354313587E+19"/>
  </r>
  <r>
    <b v="0"/>
    <x v="8"/>
    <x v="9"/>
    <x v="1"/>
    <x v="0"/>
    <x v="904"/>
    <n v="0"/>
    <n v="9.7303449071810396E+18"/>
  </r>
  <r>
    <b v="0"/>
    <x v="1"/>
    <x v="9"/>
    <x v="1"/>
    <x v="0"/>
    <x v="905"/>
    <n v="0"/>
    <n v="1.69594213477084E+19"/>
  </r>
  <r>
    <b v="0"/>
    <x v="9"/>
    <x v="9"/>
    <x v="1"/>
    <x v="0"/>
    <x v="906"/>
    <n v="0"/>
    <n v="1.5788869591296299E+19"/>
  </r>
  <r>
    <b v="0"/>
    <x v="10"/>
    <x v="9"/>
    <x v="1"/>
    <x v="0"/>
    <x v="907"/>
    <n v="0"/>
    <n v="1.0893660203017099E+19"/>
  </r>
  <r>
    <b v="0"/>
    <x v="11"/>
    <x v="9"/>
    <x v="1"/>
    <x v="0"/>
    <x v="908"/>
    <n v="0"/>
    <n v="4.0025309392441001E+18"/>
  </r>
  <r>
    <b v="0"/>
    <x v="12"/>
    <x v="9"/>
    <x v="1"/>
    <x v="0"/>
    <x v="909"/>
    <n v="0"/>
    <n v="2.0678514198530299E+18"/>
  </r>
  <r>
    <b v="0"/>
    <x v="13"/>
    <x v="9"/>
    <x v="1"/>
    <x v="0"/>
    <x v="910"/>
    <n v="0"/>
    <n v="1.3696858217814401E+19"/>
  </r>
  <r>
    <b v="0"/>
    <x v="0"/>
    <x v="10"/>
    <x v="1"/>
    <x v="0"/>
    <x v="911"/>
    <n v="0"/>
    <n v="1.35884321660638E+19"/>
  </r>
  <r>
    <b v="0"/>
    <x v="9"/>
    <x v="1"/>
    <x v="1"/>
    <x v="0"/>
    <x v="912"/>
    <n v="0"/>
    <n v="2.92045565983725E+18"/>
  </r>
  <r>
    <b v="0"/>
    <x v="3"/>
    <x v="10"/>
    <x v="1"/>
    <x v="0"/>
    <x v="913"/>
    <n v="0"/>
    <n v="1.50465172527291E+19"/>
  </r>
  <r>
    <b v="0"/>
    <x v="3"/>
    <x v="9"/>
    <x v="1"/>
    <x v="0"/>
    <x v="914"/>
    <n v="0"/>
    <n v="1.2101379854662899E+18"/>
  </r>
  <r>
    <b v="0"/>
    <x v="4"/>
    <x v="10"/>
    <x v="1"/>
    <x v="0"/>
    <x v="915"/>
    <n v="0"/>
    <n v="1.1112634041787001E+19"/>
  </r>
  <r>
    <b v="0"/>
    <x v="6"/>
    <x v="10"/>
    <x v="1"/>
    <x v="0"/>
    <x v="916"/>
    <n v="0"/>
    <n v="3.5280301223597302E+18"/>
  </r>
  <r>
    <b v="0"/>
    <x v="7"/>
    <x v="10"/>
    <x v="1"/>
    <x v="0"/>
    <x v="917"/>
    <n v="0"/>
    <n v="8.9421909562286602E+18"/>
  </r>
  <r>
    <b v="0"/>
    <x v="8"/>
    <x v="10"/>
    <x v="1"/>
    <x v="0"/>
    <x v="918"/>
    <n v="0"/>
    <n v="1.11560336953879E+19"/>
  </r>
  <r>
    <b v="0"/>
    <x v="1"/>
    <x v="10"/>
    <x v="1"/>
    <x v="0"/>
    <x v="919"/>
    <n v="0"/>
    <n v="7.4711779185537905E+18"/>
  </r>
  <r>
    <b v="0"/>
    <x v="9"/>
    <x v="10"/>
    <x v="1"/>
    <x v="0"/>
    <x v="920"/>
    <n v="0"/>
    <n v="2.85871075701235E+18"/>
  </r>
  <r>
    <b v="0"/>
    <x v="10"/>
    <x v="10"/>
    <x v="1"/>
    <x v="0"/>
    <x v="921"/>
    <n v="0"/>
    <n v="8.8653429934415401E+18"/>
  </r>
  <r>
    <b v="0"/>
    <x v="11"/>
    <x v="10"/>
    <x v="1"/>
    <x v="0"/>
    <x v="922"/>
    <n v="0"/>
    <n v="1.1031458150500899E+17"/>
  </r>
  <r>
    <b v="0"/>
    <x v="12"/>
    <x v="10"/>
    <x v="1"/>
    <x v="0"/>
    <x v="923"/>
    <n v="0"/>
    <n v="5.2956347166831104E+18"/>
  </r>
  <r>
    <b v="0"/>
    <x v="13"/>
    <x v="10"/>
    <x v="1"/>
    <x v="0"/>
    <x v="924"/>
    <n v="0"/>
    <n v="1.82641467387426E+19"/>
  </r>
  <r>
    <b v="0"/>
    <x v="0"/>
    <x v="3"/>
    <x v="1"/>
    <x v="0"/>
    <x v="925"/>
    <n v="0"/>
    <n v="7.2095493924188795E+18"/>
  </r>
  <r>
    <b v="0"/>
    <x v="2"/>
    <x v="3"/>
    <x v="1"/>
    <x v="0"/>
    <x v="926"/>
    <n v="0"/>
    <n v="5.8459822697664604E+18"/>
  </r>
  <r>
    <b v="0"/>
    <x v="3"/>
    <x v="3"/>
    <x v="1"/>
    <x v="0"/>
    <x v="927"/>
    <n v="0"/>
    <n v="1.8137524399087401E+19"/>
  </r>
  <r>
    <b v="0"/>
    <x v="4"/>
    <x v="3"/>
    <x v="1"/>
    <x v="0"/>
    <x v="928"/>
    <n v="0"/>
    <n v="5.1682727804473805E+18"/>
  </r>
  <r>
    <b v="0"/>
    <x v="5"/>
    <x v="3"/>
    <x v="1"/>
    <x v="0"/>
    <x v="929"/>
    <n v="0"/>
    <n v="4.1510705532202598E+18"/>
  </r>
  <r>
    <b v="0"/>
    <x v="7"/>
    <x v="4"/>
    <x v="1"/>
    <x v="0"/>
    <x v="930"/>
    <n v="0"/>
    <n v="4.4577730353009802E+18"/>
  </r>
  <r>
    <b v="0"/>
    <x v="6"/>
    <x v="3"/>
    <x v="1"/>
    <x v="0"/>
    <x v="931"/>
    <n v="0"/>
    <n v="2.0685751361018601E+18"/>
  </r>
  <r>
    <b v="0"/>
    <x v="13"/>
    <x v="6"/>
    <x v="1"/>
    <x v="1"/>
    <x v="932"/>
    <n v="0"/>
    <n v="7.5322530119712696E+18"/>
  </r>
  <r>
    <b v="0"/>
    <x v="10"/>
    <x v="9"/>
    <x v="1"/>
    <x v="1"/>
    <x v="933"/>
    <n v="0"/>
    <n v="8.9924069781970202E+17"/>
  </r>
  <r>
    <b v="0"/>
    <x v="10"/>
    <x v="8"/>
    <x v="1"/>
    <x v="1"/>
    <x v="934"/>
    <n v="0"/>
    <n v="1.2553549013111501E+18"/>
  </r>
  <r>
    <b v="0"/>
    <x v="11"/>
    <x v="8"/>
    <x v="1"/>
    <x v="1"/>
    <x v="935"/>
    <n v="0"/>
    <n v="8.77931920654225E+18"/>
  </r>
  <r>
    <b v="0"/>
    <x v="12"/>
    <x v="8"/>
    <x v="1"/>
    <x v="1"/>
    <x v="936"/>
    <n v="0"/>
    <n v="4.3980889193026202E+18"/>
  </r>
  <r>
    <b v="0"/>
    <x v="13"/>
    <x v="8"/>
    <x v="1"/>
    <x v="1"/>
    <x v="937"/>
    <n v="0"/>
    <n v="6.60121875946829E+18"/>
  </r>
  <r>
    <b v="0"/>
    <x v="0"/>
    <x v="9"/>
    <x v="1"/>
    <x v="1"/>
    <x v="938"/>
    <n v="0"/>
    <n v="7.4562012759346801E+18"/>
  </r>
  <r>
    <b v="0"/>
    <x v="2"/>
    <x v="9"/>
    <x v="1"/>
    <x v="1"/>
    <x v="939"/>
    <n v="0"/>
    <n v="8.1236759674400799E+18"/>
  </r>
  <r>
    <b v="0"/>
    <x v="3"/>
    <x v="9"/>
    <x v="1"/>
    <x v="1"/>
    <x v="940"/>
    <n v="0"/>
    <n v="1.0916965010347399E+19"/>
  </r>
  <r>
    <b v="0"/>
    <x v="4"/>
    <x v="9"/>
    <x v="1"/>
    <x v="1"/>
    <x v="941"/>
    <n v="0"/>
    <n v="1.0642660708644301E+19"/>
  </r>
  <r>
    <b v="0"/>
    <x v="5"/>
    <x v="9"/>
    <x v="1"/>
    <x v="1"/>
    <x v="942"/>
    <n v="0"/>
    <n v="8.7352128316211896E+18"/>
  </r>
  <r>
    <b v="0"/>
    <x v="6"/>
    <x v="9"/>
    <x v="1"/>
    <x v="1"/>
    <x v="943"/>
    <n v="0"/>
    <n v="7.9493099767463096E+18"/>
  </r>
  <r>
    <b v="0"/>
    <x v="7"/>
    <x v="9"/>
    <x v="1"/>
    <x v="1"/>
    <x v="944"/>
    <n v="0"/>
    <n v="1.1098471270676199E+19"/>
  </r>
  <r>
    <b v="0"/>
    <x v="8"/>
    <x v="9"/>
    <x v="1"/>
    <x v="1"/>
    <x v="945"/>
    <n v="0"/>
    <n v="7.7465916539593605E+18"/>
  </r>
  <r>
    <b v="0"/>
    <x v="1"/>
    <x v="9"/>
    <x v="1"/>
    <x v="1"/>
    <x v="946"/>
    <n v="0"/>
    <n v="1.8757931583789501E+17"/>
  </r>
  <r>
    <b v="0"/>
    <x v="9"/>
    <x v="9"/>
    <x v="1"/>
    <x v="1"/>
    <x v="947"/>
    <n v="0"/>
    <n v="7.2500295861008701E+18"/>
  </r>
  <r>
    <b v="0"/>
    <x v="11"/>
    <x v="9"/>
    <x v="1"/>
    <x v="1"/>
    <x v="948"/>
    <n v="0"/>
    <n v="4.8709358618068E+17"/>
  </r>
  <r>
    <b v="0"/>
    <x v="8"/>
    <x v="3"/>
    <x v="1"/>
    <x v="0"/>
    <x v="949"/>
    <n v="0"/>
    <n v="9.5329290958604902E+18"/>
  </r>
  <r>
    <b v="0"/>
    <x v="12"/>
    <x v="9"/>
    <x v="1"/>
    <x v="1"/>
    <x v="950"/>
    <n v="0"/>
    <n v="1.1754249952302299E+19"/>
  </r>
  <r>
    <b v="0"/>
    <x v="13"/>
    <x v="9"/>
    <x v="1"/>
    <x v="1"/>
    <x v="951"/>
    <n v="0"/>
    <n v="1.0706856148599599E+19"/>
  </r>
  <r>
    <b v="0"/>
    <x v="0"/>
    <x v="10"/>
    <x v="1"/>
    <x v="1"/>
    <x v="952"/>
    <n v="0"/>
    <n v="1.74762350605876E+19"/>
  </r>
  <r>
    <b v="0"/>
    <x v="2"/>
    <x v="10"/>
    <x v="1"/>
    <x v="1"/>
    <x v="953"/>
    <n v="0"/>
    <n v="1.9455904330859899E+18"/>
  </r>
  <r>
    <b v="0"/>
    <x v="1"/>
    <x v="8"/>
    <x v="1"/>
    <x v="1"/>
    <x v="954"/>
    <n v="0"/>
    <n v="5.75835557897715E+18"/>
  </r>
  <r>
    <b v="0"/>
    <x v="3"/>
    <x v="10"/>
    <x v="1"/>
    <x v="1"/>
    <x v="955"/>
    <n v="0"/>
    <n v="8.9405946224511703E+18"/>
  </r>
  <r>
    <b v="0"/>
    <x v="8"/>
    <x v="8"/>
    <x v="1"/>
    <x v="1"/>
    <x v="956"/>
    <n v="0"/>
    <n v="9.8661493168951808E+18"/>
  </r>
  <r>
    <b v="0"/>
    <x v="6"/>
    <x v="8"/>
    <x v="1"/>
    <x v="1"/>
    <x v="957"/>
    <n v="0"/>
    <n v="1.7430812560710101E+19"/>
  </r>
  <r>
    <b v="0"/>
    <x v="12"/>
    <x v="1"/>
    <x v="1"/>
    <x v="1"/>
    <x v="958"/>
    <n v="0"/>
    <n v="1.1968718796593101E+19"/>
  </r>
  <r>
    <b v="0"/>
    <x v="13"/>
    <x v="1"/>
    <x v="1"/>
    <x v="1"/>
    <x v="959"/>
    <n v="0"/>
    <n v="1.09175824863022E+19"/>
  </r>
  <r>
    <b v="0"/>
    <x v="0"/>
    <x v="7"/>
    <x v="1"/>
    <x v="1"/>
    <x v="960"/>
    <n v="0"/>
    <n v="2.7199236696429302E+18"/>
  </r>
  <r>
    <b v="0"/>
    <x v="2"/>
    <x v="7"/>
    <x v="1"/>
    <x v="1"/>
    <x v="961"/>
    <n v="0"/>
    <n v="6.6340558007688806E+17"/>
  </r>
  <r>
    <b v="0"/>
    <x v="3"/>
    <x v="7"/>
    <x v="1"/>
    <x v="1"/>
    <x v="962"/>
    <n v="0"/>
    <n v="8.0076527181850296E+18"/>
  </r>
  <r>
    <b v="0"/>
    <x v="4"/>
    <x v="7"/>
    <x v="1"/>
    <x v="1"/>
    <x v="963"/>
    <n v="0"/>
    <n v="9.4085494969152696E+18"/>
  </r>
  <r>
    <b v="0"/>
    <x v="9"/>
    <x v="8"/>
    <x v="1"/>
    <x v="1"/>
    <x v="964"/>
    <n v="0"/>
    <n v="9.2763888518115799E+18"/>
  </r>
  <r>
    <b v="0"/>
    <x v="10"/>
    <x v="12"/>
    <x v="1"/>
    <x v="1"/>
    <x v="965"/>
    <n v="0"/>
    <n v="9.7417975415021097E+18"/>
  </r>
  <r>
    <b v="0"/>
    <x v="12"/>
    <x v="12"/>
    <x v="1"/>
    <x v="1"/>
    <x v="966"/>
    <n v="0"/>
    <n v="7.8626201540146196E+18"/>
  </r>
  <r>
    <b v="0"/>
    <x v="1"/>
    <x v="3"/>
    <x v="1"/>
    <x v="0"/>
    <x v="967"/>
    <n v="0"/>
    <n v="1.02620086160936E+19"/>
  </r>
  <r>
    <b v="0"/>
    <x v="9"/>
    <x v="6"/>
    <x v="1"/>
    <x v="1"/>
    <x v="968"/>
    <n v="0"/>
    <n v="3.3895828925335598E+18"/>
  </r>
  <r>
    <b v="0"/>
    <x v="10"/>
    <x v="6"/>
    <x v="1"/>
    <x v="1"/>
    <x v="969"/>
    <n v="0"/>
    <n v="1.19431535514034E+18"/>
  </r>
  <r>
    <b v="0"/>
    <x v="11"/>
    <x v="6"/>
    <x v="1"/>
    <x v="1"/>
    <x v="970"/>
    <n v="0"/>
    <n v="1.7275569491523701E+19"/>
  </r>
  <r>
    <b v="0"/>
    <x v="5"/>
    <x v="18"/>
    <x v="1"/>
    <x v="1"/>
    <x v="971"/>
    <n v="0"/>
    <n v="1.8267121768217899E+19"/>
  </r>
  <r>
    <b v="0"/>
    <x v="7"/>
    <x v="11"/>
    <x v="1"/>
    <x v="1"/>
    <x v="972"/>
    <n v="0"/>
    <n v="1.7572266114646999E+18"/>
  </r>
  <r>
    <b v="0"/>
    <x v="4"/>
    <x v="18"/>
    <x v="1"/>
    <x v="1"/>
    <x v="973"/>
    <n v="0"/>
    <n v="1.3413195739856599E+19"/>
  </r>
  <r>
    <b v="0"/>
    <x v="2"/>
    <x v="18"/>
    <x v="1"/>
    <x v="1"/>
    <x v="974"/>
    <n v="0"/>
    <n v="1.3375539166205901E+19"/>
  </r>
  <r>
    <b v="0"/>
    <x v="1"/>
    <x v="11"/>
    <x v="1"/>
    <x v="1"/>
    <x v="975"/>
    <n v="0"/>
    <n v="1.03435178741243E+19"/>
  </r>
  <r>
    <b v="0"/>
    <x v="9"/>
    <x v="11"/>
    <x v="1"/>
    <x v="1"/>
    <x v="976"/>
    <n v="0"/>
    <n v="7.0308871542555197E+18"/>
  </r>
  <r>
    <b v="0"/>
    <x v="10"/>
    <x v="11"/>
    <x v="1"/>
    <x v="1"/>
    <x v="977"/>
    <n v="0"/>
    <n v="1.6264368375800801E+18"/>
  </r>
  <r>
    <b v="0"/>
    <x v="11"/>
    <x v="11"/>
    <x v="1"/>
    <x v="1"/>
    <x v="978"/>
    <n v="0"/>
    <n v="1.7455006884994401E+18"/>
  </r>
  <r>
    <b v="0"/>
    <x v="12"/>
    <x v="11"/>
    <x v="1"/>
    <x v="1"/>
    <x v="979"/>
    <n v="0"/>
    <n v="3.2299768296850801E+18"/>
  </r>
  <r>
    <b v="0"/>
    <x v="13"/>
    <x v="11"/>
    <x v="1"/>
    <x v="1"/>
    <x v="980"/>
    <n v="0"/>
    <n v="1.75299864774807E+19"/>
  </r>
  <r>
    <b v="0"/>
    <x v="0"/>
    <x v="14"/>
    <x v="1"/>
    <x v="1"/>
    <x v="981"/>
    <n v="0"/>
    <n v="3.3600545897453701E+18"/>
  </r>
  <r>
    <b v="0"/>
    <x v="2"/>
    <x v="14"/>
    <x v="1"/>
    <x v="1"/>
    <x v="982"/>
    <n v="0"/>
    <n v="1.4023967927269E+18"/>
  </r>
  <r>
    <b v="0"/>
    <x v="3"/>
    <x v="14"/>
    <x v="1"/>
    <x v="1"/>
    <x v="983"/>
    <n v="0"/>
    <n v="1.65397103223594E+19"/>
  </r>
  <r>
    <b v="0"/>
    <x v="4"/>
    <x v="14"/>
    <x v="1"/>
    <x v="1"/>
    <x v="984"/>
    <n v="0"/>
    <n v="9.1316663567229504E+17"/>
  </r>
  <r>
    <b v="0"/>
    <x v="5"/>
    <x v="14"/>
    <x v="1"/>
    <x v="1"/>
    <x v="985"/>
    <n v="0"/>
    <n v="2.19571109548656E+18"/>
  </r>
  <r>
    <b v="0"/>
    <x v="6"/>
    <x v="14"/>
    <x v="1"/>
    <x v="1"/>
    <x v="986"/>
    <n v="0"/>
    <n v="8.3438240885505997E+18"/>
  </r>
  <r>
    <b v="0"/>
    <x v="7"/>
    <x v="14"/>
    <x v="1"/>
    <x v="1"/>
    <x v="987"/>
    <n v="0"/>
    <n v="6.71255626784499E+18"/>
  </r>
  <r>
    <b v="0"/>
    <x v="8"/>
    <x v="14"/>
    <x v="1"/>
    <x v="1"/>
    <x v="988"/>
    <n v="0"/>
    <n v="1.44326929196317E+19"/>
  </r>
  <r>
    <b v="0"/>
    <x v="1"/>
    <x v="14"/>
    <x v="1"/>
    <x v="1"/>
    <x v="989"/>
    <n v="0"/>
    <n v="1.1664298100639001E+19"/>
  </r>
  <r>
    <b v="0"/>
    <x v="9"/>
    <x v="14"/>
    <x v="1"/>
    <x v="1"/>
    <x v="990"/>
    <n v="0"/>
    <n v="5.6844814215954E+16"/>
  </r>
  <r>
    <b v="0"/>
    <x v="10"/>
    <x v="14"/>
    <x v="1"/>
    <x v="1"/>
    <x v="991"/>
    <n v="0"/>
    <n v="1.37348645951786E+19"/>
  </r>
  <r>
    <b v="0"/>
    <x v="11"/>
    <x v="14"/>
    <x v="1"/>
    <x v="1"/>
    <x v="992"/>
    <n v="0"/>
    <n v="6.0330304306256E+17"/>
  </r>
  <r>
    <b v="0"/>
    <x v="12"/>
    <x v="14"/>
    <x v="1"/>
    <x v="1"/>
    <x v="993"/>
    <n v="0"/>
    <n v="2.55964403620755E+18"/>
  </r>
  <r>
    <b v="0"/>
    <x v="13"/>
    <x v="14"/>
    <x v="1"/>
    <x v="1"/>
    <x v="994"/>
    <n v="0"/>
    <n v="4.2680097373498501E+18"/>
  </r>
  <r>
    <b v="0"/>
    <x v="0"/>
    <x v="18"/>
    <x v="1"/>
    <x v="1"/>
    <x v="995"/>
    <n v="0"/>
    <n v="1.39321070804702E+19"/>
  </r>
  <r>
    <b v="0"/>
    <x v="3"/>
    <x v="18"/>
    <x v="1"/>
    <x v="1"/>
    <x v="996"/>
    <n v="0"/>
    <n v="1.73266604309125E+19"/>
  </r>
  <r>
    <b v="0"/>
    <x v="5"/>
    <x v="7"/>
    <x v="1"/>
    <x v="1"/>
    <x v="997"/>
    <n v="0"/>
    <n v="3.4448792000623002E+18"/>
  </r>
  <r>
    <b v="0"/>
    <x v="6"/>
    <x v="7"/>
    <x v="1"/>
    <x v="1"/>
    <x v="998"/>
    <n v="0"/>
    <n v="1.27495973946722E+19"/>
  </r>
  <r>
    <b v="0"/>
    <x v="7"/>
    <x v="7"/>
    <x v="1"/>
    <x v="1"/>
    <x v="999"/>
    <n v="0"/>
    <n v="7.2830547600977295E+18"/>
  </r>
  <r>
    <b v="0"/>
    <x v="6"/>
    <x v="12"/>
    <x v="1"/>
    <x v="1"/>
    <x v="1000"/>
    <n v="0"/>
    <n v="4.9368380512830802E+18"/>
  </r>
  <r>
    <b v="0"/>
    <x v="8"/>
    <x v="12"/>
    <x v="1"/>
    <x v="1"/>
    <x v="1001"/>
    <n v="0"/>
    <n v="9.44290567186722E+18"/>
  </r>
  <r>
    <b v="0"/>
    <x v="1"/>
    <x v="12"/>
    <x v="1"/>
    <x v="1"/>
    <x v="1002"/>
    <n v="0"/>
    <n v="1.3445746961728399E+19"/>
  </r>
  <r>
    <b v="0"/>
    <x v="9"/>
    <x v="12"/>
    <x v="1"/>
    <x v="1"/>
    <x v="1003"/>
    <n v="0"/>
    <n v="6.4164494033306501E+18"/>
  </r>
  <r>
    <b v="0"/>
    <x v="3"/>
    <x v="13"/>
    <x v="1"/>
    <x v="1"/>
    <x v="1004"/>
    <n v="0"/>
    <n v="1.29833195446383E+19"/>
  </r>
  <r>
    <b v="0"/>
    <x v="5"/>
    <x v="10"/>
    <x v="1"/>
    <x v="1"/>
    <x v="1005"/>
    <n v="0"/>
    <n v="8.14438715347153E+18"/>
  </r>
  <r>
    <b v="0"/>
    <x v="2"/>
    <x v="13"/>
    <x v="1"/>
    <x v="1"/>
    <x v="1006"/>
    <n v="0"/>
    <n v="3.3835832156086298E+18"/>
  </r>
  <r>
    <b v="0"/>
    <x v="13"/>
    <x v="3"/>
    <x v="1"/>
    <x v="1"/>
    <x v="1007"/>
    <n v="0"/>
    <n v="1.5822664774853399E+18"/>
  </r>
  <r>
    <b v="0"/>
    <x v="7"/>
    <x v="10"/>
    <x v="1"/>
    <x v="1"/>
    <x v="1008"/>
    <n v="0"/>
    <n v="1.35618434530206E+19"/>
  </r>
  <r>
    <b v="0"/>
    <x v="8"/>
    <x v="10"/>
    <x v="1"/>
    <x v="1"/>
    <x v="1009"/>
    <n v="0"/>
    <n v="1.6085588988723699E+18"/>
  </r>
  <r>
    <b v="0"/>
    <x v="1"/>
    <x v="10"/>
    <x v="1"/>
    <x v="1"/>
    <x v="1010"/>
    <n v="0"/>
    <n v="3.9999307190335099E+18"/>
  </r>
  <r>
    <b v="0"/>
    <x v="9"/>
    <x v="10"/>
    <x v="1"/>
    <x v="1"/>
    <x v="1011"/>
    <n v="0"/>
    <n v="6.99579087152721E+18"/>
  </r>
  <r>
    <b v="0"/>
    <x v="10"/>
    <x v="10"/>
    <x v="1"/>
    <x v="1"/>
    <x v="1012"/>
    <n v="0"/>
    <n v="1.3808586164690999E+19"/>
  </r>
  <r>
    <b v="0"/>
    <x v="11"/>
    <x v="10"/>
    <x v="1"/>
    <x v="1"/>
    <x v="1013"/>
    <n v="0"/>
    <n v="1.2036815385279601E+19"/>
  </r>
  <r>
    <b v="0"/>
    <x v="12"/>
    <x v="10"/>
    <x v="1"/>
    <x v="1"/>
    <x v="1014"/>
    <n v="0"/>
    <n v="1.62869264409949E+19"/>
  </r>
  <r>
    <b v="0"/>
    <x v="13"/>
    <x v="10"/>
    <x v="1"/>
    <x v="1"/>
    <x v="1015"/>
    <n v="0"/>
    <n v="1.4666486979821599E+18"/>
  </r>
  <r>
    <b v="0"/>
    <x v="0"/>
    <x v="3"/>
    <x v="1"/>
    <x v="1"/>
    <x v="1016"/>
    <n v="0"/>
    <n v="7.3705593716047503E+18"/>
  </r>
  <r>
    <b v="0"/>
    <x v="2"/>
    <x v="3"/>
    <x v="1"/>
    <x v="1"/>
    <x v="1017"/>
    <n v="0"/>
    <n v="1.1554027316897499E+19"/>
  </r>
  <r>
    <b v="0"/>
    <x v="3"/>
    <x v="3"/>
    <x v="1"/>
    <x v="1"/>
    <x v="1018"/>
    <n v="0"/>
    <n v="1.52006274928156E+19"/>
  </r>
  <r>
    <b v="0"/>
    <x v="4"/>
    <x v="3"/>
    <x v="1"/>
    <x v="1"/>
    <x v="1019"/>
    <n v="0"/>
    <n v="5.2566209067635405E+18"/>
  </r>
  <r>
    <b v="0"/>
    <x v="5"/>
    <x v="3"/>
    <x v="1"/>
    <x v="1"/>
    <x v="1020"/>
    <n v="0"/>
    <n v="1.4619954005852701E+19"/>
  </r>
  <r>
    <b v="0"/>
    <x v="6"/>
    <x v="3"/>
    <x v="1"/>
    <x v="1"/>
    <x v="1021"/>
    <n v="0"/>
    <n v="1.70724879324999E+19"/>
  </r>
  <r>
    <b v="0"/>
    <x v="7"/>
    <x v="3"/>
    <x v="1"/>
    <x v="1"/>
    <x v="1022"/>
    <n v="0"/>
    <n v="1.3227415978450801E+18"/>
  </r>
  <r>
    <b v="0"/>
    <x v="8"/>
    <x v="3"/>
    <x v="1"/>
    <x v="1"/>
    <x v="1023"/>
    <n v="0"/>
    <n v="1.6474631411768701E+19"/>
  </r>
  <r>
    <b v="0"/>
    <x v="1"/>
    <x v="3"/>
    <x v="1"/>
    <x v="1"/>
    <x v="1024"/>
    <n v="0"/>
    <n v="3.29410009065133E+18"/>
  </r>
  <r>
    <b v="0"/>
    <x v="9"/>
    <x v="3"/>
    <x v="1"/>
    <x v="1"/>
    <x v="1025"/>
    <n v="0"/>
    <n v="6.1738709384937503E+18"/>
  </r>
  <r>
    <b v="0"/>
    <x v="10"/>
    <x v="3"/>
    <x v="1"/>
    <x v="1"/>
    <x v="1026"/>
    <n v="0"/>
    <n v="6.8627496470928701E+18"/>
  </r>
  <r>
    <b v="0"/>
    <x v="11"/>
    <x v="3"/>
    <x v="1"/>
    <x v="1"/>
    <x v="1027"/>
    <n v="0"/>
    <n v="8.5606454153310095E+18"/>
  </r>
  <r>
    <b v="0"/>
    <x v="12"/>
    <x v="3"/>
    <x v="1"/>
    <x v="1"/>
    <x v="1028"/>
    <n v="0"/>
    <n v="8.7201343137032205E+17"/>
  </r>
  <r>
    <b v="0"/>
    <x v="0"/>
    <x v="13"/>
    <x v="1"/>
    <x v="1"/>
    <x v="1029"/>
    <n v="0"/>
    <n v="1.7614325762159301E+19"/>
  </r>
  <r>
    <b v="0"/>
    <x v="7"/>
    <x v="12"/>
    <x v="1"/>
    <x v="1"/>
    <x v="1030"/>
    <n v="0"/>
    <n v="4.0776322423944499E+18"/>
  </r>
  <r>
    <b v="0"/>
    <x v="5"/>
    <x v="12"/>
    <x v="1"/>
    <x v="1"/>
    <x v="1031"/>
    <n v="0"/>
    <n v="1.2207236548495999E+19"/>
  </r>
  <r>
    <b v="0"/>
    <x v="8"/>
    <x v="7"/>
    <x v="1"/>
    <x v="1"/>
    <x v="1032"/>
    <n v="0"/>
    <n v="4.0434551523679002E+18"/>
  </r>
  <r>
    <b v="0"/>
    <x v="4"/>
    <x v="12"/>
    <x v="1"/>
    <x v="1"/>
    <x v="1033"/>
    <n v="0"/>
    <n v="5.7803993272918804E+18"/>
  </r>
  <r>
    <b v="0"/>
    <x v="1"/>
    <x v="7"/>
    <x v="1"/>
    <x v="1"/>
    <x v="1034"/>
    <n v="0"/>
    <n v="1.31713953274984E+19"/>
  </r>
  <r>
    <b v="0"/>
    <x v="9"/>
    <x v="7"/>
    <x v="1"/>
    <x v="1"/>
    <x v="1035"/>
    <n v="0"/>
    <n v="1.5276368162574899E+19"/>
  </r>
  <r>
    <b v="0"/>
    <x v="10"/>
    <x v="7"/>
    <x v="1"/>
    <x v="1"/>
    <x v="1036"/>
    <n v="0"/>
    <n v="9.3270893261111091E+18"/>
  </r>
  <r>
    <b v="0"/>
    <x v="11"/>
    <x v="7"/>
    <x v="1"/>
    <x v="1"/>
    <x v="1037"/>
    <n v="0"/>
    <n v="1.7149351600299E+19"/>
  </r>
  <r>
    <b v="0"/>
    <x v="12"/>
    <x v="7"/>
    <x v="1"/>
    <x v="1"/>
    <x v="1038"/>
    <n v="0"/>
    <n v="4.2776994268285102E+18"/>
  </r>
  <r>
    <b v="0"/>
    <x v="13"/>
    <x v="7"/>
    <x v="1"/>
    <x v="1"/>
    <x v="1039"/>
    <n v="0"/>
    <n v="3.21209672882903E+16"/>
  </r>
  <r>
    <b v="0"/>
    <x v="0"/>
    <x v="8"/>
    <x v="1"/>
    <x v="1"/>
    <x v="1040"/>
    <n v="0"/>
    <n v="2.9502496426717402E+17"/>
  </r>
  <r>
    <b v="0"/>
    <x v="2"/>
    <x v="8"/>
    <x v="1"/>
    <x v="1"/>
    <x v="1041"/>
    <n v="0"/>
    <n v="9.9339041018749194E+18"/>
  </r>
  <r>
    <b v="0"/>
    <x v="3"/>
    <x v="8"/>
    <x v="1"/>
    <x v="1"/>
    <x v="1042"/>
    <n v="0"/>
    <n v="8.0782778344740301E+18"/>
  </r>
  <r>
    <b v="0"/>
    <x v="4"/>
    <x v="8"/>
    <x v="1"/>
    <x v="1"/>
    <x v="1043"/>
    <n v="0"/>
    <n v="1.74472171254912E+19"/>
  </r>
  <r>
    <b v="0"/>
    <x v="5"/>
    <x v="8"/>
    <x v="1"/>
    <x v="1"/>
    <x v="1044"/>
    <n v="0"/>
    <n v="1.81436314596637E+19"/>
  </r>
  <r>
    <b v="0"/>
    <x v="7"/>
    <x v="8"/>
    <x v="1"/>
    <x v="1"/>
    <x v="1045"/>
    <n v="0"/>
    <n v="3.18430904861361E+18"/>
  </r>
  <r>
    <b v="0"/>
    <x v="11"/>
    <x v="12"/>
    <x v="1"/>
    <x v="1"/>
    <x v="1046"/>
    <n v="0"/>
    <n v="1.39375201822989E+19"/>
  </r>
  <r>
    <b v="0"/>
    <x v="4"/>
    <x v="10"/>
    <x v="1"/>
    <x v="1"/>
    <x v="1047"/>
    <n v="0"/>
    <n v="1.3577442188871899E+19"/>
  </r>
  <r>
    <b v="0"/>
    <x v="6"/>
    <x v="10"/>
    <x v="1"/>
    <x v="1"/>
    <x v="1048"/>
    <n v="0"/>
    <n v="6.8092553633568102E+18"/>
  </r>
  <r>
    <b v="0"/>
    <x v="4"/>
    <x v="13"/>
    <x v="1"/>
    <x v="1"/>
    <x v="1049"/>
    <n v="0"/>
    <n v="5.21805364143599E+18"/>
  </r>
  <r>
    <b v="0"/>
    <x v="5"/>
    <x v="13"/>
    <x v="1"/>
    <x v="1"/>
    <x v="1050"/>
    <n v="0"/>
    <n v="8.0416878768883302E+18"/>
  </r>
  <r>
    <b v="0"/>
    <x v="6"/>
    <x v="13"/>
    <x v="1"/>
    <x v="1"/>
    <x v="1051"/>
    <n v="0"/>
    <n v="2.8138004017670502E+18"/>
  </r>
  <r>
    <b v="0"/>
    <x v="7"/>
    <x v="13"/>
    <x v="1"/>
    <x v="1"/>
    <x v="1052"/>
    <n v="0"/>
    <n v="1.5862579211666301E+19"/>
  </r>
  <r>
    <b v="0"/>
    <x v="8"/>
    <x v="13"/>
    <x v="1"/>
    <x v="1"/>
    <x v="1053"/>
    <n v="0"/>
    <n v="6.1538811016657398E+18"/>
  </r>
  <r>
    <b v="0"/>
    <x v="1"/>
    <x v="13"/>
    <x v="1"/>
    <x v="1"/>
    <x v="1054"/>
    <n v="0"/>
    <n v="3.7037015489579898E+17"/>
  </r>
  <r>
    <b v="0"/>
    <x v="9"/>
    <x v="13"/>
    <x v="1"/>
    <x v="1"/>
    <x v="1055"/>
    <n v="0"/>
    <n v="1.0505508594422399E+19"/>
  </r>
  <r>
    <b v="0"/>
    <x v="10"/>
    <x v="13"/>
    <x v="1"/>
    <x v="1"/>
    <x v="1056"/>
    <n v="0"/>
    <n v="7.30525427269965E+18"/>
  </r>
  <r>
    <b v="0"/>
    <x v="11"/>
    <x v="13"/>
    <x v="1"/>
    <x v="1"/>
    <x v="1057"/>
    <n v="0"/>
    <n v="1.10389022776221E+19"/>
  </r>
  <r>
    <b v="0"/>
    <x v="12"/>
    <x v="13"/>
    <x v="1"/>
    <x v="1"/>
    <x v="1058"/>
    <n v="0"/>
    <n v="1.5958859503542301E+19"/>
  </r>
  <r>
    <b v="0"/>
    <x v="13"/>
    <x v="13"/>
    <x v="1"/>
    <x v="1"/>
    <x v="1059"/>
    <n v="0"/>
    <n v="8.9715368190046095E+18"/>
  </r>
  <r>
    <b v="0"/>
    <x v="0"/>
    <x v="12"/>
    <x v="1"/>
    <x v="1"/>
    <x v="1060"/>
    <n v="0"/>
    <n v="4.4190529758000302E+18"/>
  </r>
  <r>
    <b v="0"/>
    <x v="2"/>
    <x v="12"/>
    <x v="1"/>
    <x v="1"/>
    <x v="1061"/>
    <n v="0"/>
    <n v="1.0757749742392799E+19"/>
  </r>
  <r>
    <b v="0"/>
    <x v="3"/>
    <x v="12"/>
    <x v="1"/>
    <x v="1"/>
    <x v="1062"/>
    <n v="0"/>
    <n v="1.16714296990161E+19"/>
  </r>
  <r>
    <b v="0"/>
    <x v="13"/>
    <x v="6"/>
    <x v="1"/>
    <x v="0"/>
    <x v="1063"/>
    <n v="0"/>
    <n v="3.7032753523074099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I23" firstHeaderRow="0" firstDataRow="1" firstDataCol="5"/>
  <pivotFields count="8">
    <pivotField compact="0" outline="0" showAll="0"/>
    <pivotField axis="axisRow" compact="0" outline="0" showAll="0" defaultSubtotal="0">
      <items count="14">
        <item sd="0" x="13"/>
        <item sd="0" x="12"/>
        <item sd="0" x="4"/>
        <item sd="0" x="3"/>
        <item sd="0" x="2"/>
        <item sd="0" x="0"/>
        <item sd="0" x="11"/>
        <item sd="0" x="10"/>
        <item sd="0" x="9"/>
        <item sd="0" x="1"/>
        <item sd="0" x="8"/>
        <item sd="0" x="7"/>
        <item sd="0" x="6"/>
        <item sd="0" x="5"/>
      </items>
    </pivotField>
    <pivotField axis="axisRow" compact="0" outline="0" showAll="0" defaultSubtotal="0">
      <items count="19">
        <item sd="0" x="6"/>
        <item sd="0" x="18"/>
        <item sd="0" x="14"/>
        <item sd="0" x="11"/>
        <item sd="0" x="17"/>
        <item sd="0" x="16"/>
        <item sd="0" x="15"/>
        <item sd="0" x="12"/>
        <item sd="0" x="13"/>
        <item sd="0" x="3"/>
        <item sd="0" x="10"/>
        <item sd="0" x="9"/>
        <item sd="0" x="8"/>
        <item sd="0" x="7"/>
        <item sd="0" x="1"/>
        <item sd="0" x="5"/>
        <item sd="0" x="4"/>
        <item sd="0" x="2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1064">
        <item x="97"/>
        <item x="111"/>
        <item x="83"/>
        <item x="571"/>
        <item x="87"/>
        <item x="923"/>
        <item x="69"/>
        <item x="1055"/>
        <item x="416"/>
        <item x="73"/>
        <item x="440"/>
        <item x="430"/>
        <item x="761"/>
        <item x="122"/>
        <item x="101"/>
        <item x="92"/>
        <item x="909"/>
        <item x="758"/>
        <item x="1028"/>
        <item x="406"/>
        <item x="425"/>
        <item x="1025"/>
        <item x="1058"/>
        <item x="47"/>
        <item x="106"/>
        <item x="420"/>
        <item x="78"/>
        <item x="125"/>
        <item x="454"/>
        <item x="409"/>
        <item x="33"/>
        <item x="61"/>
        <item x="108"/>
        <item x="62"/>
        <item x="76"/>
        <item x="19"/>
        <item x="107"/>
        <item x="75"/>
        <item x="410"/>
        <item x="81"/>
        <item x="445"/>
        <item x="121"/>
        <item x="59"/>
        <item x="482"/>
        <item x="167"/>
        <item x="433"/>
        <item x="48"/>
        <item x="99"/>
        <item x="55"/>
        <item x="233"/>
        <item x="93"/>
        <item x="417"/>
        <item x="68"/>
        <item x="456"/>
        <item x="395"/>
        <item x="736"/>
        <item x="423"/>
        <item x="451"/>
        <item x="424"/>
        <item x="884"/>
        <item x="5"/>
        <item x="467"/>
        <item x="499"/>
        <item x="414"/>
        <item x="85"/>
        <item x="64"/>
        <item x="1014"/>
        <item x="89"/>
        <item x="396"/>
        <item x="442"/>
        <item x="334"/>
        <item x="79"/>
        <item x="907"/>
        <item x="434"/>
        <item x="1012"/>
        <item x="34"/>
        <item x="392"/>
        <item x="428"/>
        <item x="90"/>
        <item x="921"/>
        <item x="95"/>
        <item x="53"/>
        <item x="465"/>
        <item x="447"/>
        <item x="94"/>
        <item x="30"/>
        <item x="222"/>
        <item x="933"/>
        <item x="16"/>
        <item x="418"/>
        <item x="124"/>
        <item x="88"/>
        <item x="1003"/>
        <item x="12"/>
        <item x="393"/>
        <item x="483"/>
        <item x="443"/>
        <item x="1016"/>
        <item x="137"/>
        <item x="247"/>
        <item x="886"/>
        <item x="2"/>
        <item x="1"/>
        <item x="44"/>
        <item x="438"/>
        <item x="439"/>
        <item x="1046"/>
        <item x="738"/>
        <item x="102"/>
        <item x="1026"/>
        <item x="573"/>
        <item x="26"/>
        <item x="541"/>
        <item x="20"/>
        <item x="411"/>
        <item x="407"/>
        <item x="14"/>
        <item x="457"/>
        <item x="120"/>
        <item x="311"/>
        <item x="925"/>
        <item x="264"/>
        <item x="80"/>
        <item x="113"/>
        <item x="250"/>
        <item x="668"/>
        <item x="74"/>
        <item x="110"/>
        <item x="911"/>
        <item x="115"/>
        <item x="103"/>
        <item x="45"/>
        <item x="588"/>
        <item x="28"/>
        <item x="452"/>
        <item x="39"/>
        <item x="1029"/>
        <item x="479"/>
        <item x="674"/>
        <item x="1023"/>
        <item x="934"/>
        <item x="435"/>
        <item x="51"/>
        <item x="391"/>
        <item x="1057"/>
        <item x="949"/>
        <item x="920"/>
        <item x="50"/>
        <item x="71"/>
        <item x="58"/>
        <item x="404"/>
        <item x="928"/>
        <item x="422"/>
        <item x="386"/>
        <item x="114"/>
        <item x="1011"/>
        <item x="952"/>
        <item x="663"/>
        <item x="492"/>
        <item x="759"/>
        <item x="574"/>
        <item x="459"/>
        <item x="40"/>
        <item x="496"/>
        <item x="84"/>
        <item x="6"/>
        <item x="238"/>
        <item x="1009"/>
        <item x="37"/>
        <item x="66"/>
        <item x="1053"/>
        <item x="246"/>
        <item x="918"/>
        <item x="880"/>
        <item x="723"/>
        <item x="530"/>
        <item x="478"/>
        <item x="226"/>
        <item x="506"/>
        <item x="128"/>
        <item x="523"/>
        <item x="470"/>
        <item x="248"/>
        <item x="41"/>
        <item x="427"/>
        <item x="7"/>
        <item x="405"/>
        <item x="281"/>
        <item x="513"/>
        <item x="503"/>
        <item x="240"/>
        <item x="228"/>
        <item x="699"/>
        <item x="996"/>
        <item x="502"/>
        <item x="42"/>
        <item x="706"/>
        <item x="297"/>
        <item x="379"/>
        <item x="570"/>
        <item x="983"/>
        <item x="967"/>
        <item x="23"/>
        <item x="100"/>
        <item x="96"/>
        <item x="72"/>
        <item x="569"/>
        <item x="915"/>
        <item x="52"/>
        <item x="54"/>
        <item x="265"/>
        <item x="461"/>
        <item x="305"/>
        <item x="561"/>
        <item x="453"/>
        <item x="602"/>
        <item x="760"/>
        <item x="966"/>
        <item x="25"/>
        <item x="56"/>
        <item x="98"/>
        <item x="132"/>
        <item x="808"/>
        <item x="449"/>
        <item x="888"/>
        <item x="82"/>
        <item x="1049"/>
        <item x="70"/>
        <item x="86"/>
        <item x="60"/>
        <item x="727"/>
        <item x="945"/>
        <item x="678"/>
        <item x="904"/>
        <item x="112"/>
        <item x="260"/>
        <item x="803"/>
        <item x="867"/>
        <item x="332"/>
        <item x="627"/>
        <item x="231"/>
        <item x="919"/>
        <item x="486"/>
        <item x="31"/>
        <item x="243"/>
        <item x="421"/>
        <item x="504"/>
        <item x="261"/>
        <item x="10"/>
        <item x="682"/>
        <item x="515"/>
        <item x="864"/>
        <item x="437"/>
        <item x="126"/>
        <item x="1036"/>
        <item x="38"/>
        <item x="403"/>
        <item x="11"/>
        <item x="1033"/>
        <item x="316"/>
        <item x="752"/>
        <item x="13"/>
        <item x="293"/>
        <item x="557"/>
        <item x="291"/>
        <item x="3"/>
        <item x="284"/>
        <item x="703"/>
        <item x="902"/>
        <item x="916"/>
        <item x="623"/>
        <item x="717"/>
        <item x="882"/>
        <item x="617"/>
        <item x="1004"/>
        <item x="779"/>
        <item x="254"/>
        <item x="24"/>
        <item x="776"/>
        <item x="21"/>
        <item x="956"/>
        <item x="402"/>
        <item x="802"/>
        <item x="701"/>
        <item x="987"/>
        <item x="913"/>
        <item x="377"/>
        <item x="510"/>
        <item x="889"/>
        <item x="426"/>
        <item x="302"/>
        <item x="441"/>
        <item x="252"/>
        <item x="735"/>
        <item x="1001"/>
        <item x="851"/>
        <item x="891"/>
        <item x="249"/>
        <item x="65"/>
        <item x="837"/>
        <item x="116"/>
        <item x="389"/>
        <item x="707"/>
        <item x="793"/>
        <item x="9"/>
        <item x="91"/>
        <item x="938"/>
        <item x="481"/>
        <item x="266"/>
        <item x="563"/>
        <item x="473"/>
        <item x="809"/>
        <item x="790"/>
        <item x="972"/>
        <item x="931"/>
        <item x="823"/>
        <item x="578"/>
        <item x="521"/>
        <item x="498"/>
        <item x="1019"/>
        <item x="968"/>
        <item x="905"/>
        <item x="910"/>
        <item x="698"/>
        <item x="279"/>
        <item x="845"/>
        <item x="27"/>
        <item x="4"/>
        <item x="466"/>
        <item x="1027"/>
        <item x="1032"/>
        <item x="295"/>
        <item x="714"/>
        <item x="671"/>
        <item x="199"/>
        <item x="822"/>
        <item x="245"/>
        <item x="897"/>
        <item x="653"/>
        <item x="497"/>
        <item x="282"/>
        <item x="817"/>
        <item x="1018"/>
        <item x="516"/>
        <item x="883"/>
        <item x="251"/>
        <item x="139"/>
        <item x="833"/>
        <item x="431"/>
        <item x="236"/>
        <item x="201"/>
        <item x="914"/>
        <item x="263"/>
        <item x="859"/>
        <item x="257"/>
        <item x="491"/>
        <item x="1056"/>
        <item x="57"/>
        <item x="950"/>
        <item x="924"/>
        <item x="460"/>
        <item x="446"/>
        <item x="692"/>
        <item x="117"/>
        <item x="584"/>
        <item x="620"/>
        <item x="679"/>
        <item x="816"/>
        <item x="869"/>
        <item x="529"/>
        <item x="893"/>
        <item x="105"/>
        <item x="643"/>
        <item x="524"/>
        <item x="151"/>
        <item x="490"/>
        <item x="598"/>
        <item x="877"/>
        <item x="511"/>
        <item x="77"/>
        <item x="507"/>
        <item x="472"/>
        <item x="929"/>
        <item x="581"/>
        <item x="1060"/>
        <item x="725"/>
        <item x="1024"/>
        <item x="46"/>
        <item x="277"/>
        <item x="1054"/>
        <item x="202"/>
        <item x="480"/>
        <item x="104"/>
        <item x="697"/>
        <item x="141"/>
        <item x="662"/>
        <item x="689"/>
        <item x="285"/>
        <item x="993"/>
        <item x="865"/>
        <item x="436"/>
        <item x="493"/>
        <item x="566"/>
        <item x="927"/>
        <item x="819"/>
        <item x="875"/>
        <item x="811"/>
        <item x="455"/>
        <item x="840"/>
        <item x="562"/>
        <item x="419"/>
        <item x="700"/>
        <item x="826"/>
        <item x="382"/>
        <item x="896"/>
        <item x="854"/>
        <item x="1010"/>
        <item x="1062"/>
        <item x="512"/>
        <item x="729"/>
        <item x="412"/>
        <item x="842"/>
        <item x="947"/>
        <item x="930"/>
        <item x="307"/>
        <item x="959"/>
        <item x="244"/>
        <item x="287"/>
        <item x="756"/>
        <item x="718"/>
        <item x="567"/>
        <item x="946"/>
        <item x="259"/>
        <item x="109"/>
        <item x="271"/>
        <item x="733"/>
        <item x="298"/>
        <item x="828"/>
        <item x="667"/>
        <item x="973"/>
        <item x="474"/>
        <item x="693"/>
        <item x="922"/>
        <item x="890"/>
        <item x="35"/>
        <item x="856"/>
        <item x="1039"/>
        <item x="873"/>
        <item x="542"/>
        <item x="1035"/>
        <item x="672"/>
        <item x="631"/>
        <item x="67"/>
        <item x="488"/>
        <item x="704"/>
        <item x="280"/>
        <item x="463"/>
        <item x="273"/>
        <item x="815"/>
        <item x="769"/>
        <item x="501"/>
        <item x="836"/>
        <item x="1040"/>
        <item x="903"/>
        <item x="797"/>
        <item x="429"/>
        <item x="871"/>
        <item x="762"/>
        <item x="984"/>
        <item x="734"/>
        <item x="768"/>
        <item x="696"/>
        <item x="531"/>
        <item x="691"/>
        <item x="444"/>
        <item x="868"/>
        <item x="906"/>
        <item x="899"/>
        <item x="619"/>
        <item x="676"/>
        <item x="256"/>
        <item x="372"/>
        <item x="954"/>
        <item x="611"/>
        <item x="898"/>
        <item x="895"/>
        <item x="0"/>
        <item x="270"/>
        <item x="999"/>
        <item x="232"/>
        <item x="665"/>
        <item x="926"/>
        <item x="388"/>
        <item x="799"/>
        <item x="579"/>
        <item x="772"/>
        <item x="804"/>
        <item x="365"/>
        <item x="964"/>
        <item x="832"/>
        <item x="874"/>
        <item x="572"/>
        <item x="485"/>
        <item x="18"/>
        <item x="794"/>
        <item x="1047"/>
        <item x="450"/>
        <item x="520"/>
        <item x="375"/>
        <item x="724"/>
        <item x="829"/>
        <item x="415"/>
        <item x="1048"/>
        <item x="63"/>
        <item x="319"/>
        <item x="1034"/>
        <item x="943"/>
        <item x="677"/>
        <item x="22"/>
        <item x="812"/>
        <item x="303"/>
        <item x="505"/>
        <item x="1002"/>
        <item x="917"/>
        <item x="813"/>
        <item x="780"/>
        <item x="876"/>
        <item x="1045"/>
        <item x="771"/>
        <item x="477"/>
        <item x="847"/>
        <item x="458"/>
        <item x="32"/>
        <item x="900"/>
        <item x="634"/>
        <item x="805"/>
        <item x="242"/>
        <item x="625"/>
        <item x="986"/>
        <item x="628"/>
        <item x="654"/>
        <item x="850"/>
        <item x="708"/>
        <item x="330"/>
        <item x="475"/>
        <item x="912"/>
        <item x="800"/>
        <item x="527"/>
        <item x="43"/>
        <item x="518"/>
        <item x="858"/>
        <item x="296"/>
        <item x="879"/>
        <item x="622"/>
        <item x="825"/>
        <item x="464"/>
        <item x="783"/>
        <item x="995"/>
        <item x="577"/>
        <item x="283"/>
        <item x="214"/>
        <item x="792"/>
        <item x="519"/>
        <item x="543"/>
        <item x="564"/>
        <item x="960"/>
        <item x="49"/>
        <item x="827"/>
        <item x="953"/>
        <item x="589"/>
        <item x="288"/>
        <item x="870"/>
        <item x="749"/>
        <item x="992"/>
        <item x="294"/>
        <item x="608"/>
        <item x="525"/>
        <item x="844"/>
        <item x="660"/>
        <item x="1050"/>
        <item x="413"/>
        <item x="861"/>
        <item x="262"/>
        <item x="15"/>
        <item x="534"/>
        <item x="596"/>
        <item x="272"/>
        <item x="658"/>
        <item x="1017"/>
        <item x="982"/>
        <item x="957"/>
        <item x="860"/>
        <item x="974"/>
        <item x="471"/>
        <item x="937"/>
        <item x="887"/>
        <item x="8"/>
        <item x="1063"/>
        <item x="606"/>
        <item x="878"/>
        <item x="939"/>
        <item x="218"/>
        <item x="818"/>
        <item x="1021"/>
        <item x="730"/>
        <item x="289"/>
        <item x="476"/>
        <item x="944"/>
        <item x="599"/>
        <item x="1061"/>
        <item x="774"/>
        <item x="616"/>
        <item x="517"/>
        <item x="639"/>
        <item x="684"/>
        <item x="961"/>
        <item x="788"/>
        <item x="669"/>
        <item x="680"/>
        <item x="901"/>
        <item x="955"/>
        <item x="640"/>
        <item x="484"/>
        <item x="892"/>
        <item x="1013"/>
        <item x="855"/>
        <item x="721"/>
        <item x="731"/>
        <item x="632"/>
        <item x="712"/>
        <item x="1006"/>
        <item x="1020"/>
        <item x="469"/>
        <item x="770"/>
        <item x="1041"/>
        <item x="494"/>
        <item x="29"/>
        <item x="575"/>
        <item x="401"/>
        <item x="489"/>
        <item x="462"/>
        <item x="784"/>
        <item x="894"/>
        <item x="652"/>
        <item x="325"/>
        <item x="785"/>
        <item x="720"/>
        <item x="941"/>
        <item x="841"/>
        <item x="468"/>
        <item x="587"/>
        <item x="722"/>
        <item x="969"/>
        <item x="638"/>
        <item x="782"/>
        <item x="839"/>
        <item x="830"/>
        <item x="487"/>
        <item x="675"/>
        <item x="621"/>
        <item x="582"/>
        <item x="862"/>
        <item x="673"/>
        <item x="509"/>
        <item x="119"/>
        <item x="301"/>
        <item x="317"/>
        <item x="585"/>
        <item x="989"/>
        <item x="687"/>
        <item x="644"/>
        <item x="991"/>
        <item x="275"/>
        <item x="432"/>
        <item x="853"/>
        <item x="576"/>
        <item x="448"/>
        <item x="253"/>
        <item x="846"/>
        <item x="1031"/>
        <item x="666"/>
        <item x="299"/>
        <item x="258"/>
        <item x="702"/>
        <item x="709"/>
        <item x="981"/>
        <item x="963"/>
        <item x="795"/>
        <item x="863"/>
        <item x="153"/>
        <item x="626"/>
        <item x="683"/>
        <item x="754"/>
        <item x="971"/>
        <item x="629"/>
        <item x="1008"/>
        <item x="1043"/>
        <item x="661"/>
        <item x="778"/>
        <item x="705"/>
        <item x="744"/>
        <item x="848"/>
        <item x="148"/>
        <item x="765"/>
        <item x="548"/>
        <item x="1051"/>
        <item x="951"/>
        <item x="932"/>
        <item x="970"/>
        <item x="642"/>
        <item x="849"/>
        <item x="363"/>
        <item x="553"/>
        <item x="212"/>
        <item x="998"/>
        <item x="397"/>
        <item x="235"/>
        <item x="1030"/>
        <item x="614"/>
        <item x="133"/>
        <item x="908"/>
        <item x="988"/>
        <item x="134"/>
        <item x="286"/>
        <item x="318"/>
        <item x="237"/>
        <item x="978"/>
        <item x="1007"/>
        <item x="690"/>
        <item x="670"/>
        <item x="787"/>
        <item x="781"/>
        <item x="796"/>
        <item x="1005"/>
        <item x="664"/>
        <item x="239"/>
        <item x="381"/>
        <item x="1015"/>
        <item x="269"/>
        <item x="686"/>
        <item x="229"/>
        <item x="398"/>
        <item x="715"/>
        <item x="936"/>
        <item x="408"/>
        <item x="630"/>
        <item x="695"/>
        <item x="648"/>
        <item x="127"/>
        <item x="390"/>
        <item x="775"/>
        <item x="618"/>
        <item x="526"/>
        <item x="495"/>
        <item x="713"/>
        <item x="1022"/>
        <item x="773"/>
        <item x="400"/>
        <item x="592"/>
        <item x="742"/>
        <item x="500"/>
        <item x="607"/>
        <item x="719"/>
        <item x="1052"/>
        <item x="835"/>
        <item x="789"/>
        <item x="624"/>
        <item x="745"/>
        <item x="149"/>
        <item x="824"/>
        <item x="810"/>
        <item x="1059"/>
        <item x="610"/>
        <item x="568"/>
        <item x="798"/>
        <item x="990"/>
        <item x="274"/>
        <item x="1000"/>
        <item x="806"/>
        <item x="726"/>
        <item x="977"/>
        <item x="997"/>
        <item x="958"/>
        <item x="942"/>
        <item x="777"/>
        <item x="834"/>
        <item x="748"/>
        <item x="711"/>
        <item x="766"/>
        <item x="767"/>
        <item x="558"/>
        <item x="633"/>
        <item x="659"/>
        <item x="716"/>
        <item x="948"/>
        <item x="747"/>
        <item x="514"/>
        <item x="1044"/>
        <item x="994"/>
        <item x="522"/>
        <item x="694"/>
        <item x="838"/>
        <item x="300"/>
        <item x="688"/>
        <item x="740"/>
        <item x="764"/>
        <item x="975"/>
        <item x="821"/>
        <item x="965"/>
        <item x="308"/>
        <item x="597"/>
        <item x="219"/>
        <item x="208"/>
        <item x="985"/>
        <item x="820"/>
        <item x="872"/>
        <item x="387"/>
        <item x="1038"/>
        <item x="545"/>
        <item x="131"/>
        <item x="586"/>
        <item x="831"/>
        <item x="241"/>
        <item x="267"/>
        <item x="583"/>
        <item x="763"/>
        <item x="940"/>
        <item x="304"/>
        <item x="885"/>
        <item x="130"/>
        <item x="556"/>
        <item x="791"/>
        <item x="852"/>
        <item x="814"/>
        <item x="361"/>
        <item x="358"/>
        <item x="594"/>
        <item x="728"/>
        <item x="554"/>
        <item x="651"/>
        <item x="613"/>
        <item x="746"/>
        <item x="612"/>
        <item x="881"/>
        <item x="378"/>
        <item x="757"/>
        <item x="807"/>
        <item x="843"/>
        <item x="979"/>
        <item x="537"/>
        <item x="533"/>
        <item x="278"/>
        <item x="508"/>
        <item x="615"/>
        <item x="866"/>
        <item x="230"/>
        <item x="331"/>
        <item x="645"/>
        <item x="857"/>
        <item x="737"/>
        <item x="935"/>
        <item x="580"/>
        <item x="343"/>
        <item x="801"/>
        <item x="292"/>
        <item x="129"/>
        <item x="165"/>
        <item x="215"/>
        <item x="528"/>
        <item x="590"/>
        <item x="399"/>
        <item x="609"/>
        <item x="685"/>
        <item x="535"/>
        <item x="540"/>
        <item x="980"/>
        <item x="1037"/>
        <item x="321"/>
        <item x="546"/>
        <item x="656"/>
        <item x="750"/>
        <item x="593"/>
        <item x="732"/>
        <item x="155"/>
        <item x="604"/>
        <item x="559"/>
        <item x="255"/>
        <item x="647"/>
        <item x="551"/>
        <item x="743"/>
        <item x="641"/>
        <item x="1042"/>
        <item x="536"/>
        <item x="605"/>
        <item x="786"/>
        <item x="741"/>
        <item x="310"/>
        <item x="309"/>
        <item x="138"/>
        <item x="552"/>
        <item x="532"/>
        <item x="637"/>
        <item x="603"/>
        <item x="17"/>
        <item x="344"/>
        <item x="349"/>
        <item x="962"/>
        <item x="314"/>
        <item x="555"/>
        <item x="600"/>
        <item x="290"/>
        <item x="755"/>
        <item x="315"/>
        <item x="118"/>
        <item x="739"/>
        <item x="384"/>
        <item x="636"/>
        <item x="650"/>
        <item x="322"/>
        <item x="373"/>
        <item x="345"/>
        <item x="681"/>
        <item x="601"/>
        <item x="135"/>
        <item x="276"/>
        <item x="306"/>
        <item x="268"/>
        <item x="227"/>
        <item x="655"/>
        <item x="565"/>
        <item x="751"/>
        <item x="595"/>
        <item x="351"/>
        <item x="357"/>
        <item x="225"/>
        <item x="313"/>
        <item x="200"/>
        <item x="385"/>
        <item x="368"/>
        <item x="547"/>
        <item x="123"/>
        <item x="710"/>
        <item x="347"/>
        <item x="224"/>
        <item x="359"/>
        <item x="220"/>
        <item x="203"/>
        <item x="204"/>
        <item x="374"/>
        <item x="170"/>
        <item x="550"/>
        <item x="371"/>
        <item x="383"/>
        <item x="223"/>
        <item x="147"/>
        <item x="649"/>
        <item x="320"/>
        <item x="376"/>
        <item x="538"/>
        <item x="976"/>
        <item x="162"/>
        <item x="312"/>
        <item x="144"/>
        <item x="333"/>
        <item x="370"/>
        <item x="394"/>
        <item x="324"/>
        <item x="635"/>
        <item x="591"/>
        <item x="140"/>
        <item x="146"/>
        <item x="329"/>
        <item x="328"/>
        <item x="197"/>
        <item x="143"/>
        <item x="205"/>
        <item x="221"/>
        <item x="182"/>
        <item x="172"/>
        <item x="217"/>
        <item x="335"/>
        <item x="338"/>
        <item x="539"/>
        <item x="337"/>
        <item x="211"/>
        <item x="176"/>
        <item x="346"/>
        <item x="216"/>
        <item x="142"/>
        <item x="36"/>
        <item x="356"/>
        <item x="196"/>
        <item x="360"/>
        <item x="342"/>
        <item x="190"/>
        <item x="753"/>
        <item x="213"/>
        <item x="327"/>
        <item x="544"/>
        <item x="657"/>
        <item x="186"/>
        <item x="362"/>
        <item x="354"/>
        <item x="209"/>
        <item x="160"/>
        <item x="193"/>
        <item x="323"/>
        <item x="369"/>
        <item x="646"/>
        <item x="364"/>
        <item x="206"/>
        <item x="194"/>
        <item x="348"/>
        <item x="189"/>
        <item x="560"/>
        <item x="341"/>
        <item x="161"/>
        <item x="549"/>
        <item x="177"/>
        <item x="367"/>
        <item x="163"/>
        <item x="175"/>
        <item x="136"/>
        <item x="340"/>
        <item x="158"/>
        <item x="185"/>
        <item x="154"/>
        <item x="157"/>
        <item x="355"/>
        <item x="169"/>
        <item x="380"/>
        <item x="184"/>
        <item x="187"/>
        <item x="156"/>
        <item x="191"/>
        <item x="198"/>
        <item x="181"/>
        <item x="145"/>
        <item x="183"/>
        <item x="352"/>
        <item x="210"/>
        <item x="168"/>
        <item x="152"/>
        <item x="180"/>
        <item x="178"/>
        <item x="234"/>
        <item x="159"/>
        <item x="336"/>
        <item x="366"/>
        <item x="350"/>
        <item x="326"/>
        <item x="150"/>
        <item x="173"/>
        <item x="179"/>
        <item x="207"/>
        <item x="188"/>
        <item x="164"/>
        <item x="174"/>
        <item x="353"/>
        <item x="339"/>
        <item x="192"/>
        <item x="195"/>
        <item x="166"/>
        <item x="171"/>
      </items>
    </pivotField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6" subtotal="average" baseField="0" baseItem="1" numFmtId="164"/>
    <dataField name="% of Total Blanks" fld="6" showDataAs="percentOfTotal" baseField="0" baseItem="1" numFmtId="164"/>
  </dataFields>
  <formats count="48">
    <format dxfId="89">
      <pivotArea type="all" dataOnly="0" outline="0" fieldPosition="0"/>
    </format>
    <format dxfId="88">
      <pivotArea type="all" dataOnly="0" outline="0" fieldPosition="0"/>
    </format>
    <format dxfId="87">
      <pivotArea dataOnly="0" outline="0" fieldPosition="0">
        <references count="1">
          <reference field="4294967294" count="1">
            <x v="0"/>
          </reference>
        </references>
      </pivotArea>
    </format>
    <format dxfId="86">
      <pivotArea outline="0" fieldPosition="0">
        <references count="1">
          <reference field="4294967294" count="1">
            <x v="0"/>
          </reference>
        </references>
      </pivotArea>
    </format>
    <format dxfId="85">
      <pivotArea outline="0" fieldPosition="0">
        <references count="1">
          <reference field="4294967294" count="1">
            <x v="1"/>
          </reference>
        </references>
      </pivotArea>
    </format>
    <format dxfId="84">
      <pivotArea type="all" dataOnly="0" outline="0" fieldPosition="0"/>
    </format>
    <format dxfId="83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82">
      <pivotArea outline="0" fieldPosition="0">
        <references count="1">
          <reference field="4294967294" count="1" selected="0">
            <x v="1"/>
          </reference>
        </references>
      </pivotArea>
    </format>
    <format dxfId="40">
      <pivotArea field="1" type="button" dataOnly="0" labelOnly="1" outline="0" axis="axisRow" fieldPosition="0"/>
    </format>
    <format dxfId="39">
      <pivotArea field="2" type="button" dataOnly="0" labelOnly="1" outline="0" axis="axisRow" fieldPosition="1"/>
    </format>
    <format dxfId="38">
      <pivotArea field="3" type="button" dataOnly="0" labelOnly="1" outline="0" axis="axisRow" fieldPosition="2"/>
    </format>
    <format dxfId="37">
      <pivotArea field="4" type="button" dataOnly="0" labelOnly="1" outline="0" axis="axisRow" fieldPosition="3"/>
    </format>
    <format dxfId="36">
      <pivotArea field="5" type="button" dataOnly="0" labelOnly="1" outline="0" axis="axisRow" fieldPosition="4"/>
    </format>
    <format dxfId="3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4">
      <pivotArea type="all" dataOnly="0" outline="0" fieldPosition="0"/>
    </format>
    <format dxfId="33">
      <pivotArea outline="0" collapsedLevelsAreSubtotals="1" fieldPosition="0"/>
    </format>
    <format dxfId="32">
      <pivotArea field="2" type="button" dataOnly="0" labelOnly="1" outline="0" axis="axisRow" fieldPosition="1"/>
    </format>
    <format dxfId="31">
      <pivotArea field="3" type="button" dataOnly="0" labelOnly="1" outline="0" axis="axisRow" fieldPosition="2"/>
    </format>
    <format dxfId="30">
      <pivotArea field="4" type="button" dataOnly="0" labelOnly="1" outline="0" axis="axisRow" fieldPosition="3"/>
    </format>
    <format dxfId="29">
      <pivotArea field="5" type="button" dataOnly="0" labelOnly="1" outline="0" axis="axisRow" fieldPosition="4"/>
    </format>
    <format dxfId="28">
      <pivotArea dataOnly="0" labelOnly="1" outline="0" fieldPosition="0">
        <references count="1">
          <reference field="1" count="0"/>
        </references>
      </pivotArea>
    </format>
    <format dxfId="2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1" type="button" dataOnly="0" labelOnly="1" outline="0" axis="axisRow" fieldPosition="0"/>
    </format>
    <format dxfId="23">
      <pivotArea field="2" type="button" dataOnly="0" labelOnly="1" outline="0" axis="axisRow" fieldPosition="1"/>
    </format>
    <format dxfId="22">
      <pivotArea field="3" type="button" dataOnly="0" labelOnly="1" outline="0" axis="axisRow" fieldPosition="2"/>
    </format>
    <format dxfId="21">
      <pivotArea field="4" type="button" dataOnly="0" labelOnly="1" outline="0" axis="axisRow" fieldPosition="3"/>
    </format>
    <format dxfId="20">
      <pivotArea field="5" type="button" dataOnly="0" labelOnly="1" outline="0" axis="axisRow" fieldPosition="4"/>
    </format>
    <format dxfId="19">
      <pivotArea dataOnly="0" labelOnly="1" outline="0" fieldPosition="0">
        <references count="1">
          <reference field="1" count="0"/>
        </references>
      </pivotArea>
    </format>
    <format dxfId="18">
      <pivotArea dataOnly="0" labelOnly="1" grandRow="1" outline="0" fieldPosition="0"/>
    </format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">
      <pivotArea field="1" type="button" dataOnly="0" labelOnly="1" outline="0" axis="axisRow" fieldPosition="0"/>
    </format>
    <format dxfId="15">
      <pivotArea dataOnly="0" labelOnly="1" outline="0" fieldPosition="0">
        <references count="1">
          <reference field="1" count="1">
            <x v="0"/>
          </reference>
        </references>
      </pivotArea>
    </format>
    <format dxfId="14">
      <pivotArea dataOnly="0" labelOnly="1" outline="0" fieldPosition="0">
        <references count="1">
          <reference field="1" count="1">
            <x v="1"/>
          </reference>
        </references>
      </pivotArea>
    </format>
    <format dxfId="13">
      <pivotArea dataOnly="0" labelOnly="1" outline="0" fieldPosition="0">
        <references count="1">
          <reference field="1" count="1">
            <x v="2"/>
          </reference>
        </references>
      </pivotArea>
    </format>
    <format dxfId="12">
      <pivotArea dataOnly="0" labelOnly="1" outline="0" fieldPosition="0">
        <references count="1">
          <reference field="1" count="1">
            <x v="3"/>
          </reference>
        </references>
      </pivotArea>
    </format>
    <format dxfId="11">
      <pivotArea dataOnly="0" labelOnly="1" outline="0" fieldPosition="0">
        <references count="1">
          <reference field="1" count="1">
            <x v="4"/>
          </reference>
        </references>
      </pivotArea>
    </format>
    <format dxfId="10">
      <pivotArea dataOnly="0" labelOnly="1" outline="0" fieldPosition="0">
        <references count="1">
          <reference field="1" count="1">
            <x v="5"/>
          </reference>
        </references>
      </pivotArea>
    </format>
    <format dxfId="9">
      <pivotArea dataOnly="0" labelOnly="1" outline="0" fieldPosition="0">
        <references count="1">
          <reference field="1" count="1">
            <x v="6"/>
          </reference>
        </references>
      </pivotArea>
    </format>
    <format dxfId="8">
      <pivotArea dataOnly="0" labelOnly="1" outline="0" fieldPosition="0">
        <references count="1">
          <reference field="1" count="1">
            <x v="7"/>
          </reference>
        </references>
      </pivotArea>
    </format>
    <format dxfId="7">
      <pivotArea dataOnly="0" labelOnly="1" outline="0" fieldPosition="0">
        <references count="1">
          <reference field="1" count="1">
            <x v="8"/>
          </reference>
        </references>
      </pivotArea>
    </format>
    <format dxfId="6">
      <pivotArea dataOnly="0" labelOnly="1" outline="0" fieldPosition="0">
        <references count="1">
          <reference field="1" count="1">
            <x v="9"/>
          </reference>
        </references>
      </pivotArea>
    </format>
    <format dxfId="5">
      <pivotArea dataOnly="0" labelOnly="1" outline="0" fieldPosition="0">
        <references count="1">
          <reference field="1" count="1">
            <x v="10"/>
          </reference>
        </references>
      </pivotArea>
    </format>
    <format dxfId="4">
      <pivotArea dataOnly="0" labelOnly="1" outline="0" fieldPosition="0">
        <references count="1">
          <reference field="1" count="1">
            <x v="11"/>
          </reference>
        </references>
      </pivotArea>
    </format>
    <format dxfId="3">
      <pivotArea dataOnly="0" labelOnly="1" outline="0" fieldPosition="0">
        <references count="1">
          <reference field="1" count="1">
            <x v="12"/>
          </reference>
        </references>
      </pivotArea>
    </format>
    <format dxfId="2">
      <pivotArea dataOnly="0" labelOnly="1" outline="0" fieldPosition="0">
        <references count="1">
          <reference field="1" count="1">
            <x v="13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8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G23" firstHeaderRow="1" firstDataRow="1" firstDataCol="5"/>
  <pivotFields count="8">
    <pivotField compact="0" outline="0" showAll="0"/>
    <pivotField axis="axisRow" compact="0" outline="0" showAll="0" defaultSubtotal="0">
      <items count="14">
        <item sd="0" x="13"/>
        <item sd="0" x="12"/>
        <item sd="0" x="4"/>
        <item sd="0" x="3"/>
        <item sd="0" x="2"/>
        <item sd="0" x="0"/>
        <item sd="0" x="11"/>
        <item sd="0" x="10"/>
        <item sd="0" x="9"/>
        <item sd="0" x="1"/>
        <item sd="0" x="8"/>
        <item sd="0" x="7"/>
        <item sd="0" x="6"/>
        <item sd="0" x="5"/>
      </items>
    </pivotField>
    <pivotField axis="axisRow" compact="0" outline="0" showAll="0" defaultSubtotal="0">
      <items count="19">
        <item sd="0" x="6"/>
        <item sd="0" x="18"/>
        <item sd="0" x="14"/>
        <item sd="0" x="11"/>
        <item sd="0" x="17"/>
        <item sd="0" x="16"/>
        <item sd="0" x="15"/>
        <item sd="0" x="12"/>
        <item sd="0" x="13"/>
        <item sd="0" x="3"/>
        <item sd="0" x="10"/>
        <item sd="0" x="9"/>
        <item sd="0" x="8"/>
        <item sd="0" x="7"/>
        <item sd="0" x="1"/>
        <item sd="0" x="5"/>
        <item sd="0" x="4"/>
        <item sd="0" x="2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1064">
        <item x="97"/>
        <item x="111"/>
        <item x="83"/>
        <item x="571"/>
        <item x="87"/>
        <item x="923"/>
        <item x="69"/>
        <item x="1055"/>
        <item x="416"/>
        <item x="73"/>
        <item x="440"/>
        <item x="430"/>
        <item x="761"/>
        <item x="122"/>
        <item x="101"/>
        <item x="92"/>
        <item x="909"/>
        <item x="758"/>
        <item x="1028"/>
        <item x="406"/>
        <item x="425"/>
        <item x="1025"/>
        <item x="1058"/>
        <item x="47"/>
        <item x="106"/>
        <item x="420"/>
        <item x="78"/>
        <item x="125"/>
        <item x="454"/>
        <item x="409"/>
        <item x="33"/>
        <item x="61"/>
        <item x="108"/>
        <item x="62"/>
        <item x="76"/>
        <item x="19"/>
        <item x="107"/>
        <item x="75"/>
        <item x="410"/>
        <item x="81"/>
        <item x="445"/>
        <item x="121"/>
        <item x="59"/>
        <item x="482"/>
        <item x="167"/>
        <item x="433"/>
        <item x="48"/>
        <item x="99"/>
        <item x="55"/>
        <item x="233"/>
        <item x="93"/>
        <item x="417"/>
        <item x="68"/>
        <item x="456"/>
        <item x="395"/>
        <item x="736"/>
        <item x="423"/>
        <item x="451"/>
        <item x="424"/>
        <item x="884"/>
        <item x="5"/>
        <item x="467"/>
        <item x="499"/>
        <item x="414"/>
        <item x="85"/>
        <item x="64"/>
        <item x="1014"/>
        <item x="89"/>
        <item x="396"/>
        <item x="442"/>
        <item x="334"/>
        <item x="79"/>
        <item x="907"/>
        <item x="434"/>
        <item x="1012"/>
        <item x="34"/>
        <item x="392"/>
        <item x="428"/>
        <item x="90"/>
        <item x="921"/>
        <item x="95"/>
        <item x="53"/>
        <item x="465"/>
        <item x="447"/>
        <item x="94"/>
        <item x="30"/>
        <item x="222"/>
        <item x="933"/>
        <item x="16"/>
        <item x="418"/>
        <item x="124"/>
        <item x="88"/>
        <item x="1003"/>
        <item x="12"/>
        <item x="393"/>
        <item x="483"/>
        <item x="443"/>
        <item x="1016"/>
        <item x="137"/>
        <item x="247"/>
        <item x="886"/>
        <item x="2"/>
        <item x="1"/>
        <item x="44"/>
        <item x="438"/>
        <item x="439"/>
        <item x="1046"/>
        <item x="738"/>
        <item x="102"/>
        <item x="1026"/>
        <item x="573"/>
        <item x="26"/>
        <item x="541"/>
        <item x="20"/>
        <item x="411"/>
        <item x="407"/>
        <item x="14"/>
        <item x="457"/>
        <item x="120"/>
        <item x="311"/>
        <item x="925"/>
        <item x="264"/>
        <item x="80"/>
        <item x="113"/>
        <item x="250"/>
        <item x="668"/>
        <item x="74"/>
        <item x="110"/>
        <item x="911"/>
        <item x="115"/>
        <item x="103"/>
        <item x="45"/>
        <item x="588"/>
        <item x="28"/>
        <item x="452"/>
        <item x="39"/>
        <item x="1029"/>
        <item x="479"/>
        <item x="674"/>
        <item x="1023"/>
        <item x="934"/>
        <item x="435"/>
        <item x="51"/>
        <item x="391"/>
        <item x="1057"/>
        <item x="949"/>
        <item x="920"/>
        <item x="50"/>
        <item x="71"/>
        <item x="58"/>
        <item x="404"/>
        <item x="928"/>
        <item x="422"/>
        <item x="386"/>
        <item x="114"/>
        <item x="1011"/>
        <item x="952"/>
        <item x="663"/>
        <item x="492"/>
        <item x="759"/>
        <item x="574"/>
        <item x="459"/>
        <item x="40"/>
        <item x="496"/>
        <item x="84"/>
        <item x="6"/>
        <item x="238"/>
        <item x="1009"/>
        <item x="37"/>
        <item x="66"/>
        <item x="1053"/>
        <item x="246"/>
        <item x="918"/>
        <item x="880"/>
        <item x="723"/>
        <item x="530"/>
        <item x="478"/>
        <item x="226"/>
        <item x="506"/>
        <item x="128"/>
        <item x="523"/>
        <item x="470"/>
        <item x="248"/>
        <item x="41"/>
        <item x="427"/>
        <item x="7"/>
        <item x="405"/>
        <item x="281"/>
        <item x="513"/>
        <item x="503"/>
        <item x="240"/>
        <item x="228"/>
        <item x="699"/>
        <item x="996"/>
        <item x="502"/>
        <item x="42"/>
        <item x="706"/>
        <item x="297"/>
        <item x="379"/>
        <item x="570"/>
        <item x="983"/>
        <item x="967"/>
        <item x="23"/>
        <item x="100"/>
        <item x="96"/>
        <item x="72"/>
        <item x="569"/>
        <item x="915"/>
        <item x="52"/>
        <item x="54"/>
        <item x="265"/>
        <item x="461"/>
        <item x="305"/>
        <item x="561"/>
        <item x="453"/>
        <item x="602"/>
        <item x="760"/>
        <item x="966"/>
        <item x="25"/>
        <item x="56"/>
        <item x="98"/>
        <item x="132"/>
        <item x="808"/>
        <item x="449"/>
        <item x="888"/>
        <item x="82"/>
        <item x="1049"/>
        <item x="70"/>
        <item x="86"/>
        <item x="60"/>
        <item x="727"/>
        <item x="945"/>
        <item x="678"/>
        <item x="904"/>
        <item x="112"/>
        <item x="260"/>
        <item x="803"/>
        <item x="867"/>
        <item x="332"/>
        <item x="627"/>
        <item x="231"/>
        <item x="919"/>
        <item x="486"/>
        <item x="31"/>
        <item x="243"/>
        <item x="421"/>
        <item x="504"/>
        <item x="261"/>
        <item x="10"/>
        <item x="682"/>
        <item x="515"/>
        <item x="864"/>
        <item x="437"/>
        <item x="126"/>
        <item x="1036"/>
        <item x="38"/>
        <item x="403"/>
        <item x="11"/>
        <item x="1033"/>
        <item x="316"/>
        <item x="752"/>
        <item x="13"/>
        <item x="293"/>
        <item x="557"/>
        <item x="291"/>
        <item x="3"/>
        <item x="284"/>
        <item x="703"/>
        <item x="902"/>
        <item x="916"/>
        <item x="623"/>
        <item x="717"/>
        <item x="882"/>
        <item x="617"/>
        <item x="1004"/>
        <item x="779"/>
        <item x="254"/>
        <item x="24"/>
        <item x="776"/>
        <item x="21"/>
        <item x="956"/>
        <item x="402"/>
        <item x="802"/>
        <item x="701"/>
        <item x="987"/>
        <item x="913"/>
        <item x="377"/>
        <item x="510"/>
        <item x="889"/>
        <item x="426"/>
        <item x="302"/>
        <item x="441"/>
        <item x="252"/>
        <item x="735"/>
        <item x="1001"/>
        <item x="851"/>
        <item x="891"/>
        <item x="249"/>
        <item x="65"/>
        <item x="837"/>
        <item x="116"/>
        <item x="389"/>
        <item x="707"/>
        <item x="793"/>
        <item x="9"/>
        <item x="91"/>
        <item x="938"/>
        <item x="481"/>
        <item x="266"/>
        <item x="563"/>
        <item x="473"/>
        <item x="809"/>
        <item x="790"/>
        <item x="972"/>
        <item x="931"/>
        <item x="823"/>
        <item x="578"/>
        <item x="521"/>
        <item x="498"/>
        <item x="1019"/>
        <item x="968"/>
        <item x="905"/>
        <item x="910"/>
        <item x="698"/>
        <item x="279"/>
        <item x="845"/>
        <item x="27"/>
        <item x="4"/>
        <item x="466"/>
        <item x="1027"/>
        <item x="1032"/>
        <item x="295"/>
        <item x="714"/>
        <item x="671"/>
        <item x="199"/>
        <item x="822"/>
        <item x="245"/>
        <item x="897"/>
        <item x="653"/>
        <item x="497"/>
        <item x="282"/>
        <item x="817"/>
        <item x="1018"/>
        <item x="516"/>
        <item x="883"/>
        <item x="251"/>
        <item x="139"/>
        <item x="833"/>
        <item x="431"/>
        <item x="236"/>
        <item x="201"/>
        <item x="914"/>
        <item x="263"/>
        <item x="859"/>
        <item x="257"/>
        <item x="491"/>
        <item x="1056"/>
        <item x="57"/>
        <item x="950"/>
        <item x="924"/>
        <item x="460"/>
        <item x="446"/>
        <item x="692"/>
        <item x="117"/>
        <item x="584"/>
        <item x="620"/>
        <item x="679"/>
        <item x="816"/>
        <item x="869"/>
        <item x="529"/>
        <item x="893"/>
        <item x="105"/>
        <item x="643"/>
        <item x="524"/>
        <item x="151"/>
        <item x="490"/>
        <item x="598"/>
        <item x="877"/>
        <item x="511"/>
        <item x="77"/>
        <item x="507"/>
        <item x="472"/>
        <item x="929"/>
        <item x="581"/>
        <item x="1060"/>
        <item x="725"/>
        <item x="1024"/>
        <item x="46"/>
        <item x="277"/>
        <item x="1054"/>
        <item x="202"/>
        <item x="480"/>
        <item x="104"/>
        <item x="697"/>
        <item x="141"/>
        <item x="662"/>
        <item x="689"/>
        <item x="285"/>
        <item x="993"/>
        <item x="865"/>
        <item x="436"/>
        <item x="493"/>
        <item x="566"/>
        <item x="927"/>
        <item x="819"/>
        <item x="875"/>
        <item x="811"/>
        <item x="455"/>
        <item x="840"/>
        <item x="562"/>
        <item x="419"/>
        <item x="700"/>
        <item x="826"/>
        <item x="382"/>
        <item x="896"/>
        <item x="854"/>
        <item x="1010"/>
        <item x="1062"/>
        <item x="512"/>
        <item x="729"/>
        <item x="412"/>
        <item x="842"/>
        <item x="947"/>
        <item x="930"/>
        <item x="307"/>
        <item x="959"/>
        <item x="244"/>
        <item x="287"/>
        <item x="756"/>
        <item x="718"/>
        <item x="567"/>
        <item x="946"/>
        <item x="259"/>
        <item x="109"/>
        <item x="271"/>
        <item x="733"/>
        <item x="298"/>
        <item x="828"/>
        <item x="667"/>
        <item x="973"/>
        <item x="474"/>
        <item x="693"/>
        <item x="922"/>
        <item x="890"/>
        <item x="35"/>
        <item x="856"/>
        <item x="1039"/>
        <item x="873"/>
        <item x="542"/>
        <item x="1035"/>
        <item x="672"/>
        <item x="631"/>
        <item x="67"/>
        <item x="488"/>
        <item x="704"/>
        <item x="280"/>
        <item x="463"/>
        <item x="273"/>
        <item x="815"/>
        <item x="769"/>
        <item x="501"/>
        <item x="836"/>
        <item x="1040"/>
        <item x="903"/>
        <item x="797"/>
        <item x="429"/>
        <item x="871"/>
        <item x="762"/>
        <item x="984"/>
        <item x="734"/>
        <item x="768"/>
        <item x="696"/>
        <item x="531"/>
        <item x="691"/>
        <item x="444"/>
        <item x="868"/>
        <item x="906"/>
        <item x="899"/>
        <item x="619"/>
        <item x="676"/>
        <item x="256"/>
        <item x="372"/>
        <item x="954"/>
        <item x="611"/>
        <item x="898"/>
        <item x="895"/>
        <item x="0"/>
        <item x="270"/>
        <item x="999"/>
        <item x="232"/>
        <item x="665"/>
        <item x="926"/>
        <item x="388"/>
        <item x="799"/>
        <item x="579"/>
        <item x="772"/>
        <item x="804"/>
        <item x="365"/>
        <item x="964"/>
        <item x="832"/>
        <item x="874"/>
        <item x="572"/>
        <item x="485"/>
        <item x="18"/>
        <item x="794"/>
        <item x="1047"/>
        <item x="450"/>
        <item x="520"/>
        <item x="375"/>
        <item x="724"/>
        <item x="829"/>
        <item x="415"/>
        <item x="1048"/>
        <item x="63"/>
        <item x="319"/>
        <item x="1034"/>
        <item x="943"/>
        <item x="677"/>
        <item x="22"/>
        <item x="812"/>
        <item x="303"/>
        <item x="505"/>
        <item x="1002"/>
        <item x="917"/>
        <item x="813"/>
        <item x="780"/>
        <item x="876"/>
        <item x="1045"/>
        <item x="771"/>
        <item x="477"/>
        <item x="847"/>
        <item x="458"/>
        <item x="32"/>
        <item x="900"/>
        <item x="634"/>
        <item x="805"/>
        <item x="242"/>
        <item x="625"/>
        <item x="986"/>
        <item x="628"/>
        <item x="654"/>
        <item x="850"/>
        <item x="708"/>
        <item x="330"/>
        <item x="475"/>
        <item x="912"/>
        <item x="800"/>
        <item x="527"/>
        <item x="43"/>
        <item x="518"/>
        <item x="858"/>
        <item x="296"/>
        <item x="879"/>
        <item x="622"/>
        <item x="825"/>
        <item x="464"/>
        <item x="783"/>
        <item x="995"/>
        <item x="577"/>
        <item x="283"/>
        <item x="214"/>
        <item x="792"/>
        <item x="519"/>
        <item x="543"/>
        <item x="564"/>
        <item x="960"/>
        <item x="49"/>
        <item x="827"/>
        <item x="953"/>
        <item x="589"/>
        <item x="288"/>
        <item x="870"/>
        <item x="749"/>
        <item x="992"/>
        <item x="294"/>
        <item x="608"/>
        <item x="525"/>
        <item x="844"/>
        <item x="660"/>
        <item x="1050"/>
        <item x="413"/>
        <item x="861"/>
        <item x="262"/>
        <item x="15"/>
        <item x="534"/>
        <item x="596"/>
        <item x="272"/>
        <item x="658"/>
        <item x="1017"/>
        <item x="982"/>
        <item x="957"/>
        <item x="860"/>
        <item x="974"/>
        <item x="471"/>
        <item x="937"/>
        <item x="887"/>
        <item x="8"/>
        <item x="1063"/>
        <item x="606"/>
        <item x="878"/>
        <item x="939"/>
        <item x="218"/>
        <item x="818"/>
        <item x="1021"/>
        <item x="730"/>
        <item x="289"/>
        <item x="476"/>
        <item x="944"/>
        <item x="599"/>
        <item x="1061"/>
        <item x="774"/>
        <item x="616"/>
        <item x="517"/>
        <item x="639"/>
        <item x="684"/>
        <item x="961"/>
        <item x="788"/>
        <item x="669"/>
        <item x="680"/>
        <item x="901"/>
        <item x="955"/>
        <item x="640"/>
        <item x="484"/>
        <item x="892"/>
        <item x="1013"/>
        <item x="855"/>
        <item x="721"/>
        <item x="731"/>
        <item x="632"/>
        <item x="712"/>
        <item x="1006"/>
        <item x="1020"/>
        <item x="469"/>
        <item x="770"/>
        <item x="1041"/>
        <item x="494"/>
        <item x="29"/>
        <item x="575"/>
        <item x="401"/>
        <item x="489"/>
        <item x="462"/>
        <item x="784"/>
        <item x="894"/>
        <item x="652"/>
        <item x="325"/>
        <item x="785"/>
        <item x="720"/>
        <item x="941"/>
        <item x="841"/>
        <item x="468"/>
        <item x="587"/>
        <item x="722"/>
        <item x="969"/>
        <item x="638"/>
        <item x="782"/>
        <item x="839"/>
        <item x="830"/>
        <item x="487"/>
        <item x="675"/>
        <item x="621"/>
        <item x="582"/>
        <item x="862"/>
        <item x="673"/>
        <item x="509"/>
        <item x="119"/>
        <item x="301"/>
        <item x="317"/>
        <item x="585"/>
        <item x="989"/>
        <item x="687"/>
        <item x="644"/>
        <item x="991"/>
        <item x="275"/>
        <item x="432"/>
        <item x="853"/>
        <item x="576"/>
        <item x="448"/>
        <item x="253"/>
        <item x="846"/>
        <item x="1031"/>
        <item x="666"/>
        <item x="299"/>
        <item x="258"/>
        <item x="702"/>
        <item x="709"/>
        <item x="981"/>
        <item x="963"/>
        <item x="795"/>
        <item x="863"/>
        <item x="153"/>
        <item x="626"/>
        <item x="683"/>
        <item x="754"/>
        <item x="971"/>
        <item x="629"/>
        <item x="1008"/>
        <item x="1043"/>
        <item x="661"/>
        <item x="778"/>
        <item x="705"/>
        <item x="744"/>
        <item x="848"/>
        <item x="148"/>
        <item x="765"/>
        <item x="548"/>
        <item x="1051"/>
        <item x="951"/>
        <item x="932"/>
        <item x="970"/>
        <item x="642"/>
        <item x="849"/>
        <item x="363"/>
        <item x="553"/>
        <item x="212"/>
        <item x="998"/>
        <item x="397"/>
        <item x="235"/>
        <item x="1030"/>
        <item x="614"/>
        <item x="133"/>
        <item x="908"/>
        <item x="988"/>
        <item x="134"/>
        <item x="286"/>
        <item x="318"/>
        <item x="237"/>
        <item x="978"/>
        <item x="1007"/>
        <item x="690"/>
        <item x="670"/>
        <item x="787"/>
        <item x="781"/>
        <item x="796"/>
        <item x="1005"/>
        <item x="664"/>
        <item x="239"/>
        <item x="381"/>
        <item x="1015"/>
        <item x="269"/>
        <item x="686"/>
        <item x="229"/>
        <item x="398"/>
        <item x="715"/>
        <item x="936"/>
        <item x="408"/>
        <item x="630"/>
        <item x="695"/>
        <item x="648"/>
        <item x="127"/>
        <item x="390"/>
        <item x="775"/>
        <item x="618"/>
        <item x="526"/>
        <item x="495"/>
        <item x="713"/>
        <item x="1022"/>
        <item x="773"/>
        <item x="400"/>
        <item x="592"/>
        <item x="742"/>
        <item x="500"/>
        <item x="607"/>
        <item x="719"/>
        <item x="1052"/>
        <item x="835"/>
        <item x="789"/>
        <item x="624"/>
        <item x="745"/>
        <item x="149"/>
        <item x="824"/>
        <item x="810"/>
        <item x="1059"/>
        <item x="610"/>
        <item x="568"/>
        <item x="798"/>
        <item x="990"/>
        <item x="274"/>
        <item x="1000"/>
        <item x="806"/>
        <item x="726"/>
        <item x="977"/>
        <item x="997"/>
        <item x="958"/>
        <item x="942"/>
        <item x="777"/>
        <item x="834"/>
        <item x="748"/>
        <item x="711"/>
        <item x="766"/>
        <item x="767"/>
        <item x="558"/>
        <item x="633"/>
        <item x="659"/>
        <item x="716"/>
        <item x="948"/>
        <item x="747"/>
        <item x="514"/>
        <item x="1044"/>
        <item x="994"/>
        <item x="522"/>
        <item x="694"/>
        <item x="838"/>
        <item x="300"/>
        <item x="688"/>
        <item x="740"/>
        <item x="764"/>
        <item x="975"/>
        <item x="821"/>
        <item x="965"/>
        <item x="308"/>
        <item x="597"/>
        <item x="219"/>
        <item x="208"/>
        <item x="985"/>
        <item x="820"/>
        <item x="872"/>
        <item x="387"/>
        <item x="1038"/>
        <item x="545"/>
        <item x="131"/>
        <item x="586"/>
        <item x="831"/>
        <item x="241"/>
        <item x="267"/>
        <item x="583"/>
        <item x="763"/>
        <item x="940"/>
        <item x="304"/>
        <item x="885"/>
        <item x="130"/>
        <item x="556"/>
        <item x="791"/>
        <item x="852"/>
        <item x="814"/>
        <item x="361"/>
        <item x="358"/>
        <item x="594"/>
        <item x="728"/>
        <item x="554"/>
        <item x="651"/>
        <item x="613"/>
        <item x="746"/>
        <item x="612"/>
        <item x="881"/>
        <item x="378"/>
        <item x="757"/>
        <item x="807"/>
        <item x="843"/>
        <item x="979"/>
        <item x="537"/>
        <item x="533"/>
        <item x="278"/>
        <item x="508"/>
        <item x="615"/>
        <item x="866"/>
        <item x="230"/>
        <item x="331"/>
        <item x="645"/>
        <item x="857"/>
        <item x="737"/>
        <item x="935"/>
        <item x="580"/>
        <item x="343"/>
        <item x="801"/>
        <item x="292"/>
        <item x="129"/>
        <item x="165"/>
        <item x="215"/>
        <item x="528"/>
        <item x="590"/>
        <item x="399"/>
        <item x="609"/>
        <item x="685"/>
        <item x="535"/>
        <item x="540"/>
        <item x="980"/>
        <item x="1037"/>
        <item x="321"/>
        <item x="546"/>
        <item x="656"/>
        <item x="750"/>
        <item x="593"/>
        <item x="732"/>
        <item x="155"/>
        <item x="604"/>
        <item x="559"/>
        <item x="255"/>
        <item x="647"/>
        <item x="551"/>
        <item x="743"/>
        <item x="641"/>
        <item x="1042"/>
        <item x="536"/>
        <item x="605"/>
        <item x="786"/>
        <item x="741"/>
        <item x="310"/>
        <item x="309"/>
        <item x="138"/>
        <item x="552"/>
        <item x="532"/>
        <item x="637"/>
        <item x="603"/>
        <item x="17"/>
        <item x="344"/>
        <item x="349"/>
        <item x="962"/>
        <item x="314"/>
        <item x="555"/>
        <item x="600"/>
        <item x="290"/>
        <item x="755"/>
        <item x="315"/>
        <item x="118"/>
        <item x="739"/>
        <item x="384"/>
        <item x="636"/>
        <item x="650"/>
        <item x="322"/>
        <item x="373"/>
        <item x="345"/>
        <item x="681"/>
        <item x="601"/>
        <item x="135"/>
        <item x="276"/>
        <item x="306"/>
        <item x="268"/>
        <item x="227"/>
        <item x="655"/>
        <item x="565"/>
        <item x="751"/>
        <item x="595"/>
        <item x="351"/>
        <item x="357"/>
        <item x="225"/>
        <item x="313"/>
        <item x="200"/>
        <item x="385"/>
        <item x="368"/>
        <item x="547"/>
        <item x="123"/>
        <item x="710"/>
        <item x="347"/>
        <item x="224"/>
        <item x="359"/>
        <item x="220"/>
        <item x="203"/>
        <item x="204"/>
        <item x="374"/>
        <item x="170"/>
        <item x="550"/>
        <item x="371"/>
        <item x="383"/>
        <item x="223"/>
        <item x="147"/>
        <item x="649"/>
        <item x="320"/>
        <item x="376"/>
        <item x="538"/>
        <item x="976"/>
        <item x="162"/>
        <item x="312"/>
        <item x="144"/>
        <item x="333"/>
        <item x="370"/>
        <item x="394"/>
        <item x="324"/>
        <item x="635"/>
        <item x="591"/>
        <item x="140"/>
        <item x="146"/>
        <item x="329"/>
        <item x="328"/>
        <item x="197"/>
        <item x="143"/>
        <item x="205"/>
        <item x="221"/>
        <item x="182"/>
        <item x="172"/>
        <item x="217"/>
        <item x="335"/>
        <item x="338"/>
        <item x="539"/>
        <item x="337"/>
        <item x="211"/>
        <item x="176"/>
        <item x="346"/>
        <item x="216"/>
        <item x="142"/>
        <item x="36"/>
        <item x="356"/>
        <item x="196"/>
        <item x="360"/>
        <item x="342"/>
        <item x="190"/>
        <item x="753"/>
        <item x="213"/>
        <item x="327"/>
        <item x="544"/>
        <item x="657"/>
        <item x="186"/>
        <item x="362"/>
        <item x="354"/>
        <item x="209"/>
        <item x="160"/>
        <item x="193"/>
        <item x="323"/>
        <item x="369"/>
        <item x="646"/>
        <item x="364"/>
        <item x="206"/>
        <item x="194"/>
        <item x="348"/>
        <item x="189"/>
        <item x="560"/>
        <item x="341"/>
        <item x="161"/>
        <item x="549"/>
        <item x="177"/>
        <item x="367"/>
        <item x="163"/>
        <item x="175"/>
        <item x="136"/>
        <item x="340"/>
        <item x="158"/>
        <item x="185"/>
        <item x="154"/>
        <item x="157"/>
        <item x="355"/>
        <item x="169"/>
        <item x="380"/>
        <item x="184"/>
        <item x="187"/>
        <item x="156"/>
        <item x="191"/>
        <item x="198"/>
        <item x="181"/>
        <item x="145"/>
        <item x="183"/>
        <item x="352"/>
        <item x="210"/>
        <item x="168"/>
        <item x="152"/>
        <item x="180"/>
        <item x="178"/>
        <item x="234"/>
        <item x="159"/>
        <item x="336"/>
        <item x="366"/>
        <item x="350"/>
        <item x="326"/>
        <item x="150"/>
        <item x="173"/>
        <item x="179"/>
        <item x="207"/>
        <item x="188"/>
        <item x="164"/>
        <item x="174"/>
        <item x="353"/>
        <item x="339"/>
        <item x="192"/>
        <item x="195"/>
        <item x="166"/>
        <item x="171"/>
      </items>
    </pivotField>
    <pivotField compact="0" outline="0" showAll="0"/>
    <pivotField compact="0" outline="0" showAll="0"/>
  </pivotFields>
  <rowFields count="5">
    <field x="1"/>
    <field x="2"/>
    <field x="3"/>
    <field x="4"/>
    <field x="5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formats count="30">
    <format dxfId="81">
      <pivotArea type="all" dataOnly="0" outline="0" fieldPosition="0"/>
    </format>
    <format dxfId="80">
      <pivotArea outline="0" collapsedLevelsAreSubtotals="1" fieldPosition="0"/>
    </format>
    <format dxfId="79">
      <pivotArea dataOnly="0" labelOnly="1" grandRow="1" outline="0" fieldPosition="0"/>
    </format>
    <format dxfId="67">
      <pivotArea field="1" type="button" dataOnly="0" labelOnly="1" outline="0" axis="axisRow" fieldPosition="0"/>
    </format>
    <format dxfId="66">
      <pivotArea field="2" type="button" dataOnly="0" labelOnly="1" outline="0" axis="axisRow" fieldPosition="1"/>
    </format>
    <format dxfId="65">
      <pivotArea field="3" type="button" dataOnly="0" labelOnly="1" outline="0" axis="axisRow" fieldPosition="2"/>
    </format>
    <format dxfId="64">
      <pivotArea field="4" type="button" dataOnly="0" labelOnly="1" outline="0" axis="axisRow" fieldPosition="3"/>
    </format>
    <format dxfId="63">
      <pivotArea field="5" type="button" dataOnly="0" labelOnly="1" outline="0" axis="axisRow" fieldPosition="4"/>
    </format>
    <format dxfId="62">
      <pivotArea type="all" dataOnly="0" outline="0" fieldPosition="0"/>
    </format>
    <format dxfId="61">
      <pivotArea field="2" type="button" dataOnly="0" labelOnly="1" outline="0" axis="axisRow" fieldPosition="1"/>
    </format>
    <format dxfId="60">
      <pivotArea field="3" type="button" dataOnly="0" labelOnly="1" outline="0" axis="axisRow" fieldPosition="2"/>
    </format>
    <format dxfId="59">
      <pivotArea field="4" type="button" dataOnly="0" labelOnly="1" outline="0" axis="axisRow" fieldPosition="3"/>
    </format>
    <format dxfId="58">
      <pivotArea field="5" type="button" dataOnly="0" labelOnly="1" outline="0" axis="axisRow" fieldPosition="4"/>
    </format>
    <format dxfId="57">
      <pivotArea dataOnly="0" labelOnly="1" outline="0" fieldPosition="0">
        <references count="1">
          <reference field="1" count="0"/>
        </references>
      </pivotArea>
    </format>
    <format dxfId="56">
      <pivotArea field="1" type="button" dataOnly="0" labelOnly="1" outline="0" axis="axisRow" fieldPosition="0"/>
    </format>
    <format dxfId="55">
      <pivotArea dataOnly="0" labelOnly="1" outline="0" fieldPosition="0">
        <references count="1">
          <reference field="1" count="1">
            <x v="0"/>
          </reference>
        </references>
      </pivotArea>
    </format>
    <format dxfId="54">
      <pivotArea dataOnly="0" labelOnly="1" outline="0" fieldPosition="0">
        <references count="1">
          <reference field="1" count="1">
            <x v="1"/>
          </reference>
        </references>
      </pivotArea>
    </format>
    <format dxfId="53">
      <pivotArea dataOnly="0" labelOnly="1" outline="0" fieldPosition="0">
        <references count="1">
          <reference field="1" count="1">
            <x v="2"/>
          </reference>
        </references>
      </pivotArea>
    </format>
    <format dxfId="52">
      <pivotArea dataOnly="0" labelOnly="1" outline="0" fieldPosition="0">
        <references count="1">
          <reference field="1" count="1">
            <x v="3"/>
          </reference>
        </references>
      </pivotArea>
    </format>
    <format dxfId="51">
      <pivotArea dataOnly="0" labelOnly="1" outline="0" fieldPosition="0">
        <references count="1">
          <reference field="1" count="1">
            <x v="4"/>
          </reference>
        </references>
      </pivotArea>
    </format>
    <format dxfId="50">
      <pivotArea dataOnly="0" labelOnly="1" outline="0" fieldPosition="0">
        <references count="1">
          <reference field="1" count="1">
            <x v="5"/>
          </reference>
        </references>
      </pivotArea>
    </format>
    <format dxfId="49">
      <pivotArea dataOnly="0" labelOnly="1" outline="0" fieldPosition="0">
        <references count="1">
          <reference field="1" count="1">
            <x v="6"/>
          </reference>
        </references>
      </pivotArea>
    </format>
    <format dxfId="48">
      <pivotArea dataOnly="0" labelOnly="1" outline="0" fieldPosition="0">
        <references count="1">
          <reference field="1" count="1">
            <x v="7"/>
          </reference>
        </references>
      </pivotArea>
    </format>
    <format dxfId="47">
      <pivotArea dataOnly="0" labelOnly="1" outline="0" fieldPosition="0">
        <references count="1">
          <reference field="1" count="1">
            <x v="8"/>
          </reference>
        </references>
      </pivotArea>
    </format>
    <format dxfId="46">
      <pivotArea dataOnly="0" labelOnly="1" outline="0" fieldPosition="0">
        <references count="1">
          <reference field="1" count="1">
            <x v="9"/>
          </reference>
        </references>
      </pivotArea>
    </format>
    <format dxfId="45">
      <pivotArea dataOnly="0" labelOnly="1" outline="0" fieldPosition="0">
        <references count="1">
          <reference field="1" count="1">
            <x v="10"/>
          </reference>
        </references>
      </pivotArea>
    </format>
    <format dxfId="44">
      <pivotArea dataOnly="0" labelOnly="1" outline="0" fieldPosition="0">
        <references count="1">
          <reference field="1" count="1">
            <x v="11"/>
          </reference>
        </references>
      </pivotArea>
    </format>
    <format dxfId="43">
      <pivotArea dataOnly="0" labelOnly="1" outline="0" fieldPosition="0">
        <references count="1">
          <reference field="1" count="1">
            <x v="12"/>
          </reference>
        </references>
      </pivotArea>
    </format>
    <format dxfId="42">
      <pivotArea dataOnly="0" labelOnly="1" outline="0" fieldPosition="0">
        <references count="1">
          <reference field="1" count="1">
            <x v="13"/>
          </reference>
        </references>
      </pivotArea>
    </format>
    <format dxfId="41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78" dataDxfId="128" headerRowBorderDxfId="129" headerRowCellStyle="Normal 2">
  <autoFilter ref="B10:AA15" xr:uid="{7EC467B7-DE9E-48DF-95B5-2995F1F6DE8F}"/>
  <tableColumns count="26">
    <tableColumn id="1" xr3:uid="{CDAE6949-9186-42E8-AEBE-1928381A0155}" name="Field" dataDxfId="127" dataCellStyle="Normal 2"/>
    <tableColumn id="2" xr3:uid="{24D139B7-BFC8-4DD9-8DE4-2245810E04F3}" name="Definition" dataDxfId="74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73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126"/>
    <tableColumn id="8" xr3:uid="{30CDB1E0-924C-48B4-82F4-9B3E3228BE95}" name="Distinct %" dataDxfId="125"/>
    <tableColumn id="12" xr3:uid="{03824906-BEA5-4B63-A981-21F959B6439E}" name="Missing %" dataDxfId="124" dataCellStyle="Percent 2"/>
    <tableColumn id="6" xr3:uid="{8DFFE5A0-8676-4576-AB4D-97E8B31EC097}" name="Memory Usage %" dataDxfId="123" dataCellStyle="Percent 2"/>
    <tableColumn id="5" xr3:uid="{DD50C3DA-F4A8-40F0-AFBD-DBF916650F7E}" name="Memory Usage" dataDxfId="122"/>
    <tableColumn id="7" xr3:uid="{A0CD56D0-07EF-46CA-BC46-D54CD5E746C7}" name="Distinct" dataDxfId="121"/>
    <tableColumn id="9" xr3:uid="{1C848176-6AC1-44A6-9B3B-F1C9E8BC32EA}" name="Count" dataDxfId="120"/>
    <tableColumn id="10" xr3:uid="{6C6E6A37-4969-459F-AC39-2193366810E2}" name="Count %" dataDxfId="119"/>
    <tableColumn id="11" xr3:uid="{CD47252D-0307-4513-AF7C-13CC4AA1FCD9}" name="Missing" dataDxfId="118"/>
    <tableColumn id="13" xr3:uid="{2B45F7F8-CE35-48A6-BB27-9684B5D7936D}" name="Mean" dataDxfId="117"/>
    <tableColumn id="14" xr3:uid="{293386E4-1FA6-4340-9DC6-54CC26209C0A}" name="Median" dataDxfId="116"/>
    <tableColumn id="15" xr3:uid="{29252F5E-4163-4D62-89FC-FF85F6C4755C}" name="Mode" dataDxfId="115"/>
    <tableColumn id="16" xr3:uid="{69FFA3C1-FD1E-4395-AF2E-177FDFCDE62A}" name="Standard Deviation" dataDxfId="114"/>
    <tableColumn id="17" xr3:uid="{2AAB37E9-8AE2-4771-B92B-C04BFABA0B4E}" name="Variance" dataDxfId="113"/>
    <tableColumn id="18" xr3:uid="{07151E41-6633-4A65-A7E1-091F027DEF95}" name="Min" dataDxfId="112"/>
    <tableColumn id="19" xr3:uid="{41A1FD5D-4E5C-45B3-A0C7-1820F89F417F}" name="5%" dataDxfId="111"/>
    <tableColumn id="20" xr3:uid="{50D70984-5A2E-4A19-9F2B-5DA0502339BC}" name="25%" dataDxfId="110"/>
    <tableColumn id="21" xr3:uid="{75FF5489-8FC0-4894-83BC-802076BF1066}" name="50%" dataDxfId="109"/>
    <tableColumn id="22" xr3:uid="{B7FA20A8-EE17-470E-93AD-54011230C113}" name="75%" dataDxfId="108"/>
    <tableColumn id="23" xr3:uid="{378BE758-7A3F-4C04-A75B-FE899B1B0BAD}" name="95%" dataDxfId="107"/>
    <tableColumn id="24" xr3:uid="{818594E7-DC84-4229-81F6-97C1E2E93633}" name="Max" dataDxfId="106"/>
    <tableColumn id="25" xr3:uid="{D8116583-A886-47C1-85E2-D28AD96194AD}" name="Range" dataDxfId="105"/>
    <tableColumn id="26" xr3:uid="{D061AC6A-EAB2-461F-8AB8-E743DC68E666}" name="IQR" dataDxfId="104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J1142" totalsRowShown="0" headerRowDxfId="94" dataDxfId="93">
  <autoFilter ref="C78:J1142" xr:uid="{DB263373-2B4F-4302-9CF6-5012CE3F1A47}"/>
  <tableColumns count="8">
    <tableColumn id="1" xr3:uid="{B87F6371-B38F-4AA9-8A9B-F1D62600E38F}" name="Record List" dataDxfId="68" dataCellStyle="Normal 2"/>
    <tableColumn id="2" xr3:uid="{55547D6A-0C4F-44F3-8DA7-D9918F9ECA79}" name="subject" dataDxfId="92"/>
    <tableColumn id="8" xr3:uid="{5CEA6B82-08F7-4BBF-BE74-DD211F1E2384}" name="timepoint" dataDxfId="91"/>
    <tableColumn id="3" xr3:uid="{6C0B3232-D5C0-4185-AF99-A47484E561D2}" name="event" dataDxfId="90"/>
    <tableColumn id="4" xr3:uid="{3C7B7FDE-2818-41F9-95F7-9B7E5D2CA718}" name="region" dataDxfId="72"/>
    <tableColumn id="5" xr3:uid="{F5C8643A-C88D-4FDA-8236-5A2ACADF5AFD}" name="signal" dataDxfId="71"/>
    <tableColumn id="6" xr3:uid="{E0F917B4-1930-40EA-B32E-6F44E742439A}" name="HasBlank" dataDxfId="70"/>
    <tableColumn id="7" xr3:uid="{D5C97B5D-4B13-4ADB-9293-C328265CE3C2}" name="Record Hash" dataDxfId="69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3" t="str">
        <f>Name</f>
        <v>fmri</v>
      </c>
      <c r="C2"/>
      <c r="AA2" s="97"/>
    </row>
    <row r="3" spans="2:27" ht="10.050000000000001" customHeight="1">
      <c r="B3"/>
      <c r="C3"/>
      <c r="AA3" s="98"/>
    </row>
    <row r="4" spans="2:27">
      <c r="B4" s="82" t="s">
        <v>25</v>
      </c>
      <c r="C4" s="46">
        <v>1064</v>
      </c>
      <c r="AA4" s="99"/>
    </row>
    <row r="5" spans="2:27">
      <c r="B5" s="82" t="s">
        <v>26</v>
      </c>
      <c r="C5" s="47">
        <v>5</v>
      </c>
    </row>
    <row r="6" spans="2:27">
      <c r="B6" s="84" t="s">
        <v>4</v>
      </c>
      <c r="C6" s="47" t="s">
        <v>62</v>
      </c>
      <c r="F6" s="44"/>
    </row>
    <row r="7" spans="2:27">
      <c r="B7" s="80" t="s">
        <v>7</v>
      </c>
      <c r="C7" s="43">
        <v>1</v>
      </c>
    </row>
    <row r="8" spans="2:27">
      <c r="B8" s="84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27</v>
      </c>
      <c r="C10" s="114" t="s">
        <v>28</v>
      </c>
      <c r="D10" s="114" t="s">
        <v>29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31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32</v>
      </c>
      <c r="U10" s="116" t="s">
        <v>33</v>
      </c>
      <c r="V10" s="116" t="s">
        <v>34</v>
      </c>
      <c r="W10" s="116" t="s">
        <v>35</v>
      </c>
      <c r="X10" s="116" t="s">
        <v>36</v>
      </c>
      <c r="Y10" s="115" t="s">
        <v>17</v>
      </c>
      <c r="Z10" s="115" t="s">
        <v>18</v>
      </c>
      <c r="AA10" s="115" t="s">
        <v>19</v>
      </c>
    </row>
    <row r="11" spans="2:27">
      <c r="B11" s="57" t="s">
        <v>56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89" t="s">
        <v>63</v>
      </c>
      <c r="F11" s="49">
        <v>1.3157894736842099E-2</v>
      </c>
      <c r="G11" s="50">
        <v>0</v>
      </c>
      <c r="H11" s="49">
        <v>0.16883869099333901</v>
      </c>
      <c r="I11" s="51">
        <v>11077</v>
      </c>
      <c r="J11" s="51">
        <v>14</v>
      </c>
      <c r="K11" s="51">
        <v>1064</v>
      </c>
      <c r="L11" s="52">
        <v>1</v>
      </c>
      <c r="M11" s="51">
        <v>0</v>
      </c>
      <c r="N11" s="53"/>
      <c r="O11" s="53"/>
      <c r="P11" s="53" t="s">
        <v>64</v>
      </c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</row>
    <row r="12" spans="2:27">
      <c r="B12" s="123" t="s">
        <v>57</v>
      </c>
      <c r="C12" s="124" t="str">
        <f>IF(INDEX(Definitions,1,MATCH(tbl_Overview[[#This Row],[Field]],Headers,0))="Definition","",INDEX(Definitions,1,MATCH(tbl_Overview[[#This Row],[Field]],Headers,0)))</f>
        <v/>
      </c>
      <c r="D12" s="125" t="str">
        <f>IF(INDEX(Notes,1,MATCH(tbl_Overview[[#This Row],[Field]],Headers,0))="Notes","",INDEX(Notes,1,MATCH(tbl_Overview[[#This Row],[Field]],Headers,0)))</f>
        <v/>
      </c>
      <c r="E12" s="89" t="s">
        <v>65</v>
      </c>
      <c r="F12" s="52">
        <v>1.7857142857142801E-2</v>
      </c>
      <c r="G12" s="126">
        <v>0</v>
      </c>
      <c r="H12" s="127">
        <v>0.12974225311323401</v>
      </c>
      <c r="I12" s="51">
        <v>8512</v>
      </c>
      <c r="J12" s="51">
        <v>19</v>
      </c>
      <c r="K12" s="51">
        <v>1064</v>
      </c>
      <c r="L12" s="52">
        <v>1</v>
      </c>
      <c r="M12" s="51">
        <v>0</v>
      </c>
      <c r="N12" s="53">
        <v>9</v>
      </c>
      <c r="O12" s="53">
        <v>9</v>
      </c>
      <c r="P12" s="53">
        <v>0</v>
      </c>
      <c r="Q12" s="53">
        <v>5.4798012749706704</v>
      </c>
      <c r="R12" s="53">
        <v>30.0282220131702</v>
      </c>
      <c r="S12" s="53">
        <v>0</v>
      </c>
      <c r="T12" s="53">
        <v>0</v>
      </c>
      <c r="U12" s="53">
        <v>4</v>
      </c>
      <c r="V12" s="53">
        <v>9</v>
      </c>
      <c r="W12" s="53">
        <v>14</v>
      </c>
      <c r="X12" s="53">
        <v>18</v>
      </c>
      <c r="Y12" s="53">
        <v>18</v>
      </c>
      <c r="Z12" s="53">
        <v>18</v>
      </c>
      <c r="AA12" s="53">
        <v>10</v>
      </c>
    </row>
    <row r="13" spans="2:27">
      <c r="B13" s="123" t="s">
        <v>58</v>
      </c>
      <c r="C13" s="124" t="str">
        <f>IF(INDEX(Definitions,1,MATCH(tbl_Overview[[#This Row],[Field]],Headers,0))="Definition","",INDEX(Definitions,1,MATCH(tbl_Overview[[#This Row],[Field]],Headers,0)))</f>
        <v/>
      </c>
      <c r="D13" s="125" t="str">
        <f>IF(INDEX(Notes,1,MATCH(tbl_Overview[[#This Row],[Field]],Headers,0))="Notes","",INDEX(Notes,1,MATCH(tbl_Overview[[#This Row],[Field]],Headers,0)))</f>
        <v/>
      </c>
      <c r="E13" s="89" t="s">
        <v>63</v>
      </c>
      <c r="F13" s="52">
        <v>1.8796992481203E-3</v>
      </c>
      <c r="G13" s="126">
        <v>0</v>
      </c>
      <c r="H13" s="127">
        <v>0.18853171155516901</v>
      </c>
      <c r="I13" s="51">
        <v>12369</v>
      </c>
      <c r="J13" s="51">
        <v>2</v>
      </c>
      <c r="K13" s="51">
        <v>1064</v>
      </c>
      <c r="L13" s="52">
        <v>1</v>
      </c>
      <c r="M13" s="51">
        <v>0</v>
      </c>
      <c r="N13" s="53"/>
      <c r="O13" s="53"/>
      <c r="P13" s="53" t="s">
        <v>66</v>
      </c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</row>
    <row r="14" spans="2:27">
      <c r="B14" s="123" t="s">
        <v>59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89" t="s">
        <v>63</v>
      </c>
      <c r="F14" s="52">
        <v>1.8796992481203E-3</v>
      </c>
      <c r="G14" s="126">
        <v>0</v>
      </c>
      <c r="H14" s="127">
        <v>0.25340283811178599</v>
      </c>
      <c r="I14" s="51">
        <v>16625</v>
      </c>
      <c r="J14" s="51">
        <v>2</v>
      </c>
      <c r="K14" s="51">
        <v>1064</v>
      </c>
      <c r="L14" s="52">
        <v>1</v>
      </c>
      <c r="M14" s="51">
        <v>0</v>
      </c>
      <c r="N14" s="53"/>
      <c r="O14" s="53"/>
      <c r="P14" s="53" t="s">
        <v>67</v>
      </c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</row>
    <row r="15" spans="2:27">
      <c r="B15" s="128" t="s">
        <v>60</v>
      </c>
      <c r="C15" s="129" t="str">
        <f>IF(INDEX(Definitions,1,MATCH(tbl_Overview[[#This Row],[Field]],Headers,0))="Definition","",INDEX(Definitions,1,MATCH(tbl_Overview[[#This Row],[Field]],Headers,0)))</f>
        <v/>
      </c>
      <c r="D15" s="130" t="str">
        <f>IF(INDEX(Notes,1,MATCH(tbl_Overview[[#This Row],[Field]],Headers,0))="Notes","",INDEX(Notes,1,MATCH(tbl_Overview[[#This Row],[Field]],Headers,0)))</f>
        <v/>
      </c>
      <c r="E15" s="131" t="s">
        <v>68</v>
      </c>
      <c r="F15" s="132">
        <v>1</v>
      </c>
      <c r="G15" s="133">
        <v>0</v>
      </c>
      <c r="H15" s="134">
        <v>0.12974225311323401</v>
      </c>
      <c r="I15" s="135">
        <v>8512</v>
      </c>
      <c r="J15" s="135">
        <v>1064</v>
      </c>
      <c r="K15" s="135">
        <v>1064</v>
      </c>
      <c r="L15" s="132">
        <v>1</v>
      </c>
      <c r="M15" s="135">
        <v>0</v>
      </c>
      <c r="N15" s="136">
        <v>3.5397685640969601E-3</v>
      </c>
      <c r="O15" s="136">
        <v>-1.36532432489E-2</v>
      </c>
      <c r="P15" s="136">
        <v>-0.25548585957999997</v>
      </c>
      <c r="Q15" s="136">
        <v>9.3929713365412601E-2</v>
      </c>
      <c r="R15" s="136">
        <v>8.8227910529085803E-3</v>
      </c>
      <c r="S15" s="136">
        <v>-0.25548585957999997</v>
      </c>
      <c r="T15" s="136">
        <v>-0.10927426176299999</v>
      </c>
      <c r="U15" s="136">
        <v>-4.6070040193949897E-2</v>
      </c>
      <c r="V15" s="136">
        <v>-1.36532432489E-2</v>
      </c>
      <c r="W15" s="136">
        <v>2.4292638197525002E-2</v>
      </c>
      <c r="X15" s="136">
        <v>0.207636861759499</v>
      </c>
      <c r="Y15" s="136">
        <v>0.56498472144800005</v>
      </c>
      <c r="Z15" s="136">
        <v>0.82047058102799997</v>
      </c>
      <c r="AA15" s="136">
        <v>7.0362678391474906E-2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14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3" customWidth="1"/>
    <col min="3" max="3" width="25.77734375" style="6" customWidth="1"/>
    <col min="4" max="8" width="27.77734375" style="1" customWidth="1"/>
    <col min="9" max="10" width="15.77734375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38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</row>
    <row r="2" spans="1:14" ht="10.050000000000001" customHeight="1">
      <c r="A2" s="59"/>
      <c r="B2" s="101"/>
      <c r="C2" s="59"/>
      <c r="D2"/>
      <c r="E2"/>
    </row>
    <row r="3" spans="1:14" ht="36.6" customHeight="1">
      <c r="A3" s="61"/>
      <c r="B3" s="100" t="s">
        <v>0</v>
      </c>
      <c r="C3" s="73" t="s">
        <v>55</v>
      </c>
      <c r="D3"/>
      <c r="E3"/>
      <c r="F3" s="92"/>
      <c r="G3" s="92"/>
      <c r="H3" s="92"/>
    </row>
    <row r="4" spans="1:14" ht="4.95" customHeight="1">
      <c r="A4" s="59"/>
      <c r="B4" s="101"/>
      <c r="C4" s="59"/>
      <c r="D4"/>
      <c r="E4"/>
      <c r="F4" s="91"/>
      <c r="G4" s="91"/>
      <c r="H4" s="91"/>
    </row>
    <row r="5" spans="1:14" ht="19.95" customHeight="1">
      <c r="A5" s="61"/>
      <c r="B5" s="72" t="s">
        <v>0</v>
      </c>
      <c r="C5" s="74" t="s">
        <v>29</v>
      </c>
      <c r="D5"/>
      <c r="E5"/>
      <c r="F5" s="93"/>
      <c r="G5" s="93"/>
      <c r="H5" s="93"/>
    </row>
    <row r="6" spans="1:14" ht="4.95" customHeight="1">
      <c r="A6" s="30"/>
      <c r="B6" s="67"/>
      <c r="C6" s="68"/>
      <c r="D6" s="61"/>
      <c r="E6" s="61"/>
      <c r="F6" s="61"/>
      <c r="G6" s="61"/>
      <c r="H6" s="61"/>
    </row>
    <row r="7" spans="1:14" ht="37.799999999999997" hidden="1" customHeight="1" outlineLevel="1">
      <c r="A7" s="30"/>
      <c r="B7" s="67"/>
      <c r="C7" s="69" t="s">
        <v>37</v>
      </c>
      <c r="D7" s="66" t="s">
        <v>28</v>
      </c>
      <c r="E7" s="66" t="s">
        <v>28</v>
      </c>
      <c r="F7" s="66" t="s">
        <v>28</v>
      </c>
      <c r="G7" s="66" t="s">
        <v>28</v>
      </c>
      <c r="H7" s="66" t="s">
        <v>28</v>
      </c>
    </row>
    <row r="8" spans="1:14" ht="10.050000000000001" hidden="1" customHeight="1" outlineLevel="1">
      <c r="A8" s="58"/>
      <c r="B8" s="70"/>
      <c r="C8" s="58"/>
      <c r="D8" s="59"/>
      <c r="E8" s="59"/>
      <c r="F8" s="59"/>
      <c r="G8" s="59"/>
      <c r="H8" s="59"/>
    </row>
    <row r="9" spans="1:14" ht="37.799999999999997" hidden="1" customHeight="1" outlineLevel="1">
      <c r="A9" s="30"/>
      <c r="B9" s="102"/>
      <c r="C9" s="69" t="s">
        <v>1</v>
      </c>
      <c r="D9" s="66" t="s">
        <v>1</v>
      </c>
      <c r="E9" s="66" t="s">
        <v>1</v>
      </c>
      <c r="F9" s="66" t="s">
        <v>1</v>
      </c>
      <c r="G9" s="66" t="s">
        <v>1</v>
      </c>
      <c r="H9" s="66" t="s">
        <v>1</v>
      </c>
    </row>
    <row r="10" spans="1:14" ht="4.95" hidden="1" customHeight="1" outlineLevel="1">
      <c r="B10" s="28"/>
      <c r="C10" s="3"/>
      <c r="D10" s="54"/>
      <c r="E10" s="54"/>
      <c r="F10" s="54"/>
      <c r="G10" s="54"/>
      <c r="H10" s="54"/>
    </row>
    <row r="11" spans="1:14" s="88" customFormat="1" ht="30" customHeight="1" collapsed="1">
      <c r="A11" s="5"/>
      <c r="B11" s="117"/>
      <c r="C11" s="118" t="s">
        <v>2</v>
      </c>
      <c r="D11" s="119" t="s">
        <v>56</v>
      </c>
      <c r="E11" s="119" t="s">
        <v>57</v>
      </c>
      <c r="F11" s="119" t="s">
        <v>58</v>
      </c>
      <c r="G11" s="119" t="s">
        <v>59</v>
      </c>
      <c r="H11" s="119" t="s">
        <v>60</v>
      </c>
      <c r="I11" s="88" t="s">
        <v>54</v>
      </c>
      <c r="J11" s="88" t="s">
        <v>61</v>
      </c>
    </row>
    <row r="12" spans="1:14" ht="4.95" customHeight="1">
      <c r="A12"/>
      <c r="C12"/>
      <c r="D12"/>
      <c r="E12"/>
      <c r="F12"/>
      <c r="G12"/>
      <c r="H12"/>
    </row>
    <row r="13" spans="1:14" ht="19.95" customHeight="1" outlineLevel="1">
      <c r="A13" s="61"/>
      <c r="B13" s="72" t="s">
        <v>0</v>
      </c>
      <c r="C13" s="74" t="s">
        <v>51</v>
      </c>
      <c r="D13" s="60"/>
      <c r="E13" s="60"/>
      <c r="F13" s="60"/>
      <c r="G13" s="60"/>
      <c r="H13" s="60"/>
    </row>
    <row r="14" spans="1:14" ht="4.95" customHeight="1" outlineLevel="1">
      <c r="A14" s="61"/>
      <c r="B14" s="63"/>
      <c r="C14" s="64"/>
      <c r="D14" s="61"/>
      <c r="E14" s="60"/>
      <c r="F14" s="60"/>
      <c r="G14" s="60"/>
      <c r="H14" s="60"/>
    </row>
    <row r="15" spans="1:14" ht="84.6" hidden="1" customHeight="1" outlineLevel="2">
      <c r="A15" s="61"/>
      <c r="B15" s="63"/>
      <c r="C15" s="71"/>
      <c r="D15" s="111" t="s">
        <v>24</v>
      </c>
      <c r="E15" s="112"/>
      <c r="F15" s="60"/>
      <c r="G15" s="60"/>
      <c r="H15" s="60"/>
    </row>
    <row r="16" spans="1:14" ht="10.050000000000001" hidden="1" customHeight="1" outlineLevel="2">
      <c r="A16" s="61"/>
      <c r="B16" s="63"/>
      <c r="C16" s="65"/>
      <c r="D16" s="62"/>
      <c r="E16" s="61"/>
      <c r="F16" s="61"/>
      <c r="G16" s="61"/>
      <c r="H16" s="61"/>
    </row>
    <row r="17" spans="1:9" hidden="1" outlineLevel="2">
      <c r="A17" s="61"/>
      <c r="B17" s="63"/>
      <c r="C17" s="85" t="s">
        <v>25</v>
      </c>
      <c r="D17" s="87">
        <v>1064</v>
      </c>
      <c r="E17" s="44"/>
      <c r="F17" s="44"/>
      <c r="G17" s="44"/>
      <c r="H17" s="44"/>
    </row>
    <row r="18" spans="1:9" hidden="1" outlineLevel="2">
      <c r="A18" s="61"/>
      <c r="B18" s="63"/>
      <c r="C18" s="85" t="s">
        <v>45</v>
      </c>
      <c r="D18" s="87">
        <v>5</v>
      </c>
      <c r="E18" s="44"/>
      <c r="F18" s="44"/>
      <c r="G18" s="44"/>
      <c r="H18" s="44"/>
    </row>
    <row r="19" spans="1:9" ht="4.95" hidden="1" customHeight="1" outlineLevel="2">
      <c r="A19" s="61"/>
      <c r="B19" s="63"/>
      <c r="C19" s="65"/>
      <c r="D19" s="62"/>
      <c r="E19"/>
      <c r="F19"/>
      <c r="G19"/>
      <c r="H19"/>
    </row>
    <row r="20" spans="1:9" ht="19.95" customHeight="1" outlineLevel="1" collapsed="1">
      <c r="B20" s="72" t="s">
        <v>0</v>
      </c>
      <c r="C20" s="74" t="s">
        <v>50</v>
      </c>
      <c r="D20" s="86"/>
      <c r="E20"/>
      <c r="F20"/>
      <c r="G20"/>
      <c r="H20"/>
      <c r="I20" s="143"/>
    </row>
    <row r="21" spans="1:9" ht="4.95" customHeight="1" outlineLevel="1">
      <c r="B21" s="9"/>
      <c r="C21" s="33"/>
      <c r="D21" s="33"/>
      <c r="E21" s="33"/>
      <c r="F21" s="33"/>
      <c r="G21" s="33"/>
      <c r="H21" s="33"/>
    </row>
    <row r="22" spans="1:9" ht="14.4" hidden="1" customHeight="1" outlineLevel="2">
      <c r="A22" s="34"/>
      <c r="B22" s="35"/>
      <c r="C22" s="82" t="s">
        <v>3</v>
      </c>
      <c r="D22" s="11" t="s">
        <v>63</v>
      </c>
      <c r="E22" s="11" t="s">
        <v>65</v>
      </c>
      <c r="F22" s="11" t="s">
        <v>63</v>
      </c>
      <c r="G22" s="11" t="s">
        <v>63</v>
      </c>
      <c r="H22" s="11" t="s">
        <v>68</v>
      </c>
    </row>
    <row r="23" spans="1:9" ht="14.4" hidden="1" customHeight="1" outlineLevel="2">
      <c r="A23" s="34"/>
      <c r="B23" s="36"/>
      <c r="C23" s="80" t="s">
        <v>7</v>
      </c>
      <c r="D23" s="37">
        <v>1.3157894736842099E-2</v>
      </c>
      <c r="E23" s="37">
        <v>1.7857142857142801E-2</v>
      </c>
      <c r="F23" s="37">
        <v>1.8796992481203E-3</v>
      </c>
      <c r="G23" s="37">
        <v>1.8796992481203E-3</v>
      </c>
      <c r="H23" s="37">
        <v>1</v>
      </c>
    </row>
    <row r="24" spans="1:9" ht="14.4" hidden="1" customHeight="1" outlineLevel="2">
      <c r="A24" s="34"/>
      <c r="B24" s="36"/>
      <c r="C24" s="80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</row>
    <row r="25" spans="1:9" ht="14.4" hidden="1" customHeight="1" outlineLevel="2">
      <c r="B25" s="12"/>
      <c r="C25" s="84" t="s">
        <v>5</v>
      </c>
      <c r="D25" s="37">
        <v>0.16883869099333901</v>
      </c>
      <c r="E25" s="37">
        <v>0.12974225311323401</v>
      </c>
      <c r="F25" s="37">
        <v>0.18853171155516901</v>
      </c>
      <c r="G25" s="37">
        <v>0.25340283811178599</v>
      </c>
      <c r="H25" s="37">
        <v>0.12974225311323401</v>
      </c>
    </row>
    <row r="26" spans="1:9" ht="14.4" hidden="1" customHeight="1" outlineLevel="2">
      <c r="B26" s="12"/>
      <c r="C26" s="80" t="s">
        <v>4</v>
      </c>
      <c r="D26" s="11">
        <v>11077</v>
      </c>
      <c r="E26" s="11">
        <v>8512</v>
      </c>
      <c r="F26" s="11">
        <v>12369</v>
      </c>
      <c r="G26" s="11">
        <v>16625</v>
      </c>
      <c r="H26" s="11">
        <v>8512</v>
      </c>
    </row>
    <row r="27" spans="1:9" ht="14.4" hidden="1" customHeight="1" outlineLevel="2">
      <c r="B27" s="12"/>
      <c r="C27" s="80" t="s">
        <v>6</v>
      </c>
      <c r="D27" s="11">
        <v>14</v>
      </c>
      <c r="E27" s="11">
        <v>19</v>
      </c>
      <c r="F27" s="11">
        <v>2</v>
      </c>
      <c r="G27" s="11">
        <v>2</v>
      </c>
      <c r="H27" s="11">
        <v>1064</v>
      </c>
    </row>
    <row r="28" spans="1:9" ht="14.4" hidden="1" customHeight="1" outlineLevel="2">
      <c r="B28" s="12"/>
      <c r="C28" s="80" t="s">
        <v>8</v>
      </c>
      <c r="D28" s="11">
        <v>1064</v>
      </c>
      <c r="E28" s="11">
        <v>1064</v>
      </c>
      <c r="F28" s="11">
        <v>1064</v>
      </c>
      <c r="G28" s="11">
        <v>1064</v>
      </c>
      <c r="H28" s="11">
        <v>1064</v>
      </c>
    </row>
    <row r="29" spans="1:9" ht="14.4" hidden="1" customHeight="1" outlineLevel="2">
      <c r="B29" s="12"/>
      <c r="C29" s="84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</row>
    <row r="31" spans="1:9" ht="150" hidden="1" customHeight="1" outlineLevel="2">
      <c r="B31" s="19"/>
      <c r="C31" s="15"/>
      <c r="D31" s="16"/>
      <c r="E31" s="16"/>
      <c r="F31" s="16"/>
      <c r="G31" s="16"/>
      <c r="H31" s="16"/>
    </row>
    <row r="32" spans="1:9" ht="4.95" hidden="1" customHeight="1" outlineLevel="2">
      <c r="B32" s="9"/>
      <c r="D32" s="6"/>
      <c r="E32" s="6"/>
      <c r="F32" s="6"/>
      <c r="G32" s="6"/>
      <c r="H32" s="6"/>
    </row>
    <row r="33" spans="1:8" ht="19.95" customHeight="1" outlineLevel="1" collapsed="1">
      <c r="B33" s="72" t="s">
        <v>0</v>
      </c>
      <c r="C33" s="74" t="s">
        <v>49</v>
      </c>
      <c r="D33" s="6"/>
      <c r="E33" s="6"/>
      <c r="F33" s="6"/>
      <c r="G33" s="6"/>
      <c r="H33" s="6"/>
    </row>
    <row r="34" spans="1:8" ht="4.95" customHeight="1" outlineLevel="1">
      <c r="A34" s="18"/>
      <c r="B34" s="19"/>
      <c r="C34" s="20"/>
      <c r="D34" s="6"/>
      <c r="E34" s="6"/>
      <c r="F34" s="6"/>
      <c r="G34" s="6"/>
      <c r="H34" s="6"/>
    </row>
    <row r="35" spans="1:8" ht="14.4" hidden="1" customHeight="1" outlineLevel="2">
      <c r="B35" s="10"/>
      <c r="C35" s="82" t="s">
        <v>11</v>
      </c>
      <c r="D35" s="21"/>
      <c r="E35" s="21">
        <v>9</v>
      </c>
      <c r="F35" s="21"/>
      <c r="G35" s="21"/>
      <c r="H35" s="21">
        <v>3.5397685640969601E-3</v>
      </c>
    </row>
    <row r="36" spans="1:8" ht="14.4" hidden="1" customHeight="1" outlineLevel="2">
      <c r="B36" s="12"/>
      <c r="C36" s="83" t="s">
        <v>12</v>
      </c>
      <c r="D36" s="22"/>
      <c r="E36" s="22">
        <v>9</v>
      </c>
      <c r="F36" s="22"/>
      <c r="G36" s="22"/>
      <c r="H36" s="22">
        <v>-1.36532432489E-2</v>
      </c>
    </row>
    <row r="37" spans="1:8" ht="14.4" hidden="1" customHeight="1" outlineLevel="2">
      <c r="B37" s="12"/>
      <c r="C37" s="80" t="s">
        <v>13</v>
      </c>
      <c r="D37" s="13" t="s">
        <v>64</v>
      </c>
      <c r="E37" s="13">
        <v>0</v>
      </c>
      <c r="F37" s="13" t="s">
        <v>66</v>
      </c>
      <c r="G37" s="13" t="s">
        <v>67</v>
      </c>
      <c r="H37" s="13">
        <v>-0.25548585957999997</v>
      </c>
    </row>
    <row r="38" spans="1:8" ht="14.4" hidden="1" customHeight="1" outlineLevel="2">
      <c r="B38" s="12"/>
      <c r="C38" s="83" t="s">
        <v>14</v>
      </c>
      <c r="D38" s="23"/>
      <c r="E38" s="23">
        <v>5.4798012749706704</v>
      </c>
      <c r="F38" s="23"/>
      <c r="G38" s="23"/>
      <c r="H38" s="23">
        <v>9.3929713365412601E-2</v>
      </c>
    </row>
    <row r="39" spans="1:8" ht="14.4" hidden="1" customHeight="1" outlineLevel="2">
      <c r="B39" s="12"/>
      <c r="C39" s="84" t="s">
        <v>15</v>
      </c>
      <c r="D39" s="21"/>
      <c r="E39" s="21">
        <v>30.0282220131702</v>
      </c>
      <c r="F39" s="21"/>
      <c r="G39" s="21"/>
      <c r="H39" s="21">
        <v>8.8227910529085803E-3</v>
      </c>
    </row>
    <row r="40" spans="1:8" ht="4.95" hidden="1" customHeight="1" outlineLevel="2">
      <c r="B40" s="9"/>
      <c r="D40" s="6"/>
      <c r="E40" s="6"/>
      <c r="F40" s="6"/>
      <c r="G40" s="6"/>
      <c r="H40" s="6"/>
    </row>
    <row r="41" spans="1:8" ht="150" hidden="1" customHeight="1" outlineLevel="2">
      <c r="A41" s="18"/>
      <c r="B41" s="19"/>
      <c r="C41" s="15"/>
      <c r="D41" s="16"/>
      <c r="E41" s="16"/>
      <c r="F41" s="16"/>
      <c r="G41" s="16"/>
      <c r="H41" s="16"/>
    </row>
    <row r="42" spans="1:8" ht="4.95" hidden="1" customHeight="1" outlineLevel="2">
      <c r="A42" s="18"/>
      <c r="B42" s="19"/>
      <c r="C42" s="24"/>
      <c r="D42" s="6"/>
      <c r="E42" s="6"/>
      <c r="F42" s="6"/>
      <c r="G42" s="6"/>
      <c r="H42" s="6"/>
    </row>
    <row r="43" spans="1:8" ht="19.95" customHeight="1" outlineLevel="1" collapsed="1">
      <c r="B43" s="72" t="s">
        <v>0</v>
      </c>
      <c r="C43" s="74" t="s">
        <v>48</v>
      </c>
      <c r="D43" s="6"/>
      <c r="E43" s="6"/>
      <c r="F43" s="6"/>
      <c r="G43" s="6"/>
      <c r="H43" s="6"/>
    </row>
    <row r="44" spans="1:8" ht="4.95" customHeight="1" outlineLevel="1">
      <c r="A44" s="18"/>
      <c r="B44" s="19"/>
      <c r="C44" s="20"/>
      <c r="D44" s="6"/>
      <c r="E44" s="6"/>
      <c r="F44" s="6"/>
      <c r="G44" s="6"/>
      <c r="H44" s="6"/>
    </row>
    <row r="45" spans="1:8" ht="14.4" hidden="1" customHeight="1" outlineLevel="2">
      <c r="B45" s="10"/>
      <c r="C45" s="77" t="s">
        <v>16</v>
      </c>
      <c r="D45" s="23"/>
      <c r="E45" s="23">
        <v>0</v>
      </c>
      <c r="F45" s="23"/>
      <c r="G45" s="23"/>
      <c r="H45" s="23">
        <v>-0.25548585957999997</v>
      </c>
    </row>
    <row r="46" spans="1:8" ht="14.4" hidden="1" customHeight="1" outlineLevel="2">
      <c r="B46" s="9"/>
      <c r="C46" s="78">
        <v>0.05</v>
      </c>
      <c r="D46" s="21"/>
      <c r="E46" s="21">
        <v>0</v>
      </c>
      <c r="F46" s="21"/>
      <c r="G46" s="21"/>
      <c r="H46" s="21">
        <v>-0.10927426176299999</v>
      </c>
    </row>
    <row r="47" spans="1:8" ht="14.4" hidden="1" customHeight="1" outlineLevel="2">
      <c r="B47" s="9"/>
      <c r="C47" s="79">
        <v>0.25</v>
      </c>
      <c r="D47" s="23"/>
      <c r="E47" s="23">
        <v>4</v>
      </c>
      <c r="F47" s="23"/>
      <c r="G47" s="23"/>
      <c r="H47" s="23">
        <v>-4.6070040193949897E-2</v>
      </c>
    </row>
    <row r="48" spans="1:8" ht="14.4" hidden="1" customHeight="1" outlineLevel="2">
      <c r="B48" s="9"/>
      <c r="C48" s="78">
        <v>0.5</v>
      </c>
      <c r="D48" s="21"/>
      <c r="E48" s="21">
        <v>9</v>
      </c>
      <c r="F48" s="21"/>
      <c r="G48" s="21"/>
      <c r="H48" s="21">
        <v>-1.36532432489E-2</v>
      </c>
    </row>
    <row r="49" spans="1:8" ht="14.4" hidden="1" customHeight="1" outlineLevel="2">
      <c r="B49" s="9"/>
      <c r="C49" s="79">
        <v>0.75</v>
      </c>
      <c r="D49" s="23"/>
      <c r="E49" s="23">
        <v>14</v>
      </c>
      <c r="F49" s="23"/>
      <c r="G49" s="23"/>
      <c r="H49" s="23">
        <v>2.4292638197525002E-2</v>
      </c>
    </row>
    <row r="50" spans="1:8" ht="14.4" hidden="1" customHeight="1" outlineLevel="2">
      <c r="B50" s="9"/>
      <c r="C50" s="78">
        <v>0.95</v>
      </c>
      <c r="D50" s="21"/>
      <c r="E50" s="21">
        <v>18</v>
      </c>
      <c r="F50" s="21"/>
      <c r="G50" s="21"/>
      <c r="H50" s="21">
        <v>0.207636861759499</v>
      </c>
    </row>
    <row r="51" spans="1:8" ht="14.4" hidden="1" customHeight="1" outlineLevel="2">
      <c r="B51" s="9"/>
      <c r="C51" s="79" t="s">
        <v>17</v>
      </c>
      <c r="D51" s="23"/>
      <c r="E51" s="23">
        <v>18</v>
      </c>
      <c r="F51" s="23"/>
      <c r="G51" s="23"/>
      <c r="H51" s="23">
        <v>0.56498472144800005</v>
      </c>
    </row>
    <row r="52" spans="1:8" ht="14.4" hidden="1" customHeight="1" outlineLevel="2">
      <c r="B52" s="9"/>
      <c r="C52" s="80" t="s">
        <v>18</v>
      </c>
      <c r="D52" s="21"/>
      <c r="E52" s="21">
        <v>18</v>
      </c>
      <c r="F52" s="21"/>
      <c r="G52" s="21"/>
      <c r="H52" s="21">
        <v>0.82047058102799997</v>
      </c>
    </row>
    <row r="53" spans="1:8" ht="14.4" hidden="1" customHeight="1" outlineLevel="2">
      <c r="B53" s="9"/>
      <c r="C53" s="81" t="s">
        <v>19</v>
      </c>
      <c r="D53" s="23"/>
      <c r="E53" s="23">
        <v>10</v>
      </c>
      <c r="F53" s="23"/>
      <c r="G53" s="23"/>
      <c r="H53" s="23">
        <v>7.0362678391474906E-2</v>
      </c>
    </row>
    <row r="54" spans="1:8" ht="4.95" hidden="1" customHeight="1" outlineLevel="2">
      <c r="B54" s="9"/>
      <c r="D54" s="6"/>
      <c r="E54" s="6"/>
      <c r="F54" s="6"/>
      <c r="G54" s="6"/>
      <c r="H54" s="6"/>
    </row>
    <row r="55" spans="1:8" ht="19.95" customHeight="1" outlineLevel="1" collapsed="1">
      <c r="A55" s="28"/>
      <c r="B55" s="72" t="s">
        <v>0</v>
      </c>
      <c r="C55" s="74" t="s">
        <v>47</v>
      </c>
      <c r="D55" s="6"/>
      <c r="E55" s="6"/>
      <c r="F55" s="6"/>
      <c r="G55" s="6"/>
      <c r="H55" s="6"/>
    </row>
    <row r="56" spans="1:8" ht="4.95" customHeight="1" outlineLevel="1">
      <c r="A56" s="28"/>
      <c r="B56" s="19"/>
      <c r="D56" s="6"/>
      <c r="E56" s="6"/>
      <c r="F56" s="6"/>
      <c r="G56" s="6"/>
      <c r="H56" s="6"/>
    </row>
    <row r="57" spans="1:8" ht="14.4" hidden="1" customHeight="1" outlineLevel="2">
      <c r="A57" s="28"/>
      <c r="B57" s="28"/>
      <c r="C57" s="75" t="s">
        <v>39</v>
      </c>
      <c r="D57" s="56" t="b">
        <v>0</v>
      </c>
      <c r="E57" s="56" t="b">
        <v>0</v>
      </c>
      <c r="F57" s="56" t="b">
        <v>0</v>
      </c>
      <c r="G57" s="56" t="b">
        <v>0</v>
      </c>
      <c r="H57" s="56" t="b">
        <v>0</v>
      </c>
    </row>
    <row r="58" spans="1:8" ht="14.4" hidden="1" customHeight="1" outlineLevel="2">
      <c r="A58" s="28"/>
      <c r="B58" s="28"/>
      <c r="C58" s="75" t="s">
        <v>40</v>
      </c>
      <c r="D58" s="56" t="b">
        <v>0</v>
      </c>
      <c r="E58" s="56" t="b">
        <v>0</v>
      </c>
      <c r="F58" s="56" t="b">
        <v>0</v>
      </c>
      <c r="G58" s="56" t="b">
        <v>0</v>
      </c>
      <c r="H58" s="56" t="b">
        <v>0</v>
      </c>
    </row>
    <row r="59" spans="1:8" ht="14.4" hidden="1" customHeight="1" outlineLevel="2">
      <c r="A59" s="28"/>
      <c r="B59" s="28"/>
      <c r="C59" s="75" t="s">
        <v>41</v>
      </c>
      <c r="D59" s="56" t="b">
        <v>0</v>
      </c>
      <c r="E59" s="56" t="b">
        <v>0</v>
      </c>
      <c r="F59" s="56" t="b">
        <v>0</v>
      </c>
      <c r="G59" s="56" t="b">
        <v>0</v>
      </c>
      <c r="H59" s="56" t="b">
        <v>0</v>
      </c>
    </row>
    <row r="60" spans="1:8" ht="14.4" hidden="1" customHeight="1" outlineLevel="2">
      <c r="A60" s="28"/>
      <c r="B60" s="28"/>
      <c r="C60" s="75" t="s">
        <v>42</v>
      </c>
      <c r="D60" s="56" t="b">
        <v>0</v>
      </c>
      <c r="E60" s="56" t="b">
        <v>0</v>
      </c>
      <c r="F60" s="56" t="b">
        <v>0</v>
      </c>
      <c r="G60" s="56" t="b">
        <v>0</v>
      </c>
      <c r="H60" s="56" t="b">
        <v>0</v>
      </c>
    </row>
    <row r="61" spans="1:8" ht="14.4" hidden="1" customHeight="1" outlineLevel="2">
      <c r="A61" s="28"/>
      <c r="B61" s="28"/>
      <c r="C61" s="75" t="s">
        <v>43</v>
      </c>
      <c r="D61" s="56" t="b">
        <v>0</v>
      </c>
      <c r="E61" s="56" t="b">
        <v>0</v>
      </c>
      <c r="F61" s="56" t="b">
        <v>0</v>
      </c>
      <c r="G61" s="56" t="b">
        <v>0</v>
      </c>
      <c r="H61" s="56" t="b">
        <v>0</v>
      </c>
    </row>
    <row r="62" spans="1:8" ht="14.4" hidden="1" customHeight="1" outlineLevel="2">
      <c r="A62" s="28"/>
      <c r="B62" s="28"/>
      <c r="C62" s="75" t="s">
        <v>44</v>
      </c>
      <c r="D62" s="56" t="b">
        <v>0</v>
      </c>
      <c r="E62" s="56" t="b">
        <v>0</v>
      </c>
      <c r="F62" s="56" t="b">
        <v>0</v>
      </c>
      <c r="G62" s="56" t="b">
        <v>0</v>
      </c>
      <c r="H62" s="56" t="b">
        <v>0</v>
      </c>
    </row>
    <row r="63" spans="1:8" ht="14.4" hidden="1" customHeight="1" outlineLevel="2">
      <c r="A63" s="28"/>
      <c r="B63" s="28"/>
      <c r="C63" s="75" t="s">
        <v>21</v>
      </c>
      <c r="D63" s="56" t="b">
        <v>0</v>
      </c>
      <c r="E63" s="56" t="b">
        <v>0</v>
      </c>
      <c r="F63" s="56" t="b">
        <v>0</v>
      </c>
      <c r="G63" s="56" t="b">
        <v>0</v>
      </c>
      <c r="H63" s="56" t="b">
        <v>0</v>
      </c>
    </row>
    <row r="64" spans="1:8" ht="14.4" hidden="1" customHeight="1" outlineLevel="2">
      <c r="B64" s="28"/>
      <c r="C64" s="76" t="s">
        <v>22</v>
      </c>
      <c r="D64" s="56" t="b">
        <v>0</v>
      </c>
      <c r="E64" s="56" t="b">
        <v>0</v>
      </c>
      <c r="F64" s="56" t="b">
        <v>0</v>
      </c>
      <c r="G64" s="56" t="b">
        <v>0</v>
      </c>
      <c r="H64" s="56" t="b">
        <v>0</v>
      </c>
    </row>
    <row r="65" spans="1:10" ht="4.95" hidden="1" customHeight="1" outlineLevel="2">
      <c r="B65" s="19"/>
      <c r="D65" s="6"/>
      <c r="E65" s="6"/>
      <c r="F65" s="6"/>
      <c r="G65" s="6"/>
      <c r="H65" s="6"/>
    </row>
    <row r="66" spans="1:10" ht="19.95" customHeight="1" outlineLevel="1" collapsed="1">
      <c r="A66" s="28"/>
      <c r="B66" s="72" t="s">
        <v>0</v>
      </c>
      <c r="C66" s="74" t="s">
        <v>46</v>
      </c>
      <c r="D66" s="6"/>
      <c r="E66" s="6"/>
      <c r="F66" s="6"/>
      <c r="G66" s="6"/>
      <c r="H66" s="6"/>
    </row>
    <row r="67" spans="1:10" ht="4.95" customHeight="1">
      <c r="A67" s="28"/>
      <c r="B67" s="7"/>
      <c r="C67" s="8"/>
      <c r="D67" s="6"/>
      <c r="E67" s="6"/>
      <c r="F67" s="6"/>
      <c r="G67" s="6"/>
      <c r="H67" s="6"/>
    </row>
    <row r="68" spans="1:10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0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0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0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0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0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0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0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0" ht="14.4" hidden="1" customHeight="1" outlineLevel="2">
      <c r="B76" s="104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0" ht="4.95" hidden="1" customHeight="1" outlineLevel="2">
      <c r="B77" s="19"/>
      <c r="C77" s="25"/>
      <c r="D77" s="26"/>
      <c r="E77" s="26"/>
      <c r="F77" s="26"/>
      <c r="G77" s="26"/>
      <c r="H77" s="26"/>
    </row>
    <row r="78" spans="1:10" ht="30" customHeight="1" collapsed="1">
      <c r="C78" s="120" t="s">
        <v>20</v>
      </c>
      <c r="D78" s="27" t="s">
        <v>56</v>
      </c>
      <c r="E78" s="27" t="s">
        <v>57</v>
      </c>
      <c r="F78" s="27" t="s">
        <v>58</v>
      </c>
      <c r="G78" s="27" t="s">
        <v>59</v>
      </c>
      <c r="H78" s="27" t="s">
        <v>60</v>
      </c>
      <c r="I78" s="120" t="s">
        <v>54</v>
      </c>
      <c r="J78" s="120" t="s">
        <v>61</v>
      </c>
    </row>
    <row r="79" spans="1:10">
      <c r="C79" s="29" t="b">
        <v>0</v>
      </c>
      <c r="D79" s="30" t="s">
        <v>69</v>
      </c>
      <c r="E79" s="30">
        <v>18</v>
      </c>
      <c r="F79" s="30" t="s">
        <v>70</v>
      </c>
      <c r="G79" s="30" t="s">
        <v>71</v>
      </c>
      <c r="H79" s="30">
        <v>-1.7551581537999999E-2</v>
      </c>
      <c r="I79" s="58">
        <v>0</v>
      </c>
      <c r="J79" s="58">
        <v>4.50005763951744E+17</v>
      </c>
    </row>
    <row r="80" spans="1:10">
      <c r="C80" s="29" t="b">
        <v>0</v>
      </c>
      <c r="D80" s="30" t="s">
        <v>72</v>
      </c>
      <c r="E80" s="30">
        <v>14</v>
      </c>
      <c r="F80" s="30" t="s">
        <v>70</v>
      </c>
      <c r="G80" s="30" t="s">
        <v>71</v>
      </c>
      <c r="H80" s="30">
        <v>-8.0882931950500003E-2</v>
      </c>
      <c r="I80" s="58">
        <v>0</v>
      </c>
      <c r="J80" s="58">
        <v>1.3486396285696999E+19</v>
      </c>
    </row>
    <row r="81" spans="3:10">
      <c r="C81" s="29" t="b">
        <v>0</v>
      </c>
      <c r="D81" s="30" t="s">
        <v>73</v>
      </c>
      <c r="E81" s="137">
        <v>18</v>
      </c>
      <c r="F81" s="30" t="s">
        <v>70</v>
      </c>
      <c r="G81" s="30" t="s">
        <v>71</v>
      </c>
      <c r="H81" s="30">
        <v>-8.1033018733300002E-2</v>
      </c>
      <c r="I81" s="58">
        <v>0</v>
      </c>
      <c r="J81" s="58">
        <v>1.5305703994048999E+19</v>
      </c>
    </row>
    <row r="82" spans="3:10">
      <c r="C82" s="29" t="b">
        <v>0</v>
      </c>
      <c r="D82" s="30" t="s">
        <v>74</v>
      </c>
      <c r="E82" s="137">
        <v>18</v>
      </c>
      <c r="F82" s="30" t="s">
        <v>70</v>
      </c>
      <c r="G82" s="30" t="s">
        <v>71</v>
      </c>
      <c r="H82" s="30">
        <v>-4.6134390175199901E-2</v>
      </c>
      <c r="I82" s="58">
        <v>0</v>
      </c>
      <c r="J82" s="58">
        <v>1.30398696623045E+19</v>
      </c>
    </row>
    <row r="83" spans="3:10">
      <c r="C83" s="29" t="b">
        <v>0</v>
      </c>
      <c r="D83" s="30" t="s">
        <v>75</v>
      </c>
      <c r="E83" s="137">
        <v>18</v>
      </c>
      <c r="F83" s="30" t="s">
        <v>70</v>
      </c>
      <c r="G83" s="30" t="s">
        <v>71</v>
      </c>
      <c r="H83" s="30">
        <v>-3.7970203264200003E-2</v>
      </c>
      <c r="I83" s="58">
        <v>0</v>
      </c>
      <c r="J83" s="58">
        <v>1.3197513885873101E+19</v>
      </c>
    </row>
    <row r="84" spans="3:10">
      <c r="C84" s="29" t="b">
        <v>0</v>
      </c>
      <c r="D84" s="30" t="s">
        <v>76</v>
      </c>
      <c r="E84" s="137">
        <v>18</v>
      </c>
      <c r="F84" s="30" t="s">
        <v>70</v>
      </c>
      <c r="G84" s="30" t="s">
        <v>71</v>
      </c>
      <c r="H84" s="30">
        <v>-0.10351309616</v>
      </c>
      <c r="I84" s="58">
        <v>0</v>
      </c>
      <c r="J84" s="58">
        <v>1.3018934968633201E+19</v>
      </c>
    </row>
    <row r="85" spans="3:10">
      <c r="C85" s="29" t="b">
        <v>0</v>
      </c>
      <c r="D85" s="30" t="s">
        <v>77</v>
      </c>
      <c r="E85" s="137">
        <v>18</v>
      </c>
      <c r="F85" s="30" t="s">
        <v>70</v>
      </c>
      <c r="G85" s="30" t="s">
        <v>71</v>
      </c>
      <c r="H85" s="30">
        <v>-6.4408194723200002E-2</v>
      </c>
      <c r="I85" s="58">
        <v>0</v>
      </c>
      <c r="J85" s="58">
        <v>4.4704536397051802E+18</v>
      </c>
    </row>
    <row r="86" spans="3:10">
      <c r="C86" s="29" t="b">
        <v>0</v>
      </c>
      <c r="D86" s="30" t="s">
        <v>78</v>
      </c>
      <c r="E86" s="137">
        <v>18</v>
      </c>
      <c r="F86" s="30" t="s">
        <v>70</v>
      </c>
      <c r="G86" s="30" t="s">
        <v>71</v>
      </c>
      <c r="H86" s="30">
        <v>-6.0526201712400002E-2</v>
      </c>
      <c r="I86" s="58">
        <v>0</v>
      </c>
      <c r="J86" s="58">
        <v>9.9983412509186806E+18</v>
      </c>
    </row>
    <row r="87" spans="3:10">
      <c r="C87" s="29" t="b">
        <v>0</v>
      </c>
      <c r="D87" s="30" t="s">
        <v>79</v>
      </c>
      <c r="E87" s="137">
        <v>18</v>
      </c>
      <c r="F87" s="30" t="s">
        <v>70</v>
      </c>
      <c r="G87" s="30" t="s">
        <v>71</v>
      </c>
      <c r="H87" s="30">
        <v>-7.0285609100699999E-3</v>
      </c>
      <c r="I87" s="58">
        <v>0</v>
      </c>
      <c r="J87" s="58">
        <v>4.37687163885856E+18</v>
      </c>
    </row>
    <row r="88" spans="3:10">
      <c r="C88" s="29" t="b">
        <v>0</v>
      </c>
      <c r="D88" s="30" t="s">
        <v>72</v>
      </c>
      <c r="E88" s="137">
        <v>18</v>
      </c>
      <c r="F88" s="30" t="s">
        <v>70</v>
      </c>
      <c r="G88" s="30" t="s">
        <v>71</v>
      </c>
      <c r="H88" s="30">
        <v>-4.0556854615700001E-2</v>
      </c>
      <c r="I88" s="58">
        <v>0</v>
      </c>
      <c r="J88" s="58">
        <v>3.7096079026357202E+18</v>
      </c>
    </row>
    <row r="89" spans="3:10">
      <c r="C89" s="29" t="b">
        <v>0</v>
      </c>
      <c r="D89" s="30" t="s">
        <v>80</v>
      </c>
      <c r="E89" s="137">
        <v>18</v>
      </c>
      <c r="F89" s="30" t="s">
        <v>70</v>
      </c>
      <c r="G89" s="30" t="s">
        <v>71</v>
      </c>
      <c r="H89" s="30">
        <v>-4.8812199946599903E-2</v>
      </c>
      <c r="I89" s="58">
        <v>0</v>
      </c>
      <c r="J89" s="58">
        <v>1.1547244502715199E+19</v>
      </c>
    </row>
    <row r="90" spans="3:10">
      <c r="C90" s="29" t="b">
        <v>0</v>
      </c>
      <c r="D90" s="30" t="s">
        <v>81</v>
      </c>
      <c r="E90" s="137">
        <v>18</v>
      </c>
      <c r="F90" s="30" t="s">
        <v>70</v>
      </c>
      <c r="G90" s="30" t="s">
        <v>71</v>
      </c>
      <c r="H90" s="30">
        <v>-4.7148145827500001E-2</v>
      </c>
      <c r="I90" s="58">
        <v>0</v>
      </c>
      <c r="J90" s="58">
        <v>9.7284039666747494E+18</v>
      </c>
    </row>
    <row r="91" spans="3:10">
      <c r="C91" s="29" t="b">
        <v>0</v>
      </c>
      <c r="D91" s="30" t="s">
        <v>82</v>
      </c>
      <c r="E91" s="137">
        <v>18</v>
      </c>
      <c r="F91" s="30" t="s">
        <v>70</v>
      </c>
      <c r="G91" s="30" t="s">
        <v>71</v>
      </c>
      <c r="H91" s="30">
        <v>-8.6622959491799906E-2</v>
      </c>
      <c r="I91" s="58">
        <v>0</v>
      </c>
      <c r="J91" s="58">
        <v>8.0789477282576804E+18</v>
      </c>
    </row>
    <row r="92" spans="3:10">
      <c r="C92" s="29" t="b">
        <v>0</v>
      </c>
      <c r="D92" s="30" t="s">
        <v>83</v>
      </c>
      <c r="E92" s="137">
        <v>18</v>
      </c>
      <c r="F92" s="30" t="s">
        <v>70</v>
      </c>
      <c r="G92" s="30" t="s">
        <v>71</v>
      </c>
      <c r="H92" s="30">
        <v>-4.6659046163799997E-2</v>
      </c>
      <c r="I92" s="58">
        <v>0</v>
      </c>
      <c r="J92" s="58">
        <v>1.2802882192333099E+19</v>
      </c>
    </row>
    <row r="93" spans="3:10">
      <c r="C93" s="29" t="b">
        <v>0</v>
      </c>
      <c r="D93" s="30" t="s">
        <v>64</v>
      </c>
      <c r="E93" s="137">
        <v>18</v>
      </c>
      <c r="F93" s="30" t="s">
        <v>70</v>
      </c>
      <c r="G93" s="30" t="s">
        <v>71</v>
      </c>
      <c r="H93" s="30">
        <v>-7.5569975947699999E-2</v>
      </c>
      <c r="I93" s="58">
        <v>0</v>
      </c>
      <c r="J93" s="58">
        <v>1.32669653481956E+19</v>
      </c>
    </row>
    <row r="94" spans="3:10">
      <c r="C94" s="29" t="b">
        <v>0</v>
      </c>
      <c r="D94" s="30" t="s">
        <v>69</v>
      </c>
      <c r="E94" s="137">
        <v>17</v>
      </c>
      <c r="F94" s="30" t="s">
        <v>70</v>
      </c>
      <c r="G94" s="30" t="s">
        <v>71</v>
      </c>
      <c r="H94" s="30">
        <v>-8.2646252611099993E-3</v>
      </c>
      <c r="I94" s="58">
        <v>0</v>
      </c>
      <c r="J94" s="58">
        <v>4.48053413532736E+18</v>
      </c>
    </row>
    <row r="95" spans="3:10">
      <c r="C95" s="29" t="b">
        <v>0</v>
      </c>
      <c r="D95" s="30" t="s">
        <v>73</v>
      </c>
      <c r="E95" s="137">
        <v>17</v>
      </c>
      <c r="F95" s="30" t="s">
        <v>70</v>
      </c>
      <c r="G95" s="30" t="s">
        <v>71</v>
      </c>
      <c r="H95" s="30">
        <v>-8.8511750122499996E-2</v>
      </c>
      <c r="I95" s="58">
        <v>0</v>
      </c>
      <c r="J95" s="58">
        <v>1.65524129636683E+19</v>
      </c>
    </row>
    <row r="96" spans="3:10">
      <c r="C96" s="29" t="b">
        <v>0</v>
      </c>
      <c r="D96" s="30" t="s">
        <v>78</v>
      </c>
      <c r="E96" s="137">
        <v>9</v>
      </c>
      <c r="F96" s="30" t="s">
        <v>70</v>
      </c>
      <c r="G96" s="30" t="s">
        <v>71</v>
      </c>
      <c r="H96" s="30">
        <v>5.8896545297000003E-2</v>
      </c>
      <c r="I96" s="58">
        <v>0</v>
      </c>
      <c r="J96" s="58">
        <v>1.4572475670850501E+19</v>
      </c>
    </row>
    <row r="97" spans="3:10">
      <c r="C97" s="29" t="b">
        <v>0</v>
      </c>
      <c r="D97" s="30" t="s">
        <v>75</v>
      </c>
      <c r="E97" s="137">
        <v>17</v>
      </c>
      <c r="F97" s="30" t="s">
        <v>70</v>
      </c>
      <c r="G97" s="30" t="s">
        <v>71</v>
      </c>
      <c r="H97" s="30">
        <v>-1.6846516626999999E-2</v>
      </c>
      <c r="I97" s="58">
        <v>0</v>
      </c>
      <c r="J97" s="58">
        <v>3.7886642561408502E+18</v>
      </c>
    </row>
    <row r="98" spans="3:10">
      <c r="C98" s="29" t="b">
        <v>0</v>
      </c>
      <c r="D98" s="30" t="s">
        <v>76</v>
      </c>
      <c r="E98" s="137">
        <v>17</v>
      </c>
      <c r="F98" s="30" t="s">
        <v>70</v>
      </c>
      <c r="G98" s="30" t="s">
        <v>71</v>
      </c>
      <c r="H98" s="30">
        <v>-0.12157375579</v>
      </c>
      <c r="I98" s="58">
        <v>0</v>
      </c>
      <c r="J98" s="58">
        <v>1.75972565868091E+19</v>
      </c>
    </row>
    <row r="99" spans="3:10">
      <c r="C99" s="29" t="b">
        <v>0</v>
      </c>
      <c r="D99" s="30" t="s">
        <v>77</v>
      </c>
      <c r="E99" s="137">
        <v>17</v>
      </c>
      <c r="F99" s="30" t="s">
        <v>70</v>
      </c>
      <c r="G99" s="30" t="s">
        <v>71</v>
      </c>
      <c r="H99" s="30">
        <v>-7.6287120796199995E-2</v>
      </c>
      <c r="I99" s="58">
        <v>0</v>
      </c>
      <c r="J99" s="58">
        <v>1.28853945392808E+19</v>
      </c>
    </row>
    <row r="100" spans="3:10">
      <c r="C100" s="29" t="b">
        <v>0</v>
      </c>
      <c r="D100" s="30" t="s">
        <v>78</v>
      </c>
      <c r="E100" s="137">
        <v>17</v>
      </c>
      <c r="F100" s="30" t="s">
        <v>70</v>
      </c>
      <c r="G100" s="30" t="s">
        <v>71</v>
      </c>
      <c r="H100" s="30">
        <v>-4.3812021381899997E-2</v>
      </c>
      <c r="I100" s="58">
        <v>0</v>
      </c>
      <c r="J100" s="58">
        <v>1.4098075022002201E+19</v>
      </c>
    </row>
    <row r="101" spans="3:10">
      <c r="C101" s="29" t="b">
        <v>0</v>
      </c>
      <c r="D101" s="30" t="s">
        <v>79</v>
      </c>
      <c r="E101" s="137">
        <v>17</v>
      </c>
      <c r="F101" s="30" t="s">
        <v>70</v>
      </c>
      <c r="G101" s="30" t="s">
        <v>71</v>
      </c>
      <c r="H101" s="30">
        <v>-1.47463892981E-2</v>
      </c>
      <c r="I101" s="58">
        <v>0</v>
      </c>
      <c r="J101" s="58">
        <v>1.30724993557295E+19</v>
      </c>
    </row>
    <row r="102" spans="3:10">
      <c r="C102" s="29" t="b">
        <v>0</v>
      </c>
      <c r="D102" s="30" t="s">
        <v>72</v>
      </c>
      <c r="E102" s="137">
        <v>17</v>
      </c>
      <c r="F102" s="30" t="s">
        <v>70</v>
      </c>
      <c r="G102" s="30" t="s">
        <v>71</v>
      </c>
      <c r="H102" s="30">
        <v>-5.6682060804399997E-2</v>
      </c>
      <c r="I102" s="58">
        <v>0</v>
      </c>
      <c r="J102" s="58">
        <v>1.4118234964062599E+19</v>
      </c>
    </row>
    <row r="103" spans="3:10">
      <c r="C103" s="29" t="b">
        <v>0</v>
      </c>
      <c r="D103" s="30" t="s">
        <v>80</v>
      </c>
      <c r="E103" s="137">
        <v>17</v>
      </c>
      <c r="F103" s="30" t="s">
        <v>70</v>
      </c>
      <c r="G103" s="30" t="s">
        <v>71</v>
      </c>
      <c r="H103" s="30">
        <v>-4.4581900875899999E-2</v>
      </c>
      <c r="I103" s="58">
        <v>0</v>
      </c>
      <c r="J103" s="58">
        <v>9.0961558517246198E+18</v>
      </c>
    </row>
    <row r="104" spans="3:10">
      <c r="C104" s="29" t="b">
        <v>0</v>
      </c>
      <c r="D104" s="30" t="s">
        <v>81</v>
      </c>
      <c r="E104" s="137">
        <v>17</v>
      </c>
      <c r="F104" s="30" t="s">
        <v>70</v>
      </c>
      <c r="G104" s="30" t="s">
        <v>71</v>
      </c>
      <c r="H104" s="30">
        <v>-5.3514067747099998E-2</v>
      </c>
      <c r="I104" s="58">
        <v>0</v>
      </c>
      <c r="J104" s="58">
        <v>1.0932952021836401E+18</v>
      </c>
    </row>
    <row r="105" spans="3:10">
      <c r="C105" s="29" t="b">
        <v>0</v>
      </c>
      <c r="D105" s="30" t="s">
        <v>82</v>
      </c>
      <c r="E105" s="137">
        <v>17</v>
      </c>
      <c r="F105" s="30" t="s">
        <v>70</v>
      </c>
      <c r="G105" s="30" t="s">
        <v>71</v>
      </c>
      <c r="H105" s="30">
        <v>-7.7292400188599994E-2</v>
      </c>
      <c r="I105" s="58">
        <v>0</v>
      </c>
      <c r="J105" s="58">
        <v>1.56146783157854E+18</v>
      </c>
    </row>
    <row r="106" spans="3:10">
      <c r="C106" s="29" t="b">
        <v>0</v>
      </c>
      <c r="D106" s="30" t="s">
        <v>83</v>
      </c>
      <c r="E106" s="137">
        <v>17</v>
      </c>
      <c r="F106" s="30" t="s">
        <v>70</v>
      </c>
      <c r="G106" s="30" t="s">
        <v>71</v>
      </c>
      <c r="H106" s="30">
        <v>-3.80205789406E-2</v>
      </c>
      <c r="I106" s="58">
        <v>0</v>
      </c>
      <c r="J106" s="58">
        <v>1.6681558454067E+18</v>
      </c>
    </row>
    <row r="107" spans="3:10">
      <c r="C107" s="29" t="b">
        <v>0</v>
      </c>
      <c r="D107" s="30" t="s">
        <v>64</v>
      </c>
      <c r="E107" s="137">
        <v>17</v>
      </c>
      <c r="F107" s="30" t="s">
        <v>70</v>
      </c>
      <c r="G107" s="30" t="s">
        <v>71</v>
      </c>
      <c r="H107" s="30">
        <v>-7.1300385397799995E-2</v>
      </c>
      <c r="I107" s="58">
        <v>0</v>
      </c>
      <c r="J107" s="58">
        <v>1.3148949899606901E+19</v>
      </c>
    </row>
    <row r="108" spans="3:10">
      <c r="C108" s="29" t="b">
        <v>0</v>
      </c>
      <c r="D108" s="30" t="s">
        <v>69</v>
      </c>
      <c r="E108" s="137">
        <v>16</v>
      </c>
      <c r="F108" s="30" t="s">
        <v>70</v>
      </c>
      <c r="G108" s="30" t="s">
        <v>71</v>
      </c>
      <c r="H108" s="30">
        <v>-2.8562938711900001E-3</v>
      </c>
      <c r="I108" s="58">
        <v>0</v>
      </c>
      <c r="J108" s="58">
        <v>1.28144073499007E+18</v>
      </c>
    </row>
    <row r="109" spans="3:10">
      <c r="C109" s="29" t="b">
        <v>0</v>
      </c>
      <c r="D109" s="30" t="s">
        <v>73</v>
      </c>
      <c r="E109" s="137">
        <v>16</v>
      </c>
      <c r="F109" s="30" t="s">
        <v>70</v>
      </c>
      <c r="G109" s="30" t="s">
        <v>71</v>
      </c>
      <c r="H109" s="30">
        <v>-8.9943363336099993E-2</v>
      </c>
      <c r="I109" s="58">
        <v>0</v>
      </c>
      <c r="J109" s="58">
        <v>2.30712277572879E+18</v>
      </c>
    </row>
    <row r="110" spans="3:10">
      <c r="C110" s="29" t="b">
        <v>0</v>
      </c>
      <c r="D110" s="30" t="s">
        <v>74</v>
      </c>
      <c r="E110" s="137">
        <v>16</v>
      </c>
      <c r="F110" s="30" t="s">
        <v>70</v>
      </c>
      <c r="G110" s="30" t="s">
        <v>71</v>
      </c>
      <c r="H110" s="30">
        <v>-4.9587035833800003E-2</v>
      </c>
      <c r="I110" s="58">
        <v>0</v>
      </c>
      <c r="J110" s="58">
        <v>1.1694673021551401E+19</v>
      </c>
    </row>
    <row r="111" spans="3:10">
      <c r="C111" s="29" t="b">
        <v>0</v>
      </c>
      <c r="D111" s="30" t="s">
        <v>75</v>
      </c>
      <c r="E111" s="137">
        <v>16</v>
      </c>
      <c r="F111" s="30" t="s">
        <v>70</v>
      </c>
      <c r="G111" s="30" t="s">
        <v>71</v>
      </c>
      <c r="H111" s="30">
        <v>-1.3566317631599999E-2</v>
      </c>
      <c r="I111" s="58">
        <v>0</v>
      </c>
      <c r="J111" s="58">
        <v>3.04280916228364E+16</v>
      </c>
    </row>
    <row r="112" spans="3:10">
      <c r="C112" s="29" t="b">
        <v>0</v>
      </c>
      <c r="D112" s="30" t="s">
        <v>76</v>
      </c>
      <c r="E112" s="137">
        <v>16</v>
      </c>
      <c r="F112" s="30" t="s">
        <v>70</v>
      </c>
      <c r="G112" s="30" t="s">
        <v>71</v>
      </c>
      <c r="H112" s="30">
        <v>-0.131640690822</v>
      </c>
      <c r="I112" s="58">
        <v>0</v>
      </c>
      <c r="J112" s="58">
        <v>7.2645007231203502E+18</v>
      </c>
    </row>
    <row r="113" spans="3:10">
      <c r="C113" s="29" t="b">
        <v>0</v>
      </c>
      <c r="D113" s="30" t="s">
        <v>77</v>
      </c>
      <c r="E113" s="137">
        <v>16</v>
      </c>
      <c r="F113" s="30" t="s">
        <v>70</v>
      </c>
      <c r="G113" s="30" t="s">
        <v>71</v>
      </c>
      <c r="H113" s="30">
        <v>-9.3024310947700001E-2</v>
      </c>
      <c r="I113" s="58">
        <v>0</v>
      </c>
      <c r="J113" s="58">
        <v>1.51693393804178E+19</v>
      </c>
    </row>
    <row r="114" spans="3:10">
      <c r="C114" s="29" t="b">
        <v>0</v>
      </c>
      <c r="D114" s="30" t="s">
        <v>78</v>
      </c>
      <c r="E114" s="137">
        <v>16</v>
      </c>
      <c r="F114" s="30" t="s">
        <v>70</v>
      </c>
      <c r="G114" s="30" t="s">
        <v>71</v>
      </c>
      <c r="H114" s="30">
        <v>-2.18971578269E-2</v>
      </c>
      <c r="I114" s="58">
        <v>0</v>
      </c>
      <c r="J114" s="58">
        <v>7.6823843867059497E+18</v>
      </c>
    </row>
    <row r="115" spans="3:10">
      <c r="C115" s="29" t="b">
        <v>0</v>
      </c>
      <c r="D115" s="30" t="s">
        <v>77</v>
      </c>
      <c r="E115" s="137">
        <v>9</v>
      </c>
      <c r="F115" s="30" t="s">
        <v>70</v>
      </c>
      <c r="G115" s="30" t="s">
        <v>71</v>
      </c>
      <c r="H115" s="30">
        <v>0.17022688634399999</v>
      </c>
      <c r="I115" s="58">
        <v>0</v>
      </c>
      <c r="J115" s="58">
        <v>4.6790689820117105E+18</v>
      </c>
    </row>
    <row r="116" spans="3:10">
      <c r="C116" s="29" t="b">
        <v>0</v>
      </c>
      <c r="D116" s="30" t="s">
        <v>72</v>
      </c>
      <c r="E116" s="137">
        <v>16</v>
      </c>
      <c r="F116" s="30" t="s">
        <v>70</v>
      </c>
      <c r="G116" s="30" t="s">
        <v>71</v>
      </c>
      <c r="H116" s="30">
        <v>-6.4137842040400003E-2</v>
      </c>
      <c r="I116" s="58">
        <v>0</v>
      </c>
      <c r="J116" s="58">
        <v>3.6096036932839598E+18</v>
      </c>
    </row>
    <row r="117" spans="3:10">
      <c r="C117" s="29" t="b">
        <v>0</v>
      </c>
      <c r="D117" s="30" t="s">
        <v>80</v>
      </c>
      <c r="E117" s="137">
        <v>16</v>
      </c>
      <c r="F117" s="30" t="s">
        <v>70</v>
      </c>
      <c r="G117" s="30" t="s">
        <v>71</v>
      </c>
      <c r="H117" s="30">
        <v>-4.7433168385499998E-2</v>
      </c>
      <c r="I117" s="58">
        <v>0</v>
      </c>
      <c r="J117" s="58">
        <v>1.6389954274541499E+18</v>
      </c>
    </row>
    <row r="118" spans="3:10">
      <c r="C118" s="29" t="b">
        <v>0</v>
      </c>
      <c r="D118" s="30" t="s">
        <v>81</v>
      </c>
      <c r="E118" s="137">
        <v>16</v>
      </c>
      <c r="F118" s="30" t="s">
        <v>70</v>
      </c>
      <c r="G118" s="30" t="s">
        <v>71</v>
      </c>
      <c r="H118" s="30">
        <v>-7.1022402216200001E-2</v>
      </c>
      <c r="I118" s="58">
        <v>0</v>
      </c>
      <c r="J118" s="58">
        <v>1.0375800408711299E+19</v>
      </c>
    </row>
    <row r="119" spans="3:10">
      <c r="C119" s="29" t="b">
        <v>0</v>
      </c>
      <c r="D119" s="30" t="s">
        <v>82</v>
      </c>
      <c r="E119" s="137">
        <v>16</v>
      </c>
      <c r="F119" s="30" t="s">
        <v>70</v>
      </c>
      <c r="G119" s="30" t="s">
        <v>71</v>
      </c>
      <c r="H119" s="30">
        <v>-6.4998169291699895E-2</v>
      </c>
      <c r="I119" s="58">
        <v>0</v>
      </c>
      <c r="J119" s="58">
        <v>1.2892507369202901E+19</v>
      </c>
    </row>
    <row r="120" spans="3:10">
      <c r="C120" s="29" t="b">
        <v>0</v>
      </c>
      <c r="D120" s="30" t="s">
        <v>83</v>
      </c>
      <c r="E120" s="137">
        <v>16</v>
      </c>
      <c r="F120" s="30" t="s">
        <v>70</v>
      </c>
      <c r="G120" s="30" t="s">
        <v>71</v>
      </c>
      <c r="H120" s="30">
        <v>-6.1356030524600001E-2</v>
      </c>
      <c r="I120" s="58">
        <v>0</v>
      </c>
      <c r="J120" s="58">
        <v>7.74541391539678E+18</v>
      </c>
    </row>
    <row r="121" spans="3:10">
      <c r="C121" s="29" t="b">
        <v>0</v>
      </c>
      <c r="D121" s="30" t="s">
        <v>64</v>
      </c>
      <c r="E121" s="137">
        <v>16</v>
      </c>
      <c r="F121" s="30" t="s">
        <v>70</v>
      </c>
      <c r="G121" s="30" t="s">
        <v>71</v>
      </c>
      <c r="H121" s="30">
        <v>-5.7715066878200001E-2</v>
      </c>
      <c r="I121" s="58">
        <v>0</v>
      </c>
      <c r="J121" s="58">
        <v>1.3490798850265899E+19</v>
      </c>
    </row>
    <row r="122" spans="3:10">
      <c r="C122" s="29" t="b">
        <v>0</v>
      </c>
      <c r="D122" s="30" t="s">
        <v>69</v>
      </c>
      <c r="E122" s="137">
        <v>15</v>
      </c>
      <c r="F122" s="30" t="s">
        <v>70</v>
      </c>
      <c r="G122" s="30" t="s">
        <v>71</v>
      </c>
      <c r="H122" s="30">
        <v>-1.0971463220299999E-2</v>
      </c>
      <c r="I122" s="58">
        <v>0</v>
      </c>
      <c r="J122" s="58">
        <v>2.14938410472607E+18</v>
      </c>
    </row>
    <row r="123" spans="3:10">
      <c r="C123" s="29" t="b">
        <v>0</v>
      </c>
      <c r="D123" s="30" t="s">
        <v>73</v>
      </c>
      <c r="E123" s="137">
        <v>15</v>
      </c>
      <c r="F123" s="30" t="s">
        <v>70</v>
      </c>
      <c r="G123" s="30" t="s">
        <v>71</v>
      </c>
      <c r="H123" s="30">
        <v>-8.0697963171399906E-2</v>
      </c>
      <c r="I123" s="58">
        <v>0</v>
      </c>
      <c r="J123" s="58">
        <v>1.6404911510884901E+19</v>
      </c>
    </row>
    <row r="124" spans="3:10">
      <c r="C124" s="29" t="b">
        <v>0</v>
      </c>
      <c r="D124" s="30" t="s">
        <v>74</v>
      </c>
      <c r="E124" s="137">
        <v>15</v>
      </c>
      <c r="F124" s="30" t="s">
        <v>70</v>
      </c>
      <c r="G124" s="30" t="s">
        <v>71</v>
      </c>
      <c r="H124" s="30">
        <v>-7.2112194047099995E-2</v>
      </c>
      <c r="I124" s="58">
        <v>0</v>
      </c>
      <c r="J124" s="58">
        <v>5.58632687581743E+18</v>
      </c>
    </row>
    <row r="125" spans="3:10">
      <c r="C125" s="29" t="b">
        <v>0</v>
      </c>
      <c r="D125" s="30" t="s">
        <v>75</v>
      </c>
      <c r="E125" s="137">
        <v>15</v>
      </c>
      <c r="F125" s="30" t="s">
        <v>70</v>
      </c>
      <c r="G125" s="30" t="s">
        <v>71</v>
      </c>
      <c r="H125" s="30">
        <v>-2.8809304808100001E-2</v>
      </c>
      <c r="I125" s="58">
        <v>0</v>
      </c>
      <c r="J125" s="58">
        <v>9.7135965570618304E+17</v>
      </c>
    </row>
    <row r="126" spans="3:10">
      <c r="C126" s="29" t="b">
        <v>0</v>
      </c>
      <c r="D126" s="30" t="s">
        <v>76</v>
      </c>
      <c r="E126" s="137">
        <v>15</v>
      </c>
      <c r="F126" s="30" t="s">
        <v>70</v>
      </c>
      <c r="G126" s="30" t="s">
        <v>71</v>
      </c>
      <c r="H126" s="30">
        <v>-0.13482840338300001</v>
      </c>
      <c r="I126" s="58">
        <v>0</v>
      </c>
      <c r="J126" s="58">
        <v>1.73040975379828E+19</v>
      </c>
    </row>
    <row r="127" spans="3:10">
      <c r="C127" s="29" t="b">
        <v>0</v>
      </c>
      <c r="D127" s="30" t="s">
        <v>77</v>
      </c>
      <c r="E127" s="137">
        <v>15</v>
      </c>
      <c r="F127" s="30" t="s">
        <v>70</v>
      </c>
      <c r="G127" s="30" t="s">
        <v>71</v>
      </c>
      <c r="H127" s="30">
        <v>-0.11257759694199999</v>
      </c>
      <c r="I127" s="58">
        <v>0</v>
      </c>
      <c r="J127" s="58">
        <v>3.3631658229762202E+18</v>
      </c>
    </row>
    <row r="128" spans="3:10">
      <c r="C128" s="29" t="b">
        <v>0</v>
      </c>
      <c r="D128" s="30" t="s">
        <v>78</v>
      </c>
      <c r="E128" s="137">
        <v>15</v>
      </c>
      <c r="F128" s="30" t="s">
        <v>70</v>
      </c>
      <c r="G128" s="30" t="s">
        <v>71</v>
      </c>
      <c r="H128" s="30">
        <v>-9.3831291911400001E-3</v>
      </c>
      <c r="I128" s="58">
        <v>0</v>
      </c>
      <c r="J128" s="58">
        <v>5.2025488760717097E+18</v>
      </c>
    </row>
    <row r="129" spans="3:10">
      <c r="C129" s="29" t="b">
        <v>0</v>
      </c>
      <c r="D129" s="30" t="s">
        <v>79</v>
      </c>
      <c r="E129" s="137">
        <v>15</v>
      </c>
      <c r="F129" s="30" t="s">
        <v>70</v>
      </c>
      <c r="G129" s="30" t="s">
        <v>71</v>
      </c>
      <c r="H129" s="30">
        <v>-6.8720225246699906E-2</v>
      </c>
      <c r="I129" s="58">
        <v>0</v>
      </c>
      <c r="J129" s="58">
        <v>5.8107356164530698E+18</v>
      </c>
    </row>
    <row r="130" spans="3:10">
      <c r="C130" s="29" t="b">
        <v>0</v>
      </c>
      <c r="D130" s="30" t="s">
        <v>72</v>
      </c>
      <c r="E130" s="137">
        <v>15</v>
      </c>
      <c r="F130" s="30" t="s">
        <v>70</v>
      </c>
      <c r="G130" s="30" t="s">
        <v>71</v>
      </c>
      <c r="H130" s="30">
        <v>-7.0561537851100004E-2</v>
      </c>
      <c r="I130" s="58">
        <v>0</v>
      </c>
      <c r="J130" s="58">
        <v>1.64475582302878E+19</v>
      </c>
    </row>
    <row r="131" spans="3:10">
      <c r="C131" s="29" t="b">
        <v>0</v>
      </c>
      <c r="D131" s="30" t="s">
        <v>80</v>
      </c>
      <c r="E131" s="137">
        <v>15</v>
      </c>
      <c r="F131" s="30" t="s">
        <v>70</v>
      </c>
      <c r="G131" s="30" t="s">
        <v>71</v>
      </c>
      <c r="H131" s="30">
        <v>-5.6031053491800001E-2</v>
      </c>
      <c r="I131" s="58">
        <v>0</v>
      </c>
      <c r="J131" s="58">
        <v>1.34260418175245E+19</v>
      </c>
    </row>
    <row r="132" spans="3:10">
      <c r="C132" s="29" t="b">
        <v>0</v>
      </c>
      <c r="D132" s="30" t="s">
        <v>81</v>
      </c>
      <c r="E132" s="137">
        <v>15</v>
      </c>
      <c r="F132" s="30" t="s">
        <v>70</v>
      </c>
      <c r="G132" s="30" t="s">
        <v>71</v>
      </c>
      <c r="H132" s="30">
        <v>-9.0735181528199996E-2</v>
      </c>
      <c r="I132" s="58">
        <v>0</v>
      </c>
      <c r="J132" s="58">
        <v>1.47953812859939E+19</v>
      </c>
    </row>
    <row r="133" spans="3:10">
      <c r="C133" s="29" t="b">
        <v>0</v>
      </c>
      <c r="D133" s="30" t="s">
        <v>82</v>
      </c>
      <c r="E133" s="137">
        <v>15</v>
      </c>
      <c r="F133" s="30" t="s">
        <v>70</v>
      </c>
      <c r="G133" s="30" t="s">
        <v>71</v>
      </c>
      <c r="H133" s="30">
        <v>-5.5461856933099997E-2</v>
      </c>
      <c r="I133" s="58">
        <v>0</v>
      </c>
      <c r="J133" s="58">
        <v>1.1333762056342E+19</v>
      </c>
    </row>
    <row r="134" spans="3:10">
      <c r="C134" s="29" t="b">
        <v>0</v>
      </c>
      <c r="D134" s="30" t="s">
        <v>83</v>
      </c>
      <c r="E134" s="137">
        <v>15</v>
      </c>
      <c r="F134" s="30" t="s">
        <v>70</v>
      </c>
      <c r="G134" s="30" t="s">
        <v>71</v>
      </c>
      <c r="H134" s="30">
        <v>-0.11074232179600001</v>
      </c>
      <c r="I134" s="58">
        <v>0</v>
      </c>
      <c r="J134" s="58">
        <v>1.70169658552849E+19</v>
      </c>
    </row>
    <row r="135" spans="3:10">
      <c r="C135" s="29" t="b">
        <v>0</v>
      </c>
      <c r="D135" s="30" t="s">
        <v>64</v>
      </c>
      <c r="E135" s="137">
        <v>15</v>
      </c>
      <c r="F135" s="30" t="s">
        <v>70</v>
      </c>
      <c r="G135" s="30" t="s">
        <v>71</v>
      </c>
      <c r="H135" s="30">
        <v>-5.3078664772299999E-2</v>
      </c>
      <c r="I135" s="58">
        <v>0</v>
      </c>
      <c r="J135" s="58">
        <v>1.3607837146599E+19</v>
      </c>
    </row>
    <row r="136" spans="3:10">
      <c r="C136" s="29" t="b">
        <v>0</v>
      </c>
      <c r="D136" s="30" t="s">
        <v>69</v>
      </c>
      <c r="E136" s="137">
        <v>14</v>
      </c>
      <c r="F136" s="30" t="s">
        <v>70</v>
      </c>
      <c r="G136" s="30" t="s">
        <v>71</v>
      </c>
      <c r="H136" s="30">
        <v>-3.3713389014900001E-2</v>
      </c>
      <c r="I136" s="58">
        <v>0</v>
      </c>
      <c r="J136" s="58">
        <v>1.3900143283435201E+19</v>
      </c>
    </row>
    <row r="137" spans="3:10">
      <c r="C137" s="29" t="b">
        <v>0</v>
      </c>
      <c r="D137" s="30" t="s">
        <v>73</v>
      </c>
      <c r="E137" s="137">
        <v>14</v>
      </c>
      <c r="F137" s="30" t="s">
        <v>70</v>
      </c>
      <c r="G137" s="30" t="s">
        <v>71</v>
      </c>
      <c r="H137" s="30">
        <v>-6.8297336715800003E-2</v>
      </c>
      <c r="I137" s="58">
        <v>0</v>
      </c>
      <c r="J137" s="58">
        <v>1.8280628786708699E+19</v>
      </c>
    </row>
    <row r="138" spans="3:10">
      <c r="C138" s="29" t="b">
        <v>0</v>
      </c>
      <c r="D138" s="30" t="s">
        <v>74</v>
      </c>
      <c r="E138" s="137">
        <v>14</v>
      </c>
      <c r="F138" s="30" t="s">
        <v>70</v>
      </c>
      <c r="G138" s="30" t="s">
        <v>71</v>
      </c>
      <c r="H138" s="30">
        <v>-0.11446883040399999</v>
      </c>
      <c r="I138" s="58">
        <v>0</v>
      </c>
      <c r="J138" s="58">
        <v>1.31924845950818E+19</v>
      </c>
    </row>
    <row r="139" spans="3:10">
      <c r="C139" s="29" t="b">
        <v>0</v>
      </c>
      <c r="D139" s="30" t="s">
        <v>75</v>
      </c>
      <c r="E139" s="137">
        <v>14</v>
      </c>
      <c r="F139" s="30" t="s">
        <v>70</v>
      </c>
      <c r="G139" s="30" t="s">
        <v>71</v>
      </c>
      <c r="H139" s="30">
        <v>-5.2287723872400001E-2</v>
      </c>
      <c r="I139" s="58">
        <v>0</v>
      </c>
      <c r="J139" s="58">
        <v>9.7088565231803208E+18</v>
      </c>
    </row>
    <row r="140" spans="3:10">
      <c r="C140" s="29" t="b">
        <v>0</v>
      </c>
      <c r="D140" s="30" t="s">
        <v>76</v>
      </c>
      <c r="E140" s="137">
        <v>14</v>
      </c>
      <c r="F140" s="30" t="s">
        <v>70</v>
      </c>
      <c r="G140" s="30" t="s">
        <v>71</v>
      </c>
      <c r="H140" s="30">
        <v>-0.13026659830000001</v>
      </c>
      <c r="I140" s="58">
        <v>0</v>
      </c>
      <c r="J140" s="58">
        <v>7.9766291975304305E+18</v>
      </c>
    </row>
    <row r="141" spans="3:10">
      <c r="C141" s="29" t="b">
        <v>0</v>
      </c>
      <c r="D141" s="30" t="s">
        <v>77</v>
      </c>
      <c r="E141" s="137">
        <v>14</v>
      </c>
      <c r="F141" s="30" t="s">
        <v>70</v>
      </c>
      <c r="G141" s="30" t="s">
        <v>71</v>
      </c>
      <c r="H141" s="30">
        <v>-0.12844753006199999</v>
      </c>
      <c r="I141" s="58">
        <v>0</v>
      </c>
      <c r="J141" s="58">
        <v>1.0856014600855599E+19</v>
      </c>
    </row>
    <row r="142" spans="3:10">
      <c r="C142" s="29" t="b">
        <v>0</v>
      </c>
      <c r="D142" s="30" t="s">
        <v>78</v>
      </c>
      <c r="E142" s="137">
        <v>14</v>
      </c>
      <c r="F142" s="30" t="s">
        <v>70</v>
      </c>
      <c r="G142" s="30" t="s">
        <v>71</v>
      </c>
      <c r="H142" s="30">
        <v>-1.51398384821E-2</v>
      </c>
      <c r="I142" s="58">
        <v>0</v>
      </c>
      <c r="J142" s="58">
        <v>5.0239413896404204E+18</v>
      </c>
    </row>
    <row r="143" spans="3:10">
      <c r="C143" s="29" t="b">
        <v>0</v>
      </c>
      <c r="D143" s="30" t="s">
        <v>79</v>
      </c>
      <c r="E143" s="137">
        <v>14</v>
      </c>
      <c r="F143" s="30" t="s">
        <v>70</v>
      </c>
      <c r="G143" s="30" t="s">
        <v>71</v>
      </c>
      <c r="H143" s="30">
        <v>-9.8844633553499997E-2</v>
      </c>
      <c r="I143" s="58">
        <v>0</v>
      </c>
      <c r="J143" s="58">
        <v>4.32087406965905E+18</v>
      </c>
    </row>
    <row r="144" spans="3:10">
      <c r="C144" s="29" t="b">
        <v>0</v>
      </c>
      <c r="D144" s="30" t="s">
        <v>74</v>
      </c>
      <c r="E144" s="137">
        <v>17</v>
      </c>
      <c r="F144" s="30" t="s">
        <v>70</v>
      </c>
      <c r="G144" s="30" t="s">
        <v>71</v>
      </c>
      <c r="H144" s="30">
        <v>-4.1960488855999997E-2</v>
      </c>
      <c r="I144" s="58">
        <v>0</v>
      </c>
      <c r="J144" s="58">
        <v>9.5669421195854397E+18</v>
      </c>
    </row>
    <row r="145" spans="3:10">
      <c r="C145" s="29" t="b">
        <v>0</v>
      </c>
      <c r="D145" s="30" t="s">
        <v>80</v>
      </c>
      <c r="E145" s="137">
        <v>14</v>
      </c>
      <c r="F145" s="30" t="s">
        <v>70</v>
      </c>
      <c r="G145" s="30" t="s">
        <v>71</v>
      </c>
      <c r="H145" s="30">
        <v>-6.3990407172300007E-2</v>
      </c>
      <c r="I145" s="58">
        <v>0</v>
      </c>
      <c r="J145" s="58">
        <v>1.4409838774486499E+19</v>
      </c>
    </row>
    <row r="146" spans="3:10">
      <c r="C146" s="29" t="b">
        <v>0</v>
      </c>
      <c r="D146" s="30" t="s">
        <v>64</v>
      </c>
      <c r="E146" s="137">
        <v>0</v>
      </c>
      <c r="F146" s="30" t="s">
        <v>70</v>
      </c>
      <c r="G146" s="30" t="s">
        <v>67</v>
      </c>
      <c r="H146" s="30">
        <v>-2.1452459461500002E-2</v>
      </c>
      <c r="I146" s="58">
        <v>0</v>
      </c>
      <c r="J146" s="58">
        <v>6.9961916573983601E+18</v>
      </c>
    </row>
    <row r="147" spans="3:10">
      <c r="C147" s="29" t="b">
        <v>0</v>
      </c>
      <c r="D147" s="30" t="s">
        <v>81</v>
      </c>
      <c r="E147" s="137">
        <v>14</v>
      </c>
      <c r="F147" s="30" t="s">
        <v>70</v>
      </c>
      <c r="G147" s="30" t="s">
        <v>71</v>
      </c>
      <c r="H147" s="30">
        <v>-0.110040787828</v>
      </c>
      <c r="I147" s="58">
        <v>0</v>
      </c>
      <c r="J147" s="58">
        <v>2.2010961362264399E+18</v>
      </c>
    </row>
    <row r="148" spans="3:10">
      <c r="C148" s="29" t="b">
        <v>0</v>
      </c>
      <c r="D148" s="30" t="s">
        <v>83</v>
      </c>
      <c r="E148" s="137">
        <v>14</v>
      </c>
      <c r="F148" s="30" t="s">
        <v>70</v>
      </c>
      <c r="G148" s="30" t="s">
        <v>71</v>
      </c>
      <c r="H148" s="30">
        <v>-0.16931168115799999</v>
      </c>
      <c r="I148" s="58">
        <v>0</v>
      </c>
      <c r="J148" s="58">
        <v>1.2769202637032499E+19</v>
      </c>
    </row>
    <row r="149" spans="3:10">
      <c r="C149" s="29" t="b">
        <v>0</v>
      </c>
      <c r="D149" s="30" t="s">
        <v>64</v>
      </c>
      <c r="E149" s="137">
        <v>14</v>
      </c>
      <c r="F149" s="30" t="s">
        <v>70</v>
      </c>
      <c r="G149" s="30" t="s">
        <v>71</v>
      </c>
      <c r="H149" s="30">
        <v>-5.2418751534200003E-2</v>
      </c>
      <c r="I149" s="58">
        <v>0</v>
      </c>
      <c r="J149" s="58">
        <v>2.92613433224077E+18</v>
      </c>
    </row>
    <row r="150" spans="3:10">
      <c r="C150" s="29" t="b">
        <v>0</v>
      </c>
      <c r="D150" s="30" t="s">
        <v>69</v>
      </c>
      <c r="E150" s="137">
        <v>13</v>
      </c>
      <c r="F150" s="30" t="s">
        <v>70</v>
      </c>
      <c r="G150" s="30" t="s">
        <v>71</v>
      </c>
      <c r="H150" s="30">
        <v>-6.86374735514E-2</v>
      </c>
      <c r="I150" s="58">
        <v>0</v>
      </c>
      <c r="J150" s="58">
        <v>2.62676011321216E+17</v>
      </c>
    </row>
    <row r="151" spans="3:10">
      <c r="C151" s="29" t="b">
        <v>0</v>
      </c>
      <c r="D151" s="30" t="s">
        <v>73</v>
      </c>
      <c r="E151" s="137">
        <v>13</v>
      </c>
      <c r="F151" s="30" t="s">
        <v>70</v>
      </c>
      <c r="G151" s="30" t="s">
        <v>71</v>
      </c>
      <c r="H151" s="30">
        <v>-5.6306337975000002E-2</v>
      </c>
      <c r="I151" s="58">
        <v>0</v>
      </c>
      <c r="J151" s="58">
        <v>4.3670853965703101E+18</v>
      </c>
    </row>
    <row r="152" spans="3:10">
      <c r="C152" s="29" t="b">
        <v>0</v>
      </c>
      <c r="D152" s="30" t="s">
        <v>74</v>
      </c>
      <c r="E152" s="137">
        <v>13</v>
      </c>
      <c r="F152" s="30" t="s">
        <v>70</v>
      </c>
      <c r="G152" s="30" t="s">
        <v>71</v>
      </c>
      <c r="H152" s="30">
        <v>-0.15783418699400001</v>
      </c>
      <c r="I152" s="58">
        <v>0</v>
      </c>
      <c r="J152" s="58">
        <v>1.8357139025870799E+18</v>
      </c>
    </row>
    <row r="153" spans="3:10">
      <c r="C153" s="29" t="b">
        <v>0</v>
      </c>
      <c r="D153" s="30" t="s">
        <v>75</v>
      </c>
      <c r="E153" s="137">
        <v>13</v>
      </c>
      <c r="F153" s="30" t="s">
        <v>70</v>
      </c>
      <c r="G153" s="30" t="s">
        <v>71</v>
      </c>
      <c r="H153" s="30">
        <v>-7.3892348784199993E-2</v>
      </c>
      <c r="I153" s="58">
        <v>0</v>
      </c>
      <c r="J153" s="58">
        <v>1.6557318754193199E+19</v>
      </c>
    </row>
    <row r="154" spans="3:10">
      <c r="C154" s="29" t="b">
        <v>0</v>
      </c>
      <c r="D154" s="30" t="s">
        <v>76</v>
      </c>
      <c r="E154" s="137">
        <v>13</v>
      </c>
      <c r="F154" s="30" t="s">
        <v>70</v>
      </c>
      <c r="G154" s="30" t="s">
        <v>71</v>
      </c>
      <c r="H154" s="30">
        <v>-0.11938345548199999</v>
      </c>
      <c r="I154" s="58">
        <v>0</v>
      </c>
      <c r="J154" s="58">
        <v>1.23338443720244E+19</v>
      </c>
    </row>
    <row r="155" spans="3:10">
      <c r="C155" s="29" t="b">
        <v>0</v>
      </c>
      <c r="D155" s="30" t="s">
        <v>77</v>
      </c>
      <c r="E155" s="137">
        <v>13</v>
      </c>
      <c r="F155" s="30" t="s">
        <v>70</v>
      </c>
      <c r="G155" s="30" t="s">
        <v>71</v>
      </c>
      <c r="H155" s="30">
        <v>-0.1239496932</v>
      </c>
      <c r="I155" s="58">
        <v>0</v>
      </c>
      <c r="J155" s="58">
        <v>6.0102443928284703E+18</v>
      </c>
    </row>
    <row r="156" spans="3:10">
      <c r="C156" s="29" t="b">
        <v>0</v>
      </c>
      <c r="D156" s="30" t="s">
        <v>78</v>
      </c>
      <c r="E156" s="137">
        <v>13</v>
      </c>
      <c r="F156" s="30" t="s">
        <v>70</v>
      </c>
      <c r="G156" s="30" t="s">
        <v>71</v>
      </c>
      <c r="H156" s="30">
        <v>-3.0026322192E-2</v>
      </c>
      <c r="I156" s="58">
        <v>0</v>
      </c>
      <c r="J156" s="58">
        <v>1.3835813959929999E+19</v>
      </c>
    </row>
    <row r="157" spans="3:10">
      <c r="C157" s="29" t="b">
        <v>0</v>
      </c>
      <c r="D157" s="30" t="s">
        <v>79</v>
      </c>
      <c r="E157" s="137">
        <v>13</v>
      </c>
      <c r="F157" s="30" t="s">
        <v>70</v>
      </c>
      <c r="G157" s="30" t="s">
        <v>71</v>
      </c>
      <c r="H157" s="30">
        <v>-0.133170667646</v>
      </c>
      <c r="I157" s="58">
        <v>0</v>
      </c>
      <c r="J157" s="58">
        <v>2.3138584174320302E+18</v>
      </c>
    </row>
    <row r="158" spans="3:10">
      <c r="C158" s="29" t="b">
        <v>0</v>
      </c>
      <c r="D158" s="30" t="s">
        <v>72</v>
      </c>
      <c r="E158" s="137">
        <v>13</v>
      </c>
      <c r="F158" s="30" t="s">
        <v>70</v>
      </c>
      <c r="G158" s="30" t="s">
        <v>71</v>
      </c>
      <c r="H158" s="30">
        <v>-9.4970704658199998E-2</v>
      </c>
      <c r="I158" s="58">
        <v>0</v>
      </c>
      <c r="J158" s="58">
        <v>4.7126554430937395E+18</v>
      </c>
    </row>
    <row r="159" spans="3:10">
      <c r="C159" s="29" t="b">
        <v>0</v>
      </c>
      <c r="D159" s="30" t="s">
        <v>80</v>
      </c>
      <c r="E159" s="137">
        <v>13</v>
      </c>
      <c r="F159" s="30" t="s">
        <v>70</v>
      </c>
      <c r="G159" s="30" t="s">
        <v>71</v>
      </c>
      <c r="H159" s="30">
        <v>-7.4759867149199993E-2</v>
      </c>
      <c r="I159" s="58">
        <v>0</v>
      </c>
      <c r="J159" s="58">
        <v>9.7786607480220201E+18</v>
      </c>
    </row>
    <row r="160" spans="3:10">
      <c r="C160" s="29" t="b">
        <v>0</v>
      </c>
      <c r="D160" s="30" t="s">
        <v>81</v>
      </c>
      <c r="E160" s="137">
        <v>13</v>
      </c>
      <c r="F160" s="30" t="s">
        <v>70</v>
      </c>
      <c r="G160" s="30" t="s">
        <v>71</v>
      </c>
      <c r="H160" s="30">
        <v>-0.1165517168</v>
      </c>
      <c r="I160" s="58">
        <v>0</v>
      </c>
      <c r="J160" s="58">
        <v>1.7411176556924201E+19</v>
      </c>
    </row>
    <row r="161" spans="3:10">
      <c r="C161" s="29" t="b">
        <v>0</v>
      </c>
      <c r="D161" s="30" t="s">
        <v>82</v>
      </c>
      <c r="E161" s="137">
        <v>13</v>
      </c>
      <c r="F161" s="30" t="s">
        <v>70</v>
      </c>
      <c r="G161" s="30" t="s">
        <v>71</v>
      </c>
      <c r="H161" s="30">
        <v>-5.2655737335699997E-2</v>
      </c>
      <c r="I161" s="58">
        <v>0</v>
      </c>
      <c r="J161" s="58">
        <v>1.57228809163426E+19</v>
      </c>
    </row>
    <row r="162" spans="3:10">
      <c r="C162" s="29" t="b">
        <v>0</v>
      </c>
      <c r="D162" s="30" t="s">
        <v>83</v>
      </c>
      <c r="E162" s="137">
        <v>13</v>
      </c>
      <c r="F162" s="30" t="s">
        <v>70</v>
      </c>
      <c r="G162" s="30" t="s">
        <v>71</v>
      </c>
      <c r="H162" s="30">
        <v>-0.22435132305200001</v>
      </c>
      <c r="I162" s="58">
        <v>0</v>
      </c>
      <c r="J162" s="58">
        <v>1.22205186592569E+19</v>
      </c>
    </row>
    <row r="163" spans="3:10">
      <c r="C163" s="29" t="b">
        <v>0</v>
      </c>
      <c r="D163" s="30" t="s">
        <v>83</v>
      </c>
      <c r="E163" s="137">
        <v>0</v>
      </c>
      <c r="F163" s="30" t="s">
        <v>70</v>
      </c>
      <c r="G163" s="30" t="s">
        <v>71</v>
      </c>
      <c r="H163" s="30">
        <v>-6.4454004861000003E-2</v>
      </c>
      <c r="I163" s="58">
        <v>0</v>
      </c>
      <c r="J163" s="58">
        <v>6.2342355860017101E+18</v>
      </c>
    </row>
    <row r="164" spans="3:10">
      <c r="C164" s="29" t="b">
        <v>0</v>
      </c>
      <c r="D164" s="30" t="s">
        <v>69</v>
      </c>
      <c r="E164" s="137">
        <v>12</v>
      </c>
      <c r="F164" s="30" t="s">
        <v>70</v>
      </c>
      <c r="G164" s="30" t="s">
        <v>71</v>
      </c>
      <c r="H164" s="30">
        <v>-0.100984175249</v>
      </c>
      <c r="I164" s="58">
        <v>0</v>
      </c>
      <c r="J164" s="58">
        <v>1.43409100927576E+19</v>
      </c>
    </row>
    <row r="165" spans="3:10">
      <c r="C165" s="29" t="b">
        <v>0</v>
      </c>
      <c r="D165" s="30" t="s">
        <v>73</v>
      </c>
      <c r="E165" s="137">
        <v>12</v>
      </c>
      <c r="F165" s="30" t="s">
        <v>70</v>
      </c>
      <c r="G165" s="30" t="s">
        <v>71</v>
      </c>
      <c r="H165" s="30">
        <v>-5.2295304632899997E-2</v>
      </c>
      <c r="I165" s="58">
        <v>0</v>
      </c>
      <c r="J165" s="58">
        <v>1.5790367017413599E+19</v>
      </c>
    </row>
    <row r="166" spans="3:10">
      <c r="C166" s="29" t="b">
        <v>0</v>
      </c>
      <c r="D166" s="30" t="s">
        <v>74</v>
      </c>
      <c r="E166" s="137">
        <v>12</v>
      </c>
      <c r="F166" s="30" t="s">
        <v>70</v>
      </c>
      <c r="G166" s="30" t="s">
        <v>71</v>
      </c>
      <c r="H166" s="30">
        <v>-0.17850970186199999</v>
      </c>
      <c r="I166" s="58">
        <v>0</v>
      </c>
      <c r="J166" s="58">
        <v>4.4275020740032399E+18</v>
      </c>
    </row>
    <row r="167" spans="3:10">
      <c r="C167" s="29" t="b">
        <v>0</v>
      </c>
      <c r="D167" s="30" t="s">
        <v>75</v>
      </c>
      <c r="E167" s="137">
        <v>12</v>
      </c>
      <c r="F167" s="30" t="s">
        <v>70</v>
      </c>
      <c r="G167" s="30" t="s">
        <v>71</v>
      </c>
      <c r="H167" s="30">
        <v>-8.7232413845699894E-2</v>
      </c>
      <c r="I167" s="58">
        <v>0</v>
      </c>
      <c r="J167" s="58">
        <v>3.3284957093030702E+18</v>
      </c>
    </row>
    <row r="168" spans="3:10">
      <c r="C168" s="29" t="b">
        <v>0</v>
      </c>
      <c r="D168" s="30" t="s">
        <v>76</v>
      </c>
      <c r="E168" s="137">
        <v>12</v>
      </c>
      <c r="F168" s="30" t="s">
        <v>70</v>
      </c>
      <c r="G168" s="30" t="s">
        <v>71</v>
      </c>
      <c r="H168" s="30">
        <v>-9.7788995693799993E-2</v>
      </c>
      <c r="I168" s="58">
        <v>0</v>
      </c>
      <c r="J168" s="58">
        <v>6.4720163572053903E+18</v>
      </c>
    </row>
    <row r="169" spans="3:10">
      <c r="C169" s="29" t="b">
        <v>0</v>
      </c>
      <c r="D169" s="30" t="s">
        <v>77</v>
      </c>
      <c r="E169" s="137">
        <v>12</v>
      </c>
      <c r="F169" s="30" t="s">
        <v>70</v>
      </c>
      <c r="G169" s="30" t="s">
        <v>71</v>
      </c>
      <c r="H169" s="30">
        <v>-9.2510848678200003E-2</v>
      </c>
      <c r="I169" s="58">
        <v>0</v>
      </c>
      <c r="J169" s="58">
        <v>1.7103463113482899E+19</v>
      </c>
    </row>
    <row r="170" spans="3:10">
      <c r="C170" s="29" t="b">
        <v>0</v>
      </c>
      <c r="D170" s="30" t="s">
        <v>78</v>
      </c>
      <c r="E170" s="137">
        <v>12</v>
      </c>
      <c r="F170" s="30" t="s">
        <v>70</v>
      </c>
      <c r="G170" s="30" t="s">
        <v>71</v>
      </c>
      <c r="H170" s="30">
        <v>-4.0385242518199999E-2</v>
      </c>
      <c r="I170" s="58">
        <v>0</v>
      </c>
      <c r="J170" s="58">
        <v>1.1712625424217101E+18</v>
      </c>
    </row>
    <row r="171" spans="3:10">
      <c r="C171" s="29" t="b">
        <v>0</v>
      </c>
      <c r="D171" s="30" t="s">
        <v>79</v>
      </c>
      <c r="E171" s="137">
        <v>12</v>
      </c>
      <c r="F171" s="30" t="s">
        <v>70</v>
      </c>
      <c r="G171" s="30" t="s">
        <v>71</v>
      </c>
      <c r="H171" s="30">
        <v>-0.15069342830499999</v>
      </c>
      <c r="I171" s="58">
        <v>0</v>
      </c>
      <c r="J171" s="58">
        <v>2.5777654750797199E+18</v>
      </c>
    </row>
    <row r="172" spans="3:10">
      <c r="C172" s="29" t="b">
        <v>0</v>
      </c>
      <c r="D172" s="30" t="s">
        <v>72</v>
      </c>
      <c r="E172" s="137">
        <v>12</v>
      </c>
      <c r="F172" s="30" t="s">
        <v>70</v>
      </c>
      <c r="G172" s="30" t="s">
        <v>71</v>
      </c>
      <c r="H172" s="30">
        <v>-0.11049636909</v>
      </c>
      <c r="I172" s="58">
        <v>0</v>
      </c>
      <c r="J172" s="58">
        <v>1.5605114458945401E+19</v>
      </c>
    </row>
    <row r="173" spans="3:10">
      <c r="C173" s="29" t="b">
        <v>0</v>
      </c>
      <c r="D173" s="30" t="s">
        <v>80</v>
      </c>
      <c r="E173" s="137">
        <v>12</v>
      </c>
      <c r="F173" s="30" t="s">
        <v>70</v>
      </c>
      <c r="G173" s="30" t="s">
        <v>71</v>
      </c>
      <c r="H173" s="30">
        <v>-9.00360515443E-2</v>
      </c>
      <c r="I173" s="58">
        <v>0</v>
      </c>
      <c r="J173" s="58">
        <v>5.5927103526341704E+18</v>
      </c>
    </row>
    <row r="174" spans="3:10">
      <c r="C174" s="29" t="b">
        <v>0</v>
      </c>
      <c r="D174" s="30" t="s">
        <v>81</v>
      </c>
      <c r="E174" s="137">
        <v>12</v>
      </c>
      <c r="F174" s="30" t="s">
        <v>70</v>
      </c>
      <c r="G174" s="30" t="s">
        <v>71</v>
      </c>
      <c r="H174" s="30">
        <v>-9.1300950938400002E-2</v>
      </c>
      <c r="I174" s="58">
        <v>0</v>
      </c>
      <c r="J174" s="58">
        <v>1.6383418156614799E+19</v>
      </c>
    </row>
    <row r="175" spans="3:10">
      <c r="C175" s="29" t="b">
        <v>0</v>
      </c>
      <c r="D175" s="30" t="s">
        <v>82</v>
      </c>
      <c r="E175" s="137">
        <v>12</v>
      </c>
      <c r="F175" s="30" t="s">
        <v>70</v>
      </c>
      <c r="G175" s="30" t="s">
        <v>71</v>
      </c>
      <c r="H175" s="30">
        <v>-5.6376647172E-2</v>
      </c>
      <c r="I175" s="58">
        <v>0</v>
      </c>
      <c r="J175" s="58">
        <v>1.11586681258403E+19</v>
      </c>
    </row>
    <row r="176" spans="3:10">
      <c r="C176" s="29" t="b">
        <v>0</v>
      </c>
      <c r="D176" s="30" t="s">
        <v>83</v>
      </c>
      <c r="E176" s="137">
        <v>12</v>
      </c>
      <c r="F176" s="30" t="s">
        <v>70</v>
      </c>
      <c r="G176" s="30" t="s">
        <v>71</v>
      </c>
      <c r="H176" s="30">
        <v>-0.25548585957999997</v>
      </c>
      <c r="I176" s="58">
        <v>0</v>
      </c>
      <c r="J176" s="58">
        <v>1.01928860789271E+19</v>
      </c>
    </row>
    <row r="177" spans="3:10">
      <c r="C177" s="29" t="b">
        <v>0</v>
      </c>
      <c r="D177" s="30" t="s">
        <v>64</v>
      </c>
      <c r="E177" s="137">
        <v>12</v>
      </c>
      <c r="F177" s="30" t="s">
        <v>70</v>
      </c>
      <c r="G177" s="30" t="s">
        <v>71</v>
      </c>
      <c r="H177" s="30">
        <v>-5.2911483143400002E-2</v>
      </c>
      <c r="I177" s="58">
        <v>0</v>
      </c>
      <c r="J177" s="58">
        <v>1.7003581728164101E+18</v>
      </c>
    </row>
    <row r="178" spans="3:10">
      <c r="C178" s="29" t="b">
        <v>0</v>
      </c>
      <c r="D178" s="30" t="s">
        <v>69</v>
      </c>
      <c r="E178" s="137">
        <v>11</v>
      </c>
      <c r="F178" s="30" t="s">
        <v>70</v>
      </c>
      <c r="G178" s="30" t="s">
        <v>71</v>
      </c>
      <c r="H178" s="30">
        <v>-0.11257541213</v>
      </c>
      <c r="I178" s="58">
        <v>0</v>
      </c>
      <c r="J178" s="58">
        <v>5.32132436750707E+18</v>
      </c>
    </row>
    <row r="179" spans="3:10">
      <c r="C179" s="29" t="b">
        <v>0</v>
      </c>
      <c r="D179" s="30" t="s">
        <v>73</v>
      </c>
      <c r="E179" s="137">
        <v>11</v>
      </c>
      <c r="F179" s="30" t="s">
        <v>70</v>
      </c>
      <c r="G179" s="30" t="s">
        <v>71</v>
      </c>
      <c r="H179" s="30">
        <v>-5.6628447707399998E-2</v>
      </c>
      <c r="I179" s="58">
        <v>0</v>
      </c>
      <c r="J179" s="58">
        <v>4.6622396289016801E+18</v>
      </c>
    </row>
    <row r="180" spans="3:10">
      <c r="C180" s="29" t="b">
        <v>0</v>
      </c>
      <c r="D180" s="30" t="s">
        <v>74</v>
      </c>
      <c r="E180" s="137">
        <v>11</v>
      </c>
      <c r="F180" s="30" t="s">
        <v>70</v>
      </c>
      <c r="G180" s="30" t="s">
        <v>71</v>
      </c>
      <c r="H180" s="30">
        <v>-0.15070934253900001</v>
      </c>
      <c r="I180" s="58">
        <v>0</v>
      </c>
      <c r="J180" s="58">
        <v>9.2824325084895805E+18</v>
      </c>
    </row>
    <row r="181" spans="3:10">
      <c r="C181" s="29" t="b">
        <v>0</v>
      </c>
      <c r="D181" s="30" t="s">
        <v>75</v>
      </c>
      <c r="E181" s="137">
        <v>11</v>
      </c>
      <c r="F181" s="30" t="s">
        <v>70</v>
      </c>
      <c r="G181" s="30" t="s">
        <v>71</v>
      </c>
      <c r="H181" s="30">
        <v>-7.8080284296400002E-2</v>
      </c>
      <c r="I181" s="58">
        <v>0</v>
      </c>
      <c r="J181" s="58">
        <v>1.1411789364028299E+19</v>
      </c>
    </row>
    <row r="182" spans="3:10">
      <c r="C182" s="29" t="b">
        <v>0</v>
      </c>
      <c r="D182" s="30" t="s">
        <v>76</v>
      </c>
      <c r="E182" s="137">
        <v>11</v>
      </c>
      <c r="F182" s="30" t="s">
        <v>70</v>
      </c>
      <c r="G182" s="30" t="s">
        <v>71</v>
      </c>
      <c r="H182" s="30">
        <v>-7.2241225574000006E-2</v>
      </c>
      <c r="I182" s="58">
        <v>0</v>
      </c>
      <c r="J182" s="58">
        <v>1.5864919534445001E+19</v>
      </c>
    </row>
    <row r="183" spans="3:10">
      <c r="C183" s="29" t="b">
        <v>0</v>
      </c>
      <c r="D183" s="30" t="s">
        <v>77</v>
      </c>
      <c r="E183" s="137">
        <v>11</v>
      </c>
      <c r="F183" s="30" t="s">
        <v>70</v>
      </c>
      <c r="G183" s="30" t="s">
        <v>71</v>
      </c>
      <c r="H183" s="30">
        <v>-2.80246228922E-2</v>
      </c>
      <c r="I183" s="58">
        <v>0</v>
      </c>
      <c r="J183" s="58">
        <v>1.13010864571901E+18</v>
      </c>
    </row>
    <row r="184" spans="3:10">
      <c r="C184" s="29" t="b">
        <v>0</v>
      </c>
      <c r="D184" s="30" t="s">
        <v>78</v>
      </c>
      <c r="E184" s="137">
        <v>11</v>
      </c>
      <c r="F184" s="30" t="s">
        <v>70</v>
      </c>
      <c r="G184" s="30" t="s">
        <v>71</v>
      </c>
      <c r="H184" s="30">
        <v>-3.09911807764E-2</v>
      </c>
      <c r="I184" s="58">
        <v>0</v>
      </c>
      <c r="J184" s="58">
        <v>1.6201574827666999E+19</v>
      </c>
    </row>
    <row r="185" spans="3:10">
      <c r="C185" s="29" t="b">
        <v>0</v>
      </c>
      <c r="D185" s="30" t="s">
        <v>79</v>
      </c>
      <c r="E185" s="137">
        <v>11</v>
      </c>
      <c r="F185" s="30" t="s">
        <v>70</v>
      </c>
      <c r="G185" s="30" t="s">
        <v>71</v>
      </c>
      <c r="H185" s="30">
        <v>-0.13479542274299999</v>
      </c>
      <c r="I185" s="58">
        <v>0</v>
      </c>
      <c r="J185" s="58">
        <v>1.2428703243136899E+19</v>
      </c>
    </row>
    <row r="186" spans="3:10">
      <c r="C186" s="29" t="b">
        <v>0</v>
      </c>
      <c r="D186" s="30" t="s">
        <v>72</v>
      </c>
      <c r="E186" s="137">
        <v>11</v>
      </c>
      <c r="F186" s="30" t="s">
        <v>70</v>
      </c>
      <c r="G186" s="30" t="s">
        <v>71</v>
      </c>
      <c r="H186" s="30">
        <v>-0.120694930753</v>
      </c>
      <c r="I186" s="58">
        <v>0</v>
      </c>
      <c r="J186" s="58">
        <v>1.11222256162538E+19</v>
      </c>
    </row>
    <row r="187" spans="3:10">
      <c r="C187" s="29" t="b">
        <v>0</v>
      </c>
      <c r="D187" s="30" t="s">
        <v>80</v>
      </c>
      <c r="E187" s="137">
        <v>11</v>
      </c>
      <c r="F187" s="30" t="s">
        <v>70</v>
      </c>
      <c r="G187" s="30" t="s">
        <v>71</v>
      </c>
      <c r="H187" s="30">
        <v>-0.12854654313</v>
      </c>
      <c r="I187" s="58">
        <v>0</v>
      </c>
      <c r="J187" s="58">
        <v>3.6528674965934099E+17</v>
      </c>
    </row>
    <row r="188" spans="3:10">
      <c r="C188" s="29" t="b">
        <v>0</v>
      </c>
      <c r="D188" s="30" t="s">
        <v>81</v>
      </c>
      <c r="E188" s="137">
        <v>11</v>
      </c>
      <c r="F188" s="30" t="s">
        <v>70</v>
      </c>
      <c r="G188" s="30" t="s">
        <v>71</v>
      </c>
      <c r="H188" s="30">
        <v>-2.32737328152E-2</v>
      </c>
      <c r="I188" s="58">
        <v>0</v>
      </c>
      <c r="J188" s="58">
        <v>1.9250358175901901E+18</v>
      </c>
    </row>
    <row r="189" spans="3:10">
      <c r="C189" s="29" t="b">
        <v>0</v>
      </c>
      <c r="D189" s="30" t="s">
        <v>82</v>
      </c>
      <c r="E189" s="137">
        <v>11</v>
      </c>
      <c r="F189" s="30" t="s">
        <v>70</v>
      </c>
      <c r="G189" s="30" t="s">
        <v>71</v>
      </c>
      <c r="H189" s="30">
        <v>-7.3416817271600002E-2</v>
      </c>
      <c r="I189" s="58">
        <v>0</v>
      </c>
      <c r="J189" s="58">
        <v>4.5538212325839099E+18</v>
      </c>
    </row>
    <row r="190" spans="3:10">
      <c r="C190" s="29" t="b">
        <v>0</v>
      </c>
      <c r="D190" s="30" t="s">
        <v>83</v>
      </c>
      <c r="E190" s="137">
        <v>11</v>
      </c>
      <c r="F190" s="30" t="s">
        <v>70</v>
      </c>
      <c r="G190" s="30" t="s">
        <v>71</v>
      </c>
      <c r="H190" s="30">
        <v>-0.23847376427700001</v>
      </c>
      <c r="I190" s="58">
        <v>0</v>
      </c>
      <c r="J190" s="58">
        <v>5.8295888436416901E+18</v>
      </c>
    </row>
    <row r="191" spans="3:10">
      <c r="C191" s="29" t="b">
        <v>0</v>
      </c>
      <c r="D191" s="30" t="s">
        <v>64</v>
      </c>
      <c r="E191" s="137">
        <v>11</v>
      </c>
      <c r="F191" s="30" t="s">
        <v>70</v>
      </c>
      <c r="G191" s="30" t="s">
        <v>71</v>
      </c>
      <c r="H191" s="30">
        <v>-5.1469472451400003E-2</v>
      </c>
      <c r="I191" s="58">
        <v>0</v>
      </c>
      <c r="J191" s="58">
        <v>3.0293730109001498E+18</v>
      </c>
    </row>
    <row r="192" spans="3:10">
      <c r="C192" s="29" t="b">
        <v>0</v>
      </c>
      <c r="D192" s="30" t="s">
        <v>69</v>
      </c>
      <c r="E192" s="137">
        <v>10</v>
      </c>
      <c r="F192" s="30" t="s">
        <v>70</v>
      </c>
      <c r="G192" s="30" t="s">
        <v>71</v>
      </c>
      <c r="H192" s="30">
        <v>-7.4502610044300005E-2</v>
      </c>
      <c r="I192" s="58">
        <v>0</v>
      </c>
      <c r="J192" s="58">
        <v>1.6309171728013799E+19</v>
      </c>
    </row>
    <row r="193" spans="3:10">
      <c r="C193" s="29" t="b">
        <v>0</v>
      </c>
      <c r="D193" s="30" t="s">
        <v>73</v>
      </c>
      <c r="E193" s="137">
        <v>10</v>
      </c>
      <c r="F193" s="30" t="s">
        <v>70</v>
      </c>
      <c r="G193" s="30" t="s">
        <v>71</v>
      </c>
      <c r="H193" s="30">
        <v>-6.69700192247E-2</v>
      </c>
      <c r="I193" s="58">
        <v>0</v>
      </c>
      <c r="J193" s="58">
        <v>1.07195113781614E+19</v>
      </c>
    </row>
    <row r="194" spans="3:10">
      <c r="C194" s="29" t="b">
        <v>0</v>
      </c>
      <c r="D194" s="30" t="s">
        <v>74</v>
      </c>
      <c r="E194" s="137">
        <v>10</v>
      </c>
      <c r="F194" s="30" t="s">
        <v>70</v>
      </c>
      <c r="G194" s="30" t="s">
        <v>71</v>
      </c>
      <c r="H194" s="30">
        <v>-7.2780476678E-2</v>
      </c>
      <c r="I194" s="58">
        <v>0</v>
      </c>
      <c r="J194" s="58">
        <v>5.8220120648390298E+18</v>
      </c>
    </row>
    <row r="195" spans="3:10">
      <c r="C195" s="29" t="b">
        <v>0</v>
      </c>
      <c r="D195" s="30" t="s">
        <v>75</v>
      </c>
      <c r="E195" s="137">
        <v>10</v>
      </c>
      <c r="F195" s="30" t="s">
        <v>70</v>
      </c>
      <c r="G195" s="30" t="s">
        <v>71</v>
      </c>
      <c r="H195" s="30">
        <v>-4.1702309631699998E-2</v>
      </c>
      <c r="I195" s="58">
        <v>0</v>
      </c>
      <c r="J195" s="58">
        <v>7.6350203387926497E+18</v>
      </c>
    </row>
    <row r="196" spans="3:10">
      <c r="C196" s="29" t="b">
        <v>0</v>
      </c>
      <c r="D196" s="30" t="s">
        <v>76</v>
      </c>
      <c r="E196" s="137">
        <v>10</v>
      </c>
      <c r="F196" s="30" t="s">
        <v>70</v>
      </c>
      <c r="G196" s="30" t="s">
        <v>71</v>
      </c>
      <c r="H196" s="30">
        <v>-3.23796382167E-2</v>
      </c>
      <c r="I196" s="58">
        <v>0</v>
      </c>
      <c r="J196" s="58">
        <v>5.8117380687833098E+18</v>
      </c>
    </row>
    <row r="197" spans="3:10">
      <c r="C197" s="29" t="b">
        <v>0</v>
      </c>
      <c r="D197" s="30" t="s">
        <v>77</v>
      </c>
      <c r="E197" s="137">
        <v>10</v>
      </c>
      <c r="F197" s="30" t="s">
        <v>70</v>
      </c>
      <c r="G197" s="30" t="s">
        <v>71</v>
      </c>
      <c r="H197" s="30">
        <v>6.5197509942099996E-2</v>
      </c>
      <c r="I197" s="58">
        <v>0</v>
      </c>
      <c r="J197" s="58">
        <v>1.13849803262877E+18</v>
      </c>
    </row>
    <row r="198" spans="3:10">
      <c r="C198" s="29" t="b">
        <v>0</v>
      </c>
      <c r="D198" s="30" t="s">
        <v>78</v>
      </c>
      <c r="E198" s="137">
        <v>10</v>
      </c>
      <c r="F198" s="30" t="s">
        <v>70</v>
      </c>
      <c r="G198" s="30" t="s">
        <v>71</v>
      </c>
      <c r="H198" s="30">
        <v>1.6484911058299999E-3</v>
      </c>
      <c r="I198" s="58">
        <v>0</v>
      </c>
      <c r="J198" s="58">
        <v>6.5635002907347405E+18</v>
      </c>
    </row>
    <row r="199" spans="3:10">
      <c r="C199" s="29" t="b">
        <v>0</v>
      </c>
      <c r="D199" s="30" t="s">
        <v>79</v>
      </c>
      <c r="E199" s="137">
        <v>10</v>
      </c>
      <c r="F199" s="30" t="s">
        <v>70</v>
      </c>
      <c r="G199" s="30" t="s">
        <v>71</v>
      </c>
      <c r="H199" s="30">
        <v>-7.54333889525E-2</v>
      </c>
      <c r="I199" s="58">
        <v>0</v>
      </c>
      <c r="J199" s="58">
        <v>6.30089703684365E+18</v>
      </c>
    </row>
    <row r="200" spans="3:10">
      <c r="C200" s="29" t="b">
        <v>0</v>
      </c>
      <c r="D200" s="30" t="s">
        <v>72</v>
      </c>
      <c r="E200" s="137">
        <v>10</v>
      </c>
      <c r="F200" s="30" t="s">
        <v>70</v>
      </c>
      <c r="G200" s="30" t="s">
        <v>71</v>
      </c>
      <c r="H200" s="30">
        <v>-0.114761917544</v>
      </c>
      <c r="I200" s="58">
        <v>0</v>
      </c>
      <c r="J200" s="58">
        <v>4.0445134717869701E+18</v>
      </c>
    </row>
    <row r="201" spans="3:10">
      <c r="C201" s="29" t="b">
        <v>0</v>
      </c>
      <c r="D201" s="30" t="s">
        <v>80</v>
      </c>
      <c r="E201" s="137">
        <v>10</v>
      </c>
      <c r="F201" s="30" t="s">
        <v>70</v>
      </c>
      <c r="G201" s="30" t="s">
        <v>71</v>
      </c>
      <c r="H201" s="30">
        <v>-0.15265246158000001</v>
      </c>
      <c r="I201" s="58">
        <v>0</v>
      </c>
      <c r="J201" s="58">
        <v>1.8148051680428501E+19</v>
      </c>
    </row>
    <row r="202" spans="3:10">
      <c r="C202" s="29" t="b">
        <v>0</v>
      </c>
      <c r="D202" s="30" t="s">
        <v>81</v>
      </c>
      <c r="E202" s="137">
        <v>10</v>
      </c>
      <c r="F202" s="30" t="s">
        <v>70</v>
      </c>
      <c r="G202" s="30" t="s">
        <v>71</v>
      </c>
      <c r="H202" s="30">
        <v>8.9231478763799998E-2</v>
      </c>
      <c r="I202" s="58">
        <v>0</v>
      </c>
      <c r="J202" s="58">
        <v>7.1105369092409098E+18</v>
      </c>
    </row>
    <row r="203" spans="3:10">
      <c r="C203" s="29" t="b">
        <v>0</v>
      </c>
      <c r="D203" s="30" t="s">
        <v>82</v>
      </c>
      <c r="E203" s="137">
        <v>10</v>
      </c>
      <c r="F203" s="30" t="s">
        <v>70</v>
      </c>
      <c r="G203" s="30" t="s">
        <v>71</v>
      </c>
      <c r="H203" s="30">
        <v>-8.7687680518800007E-2</v>
      </c>
      <c r="I203" s="58">
        <v>0</v>
      </c>
      <c r="J203" s="58">
        <v>1.6045569143986801E+19</v>
      </c>
    </row>
    <row r="204" spans="3:10">
      <c r="C204" s="29" t="b">
        <v>0</v>
      </c>
      <c r="D204" s="30" t="s">
        <v>83</v>
      </c>
      <c r="E204" s="137">
        <v>10</v>
      </c>
      <c r="F204" s="30" t="s">
        <v>70</v>
      </c>
      <c r="G204" s="30" t="s">
        <v>71</v>
      </c>
      <c r="H204" s="30">
        <v>-0.13304099332699901</v>
      </c>
      <c r="I204" s="58">
        <v>0</v>
      </c>
      <c r="J204" s="58">
        <v>6.8660713094537503E+18</v>
      </c>
    </row>
    <row r="205" spans="3:10">
      <c r="C205" s="29" t="b">
        <v>0</v>
      </c>
      <c r="D205" s="30" t="s">
        <v>64</v>
      </c>
      <c r="E205" s="137">
        <v>10</v>
      </c>
      <c r="F205" s="30" t="s">
        <v>70</v>
      </c>
      <c r="G205" s="30" t="s">
        <v>71</v>
      </c>
      <c r="H205" s="30">
        <v>-4.79149730158E-2</v>
      </c>
      <c r="I205" s="58">
        <v>0</v>
      </c>
      <c r="J205" s="58">
        <v>1.2008499514368999E+19</v>
      </c>
    </row>
    <row r="206" spans="3:10">
      <c r="C206" s="29" t="b">
        <v>0</v>
      </c>
      <c r="D206" s="30" t="s">
        <v>69</v>
      </c>
      <c r="E206" s="137">
        <v>9</v>
      </c>
      <c r="F206" s="30" t="s">
        <v>70</v>
      </c>
      <c r="G206" s="30" t="s">
        <v>71</v>
      </c>
      <c r="H206" s="30">
        <v>1.32453345685E-2</v>
      </c>
      <c r="I206" s="58">
        <v>0</v>
      </c>
      <c r="J206" s="58">
        <v>6.3958497350573302E+18</v>
      </c>
    </row>
    <row r="207" spans="3:10">
      <c r="C207" s="29" t="b">
        <v>0</v>
      </c>
      <c r="D207" s="30" t="s">
        <v>73</v>
      </c>
      <c r="E207" s="137">
        <v>9</v>
      </c>
      <c r="F207" s="30" t="s">
        <v>70</v>
      </c>
      <c r="G207" s="30" t="s">
        <v>71</v>
      </c>
      <c r="H207" s="30">
        <v>-6.2335021025599999E-2</v>
      </c>
      <c r="I207" s="58">
        <v>0</v>
      </c>
      <c r="J207" s="58">
        <v>9.9325402416402801E+18</v>
      </c>
    </row>
    <row r="208" spans="3:10">
      <c r="C208" s="29" t="b">
        <v>0</v>
      </c>
      <c r="D208" s="30" t="s">
        <v>74</v>
      </c>
      <c r="E208" s="137">
        <v>9</v>
      </c>
      <c r="F208" s="30" t="s">
        <v>70</v>
      </c>
      <c r="G208" s="30" t="s">
        <v>71</v>
      </c>
      <c r="H208" s="30">
        <v>4.5418531372900001E-2</v>
      </c>
      <c r="I208" s="58">
        <v>0</v>
      </c>
      <c r="J208" s="58">
        <v>4.4487828988200202E+18</v>
      </c>
    </row>
    <row r="209" spans="3:10">
      <c r="C209" s="29" t="b">
        <v>0</v>
      </c>
      <c r="D209" s="30" t="s">
        <v>75</v>
      </c>
      <c r="E209" s="137">
        <v>9</v>
      </c>
      <c r="F209" s="30" t="s">
        <v>70</v>
      </c>
      <c r="G209" s="30" t="s">
        <v>71</v>
      </c>
      <c r="H209" s="30">
        <v>3.1006446777599998E-2</v>
      </c>
      <c r="I209" s="58">
        <v>0</v>
      </c>
      <c r="J209" s="58">
        <v>1.73604336069883E+19</v>
      </c>
    </row>
    <row r="210" spans="3:10">
      <c r="C210" s="29" t="b">
        <v>0</v>
      </c>
      <c r="D210" s="30" t="s">
        <v>76</v>
      </c>
      <c r="E210" s="137">
        <v>9</v>
      </c>
      <c r="F210" s="30" t="s">
        <v>70</v>
      </c>
      <c r="G210" s="30" t="s">
        <v>71</v>
      </c>
      <c r="H210" s="30">
        <v>2.9052961628000001E-2</v>
      </c>
      <c r="I210" s="58">
        <v>0</v>
      </c>
      <c r="J210" s="58">
        <v>1.2708899841818499E+19</v>
      </c>
    </row>
    <row r="211" spans="3:10">
      <c r="C211" s="29" t="b">
        <v>0</v>
      </c>
      <c r="D211" s="30" t="s">
        <v>82</v>
      </c>
      <c r="E211" s="137">
        <v>14</v>
      </c>
      <c r="F211" s="30" t="s">
        <v>70</v>
      </c>
      <c r="G211" s="30" t="s">
        <v>71</v>
      </c>
      <c r="H211" s="30">
        <v>-5.2874529950100002E-2</v>
      </c>
      <c r="I211" s="58">
        <v>0</v>
      </c>
      <c r="J211" s="58">
        <v>2.6804363494330798E+18</v>
      </c>
    </row>
    <row r="212" spans="3:10">
      <c r="C212" s="29" t="b">
        <v>0</v>
      </c>
      <c r="D212" s="30" t="s">
        <v>79</v>
      </c>
      <c r="E212" s="137">
        <v>9</v>
      </c>
      <c r="F212" s="30" t="s">
        <v>70</v>
      </c>
      <c r="G212" s="30" t="s">
        <v>71</v>
      </c>
      <c r="H212" s="30">
        <v>9.0174040109400003E-3</v>
      </c>
      <c r="I212" s="58">
        <v>0</v>
      </c>
      <c r="J212" s="58">
        <v>8.7661989708417597E+18</v>
      </c>
    </row>
    <row r="213" spans="3:10">
      <c r="C213" s="29" t="b">
        <v>0</v>
      </c>
      <c r="D213" s="30" t="s">
        <v>78</v>
      </c>
      <c r="E213" s="137">
        <v>3</v>
      </c>
      <c r="F213" s="30" t="s">
        <v>70</v>
      </c>
      <c r="G213" s="30" t="s">
        <v>71</v>
      </c>
      <c r="H213" s="30">
        <v>9.54793068239E-3</v>
      </c>
      <c r="I213" s="58">
        <v>0</v>
      </c>
      <c r="J213" s="58">
        <v>1.7886515946844001E+18</v>
      </c>
    </row>
    <row r="214" spans="3:10">
      <c r="C214" s="29" t="b">
        <v>0</v>
      </c>
      <c r="D214" s="30" t="s">
        <v>64</v>
      </c>
      <c r="E214" s="137">
        <v>7</v>
      </c>
      <c r="F214" s="30" t="s">
        <v>70</v>
      </c>
      <c r="G214" s="30" t="s">
        <v>71</v>
      </c>
      <c r="H214" s="30">
        <v>7.4342752843299997E-2</v>
      </c>
      <c r="I214" s="58">
        <v>0</v>
      </c>
      <c r="J214" s="58">
        <v>6.5315820255813094E+17</v>
      </c>
    </row>
    <row r="215" spans="3:10">
      <c r="C215" s="29" t="b">
        <v>0</v>
      </c>
      <c r="D215" s="30" t="s">
        <v>81</v>
      </c>
      <c r="E215" s="137">
        <v>9</v>
      </c>
      <c r="F215" s="30" t="s">
        <v>70</v>
      </c>
      <c r="G215" s="30" t="s">
        <v>71</v>
      </c>
      <c r="H215" s="30">
        <v>0.22171613873000001</v>
      </c>
      <c r="I215" s="58">
        <v>0</v>
      </c>
      <c r="J215" s="58">
        <v>7.4966222391640596E+18</v>
      </c>
    </row>
    <row r="216" spans="3:10">
      <c r="C216" s="29" t="b">
        <v>0</v>
      </c>
      <c r="D216" s="30" t="s">
        <v>82</v>
      </c>
      <c r="E216" s="137">
        <v>9</v>
      </c>
      <c r="F216" s="30" t="s">
        <v>70</v>
      </c>
      <c r="G216" s="30" t="s">
        <v>71</v>
      </c>
      <c r="H216" s="30">
        <v>-8.2613396202999997E-2</v>
      </c>
      <c r="I216" s="58">
        <v>0</v>
      </c>
      <c r="J216" s="58">
        <v>1.6878387582992599E+19</v>
      </c>
    </row>
    <row r="217" spans="3:10">
      <c r="C217" s="29" t="b">
        <v>0</v>
      </c>
      <c r="D217" s="30" t="s">
        <v>83</v>
      </c>
      <c r="E217" s="137">
        <v>9</v>
      </c>
      <c r="F217" s="30" t="s">
        <v>70</v>
      </c>
      <c r="G217" s="30" t="s">
        <v>71</v>
      </c>
      <c r="H217" s="30">
        <v>5.7891763880400002E-2</v>
      </c>
      <c r="I217" s="58">
        <v>0</v>
      </c>
      <c r="J217" s="58">
        <v>1.2278069357247701E+19</v>
      </c>
    </row>
    <row r="218" spans="3:10">
      <c r="C218" s="29" t="b">
        <v>0</v>
      </c>
      <c r="D218" s="30" t="s">
        <v>64</v>
      </c>
      <c r="E218" s="137">
        <v>9</v>
      </c>
      <c r="F218" s="30" t="s">
        <v>70</v>
      </c>
      <c r="G218" s="30" t="s">
        <v>71</v>
      </c>
      <c r="H218" s="30">
        <v>-3.5586997112499998E-2</v>
      </c>
      <c r="I218" s="58">
        <v>0</v>
      </c>
      <c r="J218" s="58">
        <v>1.44706900602573E+19</v>
      </c>
    </row>
    <row r="219" spans="3:10">
      <c r="C219" s="29" t="b">
        <v>0</v>
      </c>
      <c r="D219" s="30" t="s">
        <v>69</v>
      </c>
      <c r="E219" s="137">
        <v>8</v>
      </c>
      <c r="F219" s="30" t="s">
        <v>70</v>
      </c>
      <c r="G219" s="30" t="s">
        <v>71</v>
      </c>
      <c r="H219" s="30">
        <v>0.13099104705100001</v>
      </c>
      <c r="I219" s="58">
        <v>0</v>
      </c>
      <c r="J219" s="58">
        <v>5.0213605777970401E+18</v>
      </c>
    </row>
    <row r="220" spans="3:10">
      <c r="C220" s="29" t="b">
        <v>0</v>
      </c>
      <c r="D220" s="30" t="s">
        <v>73</v>
      </c>
      <c r="E220" s="137">
        <v>8</v>
      </c>
      <c r="F220" s="30" t="s">
        <v>70</v>
      </c>
      <c r="G220" s="30" t="s">
        <v>71</v>
      </c>
      <c r="H220" s="30">
        <v>-2.7577479840900001E-2</v>
      </c>
      <c r="I220" s="58">
        <v>0</v>
      </c>
      <c r="J220" s="58">
        <v>1.07009437828278E+18</v>
      </c>
    </row>
    <row r="221" spans="3:10">
      <c r="C221" s="29" t="b">
        <v>0</v>
      </c>
      <c r="D221" s="30" t="s">
        <v>74</v>
      </c>
      <c r="E221" s="137">
        <v>8</v>
      </c>
      <c r="F221" s="30" t="s">
        <v>70</v>
      </c>
      <c r="G221" s="30" t="s">
        <v>71</v>
      </c>
      <c r="H221" s="30">
        <v>0.16967329735100001</v>
      </c>
      <c r="I221" s="58">
        <v>0</v>
      </c>
      <c r="J221" s="58">
        <v>1.53708065665954E+19</v>
      </c>
    </row>
    <row r="222" spans="3:10">
      <c r="C222" s="29" t="b">
        <v>0</v>
      </c>
      <c r="D222" s="30" t="s">
        <v>75</v>
      </c>
      <c r="E222" s="137">
        <v>8</v>
      </c>
      <c r="F222" s="30" t="s">
        <v>70</v>
      </c>
      <c r="G222" s="30" t="s">
        <v>71</v>
      </c>
      <c r="H222" s="30">
        <v>0.136290736966</v>
      </c>
      <c r="I222" s="58">
        <v>0</v>
      </c>
      <c r="J222" s="58">
        <v>6.4736237100578099E+18</v>
      </c>
    </row>
    <row r="223" spans="3:10">
      <c r="C223" s="29" t="b">
        <v>0</v>
      </c>
      <c r="D223" s="30" t="s">
        <v>76</v>
      </c>
      <c r="E223" s="137">
        <v>8</v>
      </c>
      <c r="F223" s="30" t="s">
        <v>70</v>
      </c>
      <c r="G223" s="30" t="s">
        <v>71</v>
      </c>
      <c r="H223" s="30">
        <v>0.121580532588</v>
      </c>
      <c r="I223" s="58">
        <v>0</v>
      </c>
      <c r="J223" s="58">
        <v>1.16184541506326E+19</v>
      </c>
    </row>
    <row r="224" spans="3:10">
      <c r="C224" s="29" t="b">
        <v>0</v>
      </c>
      <c r="D224" s="30" t="s">
        <v>77</v>
      </c>
      <c r="E224" s="137">
        <v>8</v>
      </c>
      <c r="F224" s="30" t="s">
        <v>70</v>
      </c>
      <c r="G224" s="30" t="s">
        <v>71</v>
      </c>
      <c r="H224" s="30">
        <v>0.263207487992</v>
      </c>
      <c r="I224" s="58">
        <v>0</v>
      </c>
      <c r="J224" s="58">
        <v>2.6969293771427501E+17</v>
      </c>
    </row>
    <row r="225" spans="3:10">
      <c r="C225" s="29" t="b">
        <v>0</v>
      </c>
      <c r="D225" s="30" t="s">
        <v>78</v>
      </c>
      <c r="E225" s="137">
        <v>8</v>
      </c>
      <c r="F225" s="30" t="s">
        <v>70</v>
      </c>
      <c r="G225" s="30" t="s">
        <v>71</v>
      </c>
      <c r="H225" s="30">
        <v>0.13317559373000001</v>
      </c>
      <c r="I225" s="58">
        <v>0</v>
      </c>
      <c r="J225" s="58">
        <v>7.2844717577349796E+18</v>
      </c>
    </row>
    <row r="226" spans="3:10">
      <c r="C226" s="29" t="b">
        <v>0</v>
      </c>
      <c r="D226" s="30" t="s">
        <v>79</v>
      </c>
      <c r="E226" s="137">
        <v>8</v>
      </c>
      <c r="F226" s="30" t="s">
        <v>70</v>
      </c>
      <c r="G226" s="30" t="s">
        <v>71</v>
      </c>
      <c r="H226" s="30">
        <v>0.112147204561</v>
      </c>
      <c r="I226" s="58">
        <v>0</v>
      </c>
      <c r="J226" s="58">
        <v>6.87315081099695E+18</v>
      </c>
    </row>
    <row r="227" spans="3:10">
      <c r="C227" s="29" t="b">
        <v>0</v>
      </c>
      <c r="D227" s="30" t="s">
        <v>72</v>
      </c>
      <c r="E227" s="137">
        <v>8</v>
      </c>
      <c r="F227" s="30" t="s">
        <v>70</v>
      </c>
      <c r="G227" s="30" t="s">
        <v>71</v>
      </c>
      <c r="H227" s="30">
        <v>6.8051353980600002E-3</v>
      </c>
      <c r="I227" s="58">
        <v>0</v>
      </c>
      <c r="J227" s="58">
        <v>1.22207838379231E+18</v>
      </c>
    </row>
    <row r="228" spans="3:10">
      <c r="C228" s="29" t="b">
        <v>0</v>
      </c>
      <c r="D228" s="30" t="s">
        <v>80</v>
      </c>
      <c r="E228" s="137">
        <v>8</v>
      </c>
      <c r="F228" s="30" t="s">
        <v>70</v>
      </c>
      <c r="G228" s="30" t="s">
        <v>71</v>
      </c>
      <c r="H228" s="30">
        <v>1.7534785968E-2</v>
      </c>
      <c r="I228" s="58">
        <v>0</v>
      </c>
      <c r="J228" s="58">
        <v>2.3216378985326899E+17</v>
      </c>
    </row>
    <row r="229" spans="3:10">
      <c r="C229" s="29" t="b">
        <v>0</v>
      </c>
      <c r="D229" s="30" t="s">
        <v>81</v>
      </c>
      <c r="E229" s="137">
        <v>8</v>
      </c>
      <c r="F229" s="30" t="s">
        <v>70</v>
      </c>
      <c r="G229" s="30" t="s">
        <v>71</v>
      </c>
      <c r="H229" s="30">
        <v>0.33714329755400002</v>
      </c>
      <c r="I229" s="58">
        <v>0</v>
      </c>
      <c r="J229" s="58">
        <v>1.8294916419513999E+19</v>
      </c>
    </row>
    <row r="230" spans="3:10">
      <c r="C230" s="29" t="b">
        <v>0</v>
      </c>
      <c r="D230" s="30" t="s">
        <v>79</v>
      </c>
      <c r="E230" s="137">
        <v>2</v>
      </c>
      <c r="F230" s="30" t="s">
        <v>70</v>
      </c>
      <c r="G230" s="30" t="s">
        <v>71</v>
      </c>
      <c r="H230" s="30">
        <v>-3.07806076045E-2</v>
      </c>
      <c r="I230" s="58">
        <v>0</v>
      </c>
      <c r="J230" s="58">
        <v>7.8504245805158605E+17</v>
      </c>
    </row>
    <row r="231" spans="3:10">
      <c r="C231" s="29" t="b">
        <v>0</v>
      </c>
      <c r="D231" s="30" t="s">
        <v>83</v>
      </c>
      <c r="E231" s="137">
        <v>8</v>
      </c>
      <c r="F231" s="30" t="s">
        <v>70</v>
      </c>
      <c r="G231" s="30" t="s">
        <v>71</v>
      </c>
      <c r="H231" s="30">
        <v>0.29463915742000002</v>
      </c>
      <c r="I231" s="58">
        <v>0</v>
      </c>
      <c r="J231" s="58">
        <v>6.8850984757390203E+18</v>
      </c>
    </row>
    <row r="232" spans="3:10">
      <c r="C232" s="29" t="b">
        <v>0</v>
      </c>
      <c r="D232" s="30" t="s">
        <v>64</v>
      </c>
      <c r="E232" s="137">
        <v>8</v>
      </c>
      <c r="F232" s="30" t="s">
        <v>70</v>
      </c>
      <c r="G232" s="30" t="s">
        <v>71</v>
      </c>
      <c r="H232" s="30">
        <v>5.10065001767E-3</v>
      </c>
      <c r="I232" s="58">
        <v>0</v>
      </c>
      <c r="J232" s="58">
        <v>5.39580427985263E+18</v>
      </c>
    </row>
    <row r="233" spans="3:10">
      <c r="C233" s="29" t="b">
        <v>0</v>
      </c>
      <c r="D233" s="30" t="s">
        <v>69</v>
      </c>
      <c r="E233" s="137">
        <v>7</v>
      </c>
      <c r="F233" s="30" t="s">
        <v>70</v>
      </c>
      <c r="G233" s="30" t="s">
        <v>71</v>
      </c>
      <c r="H233" s="30">
        <v>0.24074707368600001</v>
      </c>
      <c r="I233" s="58">
        <v>0</v>
      </c>
      <c r="J233" s="58">
        <v>1.37468586640849E+19</v>
      </c>
    </row>
    <row r="234" spans="3:10">
      <c r="C234" s="29" t="b">
        <v>0</v>
      </c>
      <c r="D234" s="30" t="s">
        <v>73</v>
      </c>
      <c r="E234" s="137">
        <v>7</v>
      </c>
      <c r="F234" s="30" t="s">
        <v>70</v>
      </c>
      <c r="G234" s="30" t="s">
        <v>71</v>
      </c>
      <c r="H234" s="30">
        <v>5.0172678325300001E-2</v>
      </c>
      <c r="I234" s="58">
        <v>0</v>
      </c>
      <c r="J234" s="58">
        <v>1.5184035668027001E+19</v>
      </c>
    </row>
    <row r="235" spans="3:10">
      <c r="C235" s="29" t="b">
        <v>0</v>
      </c>
      <c r="D235" s="30" t="s">
        <v>74</v>
      </c>
      <c r="E235" s="137">
        <v>7</v>
      </c>
      <c r="F235" s="30" t="s">
        <v>70</v>
      </c>
      <c r="G235" s="30" t="s">
        <v>71</v>
      </c>
      <c r="H235" s="30">
        <v>0.25404232123699999</v>
      </c>
      <c r="I235" s="58">
        <v>0</v>
      </c>
      <c r="J235" s="58">
        <v>1.3334106321826699E+19</v>
      </c>
    </row>
    <row r="236" spans="3:10">
      <c r="C236" s="29" t="b">
        <v>0</v>
      </c>
      <c r="D236" s="30" t="s">
        <v>75</v>
      </c>
      <c r="E236" s="137">
        <v>7</v>
      </c>
      <c r="F236" s="30" t="s">
        <v>70</v>
      </c>
      <c r="G236" s="30" t="s">
        <v>71</v>
      </c>
      <c r="H236" s="30">
        <v>0.24564175970499999</v>
      </c>
      <c r="I236" s="58">
        <v>0</v>
      </c>
      <c r="J236" s="58">
        <v>7.3556761816149299E+18</v>
      </c>
    </row>
    <row r="237" spans="3:10">
      <c r="C237" s="29" t="b">
        <v>0</v>
      </c>
      <c r="D237" s="30" t="s">
        <v>76</v>
      </c>
      <c r="E237" s="137">
        <v>7</v>
      </c>
      <c r="F237" s="30" t="s">
        <v>70</v>
      </c>
      <c r="G237" s="30" t="s">
        <v>71</v>
      </c>
      <c r="H237" s="30">
        <v>0.23823081562000001</v>
      </c>
      <c r="I237" s="58">
        <v>0</v>
      </c>
      <c r="J237" s="58">
        <v>9.8141772641060209E+18</v>
      </c>
    </row>
    <row r="238" spans="3:10">
      <c r="C238" s="29" t="b">
        <v>0</v>
      </c>
      <c r="D238" s="30" t="s">
        <v>77</v>
      </c>
      <c r="E238" s="137">
        <v>7</v>
      </c>
      <c r="F238" s="30" t="s">
        <v>70</v>
      </c>
      <c r="G238" s="30" t="s">
        <v>71</v>
      </c>
      <c r="H238" s="30">
        <v>0.31281103367500002</v>
      </c>
      <c r="I238" s="58">
        <v>0</v>
      </c>
      <c r="J238" s="58">
        <v>9.9412060607654707E+18</v>
      </c>
    </row>
    <row r="239" spans="3:10">
      <c r="C239" s="29" t="b">
        <v>0</v>
      </c>
      <c r="D239" s="30" t="s">
        <v>78</v>
      </c>
      <c r="E239" s="137">
        <v>7</v>
      </c>
      <c r="F239" s="30" t="s">
        <v>70</v>
      </c>
      <c r="G239" s="30" t="s">
        <v>71</v>
      </c>
      <c r="H239" s="30">
        <v>0.198789642958</v>
      </c>
      <c r="I239" s="58">
        <v>0</v>
      </c>
      <c r="J239" s="58">
        <v>1.84360203383023E+19</v>
      </c>
    </row>
    <row r="240" spans="3:10">
      <c r="C240" s="29" t="b">
        <v>0</v>
      </c>
      <c r="D240" s="30" t="s">
        <v>79</v>
      </c>
      <c r="E240" s="137">
        <v>7</v>
      </c>
      <c r="F240" s="30" t="s">
        <v>70</v>
      </c>
      <c r="G240" s="30" t="s">
        <v>71</v>
      </c>
      <c r="H240" s="30">
        <v>0.21447957006599999</v>
      </c>
      <c r="I240" s="58">
        <v>0</v>
      </c>
      <c r="J240" s="58">
        <v>1.50077886627975E+19</v>
      </c>
    </row>
    <row r="241" spans="3:10">
      <c r="C241" s="29" t="b">
        <v>0</v>
      </c>
      <c r="D241" s="30" t="s">
        <v>72</v>
      </c>
      <c r="E241" s="137">
        <v>7</v>
      </c>
      <c r="F241" s="30" t="s">
        <v>70</v>
      </c>
      <c r="G241" s="30" t="s">
        <v>71</v>
      </c>
      <c r="H241" s="30">
        <v>0.119176862322</v>
      </c>
      <c r="I241" s="58">
        <v>0</v>
      </c>
      <c r="J241" s="58">
        <v>1.46083968183226E+19</v>
      </c>
    </row>
    <row r="242" spans="3:10">
      <c r="C242" s="29" t="b">
        <v>0</v>
      </c>
      <c r="D242" s="30" t="s">
        <v>80</v>
      </c>
      <c r="E242" s="137">
        <v>7</v>
      </c>
      <c r="F242" s="30" t="s">
        <v>70</v>
      </c>
      <c r="G242" s="30" t="s">
        <v>71</v>
      </c>
      <c r="H242" s="30">
        <v>0.22044852459200001</v>
      </c>
      <c r="I242" s="58">
        <v>0</v>
      </c>
      <c r="J242" s="58">
        <v>8.0752708434929295E+18</v>
      </c>
    </row>
    <row r="243" spans="3:10">
      <c r="C243" s="29" t="b">
        <v>0</v>
      </c>
      <c r="D243" s="30" t="s">
        <v>81</v>
      </c>
      <c r="E243" s="137">
        <v>7</v>
      </c>
      <c r="F243" s="30" t="s">
        <v>70</v>
      </c>
      <c r="G243" s="30" t="s">
        <v>71</v>
      </c>
      <c r="H243" s="30">
        <v>0.39046573375999999</v>
      </c>
      <c r="I243" s="58">
        <v>0</v>
      </c>
      <c r="J243" s="58">
        <v>8.3622560416507802E+17</v>
      </c>
    </row>
    <row r="244" spans="3:10">
      <c r="C244" s="29" t="b">
        <v>0</v>
      </c>
      <c r="D244" s="30" t="s">
        <v>82</v>
      </c>
      <c r="E244" s="137">
        <v>7</v>
      </c>
      <c r="F244" s="30" t="s">
        <v>70</v>
      </c>
      <c r="G244" s="30" t="s">
        <v>71</v>
      </c>
      <c r="H244" s="30">
        <v>4.5743626945300001E-2</v>
      </c>
      <c r="I244" s="58">
        <v>0</v>
      </c>
      <c r="J244" s="58">
        <v>8.7992456145250703E+18</v>
      </c>
    </row>
    <row r="245" spans="3:10">
      <c r="C245" s="29" t="b">
        <v>0</v>
      </c>
      <c r="D245" s="30" t="s">
        <v>83</v>
      </c>
      <c r="E245" s="137">
        <v>7</v>
      </c>
      <c r="F245" s="30" t="s">
        <v>70</v>
      </c>
      <c r="G245" s="30" t="s">
        <v>71</v>
      </c>
      <c r="H245" s="30">
        <v>0.49478686519699999</v>
      </c>
      <c r="I245" s="58">
        <v>0</v>
      </c>
      <c r="J245" s="58">
        <v>1.32654677687679E+19</v>
      </c>
    </row>
    <row r="246" spans="3:10">
      <c r="C246" s="29" t="b">
        <v>0</v>
      </c>
      <c r="D246" s="30" t="s">
        <v>80</v>
      </c>
      <c r="E246" s="137">
        <v>9</v>
      </c>
      <c r="F246" s="30" t="s">
        <v>70</v>
      </c>
      <c r="G246" s="30" t="s">
        <v>71</v>
      </c>
      <c r="H246" s="30">
        <v>-0.114241981967</v>
      </c>
      <c r="I246" s="58">
        <v>0</v>
      </c>
      <c r="J246" s="58">
        <v>1.88329195240384E+18</v>
      </c>
    </row>
    <row r="247" spans="3:10">
      <c r="C247" s="29" t="b">
        <v>0</v>
      </c>
      <c r="D247" s="30" t="s">
        <v>69</v>
      </c>
      <c r="E247" s="137">
        <v>6</v>
      </c>
      <c r="F247" s="30" t="s">
        <v>70</v>
      </c>
      <c r="G247" s="30" t="s">
        <v>71</v>
      </c>
      <c r="H247" s="30">
        <v>0.29188431877600002</v>
      </c>
      <c r="I247" s="58">
        <v>0</v>
      </c>
      <c r="J247" s="58">
        <v>1.5493911970812801E+19</v>
      </c>
    </row>
    <row r="248" spans="3:10">
      <c r="C248" s="29" t="b">
        <v>0</v>
      </c>
      <c r="D248" s="30" t="s">
        <v>73</v>
      </c>
      <c r="E248" s="137">
        <v>5</v>
      </c>
      <c r="F248" s="30" t="s">
        <v>70</v>
      </c>
      <c r="G248" s="30" t="s">
        <v>71</v>
      </c>
      <c r="H248" s="30">
        <v>0.24813800944799999</v>
      </c>
      <c r="I248" s="58">
        <v>0</v>
      </c>
      <c r="J248" s="58">
        <v>2.3090805616292598E+18</v>
      </c>
    </row>
    <row r="249" spans="3:10">
      <c r="C249" s="29" t="b">
        <v>0</v>
      </c>
      <c r="D249" s="30" t="s">
        <v>82</v>
      </c>
      <c r="E249" s="137">
        <v>6</v>
      </c>
      <c r="F249" s="30" t="s">
        <v>70</v>
      </c>
      <c r="G249" s="30" t="s">
        <v>67</v>
      </c>
      <c r="H249" s="30">
        <v>0.101050432206</v>
      </c>
      <c r="I249" s="58">
        <v>0</v>
      </c>
      <c r="J249" s="58">
        <v>5.8623042850935798E+18</v>
      </c>
    </row>
    <row r="250" spans="3:10">
      <c r="C250" s="29" t="b">
        <v>0</v>
      </c>
      <c r="D250" s="30" t="s">
        <v>83</v>
      </c>
      <c r="E250" s="137">
        <v>6</v>
      </c>
      <c r="F250" s="30" t="s">
        <v>70</v>
      </c>
      <c r="G250" s="30" t="s">
        <v>71</v>
      </c>
      <c r="H250" s="30">
        <v>0.56498472144800005</v>
      </c>
      <c r="I250" s="58">
        <v>0</v>
      </c>
      <c r="J250" s="58">
        <v>1.77307829145378E+19</v>
      </c>
    </row>
    <row r="251" spans="3:10">
      <c r="C251" s="29" t="b">
        <v>0</v>
      </c>
      <c r="D251" s="30" t="s">
        <v>82</v>
      </c>
      <c r="E251" s="137">
        <v>6</v>
      </c>
      <c r="F251" s="30" t="s">
        <v>70</v>
      </c>
      <c r="G251" s="30" t="s">
        <v>71</v>
      </c>
      <c r="H251" s="30">
        <v>0.14343611999700001</v>
      </c>
      <c r="I251" s="58">
        <v>0</v>
      </c>
      <c r="J251" s="58">
        <v>1.2095151955211301E+19</v>
      </c>
    </row>
    <row r="252" spans="3:10">
      <c r="C252" s="29" t="b">
        <v>0</v>
      </c>
      <c r="D252" s="30" t="s">
        <v>81</v>
      </c>
      <c r="E252" s="137">
        <v>6</v>
      </c>
      <c r="F252" s="30" t="s">
        <v>70</v>
      </c>
      <c r="G252" s="30" t="s">
        <v>71</v>
      </c>
      <c r="H252" s="30">
        <v>0.34047991813799999</v>
      </c>
      <c r="I252" s="58">
        <v>0</v>
      </c>
      <c r="J252" s="58">
        <v>9.75474043420365E+18</v>
      </c>
    </row>
    <row r="253" spans="3:10">
      <c r="C253" s="29" t="b">
        <v>0</v>
      </c>
      <c r="D253" s="30" t="s">
        <v>80</v>
      </c>
      <c r="E253" s="137">
        <v>6</v>
      </c>
      <c r="F253" s="30" t="s">
        <v>70</v>
      </c>
      <c r="G253" s="30" t="s">
        <v>71</v>
      </c>
      <c r="H253" s="30">
        <v>0.40584005702800002</v>
      </c>
      <c r="I253" s="58">
        <v>0</v>
      </c>
      <c r="J253" s="58">
        <v>7.0603322759213005E+18</v>
      </c>
    </row>
    <row r="254" spans="3:10">
      <c r="C254" s="29" t="b">
        <v>0</v>
      </c>
      <c r="D254" s="30" t="s">
        <v>72</v>
      </c>
      <c r="E254" s="137">
        <v>6</v>
      </c>
      <c r="F254" s="30" t="s">
        <v>70</v>
      </c>
      <c r="G254" s="30" t="s">
        <v>71</v>
      </c>
      <c r="H254" s="30">
        <v>0.22149288327800001</v>
      </c>
      <c r="I254" s="58">
        <v>0</v>
      </c>
      <c r="J254" s="58">
        <v>1.6825124076572701E+19</v>
      </c>
    </row>
    <row r="255" spans="3:10">
      <c r="C255" s="29" t="b">
        <v>0</v>
      </c>
      <c r="D255" s="30" t="s">
        <v>73</v>
      </c>
      <c r="E255" s="137">
        <v>6</v>
      </c>
      <c r="F255" s="30" t="s">
        <v>70</v>
      </c>
      <c r="G255" s="30" t="s">
        <v>71</v>
      </c>
      <c r="H255" s="30">
        <v>0.157799926472</v>
      </c>
      <c r="I255" s="58">
        <v>0</v>
      </c>
      <c r="J255" s="58">
        <v>1.02703665794879E+19</v>
      </c>
    </row>
    <row r="256" spans="3:10">
      <c r="C256" s="29" t="b">
        <v>0</v>
      </c>
      <c r="D256" s="30" t="s">
        <v>78</v>
      </c>
      <c r="E256" s="137">
        <v>6</v>
      </c>
      <c r="F256" s="30" t="s">
        <v>70</v>
      </c>
      <c r="G256" s="30" t="s">
        <v>71</v>
      </c>
      <c r="H256" s="30">
        <v>0.21806119446899999</v>
      </c>
      <c r="I256" s="58">
        <v>0</v>
      </c>
      <c r="J256" s="58">
        <v>1.78448820899178E+19</v>
      </c>
    </row>
    <row r="257" spans="3:10">
      <c r="C257" s="29" t="b">
        <v>0</v>
      </c>
      <c r="D257" s="30" t="s">
        <v>77</v>
      </c>
      <c r="E257" s="137">
        <v>6</v>
      </c>
      <c r="F257" s="30" t="s">
        <v>70</v>
      </c>
      <c r="G257" s="30" t="s">
        <v>71</v>
      </c>
      <c r="H257" s="30">
        <v>0.29800904203299999</v>
      </c>
      <c r="I257" s="58">
        <v>0</v>
      </c>
      <c r="J257" s="58">
        <v>1.02888393783233E+19</v>
      </c>
    </row>
    <row r="258" spans="3:10">
      <c r="C258" s="29" t="b">
        <v>0</v>
      </c>
      <c r="D258" s="30" t="s">
        <v>76</v>
      </c>
      <c r="E258" s="137">
        <v>6</v>
      </c>
      <c r="F258" s="30" t="s">
        <v>70</v>
      </c>
      <c r="G258" s="30" t="s">
        <v>71</v>
      </c>
      <c r="H258" s="30">
        <v>0.34591807436799998</v>
      </c>
      <c r="I258" s="58">
        <v>0</v>
      </c>
      <c r="J258" s="58">
        <v>5.9911519406840699E+18</v>
      </c>
    </row>
    <row r="259" spans="3:10">
      <c r="C259" s="29" t="b">
        <v>0</v>
      </c>
      <c r="D259" s="30" t="s">
        <v>75</v>
      </c>
      <c r="E259" s="137">
        <v>6</v>
      </c>
      <c r="F259" s="30" t="s">
        <v>70</v>
      </c>
      <c r="G259" s="30" t="s">
        <v>71</v>
      </c>
      <c r="H259" s="30">
        <v>0.29696023289700002</v>
      </c>
      <c r="I259" s="58">
        <v>0</v>
      </c>
      <c r="J259" s="58">
        <v>3.1925191277085901E+18</v>
      </c>
    </row>
    <row r="260" spans="3:10">
      <c r="C260" s="29" t="b">
        <v>0</v>
      </c>
      <c r="D260" s="30" t="s">
        <v>74</v>
      </c>
      <c r="E260" s="137">
        <v>6</v>
      </c>
      <c r="F260" s="30" t="s">
        <v>70</v>
      </c>
      <c r="G260" s="30" t="s">
        <v>71</v>
      </c>
      <c r="H260" s="30">
        <v>0.26277110148799998</v>
      </c>
      <c r="I260" s="58">
        <v>0</v>
      </c>
      <c r="J260" s="58">
        <v>7.5282053402376899E+18</v>
      </c>
    </row>
    <row r="261" spans="3:10">
      <c r="C261" s="29" t="b">
        <v>0</v>
      </c>
      <c r="D261" s="30" t="s">
        <v>64</v>
      </c>
      <c r="E261" s="137">
        <v>6</v>
      </c>
      <c r="F261" s="30" t="s">
        <v>70</v>
      </c>
      <c r="G261" s="30" t="s">
        <v>71</v>
      </c>
      <c r="H261" s="30">
        <v>0.14309337175699999</v>
      </c>
      <c r="I261" s="58">
        <v>0</v>
      </c>
      <c r="J261" s="58">
        <v>1.29842455607615E+19</v>
      </c>
    </row>
    <row r="262" spans="3:10">
      <c r="C262" s="29" t="b">
        <v>0</v>
      </c>
      <c r="D262" s="30" t="s">
        <v>79</v>
      </c>
      <c r="E262" s="137">
        <v>6</v>
      </c>
      <c r="F262" s="30" t="s">
        <v>70</v>
      </c>
      <c r="G262" s="30" t="s">
        <v>71</v>
      </c>
      <c r="H262" s="30">
        <v>0.27095581007300001</v>
      </c>
      <c r="I262" s="58">
        <v>0</v>
      </c>
      <c r="J262" s="58">
        <v>1.90325182454945E+18</v>
      </c>
    </row>
    <row r="263" spans="3:10">
      <c r="C263" s="29" t="b">
        <v>0</v>
      </c>
      <c r="D263" s="30" t="s">
        <v>69</v>
      </c>
      <c r="E263" s="137">
        <v>5</v>
      </c>
      <c r="F263" s="30" t="s">
        <v>70</v>
      </c>
      <c r="G263" s="30" t="s">
        <v>71</v>
      </c>
      <c r="H263" s="30">
        <v>0.25262726434100002</v>
      </c>
      <c r="I263" s="58">
        <v>0</v>
      </c>
      <c r="J263" s="58">
        <v>1.0301072791293399E+19</v>
      </c>
    </row>
    <row r="264" spans="3:10">
      <c r="C264" s="29" t="b">
        <v>0</v>
      </c>
      <c r="D264" s="30" t="s">
        <v>79</v>
      </c>
      <c r="E264" s="137">
        <v>5</v>
      </c>
      <c r="F264" s="30" t="s">
        <v>70</v>
      </c>
      <c r="G264" s="30" t="s">
        <v>71</v>
      </c>
      <c r="H264" s="30">
        <v>0.23917509783400001</v>
      </c>
      <c r="I264" s="58">
        <v>0</v>
      </c>
      <c r="J264" s="58">
        <v>1.5889849939557501E+19</v>
      </c>
    </row>
    <row r="265" spans="3:10">
      <c r="C265" s="29" t="b">
        <v>0</v>
      </c>
      <c r="D265" s="30" t="s">
        <v>74</v>
      </c>
      <c r="E265" s="137">
        <v>5</v>
      </c>
      <c r="F265" s="30" t="s">
        <v>70</v>
      </c>
      <c r="G265" s="30" t="s">
        <v>71</v>
      </c>
      <c r="H265" s="30">
        <v>0.194215001153</v>
      </c>
      <c r="I265" s="58">
        <v>0</v>
      </c>
      <c r="J265" s="58">
        <v>7.8345050704598497E+18</v>
      </c>
    </row>
    <row r="266" spans="3:10">
      <c r="C266" s="29" t="b">
        <v>0</v>
      </c>
      <c r="D266" s="30" t="s">
        <v>75</v>
      </c>
      <c r="E266" s="137">
        <v>5</v>
      </c>
      <c r="F266" s="30" t="s">
        <v>70</v>
      </c>
      <c r="G266" s="30" t="s">
        <v>71</v>
      </c>
      <c r="H266" s="30">
        <v>0.253871308297</v>
      </c>
      <c r="I266" s="58">
        <v>0</v>
      </c>
      <c r="J266" s="58">
        <v>5.8750189985222298E+18</v>
      </c>
    </row>
    <row r="267" spans="3:10">
      <c r="C267" s="29" t="b">
        <v>0</v>
      </c>
      <c r="D267" s="30" t="s">
        <v>76</v>
      </c>
      <c r="E267" s="137">
        <v>5</v>
      </c>
      <c r="F267" s="30" t="s">
        <v>70</v>
      </c>
      <c r="G267" s="30" t="s">
        <v>71</v>
      </c>
      <c r="H267" s="30">
        <v>0.381495102897</v>
      </c>
      <c r="I267" s="58">
        <v>0</v>
      </c>
      <c r="J267" s="58">
        <v>3.6678942887900099E+18</v>
      </c>
    </row>
    <row r="268" spans="3:10">
      <c r="C268" s="29" t="b">
        <v>0</v>
      </c>
      <c r="D268" s="30" t="s">
        <v>77</v>
      </c>
      <c r="E268" s="137">
        <v>5</v>
      </c>
      <c r="F268" s="30" t="s">
        <v>70</v>
      </c>
      <c r="G268" s="30" t="s">
        <v>71</v>
      </c>
      <c r="H268" s="30">
        <v>0.21285483643299999</v>
      </c>
      <c r="I268" s="58">
        <v>0</v>
      </c>
      <c r="J268" s="58">
        <v>2.3238328398706401E+18</v>
      </c>
    </row>
    <row r="269" spans="3:10">
      <c r="C269" s="29" t="b">
        <v>0</v>
      </c>
      <c r="D269" s="30" t="s">
        <v>78</v>
      </c>
      <c r="E269" s="137">
        <v>5</v>
      </c>
      <c r="F269" s="30" t="s">
        <v>70</v>
      </c>
      <c r="G269" s="30" t="s">
        <v>71</v>
      </c>
      <c r="H269" s="30">
        <v>0.177629510785</v>
      </c>
      <c r="I269" s="58">
        <v>0</v>
      </c>
      <c r="J269" s="58">
        <v>1.3801542767898701E+18</v>
      </c>
    </row>
    <row r="270" spans="3:10">
      <c r="C270" s="29" t="b">
        <v>0</v>
      </c>
      <c r="D270" s="30" t="s">
        <v>72</v>
      </c>
      <c r="E270" s="137">
        <v>5</v>
      </c>
      <c r="F270" s="30" t="s">
        <v>70</v>
      </c>
      <c r="G270" s="30" t="s">
        <v>71</v>
      </c>
      <c r="H270" s="30">
        <v>0.26005706923600003</v>
      </c>
      <c r="I270" s="58">
        <v>0</v>
      </c>
      <c r="J270" s="58">
        <v>1.1694507986078799E+18</v>
      </c>
    </row>
    <row r="271" spans="3:10">
      <c r="C271" s="29" t="b">
        <v>0</v>
      </c>
      <c r="D271" s="30" t="s">
        <v>80</v>
      </c>
      <c r="E271" s="137">
        <v>5</v>
      </c>
      <c r="F271" s="30" t="s">
        <v>70</v>
      </c>
      <c r="G271" s="30" t="s">
        <v>71</v>
      </c>
      <c r="H271" s="30">
        <v>0.460896318187</v>
      </c>
      <c r="I271" s="58">
        <v>0</v>
      </c>
      <c r="J271" s="58">
        <v>9.4654951854002995E+18</v>
      </c>
    </row>
    <row r="272" spans="3:10">
      <c r="C272" s="29" t="b">
        <v>0</v>
      </c>
      <c r="D272" s="30" t="s">
        <v>81</v>
      </c>
      <c r="E272" s="137">
        <v>5</v>
      </c>
      <c r="F272" s="30" t="s">
        <v>70</v>
      </c>
      <c r="G272" s="30" t="s">
        <v>71</v>
      </c>
      <c r="H272" s="30">
        <v>0.19918833824000001</v>
      </c>
      <c r="I272" s="58">
        <v>0</v>
      </c>
      <c r="J272" s="58">
        <v>1.0464554017009199E+19</v>
      </c>
    </row>
    <row r="273" spans="3:10">
      <c r="C273" s="29" t="b">
        <v>0</v>
      </c>
      <c r="D273" s="30" t="s">
        <v>82</v>
      </c>
      <c r="E273" s="137">
        <v>5</v>
      </c>
      <c r="F273" s="30" t="s">
        <v>70</v>
      </c>
      <c r="G273" s="30" t="s">
        <v>71</v>
      </c>
      <c r="H273" s="30">
        <v>0.20935495812800001</v>
      </c>
      <c r="I273" s="58">
        <v>0</v>
      </c>
      <c r="J273" s="58">
        <v>1.68490968698985E+19</v>
      </c>
    </row>
    <row r="274" spans="3:10">
      <c r="C274" s="29" t="b">
        <v>0</v>
      </c>
      <c r="D274" s="30" t="s">
        <v>83</v>
      </c>
      <c r="E274" s="137">
        <v>5</v>
      </c>
      <c r="F274" s="30" t="s">
        <v>70</v>
      </c>
      <c r="G274" s="30" t="s">
        <v>71</v>
      </c>
      <c r="H274" s="30">
        <v>0.47605549549699999</v>
      </c>
      <c r="I274" s="58">
        <v>0</v>
      </c>
      <c r="J274" s="58">
        <v>8.1458142244246098E+18</v>
      </c>
    </row>
    <row r="275" spans="3:10">
      <c r="C275" s="29" t="b">
        <v>0</v>
      </c>
      <c r="D275" s="30" t="s">
        <v>64</v>
      </c>
      <c r="E275" s="137">
        <v>5</v>
      </c>
      <c r="F275" s="30" t="s">
        <v>70</v>
      </c>
      <c r="G275" s="30" t="s">
        <v>71</v>
      </c>
      <c r="H275" s="30">
        <v>0.17553169760599999</v>
      </c>
      <c r="I275" s="58">
        <v>0</v>
      </c>
      <c r="J275" s="58">
        <v>1.7665365458030399E+19</v>
      </c>
    </row>
    <row r="276" spans="3:10">
      <c r="C276" s="29" t="b">
        <v>0</v>
      </c>
      <c r="D276" s="30" t="s">
        <v>69</v>
      </c>
      <c r="E276" s="137">
        <v>4</v>
      </c>
      <c r="F276" s="30" t="s">
        <v>70</v>
      </c>
      <c r="G276" s="30" t="s">
        <v>71</v>
      </c>
      <c r="H276" s="30">
        <v>0.13621945979299999</v>
      </c>
      <c r="I276" s="58">
        <v>0</v>
      </c>
      <c r="J276" s="58">
        <v>4.91793253719117E+18</v>
      </c>
    </row>
    <row r="277" spans="3:10">
      <c r="C277" s="29" t="b">
        <v>0</v>
      </c>
      <c r="D277" s="30" t="s">
        <v>73</v>
      </c>
      <c r="E277" s="137">
        <v>4</v>
      </c>
      <c r="F277" s="30" t="s">
        <v>70</v>
      </c>
      <c r="G277" s="30" t="s">
        <v>71</v>
      </c>
      <c r="H277" s="30">
        <v>0.26128330488099999</v>
      </c>
      <c r="I277" s="58">
        <v>0</v>
      </c>
      <c r="J277" s="58">
        <v>9.1536752614090895E+18</v>
      </c>
    </row>
    <row r="278" spans="3:10">
      <c r="C278" s="29" t="b">
        <v>0</v>
      </c>
      <c r="D278" s="30" t="s">
        <v>82</v>
      </c>
      <c r="E278" s="137">
        <v>8</v>
      </c>
      <c r="F278" s="30" t="s">
        <v>70</v>
      </c>
      <c r="G278" s="30" t="s">
        <v>71</v>
      </c>
      <c r="H278" s="30">
        <v>-3.7406605416200001E-2</v>
      </c>
      <c r="I278" s="58">
        <v>0</v>
      </c>
      <c r="J278" s="58">
        <v>6.8144222275195402E+18</v>
      </c>
    </row>
    <row r="279" spans="3:10">
      <c r="C279" s="29" t="b">
        <v>0</v>
      </c>
      <c r="D279" s="30" t="s">
        <v>74</v>
      </c>
      <c r="E279" s="137">
        <v>4</v>
      </c>
      <c r="F279" s="30" t="s">
        <v>70</v>
      </c>
      <c r="G279" s="30" t="s">
        <v>71</v>
      </c>
      <c r="H279" s="30">
        <v>8.7175170267400001E-2</v>
      </c>
      <c r="I279" s="58">
        <v>0</v>
      </c>
      <c r="J279" s="58">
        <v>4.0943522966696202E+18</v>
      </c>
    </row>
    <row r="280" spans="3:10">
      <c r="C280" s="29" t="b">
        <v>0</v>
      </c>
      <c r="D280" s="30" t="s">
        <v>78</v>
      </c>
      <c r="E280" s="137">
        <v>2</v>
      </c>
      <c r="F280" s="30" t="s">
        <v>70</v>
      </c>
      <c r="G280" s="30" t="s">
        <v>71</v>
      </c>
      <c r="H280" s="30">
        <v>-3.4874183421600001E-2</v>
      </c>
      <c r="I280" s="58">
        <v>0</v>
      </c>
      <c r="J280" s="58">
        <v>9.4259009099564605E+18</v>
      </c>
    </row>
    <row r="281" spans="3:10">
      <c r="C281" s="29" t="b">
        <v>0</v>
      </c>
      <c r="D281" s="30" t="s">
        <v>80</v>
      </c>
      <c r="E281" s="137">
        <v>2</v>
      </c>
      <c r="F281" s="30" t="s">
        <v>70</v>
      </c>
      <c r="G281" s="30" t="s">
        <v>71</v>
      </c>
      <c r="H281" s="30">
        <v>-2.8108730398099999E-2</v>
      </c>
      <c r="I281" s="58">
        <v>0</v>
      </c>
      <c r="J281" s="58">
        <v>8.0482815327552E+18</v>
      </c>
    </row>
    <row r="282" spans="3:10">
      <c r="C282" s="29" t="b">
        <v>0</v>
      </c>
      <c r="D282" s="30" t="s">
        <v>77</v>
      </c>
      <c r="E282" s="137">
        <v>4</v>
      </c>
      <c r="F282" s="30" t="s">
        <v>70</v>
      </c>
      <c r="G282" s="30" t="s">
        <v>71</v>
      </c>
      <c r="H282" s="30">
        <v>9.3181364026499999E-2</v>
      </c>
      <c r="I282" s="58">
        <v>0</v>
      </c>
      <c r="J282" s="58">
        <v>5.8552929008315996E+18</v>
      </c>
    </row>
    <row r="283" spans="3:10">
      <c r="C283" s="29" t="b">
        <v>0</v>
      </c>
      <c r="D283" s="30" t="s">
        <v>78</v>
      </c>
      <c r="E283" s="137">
        <v>4</v>
      </c>
      <c r="F283" s="30" t="s">
        <v>70</v>
      </c>
      <c r="G283" s="30" t="s">
        <v>71</v>
      </c>
      <c r="H283" s="30">
        <v>9.33092582309E-2</v>
      </c>
      <c r="I283" s="58">
        <v>0</v>
      </c>
      <c r="J283" s="58">
        <v>1.3018731669486201E+19</v>
      </c>
    </row>
    <row r="284" spans="3:10">
      <c r="C284" s="29" t="b">
        <v>0</v>
      </c>
      <c r="D284" s="30" t="s">
        <v>79</v>
      </c>
      <c r="E284" s="137">
        <v>4</v>
      </c>
      <c r="F284" s="30" t="s">
        <v>70</v>
      </c>
      <c r="G284" s="30" t="s">
        <v>71</v>
      </c>
      <c r="H284" s="30">
        <v>0.13684747243699999</v>
      </c>
      <c r="I284" s="58">
        <v>0</v>
      </c>
      <c r="J284" s="58">
        <v>3.5524214090818801E+18</v>
      </c>
    </row>
    <row r="285" spans="3:10">
      <c r="C285" s="29" t="b">
        <v>0</v>
      </c>
      <c r="D285" s="30" t="s">
        <v>72</v>
      </c>
      <c r="E285" s="137">
        <v>4</v>
      </c>
      <c r="F285" s="30" t="s">
        <v>70</v>
      </c>
      <c r="G285" s="30" t="s">
        <v>71</v>
      </c>
      <c r="H285" s="30">
        <v>0.208112190773</v>
      </c>
      <c r="I285" s="58">
        <v>0</v>
      </c>
      <c r="J285" s="58">
        <v>1.53206255462406E+19</v>
      </c>
    </row>
    <row r="286" spans="3:10">
      <c r="C286" s="29" t="b">
        <v>0</v>
      </c>
      <c r="D286" s="30" t="s">
        <v>80</v>
      </c>
      <c r="E286" s="137">
        <v>4</v>
      </c>
      <c r="F286" s="30" t="s">
        <v>70</v>
      </c>
      <c r="G286" s="30" t="s">
        <v>71</v>
      </c>
      <c r="H286" s="30">
        <v>0.34677467236199999</v>
      </c>
      <c r="I286" s="58">
        <v>0</v>
      </c>
      <c r="J286" s="58">
        <v>1.3536879881379201E+19</v>
      </c>
    </row>
    <row r="287" spans="3:10">
      <c r="C287" s="29" t="b">
        <v>0</v>
      </c>
      <c r="D287" s="30" t="s">
        <v>81</v>
      </c>
      <c r="E287" s="137">
        <v>4</v>
      </c>
      <c r="F287" s="30" t="s">
        <v>70</v>
      </c>
      <c r="G287" s="30" t="s">
        <v>71</v>
      </c>
      <c r="H287" s="30">
        <v>2.7878546512700001E-2</v>
      </c>
      <c r="I287" s="58">
        <v>0</v>
      </c>
      <c r="J287" s="58">
        <v>5.62956548478144E+18</v>
      </c>
    </row>
    <row r="288" spans="3:10">
      <c r="C288" s="29" t="b">
        <v>0</v>
      </c>
      <c r="D288" s="30" t="s">
        <v>82</v>
      </c>
      <c r="E288" s="137">
        <v>4</v>
      </c>
      <c r="F288" s="30" t="s">
        <v>70</v>
      </c>
      <c r="G288" s="30" t="s">
        <v>71</v>
      </c>
      <c r="H288" s="30">
        <v>0.19646103036699999</v>
      </c>
      <c r="I288" s="58">
        <v>0</v>
      </c>
      <c r="J288" s="58">
        <v>1.73629929404806E+19</v>
      </c>
    </row>
    <row r="289" spans="3:10">
      <c r="C289" s="29" t="b">
        <v>0</v>
      </c>
      <c r="D289" s="30" t="s">
        <v>83</v>
      </c>
      <c r="E289" s="137">
        <v>4</v>
      </c>
      <c r="F289" s="30" t="s">
        <v>70</v>
      </c>
      <c r="G289" s="30" t="s">
        <v>71</v>
      </c>
      <c r="H289" s="30">
        <v>0.28729398082300001</v>
      </c>
      <c r="I289" s="58">
        <v>0</v>
      </c>
      <c r="J289" s="58">
        <v>4.3565360346342502E+18</v>
      </c>
    </row>
    <row r="290" spans="3:10">
      <c r="C290" s="29" t="b">
        <v>0</v>
      </c>
      <c r="D290" s="30" t="s">
        <v>64</v>
      </c>
      <c r="E290" s="137">
        <v>4</v>
      </c>
      <c r="F290" s="30" t="s">
        <v>70</v>
      </c>
      <c r="G290" s="30" t="s">
        <v>71</v>
      </c>
      <c r="H290" s="30">
        <v>0.15405788336099999</v>
      </c>
      <c r="I290" s="58">
        <v>0</v>
      </c>
      <c r="J290" s="58">
        <v>1.2846891765861501E+19</v>
      </c>
    </row>
    <row r="291" spans="3:10">
      <c r="C291" s="29" t="b">
        <v>0</v>
      </c>
      <c r="D291" s="30" t="s">
        <v>69</v>
      </c>
      <c r="E291" s="137">
        <v>3</v>
      </c>
      <c r="F291" s="30" t="s">
        <v>70</v>
      </c>
      <c r="G291" s="30" t="s">
        <v>71</v>
      </c>
      <c r="H291" s="30">
        <v>8.4175142848099994E-3</v>
      </c>
      <c r="I291" s="58">
        <v>0</v>
      </c>
      <c r="J291" s="58">
        <v>8.8412476368054497E+18</v>
      </c>
    </row>
    <row r="292" spans="3:10">
      <c r="C292" s="29" t="b">
        <v>0</v>
      </c>
      <c r="D292" s="30" t="s">
        <v>73</v>
      </c>
      <c r="E292" s="137">
        <v>3</v>
      </c>
      <c r="F292" s="30" t="s">
        <v>70</v>
      </c>
      <c r="G292" s="30" t="s">
        <v>71</v>
      </c>
      <c r="H292" s="30">
        <v>0.185581486022</v>
      </c>
      <c r="I292" s="58">
        <v>0</v>
      </c>
      <c r="J292" s="58">
        <v>1.1823139441073101E+19</v>
      </c>
    </row>
    <row r="293" spans="3:10">
      <c r="C293" s="29" t="b">
        <v>0</v>
      </c>
      <c r="D293" s="30" t="s">
        <v>74</v>
      </c>
      <c r="E293" s="137">
        <v>3</v>
      </c>
      <c r="F293" s="30" t="s">
        <v>70</v>
      </c>
      <c r="G293" s="30" t="s">
        <v>71</v>
      </c>
      <c r="H293" s="30">
        <v>-1.0137985855900001E-2</v>
      </c>
      <c r="I293" s="58">
        <v>0</v>
      </c>
      <c r="J293" s="58">
        <v>1.0941987802507399E+19</v>
      </c>
    </row>
    <row r="294" spans="3:10">
      <c r="C294" s="29" t="b">
        <v>0</v>
      </c>
      <c r="D294" s="30" t="s">
        <v>75</v>
      </c>
      <c r="E294" s="137">
        <v>3</v>
      </c>
      <c r="F294" s="30" t="s">
        <v>70</v>
      </c>
      <c r="G294" s="30" t="s">
        <v>71</v>
      </c>
      <c r="H294" s="30">
        <v>4.5838352633700001E-2</v>
      </c>
      <c r="I294" s="58">
        <v>0</v>
      </c>
      <c r="J294" s="58">
        <v>1.7410952065715599E+19</v>
      </c>
    </row>
    <row r="295" spans="3:10">
      <c r="C295" s="29" t="b">
        <v>0</v>
      </c>
      <c r="D295" s="30" t="s">
        <v>76</v>
      </c>
      <c r="E295" s="137">
        <v>3</v>
      </c>
      <c r="F295" s="30" t="s">
        <v>70</v>
      </c>
      <c r="G295" s="30" t="s">
        <v>71</v>
      </c>
      <c r="H295" s="30">
        <v>0.164445987706</v>
      </c>
      <c r="I295" s="58">
        <v>0</v>
      </c>
      <c r="J295" s="58">
        <v>8.9494957423826002E+18</v>
      </c>
    </row>
    <row r="296" spans="3:10">
      <c r="C296" s="29" t="b">
        <v>0</v>
      </c>
      <c r="D296" s="30" t="s">
        <v>75</v>
      </c>
      <c r="E296" s="137">
        <v>4</v>
      </c>
      <c r="F296" s="30" t="s">
        <v>70</v>
      </c>
      <c r="G296" s="30" t="s">
        <v>71</v>
      </c>
      <c r="H296" s="30">
        <v>0.143985648987</v>
      </c>
      <c r="I296" s="58">
        <v>0</v>
      </c>
      <c r="J296" s="58">
        <v>9.7615933061056E+18</v>
      </c>
    </row>
    <row r="297" spans="3:10">
      <c r="C297" s="29" t="b">
        <v>0</v>
      </c>
      <c r="D297" s="30" t="s">
        <v>77</v>
      </c>
      <c r="E297" s="137">
        <v>3</v>
      </c>
      <c r="F297" s="30" t="s">
        <v>70</v>
      </c>
      <c r="G297" s="30" t="s">
        <v>71</v>
      </c>
      <c r="H297" s="30">
        <v>-6.1228073488900003E-3</v>
      </c>
      <c r="I297" s="58">
        <v>0</v>
      </c>
      <c r="J297" s="58">
        <v>1.33960961718913E+19</v>
      </c>
    </row>
    <row r="298" spans="3:10">
      <c r="C298" s="29" t="b">
        <v>0</v>
      </c>
      <c r="D298" s="30" t="s">
        <v>79</v>
      </c>
      <c r="E298" s="137">
        <v>3</v>
      </c>
      <c r="F298" s="30" t="s">
        <v>70</v>
      </c>
      <c r="G298" s="30" t="s">
        <v>71</v>
      </c>
      <c r="H298" s="30">
        <v>2.7562364835600001E-2</v>
      </c>
      <c r="I298" s="58">
        <v>0</v>
      </c>
      <c r="J298" s="58">
        <v>8.6790989302417101E+18</v>
      </c>
    </row>
    <row r="299" spans="3:10">
      <c r="C299" s="29" t="b">
        <v>0</v>
      </c>
      <c r="D299" s="30" t="s">
        <v>72</v>
      </c>
      <c r="E299" s="137">
        <v>3</v>
      </c>
      <c r="F299" s="30" t="s">
        <v>70</v>
      </c>
      <c r="G299" s="30" t="s">
        <v>71</v>
      </c>
      <c r="H299" s="30">
        <v>9.2711731212599999E-2</v>
      </c>
      <c r="I299" s="58">
        <v>0</v>
      </c>
      <c r="J299" s="58">
        <v>1.02261801527918E+19</v>
      </c>
    </row>
    <row r="300" spans="3:10">
      <c r="C300" s="29" t="b">
        <v>0</v>
      </c>
      <c r="D300" s="30" t="s">
        <v>80</v>
      </c>
      <c r="E300" s="137">
        <v>3</v>
      </c>
      <c r="F300" s="30" t="s">
        <v>70</v>
      </c>
      <c r="G300" s="30" t="s">
        <v>71</v>
      </c>
      <c r="H300" s="30">
        <v>0.14145805064700001</v>
      </c>
      <c r="I300" s="58">
        <v>0</v>
      </c>
      <c r="J300" s="58">
        <v>1.39302540813911E+19</v>
      </c>
    </row>
    <row r="301" spans="3:10">
      <c r="C301" s="29" t="b">
        <v>0</v>
      </c>
      <c r="D301" s="30" t="s">
        <v>81</v>
      </c>
      <c r="E301" s="137">
        <v>3</v>
      </c>
      <c r="F301" s="30" t="s">
        <v>70</v>
      </c>
      <c r="G301" s="30" t="s">
        <v>71</v>
      </c>
      <c r="H301" s="30">
        <v>-8.9707770780000001E-2</v>
      </c>
      <c r="I301" s="58">
        <v>0</v>
      </c>
      <c r="J301" s="58">
        <v>1.12951320385799E+19</v>
      </c>
    </row>
    <row r="302" spans="3:10">
      <c r="C302" s="29" t="b">
        <v>0</v>
      </c>
      <c r="D302" s="30" t="s">
        <v>82</v>
      </c>
      <c r="E302" s="137">
        <v>3</v>
      </c>
      <c r="F302" s="30" t="s">
        <v>70</v>
      </c>
      <c r="G302" s="30" t="s">
        <v>71</v>
      </c>
      <c r="H302" s="30">
        <v>0.108915570222</v>
      </c>
      <c r="I302" s="58">
        <v>0</v>
      </c>
      <c r="J302" s="58">
        <v>7.3281194685290097E+18</v>
      </c>
    </row>
    <row r="303" spans="3:10">
      <c r="C303" s="29" t="b">
        <v>0</v>
      </c>
      <c r="D303" s="30" t="s">
        <v>83</v>
      </c>
      <c r="E303" s="137">
        <v>3</v>
      </c>
      <c r="F303" s="30" t="s">
        <v>70</v>
      </c>
      <c r="G303" s="30" t="s">
        <v>71</v>
      </c>
      <c r="H303" s="30">
        <v>9.2220783228300005E-2</v>
      </c>
      <c r="I303" s="58">
        <v>0</v>
      </c>
      <c r="J303" s="58">
        <v>1.1587457154041399E+19</v>
      </c>
    </row>
    <row r="304" spans="3:10">
      <c r="C304" s="29" t="b">
        <v>0</v>
      </c>
      <c r="D304" s="30" t="s">
        <v>64</v>
      </c>
      <c r="E304" s="137">
        <v>3</v>
      </c>
      <c r="F304" s="30" t="s">
        <v>70</v>
      </c>
      <c r="G304" s="30" t="s">
        <v>71</v>
      </c>
      <c r="H304" s="30">
        <v>8.6398922938799999E-2</v>
      </c>
      <c r="I304" s="58">
        <v>0</v>
      </c>
      <c r="J304" s="58">
        <v>1.22475819219864E+19</v>
      </c>
    </row>
    <row r="305" spans="3:10">
      <c r="C305" s="29" t="b">
        <v>0</v>
      </c>
      <c r="D305" s="30" t="s">
        <v>69</v>
      </c>
      <c r="E305" s="137">
        <v>2</v>
      </c>
      <c r="F305" s="30" t="s">
        <v>70</v>
      </c>
      <c r="G305" s="30" t="s">
        <v>71</v>
      </c>
      <c r="H305" s="30">
        <v>-6.2915906846599895E-2</v>
      </c>
      <c r="I305" s="58">
        <v>0</v>
      </c>
      <c r="J305" s="58">
        <v>1.1559823689283199E+19</v>
      </c>
    </row>
    <row r="306" spans="3:10">
      <c r="C306" s="29" t="b">
        <v>0</v>
      </c>
      <c r="D306" s="30" t="s">
        <v>73</v>
      </c>
      <c r="E306" s="137">
        <v>2</v>
      </c>
      <c r="F306" s="30" t="s">
        <v>70</v>
      </c>
      <c r="G306" s="30" t="s">
        <v>71</v>
      </c>
      <c r="H306" s="30">
        <v>7.7277210144800004E-2</v>
      </c>
      <c r="I306" s="58">
        <v>0</v>
      </c>
      <c r="J306" s="58">
        <v>8.3019800852664602E+17</v>
      </c>
    </row>
    <row r="307" spans="3:10">
      <c r="C307" s="29" t="b">
        <v>0</v>
      </c>
      <c r="D307" s="30" t="s">
        <v>74</v>
      </c>
      <c r="E307" s="137">
        <v>2</v>
      </c>
      <c r="F307" s="30" t="s">
        <v>70</v>
      </c>
      <c r="G307" s="30" t="s">
        <v>71</v>
      </c>
      <c r="H307" s="30">
        <v>-5.9089031994500003E-2</v>
      </c>
      <c r="I307" s="58">
        <v>0</v>
      </c>
      <c r="J307" s="58">
        <v>3.6255018338931502E+18</v>
      </c>
    </row>
    <row r="308" spans="3:10">
      <c r="C308" s="29" t="b">
        <v>0</v>
      </c>
      <c r="D308" s="30" t="s">
        <v>75</v>
      </c>
      <c r="E308" s="137">
        <v>2</v>
      </c>
      <c r="F308" s="30" t="s">
        <v>70</v>
      </c>
      <c r="G308" s="30" t="s">
        <v>71</v>
      </c>
      <c r="H308" s="30">
        <v>1.17514891824E-2</v>
      </c>
      <c r="I308" s="58">
        <v>0</v>
      </c>
      <c r="J308" s="58">
        <v>7.6925278100015002E+18</v>
      </c>
    </row>
    <row r="309" spans="3:10">
      <c r="C309" s="29" t="b">
        <v>0</v>
      </c>
      <c r="D309" s="30" t="s">
        <v>76</v>
      </c>
      <c r="E309" s="137">
        <v>2</v>
      </c>
      <c r="F309" s="30" t="s">
        <v>70</v>
      </c>
      <c r="G309" s="30" t="s">
        <v>71</v>
      </c>
      <c r="H309" s="30">
        <v>4.0620181407899997E-2</v>
      </c>
      <c r="I309" s="58">
        <v>0</v>
      </c>
      <c r="J309" s="58">
        <v>5.6247234997950403E+18</v>
      </c>
    </row>
    <row r="310" spans="3:10">
      <c r="C310" s="29" t="b">
        <v>0</v>
      </c>
      <c r="D310" s="30" t="s">
        <v>77</v>
      </c>
      <c r="E310" s="137">
        <v>2</v>
      </c>
      <c r="F310" s="30" t="s">
        <v>70</v>
      </c>
      <c r="G310" s="30" t="s">
        <v>71</v>
      </c>
      <c r="H310" s="30">
        <v>-4.9964018640400003E-2</v>
      </c>
      <c r="I310" s="58">
        <v>0</v>
      </c>
      <c r="J310" s="58">
        <v>3.7133637202077199E+18</v>
      </c>
    </row>
    <row r="311" spans="3:10">
      <c r="C311" s="29" t="b">
        <v>0</v>
      </c>
      <c r="D311" s="30" t="s">
        <v>72</v>
      </c>
      <c r="E311" s="137">
        <v>2</v>
      </c>
      <c r="F311" s="30" t="s">
        <v>70</v>
      </c>
      <c r="G311" s="30" t="s">
        <v>71</v>
      </c>
      <c r="H311" s="30">
        <v>-1.74990444292E-2</v>
      </c>
      <c r="I311" s="58">
        <v>0</v>
      </c>
      <c r="J311" s="58">
        <v>7.8181332980630702E+18</v>
      </c>
    </row>
    <row r="312" spans="3:10">
      <c r="C312" s="29" t="b">
        <v>0</v>
      </c>
      <c r="D312" s="30" t="s">
        <v>81</v>
      </c>
      <c r="E312" s="137">
        <v>2</v>
      </c>
      <c r="F312" s="30" t="s">
        <v>70</v>
      </c>
      <c r="G312" s="30" t="s">
        <v>71</v>
      </c>
      <c r="H312" s="30">
        <v>-0.11056526278999999</v>
      </c>
      <c r="I312" s="58">
        <v>0</v>
      </c>
      <c r="J312" s="58">
        <v>9.7279509779871293E+18</v>
      </c>
    </row>
    <row r="313" spans="3:10">
      <c r="C313" s="29" t="b">
        <v>0</v>
      </c>
      <c r="D313" s="30" t="s">
        <v>76</v>
      </c>
      <c r="E313" s="137">
        <v>4</v>
      </c>
      <c r="F313" s="30" t="s">
        <v>70</v>
      </c>
      <c r="G313" s="30" t="s">
        <v>71</v>
      </c>
      <c r="H313" s="30">
        <v>0.30725043704799998</v>
      </c>
      <c r="I313" s="58">
        <v>0</v>
      </c>
      <c r="J313" s="58">
        <v>1.6991621197250099E+18</v>
      </c>
    </row>
    <row r="314" spans="3:10">
      <c r="C314" s="29" t="b">
        <v>0</v>
      </c>
      <c r="D314" s="30" t="s">
        <v>82</v>
      </c>
      <c r="E314" s="137">
        <v>2</v>
      </c>
      <c r="F314" s="30" t="s">
        <v>70</v>
      </c>
      <c r="G314" s="30" t="s">
        <v>71</v>
      </c>
      <c r="H314" s="30">
        <v>8.7913747746600004E-3</v>
      </c>
      <c r="I314" s="58">
        <v>0</v>
      </c>
      <c r="J314" s="58">
        <v>1.39075831794549E+19</v>
      </c>
    </row>
    <row r="315" spans="3:10">
      <c r="C315" s="29" t="b">
        <v>0</v>
      </c>
      <c r="D315" s="30" t="s">
        <v>83</v>
      </c>
      <c r="E315" s="137">
        <v>2</v>
      </c>
      <c r="F315" s="30" t="s">
        <v>70</v>
      </c>
      <c r="G315" s="30" t="s">
        <v>71</v>
      </c>
      <c r="H315" s="30">
        <v>-3.5153391354299998E-2</v>
      </c>
      <c r="I315" s="58">
        <v>0</v>
      </c>
      <c r="J315" s="58">
        <v>6.10576170565043E+18</v>
      </c>
    </row>
    <row r="316" spans="3:10">
      <c r="C316" s="29" t="b">
        <v>0</v>
      </c>
      <c r="D316" s="30" t="s">
        <v>64</v>
      </c>
      <c r="E316" s="137">
        <v>2</v>
      </c>
      <c r="F316" s="30" t="s">
        <v>70</v>
      </c>
      <c r="G316" s="30" t="s">
        <v>71</v>
      </c>
      <c r="H316" s="30">
        <v>9.6415299176700001E-3</v>
      </c>
      <c r="I316" s="58">
        <v>0</v>
      </c>
      <c r="J316" s="58">
        <v>3.5482351025768899E+18</v>
      </c>
    </row>
    <row r="317" spans="3:10">
      <c r="C317" s="29" t="b">
        <v>0</v>
      </c>
      <c r="D317" s="30" t="s">
        <v>69</v>
      </c>
      <c r="E317" s="137">
        <v>1</v>
      </c>
      <c r="F317" s="30" t="s">
        <v>70</v>
      </c>
      <c r="G317" s="30" t="s">
        <v>71</v>
      </c>
      <c r="H317" s="30">
        <v>-6.4256453087899998E-2</v>
      </c>
      <c r="I317" s="58">
        <v>0</v>
      </c>
      <c r="J317" s="58">
        <v>1.25553236754938E+19</v>
      </c>
    </row>
    <row r="318" spans="3:10">
      <c r="C318" s="29" t="b">
        <v>0</v>
      </c>
      <c r="D318" s="30" t="s">
        <v>73</v>
      </c>
      <c r="E318" s="137">
        <v>1</v>
      </c>
      <c r="F318" s="30" t="s">
        <v>70</v>
      </c>
      <c r="G318" s="30" t="s">
        <v>71</v>
      </c>
      <c r="H318" s="30">
        <v>1.0624696534E-2</v>
      </c>
      <c r="I318" s="58">
        <v>0</v>
      </c>
      <c r="J318" s="58">
        <v>3.0508090247055698E+18</v>
      </c>
    </row>
    <row r="319" spans="3:10">
      <c r="C319" s="29" t="b">
        <v>0</v>
      </c>
      <c r="D319" s="30" t="s">
        <v>74</v>
      </c>
      <c r="E319" s="137">
        <v>1</v>
      </c>
      <c r="F319" s="30" t="s">
        <v>70</v>
      </c>
      <c r="G319" s="30" t="s">
        <v>71</v>
      </c>
      <c r="H319" s="30">
        <v>-5.9354144857200003E-2</v>
      </c>
      <c r="I319" s="58">
        <v>0</v>
      </c>
      <c r="J319" s="58">
        <v>1.0086261149138301E+19</v>
      </c>
    </row>
    <row r="320" spans="3:10">
      <c r="C320" s="29" t="b">
        <v>0</v>
      </c>
      <c r="D320" s="30" t="s">
        <v>75</v>
      </c>
      <c r="E320" s="137">
        <v>1</v>
      </c>
      <c r="F320" s="30" t="s">
        <v>70</v>
      </c>
      <c r="G320" s="30" t="s">
        <v>71</v>
      </c>
      <c r="H320" s="30">
        <v>2.9822198264599999E-2</v>
      </c>
      <c r="I320" s="58">
        <v>0</v>
      </c>
      <c r="J320" s="58">
        <v>8.8408679378199296E+18</v>
      </c>
    </row>
    <row r="321" spans="3:10">
      <c r="C321" s="29" t="b">
        <v>0</v>
      </c>
      <c r="D321" s="30" t="s">
        <v>76</v>
      </c>
      <c r="E321" s="137">
        <v>1</v>
      </c>
      <c r="F321" s="30" t="s">
        <v>70</v>
      </c>
      <c r="G321" s="30" t="s">
        <v>71</v>
      </c>
      <c r="H321" s="30">
        <v>-1.27649638126E-2</v>
      </c>
      <c r="I321" s="58">
        <v>0</v>
      </c>
      <c r="J321" s="58">
        <v>2.3908480872974198E+18</v>
      </c>
    </row>
    <row r="322" spans="3:10">
      <c r="C322" s="29" t="b">
        <v>0</v>
      </c>
      <c r="D322" s="30" t="s">
        <v>77</v>
      </c>
      <c r="E322" s="137">
        <v>1</v>
      </c>
      <c r="F322" s="30" t="s">
        <v>70</v>
      </c>
      <c r="G322" s="30" t="s">
        <v>71</v>
      </c>
      <c r="H322" s="30">
        <v>-4.9531531835800002E-2</v>
      </c>
      <c r="I322" s="58">
        <v>0</v>
      </c>
      <c r="J322" s="58">
        <v>1.6577006559421499E+19</v>
      </c>
    </row>
    <row r="323" spans="3:10">
      <c r="C323" s="29" t="b">
        <v>0</v>
      </c>
      <c r="D323" s="30" t="s">
        <v>78</v>
      </c>
      <c r="E323" s="137">
        <v>1</v>
      </c>
      <c r="F323" s="30" t="s">
        <v>70</v>
      </c>
      <c r="G323" s="30" t="s">
        <v>71</v>
      </c>
      <c r="H323" s="30">
        <v>-2.3882622303800002E-2</v>
      </c>
      <c r="I323" s="58">
        <v>0</v>
      </c>
      <c r="J323" s="58">
        <v>9.1784187123611095E+18</v>
      </c>
    </row>
    <row r="324" spans="3:10">
      <c r="C324" s="29" t="b">
        <v>0</v>
      </c>
      <c r="D324" s="30" t="s">
        <v>79</v>
      </c>
      <c r="E324" s="137">
        <v>1</v>
      </c>
      <c r="F324" s="30" t="s">
        <v>70</v>
      </c>
      <c r="G324" s="30" t="s">
        <v>71</v>
      </c>
      <c r="H324" s="30">
        <v>-3.7325933617300001E-2</v>
      </c>
      <c r="I324" s="58">
        <v>0</v>
      </c>
      <c r="J324" s="58">
        <v>1.6394249404412701E+19</v>
      </c>
    </row>
    <row r="325" spans="3:10">
      <c r="C325" s="29" t="b">
        <v>0</v>
      </c>
      <c r="D325" s="30" t="s">
        <v>72</v>
      </c>
      <c r="E325" s="137">
        <v>1</v>
      </c>
      <c r="F325" s="30" t="s">
        <v>70</v>
      </c>
      <c r="G325" s="30" t="s">
        <v>71</v>
      </c>
      <c r="H325" s="30">
        <v>-6.3906637387199997E-2</v>
      </c>
      <c r="I325" s="58">
        <v>0</v>
      </c>
      <c r="J325" s="58">
        <v>1.2757789898639901E+19</v>
      </c>
    </row>
    <row r="326" spans="3:10">
      <c r="C326" s="29" t="b">
        <v>0</v>
      </c>
      <c r="D326" s="30" t="s">
        <v>80</v>
      </c>
      <c r="E326" s="137">
        <v>1</v>
      </c>
      <c r="F326" s="30" t="s">
        <v>70</v>
      </c>
      <c r="G326" s="30" t="s">
        <v>71</v>
      </c>
      <c r="H326" s="30">
        <v>-8.2174358040399895E-2</v>
      </c>
      <c r="I326" s="58">
        <v>0</v>
      </c>
      <c r="J326" s="58">
        <v>1.57558336430685E+19</v>
      </c>
    </row>
    <row r="327" spans="3:10">
      <c r="C327" s="29" t="b">
        <v>0</v>
      </c>
      <c r="D327" s="30" t="s">
        <v>81</v>
      </c>
      <c r="E327" s="137">
        <v>1</v>
      </c>
      <c r="F327" s="30" t="s">
        <v>70</v>
      </c>
      <c r="G327" s="30" t="s">
        <v>71</v>
      </c>
      <c r="H327" s="30">
        <v>-6.1460354427799999E-2</v>
      </c>
      <c r="I327" s="58">
        <v>0</v>
      </c>
      <c r="J327" s="58">
        <v>8.1302410367231601E+18</v>
      </c>
    </row>
    <row r="328" spans="3:10">
      <c r="C328" s="29" t="b">
        <v>0</v>
      </c>
      <c r="D328" s="30" t="s">
        <v>82</v>
      </c>
      <c r="E328" s="137">
        <v>1</v>
      </c>
      <c r="F328" s="30" t="s">
        <v>70</v>
      </c>
      <c r="G328" s="30" t="s">
        <v>71</v>
      </c>
      <c r="H328" s="30">
        <v>-4.2086617437399998E-2</v>
      </c>
      <c r="I328" s="58">
        <v>0</v>
      </c>
      <c r="J328" s="58">
        <v>8.6505441746314598E+18</v>
      </c>
    </row>
    <row r="329" spans="3:10">
      <c r="C329" s="29" t="b">
        <v>0</v>
      </c>
      <c r="D329" s="30" t="s">
        <v>83</v>
      </c>
      <c r="E329" s="137">
        <v>1</v>
      </c>
      <c r="F329" s="30" t="s">
        <v>70</v>
      </c>
      <c r="G329" s="30" t="s">
        <v>71</v>
      </c>
      <c r="H329" s="30">
        <v>-7.4401787598899996E-2</v>
      </c>
      <c r="I329" s="58">
        <v>0</v>
      </c>
      <c r="J329" s="58">
        <v>1.6085317270587699E+19</v>
      </c>
    </row>
    <row r="330" spans="3:10">
      <c r="C330" s="29" t="b">
        <v>0</v>
      </c>
      <c r="D330" s="30" t="s">
        <v>64</v>
      </c>
      <c r="E330" s="137">
        <v>1</v>
      </c>
      <c r="F330" s="30" t="s">
        <v>70</v>
      </c>
      <c r="G330" s="30" t="s">
        <v>71</v>
      </c>
      <c r="H330" s="30">
        <v>-3.5735213903800002E-2</v>
      </c>
      <c r="I330" s="58">
        <v>0</v>
      </c>
      <c r="J330" s="58">
        <v>6.9872276051039104E+17</v>
      </c>
    </row>
    <row r="331" spans="3:10">
      <c r="C331" s="29" t="b">
        <v>0</v>
      </c>
      <c r="D331" s="30" t="s">
        <v>69</v>
      </c>
      <c r="E331" s="137">
        <v>0</v>
      </c>
      <c r="F331" s="30" t="s">
        <v>70</v>
      </c>
      <c r="G331" s="30" t="s">
        <v>71</v>
      </c>
      <c r="H331" s="30">
        <v>-4.2466603073700003E-2</v>
      </c>
      <c r="I331" s="58">
        <v>0</v>
      </c>
      <c r="J331" s="58">
        <v>1.2140601919807001E+19</v>
      </c>
    </row>
    <row r="332" spans="3:10">
      <c r="C332" s="29" t="b">
        <v>0</v>
      </c>
      <c r="D332" s="30" t="s">
        <v>73</v>
      </c>
      <c r="E332" s="137">
        <v>0</v>
      </c>
      <c r="F332" s="30" t="s">
        <v>70</v>
      </c>
      <c r="G332" s="30" t="s">
        <v>71</v>
      </c>
      <c r="H332" s="30">
        <v>3.35775487784E-3</v>
      </c>
      <c r="I332" s="58">
        <v>0</v>
      </c>
      <c r="J332" s="58">
        <v>8.9101236058380902E+18</v>
      </c>
    </row>
    <row r="333" spans="3:10">
      <c r="C333" s="29" t="b">
        <v>0</v>
      </c>
      <c r="D333" s="30" t="s">
        <v>74</v>
      </c>
      <c r="E333" s="137">
        <v>0</v>
      </c>
      <c r="F333" s="30" t="s">
        <v>70</v>
      </c>
      <c r="G333" s="30" t="s">
        <v>71</v>
      </c>
      <c r="H333" s="30">
        <v>-4.46339217791E-2</v>
      </c>
      <c r="I333" s="58">
        <v>0</v>
      </c>
      <c r="J333" s="58">
        <v>7.9998778621358397E+18</v>
      </c>
    </row>
    <row r="334" spans="3:10">
      <c r="C334" s="29" t="b">
        <v>0</v>
      </c>
      <c r="D334" s="30" t="s">
        <v>75</v>
      </c>
      <c r="E334" s="137">
        <v>0</v>
      </c>
      <c r="F334" s="30" t="s">
        <v>70</v>
      </c>
      <c r="G334" s="30" t="s">
        <v>71</v>
      </c>
      <c r="H334" s="30">
        <v>5.2618547179800003E-2</v>
      </c>
      <c r="I334" s="58">
        <v>0</v>
      </c>
      <c r="J334" s="58">
        <v>6.7846195379949998E+18</v>
      </c>
    </row>
    <row r="335" spans="3:10">
      <c r="C335" s="29" t="b">
        <v>0</v>
      </c>
      <c r="D335" s="30" t="s">
        <v>76</v>
      </c>
      <c r="E335" s="137">
        <v>0</v>
      </c>
      <c r="F335" s="30" t="s">
        <v>70</v>
      </c>
      <c r="G335" s="30" t="s">
        <v>71</v>
      </c>
      <c r="H335" s="30">
        <v>-1.8369277027099999E-2</v>
      </c>
      <c r="I335" s="58">
        <v>0</v>
      </c>
      <c r="J335" s="58">
        <v>4.5040426286038799E+18</v>
      </c>
    </row>
    <row r="336" spans="3:10">
      <c r="C336" s="29" t="b">
        <v>0</v>
      </c>
      <c r="D336" s="30" t="s">
        <v>77</v>
      </c>
      <c r="E336" s="137">
        <v>0</v>
      </c>
      <c r="F336" s="30" t="s">
        <v>70</v>
      </c>
      <c r="G336" s="30" t="s">
        <v>71</v>
      </c>
      <c r="H336" s="30">
        <v>-3.4339732083700003E-2</v>
      </c>
      <c r="I336" s="58">
        <v>0</v>
      </c>
      <c r="J336" s="58">
        <v>1.0102873459573801E+19</v>
      </c>
    </row>
    <row r="337" spans="3:10">
      <c r="C337" s="29" t="b">
        <v>0</v>
      </c>
      <c r="D337" s="30" t="s">
        <v>78</v>
      </c>
      <c r="E337" s="137">
        <v>0</v>
      </c>
      <c r="F337" s="30" t="s">
        <v>70</v>
      </c>
      <c r="G337" s="30" t="s">
        <v>71</v>
      </c>
      <c r="H337" s="30">
        <v>4.0813560997600001E-3</v>
      </c>
      <c r="I337" s="58">
        <v>0</v>
      </c>
      <c r="J337" s="58">
        <v>1.1733492517170201E+19</v>
      </c>
    </row>
    <row r="338" spans="3:10">
      <c r="C338" s="29" t="b">
        <v>0</v>
      </c>
      <c r="D338" s="30" t="s">
        <v>79</v>
      </c>
      <c r="E338" s="137">
        <v>0</v>
      </c>
      <c r="F338" s="30" t="s">
        <v>70</v>
      </c>
      <c r="G338" s="30" t="s">
        <v>71</v>
      </c>
      <c r="H338" s="30">
        <v>-2.3319154880700001E-2</v>
      </c>
      <c r="I338" s="58">
        <v>0</v>
      </c>
      <c r="J338" s="58">
        <v>1.7765953841295499E+19</v>
      </c>
    </row>
    <row r="339" spans="3:10">
      <c r="C339" s="29" t="b">
        <v>0</v>
      </c>
      <c r="D339" s="30" t="s">
        <v>72</v>
      </c>
      <c r="E339" s="137">
        <v>0</v>
      </c>
      <c r="F339" s="30" t="s">
        <v>70</v>
      </c>
      <c r="G339" s="30" t="s">
        <v>71</v>
      </c>
      <c r="H339" s="30">
        <v>-5.1227710195500001E-2</v>
      </c>
      <c r="I339" s="58">
        <v>0</v>
      </c>
      <c r="J339" s="58">
        <v>2.97509639982563E+16</v>
      </c>
    </row>
    <row r="340" spans="3:10">
      <c r="C340" s="29" t="b">
        <v>0</v>
      </c>
      <c r="D340" s="30" t="s">
        <v>80</v>
      </c>
      <c r="E340" s="137">
        <v>0</v>
      </c>
      <c r="F340" s="30" t="s">
        <v>70</v>
      </c>
      <c r="G340" s="30" t="s">
        <v>71</v>
      </c>
      <c r="H340" s="30">
        <v>-4.8868504750799999E-2</v>
      </c>
      <c r="I340" s="58">
        <v>0</v>
      </c>
      <c r="J340" s="58">
        <v>1.09525431933689E+19</v>
      </c>
    </row>
    <row r="341" spans="3:10">
      <c r="C341" s="29" t="b">
        <v>0</v>
      </c>
      <c r="D341" s="30" t="s">
        <v>81</v>
      </c>
      <c r="E341" s="137">
        <v>0</v>
      </c>
      <c r="F341" s="30" t="s">
        <v>70</v>
      </c>
      <c r="G341" s="30" t="s">
        <v>71</v>
      </c>
      <c r="H341" s="30">
        <v>-8.57603635283E-3</v>
      </c>
      <c r="I341" s="58">
        <v>0</v>
      </c>
      <c r="J341" s="58">
        <v>1.6837780040611701E+19</v>
      </c>
    </row>
    <row r="342" spans="3:10">
      <c r="C342" s="29" t="b">
        <v>0</v>
      </c>
      <c r="D342" s="30" t="s">
        <v>82</v>
      </c>
      <c r="E342" s="137">
        <v>0</v>
      </c>
      <c r="F342" s="30" t="s">
        <v>70</v>
      </c>
      <c r="G342" s="30" t="s">
        <v>71</v>
      </c>
      <c r="H342" s="30">
        <v>-3.4407186420199999E-2</v>
      </c>
      <c r="I342" s="58">
        <v>0</v>
      </c>
      <c r="J342" s="58">
        <v>7.0718670454651197E+18</v>
      </c>
    </row>
    <row r="343" spans="3:10">
      <c r="C343" s="29" t="b">
        <v>0</v>
      </c>
      <c r="D343" s="30" t="s">
        <v>72</v>
      </c>
      <c r="E343" s="137">
        <v>9</v>
      </c>
      <c r="F343" s="30" t="s">
        <v>70</v>
      </c>
      <c r="G343" s="30" t="s">
        <v>71</v>
      </c>
      <c r="H343" s="30">
        <v>-7.4842806795899997E-2</v>
      </c>
      <c r="I343" s="58">
        <v>0</v>
      </c>
      <c r="J343" s="58">
        <v>3.0862777258205798E+18</v>
      </c>
    </row>
    <row r="344" spans="3:10">
      <c r="C344" s="29" t="b">
        <v>0</v>
      </c>
      <c r="D344" s="30" t="s">
        <v>64</v>
      </c>
      <c r="E344" s="137">
        <v>13</v>
      </c>
      <c r="F344" s="30" t="s">
        <v>70</v>
      </c>
      <c r="G344" s="30" t="s">
        <v>71</v>
      </c>
      <c r="H344" s="30">
        <v>-5.5263680727699903E-2</v>
      </c>
      <c r="I344" s="58">
        <v>0</v>
      </c>
      <c r="J344" s="58">
        <v>4.3190039613734001E+18</v>
      </c>
    </row>
    <row r="345" spans="3:10">
      <c r="C345" s="29" t="b">
        <v>0</v>
      </c>
      <c r="D345" s="30" t="s">
        <v>79</v>
      </c>
      <c r="E345" s="137">
        <v>16</v>
      </c>
      <c r="F345" s="30" t="s">
        <v>70</v>
      </c>
      <c r="G345" s="30" t="s">
        <v>71</v>
      </c>
      <c r="H345" s="30">
        <v>-3.9950784210799999E-2</v>
      </c>
      <c r="I345" s="58">
        <v>0</v>
      </c>
      <c r="J345" s="58">
        <v>5.4568308504687596E+18</v>
      </c>
    </row>
    <row r="346" spans="3:10">
      <c r="C346" s="29" t="b">
        <v>0</v>
      </c>
      <c r="D346" s="30" t="s">
        <v>75</v>
      </c>
      <c r="E346" s="137">
        <v>4</v>
      </c>
      <c r="F346" s="30" t="s">
        <v>70</v>
      </c>
      <c r="G346" s="30" t="s">
        <v>67</v>
      </c>
      <c r="H346" s="30">
        <v>3.00440528842E-2</v>
      </c>
      <c r="I346" s="58">
        <v>0</v>
      </c>
      <c r="J346" s="58">
        <v>1.40446172798639E+19</v>
      </c>
    </row>
    <row r="347" spans="3:10">
      <c r="C347" s="29" t="b">
        <v>0</v>
      </c>
      <c r="D347" s="30" t="s">
        <v>74</v>
      </c>
      <c r="E347" s="137">
        <v>4</v>
      </c>
      <c r="F347" s="30" t="s">
        <v>70</v>
      </c>
      <c r="G347" s="30" t="s">
        <v>67</v>
      </c>
      <c r="H347" s="30">
        <v>7.5957371738000004E-2</v>
      </c>
      <c r="I347" s="58">
        <v>0</v>
      </c>
      <c r="J347" s="58">
        <v>9.8866065069839401E+18</v>
      </c>
    </row>
    <row r="348" spans="3:10">
      <c r="C348" s="29" t="b">
        <v>0</v>
      </c>
      <c r="D348" s="30" t="s">
        <v>81</v>
      </c>
      <c r="E348" s="137">
        <v>0</v>
      </c>
      <c r="F348" s="30" t="s">
        <v>70</v>
      </c>
      <c r="G348" s="30" t="s">
        <v>67</v>
      </c>
      <c r="H348" s="30">
        <v>1.10564879557E-2</v>
      </c>
      <c r="I348" s="58">
        <v>0</v>
      </c>
      <c r="J348" s="58">
        <v>1.1957981959847999E+19</v>
      </c>
    </row>
    <row r="349" spans="3:10">
      <c r="C349" s="29" t="b">
        <v>0</v>
      </c>
      <c r="D349" s="30" t="s">
        <v>80</v>
      </c>
      <c r="E349" s="137">
        <v>0</v>
      </c>
      <c r="F349" s="30" t="s">
        <v>70</v>
      </c>
      <c r="G349" s="30" t="s">
        <v>67</v>
      </c>
      <c r="H349" s="30">
        <v>-1.7515501773799999E-2</v>
      </c>
      <c r="I349" s="58">
        <v>0</v>
      </c>
      <c r="J349" s="58">
        <v>9.0147962096921303E+18</v>
      </c>
    </row>
    <row r="350" spans="3:10">
      <c r="C350" s="29" t="b">
        <v>0</v>
      </c>
      <c r="D350" s="30" t="s">
        <v>72</v>
      </c>
      <c r="E350" s="137">
        <v>0</v>
      </c>
      <c r="F350" s="30" t="s">
        <v>70</v>
      </c>
      <c r="G350" s="30" t="s">
        <v>67</v>
      </c>
      <c r="H350" s="30">
        <v>-2.2977351038199999E-2</v>
      </c>
      <c r="I350" s="58">
        <v>0</v>
      </c>
      <c r="J350" s="58">
        <v>8.0047288881290097E+18</v>
      </c>
    </row>
    <row r="351" spans="3:10">
      <c r="C351" s="29" t="b">
        <v>0</v>
      </c>
      <c r="D351" s="30" t="s">
        <v>79</v>
      </c>
      <c r="E351" s="137">
        <v>0</v>
      </c>
      <c r="F351" s="30" t="s">
        <v>70</v>
      </c>
      <c r="G351" s="30" t="s">
        <v>67</v>
      </c>
      <c r="H351" s="30">
        <v>-7.9466073651399995E-3</v>
      </c>
      <c r="I351" s="58">
        <v>0</v>
      </c>
      <c r="J351" s="58">
        <v>1.49530898403461E+19</v>
      </c>
    </row>
    <row r="352" spans="3:10">
      <c r="C352" s="29" t="b">
        <v>0</v>
      </c>
      <c r="D352" s="30" t="s">
        <v>78</v>
      </c>
      <c r="E352" s="137">
        <v>0</v>
      </c>
      <c r="F352" s="30" t="s">
        <v>70</v>
      </c>
      <c r="G352" s="30" t="s">
        <v>67</v>
      </c>
      <c r="H352" s="30">
        <v>-2.0863777412799999E-2</v>
      </c>
      <c r="I352" s="58">
        <v>0</v>
      </c>
      <c r="J352" s="58">
        <v>7.70448061321044E+16</v>
      </c>
    </row>
    <row r="353" spans="3:10">
      <c r="C353" s="29" t="b">
        <v>0</v>
      </c>
      <c r="D353" s="30" t="s">
        <v>77</v>
      </c>
      <c r="E353" s="137">
        <v>0</v>
      </c>
      <c r="F353" s="30" t="s">
        <v>70</v>
      </c>
      <c r="G353" s="30" t="s">
        <v>67</v>
      </c>
      <c r="H353" s="30">
        <v>1.885189399E-2</v>
      </c>
      <c r="I353" s="58">
        <v>0</v>
      </c>
      <c r="J353" s="58">
        <v>1.80949310265322E+19</v>
      </c>
    </row>
    <row r="354" spans="3:10">
      <c r="C354" s="29" t="b">
        <v>0</v>
      </c>
      <c r="D354" s="30" t="s">
        <v>76</v>
      </c>
      <c r="E354" s="137">
        <v>0</v>
      </c>
      <c r="F354" s="30" t="s">
        <v>70</v>
      </c>
      <c r="G354" s="30" t="s">
        <v>67</v>
      </c>
      <c r="H354" s="30">
        <v>2.88790240614E-3</v>
      </c>
      <c r="I354" s="58">
        <v>0</v>
      </c>
      <c r="J354" s="58">
        <v>2.65349265538189E+18</v>
      </c>
    </row>
    <row r="355" spans="3:10">
      <c r="C355" s="29" t="b">
        <v>0</v>
      </c>
      <c r="D355" s="30" t="s">
        <v>75</v>
      </c>
      <c r="E355" s="137">
        <v>0</v>
      </c>
      <c r="F355" s="30" t="s">
        <v>70</v>
      </c>
      <c r="G355" s="30" t="s">
        <v>67</v>
      </c>
      <c r="H355" s="30">
        <v>7.4398996372700005E-2</v>
      </c>
      <c r="I355" s="58">
        <v>0</v>
      </c>
      <c r="J355" s="58">
        <v>3.30360105677576E+17</v>
      </c>
    </row>
    <row r="356" spans="3:10">
      <c r="C356" s="29" t="b">
        <v>0</v>
      </c>
      <c r="D356" s="30" t="s">
        <v>74</v>
      </c>
      <c r="E356" s="137">
        <v>0</v>
      </c>
      <c r="F356" s="30" t="s">
        <v>70</v>
      </c>
      <c r="G356" s="30" t="s">
        <v>67</v>
      </c>
      <c r="H356" s="30">
        <v>-2.8422663656000002E-2</v>
      </c>
      <c r="I356" s="58">
        <v>0</v>
      </c>
      <c r="J356" s="58">
        <v>7.6593560407942298E+18</v>
      </c>
    </row>
    <row r="357" spans="3:10">
      <c r="C357" s="29" t="b">
        <v>0</v>
      </c>
      <c r="D357" s="30" t="s">
        <v>73</v>
      </c>
      <c r="E357" s="137">
        <v>0</v>
      </c>
      <c r="F357" s="30" t="s">
        <v>70</v>
      </c>
      <c r="G357" s="30" t="s">
        <v>67</v>
      </c>
      <c r="H357" s="30">
        <v>3.8392460917700003E-2</v>
      </c>
      <c r="I357" s="58">
        <v>0</v>
      </c>
      <c r="J357" s="58">
        <v>4.9478662678798397E+18</v>
      </c>
    </row>
    <row r="358" spans="3:10">
      <c r="C358" s="29" t="b">
        <v>0</v>
      </c>
      <c r="D358" s="30" t="s">
        <v>69</v>
      </c>
      <c r="E358" s="137">
        <v>0</v>
      </c>
      <c r="F358" s="30" t="s">
        <v>70</v>
      </c>
      <c r="G358" s="30" t="s">
        <v>67</v>
      </c>
      <c r="H358" s="30">
        <v>-3.8266156035399998E-2</v>
      </c>
      <c r="I358" s="58">
        <v>0</v>
      </c>
      <c r="J358" s="58">
        <v>1.80639102352332E+19</v>
      </c>
    </row>
    <row r="359" spans="3:10">
      <c r="C359" s="29" t="b">
        <v>0</v>
      </c>
      <c r="D359" s="30" t="s">
        <v>64</v>
      </c>
      <c r="E359" s="137">
        <v>1</v>
      </c>
      <c r="F359" s="30" t="s">
        <v>70</v>
      </c>
      <c r="G359" s="30" t="s">
        <v>67</v>
      </c>
      <c r="H359" s="30">
        <v>-2.1053629110199999E-2</v>
      </c>
      <c r="I359" s="58">
        <v>0</v>
      </c>
      <c r="J359" s="58">
        <v>8.6776926715901696E+18</v>
      </c>
    </row>
    <row r="360" spans="3:10">
      <c r="C360" s="29" t="b">
        <v>0</v>
      </c>
      <c r="D360" s="30" t="s">
        <v>83</v>
      </c>
      <c r="E360" s="137">
        <v>1</v>
      </c>
      <c r="F360" s="30" t="s">
        <v>70</v>
      </c>
      <c r="G360" s="30" t="s">
        <v>67</v>
      </c>
      <c r="H360" s="30">
        <v>-6.0272636838900003E-2</v>
      </c>
      <c r="I360" s="58">
        <v>0</v>
      </c>
      <c r="J360" s="58">
        <v>7.5817620049508997E+18</v>
      </c>
    </row>
    <row r="361" spans="3:10">
      <c r="C361" s="29" t="b">
        <v>0</v>
      </c>
      <c r="D361" s="30" t="s">
        <v>82</v>
      </c>
      <c r="E361" s="137">
        <v>1</v>
      </c>
      <c r="F361" s="30" t="s">
        <v>70</v>
      </c>
      <c r="G361" s="30" t="s">
        <v>67</v>
      </c>
      <c r="H361" s="30">
        <v>-3.6432999521000001E-2</v>
      </c>
      <c r="I361" s="58">
        <v>0</v>
      </c>
      <c r="J361" s="58">
        <v>9.83107442957918E+18</v>
      </c>
    </row>
    <row r="362" spans="3:10">
      <c r="C362" s="29" t="b">
        <v>0</v>
      </c>
      <c r="D362" s="30" t="s">
        <v>81</v>
      </c>
      <c r="E362" s="137">
        <v>1</v>
      </c>
      <c r="F362" s="30" t="s">
        <v>70</v>
      </c>
      <c r="G362" s="30" t="s">
        <v>67</v>
      </c>
      <c r="H362" s="30">
        <v>-1.02617412665E-2</v>
      </c>
      <c r="I362" s="58">
        <v>0</v>
      </c>
      <c r="J362" s="58">
        <v>1.23434496030766E+19</v>
      </c>
    </row>
    <row r="363" spans="3:10">
      <c r="C363" s="29" t="b">
        <v>0</v>
      </c>
      <c r="D363" s="30" t="s">
        <v>83</v>
      </c>
      <c r="E363" s="137">
        <v>0</v>
      </c>
      <c r="F363" s="30" t="s">
        <v>70</v>
      </c>
      <c r="G363" s="30" t="s">
        <v>67</v>
      </c>
      <c r="H363" s="30">
        <v>-4.6048590200200003E-2</v>
      </c>
      <c r="I363" s="58">
        <v>0</v>
      </c>
      <c r="J363" s="58">
        <v>1.2681235324082301E+19</v>
      </c>
    </row>
    <row r="364" spans="3:10">
      <c r="C364" s="29" t="b">
        <v>0</v>
      </c>
      <c r="D364" s="30" t="s">
        <v>72</v>
      </c>
      <c r="E364" s="137">
        <v>1</v>
      </c>
      <c r="F364" s="30" t="s">
        <v>70</v>
      </c>
      <c r="G364" s="30" t="s">
        <v>67</v>
      </c>
      <c r="H364" s="30">
        <v>-2.71789021177E-2</v>
      </c>
      <c r="I364" s="58">
        <v>0</v>
      </c>
      <c r="J364" s="58">
        <v>1.5468635436873501E+19</v>
      </c>
    </row>
    <row r="365" spans="3:10">
      <c r="C365" s="29" t="b">
        <v>0</v>
      </c>
      <c r="D365" s="30" t="s">
        <v>79</v>
      </c>
      <c r="E365" s="137">
        <v>1</v>
      </c>
      <c r="F365" s="30" t="s">
        <v>70</v>
      </c>
      <c r="G365" s="30" t="s">
        <v>67</v>
      </c>
      <c r="H365" s="30">
        <v>9.5666517756900007E-3</v>
      </c>
      <c r="I365" s="58">
        <v>0</v>
      </c>
      <c r="J365" s="58">
        <v>3.2370630753522698E+18</v>
      </c>
    </row>
    <row r="366" spans="3:10">
      <c r="C366" s="29" t="b">
        <v>0</v>
      </c>
      <c r="D366" s="30" t="s">
        <v>78</v>
      </c>
      <c r="E366" s="137">
        <v>1</v>
      </c>
      <c r="F366" s="30" t="s">
        <v>70</v>
      </c>
      <c r="G366" s="30" t="s">
        <v>67</v>
      </c>
      <c r="H366" s="30">
        <v>-2.3525579233099999E-2</v>
      </c>
      <c r="I366" s="58">
        <v>0</v>
      </c>
      <c r="J366" s="58">
        <v>1.4126441846551601E+18</v>
      </c>
    </row>
    <row r="367" spans="3:10">
      <c r="C367" s="29" t="b">
        <v>0</v>
      </c>
      <c r="D367" s="30" t="s">
        <v>77</v>
      </c>
      <c r="E367" s="137">
        <v>1</v>
      </c>
      <c r="F367" s="30" t="s">
        <v>70</v>
      </c>
      <c r="G367" s="30" t="s">
        <v>67</v>
      </c>
      <c r="H367" s="30">
        <v>-9.2315044353799992E-3</v>
      </c>
      <c r="I367" s="58">
        <v>0</v>
      </c>
      <c r="J367" s="58">
        <v>2.2739586620826701E+18</v>
      </c>
    </row>
    <row r="368" spans="3:10">
      <c r="C368" s="29" t="b">
        <v>0</v>
      </c>
      <c r="D368" s="30" t="s">
        <v>76</v>
      </c>
      <c r="E368" s="137">
        <v>1</v>
      </c>
      <c r="F368" s="30" t="s">
        <v>70</v>
      </c>
      <c r="G368" s="30" t="s">
        <v>67</v>
      </c>
      <c r="H368" s="30">
        <v>-5.6164258793199003E-3</v>
      </c>
      <c r="I368" s="58">
        <v>0</v>
      </c>
      <c r="J368" s="58">
        <v>1.61739364432012E+19</v>
      </c>
    </row>
    <row r="369" spans="3:10">
      <c r="C369" s="29" t="b">
        <v>0</v>
      </c>
      <c r="D369" s="30" t="s">
        <v>75</v>
      </c>
      <c r="E369" s="137">
        <v>1</v>
      </c>
      <c r="F369" s="30" t="s">
        <v>70</v>
      </c>
      <c r="G369" s="30" t="s">
        <v>67</v>
      </c>
      <c r="H369" s="30">
        <v>6.3558400463699996E-2</v>
      </c>
      <c r="I369" s="58">
        <v>0</v>
      </c>
      <c r="J369" s="58">
        <v>4.6974946227623496E+18</v>
      </c>
    </row>
    <row r="370" spans="3:10">
      <c r="C370" s="29" t="b">
        <v>0</v>
      </c>
      <c r="D370" s="30" t="s">
        <v>74</v>
      </c>
      <c r="E370" s="137">
        <v>1</v>
      </c>
      <c r="F370" s="30" t="s">
        <v>70</v>
      </c>
      <c r="G370" s="30" t="s">
        <v>67</v>
      </c>
      <c r="H370" s="30">
        <v>-4.6234614754899997E-2</v>
      </c>
      <c r="I370" s="58">
        <v>0</v>
      </c>
      <c r="J370" s="58">
        <v>1.6133143122659299E+19</v>
      </c>
    </row>
    <row r="371" spans="3:10">
      <c r="C371" s="29" t="b">
        <v>0</v>
      </c>
      <c r="D371" s="30" t="s">
        <v>73</v>
      </c>
      <c r="E371" s="137">
        <v>1</v>
      </c>
      <c r="F371" s="30" t="s">
        <v>70</v>
      </c>
      <c r="G371" s="30" t="s">
        <v>67</v>
      </c>
      <c r="H371" s="30">
        <v>4.4769577296300003E-2</v>
      </c>
      <c r="I371" s="58">
        <v>0</v>
      </c>
      <c r="J371" s="58">
        <v>9.1006231841688504E+18</v>
      </c>
    </row>
    <row r="372" spans="3:10">
      <c r="C372" s="29" t="b">
        <v>0</v>
      </c>
      <c r="D372" s="30" t="s">
        <v>69</v>
      </c>
      <c r="E372" s="137">
        <v>1</v>
      </c>
      <c r="F372" s="30" t="s">
        <v>70</v>
      </c>
      <c r="G372" s="30" t="s">
        <v>67</v>
      </c>
      <c r="H372" s="30">
        <v>-4.6492563012900001E-2</v>
      </c>
      <c r="I372" s="58">
        <v>0</v>
      </c>
      <c r="J372" s="58">
        <v>2.6278769952963E+18</v>
      </c>
    </row>
    <row r="373" spans="3:10">
      <c r="C373" s="29" t="b">
        <v>0</v>
      </c>
      <c r="D373" s="30" t="s">
        <v>64</v>
      </c>
      <c r="E373" s="137">
        <v>2</v>
      </c>
      <c r="F373" s="30" t="s">
        <v>70</v>
      </c>
      <c r="G373" s="30" t="s">
        <v>67</v>
      </c>
      <c r="H373" s="30">
        <v>-9.0376373109799998E-3</v>
      </c>
      <c r="I373" s="58">
        <v>0</v>
      </c>
      <c r="J373" s="58">
        <v>1.2953572250688999E+19</v>
      </c>
    </row>
    <row r="374" spans="3:10">
      <c r="C374" s="29" t="b">
        <v>0</v>
      </c>
      <c r="D374" s="30" t="s">
        <v>83</v>
      </c>
      <c r="E374" s="137">
        <v>2</v>
      </c>
      <c r="F374" s="30" t="s">
        <v>70</v>
      </c>
      <c r="G374" s="30" t="s">
        <v>67</v>
      </c>
      <c r="H374" s="30">
        <v>-3.7519810928800003E-2</v>
      </c>
      <c r="I374" s="58">
        <v>0</v>
      </c>
      <c r="J374" s="58">
        <v>6.57272217674095E+18</v>
      </c>
    </row>
    <row r="375" spans="3:10">
      <c r="C375" s="29" t="b">
        <v>0</v>
      </c>
      <c r="D375" s="30" t="s">
        <v>82</v>
      </c>
      <c r="E375" s="137">
        <v>2</v>
      </c>
      <c r="F375" s="30" t="s">
        <v>70</v>
      </c>
      <c r="G375" s="30" t="s">
        <v>67</v>
      </c>
      <c r="H375" s="30">
        <v>-1.07439374483E-2</v>
      </c>
      <c r="I375" s="58">
        <v>0</v>
      </c>
      <c r="J375" s="58">
        <v>1.04362792661894E+19</v>
      </c>
    </row>
    <row r="376" spans="3:10">
      <c r="C376" s="29" t="b">
        <v>0</v>
      </c>
      <c r="D376" s="30" t="s">
        <v>81</v>
      </c>
      <c r="E376" s="137">
        <v>2</v>
      </c>
      <c r="F376" s="30" t="s">
        <v>70</v>
      </c>
      <c r="G376" s="30" t="s">
        <v>67</v>
      </c>
      <c r="H376" s="30">
        <v>-5.7306292773500002E-2</v>
      </c>
      <c r="I376" s="58">
        <v>0</v>
      </c>
      <c r="J376" s="58">
        <v>1.3554674719211E+19</v>
      </c>
    </row>
    <row r="377" spans="3:10">
      <c r="C377" s="29" t="b">
        <v>0</v>
      </c>
      <c r="D377" s="30" t="s">
        <v>80</v>
      </c>
      <c r="E377" s="137">
        <v>2</v>
      </c>
      <c r="F377" s="30" t="s">
        <v>70</v>
      </c>
      <c r="G377" s="30" t="s">
        <v>67</v>
      </c>
      <c r="H377" s="30">
        <v>-2.27629589625E-2</v>
      </c>
      <c r="I377" s="58">
        <v>0</v>
      </c>
      <c r="J377" s="58">
        <v>1.05299283114019E+19</v>
      </c>
    </row>
    <row r="378" spans="3:10">
      <c r="C378" s="29" t="b">
        <v>0</v>
      </c>
      <c r="D378" s="30" t="s">
        <v>72</v>
      </c>
      <c r="E378" s="137">
        <v>2</v>
      </c>
      <c r="F378" s="30" t="s">
        <v>70</v>
      </c>
      <c r="G378" s="30" t="s">
        <v>67</v>
      </c>
      <c r="H378" s="30">
        <v>3.8356421033800001E-3</v>
      </c>
      <c r="I378" s="58">
        <v>0</v>
      </c>
      <c r="J378" s="58">
        <v>1.6530923999628599E+19</v>
      </c>
    </row>
    <row r="379" spans="3:10">
      <c r="C379" s="29" t="b">
        <v>0</v>
      </c>
      <c r="D379" s="30" t="s">
        <v>79</v>
      </c>
      <c r="E379" s="137">
        <v>2</v>
      </c>
      <c r="F379" s="30" t="s">
        <v>70</v>
      </c>
      <c r="G379" s="30" t="s">
        <v>67</v>
      </c>
      <c r="H379" s="30">
        <v>2.5363154735000001E-2</v>
      </c>
      <c r="I379" s="58">
        <v>0</v>
      </c>
      <c r="J379" s="58">
        <v>1.6770520200009099E+19</v>
      </c>
    </row>
    <row r="380" spans="3:10">
      <c r="C380" s="29" t="b">
        <v>0</v>
      </c>
      <c r="D380" s="30" t="s">
        <v>78</v>
      </c>
      <c r="E380" s="137">
        <v>2</v>
      </c>
      <c r="F380" s="30" t="s">
        <v>70</v>
      </c>
      <c r="G380" s="30" t="s">
        <v>67</v>
      </c>
      <c r="H380" s="30">
        <v>1.7951089365800001E-3</v>
      </c>
      <c r="I380" s="58">
        <v>0</v>
      </c>
      <c r="J380" s="58">
        <v>1.18980085489425E+19</v>
      </c>
    </row>
    <row r="381" spans="3:10">
      <c r="C381" s="29" t="b">
        <v>0</v>
      </c>
      <c r="D381" s="30" t="s">
        <v>77</v>
      </c>
      <c r="E381" s="137">
        <v>2</v>
      </c>
      <c r="F381" s="30" t="s">
        <v>70</v>
      </c>
      <c r="G381" s="30" t="s">
        <v>67</v>
      </c>
      <c r="H381" s="30">
        <v>-4.2531903615500001E-2</v>
      </c>
      <c r="I381" s="58">
        <v>0</v>
      </c>
      <c r="J381" s="58">
        <v>1.7306685379876999E+19</v>
      </c>
    </row>
    <row r="382" spans="3:10">
      <c r="C382" s="29" t="b">
        <v>0</v>
      </c>
      <c r="D382" s="30" t="s">
        <v>76</v>
      </c>
      <c r="E382" s="137">
        <v>2</v>
      </c>
      <c r="F382" s="30" t="s">
        <v>70</v>
      </c>
      <c r="G382" s="30" t="s">
        <v>67</v>
      </c>
      <c r="H382" s="30">
        <v>-1.44415260014E-2</v>
      </c>
      <c r="I382" s="58">
        <v>0</v>
      </c>
      <c r="J382" s="58">
        <v>1.01134635036869E+19</v>
      </c>
    </row>
    <row r="383" spans="3:10">
      <c r="C383" s="29" t="b">
        <v>0</v>
      </c>
      <c r="D383" s="30" t="s">
        <v>75</v>
      </c>
      <c r="E383" s="137">
        <v>2</v>
      </c>
      <c r="F383" s="30" t="s">
        <v>70</v>
      </c>
      <c r="G383" s="30" t="s">
        <v>67</v>
      </c>
      <c r="H383" s="30">
        <v>3.08917221226E-2</v>
      </c>
      <c r="I383" s="58">
        <v>0</v>
      </c>
      <c r="J383" s="58">
        <v>3.2515752061717002E+18</v>
      </c>
    </row>
    <row r="384" spans="3:10">
      <c r="C384" s="29" t="b">
        <v>0</v>
      </c>
      <c r="D384" s="30" t="s">
        <v>74</v>
      </c>
      <c r="E384" s="137">
        <v>2</v>
      </c>
      <c r="F384" s="30" t="s">
        <v>70</v>
      </c>
      <c r="G384" s="30" t="s">
        <v>67</v>
      </c>
      <c r="H384" s="30">
        <v>-5.5153658518700001E-2</v>
      </c>
      <c r="I384" s="58">
        <v>0</v>
      </c>
      <c r="J384" s="58">
        <v>1.13705746479185E+19</v>
      </c>
    </row>
    <row r="385" spans="3:10">
      <c r="C385" s="29" t="b">
        <v>0</v>
      </c>
      <c r="D385" s="30" t="s">
        <v>73</v>
      </c>
      <c r="E385" s="137">
        <v>2</v>
      </c>
      <c r="F385" s="30" t="s">
        <v>70</v>
      </c>
      <c r="G385" s="30" t="s">
        <v>67</v>
      </c>
      <c r="H385" s="30">
        <v>7.5066612923100004E-2</v>
      </c>
      <c r="I385" s="58">
        <v>0</v>
      </c>
      <c r="J385" s="58">
        <v>8.4404414299652198E+18</v>
      </c>
    </row>
    <row r="386" spans="3:10">
      <c r="C386" s="29" t="b">
        <v>0</v>
      </c>
      <c r="D386" s="30" t="s">
        <v>69</v>
      </c>
      <c r="E386" s="137">
        <v>2</v>
      </c>
      <c r="F386" s="30" t="s">
        <v>70</v>
      </c>
      <c r="G386" s="30" t="s">
        <v>67</v>
      </c>
      <c r="H386" s="30">
        <v>-2.4230703115100002E-2</v>
      </c>
      <c r="I386" s="58">
        <v>0</v>
      </c>
      <c r="J386" s="58">
        <v>1.19252616696879E+19</v>
      </c>
    </row>
    <row r="387" spans="3:10">
      <c r="C387" s="29" t="b">
        <v>0</v>
      </c>
      <c r="D387" s="30" t="s">
        <v>64</v>
      </c>
      <c r="E387" s="137">
        <v>3</v>
      </c>
      <c r="F387" s="30" t="s">
        <v>70</v>
      </c>
      <c r="G387" s="30" t="s">
        <v>67</v>
      </c>
      <c r="H387" s="30">
        <v>2.6726699906E-2</v>
      </c>
      <c r="I387" s="58">
        <v>0</v>
      </c>
      <c r="J387" s="58">
        <v>1.2194289984015401E+19</v>
      </c>
    </row>
    <row r="388" spans="3:10">
      <c r="C388" s="29" t="b">
        <v>0</v>
      </c>
      <c r="D388" s="30" t="s">
        <v>83</v>
      </c>
      <c r="E388" s="137">
        <v>3</v>
      </c>
      <c r="F388" s="30" t="s">
        <v>70</v>
      </c>
      <c r="G388" s="30" t="s">
        <v>67</v>
      </c>
      <c r="H388" s="30">
        <v>5.7598373927900001E-2</v>
      </c>
      <c r="I388" s="58">
        <v>0</v>
      </c>
      <c r="J388" s="58">
        <v>1.48015180157859E+19</v>
      </c>
    </row>
    <row r="389" spans="3:10">
      <c r="C389" s="29" t="b">
        <v>0</v>
      </c>
      <c r="D389" s="30" t="s">
        <v>82</v>
      </c>
      <c r="E389" s="137">
        <v>3</v>
      </c>
      <c r="F389" s="30" t="s">
        <v>70</v>
      </c>
      <c r="G389" s="30" t="s">
        <v>67</v>
      </c>
      <c r="H389" s="30">
        <v>5.7460966992900001E-2</v>
      </c>
      <c r="I389" s="58">
        <v>0</v>
      </c>
      <c r="J389" s="58">
        <v>6.9531410418996398E+18</v>
      </c>
    </row>
    <row r="390" spans="3:10">
      <c r="C390" s="29" t="b">
        <v>0</v>
      </c>
      <c r="D390" s="30" t="s">
        <v>81</v>
      </c>
      <c r="E390" s="137">
        <v>3</v>
      </c>
      <c r="F390" s="30" t="s">
        <v>70</v>
      </c>
      <c r="G390" s="30" t="s">
        <v>67</v>
      </c>
      <c r="H390" s="30">
        <v>-7.5213355972499896E-2</v>
      </c>
      <c r="I390" s="58">
        <v>0</v>
      </c>
      <c r="J390" s="58">
        <v>1.83144131999761E+19</v>
      </c>
    </row>
    <row r="391" spans="3:10">
      <c r="C391" s="29" t="b">
        <v>0</v>
      </c>
      <c r="D391" s="30" t="s">
        <v>80</v>
      </c>
      <c r="E391" s="137">
        <v>3</v>
      </c>
      <c r="F391" s="30" t="s">
        <v>70</v>
      </c>
      <c r="G391" s="30" t="s">
        <v>67</v>
      </c>
      <c r="H391" s="30">
        <v>0.12045372771600001</v>
      </c>
      <c r="I391" s="58">
        <v>0</v>
      </c>
      <c r="J391" s="58">
        <v>9.1528541813107302E+18</v>
      </c>
    </row>
    <row r="392" spans="3:10">
      <c r="C392" s="29" t="b">
        <v>0</v>
      </c>
      <c r="D392" s="30" t="s">
        <v>72</v>
      </c>
      <c r="E392" s="137">
        <v>3</v>
      </c>
      <c r="F392" s="30" t="s">
        <v>70</v>
      </c>
      <c r="G392" s="30" t="s">
        <v>67</v>
      </c>
      <c r="H392" s="30">
        <v>8.6629405415499905E-2</v>
      </c>
      <c r="I392" s="58">
        <v>0</v>
      </c>
      <c r="J392" s="58">
        <v>1.0581075689114401E+19</v>
      </c>
    </row>
    <row r="393" spans="3:10">
      <c r="C393" s="29" t="b">
        <v>0</v>
      </c>
      <c r="D393" s="30" t="s">
        <v>79</v>
      </c>
      <c r="E393" s="137">
        <v>3</v>
      </c>
      <c r="F393" s="30" t="s">
        <v>70</v>
      </c>
      <c r="G393" s="30" t="s">
        <v>67</v>
      </c>
      <c r="H393" s="30">
        <v>6.1119784541199998E-2</v>
      </c>
      <c r="I393" s="58">
        <v>0</v>
      </c>
      <c r="J393" s="58">
        <v>8.3996203099534899E+18</v>
      </c>
    </row>
    <row r="394" spans="3:10">
      <c r="C394" s="29" t="b">
        <v>0</v>
      </c>
      <c r="D394" s="30" t="s">
        <v>78</v>
      </c>
      <c r="E394" s="137">
        <v>3</v>
      </c>
      <c r="F394" s="30" t="s">
        <v>70</v>
      </c>
      <c r="G394" s="30" t="s">
        <v>67</v>
      </c>
      <c r="H394" s="30">
        <v>6.4001600329699995E-2</v>
      </c>
      <c r="I394" s="58">
        <v>0</v>
      </c>
      <c r="J394" s="58">
        <v>1.7076871127743601E+19</v>
      </c>
    </row>
    <row r="395" spans="3:10">
      <c r="C395" s="29" t="b">
        <v>0</v>
      </c>
      <c r="D395" s="30" t="s">
        <v>77</v>
      </c>
      <c r="E395" s="137">
        <v>3</v>
      </c>
      <c r="F395" s="30" t="s">
        <v>70</v>
      </c>
      <c r="G395" s="30" t="s">
        <v>67</v>
      </c>
      <c r="H395" s="30">
        <v>-4.7032247436500002E-2</v>
      </c>
      <c r="I395" s="58">
        <v>0</v>
      </c>
      <c r="J395" s="58">
        <v>1.3824484692651301E+19</v>
      </c>
    </row>
    <row r="396" spans="3:10">
      <c r="C396" s="29" t="b">
        <v>0</v>
      </c>
      <c r="D396" s="30" t="s">
        <v>76</v>
      </c>
      <c r="E396" s="137">
        <v>3</v>
      </c>
      <c r="F396" s="30" t="s">
        <v>70</v>
      </c>
      <c r="G396" s="30" t="s">
        <v>67</v>
      </c>
      <c r="H396" s="30">
        <v>2.0633992954200001E-3</v>
      </c>
      <c r="I396" s="58">
        <v>0</v>
      </c>
      <c r="J396" s="58">
        <v>5.3484930772554004E+18</v>
      </c>
    </row>
    <row r="397" spans="3:10">
      <c r="C397" s="29" t="b">
        <v>0</v>
      </c>
      <c r="D397" s="30" t="s">
        <v>75</v>
      </c>
      <c r="E397" s="137">
        <v>3</v>
      </c>
      <c r="F397" s="30" t="s">
        <v>70</v>
      </c>
      <c r="G397" s="30" t="s">
        <v>67</v>
      </c>
      <c r="H397" s="30">
        <v>9.5987009063099992E-3</v>
      </c>
      <c r="I397" s="58">
        <v>0</v>
      </c>
      <c r="J397" s="58">
        <v>1.0953268185706E+19</v>
      </c>
    </row>
    <row r="398" spans="3:10">
      <c r="C398" s="29" t="b">
        <v>0</v>
      </c>
      <c r="D398" s="30" t="s">
        <v>74</v>
      </c>
      <c r="E398" s="137">
        <v>3</v>
      </c>
      <c r="F398" s="30" t="s">
        <v>70</v>
      </c>
      <c r="G398" s="30" t="s">
        <v>67</v>
      </c>
      <c r="H398" s="30">
        <v>-1.49878467224E-2</v>
      </c>
      <c r="I398" s="58">
        <v>0</v>
      </c>
      <c r="J398" s="58">
        <v>7.5879584694168699E+18</v>
      </c>
    </row>
    <row r="399" spans="3:10">
      <c r="C399" s="29" t="b">
        <v>0</v>
      </c>
      <c r="D399" s="30" t="s">
        <v>73</v>
      </c>
      <c r="E399" s="137">
        <v>3</v>
      </c>
      <c r="F399" s="30" t="s">
        <v>70</v>
      </c>
      <c r="G399" s="30" t="s">
        <v>67</v>
      </c>
      <c r="H399" s="30">
        <v>0.112746171369</v>
      </c>
      <c r="I399" s="58">
        <v>0</v>
      </c>
      <c r="J399" s="58">
        <v>1.72478729881286E+19</v>
      </c>
    </row>
    <row r="400" spans="3:10">
      <c r="C400" s="29" t="b">
        <v>0</v>
      </c>
      <c r="D400" s="30" t="s">
        <v>69</v>
      </c>
      <c r="E400" s="137">
        <v>3</v>
      </c>
      <c r="F400" s="30" t="s">
        <v>70</v>
      </c>
      <c r="G400" s="30" t="s">
        <v>67</v>
      </c>
      <c r="H400" s="30">
        <v>4.8317678438900002E-2</v>
      </c>
      <c r="I400" s="58">
        <v>0</v>
      </c>
      <c r="J400" s="58">
        <v>1.0267501540532601E+19</v>
      </c>
    </row>
    <row r="401" spans="3:10">
      <c r="C401" s="29" t="b">
        <v>0</v>
      </c>
      <c r="D401" s="30" t="s">
        <v>64</v>
      </c>
      <c r="E401" s="137">
        <v>4</v>
      </c>
      <c r="F401" s="30" t="s">
        <v>70</v>
      </c>
      <c r="G401" s="30" t="s">
        <v>67</v>
      </c>
      <c r="H401" s="30">
        <v>7.0557529261800006E-2</v>
      </c>
      <c r="I401" s="58">
        <v>0</v>
      </c>
      <c r="J401" s="58">
        <v>1.7268479361997601E+19</v>
      </c>
    </row>
    <row r="402" spans="3:10">
      <c r="C402" s="29" t="b">
        <v>0</v>
      </c>
      <c r="D402" s="30" t="s">
        <v>83</v>
      </c>
      <c r="E402" s="137">
        <v>4</v>
      </c>
      <c r="F402" s="30" t="s">
        <v>70</v>
      </c>
      <c r="G402" s="30" t="s">
        <v>67</v>
      </c>
      <c r="H402" s="30">
        <v>0.20212268931499999</v>
      </c>
      <c r="I402" s="58">
        <v>0</v>
      </c>
      <c r="J402" s="58">
        <v>5.0742648689355704E+18</v>
      </c>
    </row>
    <row r="403" spans="3:10">
      <c r="C403" s="29" t="b">
        <v>0</v>
      </c>
      <c r="D403" s="30" t="s">
        <v>82</v>
      </c>
      <c r="E403" s="137">
        <v>4</v>
      </c>
      <c r="F403" s="30" t="s">
        <v>70</v>
      </c>
      <c r="G403" s="30" t="s">
        <v>67</v>
      </c>
      <c r="H403" s="30">
        <v>0.128158046374</v>
      </c>
      <c r="I403" s="58">
        <v>0</v>
      </c>
      <c r="J403" s="58">
        <v>2.5132981836610002E+18</v>
      </c>
    </row>
    <row r="404" spans="3:10">
      <c r="C404" s="29" t="b">
        <v>0</v>
      </c>
      <c r="D404" s="30" t="s">
        <v>81</v>
      </c>
      <c r="E404" s="137">
        <v>4</v>
      </c>
      <c r="F404" s="30" t="s">
        <v>70</v>
      </c>
      <c r="G404" s="30" t="s">
        <v>67</v>
      </c>
      <c r="H404" s="30">
        <v>-1.8348091554500001E-3</v>
      </c>
      <c r="I404" s="58">
        <v>0</v>
      </c>
      <c r="J404" s="58">
        <v>4.8938783995581297E+18</v>
      </c>
    </row>
    <row r="405" spans="3:10">
      <c r="C405" s="29" t="b">
        <v>0</v>
      </c>
      <c r="D405" s="30" t="s">
        <v>80</v>
      </c>
      <c r="E405" s="137">
        <v>4</v>
      </c>
      <c r="F405" s="30" t="s">
        <v>70</v>
      </c>
      <c r="G405" s="30" t="s">
        <v>67</v>
      </c>
      <c r="H405" s="30">
        <v>0.32426482152300001</v>
      </c>
      <c r="I405" s="58">
        <v>0</v>
      </c>
      <c r="J405" s="58">
        <v>1.7571304365744099E+19</v>
      </c>
    </row>
    <row r="406" spans="3:10">
      <c r="C406" s="29" t="b">
        <v>0</v>
      </c>
      <c r="D406" s="30" t="s">
        <v>72</v>
      </c>
      <c r="E406" s="137">
        <v>4</v>
      </c>
      <c r="F406" s="30" t="s">
        <v>70</v>
      </c>
      <c r="G406" s="30" t="s">
        <v>67</v>
      </c>
      <c r="H406" s="30">
        <v>0.186011726948</v>
      </c>
      <c r="I406" s="58">
        <v>0</v>
      </c>
      <c r="J406" s="58">
        <v>4.6375731579473797E+18</v>
      </c>
    </row>
    <row r="407" spans="3:10">
      <c r="C407" s="29" t="b">
        <v>0</v>
      </c>
      <c r="D407" s="30" t="s">
        <v>79</v>
      </c>
      <c r="E407" s="137">
        <v>4</v>
      </c>
      <c r="F407" s="30" t="s">
        <v>70</v>
      </c>
      <c r="G407" s="30" t="s">
        <v>67</v>
      </c>
      <c r="H407" s="30">
        <v>0.13485124476900001</v>
      </c>
      <c r="I407" s="58">
        <v>0</v>
      </c>
      <c r="J407" s="58">
        <v>1.59055244978723E+19</v>
      </c>
    </row>
    <row r="408" spans="3:10">
      <c r="C408" s="29" t="b">
        <v>0</v>
      </c>
      <c r="D408" s="30" t="s">
        <v>78</v>
      </c>
      <c r="E408" s="137">
        <v>4</v>
      </c>
      <c r="F408" s="30" t="s">
        <v>70</v>
      </c>
      <c r="G408" s="30" t="s">
        <v>67</v>
      </c>
      <c r="H408" s="30">
        <v>0.13349739442299999</v>
      </c>
      <c r="I408" s="58">
        <v>0</v>
      </c>
      <c r="J408" s="58">
        <v>1.07432713782697E+19</v>
      </c>
    </row>
    <row r="409" spans="3:10">
      <c r="C409" s="29" t="b">
        <v>0</v>
      </c>
      <c r="D409" s="30" t="s">
        <v>77</v>
      </c>
      <c r="E409" s="137">
        <v>4</v>
      </c>
      <c r="F409" s="30" t="s">
        <v>70</v>
      </c>
      <c r="G409" s="30" t="s">
        <v>67</v>
      </c>
      <c r="H409" s="30">
        <v>-1.20831656004E-2</v>
      </c>
      <c r="I409" s="58">
        <v>0</v>
      </c>
      <c r="J409" s="58">
        <v>1.6379874526085401E+19</v>
      </c>
    </row>
    <row r="410" spans="3:10">
      <c r="C410" s="29" t="b">
        <v>0</v>
      </c>
      <c r="D410" s="30" t="s">
        <v>76</v>
      </c>
      <c r="E410" s="137">
        <v>4</v>
      </c>
      <c r="F410" s="30" t="s">
        <v>70</v>
      </c>
      <c r="G410" s="30" t="s">
        <v>67</v>
      </c>
      <c r="H410" s="30">
        <v>4.0636219985799998E-2</v>
      </c>
      <c r="I410" s="58">
        <v>0</v>
      </c>
      <c r="J410" s="58">
        <v>8.0899807002566502E+18</v>
      </c>
    </row>
    <row r="411" spans="3:10">
      <c r="C411" s="29" t="b">
        <v>0</v>
      </c>
      <c r="D411" s="30" t="s">
        <v>80</v>
      </c>
      <c r="E411" s="137">
        <v>1</v>
      </c>
      <c r="F411" s="30" t="s">
        <v>70</v>
      </c>
      <c r="G411" s="30" t="s">
        <v>67</v>
      </c>
      <c r="H411" s="30">
        <v>-5.05230209634E-2</v>
      </c>
      <c r="I411" s="58">
        <v>0</v>
      </c>
      <c r="J411" s="58">
        <v>1.2039639697822099E+19</v>
      </c>
    </row>
    <row r="412" spans="3:10">
      <c r="C412" s="29" t="b">
        <v>0</v>
      </c>
      <c r="D412" s="30" t="s">
        <v>73</v>
      </c>
      <c r="E412" s="137">
        <v>4</v>
      </c>
      <c r="F412" s="30" t="s">
        <v>70</v>
      </c>
      <c r="G412" s="30" t="s">
        <v>67</v>
      </c>
      <c r="H412" s="30">
        <v>0.12304968245099999</v>
      </c>
      <c r="I412" s="58">
        <v>0</v>
      </c>
      <c r="J412" s="58">
        <v>1.08583698120432E+18</v>
      </c>
    </row>
    <row r="413" spans="3:10">
      <c r="C413" s="29" t="b">
        <v>0</v>
      </c>
      <c r="D413" s="30" t="s">
        <v>76</v>
      </c>
      <c r="E413" s="137">
        <v>9</v>
      </c>
      <c r="F413" s="30" t="s">
        <v>70</v>
      </c>
      <c r="G413" s="30" t="s">
        <v>67</v>
      </c>
      <c r="H413" s="30">
        <v>-9.6564695478700002E-2</v>
      </c>
      <c r="I413" s="58">
        <v>0</v>
      </c>
      <c r="J413" s="58">
        <v>1.0086806683340599E+19</v>
      </c>
    </row>
    <row r="414" spans="3:10">
      <c r="C414" s="29" t="b">
        <v>0</v>
      </c>
      <c r="D414" s="30" t="s">
        <v>69</v>
      </c>
      <c r="E414" s="137">
        <v>4</v>
      </c>
      <c r="F414" s="30" t="s">
        <v>70</v>
      </c>
      <c r="G414" s="30" t="s">
        <v>67</v>
      </c>
      <c r="H414" s="30">
        <v>0.147685336045</v>
      </c>
      <c r="I414" s="58">
        <v>0</v>
      </c>
      <c r="J414" s="58">
        <v>1.34913912250671E+19</v>
      </c>
    </row>
    <row r="415" spans="3:10">
      <c r="C415" s="29" t="b">
        <v>0</v>
      </c>
      <c r="D415" s="30" t="s">
        <v>83</v>
      </c>
      <c r="E415" s="137">
        <v>5</v>
      </c>
      <c r="F415" s="30" t="s">
        <v>70</v>
      </c>
      <c r="G415" s="30" t="s">
        <v>67</v>
      </c>
      <c r="H415" s="30">
        <v>0.31585962119</v>
      </c>
      <c r="I415" s="58">
        <v>0</v>
      </c>
      <c r="J415" s="58">
        <v>1.13395224071762E+19</v>
      </c>
    </row>
    <row r="416" spans="3:10">
      <c r="C416" s="29" t="b">
        <v>0</v>
      </c>
      <c r="D416" s="30" t="s">
        <v>82</v>
      </c>
      <c r="E416" s="137">
        <v>5</v>
      </c>
      <c r="F416" s="30" t="s">
        <v>70</v>
      </c>
      <c r="G416" s="30" t="s">
        <v>67</v>
      </c>
      <c r="H416" s="30">
        <v>0.149879208805</v>
      </c>
      <c r="I416" s="58">
        <v>0</v>
      </c>
      <c r="J416" s="58">
        <v>7.9609203724699597E+17</v>
      </c>
    </row>
    <row r="417" spans="3:10">
      <c r="C417" s="29" t="b">
        <v>0</v>
      </c>
      <c r="D417" s="30" t="s">
        <v>81</v>
      </c>
      <c r="E417" s="137">
        <v>5</v>
      </c>
      <c r="F417" s="30" t="s">
        <v>70</v>
      </c>
      <c r="G417" s="30" t="s">
        <v>67</v>
      </c>
      <c r="H417" s="30">
        <v>0.14798532912599999</v>
      </c>
      <c r="I417" s="58">
        <v>0</v>
      </c>
      <c r="J417" s="58">
        <v>4.8684426015630602E+18</v>
      </c>
    </row>
    <row r="418" spans="3:10">
      <c r="C418" s="29" t="b">
        <v>0</v>
      </c>
      <c r="D418" s="30" t="s">
        <v>80</v>
      </c>
      <c r="E418" s="137">
        <v>5</v>
      </c>
      <c r="F418" s="30" t="s">
        <v>70</v>
      </c>
      <c r="G418" s="30" t="s">
        <v>67</v>
      </c>
      <c r="H418" s="30">
        <v>0.45557481893599999</v>
      </c>
      <c r="I418" s="58">
        <v>0</v>
      </c>
      <c r="J418" s="58">
        <v>1.5306002480887099E+19</v>
      </c>
    </row>
    <row r="419" spans="3:10">
      <c r="C419" s="29" t="b">
        <v>0</v>
      </c>
      <c r="D419" s="30" t="s">
        <v>72</v>
      </c>
      <c r="E419" s="137">
        <v>5</v>
      </c>
      <c r="F419" s="30" t="s">
        <v>70</v>
      </c>
      <c r="G419" s="30" t="s">
        <v>67</v>
      </c>
      <c r="H419" s="30">
        <v>0.236025401676</v>
      </c>
      <c r="I419" s="58">
        <v>0</v>
      </c>
      <c r="J419" s="58">
        <v>8.5157808245998106E+17</v>
      </c>
    </row>
    <row r="420" spans="3:10">
      <c r="C420" s="29" t="b">
        <v>0</v>
      </c>
      <c r="D420" s="30" t="s">
        <v>79</v>
      </c>
      <c r="E420" s="137">
        <v>5</v>
      </c>
      <c r="F420" s="30" t="s">
        <v>70</v>
      </c>
      <c r="G420" s="30" t="s">
        <v>67</v>
      </c>
      <c r="H420" s="30">
        <v>0.21348405273000001</v>
      </c>
      <c r="I420" s="58">
        <v>0</v>
      </c>
      <c r="J420" s="58">
        <v>9.2322183038907802E+18</v>
      </c>
    </row>
    <row r="421" spans="3:10">
      <c r="C421" s="29" t="b">
        <v>0</v>
      </c>
      <c r="D421" s="30" t="s">
        <v>78</v>
      </c>
      <c r="E421" s="137">
        <v>5</v>
      </c>
      <c r="F421" s="30" t="s">
        <v>70</v>
      </c>
      <c r="G421" s="30" t="s">
        <v>67</v>
      </c>
      <c r="H421" s="30">
        <v>0.176160706827999</v>
      </c>
      <c r="I421" s="58">
        <v>0</v>
      </c>
      <c r="J421" s="58">
        <v>1.3518951049007401E+19</v>
      </c>
    </row>
    <row r="422" spans="3:10">
      <c r="C422" s="29" t="b">
        <v>0</v>
      </c>
      <c r="D422" s="30" t="s">
        <v>77</v>
      </c>
      <c r="E422" s="137">
        <v>5</v>
      </c>
      <c r="F422" s="30" t="s">
        <v>70</v>
      </c>
      <c r="G422" s="30" t="s">
        <v>67</v>
      </c>
      <c r="H422" s="30">
        <v>4.2811448229200001E-2</v>
      </c>
      <c r="I422" s="58">
        <v>0</v>
      </c>
      <c r="J422" s="58">
        <v>1.0992493415197499E+19</v>
      </c>
    </row>
    <row r="423" spans="3:10">
      <c r="C423" s="29" t="b">
        <v>0</v>
      </c>
      <c r="D423" s="30" t="s">
        <v>76</v>
      </c>
      <c r="E423" s="137">
        <v>5</v>
      </c>
      <c r="F423" s="30" t="s">
        <v>70</v>
      </c>
      <c r="G423" s="30" t="s">
        <v>67</v>
      </c>
      <c r="H423" s="30">
        <v>5.8952639515499998E-2</v>
      </c>
      <c r="I423" s="58">
        <v>0</v>
      </c>
      <c r="J423" s="58">
        <v>5.4115063550213396E+18</v>
      </c>
    </row>
    <row r="424" spans="3:10">
      <c r="C424" s="29" t="b">
        <v>0</v>
      </c>
      <c r="D424" s="30" t="s">
        <v>75</v>
      </c>
      <c r="E424" s="137">
        <v>5</v>
      </c>
      <c r="F424" s="30" t="s">
        <v>70</v>
      </c>
      <c r="G424" s="30" t="s">
        <v>67</v>
      </c>
      <c r="H424" s="30">
        <v>7.2731032417199998E-2</v>
      </c>
      <c r="I424" s="58">
        <v>0</v>
      </c>
      <c r="J424" s="58">
        <v>7.8804247965312604E+18</v>
      </c>
    </row>
    <row r="425" spans="3:10">
      <c r="C425" s="29" t="b">
        <v>0</v>
      </c>
      <c r="D425" s="30" t="s">
        <v>74</v>
      </c>
      <c r="E425" s="137">
        <v>5</v>
      </c>
      <c r="F425" s="30" t="s">
        <v>70</v>
      </c>
      <c r="G425" s="30" t="s">
        <v>67</v>
      </c>
      <c r="H425" s="30">
        <v>0.160734983232</v>
      </c>
      <c r="I425" s="58">
        <v>0</v>
      </c>
      <c r="J425" s="58">
        <v>8.1381204645395804E+18</v>
      </c>
    </row>
    <row r="426" spans="3:10">
      <c r="C426" s="29" t="b">
        <v>0</v>
      </c>
      <c r="D426" s="30" t="s">
        <v>73</v>
      </c>
      <c r="E426" s="137">
        <v>5</v>
      </c>
      <c r="F426" s="30" t="s">
        <v>70</v>
      </c>
      <c r="G426" s="30" t="s">
        <v>67</v>
      </c>
      <c r="H426" s="30">
        <v>9.1026941520199994E-2</v>
      </c>
      <c r="I426" s="58">
        <v>0</v>
      </c>
      <c r="J426" s="58">
        <v>8.0573583854590904E+18</v>
      </c>
    </row>
    <row r="427" spans="3:10">
      <c r="C427" s="29" t="b">
        <v>0</v>
      </c>
      <c r="D427" s="30" t="s">
        <v>69</v>
      </c>
      <c r="E427" s="137">
        <v>5</v>
      </c>
      <c r="F427" s="30" t="s">
        <v>70</v>
      </c>
      <c r="G427" s="30" t="s">
        <v>67</v>
      </c>
      <c r="H427" s="30">
        <v>0.21123239726199999</v>
      </c>
      <c r="I427" s="58">
        <v>0</v>
      </c>
      <c r="J427" s="58">
        <v>1.4646521124886901E+19</v>
      </c>
    </row>
    <row r="428" spans="3:10">
      <c r="C428" s="29" t="b">
        <v>0</v>
      </c>
      <c r="D428" s="30" t="s">
        <v>64</v>
      </c>
      <c r="E428" s="137">
        <v>6</v>
      </c>
      <c r="F428" s="30" t="s">
        <v>70</v>
      </c>
      <c r="G428" s="30" t="s">
        <v>67</v>
      </c>
      <c r="H428" s="30">
        <v>5.9436141935199902E-2</v>
      </c>
      <c r="I428" s="58">
        <v>0</v>
      </c>
      <c r="J428" s="58">
        <v>1.47353625867712E+19</v>
      </c>
    </row>
    <row r="429" spans="3:10">
      <c r="C429" s="29" t="b">
        <v>0</v>
      </c>
      <c r="D429" s="30" t="s">
        <v>83</v>
      </c>
      <c r="E429" s="137">
        <v>6</v>
      </c>
      <c r="F429" s="30" t="s">
        <v>70</v>
      </c>
      <c r="G429" s="30" t="s">
        <v>67</v>
      </c>
      <c r="H429" s="30">
        <v>0.32133460128300001</v>
      </c>
      <c r="I429" s="58">
        <v>0</v>
      </c>
      <c r="J429" s="58">
        <v>4.32591130821549E+18</v>
      </c>
    </row>
    <row r="430" spans="3:10">
      <c r="C430" s="29" t="b">
        <v>0</v>
      </c>
      <c r="D430" s="30" t="s">
        <v>64</v>
      </c>
      <c r="E430" s="137">
        <v>5</v>
      </c>
      <c r="F430" s="30" t="s">
        <v>70</v>
      </c>
      <c r="G430" s="30" t="s">
        <v>67</v>
      </c>
      <c r="H430" s="30">
        <v>8.5386996799399997E-2</v>
      </c>
      <c r="I430" s="58">
        <v>0</v>
      </c>
      <c r="J430" s="58">
        <v>1.25795034370823E+19</v>
      </c>
    </row>
    <row r="431" spans="3:10">
      <c r="C431" s="29" t="b">
        <v>0</v>
      </c>
      <c r="D431" s="30" t="s">
        <v>81</v>
      </c>
      <c r="E431" s="137">
        <v>6</v>
      </c>
      <c r="F431" s="30" t="s">
        <v>70</v>
      </c>
      <c r="G431" s="30" t="s">
        <v>67</v>
      </c>
      <c r="H431" s="30">
        <v>0.28222157970599998</v>
      </c>
      <c r="I431" s="58">
        <v>0</v>
      </c>
      <c r="J431" s="58">
        <v>1.0943288973280399E+19</v>
      </c>
    </row>
    <row r="432" spans="3:10">
      <c r="C432" s="29" t="b">
        <v>0</v>
      </c>
      <c r="D432" s="30" t="s">
        <v>80</v>
      </c>
      <c r="E432" s="137">
        <v>6</v>
      </c>
      <c r="F432" s="30" t="s">
        <v>70</v>
      </c>
      <c r="G432" s="30" t="s">
        <v>67</v>
      </c>
      <c r="H432" s="30">
        <v>0.41066097261399997</v>
      </c>
      <c r="I432" s="58">
        <v>0</v>
      </c>
      <c r="J432" s="58">
        <v>1.079798482373E+19</v>
      </c>
    </row>
    <row r="433" spans="3:10">
      <c r="C433" s="29" t="b">
        <v>0</v>
      </c>
      <c r="D433" s="30" t="s">
        <v>72</v>
      </c>
      <c r="E433" s="137">
        <v>6</v>
      </c>
      <c r="F433" s="30" t="s">
        <v>70</v>
      </c>
      <c r="G433" s="30" t="s">
        <v>67</v>
      </c>
      <c r="H433" s="30">
        <v>0.19637029304299999</v>
      </c>
      <c r="I433" s="58">
        <v>0</v>
      </c>
      <c r="J433" s="58">
        <v>1.04538743512321E+19</v>
      </c>
    </row>
    <row r="434" spans="3:10">
      <c r="C434" s="29" t="b">
        <v>0</v>
      </c>
      <c r="D434" s="30" t="s">
        <v>79</v>
      </c>
      <c r="E434" s="137">
        <v>6</v>
      </c>
      <c r="F434" s="30" t="s">
        <v>70</v>
      </c>
      <c r="G434" s="30" t="s">
        <v>67</v>
      </c>
      <c r="H434" s="30">
        <v>0.24678399755800001</v>
      </c>
      <c r="I434" s="58">
        <v>0</v>
      </c>
      <c r="J434" s="58">
        <v>7.31273612375471E+18</v>
      </c>
    </row>
    <row r="435" spans="3:10">
      <c r="C435" s="29" t="b">
        <v>0</v>
      </c>
      <c r="D435" s="30" t="s">
        <v>78</v>
      </c>
      <c r="E435" s="137">
        <v>6</v>
      </c>
      <c r="F435" s="30" t="s">
        <v>70</v>
      </c>
      <c r="G435" s="30" t="s">
        <v>67</v>
      </c>
      <c r="H435" s="30">
        <v>0.17111681208900001</v>
      </c>
      <c r="I435" s="58">
        <v>0</v>
      </c>
      <c r="J435" s="58">
        <v>1.7470819307790801E+19</v>
      </c>
    </row>
    <row r="436" spans="3:10">
      <c r="C436" s="29" t="b">
        <v>0</v>
      </c>
      <c r="D436" s="30" t="s">
        <v>77</v>
      </c>
      <c r="E436" s="137">
        <v>6</v>
      </c>
      <c r="F436" s="30" t="s">
        <v>70</v>
      </c>
      <c r="G436" s="30" t="s">
        <v>67</v>
      </c>
      <c r="H436" s="30">
        <v>8.6119774727600004E-2</v>
      </c>
      <c r="I436" s="58">
        <v>0</v>
      </c>
      <c r="J436" s="58">
        <v>9.8440557396208599E+18</v>
      </c>
    </row>
    <row r="437" spans="3:10">
      <c r="C437" s="29" t="b">
        <v>0</v>
      </c>
      <c r="D437" s="30" t="s">
        <v>76</v>
      </c>
      <c r="E437" s="137">
        <v>6</v>
      </c>
      <c r="F437" s="30" t="s">
        <v>70</v>
      </c>
      <c r="G437" s="30" t="s">
        <v>67</v>
      </c>
      <c r="H437" s="30">
        <v>3.2806224540700001E-2</v>
      </c>
      <c r="I437" s="58">
        <v>0</v>
      </c>
      <c r="J437" s="58">
        <v>4.4797535393231002E+18</v>
      </c>
    </row>
    <row r="438" spans="3:10">
      <c r="C438" s="29" t="b">
        <v>0</v>
      </c>
      <c r="D438" s="30" t="s">
        <v>75</v>
      </c>
      <c r="E438" s="137">
        <v>6</v>
      </c>
      <c r="F438" s="30" t="s">
        <v>70</v>
      </c>
      <c r="G438" s="30" t="s">
        <v>67</v>
      </c>
      <c r="H438" s="30">
        <v>9.2244953254099996E-2</v>
      </c>
      <c r="I438" s="58">
        <v>0</v>
      </c>
      <c r="J438" s="58">
        <v>8.9544922688128704E+17</v>
      </c>
    </row>
    <row r="439" spans="3:10">
      <c r="C439" s="29" t="b">
        <v>0</v>
      </c>
      <c r="D439" s="30" t="s">
        <v>74</v>
      </c>
      <c r="E439" s="137">
        <v>6</v>
      </c>
      <c r="F439" s="30" t="s">
        <v>70</v>
      </c>
      <c r="G439" s="30" t="s">
        <v>67</v>
      </c>
      <c r="H439" s="30">
        <v>0.176109444388</v>
      </c>
      <c r="I439" s="58">
        <v>0</v>
      </c>
      <c r="J439" s="58">
        <v>1.03282951047501E+19</v>
      </c>
    </row>
    <row r="440" spans="3:10">
      <c r="C440" s="29" t="b">
        <v>0</v>
      </c>
      <c r="D440" s="30" t="s">
        <v>73</v>
      </c>
      <c r="E440" s="137">
        <v>6</v>
      </c>
      <c r="F440" s="30" t="s">
        <v>70</v>
      </c>
      <c r="G440" s="30" t="s">
        <v>67</v>
      </c>
      <c r="H440" s="30">
        <v>3.2758004672100001E-2</v>
      </c>
      <c r="I440" s="58">
        <v>0</v>
      </c>
      <c r="J440" s="58">
        <v>6.16529675695953E+18</v>
      </c>
    </row>
    <row r="441" spans="3:10">
      <c r="C441" s="29" t="b">
        <v>0</v>
      </c>
      <c r="D441" s="30" t="s">
        <v>69</v>
      </c>
      <c r="E441" s="137">
        <v>6</v>
      </c>
      <c r="F441" s="30" t="s">
        <v>70</v>
      </c>
      <c r="G441" s="30" t="s">
        <v>67</v>
      </c>
      <c r="H441" s="30">
        <v>0.195928278229</v>
      </c>
      <c r="I441" s="58">
        <v>0</v>
      </c>
      <c r="J441" s="58">
        <v>1.40857487983365E+19</v>
      </c>
    </row>
    <row r="442" spans="3:10">
      <c r="C442" s="29" t="b">
        <v>0</v>
      </c>
      <c r="D442" s="30" t="s">
        <v>64</v>
      </c>
      <c r="E442" s="137">
        <v>7</v>
      </c>
      <c r="F442" s="30" t="s">
        <v>70</v>
      </c>
      <c r="G442" s="30" t="s">
        <v>67</v>
      </c>
      <c r="H442" s="30">
        <v>7.9932609047200006E-3</v>
      </c>
      <c r="I442" s="58">
        <v>0</v>
      </c>
      <c r="J442" s="58">
        <v>1.7966462377967201E+18</v>
      </c>
    </row>
    <row r="443" spans="3:10">
      <c r="C443" s="29" t="b">
        <v>0</v>
      </c>
      <c r="D443" s="30" t="s">
        <v>83</v>
      </c>
      <c r="E443" s="137">
        <v>7</v>
      </c>
      <c r="F443" s="30" t="s">
        <v>70</v>
      </c>
      <c r="G443" s="30" t="s">
        <v>67</v>
      </c>
      <c r="H443" s="30">
        <v>0.204943330683</v>
      </c>
      <c r="I443" s="58">
        <v>0</v>
      </c>
      <c r="J443" s="58">
        <v>1.0024067045177E+19</v>
      </c>
    </row>
    <row r="444" spans="3:10">
      <c r="C444" s="29" t="b">
        <v>0</v>
      </c>
      <c r="D444" s="30" t="s">
        <v>82</v>
      </c>
      <c r="E444" s="137">
        <v>0</v>
      </c>
      <c r="F444" s="30" t="s">
        <v>70</v>
      </c>
      <c r="G444" s="30" t="s">
        <v>67</v>
      </c>
      <c r="H444" s="30">
        <v>-1.6985210857299999E-2</v>
      </c>
      <c r="I444" s="58">
        <v>0</v>
      </c>
      <c r="J444" s="58">
        <v>1.4494854478776499E+18</v>
      </c>
    </row>
    <row r="445" spans="3:10">
      <c r="C445" s="29" t="b">
        <v>0</v>
      </c>
      <c r="D445" s="30" t="s">
        <v>81</v>
      </c>
      <c r="E445" s="137">
        <v>7</v>
      </c>
      <c r="F445" s="30" t="s">
        <v>70</v>
      </c>
      <c r="G445" s="30" t="s">
        <v>67</v>
      </c>
      <c r="H445" s="30">
        <v>0.31900901354299999</v>
      </c>
      <c r="I445" s="58">
        <v>0</v>
      </c>
      <c r="J445" s="58">
        <v>1.7093603679742401E+19</v>
      </c>
    </row>
    <row r="446" spans="3:10">
      <c r="C446" s="29" t="b">
        <v>0</v>
      </c>
      <c r="D446" s="30" t="s">
        <v>80</v>
      </c>
      <c r="E446" s="137">
        <v>7</v>
      </c>
      <c r="F446" s="30" t="s">
        <v>70</v>
      </c>
      <c r="G446" s="30" t="s">
        <v>67</v>
      </c>
      <c r="H446" s="30">
        <v>0.218513616025</v>
      </c>
      <c r="I446" s="58">
        <v>0</v>
      </c>
      <c r="J446" s="58">
        <v>3.6384159842405499E+18</v>
      </c>
    </row>
    <row r="447" spans="3:10">
      <c r="C447" s="29" t="b">
        <v>0</v>
      </c>
      <c r="D447" s="30" t="s">
        <v>72</v>
      </c>
      <c r="E447" s="137">
        <v>7</v>
      </c>
      <c r="F447" s="30" t="s">
        <v>70</v>
      </c>
      <c r="G447" s="30" t="s">
        <v>67</v>
      </c>
      <c r="H447" s="30">
        <v>8.8224947383599997E-2</v>
      </c>
      <c r="I447" s="58">
        <v>0</v>
      </c>
      <c r="J447" s="58">
        <v>7.2291793017464105E+18</v>
      </c>
    </row>
    <row r="448" spans="3:10">
      <c r="C448" s="29" t="b">
        <v>0</v>
      </c>
      <c r="D448" s="30" t="s">
        <v>79</v>
      </c>
      <c r="E448" s="137">
        <v>7</v>
      </c>
      <c r="F448" s="30" t="s">
        <v>70</v>
      </c>
      <c r="G448" s="30" t="s">
        <v>67</v>
      </c>
      <c r="H448" s="30">
        <v>0.20388410364699999</v>
      </c>
      <c r="I448" s="58">
        <v>0</v>
      </c>
      <c r="J448" s="58">
        <v>9.0039677984243802E+17</v>
      </c>
    </row>
    <row r="449" spans="3:10">
      <c r="C449" s="29" t="b">
        <v>0</v>
      </c>
      <c r="D449" s="30" t="s">
        <v>78</v>
      </c>
      <c r="E449" s="137">
        <v>7</v>
      </c>
      <c r="F449" s="30" t="s">
        <v>70</v>
      </c>
      <c r="G449" s="30" t="s">
        <v>67</v>
      </c>
      <c r="H449" s="30">
        <v>0.12677769874</v>
      </c>
      <c r="I449" s="58">
        <v>0</v>
      </c>
      <c r="J449" s="58">
        <v>1.16872275151825E+19</v>
      </c>
    </row>
    <row r="450" spans="3:10">
      <c r="C450" s="29" t="b">
        <v>0</v>
      </c>
      <c r="D450" s="30" t="s">
        <v>77</v>
      </c>
      <c r="E450" s="137">
        <v>7</v>
      </c>
      <c r="F450" s="30" t="s">
        <v>70</v>
      </c>
      <c r="G450" s="30" t="s">
        <v>67</v>
      </c>
      <c r="H450" s="30">
        <v>0.10275865253200001</v>
      </c>
      <c r="I450" s="58">
        <v>0</v>
      </c>
      <c r="J450" s="58">
        <v>1.8194085023979901E+19</v>
      </c>
    </row>
    <row r="451" spans="3:10">
      <c r="C451" s="29" t="b">
        <v>0</v>
      </c>
      <c r="D451" s="30" t="s">
        <v>76</v>
      </c>
      <c r="E451" s="137">
        <v>7</v>
      </c>
      <c r="F451" s="30" t="s">
        <v>70</v>
      </c>
      <c r="G451" s="30" t="s">
        <v>67</v>
      </c>
      <c r="H451" s="30">
        <v>-1.8216158799500001E-2</v>
      </c>
      <c r="I451" s="58">
        <v>0</v>
      </c>
      <c r="J451" s="58">
        <v>9.9930924517842801E+18</v>
      </c>
    </row>
    <row r="452" spans="3:10">
      <c r="C452" s="29" t="b">
        <v>0</v>
      </c>
      <c r="D452" s="30" t="s">
        <v>75</v>
      </c>
      <c r="E452" s="137">
        <v>7</v>
      </c>
      <c r="F452" s="30" t="s">
        <v>70</v>
      </c>
      <c r="G452" s="30" t="s">
        <v>67</v>
      </c>
      <c r="H452" s="30">
        <v>7.1110215695000006E-2</v>
      </c>
      <c r="I452" s="58">
        <v>0</v>
      </c>
      <c r="J452" s="58">
        <v>1.2853773854474701E+19</v>
      </c>
    </row>
    <row r="453" spans="3:10">
      <c r="C453" s="29" t="b">
        <v>0</v>
      </c>
      <c r="D453" s="30" t="s">
        <v>74</v>
      </c>
      <c r="E453" s="137">
        <v>7</v>
      </c>
      <c r="F453" s="30" t="s">
        <v>70</v>
      </c>
      <c r="G453" s="30" t="s">
        <v>67</v>
      </c>
      <c r="H453" s="30">
        <v>0.100876282424</v>
      </c>
      <c r="I453" s="58">
        <v>0</v>
      </c>
      <c r="J453" s="58">
        <v>5.1226853132986798E+18</v>
      </c>
    </row>
    <row r="454" spans="3:10">
      <c r="C454" s="29" t="b">
        <v>0</v>
      </c>
      <c r="D454" s="30" t="s">
        <v>73</v>
      </c>
      <c r="E454" s="137">
        <v>7</v>
      </c>
      <c r="F454" s="30" t="s">
        <v>70</v>
      </c>
      <c r="G454" s="30" t="s">
        <v>67</v>
      </c>
      <c r="H454" s="30">
        <v>-1.5597440004899999E-2</v>
      </c>
      <c r="I454" s="58">
        <v>0</v>
      </c>
      <c r="J454" s="58">
        <v>3.7825331143378099E+18</v>
      </c>
    </row>
    <row r="455" spans="3:10">
      <c r="C455" s="29" t="b">
        <v>0</v>
      </c>
      <c r="D455" s="30" t="s">
        <v>69</v>
      </c>
      <c r="E455" s="137">
        <v>7</v>
      </c>
      <c r="F455" s="30" t="s">
        <v>70</v>
      </c>
      <c r="G455" s="30" t="s">
        <v>67</v>
      </c>
      <c r="H455" s="30">
        <v>0.114907370649</v>
      </c>
      <c r="I455" s="58">
        <v>0</v>
      </c>
      <c r="J455" s="58">
        <v>1.70578940832414E+19</v>
      </c>
    </row>
    <row r="456" spans="3:10">
      <c r="C456" s="29" t="b">
        <v>0</v>
      </c>
      <c r="D456" s="30" t="s">
        <v>64</v>
      </c>
      <c r="E456" s="137">
        <v>8</v>
      </c>
      <c r="F456" s="30" t="s">
        <v>70</v>
      </c>
      <c r="G456" s="30" t="s">
        <v>67</v>
      </c>
      <c r="H456" s="30">
        <v>-4.2792906461900003E-2</v>
      </c>
      <c r="I456" s="58">
        <v>0</v>
      </c>
      <c r="J456" s="58">
        <v>5.2139736064987505E+18</v>
      </c>
    </row>
    <row r="457" spans="3:10">
      <c r="C457" s="29" t="b">
        <v>0</v>
      </c>
      <c r="D457" s="30" t="s">
        <v>83</v>
      </c>
      <c r="E457" s="137">
        <v>8</v>
      </c>
      <c r="F457" s="30" t="s">
        <v>70</v>
      </c>
      <c r="G457" s="30" t="s">
        <v>67</v>
      </c>
      <c r="H457" s="30">
        <v>3.6684871006799999E-2</v>
      </c>
      <c r="I457" s="58">
        <v>0</v>
      </c>
      <c r="J457" s="58">
        <v>1.6879487655609101E+18</v>
      </c>
    </row>
    <row r="458" spans="3:10">
      <c r="C458" s="29" t="b">
        <v>0</v>
      </c>
      <c r="D458" s="30" t="s">
        <v>82</v>
      </c>
      <c r="E458" s="137">
        <v>8</v>
      </c>
      <c r="F458" s="30" t="s">
        <v>70</v>
      </c>
      <c r="G458" s="30" t="s">
        <v>67</v>
      </c>
      <c r="H458" s="30">
        <v>-5.7302350145700003E-2</v>
      </c>
      <c r="I458" s="58">
        <v>0</v>
      </c>
      <c r="J458" s="58">
        <v>1.30968670679215E+19</v>
      </c>
    </row>
    <row r="459" spans="3:10">
      <c r="C459" s="29" t="b">
        <v>0</v>
      </c>
      <c r="D459" s="30" t="s">
        <v>81</v>
      </c>
      <c r="E459" s="137">
        <v>8</v>
      </c>
      <c r="F459" s="30" t="s">
        <v>70</v>
      </c>
      <c r="G459" s="30" t="s">
        <v>67</v>
      </c>
      <c r="H459" s="30">
        <v>0.24830210703399999</v>
      </c>
      <c r="I459" s="58">
        <v>0</v>
      </c>
      <c r="J459" s="58">
        <v>9.8333594191765606E+18</v>
      </c>
    </row>
    <row r="460" spans="3:10">
      <c r="C460" s="29" t="b">
        <v>0</v>
      </c>
      <c r="D460" s="30" t="s">
        <v>80</v>
      </c>
      <c r="E460" s="137">
        <v>8</v>
      </c>
      <c r="F460" s="30" t="s">
        <v>70</v>
      </c>
      <c r="G460" s="30" t="s">
        <v>67</v>
      </c>
      <c r="H460" s="30">
        <v>1.09629220321E-2</v>
      </c>
      <c r="I460" s="58">
        <v>0</v>
      </c>
      <c r="J460" s="58">
        <v>7.9549124026603397E+18</v>
      </c>
    </row>
    <row r="461" spans="3:10">
      <c r="C461" s="29" t="b">
        <v>0</v>
      </c>
      <c r="D461" s="30" t="s">
        <v>72</v>
      </c>
      <c r="E461" s="137">
        <v>8</v>
      </c>
      <c r="F461" s="30" t="s">
        <v>70</v>
      </c>
      <c r="G461" s="30" t="s">
        <v>67</v>
      </c>
      <c r="H461" s="30">
        <v>-2.5743206871099999E-2</v>
      </c>
      <c r="I461" s="58">
        <v>0</v>
      </c>
      <c r="J461" s="58">
        <v>1.0783623522028E+18</v>
      </c>
    </row>
    <row r="462" spans="3:10">
      <c r="C462" s="29" t="b">
        <v>0</v>
      </c>
      <c r="D462" s="30" t="s">
        <v>79</v>
      </c>
      <c r="E462" s="137">
        <v>8</v>
      </c>
      <c r="F462" s="30" t="s">
        <v>70</v>
      </c>
      <c r="G462" s="30" t="s">
        <v>67</v>
      </c>
      <c r="H462" s="30">
        <v>0.10875302066</v>
      </c>
      <c r="I462" s="58">
        <v>0</v>
      </c>
      <c r="J462" s="58">
        <v>1.2982508624455201E+19</v>
      </c>
    </row>
    <row r="463" spans="3:10">
      <c r="C463" s="29" t="b">
        <v>0</v>
      </c>
      <c r="D463" s="30" t="s">
        <v>78</v>
      </c>
      <c r="E463" s="137">
        <v>8</v>
      </c>
      <c r="F463" s="30" t="s">
        <v>70</v>
      </c>
      <c r="G463" s="30" t="s">
        <v>67</v>
      </c>
      <c r="H463" s="30">
        <v>6.6534886834899998E-2</v>
      </c>
      <c r="I463" s="58">
        <v>0</v>
      </c>
      <c r="J463" s="58">
        <v>1.73104337236769E+18</v>
      </c>
    </row>
    <row r="464" spans="3:10">
      <c r="C464" s="29" t="b">
        <v>0</v>
      </c>
      <c r="D464" s="30" t="s">
        <v>77</v>
      </c>
      <c r="E464" s="137">
        <v>8</v>
      </c>
      <c r="F464" s="30" t="s">
        <v>70</v>
      </c>
      <c r="G464" s="30" t="s">
        <v>67</v>
      </c>
      <c r="H464" s="30">
        <v>8.7506844196300004E-2</v>
      </c>
      <c r="I464" s="58">
        <v>0</v>
      </c>
      <c r="J464" s="58">
        <v>1.77135564849943E+19</v>
      </c>
    </row>
    <row r="465" spans="3:10">
      <c r="C465" s="29" t="b">
        <v>0</v>
      </c>
      <c r="D465" s="30" t="s">
        <v>76</v>
      </c>
      <c r="E465" s="137">
        <v>8</v>
      </c>
      <c r="F465" s="30" t="s">
        <v>70</v>
      </c>
      <c r="G465" s="30" t="s">
        <v>67</v>
      </c>
      <c r="H465" s="30">
        <v>-6.7074037093500002E-2</v>
      </c>
      <c r="I465" s="58">
        <v>0</v>
      </c>
      <c r="J465" s="58">
        <v>1.0012324445745199E+19</v>
      </c>
    </row>
    <row r="466" spans="3:10">
      <c r="C466" s="29" t="b">
        <v>0</v>
      </c>
      <c r="D466" s="30" t="s">
        <v>75</v>
      </c>
      <c r="E466" s="137">
        <v>8</v>
      </c>
      <c r="F466" s="30" t="s">
        <v>70</v>
      </c>
      <c r="G466" s="30" t="s">
        <v>67</v>
      </c>
      <c r="H466" s="30">
        <v>2.8299193179700002E-2</v>
      </c>
      <c r="I466" s="58">
        <v>0</v>
      </c>
      <c r="J466" s="58">
        <v>1.2647176675138299E+18</v>
      </c>
    </row>
    <row r="467" spans="3:10">
      <c r="C467" s="29" t="b">
        <v>0</v>
      </c>
      <c r="D467" s="30" t="s">
        <v>74</v>
      </c>
      <c r="E467" s="137">
        <v>8</v>
      </c>
      <c r="F467" s="30" t="s">
        <v>70</v>
      </c>
      <c r="G467" s="30" t="s">
        <v>67</v>
      </c>
      <c r="H467" s="30">
        <v>-1.7346932949299999E-2</v>
      </c>
      <c r="I467" s="58">
        <v>0</v>
      </c>
      <c r="J467" s="58">
        <v>1.25340514615848E+19</v>
      </c>
    </row>
    <row r="468" spans="3:10">
      <c r="C468" s="29" t="b">
        <v>0</v>
      </c>
      <c r="D468" s="30" t="s">
        <v>73</v>
      </c>
      <c r="E468" s="137">
        <v>8</v>
      </c>
      <c r="F468" s="30" t="s">
        <v>70</v>
      </c>
      <c r="G468" s="30" t="s">
        <v>67</v>
      </c>
      <c r="H468" s="30">
        <v>-4.1571668954400003E-2</v>
      </c>
      <c r="I468" s="58">
        <v>0</v>
      </c>
      <c r="J468" s="58">
        <v>1.2678387752383701E+19</v>
      </c>
    </row>
    <row r="469" spans="3:10">
      <c r="C469" s="29" t="b">
        <v>0</v>
      </c>
      <c r="D469" s="30" t="s">
        <v>69</v>
      </c>
      <c r="E469" s="137">
        <v>8</v>
      </c>
      <c r="F469" s="30" t="s">
        <v>70</v>
      </c>
      <c r="G469" s="30" t="s">
        <v>67</v>
      </c>
      <c r="H469" s="30">
        <v>1.35711839707E-2</v>
      </c>
      <c r="I469" s="58">
        <v>0</v>
      </c>
      <c r="J469" s="58">
        <v>8.8531009369170596E+18</v>
      </c>
    </row>
    <row r="470" spans="3:10">
      <c r="C470" s="29" t="b">
        <v>0</v>
      </c>
      <c r="D470" s="30" t="s">
        <v>64</v>
      </c>
      <c r="E470" s="137">
        <v>9</v>
      </c>
      <c r="F470" s="30" t="s">
        <v>70</v>
      </c>
      <c r="G470" s="30" t="s">
        <v>67</v>
      </c>
      <c r="H470" s="30">
        <v>-7.0101803115500003E-2</v>
      </c>
      <c r="I470" s="58">
        <v>0</v>
      </c>
      <c r="J470" s="58">
        <v>1.24087290869038E+19</v>
      </c>
    </row>
    <row r="471" spans="3:10">
      <c r="C471" s="29" t="b">
        <v>0</v>
      </c>
      <c r="D471" s="30" t="s">
        <v>83</v>
      </c>
      <c r="E471" s="137">
        <v>9</v>
      </c>
      <c r="F471" s="30" t="s">
        <v>70</v>
      </c>
      <c r="G471" s="30" t="s">
        <v>67</v>
      </c>
      <c r="H471" s="30">
        <v>-9.2767648649500004E-2</v>
      </c>
      <c r="I471" s="58">
        <v>0</v>
      </c>
      <c r="J471" s="58">
        <v>1.4209822040855601E+18</v>
      </c>
    </row>
    <row r="472" spans="3:10">
      <c r="C472" s="29" t="b">
        <v>0</v>
      </c>
      <c r="D472" s="30" t="s">
        <v>82</v>
      </c>
      <c r="E472" s="137">
        <v>9</v>
      </c>
      <c r="F472" s="30" t="s">
        <v>70</v>
      </c>
      <c r="G472" s="30" t="s">
        <v>67</v>
      </c>
      <c r="H472" s="30">
        <v>-8.6100160633200001E-2</v>
      </c>
      <c r="I472" s="58">
        <v>0</v>
      </c>
      <c r="J472" s="58">
        <v>1.18532427943174E+19</v>
      </c>
    </row>
    <row r="473" spans="3:10">
      <c r="C473" s="29" t="b">
        <v>0</v>
      </c>
      <c r="D473" s="30" t="s">
        <v>81</v>
      </c>
      <c r="E473" s="137">
        <v>9</v>
      </c>
      <c r="F473" s="30" t="s">
        <v>70</v>
      </c>
      <c r="G473" s="30" t="s">
        <v>67</v>
      </c>
      <c r="H473" s="30">
        <v>0.127788732332</v>
      </c>
      <c r="I473" s="58">
        <v>0</v>
      </c>
      <c r="J473" s="58">
        <v>6.9144022351196498E+18</v>
      </c>
    </row>
    <row r="474" spans="3:10">
      <c r="C474" s="29" t="b">
        <v>0</v>
      </c>
      <c r="D474" s="30" t="s">
        <v>80</v>
      </c>
      <c r="E474" s="137">
        <v>9</v>
      </c>
      <c r="F474" s="30" t="s">
        <v>70</v>
      </c>
      <c r="G474" s="30" t="s">
        <v>67</v>
      </c>
      <c r="H474" s="30">
        <v>-0.108728887449</v>
      </c>
      <c r="I474" s="58">
        <v>0</v>
      </c>
      <c r="J474" s="58">
        <v>7.9916487204629699E+18</v>
      </c>
    </row>
    <row r="475" spans="3:10">
      <c r="C475" s="29" t="b">
        <v>0</v>
      </c>
      <c r="D475" s="30" t="s">
        <v>72</v>
      </c>
      <c r="E475" s="137">
        <v>9</v>
      </c>
      <c r="F475" s="30" t="s">
        <v>70</v>
      </c>
      <c r="G475" s="30" t="s">
        <v>67</v>
      </c>
      <c r="H475" s="30">
        <v>-9.7376276240900006E-2</v>
      </c>
      <c r="I475" s="58">
        <v>0</v>
      </c>
      <c r="J475" s="58">
        <v>7.1573854748087501E+17</v>
      </c>
    </row>
    <row r="476" spans="3:10">
      <c r="C476" s="29" t="b">
        <v>0</v>
      </c>
      <c r="D476" s="30" t="s">
        <v>79</v>
      </c>
      <c r="E476" s="137">
        <v>9</v>
      </c>
      <c r="F476" s="30" t="s">
        <v>70</v>
      </c>
      <c r="G476" s="30" t="s">
        <v>67</v>
      </c>
      <c r="H476" s="30">
        <v>8.6166370235399997E-3</v>
      </c>
      <c r="I476" s="58">
        <v>0</v>
      </c>
      <c r="J476" s="58">
        <v>5.7801021343585004E+18</v>
      </c>
    </row>
    <row r="477" spans="3:10">
      <c r="C477" s="29" t="b">
        <v>0</v>
      </c>
      <c r="D477" s="30" t="s">
        <v>78</v>
      </c>
      <c r="E477" s="137">
        <v>9</v>
      </c>
      <c r="F477" s="30" t="s">
        <v>70</v>
      </c>
      <c r="G477" s="30" t="s">
        <v>67</v>
      </c>
      <c r="H477" s="30">
        <v>1.21323837445E-2</v>
      </c>
      <c r="I477" s="58">
        <v>0</v>
      </c>
      <c r="J477" s="58">
        <v>4.3641227818200003E+18</v>
      </c>
    </row>
    <row r="478" spans="3:10">
      <c r="C478" s="29" t="b">
        <v>0</v>
      </c>
      <c r="D478" s="30" t="s">
        <v>77</v>
      </c>
      <c r="E478" s="137">
        <v>9</v>
      </c>
      <c r="F478" s="30" t="s">
        <v>70</v>
      </c>
      <c r="G478" s="30" t="s">
        <v>67</v>
      </c>
      <c r="H478" s="30">
        <v>4.6826844016399999E-2</v>
      </c>
      <c r="I478" s="58">
        <v>0</v>
      </c>
      <c r="J478" s="58">
        <v>1.06191650421089E+18</v>
      </c>
    </row>
    <row r="479" spans="3:10">
      <c r="C479" s="29" t="b">
        <v>0</v>
      </c>
      <c r="D479" s="30" t="s">
        <v>82</v>
      </c>
      <c r="E479" s="137">
        <v>7</v>
      </c>
      <c r="F479" s="30" t="s">
        <v>70</v>
      </c>
      <c r="G479" s="30" t="s">
        <v>67</v>
      </c>
      <c r="H479" s="30">
        <v>1.4763031753799999E-2</v>
      </c>
      <c r="I479" s="58">
        <v>0</v>
      </c>
      <c r="J479" s="58">
        <v>1.1785509548882401E+18</v>
      </c>
    </row>
    <row r="480" spans="3:10">
      <c r="C480" s="29" t="b">
        <v>0</v>
      </c>
      <c r="D480" s="30" t="s">
        <v>75</v>
      </c>
      <c r="E480" s="137">
        <v>9</v>
      </c>
      <c r="F480" s="30" t="s">
        <v>70</v>
      </c>
      <c r="G480" s="30" t="s">
        <v>67</v>
      </c>
      <c r="H480" s="30">
        <v>-2.7338144513599999E-3</v>
      </c>
      <c r="I480" s="58">
        <v>0</v>
      </c>
      <c r="J480" s="58">
        <v>1.1297705023531901E+19</v>
      </c>
    </row>
    <row r="481" spans="3:10">
      <c r="C481" s="29" t="b">
        <v>0</v>
      </c>
      <c r="D481" s="30" t="s">
        <v>73</v>
      </c>
      <c r="E481" s="137">
        <v>10</v>
      </c>
      <c r="F481" s="30" t="s">
        <v>70</v>
      </c>
      <c r="G481" s="30" t="s">
        <v>67</v>
      </c>
      <c r="H481" s="30">
        <v>-4.3594006113600002E-2</v>
      </c>
      <c r="I481" s="58">
        <v>0</v>
      </c>
      <c r="J481" s="58">
        <v>5.0330233990663301E+18</v>
      </c>
    </row>
    <row r="482" spans="3:10">
      <c r="C482" s="29" t="b">
        <v>0</v>
      </c>
      <c r="D482" s="30" t="s">
        <v>73</v>
      </c>
      <c r="E482" s="137">
        <v>9</v>
      </c>
      <c r="F482" s="30" t="s">
        <v>70</v>
      </c>
      <c r="G482" s="30" t="s">
        <v>67</v>
      </c>
      <c r="H482" s="30">
        <v>-4.7257276732000003E-2</v>
      </c>
      <c r="I482" s="58">
        <v>0</v>
      </c>
      <c r="J482" s="58">
        <v>2.19277774087698E+18</v>
      </c>
    </row>
    <row r="483" spans="3:10">
      <c r="C483" s="29" t="b">
        <v>0</v>
      </c>
      <c r="D483" s="30" t="s">
        <v>69</v>
      </c>
      <c r="E483" s="137">
        <v>9</v>
      </c>
      <c r="F483" s="30" t="s">
        <v>70</v>
      </c>
      <c r="G483" s="30" t="s">
        <v>67</v>
      </c>
      <c r="H483" s="30">
        <v>-6.8050249107299995E-2</v>
      </c>
      <c r="I483" s="58">
        <v>0</v>
      </c>
      <c r="J483" s="58">
        <v>4.7300775984948797E+18</v>
      </c>
    </row>
    <row r="484" spans="3:10">
      <c r="C484" s="29" t="b">
        <v>0</v>
      </c>
      <c r="D484" s="30" t="s">
        <v>64</v>
      </c>
      <c r="E484" s="137">
        <v>10</v>
      </c>
      <c r="F484" s="30" t="s">
        <v>70</v>
      </c>
      <c r="G484" s="30" t="s">
        <v>67</v>
      </c>
      <c r="H484" s="30">
        <v>-6.0432989403900003E-2</v>
      </c>
      <c r="I484" s="58">
        <v>0</v>
      </c>
      <c r="J484" s="58">
        <v>2.6170753423184901E+18</v>
      </c>
    </row>
    <row r="485" spans="3:10">
      <c r="C485" s="29" t="b">
        <v>0</v>
      </c>
      <c r="D485" s="30" t="s">
        <v>83</v>
      </c>
      <c r="E485" s="137">
        <v>10</v>
      </c>
      <c r="F485" s="30" t="s">
        <v>70</v>
      </c>
      <c r="G485" s="30" t="s">
        <v>67</v>
      </c>
      <c r="H485" s="30">
        <v>-0.14330215024000001</v>
      </c>
      <c r="I485" s="58">
        <v>0</v>
      </c>
      <c r="J485" s="58">
        <v>1.7558260626243199E+19</v>
      </c>
    </row>
    <row r="486" spans="3:10">
      <c r="C486" s="29" t="b">
        <v>0</v>
      </c>
      <c r="D486" s="30" t="s">
        <v>82</v>
      </c>
      <c r="E486" s="137">
        <v>10</v>
      </c>
      <c r="F486" s="30" t="s">
        <v>70</v>
      </c>
      <c r="G486" s="30" t="s">
        <v>67</v>
      </c>
      <c r="H486" s="30">
        <v>-7.5935523417700004E-2</v>
      </c>
      <c r="I486" s="58">
        <v>0</v>
      </c>
      <c r="J486" s="58">
        <v>7.6091461885916498E+18</v>
      </c>
    </row>
    <row r="487" spans="3:10">
      <c r="C487" s="29" t="b">
        <v>0</v>
      </c>
      <c r="D487" s="30" t="s">
        <v>81</v>
      </c>
      <c r="E487" s="137">
        <v>10</v>
      </c>
      <c r="F487" s="30" t="s">
        <v>70</v>
      </c>
      <c r="G487" s="30" t="s">
        <v>67</v>
      </c>
      <c r="H487" s="30">
        <v>1.25251224024E-2</v>
      </c>
      <c r="I487" s="58">
        <v>0</v>
      </c>
      <c r="J487" s="58">
        <v>5.7282520718658796E+18</v>
      </c>
    </row>
    <row r="488" spans="3:10">
      <c r="C488" s="29" t="b">
        <v>0</v>
      </c>
      <c r="D488" s="30" t="s">
        <v>80</v>
      </c>
      <c r="E488" s="137">
        <v>10</v>
      </c>
      <c r="F488" s="30" t="s">
        <v>70</v>
      </c>
      <c r="G488" s="30" t="s">
        <v>67</v>
      </c>
      <c r="H488" s="30">
        <v>-0.132442083726</v>
      </c>
      <c r="I488" s="58">
        <v>0</v>
      </c>
      <c r="J488" s="58">
        <v>8.0541844237591296E+17</v>
      </c>
    </row>
    <row r="489" spans="3:10">
      <c r="C489" s="29" t="b">
        <v>0</v>
      </c>
      <c r="D489" s="30" t="s">
        <v>72</v>
      </c>
      <c r="E489" s="137">
        <v>10</v>
      </c>
      <c r="F489" s="30" t="s">
        <v>70</v>
      </c>
      <c r="G489" s="30" t="s">
        <v>67</v>
      </c>
      <c r="H489" s="30">
        <v>-0.118450927525</v>
      </c>
      <c r="I489" s="58">
        <v>0</v>
      </c>
      <c r="J489" s="58">
        <v>1.14820179669928E+19</v>
      </c>
    </row>
    <row r="490" spans="3:10">
      <c r="C490" s="29" t="b">
        <v>0</v>
      </c>
      <c r="D490" s="30" t="s">
        <v>79</v>
      </c>
      <c r="E490" s="137">
        <v>10</v>
      </c>
      <c r="F490" s="30" t="s">
        <v>70</v>
      </c>
      <c r="G490" s="30" t="s">
        <v>67</v>
      </c>
      <c r="H490" s="30">
        <v>-7.5961230738100002E-2</v>
      </c>
      <c r="I490" s="58">
        <v>0</v>
      </c>
      <c r="J490" s="58">
        <v>1.20288835513926E+19</v>
      </c>
    </row>
    <row r="491" spans="3:10">
      <c r="C491" s="29" t="b">
        <v>0</v>
      </c>
      <c r="D491" s="30" t="s">
        <v>78</v>
      </c>
      <c r="E491" s="137">
        <v>10</v>
      </c>
      <c r="F491" s="30" t="s">
        <v>70</v>
      </c>
      <c r="G491" s="30" t="s">
        <v>67</v>
      </c>
      <c r="H491" s="30">
        <v>-2.4942025404499999E-2</v>
      </c>
      <c r="I491" s="58">
        <v>0</v>
      </c>
      <c r="J491" s="58">
        <v>1.3287879561393601E+19</v>
      </c>
    </row>
    <row r="492" spans="3:10">
      <c r="C492" s="29" t="b">
        <v>0</v>
      </c>
      <c r="D492" s="30" t="s">
        <v>77</v>
      </c>
      <c r="E492" s="137">
        <v>10</v>
      </c>
      <c r="F492" s="30" t="s">
        <v>70</v>
      </c>
      <c r="G492" s="30" t="s">
        <v>67</v>
      </c>
      <c r="H492" s="30">
        <v>-8.6998164030300008E-3</v>
      </c>
      <c r="I492" s="58">
        <v>0</v>
      </c>
      <c r="J492" s="58">
        <v>6.1309239331228498E+18</v>
      </c>
    </row>
    <row r="493" spans="3:10">
      <c r="C493" s="29" t="b">
        <v>0</v>
      </c>
      <c r="D493" s="30" t="s">
        <v>76</v>
      </c>
      <c r="E493" s="137">
        <v>10</v>
      </c>
      <c r="F493" s="30" t="s">
        <v>70</v>
      </c>
      <c r="G493" s="30" t="s">
        <v>67</v>
      </c>
      <c r="H493" s="30">
        <v>-0.10117784326400001</v>
      </c>
      <c r="I493" s="58">
        <v>0</v>
      </c>
      <c r="J493" s="58">
        <v>1.2214400982390899E+18</v>
      </c>
    </row>
    <row r="494" spans="3:10">
      <c r="C494" s="29" t="b">
        <v>0</v>
      </c>
      <c r="D494" s="30" t="s">
        <v>75</v>
      </c>
      <c r="E494" s="137">
        <v>10</v>
      </c>
      <c r="F494" s="30" t="s">
        <v>70</v>
      </c>
      <c r="G494" s="30" t="s">
        <v>67</v>
      </c>
      <c r="H494" s="30">
        <v>-1.53564272798E-2</v>
      </c>
      <c r="I494" s="58">
        <v>0</v>
      </c>
      <c r="J494" s="58">
        <v>2.8026858997331901E+18</v>
      </c>
    </row>
    <row r="495" spans="3:10">
      <c r="C495" s="29" t="b">
        <v>0</v>
      </c>
      <c r="D495" s="30" t="s">
        <v>74</v>
      </c>
      <c r="E495" s="137">
        <v>10</v>
      </c>
      <c r="F495" s="30" t="s">
        <v>70</v>
      </c>
      <c r="G495" s="30" t="s">
        <v>67</v>
      </c>
      <c r="H495" s="30">
        <v>-0.15977197205099999</v>
      </c>
      <c r="I495" s="58">
        <v>0</v>
      </c>
      <c r="J495" s="58">
        <v>1.33232011015396E+19</v>
      </c>
    </row>
    <row r="496" spans="3:10">
      <c r="C496" s="29" t="b">
        <v>0</v>
      </c>
      <c r="D496" s="30" t="s">
        <v>69</v>
      </c>
      <c r="E496" s="137">
        <v>10</v>
      </c>
      <c r="F496" s="30" t="s">
        <v>70</v>
      </c>
      <c r="G496" s="30" t="s">
        <v>67</v>
      </c>
      <c r="H496" s="30">
        <v>-0.110284644256</v>
      </c>
      <c r="I496" s="58">
        <v>0</v>
      </c>
      <c r="J496" s="58">
        <v>1.0480965105958601E+19</v>
      </c>
    </row>
    <row r="497" spans="3:10">
      <c r="C497" s="29" t="b">
        <v>0</v>
      </c>
      <c r="D497" s="30" t="s">
        <v>79</v>
      </c>
      <c r="E497" s="137">
        <v>14</v>
      </c>
      <c r="F497" s="30" t="s">
        <v>70</v>
      </c>
      <c r="G497" s="30" t="s">
        <v>67</v>
      </c>
      <c r="H497" s="30">
        <v>-8.8511378245099998E-2</v>
      </c>
      <c r="I497" s="58">
        <v>0</v>
      </c>
      <c r="J497" s="58">
        <v>1.4978288199065801E+19</v>
      </c>
    </row>
    <row r="498" spans="3:10">
      <c r="C498" s="29" t="b">
        <v>0</v>
      </c>
      <c r="D498" s="30" t="s">
        <v>64</v>
      </c>
      <c r="E498" s="137">
        <v>11</v>
      </c>
      <c r="F498" s="30" t="s">
        <v>70</v>
      </c>
      <c r="G498" s="30" t="s">
        <v>67</v>
      </c>
      <c r="H498" s="30">
        <v>-2.6104061350900001E-2</v>
      </c>
      <c r="I498" s="58">
        <v>0</v>
      </c>
      <c r="J498" s="58">
        <v>3.17016304450413E+16</v>
      </c>
    </row>
    <row r="499" spans="3:10">
      <c r="C499" s="29" t="b">
        <v>0</v>
      </c>
      <c r="D499" s="30" t="s">
        <v>83</v>
      </c>
      <c r="E499" s="137">
        <v>11</v>
      </c>
      <c r="F499" s="30" t="s">
        <v>70</v>
      </c>
      <c r="G499" s="30" t="s">
        <v>67</v>
      </c>
      <c r="H499" s="30">
        <v>-0.13364655005600001</v>
      </c>
      <c r="I499" s="58">
        <v>0</v>
      </c>
      <c r="J499" s="58">
        <v>5.5596496035945697E+18</v>
      </c>
    </row>
    <row r="500" spans="3:10">
      <c r="C500" s="29" t="b">
        <v>0</v>
      </c>
      <c r="D500" s="30" t="s">
        <v>82</v>
      </c>
      <c r="E500" s="137">
        <v>11</v>
      </c>
      <c r="F500" s="30" t="s">
        <v>70</v>
      </c>
      <c r="G500" s="30" t="s">
        <v>67</v>
      </c>
      <c r="H500" s="30">
        <v>-4.9446353536999998E-2</v>
      </c>
      <c r="I500" s="58">
        <v>0</v>
      </c>
      <c r="J500" s="58">
        <v>7.1106274265016105E+18</v>
      </c>
    </row>
    <row r="501" spans="3:10">
      <c r="C501" s="29" t="b">
        <v>0</v>
      </c>
      <c r="D501" s="30" t="s">
        <v>81</v>
      </c>
      <c r="E501" s="137">
        <v>11</v>
      </c>
      <c r="F501" s="30" t="s">
        <v>70</v>
      </c>
      <c r="G501" s="30" t="s">
        <v>67</v>
      </c>
      <c r="H501" s="30">
        <v>-6.7520049355100004E-2</v>
      </c>
      <c r="I501" s="58">
        <v>0</v>
      </c>
      <c r="J501" s="58">
        <v>4.6422827889573202E+18</v>
      </c>
    </row>
    <row r="502" spans="3:10">
      <c r="C502" s="29" t="b">
        <v>0</v>
      </c>
      <c r="D502" s="30" t="s">
        <v>80</v>
      </c>
      <c r="E502" s="137">
        <v>11</v>
      </c>
      <c r="F502" s="30" t="s">
        <v>70</v>
      </c>
      <c r="G502" s="30" t="s">
        <v>67</v>
      </c>
      <c r="H502" s="30">
        <v>-0.107947321225</v>
      </c>
      <c r="I502" s="58">
        <v>0</v>
      </c>
      <c r="J502" s="58">
        <v>2.9192824058986501E+18</v>
      </c>
    </row>
    <row r="503" spans="3:10">
      <c r="C503" s="29" t="b">
        <v>0</v>
      </c>
      <c r="D503" s="30" t="s">
        <v>72</v>
      </c>
      <c r="E503" s="137">
        <v>11</v>
      </c>
      <c r="F503" s="30" t="s">
        <v>70</v>
      </c>
      <c r="G503" s="30" t="s">
        <v>67</v>
      </c>
      <c r="H503" s="30">
        <v>-0.103936816793</v>
      </c>
      <c r="I503" s="58">
        <v>0</v>
      </c>
      <c r="J503" s="58">
        <v>6.5451915203922496E+17</v>
      </c>
    </row>
    <row r="504" spans="3:10">
      <c r="C504" s="29" t="b">
        <v>0</v>
      </c>
      <c r="D504" s="30" t="s">
        <v>79</v>
      </c>
      <c r="E504" s="137">
        <v>11</v>
      </c>
      <c r="F504" s="30" t="s">
        <v>70</v>
      </c>
      <c r="G504" s="30" t="s">
        <v>67</v>
      </c>
      <c r="H504" s="30">
        <v>-0.138152435253</v>
      </c>
      <c r="I504" s="58">
        <v>0</v>
      </c>
      <c r="J504" s="58">
        <v>1.5466273290788E+19</v>
      </c>
    </row>
    <row r="505" spans="3:10">
      <c r="C505" s="29" t="b">
        <v>0</v>
      </c>
      <c r="D505" s="30" t="s">
        <v>78</v>
      </c>
      <c r="E505" s="137">
        <v>11</v>
      </c>
      <c r="F505" s="30" t="s">
        <v>70</v>
      </c>
      <c r="G505" s="30" t="s">
        <v>67</v>
      </c>
      <c r="H505" s="30">
        <v>-4.2578776313799999E-2</v>
      </c>
      <c r="I505" s="58">
        <v>0</v>
      </c>
      <c r="J505" s="58">
        <v>1.0297744750076801E+19</v>
      </c>
    </row>
    <row r="506" spans="3:10">
      <c r="C506" s="29" t="b">
        <v>0</v>
      </c>
      <c r="D506" s="30" t="s">
        <v>77</v>
      </c>
      <c r="E506" s="137">
        <v>11</v>
      </c>
      <c r="F506" s="30" t="s">
        <v>70</v>
      </c>
      <c r="G506" s="30" t="s">
        <v>67</v>
      </c>
      <c r="H506" s="30">
        <v>-6.0692043695000003E-2</v>
      </c>
      <c r="I506" s="58">
        <v>0</v>
      </c>
      <c r="J506" s="58">
        <v>1.7984196869287201E+19</v>
      </c>
    </row>
    <row r="507" spans="3:10">
      <c r="C507" s="29" t="b">
        <v>0</v>
      </c>
      <c r="D507" s="30" t="s">
        <v>76</v>
      </c>
      <c r="E507" s="137">
        <v>11</v>
      </c>
      <c r="F507" s="30" t="s">
        <v>70</v>
      </c>
      <c r="G507" s="30" t="s">
        <v>67</v>
      </c>
      <c r="H507" s="30">
        <v>-9.2758233152400005E-2</v>
      </c>
      <c r="I507" s="58">
        <v>0</v>
      </c>
      <c r="J507" s="58">
        <v>1.9089743237855201E+18</v>
      </c>
    </row>
    <row r="508" spans="3:10">
      <c r="C508" s="29" t="b">
        <v>0</v>
      </c>
      <c r="D508" s="30" t="s">
        <v>75</v>
      </c>
      <c r="E508" s="137">
        <v>11</v>
      </c>
      <c r="F508" s="30" t="s">
        <v>70</v>
      </c>
      <c r="G508" s="30" t="s">
        <v>67</v>
      </c>
      <c r="H508" s="30">
        <v>-2.0110180842800002E-2</v>
      </c>
      <c r="I508" s="58">
        <v>0</v>
      </c>
      <c r="J508" s="58">
        <v>1.56257901831814E+19</v>
      </c>
    </row>
    <row r="509" spans="3:10">
      <c r="C509" s="29" t="b">
        <v>0</v>
      </c>
      <c r="D509" s="30" t="s">
        <v>74</v>
      </c>
      <c r="E509" s="137">
        <v>11</v>
      </c>
      <c r="F509" s="30" t="s">
        <v>70</v>
      </c>
      <c r="G509" s="30" t="s">
        <v>67</v>
      </c>
      <c r="H509" s="30">
        <v>-0.15456374771</v>
      </c>
      <c r="I509" s="58">
        <v>0</v>
      </c>
      <c r="J509" s="58">
        <v>1.21160455259734E+19</v>
      </c>
    </row>
    <row r="510" spans="3:10">
      <c r="C510" s="29" t="b">
        <v>0</v>
      </c>
      <c r="D510" s="30" t="s">
        <v>73</v>
      </c>
      <c r="E510" s="137">
        <v>11</v>
      </c>
      <c r="F510" s="30" t="s">
        <v>70</v>
      </c>
      <c r="G510" s="30" t="s">
        <v>67</v>
      </c>
      <c r="H510" s="30">
        <v>-3.5377498579099997E-2</v>
      </c>
      <c r="I510" s="58">
        <v>0</v>
      </c>
      <c r="J510" s="58">
        <v>8.6580816913807503E+18</v>
      </c>
    </row>
    <row r="511" spans="3:10">
      <c r="C511" s="29" t="b">
        <v>0</v>
      </c>
      <c r="D511" s="30" t="s">
        <v>64</v>
      </c>
      <c r="E511" s="137">
        <v>12</v>
      </c>
      <c r="F511" s="30" t="s">
        <v>70</v>
      </c>
      <c r="G511" s="30" t="s">
        <v>67</v>
      </c>
      <c r="H511" s="30">
        <v>3.06715009204E-3</v>
      </c>
      <c r="I511" s="58">
        <v>0</v>
      </c>
      <c r="J511" s="58">
        <v>1.2135396313079599E+19</v>
      </c>
    </row>
    <row r="512" spans="3:10">
      <c r="C512" s="29" t="b">
        <v>0</v>
      </c>
      <c r="D512" s="30" t="s">
        <v>69</v>
      </c>
      <c r="E512" s="137">
        <v>11</v>
      </c>
      <c r="F512" s="30" t="s">
        <v>70</v>
      </c>
      <c r="G512" s="30" t="s">
        <v>67</v>
      </c>
      <c r="H512" s="30">
        <v>-0.11421541126699999</v>
      </c>
      <c r="I512" s="58">
        <v>0</v>
      </c>
      <c r="J512" s="58">
        <v>1.0813419604755599E+19</v>
      </c>
    </row>
    <row r="513" spans="3:10">
      <c r="C513" s="29" t="b">
        <v>0</v>
      </c>
      <c r="D513" s="30" t="s">
        <v>83</v>
      </c>
      <c r="E513" s="137">
        <v>12</v>
      </c>
      <c r="F513" s="30" t="s">
        <v>70</v>
      </c>
      <c r="G513" s="30" t="s">
        <v>67</v>
      </c>
      <c r="H513" s="30">
        <v>-9.3410707637000004E-2</v>
      </c>
      <c r="I513" s="58">
        <v>0</v>
      </c>
      <c r="J513" s="58">
        <v>1.63688607237178E+19</v>
      </c>
    </row>
    <row r="514" spans="3:10">
      <c r="C514" s="29" t="b">
        <v>0</v>
      </c>
      <c r="D514" s="30" t="s">
        <v>80</v>
      </c>
      <c r="E514" s="137">
        <v>14</v>
      </c>
      <c r="F514" s="30" t="s">
        <v>70</v>
      </c>
      <c r="G514" s="30" t="s">
        <v>67</v>
      </c>
      <c r="H514" s="30">
        <v>-7.0692136454300003E-2</v>
      </c>
      <c r="I514" s="58">
        <v>0</v>
      </c>
      <c r="J514" s="58">
        <v>3.3653891187473802E+18</v>
      </c>
    </row>
    <row r="515" spans="3:10">
      <c r="C515" s="29" t="b">
        <v>0</v>
      </c>
      <c r="D515" s="30" t="s">
        <v>82</v>
      </c>
      <c r="E515" s="137">
        <v>12</v>
      </c>
      <c r="F515" s="30" t="s">
        <v>70</v>
      </c>
      <c r="G515" s="30" t="s">
        <v>67</v>
      </c>
      <c r="H515" s="30">
        <v>-2.70124417059E-2</v>
      </c>
      <c r="I515" s="58">
        <v>0</v>
      </c>
      <c r="J515" s="58">
        <v>1.46763252607303E+19</v>
      </c>
    </row>
    <row r="516" spans="3:10">
      <c r="C516" s="29" t="b">
        <v>0</v>
      </c>
      <c r="D516" s="30" t="s">
        <v>76</v>
      </c>
      <c r="E516" s="137">
        <v>15</v>
      </c>
      <c r="F516" s="30" t="s">
        <v>70</v>
      </c>
      <c r="G516" s="30" t="s">
        <v>67</v>
      </c>
      <c r="H516" s="30">
        <v>-4.8007467566200002E-2</v>
      </c>
      <c r="I516" s="58">
        <v>0</v>
      </c>
      <c r="J516" s="58">
        <v>8.7437522422449306E+17</v>
      </c>
    </row>
    <row r="517" spans="3:10">
      <c r="C517" s="29" t="b">
        <v>0</v>
      </c>
      <c r="D517" s="30" t="s">
        <v>80</v>
      </c>
      <c r="E517" s="137">
        <v>12</v>
      </c>
      <c r="F517" s="30" t="s">
        <v>70</v>
      </c>
      <c r="G517" s="30" t="s">
        <v>67</v>
      </c>
      <c r="H517" s="30">
        <v>-8.0443808894499994E-2</v>
      </c>
      <c r="I517" s="58">
        <v>0</v>
      </c>
      <c r="J517" s="58">
        <v>1.32352501049549E+19</v>
      </c>
    </row>
    <row r="518" spans="3:10">
      <c r="C518" s="29" t="b">
        <v>0</v>
      </c>
      <c r="D518" s="30" t="s">
        <v>72</v>
      </c>
      <c r="E518" s="137">
        <v>12</v>
      </c>
      <c r="F518" s="30" t="s">
        <v>70</v>
      </c>
      <c r="G518" s="30" t="s">
        <v>67</v>
      </c>
      <c r="H518" s="30">
        <v>-7.9538051723399894E-2</v>
      </c>
      <c r="I518" s="58">
        <v>0</v>
      </c>
      <c r="J518" s="58">
        <v>1.65997188983233E+19</v>
      </c>
    </row>
    <row r="519" spans="3:10">
      <c r="C519" s="29" t="b">
        <v>0</v>
      </c>
      <c r="D519" s="30" t="s">
        <v>79</v>
      </c>
      <c r="E519" s="137">
        <v>12</v>
      </c>
      <c r="F519" s="30" t="s">
        <v>70</v>
      </c>
      <c r="G519" s="30" t="s">
        <v>67</v>
      </c>
      <c r="H519" s="30">
        <v>-0.155545872019</v>
      </c>
      <c r="I519" s="58">
        <v>0</v>
      </c>
      <c r="J519" s="58">
        <v>1.01160346872273E+19</v>
      </c>
    </row>
    <row r="520" spans="3:10">
      <c r="C520" s="29" t="b">
        <v>0</v>
      </c>
      <c r="D520" s="30" t="s">
        <v>78</v>
      </c>
      <c r="E520" s="137">
        <v>12</v>
      </c>
      <c r="F520" s="30" t="s">
        <v>70</v>
      </c>
      <c r="G520" s="30" t="s">
        <v>67</v>
      </c>
      <c r="H520" s="30">
        <v>-4.2475087106299998E-2</v>
      </c>
      <c r="I520" s="58">
        <v>0</v>
      </c>
      <c r="J520" s="58">
        <v>8.7514377087120804E+18</v>
      </c>
    </row>
    <row r="521" spans="3:10">
      <c r="C521" s="29" t="b">
        <v>0</v>
      </c>
      <c r="D521" s="30" t="s">
        <v>77</v>
      </c>
      <c r="E521" s="137">
        <v>12</v>
      </c>
      <c r="F521" s="30" t="s">
        <v>70</v>
      </c>
      <c r="G521" s="30" t="s">
        <v>67</v>
      </c>
      <c r="H521" s="30">
        <v>-9.68252969745E-2</v>
      </c>
      <c r="I521" s="58">
        <v>0</v>
      </c>
      <c r="J521" s="58">
        <v>3.5781719804665001E+18</v>
      </c>
    </row>
    <row r="522" spans="3:10">
      <c r="C522" s="29" t="b">
        <v>0</v>
      </c>
      <c r="D522" s="30" t="s">
        <v>76</v>
      </c>
      <c r="E522" s="137">
        <v>12</v>
      </c>
      <c r="F522" s="30" t="s">
        <v>70</v>
      </c>
      <c r="G522" s="30" t="s">
        <v>67</v>
      </c>
      <c r="H522" s="30">
        <v>-8.3662753710899998E-2</v>
      </c>
      <c r="I522" s="58">
        <v>0</v>
      </c>
      <c r="J522" s="58">
        <v>4.0171649026610099E+18</v>
      </c>
    </row>
    <row r="523" spans="3:10">
      <c r="C523" s="29" t="b">
        <v>0</v>
      </c>
      <c r="D523" s="30" t="s">
        <v>75</v>
      </c>
      <c r="E523" s="137">
        <v>12</v>
      </c>
      <c r="F523" s="30" t="s">
        <v>70</v>
      </c>
      <c r="G523" s="30" t="s">
        <v>67</v>
      </c>
      <c r="H523" s="30">
        <v>-1.9424671253E-2</v>
      </c>
      <c r="I523" s="58">
        <v>0</v>
      </c>
      <c r="J523" s="58">
        <v>1.7970329260924801E+19</v>
      </c>
    </row>
    <row r="524" spans="3:10">
      <c r="C524" s="29" t="b">
        <v>0</v>
      </c>
      <c r="D524" s="30" t="s">
        <v>74</v>
      </c>
      <c r="E524" s="137">
        <v>12</v>
      </c>
      <c r="F524" s="30" t="s">
        <v>70</v>
      </c>
      <c r="G524" s="30" t="s">
        <v>67</v>
      </c>
      <c r="H524" s="30">
        <v>-0.115368780071</v>
      </c>
      <c r="I524" s="58">
        <v>0</v>
      </c>
      <c r="J524" s="58">
        <v>5.8196052835128904E+18</v>
      </c>
    </row>
    <row r="525" spans="3:10">
      <c r="C525" s="29" t="b">
        <v>0</v>
      </c>
      <c r="D525" s="30" t="s">
        <v>73</v>
      </c>
      <c r="E525" s="137">
        <v>12</v>
      </c>
      <c r="F525" s="30" t="s">
        <v>70</v>
      </c>
      <c r="G525" s="30" t="s">
        <v>67</v>
      </c>
      <c r="H525" s="30">
        <v>-3.2615656200899998E-2</v>
      </c>
      <c r="I525" s="58">
        <v>0</v>
      </c>
      <c r="J525" s="58">
        <v>4.9734816663329495E+18</v>
      </c>
    </row>
    <row r="526" spans="3:10">
      <c r="C526" s="29" t="b">
        <v>0</v>
      </c>
      <c r="D526" s="30" t="s">
        <v>69</v>
      </c>
      <c r="E526" s="137">
        <v>12</v>
      </c>
      <c r="F526" s="30" t="s">
        <v>70</v>
      </c>
      <c r="G526" s="30" t="s">
        <v>67</v>
      </c>
      <c r="H526" s="30">
        <v>-9.0087424296599994E-2</v>
      </c>
      <c r="I526" s="58">
        <v>0</v>
      </c>
      <c r="J526" s="58">
        <v>7.78890062320606E+18</v>
      </c>
    </row>
    <row r="527" spans="3:10">
      <c r="C527" s="29" t="b">
        <v>0</v>
      </c>
      <c r="D527" s="30" t="s">
        <v>64</v>
      </c>
      <c r="E527" s="137">
        <v>13</v>
      </c>
      <c r="F527" s="30" t="s">
        <v>70</v>
      </c>
      <c r="G527" s="30" t="s">
        <v>67</v>
      </c>
      <c r="H527" s="30">
        <v>3.3298258602400001E-3</v>
      </c>
      <c r="I527" s="58">
        <v>0</v>
      </c>
      <c r="J527" s="58">
        <v>1.3198807740834501E+19</v>
      </c>
    </row>
    <row r="528" spans="3:10">
      <c r="C528" s="29" t="b">
        <v>0</v>
      </c>
      <c r="D528" s="30" t="s">
        <v>83</v>
      </c>
      <c r="E528" s="137">
        <v>13</v>
      </c>
      <c r="F528" s="30" t="s">
        <v>70</v>
      </c>
      <c r="G528" s="30" t="s">
        <v>67</v>
      </c>
      <c r="H528" s="30">
        <v>-5.2714157217599998E-2</v>
      </c>
      <c r="I528" s="58">
        <v>0</v>
      </c>
      <c r="J528" s="58">
        <v>9.4001840497253806E+18</v>
      </c>
    </row>
    <row r="529" spans="3:10">
      <c r="C529" s="29" t="b">
        <v>0</v>
      </c>
      <c r="D529" s="30" t="s">
        <v>82</v>
      </c>
      <c r="E529" s="137">
        <v>13</v>
      </c>
      <c r="F529" s="30" t="s">
        <v>70</v>
      </c>
      <c r="G529" s="30" t="s">
        <v>67</v>
      </c>
      <c r="H529" s="30">
        <v>-1.60922681537999E-2</v>
      </c>
      <c r="I529" s="58">
        <v>0</v>
      </c>
      <c r="J529" s="58">
        <v>3.51194217619874E+18</v>
      </c>
    </row>
    <row r="530" spans="3:10">
      <c r="C530" s="29" t="b">
        <v>0</v>
      </c>
      <c r="D530" s="30" t="s">
        <v>81</v>
      </c>
      <c r="E530" s="137">
        <v>13</v>
      </c>
      <c r="F530" s="30" t="s">
        <v>70</v>
      </c>
      <c r="G530" s="30" t="s">
        <v>67</v>
      </c>
      <c r="H530" s="30">
        <v>-0.107386192502</v>
      </c>
      <c r="I530" s="58">
        <v>0</v>
      </c>
      <c r="J530" s="58">
        <v>1.5268461608630499E+19</v>
      </c>
    </row>
    <row r="531" spans="3:10">
      <c r="C531" s="29" t="b">
        <v>0</v>
      </c>
      <c r="D531" s="30" t="s">
        <v>80</v>
      </c>
      <c r="E531" s="137">
        <v>13</v>
      </c>
      <c r="F531" s="30" t="s">
        <v>70</v>
      </c>
      <c r="G531" s="30" t="s">
        <v>67</v>
      </c>
      <c r="H531" s="30">
        <v>-7.1226814896499999E-2</v>
      </c>
      <c r="I531" s="58">
        <v>0</v>
      </c>
      <c r="J531" s="58">
        <v>5.5103593330328003E+18</v>
      </c>
    </row>
    <row r="532" spans="3:10">
      <c r="C532" s="29" t="b">
        <v>0</v>
      </c>
      <c r="D532" s="30" t="s">
        <v>72</v>
      </c>
      <c r="E532" s="137">
        <v>13</v>
      </c>
      <c r="F532" s="30" t="s">
        <v>70</v>
      </c>
      <c r="G532" s="30" t="s">
        <v>67</v>
      </c>
      <c r="H532" s="30">
        <v>-5.4613970800099998E-2</v>
      </c>
      <c r="I532" s="58">
        <v>0</v>
      </c>
      <c r="J532" s="58">
        <v>2.4864807360680202E+18</v>
      </c>
    </row>
    <row r="533" spans="3:10">
      <c r="C533" s="29" t="b">
        <v>0</v>
      </c>
      <c r="D533" s="30" t="s">
        <v>79</v>
      </c>
      <c r="E533" s="137">
        <v>13</v>
      </c>
      <c r="F533" s="30" t="s">
        <v>70</v>
      </c>
      <c r="G533" s="30" t="s">
        <v>67</v>
      </c>
      <c r="H533" s="30">
        <v>-0.132768265808</v>
      </c>
      <c r="I533" s="58">
        <v>0</v>
      </c>
      <c r="J533" s="58">
        <v>1.0205428555308401E+19</v>
      </c>
    </row>
    <row r="534" spans="3:10">
      <c r="C534" s="29" t="b">
        <v>0</v>
      </c>
      <c r="D534" s="30" t="s">
        <v>78</v>
      </c>
      <c r="E534" s="137">
        <v>13</v>
      </c>
      <c r="F534" s="30" t="s">
        <v>70</v>
      </c>
      <c r="G534" s="30" t="s">
        <v>67</v>
      </c>
      <c r="H534" s="30">
        <v>-2.6164597815099999E-2</v>
      </c>
      <c r="I534" s="58">
        <v>0</v>
      </c>
      <c r="J534" s="58">
        <v>1.29567175588131E+19</v>
      </c>
    </row>
    <row r="535" spans="3:10">
      <c r="C535" s="29" t="b">
        <v>0</v>
      </c>
      <c r="D535" s="30" t="s">
        <v>77</v>
      </c>
      <c r="E535" s="137">
        <v>13</v>
      </c>
      <c r="F535" s="30" t="s">
        <v>70</v>
      </c>
      <c r="G535" s="30" t="s">
        <v>67</v>
      </c>
      <c r="H535" s="30">
        <v>-0.109370504289</v>
      </c>
      <c r="I535" s="58">
        <v>0</v>
      </c>
      <c r="J535" s="58">
        <v>4.2097803097850798E+18</v>
      </c>
    </row>
    <row r="536" spans="3:10">
      <c r="C536" s="29" t="b">
        <v>0</v>
      </c>
      <c r="D536" s="30" t="s">
        <v>76</v>
      </c>
      <c r="E536" s="137">
        <v>13</v>
      </c>
      <c r="F536" s="30" t="s">
        <v>70</v>
      </c>
      <c r="G536" s="30" t="s">
        <v>67</v>
      </c>
      <c r="H536" s="30">
        <v>-7.5483806103299994E-2</v>
      </c>
      <c r="I536" s="58">
        <v>0</v>
      </c>
      <c r="J536" s="58">
        <v>9.1754053804521001E+18</v>
      </c>
    </row>
    <row r="537" spans="3:10">
      <c r="C537" s="29" t="b">
        <v>0</v>
      </c>
      <c r="D537" s="30" t="s">
        <v>75</v>
      </c>
      <c r="E537" s="137">
        <v>13</v>
      </c>
      <c r="F537" s="30" t="s">
        <v>70</v>
      </c>
      <c r="G537" s="30" t="s">
        <v>67</v>
      </c>
      <c r="H537" s="30">
        <v>-1.3740168866199999E-2</v>
      </c>
      <c r="I537" s="58">
        <v>0</v>
      </c>
      <c r="J537" s="58">
        <v>1.2937827041621801E+19</v>
      </c>
    </row>
    <row r="538" spans="3:10">
      <c r="C538" s="29" t="b">
        <v>0</v>
      </c>
      <c r="D538" s="30" t="s">
        <v>74</v>
      </c>
      <c r="E538" s="137">
        <v>13</v>
      </c>
      <c r="F538" s="30" t="s">
        <v>70</v>
      </c>
      <c r="G538" s="30" t="s">
        <v>67</v>
      </c>
      <c r="H538" s="30">
        <v>-6.5244687282900005E-2</v>
      </c>
      <c r="I538" s="58">
        <v>0</v>
      </c>
      <c r="J538" s="58">
        <v>7.1508585132567798E+18</v>
      </c>
    </row>
    <row r="539" spans="3:10">
      <c r="C539" s="29" t="b">
        <v>0</v>
      </c>
      <c r="D539" s="30" t="s">
        <v>73</v>
      </c>
      <c r="E539" s="137">
        <v>13</v>
      </c>
      <c r="F539" s="30" t="s">
        <v>70</v>
      </c>
      <c r="G539" s="30" t="s">
        <v>67</v>
      </c>
      <c r="H539" s="30">
        <v>-3.2662742560599999E-2</v>
      </c>
      <c r="I539" s="58">
        <v>0</v>
      </c>
      <c r="J539" s="58">
        <v>1.59994094045958E+19</v>
      </c>
    </row>
    <row r="540" spans="3:10">
      <c r="C540" s="29" t="b">
        <v>0</v>
      </c>
      <c r="D540" s="30" t="s">
        <v>69</v>
      </c>
      <c r="E540" s="137">
        <v>13</v>
      </c>
      <c r="F540" s="30" t="s">
        <v>70</v>
      </c>
      <c r="G540" s="30" t="s">
        <v>67</v>
      </c>
      <c r="H540" s="30">
        <v>-5.5233993507999998E-2</v>
      </c>
      <c r="I540" s="58">
        <v>0</v>
      </c>
      <c r="J540" s="58">
        <v>1.1438130301255201E+19</v>
      </c>
    </row>
    <row r="541" spans="3:10">
      <c r="C541" s="29" t="b">
        <v>0</v>
      </c>
      <c r="D541" s="30" t="s">
        <v>64</v>
      </c>
      <c r="E541" s="137">
        <v>14</v>
      </c>
      <c r="F541" s="30" t="s">
        <v>70</v>
      </c>
      <c r="G541" s="30" t="s">
        <v>67</v>
      </c>
      <c r="H541" s="30">
        <v>-2.6997048753899999E-3</v>
      </c>
      <c r="I541" s="58">
        <v>0</v>
      </c>
      <c r="J541" s="58">
        <v>6.0610703295014797E+17</v>
      </c>
    </row>
    <row r="542" spans="3:10">
      <c r="C542" s="29" t="b">
        <v>0</v>
      </c>
      <c r="D542" s="30" t="s">
        <v>83</v>
      </c>
      <c r="E542" s="137">
        <v>14</v>
      </c>
      <c r="F542" s="30" t="s">
        <v>70</v>
      </c>
      <c r="G542" s="30" t="s">
        <v>67</v>
      </c>
      <c r="H542" s="30">
        <v>-2.1003326380199999E-2</v>
      </c>
      <c r="I542" s="58">
        <v>0</v>
      </c>
      <c r="J542" s="58">
        <v>5.21735595253648E+17</v>
      </c>
    </row>
    <row r="543" spans="3:10">
      <c r="C543" s="29" t="b">
        <v>0</v>
      </c>
      <c r="D543" s="30" t="s">
        <v>82</v>
      </c>
      <c r="E543" s="137">
        <v>14</v>
      </c>
      <c r="F543" s="30" t="s">
        <v>70</v>
      </c>
      <c r="G543" s="30" t="s">
        <v>67</v>
      </c>
      <c r="H543" s="30">
        <v>-1.0428949296899999E-2</v>
      </c>
      <c r="I543" s="58">
        <v>0</v>
      </c>
      <c r="J543" s="58">
        <v>8.0695399848397302E+18</v>
      </c>
    </row>
    <row r="544" spans="3:10">
      <c r="C544" s="29" t="b">
        <v>0</v>
      </c>
      <c r="D544" s="30" t="s">
        <v>81</v>
      </c>
      <c r="E544" s="137">
        <v>14</v>
      </c>
      <c r="F544" s="30" t="s">
        <v>70</v>
      </c>
      <c r="G544" s="30" t="s">
        <v>67</v>
      </c>
      <c r="H544" s="30">
        <v>-9.0362563635999996E-2</v>
      </c>
      <c r="I544" s="58">
        <v>0</v>
      </c>
      <c r="J544" s="58">
        <v>1.81616297678492E+19</v>
      </c>
    </row>
    <row r="545" spans="3:10">
      <c r="C545" s="29" t="b">
        <v>0</v>
      </c>
      <c r="D545" s="30" t="s">
        <v>72</v>
      </c>
      <c r="E545" s="137">
        <v>14</v>
      </c>
      <c r="F545" s="30" t="s">
        <v>70</v>
      </c>
      <c r="G545" s="30" t="s">
        <v>67</v>
      </c>
      <c r="H545" s="30">
        <v>-3.7696315052200002E-2</v>
      </c>
      <c r="I545" s="58">
        <v>0</v>
      </c>
      <c r="J545" s="58">
        <v>1.64032449360194E+18</v>
      </c>
    </row>
    <row r="546" spans="3:10">
      <c r="C546" s="29" t="b">
        <v>0</v>
      </c>
      <c r="D546" s="30" t="s">
        <v>81</v>
      </c>
      <c r="E546" s="137">
        <v>12</v>
      </c>
      <c r="F546" s="30" t="s">
        <v>70</v>
      </c>
      <c r="G546" s="30" t="s">
        <v>67</v>
      </c>
      <c r="H546" s="30">
        <v>-0.103477352397</v>
      </c>
      <c r="I546" s="58">
        <v>0</v>
      </c>
      <c r="J546" s="58">
        <v>6.0975102913592801E+18</v>
      </c>
    </row>
    <row r="547" spans="3:10">
      <c r="C547" s="29" t="b">
        <v>0</v>
      </c>
      <c r="D547" s="30" t="s">
        <v>78</v>
      </c>
      <c r="E547" s="137">
        <v>14</v>
      </c>
      <c r="F547" s="30" t="s">
        <v>70</v>
      </c>
      <c r="G547" s="30" t="s">
        <v>67</v>
      </c>
      <c r="H547" s="30">
        <v>-9.2517669398400003E-4</v>
      </c>
      <c r="I547" s="58">
        <v>0</v>
      </c>
      <c r="J547" s="58">
        <v>8.5603108278357801E+18</v>
      </c>
    </row>
    <row r="548" spans="3:10">
      <c r="C548" s="29" t="b">
        <v>0</v>
      </c>
      <c r="D548" s="30" t="s">
        <v>75</v>
      </c>
      <c r="E548" s="137">
        <v>16</v>
      </c>
      <c r="F548" s="30" t="s">
        <v>70</v>
      </c>
      <c r="G548" s="30" t="s">
        <v>67</v>
      </c>
      <c r="H548" s="30">
        <v>-3.0570150062899999E-3</v>
      </c>
      <c r="I548" s="58">
        <v>0</v>
      </c>
      <c r="J548" s="58">
        <v>1.4141813278560299E+19</v>
      </c>
    </row>
    <row r="549" spans="3:10">
      <c r="C549" s="29" t="b">
        <v>0</v>
      </c>
      <c r="D549" s="30" t="s">
        <v>76</v>
      </c>
      <c r="E549" s="137">
        <v>14</v>
      </c>
      <c r="F549" s="30" t="s">
        <v>70</v>
      </c>
      <c r="G549" s="30" t="s">
        <v>67</v>
      </c>
      <c r="H549" s="30">
        <v>-6.1817137102999999E-2</v>
      </c>
      <c r="I549" s="58">
        <v>0</v>
      </c>
      <c r="J549" s="58">
        <v>1.6866288503832101E+19</v>
      </c>
    </row>
    <row r="550" spans="3:10">
      <c r="C550" s="29" t="b">
        <v>0</v>
      </c>
      <c r="D550" s="30" t="s">
        <v>75</v>
      </c>
      <c r="E550" s="137">
        <v>14</v>
      </c>
      <c r="F550" s="30" t="s">
        <v>70</v>
      </c>
      <c r="G550" s="30" t="s">
        <v>67</v>
      </c>
      <c r="H550" s="30">
        <v>-7.1620233330999998E-3</v>
      </c>
      <c r="I550" s="58">
        <v>0</v>
      </c>
      <c r="J550" s="58">
        <v>1.6845313904453701E+18</v>
      </c>
    </row>
    <row r="551" spans="3:10">
      <c r="C551" s="29" t="b">
        <v>0</v>
      </c>
      <c r="D551" s="30" t="s">
        <v>74</v>
      </c>
      <c r="E551" s="137">
        <v>14</v>
      </c>
      <c r="F551" s="30" t="s">
        <v>70</v>
      </c>
      <c r="G551" s="30" t="s">
        <v>67</v>
      </c>
      <c r="H551" s="30">
        <v>-2.95578107635E-2</v>
      </c>
      <c r="I551" s="58">
        <v>0</v>
      </c>
      <c r="J551" s="58">
        <v>1.8858426232797199E+18</v>
      </c>
    </row>
    <row r="552" spans="3:10">
      <c r="C552" s="29" t="b">
        <v>0</v>
      </c>
      <c r="D552" s="30" t="s">
        <v>73</v>
      </c>
      <c r="E552" s="137">
        <v>14</v>
      </c>
      <c r="F552" s="30" t="s">
        <v>70</v>
      </c>
      <c r="G552" s="30" t="s">
        <v>67</v>
      </c>
      <c r="H552" s="30">
        <v>-3.9786588547599998E-2</v>
      </c>
      <c r="I552" s="58">
        <v>0</v>
      </c>
      <c r="J552" s="58">
        <v>1.18810164876002E+17</v>
      </c>
    </row>
    <row r="553" spans="3:10">
      <c r="C553" s="29" t="b">
        <v>0</v>
      </c>
      <c r="D553" s="30" t="s">
        <v>69</v>
      </c>
      <c r="E553" s="137">
        <v>14</v>
      </c>
      <c r="F553" s="30" t="s">
        <v>70</v>
      </c>
      <c r="G553" s="30" t="s">
        <v>67</v>
      </c>
      <c r="H553" s="30">
        <v>-2.2505925822099902E-2</v>
      </c>
      <c r="I553" s="58">
        <v>0</v>
      </c>
      <c r="J553" s="58">
        <v>5.62163131468706E+18</v>
      </c>
    </row>
    <row r="554" spans="3:10">
      <c r="C554" s="29" t="b">
        <v>0</v>
      </c>
      <c r="D554" s="30" t="s">
        <v>64</v>
      </c>
      <c r="E554" s="137">
        <v>15</v>
      </c>
      <c r="F554" s="30" t="s">
        <v>70</v>
      </c>
      <c r="G554" s="30" t="s">
        <v>67</v>
      </c>
      <c r="H554" s="30">
        <v>-1.19660179605E-2</v>
      </c>
      <c r="I554" s="58">
        <v>0</v>
      </c>
      <c r="J554" s="58">
        <v>1.6906714073502099E+19</v>
      </c>
    </row>
    <row r="555" spans="3:10">
      <c r="C555" s="29" t="b">
        <v>0</v>
      </c>
      <c r="D555" s="30" t="s">
        <v>83</v>
      </c>
      <c r="E555" s="137">
        <v>15</v>
      </c>
      <c r="F555" s="30" t="s">
        <v>70</v>
      </c>
      <c r="G555" s="30" t="s">
        <v>67</v>
      </c>
      <c r="H555" s="30">
        <v>-5.1341126716800004E-3</v>
      </c>
      <c r="I555" s="58">
        <v>0</v>
      </c>
      <c r="J555" s="58">
        <v>1.7591056061821E+19</v>
      </c>
    </row>
    <row r="556" spans="3:10">
      <c r="C556" s="29" t="b">
        <v>0</v>
      </c>
      <c r="D556" s="30" t="s">
        <v>82</v>
      </c>
      <c r="E556" s="137">
        <v>15</v>
      </c>
      <c r="F556" s="30" t="s">
        <v>70</v>
      </c>
      <c r="G556" s="30" t="s">
        <v>67</v>
      </c>
      <c r="H556" s="30">
        <v>-1.3845701867199999E-2</v>
      </c>
      <c r="I556" s="58">
        <v>0</v>
      </c>
      <c r="J556" s="58">
        <v>1.1510475442208299E+19</v>
      </c>
    </row>
    <row r="557" spans="3:10">
      <c r="C557" s="29" t="b">
        <v>0</v>
      </c>
      <c r="D557" s="30" t="s">
        <v>81</v>
      </c>
      <c r="E557" s="137">
        <v>15</v>
      </c>
      <c r="F557" s="30" t="s">
        <v>70</v>
      </c>
      <c r="G557" s="30" t="s">
        <v>67</v>
      </c>
      <c r="H557" s="30">
        <v>-6.3136252214999994E-2</v>
      </c>
      <c r="I557" s="58">
        <v>0</v>
      </c>
      <c r="J557" s="58">
        <v>3.9390530693530598E+18</v>
      </c>
    </row>
    <row r="558" spans="3:10">
      <c r="C558" s="29" t="b">
        <v>0</v>
      </c>
      <c r="D558" s="30" t="s">
        <v>80</v>
      </c>
      <c r="E558" s="137">
        <v>15</v>
      </c>
      <c r="F558" s="30" t="s">
        <v>70</v>
      </c>
      <c r="G558" s="30" t="s">
        <v>67</v>
      </c>
      <c r="H558" s="30">
        <v>-7.09368968741E-2</v>
      </c>
      <c r="I558" s="58">
        <v>0</v>
      </c>
      <c r="J558" s="58">
        <v>1.74750475143145E+19</v>
      </c>
    </row>
    <row r="559" spans="3:10">
      <c r="C559" s="29" t="b">
        <v>0</v>
      </c>
      <c r="D559" s="30" t="s">
        <v>72</v>
      </c>
      <c r="E559" s="137">
        <v>15</v>
      </c>
      <c r="F559" s="30" t="s">
        <v>70</v>
      </c>
      <c r="G559" s="30" t="s">
        <v>67</v>
      </c>
      <c r="H559" s="30">
        <v>-2.80269918087E-2</v>
      </c>
      <c r="I559" s="58">
        <v>0</v>
      </c>
      <c r="J559" s="58">
        <v>4.3867724958372198E+18</v>
      </c>
    </row>
    <row r="560" spans="3:10">
      <c r="C560" s="29" t="b">
        <v>0</v>
      </c>
      <c r="D560" s="30" t="s">
        <v>79</v>
      </c>
      <c r="E560" s="137">
        <v>15</v>
      </c>
      <c r="F560" s="30" t="s">
        <v>70</v>
      </c>
      <c r="G560" s="30" t="s">
        <v>67</v>
      </c>
      <c r="H560" s="30">
        <v>-4.0139364068999997E-2</v>
      </c>
      <c r="I560" s="58">
        <v>0</v>
      </c>
      <c r="J560" s="58">
        <v>5.6023069881703098E+17</v>
      </c>
    </row>
    <row r="561" spans="3:10">
      <c r="C561" s="29" t="b">
        <v>0</v>
      </c>
      <c r="D561" s="30" t="s">
        <v>74</v>
      </c>
      <c r="E561" s="137">
        <v>9</v>
      </c>
      <c r="F561" s="30" t="s">
        <v>70</v>
      </c>
      <c r="G561" s="30" t="s">
        <v>67</v>
      </c>
      <c r="H561" s="30">
        <v>-0.11430426359199999</v>
      </c>
      <c r="I561" s="58">
        <v>0</v>
      </c>
      <c r="J561" s="58">
        <v>3.2893874378664402E+18</v>
      </c>
    </row>
    <row r="562" spans="3:10">
      <c r="C562" s="29" t="b">
        <v>0</v>
      </c>
      <c r="D562" s="30" t="s">
        <v>77</v>
      </c>
      <c r="E562" s="137">
        <v>15</v>
      </c>
      <c r="F562" s="30" t="s">
        <v>70</v>
      </c>
      <c r="G562" s="30" t="s">
        <v>67</v>
      </c>
      <c r="H562" s="30">
        <v>-8.4824634116200004E-2</v>
      </c>
      <c r="I562" s="58">
        <v>0</v>
      </c>
      <c r="J562" s="58">
        <v>5.1844109072520102E+17</v>
      </c>
    </row>
    <row r="563" spans="3:10">
      <c r="C563" s="29" t="b">
        <v>0</v>
      </c>
      <c r="D563" s="30" t="s">
        <v>75</v>
      </c>
      <c r="E563" s="137">
        <v>15</v>
      </c>
      <c r="F563" s="30" t="s">
        <v>70</v>
      </c>
      <c r="G563" s="30" t="s">
        <v>67</v>
      </c>
      <c r="H563" s="30">
        <v>-4.1180372538499998E-3</v>
      </c>
      <c r="I563" s="58">
        <v>0</v>
      </c>
      <c r="J563" s="58">
        <v>1.65956075732522E+19</v>
      </c>
    </row>
    <row r="564" spans="3:10">
      <c r="C564" s="29" t="b">
        <v>0</v>
      </c>
      <c r="D564" s="30" t="s">
        <v>74</v>
      </c>
      <c r="E564" s="137">
        <v>15</v>
      </c>
      <c r="F564" s="30" t="s">
        <v>70</v>
      </c>
      <c r="G564" s="30" t="s">
        <v>67</v>
      </c>
      <c r="H564" s="30">
        <v>-1.6906626259699999E-2</v>
      </c>
      <c r="I564" s="58">
        <v>0</v>
      </c>
      <c r="J564" s="58">
        <v>6.6554001648697702E+18</v>
      </c>
    </row>
    <row r="565" spans="3:10">
      <c r="C565" s="29" t="b">
        <v>0</v>
      </c>
      <c r="D565" s="30" t="s">
        <v>73</v>
      </c>
      <c r="E565" s="137">
        <v>15</v>
      </c>
      <c r="F565" s="30" t="s">
        <v>70</v>
      </c>
      <c r="G565" s="30" t="s">
        <v>67</v>
      </c>
      <c r="H565" s="30">
        <v>-4.9688749410800002E-2</v>
      </c>
      <c r="I565" s="58">
        <v>0</v>
      </c>
      <c r="J565" s="58">
        <v>5.7972598725616205E+17</v>
      </c>
    </row>
    <row r="566" spans="3:10">
      <c r="C566" s="29" t="b">
        <v>0</v>
      </c>
      <c r="D566" s="30" t="s">
        <v>69</v>
      </c>
      <c r="E566" s="137">
        <v>15</v>
      </c>
      <c r="F566" s="30" t="s">
        <v>70</v>
      </c>
      <c r="G566" s="30" t="s">
        <v>67</v>
      </c>
      <c r="H566" s="138">
        <v>-7.5648058168499997E-5</v>
      </c>
      <c r="I566" s="58">
        <v>0</v>
      </c>
      <c r="J566" s="58">
        <v>1.57456156890804E+19</v>
      </c>
    </row>
    <row r="567" spans="3:10">
      <c r="C567" s="29" t="b">
        <v>0</v>
      </c>
      <c r="D567" s="30" t="s">
        <v>64</v>
      </c>
      <c r="E567" s="137">
        <v>16</v>
      </c>
      <c r="F567" s="30" t="s">
        <v>70</v>
      </c>
      <c r="G567" s="30" t="s">
        <v>67</v>
      </c>
      <c r="H567" s="30">
        <v>-2.1399084619499999E-2</v>
      </c>
      <c r="I567" s="58">
        <v>0</v>
      </c>
      <c r="J567" s="58">
        <v>1.4583238962833E+19</v>
      </c>
    </row>
    <row r="568" spans="3:10">
      <c r="C568" s="29" t="b">
        <v>0</v>
      </c>
      <c r="D568" s="30" t="s">
        <v>83</v>
      </c>
      <c r="E568" s="137">
        <v>16</v>
      </c>
      <c r="F568" s="30" t="s">
        <v>70</v>
      </c>
      <c r="G568" s="30" t="s">
        <v>67</v>
      </c>
      <c r="H568" s="30">
        <v>-2.7187873155000001E-3</v>
      </c>
      <c r="I568" s="58">
        <v>0</v>
      </c>
      <c r="J568" s="58">
        <v>1.4827073334363601E+19</v>
      </c>
    </row>
    <row r="569" spans="3:10">
      <c r="C569" s="29" t="b">
        <v>0</v>
      </c>
      <c r="D569" s="30" t="s">
        <v>82</v>
      </c>
      <c r="E569" s="137">
        <v>16</v>
      </c>
      <c r="F569" s="30" t="s">
        <v>70</v>
      </c>
      <c r="G569" s="30" t="s">
        <v>67</v>
      </c>
      <c r="H569" s="30">
        <v>-3.06336275507E-2</v>
      </c>
      <c r="I569" s="58">
        <v>0</v>
      </c>
      <c r="J569" s="58">
        <v>1.0815640054939501E+19</v>
      </c>
    </row>
    <row r="570" spans="3:10">
      <c r="C570" s="29" t="b">
        <v>0</v>
      </c>
      <c r="D570" s="30" t="s">
        <v>81</v>
      </c>
      <c r="E570" s="137">
        <v>16</v>
      </c>
      <c r="F570" s="30" t="s">
        <v>70</v>
      </c>
      <c r="G570" s="30" t="s">
        <v>67</v>
      </c>
      <c r="H570" s="30">
        <v>-3.40231130191E-2</v>
      </c>
      <c r="I570" s="58">
        <v>0</v>
      </c>
      <c r="J570" s="58">
        <v>6.4077701706803599E+18</v>
      </c>
    </row>
    <row r="571" spans="3:10">
      <c r="C571" s="29" t="b">
        <v>0</v>
      </c>
      <c r="D571" s="30" t="s">
        <v>80</v>
      </c>
      <c r="E571" s="137">
        <v>16</v>
      </c>
      <c r="F571" s="30" t="s">
        <v>70</v>
      </c>
      <c r="G571" s="30" t="s">
        <v>67</v>
      </c>
      <c r="H571" s="30">
        <v>-6.5939230402899895E-2</v>
      </c>
      <c r="I571" s="58">
        <v>0</v>
      </c>
      <c r="J571" s="58">
        <v>1.78575681032954E+19</v>
      </c>
    </row>
    <row r="572" spans="3:10">
      <c r="C572" s="29" t="b">
        <v>0</v>
      </c>
      <c r="D572" s="30" t="s">
        <v>72</v>
      </c>
      <c r="E572" s="137">
        <v>16</v>
      </c>
      <c r="F572" s="30" t="s">
        <v>70</v>
      </c>
      <c r="G572" s="30" t="s">
        <v>67</v>
      </c>
      <c r="H572" s="30">
        <v>-2.6811782099600001E-2</v>
      </c>
      <c r="I572" s="58">
        <v>0</v>
      </c>
      <c r="J572" s="58">
        <v>1.07704022656785E+19</v>
      </c>
    </row>
    <row r="573" spans="3:10">
      <c r="C573" s="29" t="b">
        <v>0</v>
      </c>
      <c r="D573" s="30" t="s">
        <v>79</v>
      </c>
      <c r="E573" s="137">
        <v>16</v>
      </c>
      <c r="F573" s="30" t="s">
        <v>70</v>
      </c>
      <c r="G573" s="30" t="s">
        <v>67</v>
      </c>
      <c r="H573" s="30">
        <v>-2.9256033178099998E-3</v>
      </c>
      <c r="I573" s="58">
        <v>0</v>
      </c>
      <c r="J573" s="58">
        <v>3.0075353796982902E+18</v>
      </c>
    </row>
    <row r="574" spans="3:10">
      <c r="C574" s="29" t="b">
        <v>0</v>
      </c>
      <c r="D574" s="30" t="s">
        <v>78</v>
      </c>
      <c r="E574" s="137">
        <v>16</v>
      </c>
      <c r="F574" s="30" t="s">
        <v>70</v>
      </c>
      <c r="G574" s="30" t="s">
        <v>67</v>
      </c>
      <c r="H574" s="30">
        <v>1.4300699118799999E-2</v>
      </c>
      <c r="I574" s="58">
        <v>0</v>
      </c>
      <c r="J574" s="58">
        <v>1.78655780523143E+19</v>
      </c>
    </row>
    <row r="575" spans="3:10">
      <c r="C575" s="29" t="b">
        <v>0</v>
      </c>
      <c r="D575" s="30" t="s">
        <v>77</v>
      </c>
      <c r="E575" s="137">
        <v>16</v>
      </c>
      <c r="F575" s="30" t="s">
        <v>70</v>
      </c>
      <c r="G575" s="30" t="s">
        <v>67</v>
      </c>
      <c r="H575" s="30">
        <v>-6.4509588404899995E-2</v>
      </c>
      <c r="I575" s="58">
        <v>0</v>
      </c>
      <c r="J575" s="58">
        <v>1.1196894234217299E+17</v>
      </c>
    </row>
    <row r="576" spans="3:10">
      <c r="C576" s="29" t="b">
        <v>0</v>
      </c>
      <c r="D576" s="30" t="s">
        <v>76</v>
      </c>
      <c r="E576" s="137">
        <v>16</v>
      </c>
      <c r="F576" s="30" t="s">
        <v>70</v>
      </c>
      <c r="G576" s="30" t="s">
        <v>67</v>
      </c>
      <c r="H576" s="30">
        <v>-3.6739438388199999E-2</v>
      </c>
      <c r="I576" s="58">
        <v>0</v>
      </c>
      <c r="J576" s="58">
        <v>1.84813373950563E+18</v>
      </c>
    </row>
    <row r="577" spans="3:10">
      <c r="C577" s="29" t="b">
        <v>0</v>
      </c>
      <c r="D577" s="30" t="s">
        <v>64</v>
      </c>
      <c r="E577" s="137">
        <v>17</v>
      </c>
      <c r="F577" s="30" t="s">
        <v>70</v>
      </c>
      <c r="G577" s="30" t="s">
        <v>67</v>
      </c>
      <c r="H577" s="30">
        <v>-3.9322265611499999E-2</v>
      </c>
      <c r="I577" s="58">
        <v>0</v>
      </c>
      <c r="J577" s="58">
        <v>6.2719426754657597E+18</v>
      </c>
    </row>
    <row r="578" spans="3:10">
      <c r="C578" s="29" t="b">
        <v>0</v>
      </c>
      <c r="D578" s="30" t="s">
        <v>77</v>
      </c>
      <c r="E578" s="137">
        <v>14</v>
      </c>
      <c r="F578" s="30" t="s">
        <v>70</v>
      </c>
      <c r="G578" s="30" t="s">
        <v>67</v>
      </c>
      <c r="H578" s="30">
        <v>-0.102197957935</v>
      </c>
      <c r="I578" s="58">
        <v>0</v>
      </c>
      <c r="J578" s="58">
        <v>6.7714535999166003E+18</v>
      </c>
    </row>
    <row r="579" spans="3:10">
      <c r="C579" s="29" t="b">
        <v>0</v>
      </c>
      <c r="D579" s="30" t="s">
        <v>78</v>
      </c>
      <c r="E579" s="137">
        <v>15</v>
      </c>
      <c r="F579" s="30" t="s">
        <v>70</v>
      </c>
      <c r="G579" s="30" t="s">
        <v>67</v>
      </c>
      <c r="H579" s="30">
        <v>1.5163029763E-2</v>
      </c>
      <c r="I579" s="58">
        <v>0</v>
      </c>
      <c r="J579" s="58">
        <v>2.3694184223385902E+18</v>
      </c>
    </row>
    <row r="580" spans="3:10">
      <c r="C580" s="29" t="b">
        <v>0</v>
      </c>
      <c r="D580" s="30" t="s">
        <v>74</v>
      </c>
      <c r="E580" s="137">
        <v>16</v>
      </c>
      <c r="F580" s="30" t="s">
        <v>70</v>
      </c>
      <c r="G580" s="30" t="s">
        <v>67</v>
      </c>
      <c r="H580" s="30">
        <v>-2.0795275293400001E-2</v>
      </c>
      <c r="I580" s="58">
        <v>0</v>
      </c>
      <c r="J580" s="58">
        <v>1.3656253559872299E+19</v>
      </c>
    </row>
    <row r="581" spans="3:10">
      <c r="C581" s="29" t="b">
        <v>0</v>
      </c>
      <c r="D581" s="30" t="s">
        <v>82</v>
      </c>
      <c r="E581" s="137">
        <v>18</v>
      </c>
      <c r="F581" s="30" t="s">
        <v>70</v>
      </c>
      <c r="G581" s="30" t="s">
        <v>67</v>
      </c>
      <c r="H581" s="30">
        <v>-5.8470978469199901E-2</v>
      </c>
      <c r="I581" s="58">
        <v>0</v>
      </c>
      <c r="J581" s="58">
        <v>1.25711558419981E+19</v>
      </c>
    </row>
    <row r="582" spans="3:10">
      <c r="C582" s="29" t="b">
        <v>0</v>
      </c>
      <c r="D582" s="30" t="s">
        <v>73</v>
      </c>
      <c r="E582" s="137">
        <v>16</v>
      </c>
      <c r="F582" s="30" t="s">
        <v>70</v>
      </c>
      <c r="G582" s="30" t="s">
        <v>67</v>
      </c>
      <c r="H582" s="30">
        <v>-5.9462021864300003E-2</v>
      </c>
      <c r="I582" s="58">
        <v>0</v>
      </c>
      <c r="J582" s="58">
        <v>1.7524202973655501E+19</v>
      </c>
    </row>
    <row r="583" spans="3:10">
      <c r="C583" s="29" t="b">
        <v>0</v>
      </c>
      <c r="D583" s="30" t="s">
        <v>82</v>
      </c>
      <c r="E583" s="137">
        <v>17</v>
      </c>
      <c r="F583" s="30" t="s">
        <v>70</v>
      </c>
      <c r="G583" s="30" t="s">
        <v>67</v>
      </c>
      <c r="H583" s="30">
        <v>-4.9078487550200001E-2</v>
      </c>
      <c r="I583" s="58">
        <v>0</v>
      </c>
      <c r="J583" s="58">
        <v>1.1678436432039801E+19</v>
      </c>
    </row>
    <row r="584" spans="3:10">
      <c r="C584" s="29" t="b">
        <v>0</v>
      </c>
      <c r="D584" s="30" t="s">
        <v>81</v>
      </c>
      <c r="E584" s="137">
        <v>17</v>
      </c>
      <c r="F584" s="30" t="s">
        <v>70</v>
      </c>
      <c r="G584" s="30" t="s">
        <v>67</v>
      </c>
      <c r="H584" s="30">
        <v>-1.44004460979E-2</v>
      </c>
      <c r="I584" s="58">
        <v>0</v>
      </c>
      <c r="J584" s="58">
        <v>1.75342652459096E+19</v>
      </c>
    </row>
    <row r="585" spans="3:10">
      <c r="C585" s="29" t="b">
        <v>0</v>
      </c>
      <c r="D585" s="30" t="s">
        <v>80</v>
      </c>
      <c r="E585" s="137">
        <v>17</v>
      </c>
      <c r="F585" s="30" t="s">
        <v>70</v>
      </c>
      <c r="G585" s="30" t="s">
        <v>67</v>
      </c>
      <c r="H585" s="30">
        <v>-6.2505657092399997E-2</v>
      </c>
      <c r="I585" s="58">
        <v>0</v>
      </c>
      <c r="J585" s="58">
        <v>4.20006496982159E+18</v>
      </c>
    </row>
    <row r="586" spans="3:10">
      <c r="C586" s="29" t="b">
        <v>0</v>
      </c>
      <c r="D586" s="30" t="s">
        <v>72</v>
      </c>
      <c r="E586" s="137">
        <v>17</v>
      </c>
      <c r="F586" s="30" t="s">
        <v>70</v>
      </c>
      <c r="G586" s="30" t="s">
        <v>67</v>
      </c>
      <c r="H586" s="30">
        <v>-2.9920708961199999E-2</v>
      </c>
      <c r="I586" s="58">
        <v>0</v>
      </c>
      <c r="J586" s="58">
        <v>1.15222969256664E+19</v>
      </c>
    </row>
    <row r="587" spans="3:10">
      <c r="C587" s="29" t="b">
        <v>0</v>
      </c>
      <c r="D587" s="30" t="s">
        <v>79</v>
      </c>
      <c r="E587" s="137">
        <v>17</v>
      </c>
      <c r="F587" s="30" t="s">
        <v>70</v>
      </c>
      <c r="G587" s="30" t="s">
        <v>67</v>
      </c>
      <c r="H587" s="30">
        <v>3.85751908208E-2</v>
      </c>
      <c r="I587" s="58">
        <v>0</v>
      </c>
      <c r="J587" s="58">
        <v>7.5231207850714296E+18</v>
      </c>
    </row>
    <row r="588" spans="3:10">
      <c r="C588" s="29" t="b">
        <v>0</v>
      </c>
      <c r="D588" s="30" t="s">
        <v>78</v>
      </c>
      <c r="E588" s="137">
        <v>17</v>
      </c>
      <c r="F588" s="30" t="s">
        <v>70</v>
      </c>
      <c r="G588" s="30" t="s">
        <v>67</v>
      </c>
      <c r="H588" s="30">
        <v>1.21181141337E-3</v>
      </c>
      <c r="I588" s="58">
        <v>0</v>
      </c>
      <c r="J588" s="58">
        <v>9.0442684711120599E+18</v>
      </c>
    </row>
    <row r="589" spans="3:10">
      <c r="C589" s="29" t="b">
        <v>0</v>
      </c>
      <c r="D589" s="30" t="s">
        <v>77</v>
      </c>
      <c r="E589" s="137">
        <v>17</v>
      </c>
      <c r="F589" s="30" t="s">
        <v>70</v>
      </c>
      <c r="G589" s="30" t="s">
        <v>67</v>
      </c>
      <c r="H589" s="30">
        <v>-4.2657390488300001E-2</v>
      </c>
      <c r="I589" s="58">
        <v>0</v>
      </c>
      <c r="J589" s="58">
        <v>1.9475159295625999E+18</v>
      </c>
    </row>
    <row r="590" spans="3:10">
      <c r="C590" s="29" t="b">
        <v>0</v>
      </c>
      <c r="D590" s="30" t="s">
        <v>76</v>
      </c>
      <c r="E590" s="137">
        <v>17</v>
      </c>
      <c r="F590" s="30" t="s">
        <v>70</v>
      </c>
      <c r="G590" s="30" t="s">
        <v>67</v>
      </c>
      <c r="H590" s="30">
        <v>-3.0099282008500001E-2</v>
      </c>
      <c r="I590" s="58">
        <v>0</v>
      </c>
      <c r="J590" s="58">
        <v>6.20011476519522E+18</v>
      </c>
    </row>
    <row r="591" spans="3:10">
      <c r="C591" s="29" t="b">
        <v>0</v>
      </c>
      <c r="D591" s="30" t="s">
        <v>74</v>
      </c>
      <c r="E591" s="137">
        <v>17</v>
      </c>
      <c r="F591" s="30" t="s">
        <v>70</v>
      </c>
      <c r="G591" s="30" t="s">
        <v>67</v>
      </c>
      <c r="H591" s="30">
        <v>-2.5345201288E-2</v>
      </c>
      <c r="I591" s="58">
        <v>0</v>
      </c>
      <c r="J591" s="58">
        <v>1.2801978673532201E+19</v>
      </c>
    </row>
    <row r="592" spans="3:10">
      <c r="C592" s="29" t="b">
        <v>0</v>
      </c>
      <c r="D592" s="30" t="s">
        <v>73</v>
      </c>
      <c r="E592" s="137">
        <v>17</v>
      </c>
      <c r="F592" s="30" t="s">
        <v>70</v>
      </c>
      <c r="G592" s="30" t="s">
        <v>67</v>
      </c>
      <c r="H592" s="30">
        <v>-6.0134361782800003E-2</v>
      </c>
      <c r="I592" s="58">
        <v>0</v>
      </c>
      <c r="J592" s="58">
        <v>5.9273984920189297E+18</v>
      </c>
    </row>
    <row r="593" spans="3:10">
      <c r="C593" s="29" t="b">
        <v>0</v>
      </c>
      <c r="D593" s="30" t="s">
        <v>69</v>
      </c>
      <c r="E593" s="137">
        <v>17</v>
      </c>
      <c r="F593" s="30" t="s">
        <v>70</v>
      </c>
      <c r="G593" s="30" t="s">
        <v>67</v>
      </c>
      <c r="H593" s="30">
        <v>2.3493980664800001E-2</v>
      </c>
      <c r="I593" s="58">
        <v>0</v>
      </c>
      <c r="J593" s="58">
        <v>5.32037296930863E+18</v>
      </c>
    </row>
    <row r="594" spans="3:10">
      <c r="C594" s="29" t="b">
        <v>0</v>
      </c>
      <c r="D594" s="30" t="s">
        <v>64</v>
      </c>
      <c r="E594" s="137">
        <v>18</v>
      </c>
      <c r="F594" s="30" t="s">
        <v>70</v>
      </c>
      <c r="G594" s="30" t="s">
        <v>67</v>
      </c>
      <c r="H594" s="30">
        <v>-4.8429738532199999E-2</v>
      </c>
      <c r="I594" s="58">
        <v>0</v>
      </c>
      <c r="J594" s="58">
        <v>7.2915666934307103E+18</v>
      </c>
    </row>
    <row r="595" spans="3:10">
      <c r="C595" s="29" t="b">
        <v>0</v>
      </c>
      <c r="D595" s="30" t="s">
        <v>83</v>
      </c>
      <c r="E595" s="137">
        <v>18</v>
      </c>
      <c r="F595" s="30" t="s">
        <v>70</v>
      </c>
      <c r="G595" s="30" t="s">
        <v>67</v>
      </c>
      <c r="H595" s="30">
        <v>-3.5852428488799999E-2</v>
      </c>
      <c r="I595" s="58">
        <v>0</v>
      </c>
      <c r="J595" s="58">
        <v>1.5866730948826501E+18</v>
      </c>
    </row>
    <row r="596" spans="3:10">
      <c r="C596" s="29" t="b">
        <v>0</v>
      </c>
      <c r="D596" s="30" t="s">
        <v>75</v>
      </c>
      <c r="E596" s="137">
        <v>17</v>
      </c>
      <c r="F596" s="30" t="s">
        <v>70</v>
      </c>
      <c r="G596" s="30" t="s">
        <v>67</v>
      </c>
      <c r="H596" s="30">
        <v>-4.5711626210700003E-3</v>
      </c>
      <c r="I596" s="58">
        <v>0</v>
      </c>
      <c r="J596" s="58">
        <v>1.61068746100657E+18</v>
      </c>
    </row>
    <row r="597" spans="3:10">
      <c r="C597" s="29" t="b">
        <v>0</v>
      </c>
      <c r="D597" s="30" t="s">
        <v>81</v>
      </c>
      <c r="E597" s="137">
        <v>18</v>
      </c>
      <c r="F597" s="30" t="s">
        <v>70</v>
      </c>
      <c r="G597" s="30" t="s">
        <v>67</v>
      </c>
      <c r="H597" s="30">
        <v>-1.09204163368E-2</v>
      </c>
      <c r="I597" s="58">
        <v>0</v>
      </c>
      <c r="J597" s="58">
        <v>1.7784904713450299E+19</v>
      </c>
    </row>
    <row r="598" spans="3:10">
      <c r="C598" s="29" t="b">
        <v>0</v>
      </c>
      <c r="D598" s="30" t="s">
        <v>76</v>
      </c>
      <c r="E598" s="137">
        <v>18</v>
      </c>
      <c r="F598" s="30" t="s">
        <v>70</v>
      </c>
      <c r="G598" s="30" t="s">
        <v>67</v>
      </c>
      <c r="H598" s="30">
        <v>-9.9593398668200005E-3</v>
      </c>
      <c r="I598" s="58">
        <v>0</v>
      </c>
      <c r="J598" s="58">
        <v>4.9923874406156001E+18</v>
      </c>
    </row>
    <row r="599" spans="3:10">
      <c r="C599" s="29" t="b">
        <v>0</v>
      </c>
      <c r="D599" s="30" t="s">
        <v>83</v>
      </c>
      <c r="E599" s="137">
        <v>17</v>
      </c>
      <c r="F599" s="30" t="s">
        <v>70</v>
      </c>
      <c r="G599" s="30" t="s">
        <v>67</v>
      </c>
      <c r="H599" s="30">
        <v>-1.5685861010699999E-2</v>
      </c>
      <c r="I599" s="58">
        <v>0</v>
      </c>
      <c r="J599" s="58">
        <v>5.1661030513982996E+18</v>
      </c>
    </row>
    <row r="600" spans="3:10">
      <c r="C600" s="29" t="b">
        <v>0</v>
      </c>
      <c r="D600" s="30" t="s">
        <v>64</v>
      </c>
      <c r="E600" s="137">
        <v>0</v>
      </c>
      <c r="F600" s="30" t="s">
        <v>70</v>
      </c>
      <c r="G600" s="30" t="s">
        <v>71</v>
      </c>
      <c r="H600" s="30">
        <v>-3.9326600594500001E-2</v>
      </c>
      <c r="I600" s="58">
        <v>0</v>
      </c>
      <c r="J600" s="58">
        <v>1.6996843119935799E+19</v>
      </c>
    </row>
    <row r="601" spans="3:10">
      <c r="C601" s="29" t="b">
        <v>0</v>
      </c>
      <c r="D601" s="30" t="s">
        <v>69</v>
      </c>
      <c r="E601" s="137">
        <v>18</v>
      </c>
      <c r="F601" s="30" t="s">
        <v>70</v>
      </c>
      <c r="G601" s="30" t="s">
        <v>67</v>
      </c>
      <c r="H601" s="30">
        <v>2.4425369406599999E-2</v>
      </c>
      <c r="I601" s="58">
        <v>0</v>
      </c>
      <c r="J601" s="58">
        <v>9.512889836641151E+18</v>
      </c>
    </row>
    <row r="602" spans="3:10">
      <c r="C602" s="29" t="b">
        <v>0</v>
      </c>
      <c r="D602" s="30" t="s">
        <v>73</v>
      </c>
      <c r="E602" s="137">
        <v>18</v>
      </c>
      <c r="F602" s="30" t="s">
        <v>70</v>
      </c>
      <c r="G602" s="30" t="s">
        <v>67</v>
      </c>
      <c r="H602" s="30">
        <v>-6.2332344586200003E-2</v>
      </c>
      <c r="I602" s="58">
        <v>0</v>
      </c>
      <c r="J602" s="58">
        <v>1.69147955309149E+19</v>
      </c>
    </row>
    <row r="603" spans="3:10">
      <c r="C603" s="29" t="b">
        <v>0</v>
      </c>
      <c r="D603" s="30" t="s">
        <v>74</v>
      </c>
      <c r="E603" s="137">
        <v>18</v>
      </c>
      <c r="F603" s="30" t="s">
        <v>70</v>
      </c>
      <c r="G603" s="30" t="s">
        <v>67</v>
      </c>
      <c r="H603" s="30">
        <v>-3.07844658374E-2</v>
      </c>
      <c r="I603" s="58">
        <v>0</v>
      </c>
      <c r="J603" s="58">
        <v>6.0007312989966797E+18</v>
      </c>
    </row>
    <row r="604" spans="3:10">
      <c r="C604" s="29" t="b">
        <v>0</v>
      </c>
      <c r="D604" s="30" t="s">
        <v>75</v>
      </c>
      <c r="E604" s="137">
        <v>18</v>
      </c>
      <c r="F604" s="30" t="s">
        <v>70</v>
      </c>
      <c r="G604" s="30" t="s">
        <v>67</v>
      </c>
      <c r="H604" s="30">
        <v>-8.9283856208200001E-3</v>
      </c>
      <c r="I604" s="58">
        <v>0</v>
      </c>
      <c r="J604" s="58">
        <v>1.7285995212213101E+19</v>
      </c>
    </row>
    <row r="605" spans="3:10">
      <c r="C605" s="29" t="b">
        <v>0</v>
      </c>
      <c r="D605" s="30" t="s">
        <v>69</v>
      </c>
      <c r="E605" s="137">
        <v>16</v>
      </c>
      <c r="F605" s="30" t="s">
        <v>70</v>
      </c>
      <c r="G605" s="30" t="s">
        <v>67</v>
      </c>
      <c r="H605" s="30">
        <v>1.4085462730500001E-2</v>
      </c>
      <c r="I605" s="58">
        <v>0</v>
      </c>
      <c r="J605" s="58">
        <v>1.7825480253476399E+19</v>
      </c>
    </row>
    <row r="606" spans="3:10">
      <c r="C606" s="29" t="b">
        <v>0</v>
      </c>
      <c r="D606" s="30" t="s">
        <v>77</v>
      </c>
      <c r="E606" s="137">
        <v>18</v>
      </c>
      <c r="F606" s="30" t="s">
        <v>70</v>
      </c>
      <c r="G606" s="30" t="s">
        <v>67</v>
      </c>
      <c r="H606" s="30">
        <v>-1.1114437076099999E-2</v>
      </c>
      <c r="I606" s="58">
        <v>0</v>
      </c>
      <c r="J606" s="58">
        <v>1.04465408233397E+18</v>
      </c>
    </row>
    <row r="607" spans="3:10">
      <c r="C607" s="29" t="b">
        <v>0</v>
      </c>
      <c r="D607" s="30" t="s">
        <v>79</v>
      </c>
      <c r="E607" s="137">
        <v>18</v>
      </c>
      <c r="F607" s="30" t="s">
        <v>70</v>
      </c>
      <c r="G607" s="30" t="s">
        <v>67</v>
      </c>
      <c r="H607" s="30">
        <v>4.6499718507900002E-2</v>
      </c>
      <c r="I607" s="58">
        <v>0</v>
      </c>
      <c r="J607" s="58">
        <v>1.62740150569338E+19</v>
      </c>
    </row>
    <row r="608" spans="3:10">
      <c r="C608" s="29" t="b">
        <v>0</v>
      </c>
      <c r="D608" s="30" t="s">
        <v>72</v>
      </c>
      <c r="E608" s="137">
        <v>18</v>
      </c>
      <c r="F608" s="30" t="s">
        <v>70</v>
      </c>
      <c r="G608" s="30" t="s">
        <v>67</v>
      </c>
      <c r="H608" s="30">
        <v>-3.1012561254800002E-2</v>
      </c>
      <c r="I608" s="58">
        <v>0</v>
      </c>
      <c r="J608" s="58">
        <v>4.9255079697279795E+18</v>
      </c>
    </row>
    <row r="609" spans="3:10">
      <c r="C609" s="29" t="b">
        <v>0</v>
      </c>
      <c r="D609" s="30" t="s">
        <v>80</v>
      </c>
      <c r="E609" s="137">
        <v>18</v>
      </c>
      <c r="F609" s="30" t="s">
        <v>70</v>
      </c>
      <c r="G609" s="30" t="s">
        <v>67</v>
      </c>
      <c r="H609" s="30">
        <v>-6.3263113505499999E-2</v>
      </c>
      <c r="I609" s="58">
        <v>0</v>
      </c>
      <c r="J609" s="58">
        <v>1.6913753185197001E+19</v>
      </c>
    </row>
    <row r="610" spans="3:10">
      <c r="C610" s="29" t="b">
        <v>0</v>
      </c>
      <c r="D610" s="30" t="s">
        <v>78</v>
      </c>
      <c r="E610" s="137">
        <v>18</v>
      </c>
      <c r="F610" s="30" t="s">
        <v>70</v>
      </c>
      <c r="G610" s="30" t="s">
        <v>67</v>
      </c>
      <c r="H610" s="30">
        <v>-1.9634012602000001E-2</v>
      </c>
      <c r="I610" s="58">
        <v>0</v>
      </c>
      <c r="J610" s="58">
        <v>1.7048775644248101E+19</v>
      </c>
    </row>
    <row r="611" spans="3:10">
      <c r="C611" s="29" t="b">
        <v>0</v>
      </c>
      <c r="D611" s="30" t="s">
        <v>81</v>
      </c>
      <c r="E611" s="137">
        <v>4</v>
      </c>
      <c r="F611" s="30" t="s">
        <v>66</v>
      </c>
      <c r="G611" s="30" t="s">
        <v>71</v>
      </c>
      <c r="H611" s="30">
        <v>5.8218611496200001E-2</v>
      </c>
      <c r="I611" s="58">
        <v>0</v>
      </c>
      <c r="J611" s="58">
        <v>8.7148776522348698E+18</v>
      </c>
    </row>
    <row r="612" spans="3:10">
      <c r="C612" s="29" t="b">
        <v>0</v>
      </c>
      <c r="D612" s="30" t="s">
        <v>79</v>
      </c>
      <c r="E612" s="137">
        <v>5</v>
      </c>
      <c r="F612" s="30" t="s">
        <v>66</v>
      </c>
      <c r="G612" s="30" t="s">
        <v>71</v>
      </c>
      <c r="H612" s="30">
        <v>3.8145336855800002E-2</v>
      </c>
      <c r="I612" s="58">
        <v>0</v>
      </c>
      <c r="J612" s="58">
        <v>6.6790218189465303E+18</v>
      </c>
    </row>
    <row r="613" spans="3:10">
      <c r="C613" s="29" t="b">
        <v>0</v>
      </c>
      <c r="D613" s="30" t="s">
        <v>78</v>
      </c>
      <c r="E613" s="137">
        <v>5</v>
      </c>
      <c r="F613" s="30" t="s">
        <v>66</v>
      </c>
      <c r="G613" s="30" t="s">
        <v>71</v>
      </c>
      <c r="H613" s="30">
        <v>-8.1584504110500007E-3</v>
      </c>
      <c r="I613" s="58">
        <v>0</v>
      </c>
      <c r="J613" s="58">
        <v>1.7489230186504399E+18</v>
      </c>
    </row>
    <row r="614" spans="3:10">
      <c r="C614" s="29" t="b">
        <v>0</v>
      </c>
      <c r="D614" s="30" t="s">
        <v>77</v>
      </c>
      <c r="E614" s="137">
        <v>5</v>
      </c>
      <c r="F614" s="30" t="s">
        <v>66</v>
      </c>
      <c r="G614" s="30" t="s">
        <v>71</v>
      </c>
      <c r="H614" s="30">
        <v>4.7136224538200003E-2</v>
      </c>
      <c r="I614" s="58">
        <v>0</v>
      </c>
      <c r="J614" s="58">
        <v>5.3320166334119301E+18</v>
      </c>
    </row>
    <row r="615" spans="3:10">
      <c r="C615" s="29" t="b">
        <v>0</v>
      </c>
      <c r="D615" s="30" t="s">
        <v>76</v>
      </c>
      <c r="E615" s="137">
        <v>5</v>
      </c>
      <c r="F615" s="30" t="s">
        <v>66</v>
      </c>
      <c r="G615" s="30" t="s">
        <v>71</v>
      </c>
      <c r="H615" s="30">
        <v>5.5847309598400001E-2</v>
      </c>
      <c r="I615" s="58">
        <v>0</v>
      </c>
      <c r="J615" s="58">
        <v>1.5997691539819399E+19</v>
      </c>
    </row>
    <row r="616" spans="3:10">
      <c r="C616" s="29" t="b">
        <v>0</v>
      </c>
      <c r="D616" s="30" t="s">
        <v>75</v>
      </c>
      <c r="E616" s="137">
        <v>5</v>
      </c>
      <c r="F616" s="30" t="s">
        <v>66</v>
      </c>
      <c r="G616" s="30" t="s">
        <v>71</v>
      </c>
      <c r="H616" s="30">
        <v>3.78916680876E-2</v>
      </c>
      <c r="I616" s="58">
        <v>0</v>
      </c>
      <c r="J616" s="58">
        <v>1.6082161813675901E+19</v>
      </c>
    </row>
    <row r="617" spans="3:10">
      <c r="C617" s="29" t="b">
        <v>0</v>
      </c>
      <c r="D617" s="30" t="s">
        <v>64</v>
      </c>
      <c r="E617" s="137">
        <v>4</v>
      </c>
      <c r="F617" s="30" t="s">
        <v>66</v>
      </c>
      <c r="G617" s="30" t="s">
        <v>71</v>
      </c>
      <c r="H617" s="30">
        <v>0.11532113825</v>
      </c>
      <c r="I617" s="58">
        <v>0</v>
      </c>
      <c r="J617" s="58">
        <v>1.27841078537919E+19</v>
      </c>
    </row>
    <row r="618" spans="3:10">
      <c r="C618" s="29" t="b">
        <v>0</v>
      </c>
      <c r="D618" s="30" t="s">
        <v>83</v>
      </c>
      <c r="E618" s="137">
        <v>4</v>
      </c>
      <c r="F618" s="30" t="s">
        <v>66</v>
      </c>
      <c r="G618" s="30" t="s">
        <v>71</v>
      </c>
      <c r="H618" s="30">
        <v>0.14924178268999999</v>
      </c>
      <c r="I618" s="58">
        <v>0</v>
      </c>
      <c r="J618" s="58">
        <v>3.7387785271878502E+18</v>
      </c>
    </row>
    <row r="619" spans="3:10">
      <c r="C619" s="29" t="b">
        <v>0</v>
      </c>
      <c r="D619" s="30" t="s">
        <v>73</v>
      </c>
      <c r="E619" s="137">
        <v>5</v>
      </c>
      <c r="F619" s="30" t="s">
        <v>66</v>
      </c>
      <c r="G619" s="30" t="s">
        <v>71</v>
      </c>
      <c r="H619" s="30">
        <v>4.7576637131000001E-2</v>
      </c>
      <c r="I619" s="58">
        <v>0</v>
      </c>
      <c r="J619" s="58">
        <v>9.3001311671415501E+18</v>
      </c>
    </row>
    <row r="620" spans="3:10">
      <c r="C620" s="29" t="b">
        <v>0</v>
      </c>
      <c r="D620" s="30" t="s">
        <v>78</v>
      </c>
      <c r="E620" s="137">
        <v>2</v>
      </c>
      <c r="F620" s="30" t="s">
        <v>66</v>
      </c>
      <c r="G620" s="30" t="s">
        <v>71</v>
      </c>
      <c r="H620" s="30">
        <v>-7.6608590004100002E-2</v>
      </c>
      <c r="I620" s="58">
        <v>0</v>
      </c>
      <c r="J620" s="58">
        <v>2.7661926639864202E+18</v>
      </c>
    </row>
    <row r="621" spans="3:10">
      <c r="C621" s="29" t="b">
        <v>0</v>
      </c>
      <c r="D621" s="30" t="s">
        <v>77</v>
      </c>
      <c r="E621" s="137">
        <v>2</v>
      </c>
      <c r="F621" s="30" t="s">
        <v>66</v>
      </c>
      <c r="G621" s="30" t="s">
        <v>71</v>
      </c>
      <c r="H621" s="30">
        <v>-2.1568717167200002E-2</v>
      </c>
      <c r="I621" s="58">
        <v>0</v>
      </c>
      <c r="J621" s="58">
        <v>1.38430747767821E+19</v>
      </c>
    </row>
    <row r="622" spans="3:10">
      <c r="C622" s="29" t="b">
        <v>0</v>
      </c>
      <c r="D622" s="30" t="s">
        <v>76</v>
      </c>
      <c r="E622" s="137">
        <v>2</v>
      </c>
      <c r="F622" s="30" t="s">
        <v>66</v>
      </c>
      <c r="G622" s="30" t="s">
        <v>71</v>
      </c>
      <c r="H622" s="30">
        <v>-9.7791876874499997E-3</v>
      </c>
      <c r="I622" s="58">
        <v>0</v>
      </c>
      <c r="J622" s="58">
        <v>1.8412251809432001E+19</v>
      </c>
    </row>
    <row r="623" spans="3:10">
      <c r="C623" s="29" t="b">
        <v>0</v>
      </c>
      <c r="D623" s="30" t="s">
        <v>80</v>
      </c>
      <c r="E623" s="137">
        <v>5</v>
      </c>
      <c r="F623" s="30" t="s">
        <v>66</v>
      </c>
      <c r="G623" s="30" t="s">
        <v>71</v>
      </c>
      <c r="H623" s="30">
        <v>0.18605337709899999</v>
      </c>
      <c r="I623" s="58">
        <v>0</v>
      </c>
      <c r="J623" s="58">
        <v>1.8317735780318501E+19</v>
      </c>
    </row>
    <row r="624" spans="3:10">
      <c r="C624" s="29" t="b">
        <v>0</v>
      </c>
      <c r="D624" s="30" t="s">
        <v>72</v>
      </c>
      <c r="E624" s="137">
        <v>5</v>
      </c>
      <c r="F624" s="30" t="s">
        <v>66</v>
      </c>
      <c r="G624" s="30" t="s">
        <v>71</v>
      </c>
      <c r="H624" s="30">
        <v>2.8699675456199999E-2</v>
      </c>
      <c r="I624" s="58">
        <v>0</v>
      </c>
      <c r="J624" s="58">
        <v>7.4379265218917898E+18</v>
      </c>
    </row>
    <row r="625" spans="3:10">
      <c r="C625" s="29" t="b">
        <v>0</v>
      </c>
      <c r="D625" s="30" t="s">
        <v>82</v>
      </c>
      <c r="E625" s="137">
        <v>4</v>
      </c>
      <c r="F625" s="30" t="s">
        <v>66</v>
      </c>
      <c r="G625" s="30" t="s">
        <v>71</v>
      </c>
      <c r="H625" s="30">
        <v>4.84638721715E-2</v>
      </c>
      <c r="I625" s="58">
        <v>0</v>
      </c>
      <c r="J625" s="58">
        <v>6.9215292215360799E+18</v>
      </c>
    </row>
    <row r="626" spans="3:10">
      <c r="C626" s="29" t="b">
        <v>0</v>
      </c>
      <c r="D626" s="30" t="s">
        <v>81</v>
      </c>
      <c r="E626" s="137">
        <v>5</v>
      </c>
      <c r="F626" s="30" t="s">
        <v>66</v>
      </c>
      <c r="G626" s="30" t="s">
        <v>71</v>
      </c>
      <c r="H626" s="30">
        <v>8.8903601751699896E-2</v>
      </c>
      <c r="I626" s="58">
        <v>0</v>
      </c>
      <c r="J626" s="58">
        <v>3.4632358446092201E+18</v>
      </c>
    </row>
    <row r="627" spans="3:10">
      <c r="C627" s="29" t="b">
        <v>0</v>
      </c>
      <c r="D627" s="30" t="s">
        <v>82</v>
      </c>
      <c r="E627" s="137">
        <v>5</v>
      </c>
      <c r="F627" s="30" t="s">
        <v>66</v>
      </c>
      <c r="G627" s="30" t="s">
        <v>71</v>
      </c>
      <c r="H627" s="30">
        <v>7.2156380148499996E-3</v>
      </c>
      <c r="I627" s="58">
        <v>0</v>
      </c>
      <c r="J627" s="58">
        <v>4.6765776698680003E+18</v>
      </c>
    </row>
    <row r="628" spans="3:10">
      <c r="C628" s="29" t="b">
        <v>0</v>
      </c>
      <c r="D628" s="30" t="s">
        <v>83</v>
      </c>
      <c r="E628" s="137">
        <v>5</v>
      </c>
      <c r="F628" s="30" t="s">
        <v>66</v>
      </c>
      <c r="G628" s="30" t="s">
        <v>71</v>
      </c>
      <c r="H628" s="30">
        <v>0.215735229271</v>
      </c>
      <c r="I628" s="58">
        <v>0</v>
      </c>
      <c r="J628" s="58">
        <v>1.16152043922299E+19</v>
      </c>
    </row>
    <row r="629" spans="3:10">
      <c r="C629" s="29" t="b">
        <v>0</v>
      </c>
      <c r="D629" s="30" t="s">
        <v>64</v>
      </c>
      <c r="E629" s="137">
        <v>5</v>
      </c>
      <c r="F629" s="30" t="s">
        <v>66</v>
      </c>
      <c r="G629" s="30" t="s">
        <v>71</v>
      </c>
      <c r="H629" s="30">
        <v>0.102043892318</v>
      </c>
      <c r="I629" s="58">
        <v>0</v>
      </c>
      <c r="J629" s="58">
        <v>2.28077770952113E+18</v>
      </c>
    </row>
    <row r="630" spans="3:10">
      <c r="C630" s="29" t="b">
        <v>0</v>
      </c>
      <c r="D630" s="30" t="s">
        <v>69</v>
      </c>
      <c r="E630" s="137">
        <v>4</v>
      </c>
      <c r="F630" s="30" t="s">
        <v>66</v>
      </c>
      <c r="G630" s="30" t="s">
        <v>71</v>
      </c>
      <c r="H630" s="30">
        <v>5.3691841596899999E-2</v>
      </c>
      <c r="I630" s="58">
        <v>0</v>
      </c>
      <c r="J630" s="58">
        <v>1.7937606522570799E+19</v>
      </c>
    </row>
    <row r="631" spans="3:10">
      <c r="C631" s="29" t="b">
        <v>0</v>
      </c>
      <c r="D631" s="30" t="s">
        <v>73</v>
      </c>
      <c r="E631" s="137">
        <v>4</v>
      </c>
      <c r="F631" s="30" t="s">
        <v>66</v>
      </c>
      <c r="G631" s="30" t="s">
        <v>71</v>
      </c>
      <c r="H631" s="30">
        <v>5.8198039643999999E-2</v>
      </c>
      <c r="I631" s="58">
        <v>0</v>
      </c>
      <c r="J631" s="58">
        <v>9.8643726207952609E+18</v>
      </c>
    </row>
    <row r="632" spans="3:10">
      <c r="C632" s="29" t="b">
        <v>0</v>
      </c>
      <c r="D632" s="30" t="s">
        <v>74</v>
      </c>
      <c r="E632" s="137">
        <v>4</v>
      </c>
      <c r="F632" s="30" t="s">
        <v>66</v>
      </c>
      <c r="G632" s="30" t="s">
        <v>71</v>
      </c>
      <c r="H632" s="30">
        <v>8.0132608281499994E-3</v>
      </c>
      <c r="I632" s="58">
        <v>0</v>
      </c>
      <c r="J632" s="58">
        <v>7.4241020034902303E+18</v>
      </c>
    </row>
    <row r="633" spans="3:10">
      <c r="C633" s="29" t="b">
        <v>0</v>
      </c>
      <c r="D633" s="30" t="s">
        <v>75</v>
      </c>
      <c r="E633" s="137">
        <v>4</v>
      </c>
      <c r="F633" s="30" t="s">
        <v>66</v>
      </c>
      <c r="G633" s="30" t="s">
        <v>71</v>
      </c>
      <c r="H633" s="30">
        <v>3.4108761223299998E-2</v>
      </c>
      <c r="I633" s="58">
        <v>0</v>
      </c>
      <c r="J633" s="58">
        <v>9.3316029412454298E+18</v>
      </c>
    </row>
    <row r="634" spans="3:10">
      <c r="C634" s="29" t="b">
        <v>0</v>
      </c>
      <c r="D634" s="30" t="s">
        <v>76</v>
      </c>
      <c r="E634" s="137">
        <v>4</v>
      </c>
      <c r="F634" s="30" t="s">
        <v>66</v>
      </c>
      <c r="G634" s="30" t="s">
        <v>71</v>
      </c>
      <c r="H634" s="30">
        <v>6.1187674969299999E-2</v>
      </c>
      <c r="I634" s="58">
        <v>0</v>
      </c>
      <c r="J634" s="58">
        <v>6.8834256379022397E+18</v>
      </c>
    </row>
    <row r="635" spans="3:10">
      <c r="C635" s="29" t="b">
        <v>0</v>
      </c>
      <c r="D635" s="30" t="s">
        <v>77</v>
      </c>
      <c r="E635" s="137">
        <v>4</v>
      </c>
      <c r="F635" s="30" t="s">
        <v>66</v>
      </c>
      <c r="G635" s="30" t="s">
        <v>71</v>
      </c>
      <c r="H635" s="30">
        <v>3.12011634308E-2</v>
      </c>
      <c r="I635" s="58">
        <v>0</v>
      </c>
      <c r="J635" s="58">
        <v>1.21115837255825E+19</v>
      </c>
    </row>
    <row r="636" spans="3:10">
      <c r="C636" s="29" t="b">
        <v>0</v>
      </c>
      <c r="D636" s="30" t="s">
        <v>78</v>
      </c>
      <c r="E636" s="137">
        <v>4</v>
      </c>
      <c r="F636" s="30" t="s">
        <v>66</v>
      </c>
      <c r="G636" s="30" t="s">
        <v>71</v>
      </c>
      <c r="H636" s="30">
        <v>-4.63474492093E-2</v>
      </c>
      <c r="I636" s="58">
        <v>0</v>
      </c>
      <c r="J636" s="58">
        <v>1.01101559715875E+19</v>
      </c>
    </row>
    <row r="637" spans="3:10">
      <c r="C637" s="29" t="b">
        <v>0</v>
      </c>
      <c r="D637" s="30" t="s">
        <v>79</v>
      </c>
      <c r="E637" s="137">
        <v>4</v>
      </c>
      <c r="F637" s="30" t="s">
        <v>66</v>
      </c>
      <c r="G637" s="30" t="s">
        <v>71</v>
      </c>
      <c r="H637" s="30">
        <v>2.22709335503E-2</v>
      </c>
      <c r="I637" s="58">
        <v>0</v>
      </c>
      <c r="J637" s="58">
        <v>1.3340249673626599E+19</v>
      </c>
    </row>
    <row r="638" spans="3:10">
      <c r="C638" s="29" t="b">
        <v>0</v>
      </c>
      <c r="D638" s="30" t="s">
        <v>72</v>
      </c>
      <c r="E638" s="137">
        <v>4</v>
      </c>
      <c r="F638" s="30" t="s">
        <v>66</v>
      </c>
      <c r="G638" s="30" t="s">
        <v>71</v>
      </c>
      <c r="H638" s="30">
        <v>5.1541456424299997E-2</v>
      </c>
      <c r="I638" s="58">
        <v>0</v>
      </c>
      <c r="J638" s="58">
        <v>8.8612368802014597E+18</v>
      </c>
    </row>
    <row r="639" spans="3:10">
      <c r="C639" s="29" t="b">
        <v>0</v>
      </c>
      <c r="D639" s="30" t="s">
        <v>80</v>
      </c>
      <c r="E639" s="137">
        <v>4</v>
      </c>
      <c r="F639" s="30" t="s">
        <v>66</v>
      </c>
      <c r="G639" s="30" t="s">
        <v>71</v>
      </c>
      <c r="H639" s="30">
        <v>0.21311712457099999</v>
      </c>
      <c r="I639" s="58">
        <v>0</v>
      </c>
      <c r="J639" s="58">
        <v>4.1971608806074301E+18</v>
      </c>
    </row>
    <row r="640" spans="3:10">
      <c r="C640" s="29" t="b">
        <v>0</v>
      </c>
      <c r="D640" s="30" t="s">
        <v>74</v>
      </c>
      <c r="E640" s="137">
        <v>2</v>
      </c>
      <c r="F640" s="30" t="s">
        <v>66</v>
      </c>
      <c r="G640" s="30" t="s">
        <v>71</v>
      </c>
      <c r="H640" s="30">
        <v>-5.4846473097599997E-2</v>
      </c>
      <c r="I640" s="58">
        <v>0</v>
      </c>
      <c r="J640" s="58">
        <v>1.35186454037404E+19</v>
      </c>
    </row>
    <row r="641" spans="3:10">
      <c r="C641" s="29" t="b">
        <v>0</v>
      </c>
      <c r="D641" s="30" t="s">
        <v>75</v>
      </c>
      <c r="E641" s="137">
        <v>2</v>
      </c>
      <c r="F641" s="30" t="s">
        <v>66</v>
      </c>
      <c r="G641" s="30" t="s">
        <v>71</v>
      </c>
      <c r="H641" s="30">
        <v>-2.61177119822E-2</v>
      </c>
      <c r="I641" s="58">
        <v>0</v>
      </c>
      <c r="J641" s="58">
        <v>2.4224499632272399E+18</v>
      </c>
    </row>
    <row r="642" spans="3:10">
      <c r="C642" s="29" t="b">
        <v>0</v>
      </c>
      <c r="D642" s="30" t="s">
        <v>76</v>
      </c>
      <c r="E642" s="137">
        <v>8</v>
      </c>
      <c r="F642" s="30" t="s">
        <v>66</v>
      </c>
      <c r="G642" s="30" t="s">
        <v>71</v>
      </c>
      <c r="H642" s="30">
        <v>-3.9841119629100002E-2</v>
      </c>
      <c r="I642" s="58">
        <v>0</v>
      </c>
      <c r="J642" s="58">
        <v>1.5023835771257E+19</v>
      </c>
    </row>
    <row r="643" spans="3:10">
      <c r="C643" s="29" t="b">
        <v>0</v>
      </c>
      <c r="D643" s="30" t="s">
        <v>73</v>
      </c>
      <c r="E643" s="137">
        <v>2</v>
      </c>
      <c r="F643" s="30" t="s">
        <v>66</v>
      </c>
      <c r="G643" s="30" t="s">
        <v>71</v>
      </c>
      <c r="H643" s="30">
        <v>-9.4851041068300009E-3</v>
      </c>
      <c r="I643" s="58">
        <v>0</v>
      </c>
      <c r="J643" s="58">
        <v>1.9787669643051599E+18</v>
      </c>
    </row>
    <row r="644" spans="3:10">
      <c r="C644" s="29" t="b">
        <v>0</v>
      </c>
      <c r="D644" s="30" t="s">
        <v>69</v>
      </c>
      <c r="E644" s="137">
        <v>5</v>
      </c>
      <c r="F644" s="30" t="s">
        <v>66</v>
      </c>
      <c r="G644" s="30" t="s">
        <v>71</v>
      </c>
      <c r="H644" s="30">
        <v>8.1026744177799995E-2</v>
      </c>
      <c r="I644" s="58">
        <v>0</v>
      </c>
      <c r="J644" s="58">
        <v>6.74950808197265E+18</v>
      </c>
    </row>
    <row r="645" spans="3:10">
      <c r="C645" s="29" t="b">
        <v>0</v>
      </c>
      <c r="D645" s="30" t="s">
        <v>80</v>
      </c>
      <c r="E645" s="137">
        <v>14</v>
      </c>
      <c r="F645" s="30" t="s">
        <v>66</v>
      </c>
      <c r="G645" s="30" t="s">
        <v>67</v>
      </c>
      <c r="H645" s="30">
        <v>-2.6796022309600001E-2</v>
      </c>
      <c r="I645" s="58">
        <v>0</v>
      </c>
      <c r="J645" s="58">
        <v>1.0763861146217099E+19</v>
      </c>
    </row>
    <row r="646" spans="3:10">
      <c r="C646" s="29" t="b">
        <v>0</v>
      </c>
      <c r="D646" s="30" t="s">
        <v>77</v>
      </c>
      <c r="E646" s="137">
        <v>8</v>
      </c>
      <c r="F646" s="30" t="s">
        <v>66</v>
      </c>
      <c r="G646" s="30" t="s">
        <v>71</v>
      </c>
      <c r="H646" s="30">
        <v>-2.3400494438600001E-2</v>
      </c>
      <c r="I646" s="58">
        <v>0</v>
      </c>
      <c r="J646" s="58">
        <v>2.5785545965696399E+18</v>
      </c>
    </row>
    <row r="647" spans="3:10">
      <c r="C647" s="29" t="b">
        <v>0</v>
      </c>
      <c r="D647" s="30" t="s">
        <v>78</v>
      </c>
      <c r="E647" s="137">
        <v>8</v>
      </c>
      <c r="F647" s="30" t="s">
        <v>66</v>
      </c>
      <c r="G647" s="30" t="s">
        <v>71</v>
      </c>
      <c r="H647" s="30">
        <v>1.8398452624799999E-2</v>
      </c>
      <c r="I647" s="58">
        <v>0</v>
      </c>
      <c r="J647" s="58">
        <v>1.4393743276430801E+19</v>
      </c>
    </row>
    <row r="648" spans="3:10">
      <c r="C648" s="29" t="b">
        <v>0</v>
      </c>
      <c r="D648" s="30" t="s">
        <v>79</v>
      </c>
      <c r="E648" s="137">
        <v>8</v>
      </c>
      <c r="F648" s="30" t="s">
        <v>66</v>
      </c>
      <c r="G648" s="30" t="s">
        <v>71</v>
      </c>
      <c r="H648" s="30">
        <v>-5.6233739376E-2</v>
      </c>
      <c r="I648" s="58">
        <v>0</v>
      </c>
      <c r="J648" s="58">
        <v>1.51911918843356E+19</v>
      </c>
    </row>
    <row r="649" spans="3:10">
      <c r="C649" s="29" t="b">
        <v>0</v>
      </c>
      <c r="D649" s="30" t="s">
        <v>72</v>
      </c>
      <c r="E649" s="137">
        <v>8</v>
      </c>
      <c r="F649" s="30" t="s">
        <v>66</v>
      </c>
      <c r="G649" s="30" t="s">
        <v>71</v>
      </c>
      <c r="H649" s="30">
        <v>-5.70726138705E-2</v>
      </c>
      <c r="I649" s="58">
        <v>0</v>
      </c>
      <c r="J649" s="58">
        <v>9.4668989214098002E+18</v>
      </c>
    </row>
    <row r="650" spans="3:10">
      <c r="C650" s="29" t="b">
        <v>0</v>
      </c>
      <c r="D650" s="30" t="s">
        <v>80</v>
      </c>
      <c r="E650" s="137">
        <v>8</v>
      </c>
      <c r="F650" s="30" t="s">
        <v>66</v>
      </c>
      <c r="G650" s="30" t="s">
        <v>71</v>
      </c>
      <c r="H650" s="30">
        <v>-0.18124090877900001</v>
      </c>
      <c r="I650" s="58">
        <v>0</v>
      </c>
      <c r="J650" s="58">
        <v>1.50519191424321E+19</v>
      </c>
    </row>
    <row r="651" spans="3:10">
      <c r="C651" s="29" t="b">
        <v>0</v>
      </c>
      <c r="D651" s="30" t="s">
        <v>81</v>
      </c>
      <c r="E651" s="137">
        <v>8</v>
      </c>
      <c r="F651" s="30" t="s">
        <v>66</v>
      </c>
      <c r="G651" s="30" t="s">
        <v>71</v>
      </c>
      <c r="H651" s="30">
        <v>-1.6938743479599901E-2</v>
      </c>
      <c r="I651" s="58">
        <v>0</v>
      </c>
      <c r="J651" s="58">
        <v>1.30448730641763E+19</v>
      </c>
    </row>
    <row r="652" spans="3:10">
      <c r="C652" s="29" t="b">
        <v>0</v>
      </c>
      <c r="D652" s="30" t="s">
        <v>82</v>
      </c>
      <c r="E652" s="137">
        <v>8</v>
      </c>
      <c r="F652" s="30" t="s">
        <v>66</v>
      </c>
      <c r="G652" s="30" t="s">
        <v>71</v>
      </c>
      <c r="H652" s="30">
        <v>-7.7412648529899999E-2</v>
      </c>
      <c r="I652" s="58">
        <v>0</v>
      </c>
      <c r="J652" s="58">
        <v>9.8988086944204206E+18</v>
      </c>
    </row>
    <row r="653" spans="3:10">
      <c r="C653" s="29" t="b">
        <v>0</v>
      </c>
      <c r="D653" s="30" t="s">
        <v>83</v>
      </c>
      <c r="E653" s="137">
        <v>8</v>
      </c>
      <c r="F653" s="30" t="s">
        <v>66</v>
      </c>
      <c r="G653" s="30" t="s">
        <v>71</v>
      </c>
      <c r="H653" s="30">
        <v>-6.5755565172699995E-2</v>
      </c>
      <c r="I653" s="58">
        <v>0</v>
      </c>
      <c r="J653" s="58">
        <v>7.3798039421263401E+18</v>
      </c>
    </row>
    <row r="654" spans="3:10">
      <c r="C654" s="29" t="b">
        <v>0</v>
      </c>
      <c r="D654" s="30" t="s">
        <v>64</v>
      </c>
      <c r="E654" s="137">
        <v>8</v>
      </c>
      <c r="F654" s="30" t="s">
        <v>66</v>
      </c>
      <c r="G654" s="30" t="s">
        <v>71</v>
      </c>
      <c r="H654" s="30">
        <v>-2.73843592227E-3</v>
      </c>
      <c r="I654" s="58">
        <v>0</v>
      </c>
      <c r="J654" s="58">
        <v>1.00979761052922E+19</v>
      </c>
    </row>
    <row r="655" spans="3:10">
      <c r="C655" s="29" t="b">
        <v>0</v>
      </c>
      <c r="D655" s="30" t="s">
        <v>69</v>
      </c>
      <c r="E655" s="137">
        <v>7</v>
      </c>
      <c r="F655" s="30" t="s">
        <v>66</v>
      </c>
      <c r="G655" s="30" t="s">
        <v>71</v>
      </c>
      <c r="H655" s="30">
        <v>3.324151435E-3</v>
      </c>
      <c r="I655" s="58">
        <v>0</v>
      </c>
      <c r="J655" s="58">
        <v>7.0142831297918095E+18</v>
      </c>
    </row>
    <row r="656" spans="3:10">
      <c r="C656" s="29" t="b">
        <v>0</v>
      </c>
      <c r="D656" s="30" t="s">
        <v>73</v>
      </c>
      <c r="E656" s="137">
        <v>7</v>
      </c>
      <c r="F656" s="30" t="s">
        <v>66</v>
      </c>
      <c r="G656" s="30" t="s">
        <v>71</v>
      </c>
      <c r="H656" s="30">
        <v>-1.0310669750300001E-2</v>
      </c>
      <c r="I656" s="58">
        <v>0</v>
      </c>
      <c r="J656" s="58">
        <v>1.1593100426966499E+19</v>
      </c>
    </row>
    <row r="657" spans="3:10">
      <c r="C657" s="29" t="b">
        <v>0</v>
      </c>
      <c r="D657" s="30" t="s">
        <v>75</v>
      </c>
      <c r="E657" s="137">
        <v>7</v>
      </c>
      <c r="F657" s="30" t="s">
        <v>66</v>
      </c>
      <c r="G657" s="30" t="s">
        <v>71</v>
      </c>
      <c r="H657" s="30">
        <v>-3.9477242766000002E-2</v>
      </c>
      <c r="I657" s="58">
        <v>0</v>
      </c>
      <c r="J657" s="58">
        <v>6.0974544595008E+18</v>
      </c>
    </row>
    <row r="658" spans="3:10">
      <c r="C658" s="29" t="b">
        <v>0</v>
      </c>
      <c r="D658" s="30" t="s">
        <v>72</v>
      </c>
      <c r="E658" s="137">
        <v>14</v>
      </c>
      <c r="F658" s="30" t="s">
        <v>66</v>
      </c>
      <c r="G658" s="30" t="s">
        <v>67</v>
      </c>
      <c r="H658" s="30">
        <v>-1.7212789048299999E-2</v>
      </c>
      <c r="I658" s="58">
        <v>0</v>
      </c>
      <c r="J658" s="58">
        <v>4.4389379678459699E+18</v>
      </c>
    </row>
    <row r="659" spans="3:10">
      <c r="C659" s="29" t="b">
        <v>0</v>
      </c>
      <c r="D659" s="30" t="s">
        <v>74</v>
      </c>
      <c r="E659" s="137">
        <v>5</v>
      </c>
      <c r="F659" s="30" t="s">
        <v>66</v>
      </c>
      <c r="G659" s="30" t="s">
        <v>71</v>
      </c>
      <c r="H659" s="30">
        <v>4.2613130088400002E-2</v>
      </c>
      <c r="I659" s="58">
        <v>0</v>
      </c>
      <c r="J659" s="58">
        <v>1.7357702992061E+19</v>
      </c>
    </row>
    <row r="660" spans="3:10">
      <c r="C660" s="29" t="b">
        <v>0</v>
      </c>
      <c r="D660" s="30" t="s">
        <v>69</v>
      </c>
      <c r="E660" s="137">
        <v>2</v>
      </c>
      <c r="F660" s="30" t="s">
        <v>66</v>
      </c>
      <c r="G660" s="30" t="s">
        <v>71</v>
      </c>
      <c r="H660" s="30">
        <v>-2.9329591983199999E-2</v>
      </c>
      <c r="I660" s="58">
        <v>0</v>
      </c>
      <c r="J660" s="58">
        <v>1.1715226232894401E+19</v>
      </c>
    </row>
    <row r="661" spans="3:10">
      <c r="C661" s="29" t="b">
        <v>0</v>
      </c>
      <c r="D661" s="30" t="s">
        <v>69</v>
      </c>
      <c r="E661" s="137">
        <v>3</v>
      </c>
      <c r="F661" s="30" t="s">
        <v>66</v>
      </c>
      <c r="G661" s="30" t="s">
        <v>71</v>
      </c>
      <c r="H661" s="30">
        <v>7.4786373409300002E-4</v>
      </c>
      <c r="I661" s="58">
        <v>0</v>
      </c>
      <c r="J661" s="58">
        <v>6.98292817233741E+18</v>
      </c>
    </row>
    <row r="662" spans="3:10">
      <c r="C662" s="29" t="b">
        <v>0</v>
      </c>
      <c r="D662" s="30" t="s">
        <v>73</v>
      </c>
      <c r="E662" s="137">
        <v>3</v>
      </c>
      <c r="F662" s="30" t="s">
        <v>66</v>
      </c>
      <c r="G662" s="30" t="s">
        <v>71</v>
      </c>
      <c r="H662" s="30">
        <v>3.02697426561E-2</v>
      </c>
      <c r="I662" s="58">
        <v>0</v>
      </c>
      <c r="J662" s="58">
        <v>5.6229824548475402E+18</v>
      </c>
    </row>
    <row r="663" spans="3:10">
      <c r="C663" s="29" t="b">
        <v>0</v>
      </c>
      <c r="D663" s="30" t="s">
        <v>74</v>
      </c>
      <c r="E663" s="137">
        <v>3</v>
      </c>
      <c r="F663" s="30" t="s">
        <v>66</v>
      </c>
      <c r="G663" s="30" t="s">
        <v>71</v>
      </c>
      <c r="H663" s="30">
        <v>-3.2158538952799999E-2</v>
      </c>
      <c r="I663" s="58">
        <v>0</v>
      </c>
      <c r="J663" s="58">
        <v>3.2121074151021501E+18</v>
      </c>
    </row>
    <row r="664" spans="3:10">
      <c r="C664" s="29" t="b">
        <v>0</v>
      </c>
      <c r="D664" s="30" t="s">
        <v>75</v>
      </c>
      <c r="E664" s="137">
        <v>3</v>
      </c>
      <c r="F664" s="30" t="s">
        <v>66</v>
      </c>
      <c r="G664" s="30" t="s">
        <v>71</v>
      </c>
      <c r="H664" s="30">
        <v>2.0683005827399998E-3</v>
      </c>
      <c r="I664" s="58">
        <v>0</v>
      </c>
      <c r="J664" s="58">
        <v>4.51207092659247E+18</v>
      </c>
    </row>
    <row r="665" spans="3:10">
      <c r="C665" s="29" t="b">
        <v>0</v>
      </c>
      <c r="D665" s="30" t="s">
        <v>76</v>
      </c>
      <c r="E665" s="137">
        <v>3</v>
      </c>
      <c r="F665" s="30" t="s">
        <v>66</v>
      </c>
      <c r="G665" s="30" t="s">
        <v>71</v>
      </c>
      <c r="H665" s="30">
        <v>2.9297950075800001E-2</v>
      </c>
      <c r="I665" s="58">
        <v>0</v>
      </c>
      <c r="J665" s="58">
        <v>6.0110953059068099E+18</v>
      </c>
    </row>
    <row r="666" spans="3:10">
      <c r="C666" s="29" t="b">
        <v>0</v>
      </c>
      <c r="D666" s="30" t="s">
        <v>77</v>
      </c>
      <c r="E666" s="137">
        <v>3</v>
      </c>
      <c r="F666" s="30" t="s">
        <v>66</v>
      </c>
      <c r="G666" s="30" t="s">
        <v>71</v>
      </c>
      <c r="H666" s="30">
        <v>-8.2288697158300003E-4</v>
      </c>
      <c r="I666" s="58">
        <v>0</v>
      </c>
      <c r="J666" s="58">
        <v>5.7772632564612301E+18</v>
      </c>
    </row>
    <row r="667" spans="3:10">
      <c r="C667" s="29" t="b">
        <v>0</v>
      </c>
      <c r="D667" s="30" t="s">
        <v>78</v>
      </c>
      <c r="E667" s="137">
        <v>3</v>
      </c>
      <c r="F667" s="30" t="s">
        <v>66</v>
      </c>
      <c r="G667" s="30" t="s">
        <v>71</v>
      </c>
      <c r="H667" s="30">
        <v>-7.1386198909399998E-2</v>
      </c>
      <c r="I667" s="58">
        <v>0</v>
      </c>
      <c r="J667" s="58">
        <v>4.0168120996893E+18</v>
      </c>
    </row>
    <row r="668" spans="3:10">
      <c r="C668" s="29" t="b">
        <v>0</v>
      </c>
      <c r="D668" s="30" t="s">
        <v>79</v>
      </c>
      <c r="E668" s="137">
        <v>3</v>
      </c>
      <c r="F668" s="30" t="s">
        <v>66</v>
      </c>
      <c r="G668" s="30" t="s">
        <v>71</v>
      </c>
      <c r="H668" s="30">
        <v>-9.2962215960699993E-3</v>
      </c>
      <c r="I668" s="58">
        <v>0</v>
      </c>
      <c r="J668" s="58">
        <v>1.09609987109961E+18</v>
      </c>
    </row>
    <row r="669" spans="3:10">
      <c r="C669" s="29" t="b">
        <v>0</v>
      </c>
      <c r="D669" s="30" t="s">
        <v>72</v>
      </c>
      <c r="E669" s="137">
        <v>3</v>
      </c>
      <c r="F669" s="30" t="s">
        <v>66</v>
      </c>
      <c r="G669" s="30" t="s">
        <v>71</v>
      </c>
      <c r="H669" s="30">
        <v>4.6518559180299998E-2</v>
      </c>
      <c r="I669" s="58">
        <v>0</v>
      </c>
      <c r="J669" s="58">
        <v>1.3126624677854501E+19</v>
      </c>
    </row>
    <row r="670" spans="3:10">
      <c r="C670" s="29" t="b">
        <v>0</v>
      </c>
      <c r="D670" s="30" t="s">
        <v>80</v>
      </c>
      <c r="E670" s="137">
        <v>3</v>
      </c>
      <c r="F670" s="30" t="s">
        <v>66</v>
      </c>
      <c r="G670" s="30" t="s">
        <v>71</v>
      </c>
      <c r="H670" s="30">
        <v>0.12960637828900001</v>
      </c>
      <c r="I670" s="58">
        <v>0</v>
      </c>
      <c r="J670" s="58">
        <v>1.1447081695599499E+19</v>
      </c>
    </row>
    <row r="671" spans="3:10">
      <c r="C671" s="29" t="b">
        <v>0</v>
      </c>
      <c r="D671" s="30" t="s">
        <v>81</v>
      </c>
      <c r="E671" s="137">
        <v>3</v>
      </c>
      <c r="F671" s="30" t="s">
        <v>66</v>
      </c>
      <c r="G671" s="30" t="s">
        <v>71</v>
      </c>
      <c r="H671" s="30">
        <v>1.47962077845E-2</v>
      </c>
      <c r="I671" s="58">
        <v>0</v>
      </c>
      <c r="J671" s="58">
        <v>1.8066294100660001E+19</v>
      </c>
    </row>
    <row r="672" spans="3:10">
      <c r="C672" s="29" t="b">
        <v>0</v>
      </c>
      <c r="D672" s="30" t="s">
        <v>82</v>
      </c>
      <c r="E672" s="137">
        <v>3</v>
      </c>
      <c r="F672" s="30" t="s">
        <v>66</v>
      </c>
      <c r="G672" s="30" t="s">
        <v>71</v>
      </c>
      <c r="H672" s="30">
        <v>4.9428130400799998E-2</v>
      </c>
      <c r="I672" s="58">
        <v>0</v>
      </c>
      <c r="J672" s="58">
        <v>9.5437575020861706E+18</v>
      </c>
    </row>
    <row r="673" spans="3:10">
      <c r="C673" s="29" t="b">
        <v>0</v>
      </c>
      <c r="D673" s="30" t="s">
        <v>83</v>
      </c>
      <c r="E673" s="137">
        <v>3</v>
      </c>
      <c r="F673" s="30" t="s">
        <v>66</v>
      </c>
      <c r="G673" s="30" t="s">
        <v>71</v>
      </c>
      <c r="H673" s="30">
        <v>3.3002647832399999E-2</v>
      </c>
      <c r="I673" s="58">
        <v>0</v>
      </c>
      <c r="J673" s="58">
        <v>1.1480767812148601E+19</v>
      </c>
    </row>
    <row r="674" spans="3:10">
      <c r="C674" s="29" t="b">
        <v>0</v>
      </c>
      <c r="D674" s="30" t="s">
        <v>64</v>
      </c>
      <c r="E674" s="137">
        <v>3</v>
      </c>
      <c r="F674" s="30" t="s">
        <v>66</v>
      </c>
      <c r="G674" s="30" t="s">
        <v>71</v>
      </c>
      <c r="H674" s="30">
        <v>8.5040108782600002E-2</v>
      </c>
      <c r="I674" s="58">
        <v>0</v>
      </c>
      <c r="J674" s="58">
        <v>5.87687694702353E+18</v>
      </c>
    </row>
    <row r="675" spans="3:10">
      <c r="C675" s="29" t="b">
        <v>0</v>
      </c>
      <c r="D675" s="30" t="s">
        <v>76</v>
      </c>
      <c r="E675" s="137">
        <v>0</v>
      </c>
      <c r="F675" s="30" t="s">
        <v>66</v>
      </c>
      <c r="G675" s="30" t="s">
        <v>67</v>
      </c>
      <c r="H675" s="30">
        <v>-8.1169131845800005E-3</v>
      </c>
      <c r="I675" s="58">
        <v>0</v>
      </c>
      <c r="J675" s="58">
        <v>4.7879808376271698E+18</v>
      </c>
    </row>
    <row r="676" spans="3:10">
      <c r="C676" s="29" t="b">
        <v>0</v>
      </c>
      <c r="D676" s="30" t="s">
        <v>76</v>
      </c>
      <c r="E676" s="137">
        <v>6</v>
      </c>
      <c r="F676" s="30" t="s">
        <v>66</v>
      </c>
      <c r="G676" s="30" t="s">
        <v>67</v>
      </c>
      <c r="H676" s="30">
        <v>2.68635605066E-2</v>
      </c>
      <c r="I676" s="58">
        <v>0</v>
      </c>
      <c r="J676" s="58">
        <v>1.3126809658738399E+19</v>
      </c>
    </row>
    <row r="677" spans="3:10">
      <c r="C677" s="29" t="b">
        <v>0</v>
      </c>
      <c r="D677" s="30" t="s">
        <v>81</v>
      </c>
      <c r="E677" s="137">
        <v>14</v>
      </c>
      <c r="F677" s="30" t="s">
        <v>66</v>
      </c>
      <c r="G677" s="30" t="s">
        <v>67</v>
      </c>
      <c r="H677" s="30">
        <v>-3.06139685252E-2</v>
      </c>
      <c r="I677" s="58">
        <v>0</v>
      </c>
      <c r="J677" s="58">
        <v>1.45647831532544E+19</v>
      </c>
    </row>
    <row r="678" spans="3:10">
      <c r="C678" s="29" t="b">
        <v>0</v>
      </c>
      <c r="D678" s="30" t="s">
        <v>77</v>
      </c>
      <c r="E678" s="137">
        <v>3</v>
      </c>
      <c r="F678" s="30" t="s">
        <v>66</v>
      </c>
      <c r="G678" s="30" t="s">
        <v>67</v>
      </c>
      <c r="H678" s="30">
        <v>-4.9871690772699999E-3</v>
      </c>
      <c r="I678" s="58">
        <v>0</v>
      </c>
      <c r="J678" s="58">
        <v>1.55803122263511E+19</v>
      </c>
    </row>
    <row r="679" spans="3:10">
      <c r="C679" s="29" t="b">
        <v>0</v>
      </c>
      <c r="D679" s="30" t="s">
        <v>80</v>
      </c>
      <c r="E679" s="137">
        <v>6</v>
      </c>
      <c r="F679" s="30" t="s">
        <v>66</v>
      </c>
      <c r="G679" s="30" t="s">
        <v>67</v>
      </c>
      <c r="H679" s="30">
        <v>6.3486709285500001E-2</v>
      </c>
      <c r="I679" s="58">
        <v>0</v>
      </c>
      <c r="J679" s="58">
        <v>1.56184189681279E+19</v>
      </c>
    </row>
    <row r="680" spans="3:10">
      <c r="C680" s="29" t="b">
        <v>0</v>
      </c>
      <c r="D680" s="30" t="s">
        <v>81</v>
      </c>
      <c r="E680" s="137">
        <v>6</v>
      </c>
      <c r="F680" s="30" t="s">
        <v>66</v>
      </c>
      <c r="G680" s="30" t="s">
        <v>67</v>
      </c>
      <c r="H680" s="30">
        <v>7.3901577952500005E-2</v>
      </c>
      <c r="I680" s="58">
        <v>0</v>
      </c>
      <c r="J680" s="58">
        <v>5.85739019868224E+18</v>
      </c>
    </row>
    <row r="681" spans="3:10">
      <c r="C681" s="29" t="b">
        <v>0</v>
      </c>
      <c r="D681" s="30" t="s">
        <v>82</v>
      </c>
      <c r="E681" s="137">
        <v>6</v>
      </c>
      <c r="F681" s="30" t="s">
        <v>66</v>
      </c>
      <c r="G681" s="30" t="s">
        <v>67</v>
      </c>
      <c r="H681" s="30">
        <v>-5.4405233448400002E-2</v>
      </c>
      <c r="I681" s="58">
        <v>0</v>
      </c>
      <c r="J681" s="58">
        <v>3.22279627205869E+18</v>
      </c>
    </row>
    <row r="682" spans="3:10">
      <c r="C682" s="29" t="b">
        <v>0</v>
      </c>
      <c r="D682" s="30" t="s">
        <v>83</v>
      </c>
      <c r="E682" s="137">
        <v>6</v>
      </c>
      <c r="F682" s="30" t="s">
        <v>66</v>
      </c>
      <c r="G682" s="30" t="s">
        <v>67</v>
      </c>
      <c r="H682" s="30">
        <v>5.8831446676400001E-2</v>
      </c>
      <c r="I682" s="58">
        <v>0</v>
      </c>
      <c r="J682" s="58">
        <v>9.9029567987268895E+18</v>
      </c>
    </row>
    <row r="683" spans="3:10">
      <c r="C683" s="29" t="b">
        <v>0</v>
      </c>
      <c r="D683" s="30" t="s">
        <v>64</v>
      </c>
      <c r="E683" s="137">
        <v>6</v>
      </c>
      <c r="F683" s="30" t="s">
        <v>66</v>
      </c>
      <c r="G683" s="30" t="s">
        <v>67</v>
      </c>
      <c r="H683" s="30">
        <v>5.0775750645999998E-2</v>
      </c>
      <c r="I683" s="58">
        <v>0</v>
      </c>
      <c r="J683" s="58">
        <v>8.7400692112923402E+18</v>
      </c>
    </row>
    <row r="684" spans="3:10">
      <c r="C684" s="29" t="b">
        <v>0</v>
      </c>
      <c r="D684" s="30" t="s">
        <v>69</v>
      </c>
      <c r="E684" s="137">
        <v>5</v>
      </c>
      <c r="F684" s="30" t="s">
        <v>66</v>
      </c>
      <c r="G684" s="30" t="s">
        <v>67</v>
      </c>
      <c r="H684" s="30">
        <v>5.6731471494500002E-2</v>
      </c>
      <c r="I684" s="58">
        <v>0</v>
      </c>
      <c r="J684" s="58">
        <v>1.56260631474123E+19</v>
      </c>
    </row>
    <row r="685" spans="3:10">
      <c r="C685" s="29" t="b">
        <v>0</v>
      </c>
      <c r="D685" s="30" t="s">
        <v>73</v>
      </c>
      <c r="E685" s="137">
        <v>5</v>
      </c>
      <c r="F685" s="30" t="s">
        <v>66</v>
      </c>
      <c r="G685" s="30" t="s">
        <v>67</v>
      </c>
      <c r="H685" s="30">
        <v>-6.8054447197800003E-3</v>
      </c>
      <c r="I685" s="58">
        <v>0</v>
      </c>
      <c r="J685" s="58">
        <v>1.0556875930217599E+19</v>
      </c>
    </row>
    <row r="686" spans="3:10">
      <c r="C686" s="29" t="b">
        <v>0</v>
      </c>
      <c r="D686" s="30" t="s">
        <v>74</v>
      </c>
      <c r="E686" s="137">
        <v>5</v>
      </c>
      <c r="F686" s="30" t="s">
        <v>66</v>
      </c>
      <c r="G686" s="30" t="s">
        <v>67</v>
      </c>
      <c r="H686" s="30">
        <v>1.53010353095E-2</v>
      </c>
      <c r="I686" s="58">
        <v>0</v>
      </c>
      <c r="J686" s="58">
        <v>6.9845188743984998E+18</v>
      </c>
    </row>
    <row r="687" spans="3:10">
      <c r="C687" s="29" t="b">
        <v>0</v>
      </c>
      <c r="D687" s="30" t="s">
        <v>75</v>
      </c>
      <c r="E687" s="137">
        <v>5</v>
      </c>
      <c r="F687" s="30" t="s">
        <v>66</v>
      </c>
      <c r="G687" s="30" t="s">
        <v>67</v>
      </c>
      <c r="H687" s="30">
        <v>-8.9643559386100007E-3</v>
      </c>
      <c r="I687" s="58">
        <v>0</v>
      </c>
      <c r="J687" s="58">
        <v>8.2555562809935596E+18</v>
      </c>
    </row>
    <row r="688" spans="3:10">
      <c r="C688" s="29" t="b">
        <v>0</v>
      </c>
      <c r="D688" s="30" t="s">
        <v>76</v>
      </c>
      <c r="E688" s="137">
        <v>5</v>
      </c>
      <c r="F688" s="30" t="s">
        <v>66</v>
      </c>
      <c r="G688" s="30" t="s">
        <v>67</v>
      </c>
      <c r="H688" s="30">
        <v>4.7047564861999999E-2</v>
      </c>
      <c r="I688" s="58">
        <v>0</v>
      </c>
      <c r="J688" s="58">
        <v>8.7136560574370099E+18</v>
      </c>
    </row>
    <row r="689" spans="3:10">
      <c r="C689" s="29" t="b">
        <v>0</v>
      </c>
      <c r="D689" s="30" t="s">
        <v>77</v>
      </c>
      <c r="E689" s="137">
        <v>5</v>
      </c>
      <c r="F689" s="30" t="s">
        <v>66</v>
      </c>
      <c r="G689" s="30" t="s">
        <v>67</v>
      </c>
      <c r="H689" s="30">
        <v>1.8259769300700002E-2</v>
      </c>
      <c r="I689" s="58">
        <v>0</v>
      </c>
      <c r="J689" s="58">
        <v>1.2703238642160699E+19</v>
      </c>
    </row>
    <row r="690" spans="3:10">
      <c r="C690" s="29" t="b">
        <v>0</v>
      </c>
      <c r="D690" s="30" t="s">
        <v>78</v>
      </c>
      <c r="E690" s="137">
        <v>5</v>
      </c>
      <c r="F690" s="30" t="s">
        <v>66</v>
      </c>
      <c r="G690" s="30" t="s">
        <v>67</v>
      </c>
      <c r="H690" s="30">
        <v>-1.79456487935E-2</v>
      </c>
      <c r="I690" s="58">
        <v>0</v>
      </c>
      <c r="J690" s="58">
        <v>8.0126274671382999E+18</v>
      </c>
    </row>
    <row r="691" spans="3:10">
      <c r="C691" s="29" t="b">
        <v>0</v>
      </c>
      <c r="D691" s="30" t="s">
        <v>72</v>
      </c>
      <c r="E691" s="137">
        <v>5</v>
      </c>
      <c r="F691" s="30" t="s">
        <v>66</v>
      </c>
      <c r="G691" s="30" t="s">
        <v>67</v>
      </c>
      <c r="H691" s="30">
        <v>3.5829768896099998E-2</v>
      </c>
      <c r="I691" s="58">
        <v>0</v>
      </c>
      <c r="J691" s="58">
        <v>1.54081803089217E+19</v>
      </c>
    </row>
    <row r="692" spans="3:10">
      <c r="C692" s="29" t="b">
        <v>0</v>
      </c>
      <c r="D692" s="30" t="s">
        <v>64</v>
      </c>
      <c r="E692" s="137">
        <v>7</v>
      </c>
      <c r="F692" s="30" t="s">
        <v>66</v>
      </c>
      <c r="G692" s="30" t="s">
        <v>67</v>
      </c>
      <c r="H692" s="30">
        <v>3.4597218947799997E-2</v>
      </c>
      <c r="I692" s="58">
        <v>0</v>
      </c>
      <c r="J692" s="58">
        <v>1.0994928651123599E+19</v>
      </c>
    </row>
    <row r="693" spans="3:10">
      <c r="C693" s="29" t="b">
        <v>0</v>
      </c>
      <c r="D693" s="30" t="s">
        <v>79</v>
      </c>
      <c r="E693" s="137">
        <v>3</v>
      </c>
      <c r="F693" s="30" t="s">
        <v>66</v>
      </c>
      <c r="G693" s="30" t="s">
        <v>67</v>
      </c>
      <c r="H693" s="30">
        <v>8.9007860214899998E-3</v>
      </c>
      <c r="I693" s="58">
        <v>0</v>
      </c>
      <c r="J693" s="58">
        <v>2.25413309759296E+18</v>
      </c>
    </row>
    <row r="694" spans="3:10">
      <c r="C694" s="29" t="b">
        <v>0</v>
      </c>
      <c r="D694" s="30" t="s">
        <v>82</v>
      </c>
      <c r="E694" s="137">
        <v>14</v>
      </c>
      <c r="F694" s="30" t="s">
        <v>66</v>
      </c>
      <c r="G694" s="30" t="s">
        <v>67</v>
      </c>
      <c r="H694" s="30">
        <v>3.8996176809700002E-2</v>
      </c>
      <c r="I694" s="58">
        <v>0</v>
      </c>
      <c r="J694" s="58">
        <v>1.82208475883682E+19</v>
      </c>
    </row>
    <row r="695" spans="3:10">
      <c r="C695" s="29" t="b">
        <v>0</v>
      </c>
      <c r="D695" s="30" t="s">
        <v>77</v>
      </c>
      <c r="E695" s="137">
        <v>1</v>
      </c>
      <c r="F695" s="30" t="s">
        <v>66</v>
      </c>
      <c r="G695" s="30" t="s">
        <v>67</v>
      </c>
      <c r="H695" s="30">
        <v>-4.7019331895800003E-3</v>
      </c>
      <c r="I695" s="58">
        <v>0</v>
      </c>
      <c r="J695" s="58">
        <v>1.4612391266470699E+19</v>
      </c>
    </row>
    <row r="696" spans="3:10">
      <c r="C696" s="29" t="b">
        <v>0</v>
      </c>
      <c r="D696" s="30" t="s">
        <v>78</v>
      </c>
      <c r="E696" s="137">
        <v>1</v>
      </c>
      <c r="F696" s="30" t="s">
        <v>66</v>
      </c>
      <c r="G696" s="30" t="s">
        <v>67</v>
      </c>
      <c r="H696" s="30">
        <v>-4.5231826660200002E-2</v>
      </c>
      <c r="I696" s="58">
        <v>0</v>
      </c>
      <c r="J696" s="58">
        <v>1.74666364839959E+19</v>
      </c>
    </row>
    <row r="697" spans="3:10">
      <c r="C697" s="29" t="b">
        <v>0</v>
      </c>
      <c r="D697" s="30" t="s">
        <v>79</v>
      </c>
      <c r="E697" s="137">
        <v>1</v>
      </c>
      <c r="F697" s="30" t="s">
        <v>66</v>
      </c>
      <c r="G697" s="30" t="s">
        <v>67</v>
      </c>
      <c r="H697" s="30">
        <v>1.4063397783800001E-2</v>
      </c>
      <c r="I697" s="58">
        <v>0</v>
      </c>
      <c r="J697" s="58">
        <v>7.9519775974200801E+18</v>
      </c>
    </row>
    <row r="698" spans="3:10">
      <c r="C698" s="29" t="b">
        <v>0</v>
      </c>
      <c r="D698" s="30" t="s">
        <v>72</v>
      </c>
      <c r="E698" s="137">
        <v>1</v>
      </c>
      <c r="F698" s="30" t="s">
        <v>66</v>
      </c>
      <c r="G698" s="30" t="s">
        <v>67</v>
      </c>
      <c r="H698" s="30">
        <v>-1.8492885156200001E-2</v>
      </c>
      <c r="I698" s="58">
        <v>0</v>
      </c>
      <c r="J698" s="58">
        <v>2.09664423555024E+18</v>
      </c>
    </row>
    <row r="699" spans="3:10">
      <c r="C699" s="29" t="b">
        <v>0</v>
      </c>
      <c r="D699" s="30" t="s">
        <v>80</v>
      </c>
      <c r="E699" s="137">
        <v>1</v>
      </c>
      <c r="F699" s="30" t="s">
        <v>66</v>
      </c>
      <c r="G699" s="30" t="s">
        <v>67</v>
      </c>
      <c r="H699" s="30">
        <v>-3.1673851985699997E-2</v>
      </c>
      <c r="I699" s="58">
        <v>0</v>
      </c>
      <c r="J699" s="58">
        <v>7.9166657267199296E+17</v>
      </c>
    </row>
    <row r="700" spans="3:10">
      <c r="C700" s="29" t="b">
        <v>0</v>
      </c>
      <c r="D700" s="30" t="s">
        <v>81</v>
      </c>
      <c r="E700" s="137">
        <v>1</v>
      </c>
      <c r="F700" s="30" t="s">
        <v>66</v>
      </c>
      <c r="G700" s="30" t="s">
        <v>67</v>
      </c>
      <c r="H700" s="30">
        <v>6.5306185505699995E-4</v>
      </c>
      <c r="I700" s="58">
        <v>0</v>
      </c>
      <c r="J700" s="58">
        <v>1.62635792618532E+19</v>
      </c>
    </row>
    <row r="701" spans="3:10">
      <c r="C701" s="29" t="b">
        <v>0</v>
      </c>
      <c r="D701" s="30" t="s">
        <v>82</v>
      </c>
      <c r="E701" s="137">
        <v>1</v>
      </c>
      <c r="F701" s="30" t="s">
        <v>66</v>
      </c>
      <c r="G701" s="30" t="s">
        <v>67</v>
      </c>
      <c r="H701" s="30">
        <v>-1.0528293727099999E-2</v>
      </c>
      <c r="I701" s="58">
        <v>0</v>
      </c>
      <c r="J701" s="58">
        <v>2.3683342331259699E+18</v>
      </c>
    </row>
    <row r="702" spans="3:10">
      <c r="C702" s="29" t="b">
        <v>0</v>
      </c>
      <c r="D702" s="30" t="s">
        <v>83</v>
      </c>
      <c r="E702" s="137">
        <v>1</v>
      </c>
      <c r="F702" s="30" t="s">
        <v>66</v>
      </c>
      <c r="G702" s="30" t="s">
        <v>67</v>
      </c>
      <c r="H702" s="30">
        <v>-4.5580469935100003E-2</v>
      </c>
      <c r="I702" s="58">
        <v>0</v>
      </c>
      <c r="J702" s="58">
        <v>1.20147772016663E+19</v>
      </c>
    </row>
    <row r="703" spans="3:10">
      <c r="C703" s="29" t="b">
        <v>0</v>
      </c>
      <c r="D703" s="30" t="s">
        <v>64</v>
      </c>
      <c r="E703" s="137">
        <v>1</v>
      </c>
      <c r="F703" s="30" t="s">
        <v>66</v>
      </c>
      <c r="G703" s="30" t="s">
        <v>67</v>
      </c>
      <c r="H703" s="30">
        <v>1.64397984053E-2</v>
      </c>
      <c r="I703" s="58">
        <v>0</v>
      </c>
      <c r="J703" s="58">
        <v>1.61758012157696E+19</v>
      </c>
    </row>
    <row r="704" spans="3:10">
      <c r="C704" s="29" t="b">
        <v>0</v>
      </c>
      <c r="D704" s="30" t="s">
        <v>69</v>
      </c>
      <c r="E704" s="137">
        <v>0</v>
      </c>
      <c r="F704" s="30" t="s">
        <v>66</v>
      </c>
      <c r="G704" s="30" t="s">
        <v>67</v>
      </c>
      <c r="H704" s="30">
        <v>-1.2576006559600001E-2</v>
      </c>
      <c r="I704" s="58">
        <v>0</v>
      </c>
      <c r="J704" s="58">
        <v>1.6330487749133799E+19</v>
      </c>
    </row>
    <row r="705" spans="3:10">
      <c r="C705" s="29" t="b">
        <v>0</v>
      </c>
      <c r="D705" s="30" t="s">
        <v>73</v>
      </c>
      <c r="E705" s="137">
        <v>0</v>
      </c>
      <c r="F705" s="30" t="s">
        <v>66</v>
      </c>
      <c r="G705" s="30" t="s">
        <v>67</v>
      </c>
      <c r="H705" s="30">
        <v>5.2390490520399999E-3</v>
      </c>
      <c r="I705" s="58">
        <v>0</v>
      </c>
      <c r="J705" s="58">
        <v>9.7190606277134193E+18</v>
      </c>
    </row>
    <row r="706" spans="3:10">
      <c r="C706" s="29" t="b">
        <v>0</v>
      </c>
      <c r="D706" s="30" t="s">
        <v>74</v>
      </c>
      <c r="E706" s="137">
        <v>0</v>
      </c>
      <c r="F706" s="30" t="s">
        <v>66</v>
      </c>
      <c r="G706" s="30" t="s">
        <v>67</v>
      </c>
      <c r="H706" s="30">
        <v>-5.00327450639E-2</v>
      </c>
      <c r="I706" s="58">
        <v>0</v>
      </c>
      <c r="J706" s="58">
        <v>6.0849286177996902E+18</v>
      </c>
    </row>
    <row r="707" spans="3:10">
      <c r="C707" s="29" t="b">
        <v>0</v>
      </c>
      <c r="D707" s="30" t="s">
        <v>75</v>
      </c>
      <c r="E707" s="137">
        <v>0</v>
      </c>
      <c r="F707" s="30" t="s">
        <v>66</v>
      </c>
      <c r="G707" s="30" t="s">
        <v>67</v>
      </c>
      <c r="H707" s="30">
        <v>-1.2411992748100001E-2</v>
      </c>
      <c r="I707" s="58">
        <v>0</v>
      </c>
      <c r="J707" s="58">
        <v>1.44703151057733E+19</v>
      </c>
    </row>
    <row r="708" spans="3:10">
      <c r="C708" s="29" t="b">
        <v>0</v>
      </c>
      <c r="D708" s="30" t="s">
        <v>74</v>
      </c>
      <c r="E708" s="137">
        <v>8</v>
      </c>
      <c r="F708" s="30" t="s">
        <v>66</v>
      </c>
      <c r="G708" s="30" t="s">
        <v>71</v>
      </c>
      <c r="H708" s="30">
        <v>5.4701576296998997E-3</v>
      </c>
      <c r="I708" s="58">
        <v>0</v>
      </c>
      <c r="J708" s="58">
        <v>2.4090173506383901E+17</v>
      </c>
    </row>
    <row r="709" spans="3:10">
      <c r="C709" s="29" t="b">
        <v>0</v>
      </c>
      <c r="D709" s="30" t="s">
        <v>72</v>
      </c>
      <c r="E709" s="137">
        <v>6</v>
      </c>
      <c r="F709" s="30" t="s">
        <v>66</v>
      </c>
      <c r="G709" s="30" t="s">
        <v>67</v>
      </c>
      <c r="H709" s="30">
        <v>1.2550962052699999E-2</v>
      </c>
      <c r="I709" s="58">
        <v>0</v>
      </c>
      <c r="J709" s="58">
        <v>1.0297421155116599E+19</v>
      </c>
    </row>
    <row r="710" spans="3:10">
      <c r="C710" s="29" t="b">
        <v>0</v>
      </c>
      <c r="D710" s="30" t="s">
        <v>79</v>
      </c>
      <c r="E710" s="137">
        <v>6</v>
      </c>
      <c r="F710" s="30" t="s">
        <v>66</v>
      </c>
      <c r="G710" s="30" t="s">
        <v>67</v>
      </c>
      <c r="H710" s="30">
        <v>-2.1459549970500001E-2</v>
      </c>
      <c r="I710" s="58">
        <v>0</v>
      </c>
      <c r="J710" s="58">
        <v>8.3822677048015002E+18</v>
      </c>
    </row>
    <row r="711" spans="3:10">
      <c r="C711" s="29" t="b">
        <v>0</v>
      </c>
      <c r="D711" s="30" t="s">
        <v>78</v>
      </c>
      <c r="E711" s="137">
        <v>6</v>
      </c>
      <c r="F711" s="30" t="s">
        <v>66</v>
      </c>
      <c r="G711" s="30" t="s">
        <v>67</v>
      </c>
      <c r="H711" s="30">
        <v>-3.3071675645199999E-3</v>
      </c>
      <c r="I711" s="58">
        <v>0</v>
      </c>
      <c r="J711" s="58">
        <v>1.13111935612578E+19</v>
      </c>
    </row>
    <row r="712" spans="3:10">
      <c r="C712" s="29" t="b">
        <v>0</v>
      </c>
      <c r="D712" s="30" t="s">
        <v>77</v>
      </c>
      <c r="E712" s="137">
        <v>6</v>
      </c>
      <c r="F712" s="30" t="s">
        <v>66</v>
      </c>
      <c r="G712" s="30" t="s">
        <v>67</v>
      </c>
      <c r="H712" s="30">
        <v>2.2374201699899999E-2</v>
      </c>
      <c r="I712" s="58">
        <v>0</v>
      </c>
      <c r="J712" s="58">
        <v>1.5791383711222999E+19</v>
      </c>
    </row>
    <row r="713" spans="3:10">
      <c r="C713" s="29" t="b">
        <v>0</v>
      </c>
      <c r="D713" s="30" t="s">
        <v>82</v>
      </c>
      <c r="E713" s="137">
        <v>5</v>
      </c>
      <c r="F713" s="30" t="s">
        <v>66</v>
      </c>
      <c r="G713" s="30" t="s">
        <v>67</v>
      </c>
      <c r="H713" s="30">
        <v>-1.3418023288599999E-2</v>
      </c>
      <c r="I713" s="58">
        <v>0</v>
      </c>
      <c r="J713" s="58">
        <v>6.2506645790304102E+18</v>
      </c>
    </row>
    <row r="714" spans="3:10">
      <c r="C714" s="29" t="b">
        <v>0</v>
      </c>
      <c r="D714" s="30" t="s">
        <v>83</v>
      </c>
      <c r="E714" s="137">
        <v>5</v>
      </c>
      <c r="F714" s="30" t="s">
        <v>66</v>
      </c>
      <c r="G714" s="30" t="s">
        <v>67</v>
      </c>
      <c r="H714" s="30">
        <v>0.12859237973599999</v>
      </c>
      <c r="I714" s="58">
        <v>0</v>
      </c>
      <c r="J714" s="58">
        <v>2.7126251057006899E+18</v>
      </c>
    </row>
    <row r="715" spans="3:10">
      <c r="C715" s="29" t="b">
        <v>0</v>
      </c>
      <c r="D715" s="30" t="s">
        <v>64</v>
      </c>
      <c r="E715" s="137">
        <v>5</v>
      </c>
      <c r="F715" s="30" t="s">
        <v>66</v>
      </c>
      <c r="G715" s="30" t="s">
        <v>67</v>
      </c>
      <c r="H715" s="30">
        <v>6.7086399871199895E-2</v>
      </c>
      <c r="I715" s="58">
        <v>0</v>
      </c>
      <c r="J715" s="58">
        <v>2.9430900541459999E+18</v>
      </c>
    </row>
    <row r="716" spans="3:10">
      <c r="C716" s="29" t="b">
        <v>0</v>
      </c>
      <c r="D716" s="30" t="s">
        <v>69</v>
      </c>
      <c r="E716" s="137">
        <v>4</v>
      </c>
      <c r="F716" s="30" t="s">
        <v>66</v>
      </c>
      <c r="G716" s="30" t="s">
        <v>67</v>
      </c>
      <c r="H716" s="30">
        <v>5.8704069645600002E-2</v>
      </c>
      <c r="I716" s="58">
        <v>0</v>
      </c>
      <c r="J716" s="58">
        <v>1.10148954056731E+18</v>
      </c>
    </row>
    <row r="717" spans="3:10">
      <c r="C717" s="29" t="b">
        <v>0</v>
      </c>
      <c r="D717" s="30" t="s">
        <v>73</v>
      </c>
      <c r="E717" s="137">
        <v>4</v>
      </c>
      <c r="F717" s="30" t="s">
        <v>66</v>
      </c>
      <c r="G717" s="30" t="s">
        <v>67</v>
      </c>
      <c r="H717" s="30">
        <v>-4.57091072418E-4</v>
      </c>
      <c r="I717" s="58">
        <v>0</v>
      </c>
      <c r="J717" s="58">
        <v>1.04636639952757E+19</v>
      </c>
    </row>
    <row r="718" spans="3:10">
      <c r="C718" s="29" t="b">
        <v>0</v>
      </c>
      <c r="D718" s="30" t="s">
        <v>74</v>
      </c>
      <c r="E718" s="137">
        <v>4</v>
      </c>
      <c r="F718" s="30" t="s">
        <v>66</v>
      </c>
      <c r="G718" s="30" t="s">
        <v>67</v>
      </c>
      <c r="H718" s="30">
        <v>-4.5332168789199998E-3</v>
      </c>
      <c r="I718" s="58">
        <v>0</v>
      </c>
      <c r="J718" s="58">
        <v>1.3919021923607501E+19</v>
      </c>
    </row>
    <row r="719" spans="3:10">
      <c r="C719" s="29" t="b">
        <v>0</v>
      </c>
      <c r="D719" s="30" t="s">
        <v>75</v>
      </c>
      <c r="E719" s="137">
        <v>4</v>
      </c>
      <c r="F719" s="30" t="s">
        <v>66</v>
      </c>
      <c r="G719" s="30" t="s">
        <v>67</v>
      </c>
      <c r="H719" s="30">
        <v>-4.1326642895999997E-3</v>
      </c>
      <c r="I719" s="58">
        <v>0</v>
      </c>
      <c r="J719" s="58">
        <v>1.54668800567396E+19</v>
      </c>
    </row>
    <row r="720" spans="3:10">
      <c r="C720" s="29" t="b">
        <v>0</v>
      </c>
      <c r="D720" s="30" t="s">
        <v>76</v>
      </c>
      <c r="E720" s="137">
        <v>4</v>
      </c>
      <c r="F720" s="30" t="s">
        <v>66</v>
      </c>
      <c r="G720" s="30" t="s">
        <v>67</v>
      </c>
      <c r="H720" s="30">
        <v>5.4909219522900003E-2</v>
      </c>
      <c r="I720" s="58">
        <v>0</v>
      </c>
      <c r="J720" s="58">
        <v>5.0815003239599503E+18</v>
      </c>
    </row>
    <row r="721" spans="3:10">
      <c r="C721" s="29" t="b">
        <v>0</v>
      </c>
      <c r="D721" s="30" t="s">
        <v>77</v>
      </c>
      <c r="E721" s="137">
        <v>4</v>
      </c>
      <c r="F721" s="30" t="s">
        <v>66</v>
      </c>
      <c r="G721" s="30" t="s">
        <v>67</v>
      </c>
      <c r="H721" s="30">
        <v>7.8496839931100001E-3</v>
      </c>
      <c r="I721" s="58">
        <v>0</v>
      </c>
      <c r="J721" s="58">
        <v>4.8102270488280402E+18</v>
      </c>
    </row>
    <row r="722" spans="3:10">
      <c r="C722" s="29" t="b">
        <v>0</v>
      </c>
      <c r="D722" s="30" t="s">
        <v>78</v>
      </c>
      <c r="E722" s="137">
        <v>4</v>
      </c>
      <c r="F722" s="30" t="s">
        <v>66</v>
      </c>
      <c r="G722" s="30" t="s">
        <v>67</v>
      </c>
      <c r="H722" s="30">
        <v>-3.08180082987E-2</v>
      </c>
      <c r="I722" s="58">
        <v>0</v>
      </c>
      <c r="J722" s="58">
        <v>1.83387590287914E+19</v>
      </c>
    </row>
    <row r="723" spans="3:10">
      <c r="C723" s="29" t="b">
        <v>0</v>
      </c>
      <c r="D723" s="30" t="s">
        <v>79</v>
      </c>
      <c r="E723" s="137">
        <v>4</v>
      </c>
      <c r="F723" s="30" t="s">
        <v>66</v>
      </c>
      <c r="G723" s="30" t="s">
        <v>67</v>
      </c>
      <c r="H723" s="30">
        <v>2.4072842748799998E-3</v>
      </c>
      <c r="I723" s="58">
        <v>0</v>
      </c>
      <c r="J723" s="58">
        <v>9.5782591630455501E+18</v>
      </c>
    </row>
    <row r="724" spans="3:10">
      <c r="C724" s="29" t="b">
        <v>0</v>
      </c>
      <c r="D724" s="30" t="s">
        <v>72</v>
      </c>
      <c r="E724" s="137">
        <v>4</v>
      </c>
      <c r="F724" s="30" t="s">
        <v>66</v>
      </c>
      <c r="G724" s="30" t="s">
        <v>67</v>
      </c>
      <c r="H724" s="30">
        <v>4.0826218408199999E-2</v>
      </c>
      <c r="I724" s="58">
        <v>0</v>
      </c>
      <c r="J724" s="58">
        <v>1.5461515373510101E+19</v>
      </c>
    </row>
    <row r="725" spans="3:10">
      <c r="C725" s="29" t="b">
        <v>0</v>
      </c>
      <c r="D725" s="30" t="s">
        <v>80</v>
      </c>
      <c r="E725" s="137">
        <v>4</v>
      </c>
      <c r="F725" s="30" t="s">
        <v>66</v>
      </c>
      <c r="G725" s="30" t="s">
        <v>67</v>
      </c>
      <c r="H725" s="30">
        <v>0.20417063097400001</v>
      </c>
      <c r="I725" s="58">
        <v>0</v>
      </c>
      <c r="J725" s="58">
        <v>2.76059018245391E+18</v>
      </c>
    </row>
    <row r="726" spans="3:10">
      <c r="C726" s="29" t="b">
        <v>0</v>
      </c>
      <c r="D726" s="30" t="s">
        <v>81</v>
      </c>
      <c r="E726" s="137">
        <v>4</v>
      </c>
      <c r="F726" s="30" t="s">
        <v>66</v>
      </c>
      <c r="G726" s="30" t="s">
        <v>67</v>
      </c>
      <c r="H726" s="30">
        <v>5.3442922829399997E-2</v>
      </c>
      <c r="I726" s="58">
        <v>0</v>
      </c>
      <c r="J726" s="58">
        <v>1.35523405506499E+18</v>
      </c>
    </row>
    <row r="727" spans="3:10">
      <c r="C727" s="29" t="b">
        <v>0</v>
      </c>
      <c r="D727" s="30" t="s">
        <v>82</v>
      </c>
      <c r="E727" s="137">
        <v>4</v>
      </c>
      <c r="F727" s="30" t="s">
        <v>66</v>
      </c>
      <c r="G727" s="30" t="s">
        <v>67</v>
      </c>
      <c r="H727" s="30">
        <v>1.32118552959E-2</v>
      </c>
      <c r="I727" s="58">
        <v>0</v>
      </c>
      <c r="J727" s="58">
        <v>1.2419822311444799E+19</v>
      </c>
    </row>
    <row r="728" spans="3:10">
      <c r="C728" s="29" t="b">
        <v>0</v>
      </c>
      <c r="D728" s="30" t="s">
        <v>83</v>
      </c>
      <c r="E728" s="137">
        <v>4</v>
      </c>
      <c r="F728" s="30" t="s">
        <v>66</v>
      </c>
      <c r="G728" s="30" t="s">
        <v>67</v>
      </c>
      <c r="H728" s="30">
        <v>0.112545102272</v>
      </c>
      <c r="I728" s="58">
        <v>0</v>
      </c>
      <c r="J728" s="58">
        <v>1.0838140136523399E+19</v>
      </c>
    </row>
    <row r="729" spans="3:10">
      <c r="C729" s="29" t="b">
        <v>0</v>
      </c>
      <c r="D729" s="30" t="s">
        <v>64</v>
      </c>
      <c r="E729" s="137">
        <v>4</v>
      </c>
      <c r="F729" s="30" t="s">
        <v>66</v>
      </c>
      <c r="G729" s="30" t="s">
        <v>67</v>
      </c>
      <c r="H729" s="30">
        <v>6.97752064117E-2</v>
      </c>
      <c r="I729" s="58">
        <v>0</v>
      </c>
      <c r="J729" s="58">
        <v>1.47988769323101E+19</v>
      </c>
    </row>
    <row r="730" spans="3:10">
      <c r="C730" s="29" t="b">
        <v>0</v>
      </c>
      <c r="D730" s="30" t="s">
        <v>69</v>
      </c>
      <c r="E730" s="137">
        <v>3</v>
      </c>
      <c r="F730" s="30" t="s">
        <v>66</v>
      </c>
      <c r="G730" s="30" t="s">
        <v>67</v>
      </c>
      <c r="H730" s="30">
        <v>3.4135135296900002E-2</v>
      </c>
      <c r="I730" s="58">
        <v>0</v>
      </c>
      <c r="J730" s="58">
        <v>1.0112983429871901E+19</v>
      </c>
    </row>
    <row r="731" spans="3:10">
      <c r="C731" s="29" t="b">
        <v>0</v>
      </c>
      <c r="D731" s="30" t="s">
        <v>73</v>
      </c>
      <c r="E731" s="137">
        <v>3</v>
      </c>
      <c r="F731" s="30" t="s">
        <v>66</v>
      </c>
      <c r="G731" s="30" t="s">
        <v>67</v>
      </c>
      <c r="H731" s="30">
        <v>-2.1589349875799999E-3</v>
      </c>
      <c r="I731" s="58">
        <v>0</v>
      </c>
      <c r="J731" s="58">
        <v>4.64932836236015E+18</v>
      </c>
    </row>
    <row r="732" spans="3:10">
      <c r="C732" s="29" t="b">
        <v>0</v>
      </c>
      <c r="D732" s="30" t="s">
        <v>74</v>
      </c>
      <c r="E732" s="137">
        <v>3</v>
      </c>
      <c r="F732" s="30" t="s">
        <v>66</v>
      </c>
      <c r="G732" s="30" t="s">
        <v>67</v>
      </c>
      <c r="H732" s="30">
        <v>-3.6839959526900001E-2</v>
      </c>
      <c r="I732" s="58">
        <v>0</v>
      </c>
      <c r="J732" s="58">
        <v>1.2564465977152299E+19</v>
      </c>
    </row>
    <row r="733" spans="3:10">
      <c r="C733" s="29" t="b">
        <v>0</v>
      </c>
      <c r="D733" s="30" t="s">
        <v>75</v>
      </c>
      <c r="E733" s="137">
        <v>3</v>
      </c>
      <c r="F733" s="30" t="s">
        <v>66</v>
      </c>
      <c r="G733" s="30" t="s">
        <v>67</v>
      </c>
      <c r="H733" s="30">
        <v>-1.2392697579499999E-2</v>
      </c>
      <c r="I733" s="58">
        <v>0</v>
      </c>
      <c r="J733" s="58">
        <v>7.4436487404037601E+18</v>
      </c>
    </row>
    <row r="734" spans="3:10">
      <c r="C734" s="29" t="b">
        <v>0</v>
      </c>
      <c r="D734" s="30" t="s">
        <v>81</v>
      </c>
      <c r="E734" s="137">
        <v>5</v>
      </c>
      <c r="F734" s="30" t="s">
        <v>66</v>
      </c>
      <c r="G734" s="30" t="s">
        <v>67</v>
      </c>
      <c r="H734" s="30">
        <v>8.0446857924699994E-2</v>
      </c>
      <c r="I734" s="58">
        <v>0</v>
      </c>
      <c r="J734" s="58">
        <v>3.2367024980816302E+18</v>
      </c>
    </row>
    <row r="735" spans="3:10">
      <c r="C735" s="29" t="b">
        <v>0</v>
      </c>
      <c r="D735" s="30" t="s">
        <v>76</v>
      </c>
      <c r="E735" s="137">
        <v>3</v>
      </c>
      <c r="F735" s="30" t="s">
        <v>66</v>
      </c>
      <c r="G735" s="30" t="s">
        <v>67</v>
      </c>
      <c r="H735" s="30">
        <v>4.85983896956E-2</v>
      </c>
      <c r="I735" s="58">
        <v>0</v>
      </c>
      <c r="J735" s="58">
        <v>4.5810343276265298E+18</v>
      </c>
    </row>
    <row r="736" spans="3:10">
      <c r="C736" s="29" t="b">
        <v>0</v>
      </c>
      <c r="D736" s="30" t="s">
        <v>80</v>
      </c>
      <c r="E736" s="137">
        <v>5</v>
      </c>
      <c r="F736" s="30" t="s">
        <v>66</v>
      </c>
      <c r="G736" s="30" t="s">
        <v>67</v>
      </c>
      <c r="H736" s="30">
        <v>0.18852124247099999</v>
      </c>
      <c r="I736" s="58">
        <v>0</v>
      </c>
      <c r="J736" s="58">
        <v>2.3785869714730199E+18</v>
      </c>
    </row>
    <row r="737" spans="3:10">
      <c r="C737" s="29" t="b">
        <v>0</v>
      </c>
      <c r="D737" s="30" t="s">
        <v>79</v>
      </c>
      <c r="E737" s="137">
        <v>5</v>
      </c>
      <c r="F737" s="30" t="s">
        <v>66</v>
      </c>
      <c r="G737" s="30" t="s">
        <v>67</v>
      </c>
      <c r="H737" s="30">
        <v>-7.7261058899098997E-3</v>
      </c>
      <c r="I737" s="58">
        <v>0</v>
      </c>
      <c r="J737" s="58">
        <v>3.4947688764090399E+18</v>
      </c>
    </row>
    <row r="738" spans="3:10">
      <c r="C738" s="29" t="b">
        <v>0</v>
      </c>
      <c r="D738" s="30" t="s">
        <v>69</v>
      </c>
      <c r="E738" s="137">
        <v>6</v>
      </c>
      <c r="F738" s="30" t="s">
        <v>66</v>
      </c>
      <c r="G738" s="30" t="s">
        <v>67</v>
      </c>
      <c r="H738" s="30">
        <v>2.2420434875800001E-2</v>
      </c>
      <c r="I738" s="58">
        <v>0</v>
      </c>
      <c r="J738" s="58">
        <v>1.24588398190238E+19</v>
      </c>
    </row>
    <row r="739" spans="3:10">
      <c r="C739" s="29" t="b">
        <v>0</v>
      </c>
      <c r="D739" s="30" t="s">
        <v>73</v>
      </c>
      <c r="E739" s="137">
        <v>6</v>
      </c>
      <c r="F739" s="30" t="s">
        <v>66</v>
      </c>
      <c r="G739" s="30" t="s">
        <v>67</v>
      </c>
      <c r="H739" s="30">
        <v>-8.8546706763500006E-3</v>
      </c>
      <c r="I739" s="58">
        <v>0</v>
      </c>
      <c r="J739" s="58">
        <v>8.1275386324331602E+18</v>
      </c>
    </row>
    <row r="740" spans="3:10">
      <c r="C740" s="29" t="b">
        <v>0</v>
      </c>
      <c r="D740" s="30" t="s">
        <v>74</v>
      </c>
      <c r="E740" s="137">
        <v>6</v>
      </c>
      <c r="F740" s="30" t="s">
        <v>66</v>
      </c>
      <c r="G740" s="30" t="s">
        <v>67</v>
      </c>
      <c r="H740" s="30">
        <v>5.7340806961899997E-3</v>
      </c>
      <c r="I740" s="58">
        <v>0</v>
      </c>
      <c r="J740" s="58">
        <v>1.2954960770435199E+19</v>
      </c>
    </row>
    <row r="741" spans="3:10">
      <c r="C741" s="29" t="b">
        <v>0</v>
      </c>
      <c r="D741" s="30" t="s">
        <v>75</v>
      </c>
      <c r="E741" s="137">
        <v>6</v>
      </c>
      <c r="F741" s="30" t="s">
        <v>66</v>
      </c>
      <c r="G741" s="30" t="s">
        <v>67</v>
      </c>
      <c r="H741" s="30">
        <v>-2.74808039741E-2</v>
      </c>
      <c r="I741" s="58">
        <v>0</v>
      </c>
      <c r="J741" s="58">
        <v>1.5282546207099001E+19</v>
      </c>
    </row>
    <row r="742" spans="3:10">
      <c r="C742" s="29" t="b">
        <v>0</v>
      </c>
      <c r="D742" s="30" t="s">
        <v>75</v>
      </c>
      <c r="E742" s="137">
        <v>8</v>
      </c>
      <c r="F742" s="30" t="s">
        <v>66</v>
      </c>
      <c r="G742" s="30" t="s">
        <v>71</v>
      </c>
      <c r="H742" s="30">
        <v>-6.6164549400200001E-2</v>
      </c>
      <c r="I742" s="58">
        <v>0</v>
      </c>
      <c r="J742" s="58">
        <v>9.643243352739969E+18</v>
      </c>
    </row>
    <row r="743" spans="3:10">
      <c r="C743" s="29" t="b">
        <v>0</v>
      </c>
      <c r="D743" s="30" t="s">
        <v>76</v>
      </c>
      <c r="E743" s="137">
        <v>14</v>
      </c>
      <c r="F743" s="30" t="s">
        <v>66</v>
      </c>
      <c r="G743" s="30" t="s">
        <v>67</v>
      </c>
      <c r="H743" s="30">
        <v>1.0535492664400001E-2</v>
      </c>
      <c r="I743" s="58">
        <v>0</v>
      </c>
      <c r="J743" s="58">
        <v>4.1356123813144801E+18</v>
      </c>
    </row>
    <row r="744" spans="3:10">
      <c r="C744" s="29" t="b">
        <v>0</v>
      </c>
      <c r="D744" s="30" t="s">
        <v>73</v>
      </c>
      <c r="E744" s="137">
        <v>8</v>
      </c>
      <c r="F744" s="30" t="s">
        <v>66</v>
      </c>
      <c r="G744" s="30" t="s">
        <v>71</v>
      </c>
      <c r="H744" s="30">
        <v>-1.7422936044200001E-2</v>
      </c>
      <c r="I744" s="58">
        <v>0</v>
      </c>
      <c r="J744" s="58">
        <v>1.4988078047624401E+19</v>
      </c>
    </row>
    <row r="745" spans="3:10">
      <c r="C745" s="29" t="b">
        <v>0</v>
      </c>
      <c r="D745" s="30" t="s">
        <v>73</v>
      </c>
      <c r="E745" s="137">
        <v>17</v>
      </c>
      <c r="F745" s="30" t="s">
        <v>66</v>
      </c>
      <c r="G745" s="30" t="s">
        <v>67</v>
      </c>
      <c r="H745" s="30">
        <v>3.6709331864400001E-3</v>
      </c>
      <c r="I745" s="58">
        <v>0</v>
      </c>
      <c r="J745" s="58">
        <v>2.8236040994629402E+18</v>
      </c>
    </row>
    <row r="746" spans="3:10">
      <c r="C746" s="29" t="b">
        <v>0</v>
      </c>
      <c r="D746" s="30" t="s">
        <v>77</v>
      </c>
      <c r="E746" s="137">
        <v>1</v>
      </c>
      <c r="F746" s="30" t="s">
        <v>66</v>
      </c>
      <c r="G746" s="30" t="s">
        <v>71</v>
      </c>
      <c r="H746" s="30">
        <v>-2.2675187405500001E-2</v>
      </c>
      <c r="I746" s="58">
        <v>0</v>
      </c>
      <c r="J746" s="58">
        <v>6.7302633718829896E+18</v>
      </c>
    </row>
    <row r="747" spans="3:10">
      <c r="C747" s="29" t="b">
        <v>0</v>
      </c>
      <c r="D747" s="30" t="s">
        <v>78</v>
      </c>
      <c r="E747" s="137">
        <v>1</v>
      </c>
      <c r="F747" s="30" t="s">
        <v>66</v>
      </c>
      <c r="G747" s="30" t="s">
        <v>71</v>
      </c>
      <c r="H747" s="30">
        <v>-7.4131836562799994E-2</v>
      </c>
      <c r="I747" s="58">
        <v>0</v>
      </c>
      <c r="J747" s="58">
        <v>3.39398622866398E+18</v>
      </c>
    </row>
    <row r="748" spans="3:10">
      <c r="C748" s="29" t="b">
        <v>0</v>
      </c>
      <c r="D748" s="30" t="s">
        <v>79</v>
      </c>
      <c r="E748" s="137">
        <v>1</v>
      </c>
      <c r="F748" s="30" t="s">
        <v>66</v>
      </c>
      <c r="G748" s="30" t="s">
        <v>71</v>
      </c>
      <c r="H748" s="30">
        <v>-4.28350321103E-3</v>
      </c>
      <c r="I748" s="58">
        <v>0</v>
      </c>
      <c r="J748" s="58">
        <v>3.9065307287097498E+18</v>
      </c>
    </row>
    <row r="749" spans="3:10">
      <c r="C749" s="29" t="b">
        <v>0</v>
      </c>
      <c r="D749" s="30" t="s">
        <v>72</v>
      </c>
      <c r="E749" s="137">
        <v>1</v>
      </c>
      <c r="F749" s="30" t="s">
        <v>66</v>
      </c>
      <c r="G749" s="30" t="s">
        <v>71</v>
      </c>
      <c r="H749" s="30">
        <v>1.0085838262500001E-2</v>
      </c>
      <c r="I749" s="58">
        <v>0</v>
      </c>
      <c r="J749" s="58">
        <v>1.66112291643293E+19</v>
      </c>
    </row>
    <row r="750" spans="3:10">
      <c r="C750" s="29" t="b">
        <v>0</v>
      </c>
      <c r="D750" s="30" t="s">
        <v>80</v>
      </c>
      <c r="E750" s="137">
        <v>1</v>
      </c>
      <c r="F750" s="30" t="s">
        <v>66</v>
      </c>
      <c r="G750" s="30" t="s">
        <v>71</v>
      </c>
      <c r="H750" s="30">
        <v>-3.7429456203300002E-2</v>
      </c>
      <c r="I750" s="58">
        <v>0</v>
      </c>
      <c r="J750" s="58">
        <v>1.3197254136870899E+18</v>
      </c>
    </row>
    <row r="751" spans="3:10">
      <c r="C751" s="29" t="b">
        <v>0</v>
      </c>
      <c r="D751" s="30" t="s">
        <v>81</v>
      </c>
      <c r="E751" s="137">
        <v>1</v>
      </c>
      <c r="F751" s="30" t="s">
        <v>66</v>
      </c>
      <c r="G751" s="30" t="s">
        <v>71</v>
      </c>
      <c r="H751" s="30">
        <v>-2.15063507368E-2</v>
      </c>
      <c r="I751" s="58">
        <v>0</v>
      </c>
      <c r="J751" s="58">
        <v>1.7506741728899199E+19</v>
      </c>
    </row>
    <row r="752" spans="3:10">
      <c r="C752" s="29" t="b">
        <v>0</v>
      </c>
      <c r="D752" s="30" t="s">
        <v>82</v>
      </c>
      <c r="E752" s="137">
        <v>1</v>
      </c>
      <c r="F752" s="30" t="s">
        <v>66</v>
      </c>
      <c r="G752" s="30" t="s">
        <v>71</v>
      </c>
      <c r="H752" s="30">
        <v>1.0660727863199999E-3</v>
      </c>
      <c r="I752" s="58">
        <v>0</v>
      </c>
      <c r="J752" s="58">
        <v>2.10902447584112E+18</v>
      </c>
    </row>
    <row r="753" spans="3:10">
      <c r="C753" s="29" t="b">
        <v>0</v>
      </c>
      <c r="D753" s="30" t="s">
        <v>83</v>
      </c>
      <c r="E753" s="137">
        <v>1</v>
      </c>
      <c r="F753" s="30" t="s">
        <v>66</v>
      </c>
      <c r="G753" s="30" t="s">
        <v>71</v>
      </c>
      <c r="H753" s="30">
        <v>-7.0931898834100005E-2</v>
      </c>
      <c r="I753" s="58">
        <v>0</v>
      </c>
      <c r="J753" s="58">
        <v>1.93074659418496E+18</v>
      </c>
    </row>
    <row r="754" spans="3:10">
      <c r="C754" s="29" t="b">
        <v>0</v>
      </c>
      <c r="D754" s="30" t="s">
        <v>64</v>
      </c>
      <c r="E754" s="137">
        <v>1</v>
      </c>
      <c r="F754" s="30" t="s">
        <v>66</v>
      </c>
      <c r="G754" s="30" t="s">
        <v>71</v>
      </c>
      <c r="H754" s="30">
        <v>3.0032269497500002E-4</v>
      </c>
      <c r="I754" s="58">
        <v>0</v>
      </c>
      <c r="J754" s="58">
        <v>1.0175673622361E+19</v>
      </c>
    </row>
    <row r="755" spans="3:10">
      <c r="C755" s="29" t="b">
        <v>0</v>
      </c>
      <c r="D755" s="30" t="s">
        <v>69</v>
      </c>
      <c r="E755" s="137">
        <v>0</v>
      </c>
      <c r="F755" s="30" t="s">
        <v>66</v>
      </c>
      <c r="G755" s="30" t="s">
        <v>71</v>
      </c>
      <c r="H755" s="30">
        <v>-1.8393733949399999E-2</v>
      </c>
      <c r="I755" s="58">
        <v>0</v>
      </c>
      <c r="J755" s="58">
        <v>1.1254469616504799E+19</v>
      </c>
    </row>
    <row r="756" spans="3:10">
      <c r="C756" s="29" t="b">
        <v>0</v>
      </c>
      <c r="D756" s="30" t="s">
        <v>73</v>
      </c>
      <c r="E756" s="137">
        <v>0</v>
      </c>
      <c r="F756" s="30" t="s">
        <v>66</v>
      </c>
      <c r="G756" s="30" t="s">
        <v>71</v>
      </c>
      <c r="H756" s="30">
        <v>-1.4796893334399999E-2</v>
      </c>
      <c r="I756" s="58">
        <v>0</v>
      </c>
      <c r="J756" s="58">
        <v>4.1460600608444401E+18</v>
      </c>
    </row>
    <row r="757" spans="3:10">
      <c r="C757" s="29" t="b">
        <v>0</v>
      </c>
      <c r="D757" s="30" t="s">
        <v>74</v>
      </c>
      <c r="E757" s="137">
        <v>0</v>
      </c>
      <c r="F757" s="30" t="s">
        <v>66</v>
      </c>
      <c r="G757" s="30" t="s">
        <v>71</v>
      </c>
      <c r="H757" s="30">
        <v>-5.1895750916499998E-2</v>
      </c>
      <c r="I757" s="58">
        <v>0</v>
      </c>
      <c r="J757" s="58">
        <v>1.80013237974249E+19</v>
      </c>
    </row>
    <row r="758" spans="3:10">
      <c r="C758" s="29" t="b">
        <v>0</v>
      </c>
      <c r="D758" s="30" t="s">
        <v>75</v>
      </c>
      <c r="E758" s="137">
        <v>0</v>
      </c>
      <c r="F758" s="30" t="s">
        <v>66</v>
      </c>
      <c r="G758" s="30" t="s">
        <v>71</v>
      </c>
      <c r="H758" s="30">
        <v>-3.1429552088400002E-2</v>
      </c>
      <c r="I758" s="58">
        <v>0</v>
      </c>
      <c r="J758" s="58">
        <v>1.4560764691142101E+19</v>
      </c>
    </row>
    <row r="759" spans="3:10">
      <c r="C759" s="29" t="b">
        <v>0</v>
      </c>
      <c r="D759" s="30" t="s">
        <v>69</v>
      </c>
      <c r="E759" s="137">
        <v>17</v>
      </c>
      <c r="F759" s="30" t="s">
        <v>66</v>
      </c>
      <c r="G759" s="30" t="s">
        <v>67</v>
      </c>
      <c r="H759" s="30">
        <v>-4.1901165160600001E-3</v>
      </c>
      <c r="I759" s="58">
        <v>0</v>
      </c>
      <c r="J759" s="58">
        <v>5.2417363686442004E+18</v>
      </c>
    </row>
    <row r="760" spans="3:10">
      <c r="C760" s="29" t="b">
        <v>0</v>
      </c>
      <c r="D760" s="30" t="s">
        <v>74</v>
      </c>
      <c r="E760" s="137">
        <v>17</v>
      </c>
      <c r="F760" s="30" t="s">
        <v>66</v>
      </c>
      <c r="G760" s="30" t="s">
        <v>67</v>
      </c>
      <c r="H760" s="30">
        <v>7.3757273700500003E-2</v>
      </c>
      <c r="I760" s="58">
        <v>0</v>
      </c>
      <c r="J760" s="58">
        <v>5.2786855953888198E+17</v>
      </c>
    </row>
    <row r="761" spans="3:10">
      <c r="C761" s="29" t="b">
        <v>0</v>
      </c>
      <c r="D761" s="30" t="s">
        <v>69</v>
      </c>
      <c r="E761" s="137">
        <v>8</v>
      </c>
      <c r="F761" s="30" t="s">
        <v>66</v>
      </c>
      <c r="G761" s="30" t="s">
        <v>71</v>
      </c>
      <c r="H761" s="30">
        <v>-4.84351731185E-2</v>
      </c>
      <c r="I761" s="58">
        <v>0</v>
      </c>
      <c r="J761" s="58">
        <v>1.0041147923456899E+19</v>
      </c>
    </row>
    <row r="762" spans="3:10">
      <c r="C762" s="29" t="b">
        <v>0</v>
      </c>
      <c r="D762" s="30" t="s">
        <v>75</v>
      </c>
      <c r="E762" s="137">
        <v>17</v>
      </c>
      <c r="F762" s="30" t="s">
        <v>66</v>
      </c>
      <c r="G762" s="30" t="s">
        <v>67</v>
      </c>
      <c r="H762" s="30">
        <v>5.2437574042299004E-3</v>
      </c>
      <c r="I762" s="58">
        <v>0</v>
      </c>
      <c r="J762" s="58">
        <v>1.2780475570740199E+19</v>
      </c>
    </row>
    <row r="763" spans="3:10">
      <c r="C763" s="29" t="b">
        <v>0</v>
      </c>
      <c r="D763" s="30" t="s">
        <v>73</v>
      </c>
      <c r="E763" s="137">
        <v>15</v>
      </c>
      <c r="F763" s="30" t="s">
        <v>66</v>
      </c>
      <c r="G763" s="30" t="s">
        <v>67</v>
      </c>
      <c r="H763" s="30">
        <v>-4.4895100945299997E-3</v>
      </c>
      <c r="I763" s="58">
        <v>0</v>
      </c>
      <c r="J763" s="58">
        <v>1.4465048565222799E+19</v>
      </c>
    </row>
    <row r="764" spans="3:10">
      <c r="C764" s="29" t="b">
        <v>0</v>
      </c>
      <c r="D764" s="30" t="s">
        <v>74</v>
      </c>
      <c r="E764" s="137">
        <v>15</v>
      </c>
      <c r="F764" s="30" t="s">
        <v>66</v>
      </c>
      <c r="G764" s="30" t="s">
        <v>67</v>
      </c>
      <c r="H764" s="30">
        <v>4.71023070477E-2</v>
      </c>
      <c r="I764" s="58">
        <v>0</v>
      </c>
      <c r="J764" s="58">
        <v>1.4712163597780601E+19</v>
      </c>
    </row>
    <row r="765" spans="3:10">
      <c r="C765" s="29" t="b">
        <v>0</v>
      </c>
      <c r="D765" s="30" t="s">
        <v>75</v>
      </c>
      <c r="E765" s="137">
        <v>15</v>
      </c>
      <c r="F765" s="30" t="s">
        <v>66</v>
      </c>
      <c r="G765" s="30" t="s">
        <v>67</v>
      </c>
      <c r="H765" s="30">
        <v>1.1241283515799999E-2</v>
      </c>
      <c r="I765" s="58">
        <v>0</v>
      </c>
      <c r="J765" s="58">
        <v>1.03242546100363E+18</v>
      </c>
    </row>
    <row r="766" spans="3:10">
      <c r="C766" s="29" t="b">
        <v>0</v>
      </c>
      <c r="D766" s="30" t="s">
        <v>76</v>
      </c>
      <c r="E766" s="137">
        <v>15</v>
      </c>
      <c r="F766" s="30" t="s">
        <v>66</v>
      </c>
      <c r="G766" s="30" t="s">
        <v>67</v>
      </c>
      <c r="H766" s="30">
        <v>2.17020842832E-3</v>
      </c>
      <c r="I766" s="58">
        <v>0</v>
      </c>
      <c r="J766" s="58">
        <v>3.2633273868099E+18</v>
      </c>
    </row>
    <row r="767" spans="3:10">
      <c r="C767" s="29" t="b">
        <v>0</v>
      </c>
      <c r="D767" s="30" t="s">
        <v>77</v>
      </c>
      <c r="E767" s="137">
        <v>15</v>
      </c>
      <c r="F767" s="30" t="s">
        <v>66</v>
      </c>
      <c r="G767" s="30" t="s">
        <v>67</v>
      </c>
      <c r="H767" s="30">
        <v>2.5383209751500001E-2</v>
      </c>
      <c r="I767" s="58">
        <v>0</v>
      </c>
      <c r="J767" s="58">
        <v>1.3564344077124801E+19</v>
      </c>
    </row>
    <row r="768" spans="3:10">
      <c r="C768" s="29" t="b">
        <v>0</v>
      </c>
      <c r="D768" s="30" t="s">
        <v>78</v>
      </c>
      <c r="E768" s="137">
        <v>15</v>
      </c>
      <c r="F768" s="30" t="s">
        <v>66</v>
      </c>
      <c r="G768" s="30" t="s">
        <v>67</v>
      </c>
      <c r="H768" s="30">
        <v>-2.7466991959000001E-2</v>
      </c>
      <c r="I768" s="58">
        <v>0</v>
      </c>
      <c r="J768" s="58">
        <v>3.3218553320197801E+18</v>
      </c>
    </row>
    <row r="769" spans="3:10">
      <c r="C769" s="29" t="b">
        <v>0</v>
      </c>
      <c r="D769" s="30" t="s">
        <v>79</v>
      </c>
      <c r="E769" s="137">
        <v>15</v>
      </c>
      <c r="F769" s="30" t="s">
        <v>66</v>
      </c>
      <c r="G769" s="30" t="s">
        <v>67</v>
      </c>
      <c r="H769" s="30">
        <v>1.00518294106E-2</v>
      </c>
      <c r="I769" s="58">
        <v>0</v>
      </c>
      <c r="J769" s="58">
        <v>1.3093299286033299E+19</v>
      </c>
    </row>
    <row r="770" spans="3:10">
      <c r="C770" s="29" t="b">
        <v>0</v>
      </c>
      <c r="D770" s="30" t="s">
        <v>72</v>
      </c>
      <c r="E770" s="137">
        <v>15</v>
      </c>
      <c r="F770" s="30" t="s">
        <v>66</v>
      </c>
      <c r="G770" s="30" t="s">
        <v>67</v>
      </c>
      <c r="H770" s="30">
        <v>-1.95068625872E-2</v>
      </c>
      <c r="I770" s="58">
        <v>0</v>
      </c>
      <c r="J770" s="58">
        <v>9.6049962919068508E+18</v>
      </c>
    </row>
    <row r="771" spans="3:10">
      <c r="C771" s="29" t="b">
        <v>0</v>
      </c>
      <c r="D771" s="30" t="s">
        <v>80</v>
      </c>
      <c r="E771" s="137">
        <v>15</v>
      </c>
      <c r="F771" s="30" t="s">
        <v>66</v>
      </c>
      <c r="G771" s="30" t="s">
        <v>67</v>
      </c>
      <c r="H771" s="30">
        <v>-3.2512333508000001E-2</v>
      </c>
      <c r="I771" s="58">
        <v>0</v>
      </c>
      <c r="J771" s="58">
        <v>1.7857317560519299E+19</v>
      </c>
    </row>
    <row r="772" spans="3:10">
      <c r="C772" s="29" t="b">
        <v>0</v>
      </c>
      <c r="D772" s="30" t="s">
        <v>81</v>
      </c>
      <c r="E772" s="137">
        <v>15</v>
      </c>
      <c r="F772" s="30" t="s">
        <v>66</v>
      </c>
      <c r="G772" s="30" t="s">
        <v>67</v>
      </c>
      <c r="H772" s="30">
        <v>-2.23767538583E-2</v>
      </c>
      <c r="I772" s="58">
        <v>0</v>
      </c>
      <c r="J772" s="58">
        <v>3.29191486190432E+17</v>
      </c>
    </row>
    <row r="773" spans="3:10">
      <c r="C773" s="29" t="b">
        <v>0</v>
      </c>
      <c r="D773" s="30" t="s">
        <v>82</v>
      </c>
      <c r="E773" s="137">
        <v>15</v>
      </c>
      <c r="F773" s="30" t="s">
        <v>66</v>
      </c>
      <c r="G773" s="30" t="s">
        <v>67</v>
      </c>
      <c r="H773" s="30">
        <v>2.4733648070599999E-2</v>
      </c>
      <c r="I773" s="58">
        <v>0</v>
      </c>
      <c r="J773" s="58">
        <v>1.42185615482943E+18</v>
      </c>
    </row>
    <row r="774" spans="3:10">
      <c r="C774" s="29" t="b">
        <v>0</v>
      </c>
      <c r="D774" s="30" t="s">
        <v>83</v>
      </c>
      <c r="E774" s="137">
        <v>15</v>
      </c>
      <c r="F774" s="30" t="s">
        <v>66</v>
      </c>
      <c r="G774" s="30" t="s">
        <v>67</v>
      </c>
      <c r="H774" s="30">
        <v>1.25941591083E-2</v>
      </c>
      <c r="I774" s="58">
        <v>0</v>
      </c>
      <c r="J774" s="58">
        <v>3.7834477021721001E+18</v>
      </c>
    </row>
    <row r="775" spans="3:10">
      <c r="C775" s="29" t="b">
        <v>0</v>
      </c>
      <c r="D775" s="30" t="s">
        <v>64</v>
      </c>
      <c r="E775" s="137">
        <v>15</v>
      </c>
      <c r="F775" s="30" t="s">
        <v>66</v>
      </c>
      <c r="G775" s="30" t="s">
        <v>67</v>
      </c>
      <c r="H775" s="30">
        <v>-1.9636632338000001E-2</v>
      </c>
      <c r="I775" s="58">
        <v>0</v>
      </c>
      <c r="J775" s="58">
        <v>8.8343325328707302E+17</v>
      </c>
    </row>
    <row r="776" spans="3:10">
      <c r="C776" s="29" t="b">
        <v>0</v>
      </c>
      <c r="D776" s="30" t="s">
        <v>76</v>
      </c>
      <c r="E776" s="137">
        <v>1</v>
      </c>
      <c r="F776" s="30" t="s">
        <v>66</v>
      </c>
      <c r="G776" s="30" t="s">
        <v>71</v>
      </c>
      <c r="H776" s="30">
        <v>-2.7914575721399999E-2</v>
      </c>
      <c r="I776" s="58">
        <v>0</v>
      </c>
      <c r="J776" s="58">
        <v>7.1265912820037396E+18</v>
      </c>
    </row>
    <row r="777" spans="3:10">
      <c r="C777" s="29" t="b">
        <v>0</v>
      </c>
      <c r="D777" s="30" t="s">
        <v>75</v>
      </c>
      <c r="E777" s="137">
        <v>1</v>
      </c>
      <c r="F777" s="30" t="s">
        <v>66</v>
      </c>
      <c r="G777" s="30" t="s">
        <v>71</v>
      </c>
      <c r="H777" s="30">
        <v>-3.8732451070900002E-2</v>
      </c>
      <c r="I777" s="58">
        <v>0</v>
      </c>
      <c r="J777" s="58">
        <v>1.5657043497786499E+19</v>
      </c>
    </row>
    <row r="778" spans="3:10">
      <c r="C778" s="29" t="b">
        <v>0</v>
      </c>
      <c r="D778" s="30" t="s">
        <v>74</v>
      </c>
      <c r="E778" s="137">
        <v>1</v>
      </c>
      <c r="F778" s="30" t="s">
        <v>66</v>
      </c>
      <c r="G778" s="30" t="s">
        <v>71</v>
      </c>
      <c r="H778" s="30">
        <v>-5.8919506128800002E-2</v>
      </c>
      <c r="I778" s="58">
        <v>0</v>
      </c>
      <c r="J778" s="58">
        <v>4.4715254706903199E+18</v>
      </c>
    </row>
    <row r="779" spans="3:10">
      <c r="C779" s="29" t="b">
        <v>0</v>
      </c>
      <c r="D779" s="30" t="s">
        <v>73</v>
      </c>
      <c r="E779" s="137">
        <v>1</v>
      </c>
      <c r="F779" s="30" t="s">
        <v>66</v>
      </c>
      <c r="G779" s="30" t="s">
        <v>71</v>
      </c>
      <c r="H779" s="30">
        <v>-2.59042246248E-2</v>
      </c>
      <c r="I779" s="58">
        <v>0</v>
      </c>
      <c r="J779" s="58">
        <v>9.8975766476109804E+18</v>
      </c>
    </row>
    <row r="780" spans="3:10">
      <c r="C780" s="29" t="b">
        <v>0</v>
      </c>
      <c r="D780" s="30" t="s">
        <v>78</v>
      </c>
      <c r="E780" s="137">
        <v>0</v>
      </c>
      <c r="F780" s="30" t="s">
        <v>66</v>
      </c>
      <c r="G780" s="30" t="s">
        <v>67</v>
      </c>
      <c r="H780" s="30">
        <v>-4.3021496865099998E-2</v>
      </c>
      <c r="I780" s="58">
        <v>0</v>
      </c>
      <c r="J780" s="58">
        <v>6.6609166793302098E+18</v>
      </c>
    </row>
    <row r="781" spans="3:10">
      <c r="C781" s="29" t="b">
        <v>0</v>
      </c>
      <c r="D781" s="30" t="s">
        <v>72</v>
      </c>
      <c r="E781" s="137">
        <v>0</v>
      </c>
      <c r="F781" s="30" t="s">
        <v>66</v>
      </c>
      <c r="G781" s="30" t="s">
        <v>71</v>
      </c>
      <c r="H781" s="30">
        <v>4.3152067379599998E-3</v>
      </c>
      <c r="I781" s="58">
        <v>0</v>
      </c>
      <c r="J781" s="58">
        <v>1.19829096857815E+19</v>
      </c>
    </row>
    <row r="782" spans="3:10">
      <c r="C782" s="29" t="b">
        <v>0</v>
      </c>
      <c r="D782" s="30" t="s">
        <v>80</v>
      </c>
      <c r="E782" s="137">
        <v>0</v>
      </c>
      <c r="F782" s="30" t="s">
        <v>66</v>
      </c>
      <c r="G782" s="30" t="s">
        <v>71</v>
      </c>
      <c r="H782" s="30">
        <v>-4.5956186019900001E-2</v>
      </c>
      <c r="I782" s="58">
        <v>0</v>
      </c>
      <c r="J782" s="58">
        <v>1.21873592696395E+19</v>
      </c>
    </row>
    <row r="783" spans="3:10">
      <c r="C783" s="29" t="b">
        <v>0</v>
      </c>
      <c r="D783" s="30" t="s">
        <v>81</v>
      </c>
      <c r="E783" s="137">
        <v>0</v>
      </c>
      <c r="F783" s="30" t="s">
        <v>66</v>
      </c>
      <c r="G783" s="30" t="s">
        <v>71</v>
      </c>
      <c r="H783" s="30">
        <v>-2.1160150056600002E-2</v>
      </c>
      <c r="I783" s="58">
        <v>0</v>
      </c>
      <c r="J783" s="58">
        <v>1.4472490455129899E+19</v>
      </c>
    </row>
    <row r="784" spans="3:10">
      <c r="C784" s="29" t="b">
        <v>0</v>
      </c>
      <c r="D784" s="30" t="s">
        <v>82</v>
      </c>
      <c r="E784" s="137">
        <v>0</v>
      </c>
      <c r="F784" s="30" t="s">
        <v>66</v>
      </c>
      <c r="G784" s="30" t="s">
        <v>71</v>
      </c>
      <c r="H784" s="30">
        <v>6.14232810141E-3</v>
      </c>
      <c r="I784" s="58">
        <v>0</v>
      </c>
      <c r="J784" s="58">
        <v>2.4255233553473198E+18</v>
      </c>
    </row>
    <row r="785" spans="3:10">
      <c r="C785" s="29" t="b">
        <v>0</v>
      </c>
      <c r="D785" s="30" t="s">
        <v>83</v>
      </c>
      <c r="E785" s="137">
        <v>0</v>
      </c>
      <c r="F785" s="30" t="s">
        <v>66</v>
      </c>
      <c r="G785" s="30" t="s">
        <v>71</v>
      </c>
      <c r="H785" s="30">
        <v>-5.7705508507799999E-2</v>
      </c>
      <c r="I785" s="58">
        <v>0</v>
      </c>
      <c r="J785" s="58">
        <v>6.1303277111925299E+18</v>
      </c>
    </row>
    <row r="786" spans="3:10">
      <c r="C786" s="29" t="b">
        <v>0</v>
      </c>
      <c r="D786" s="30" t="s">
        <v>83</v>
      </c>
      <c r="E786" s="137">
        <v>0</v>
      </c>
      <c r="F786" s="30" t="s">
        <v>66</v>
      </c>
      <c r="G786" s="30" t="s">
        <v>67</v>
      </c>
      <c r="H786" s="30">
        <v>-4.0937102695999997E-2</v>
      </c>
      <c r="I786" s="58">
        <v>0</v>
      </c>
      <c r="J786" s="58">
        <v>1.5337478363974699E+19</v>
      </c>
    </row>
    <row r="787" spans="3:10">
      <c r="C787" s="29" t="b">
        <v>0</v>
      </c>
      <c r="D787" s="30" t="s">
        <v>69</v>
      </c>
      <c r="E787" s="137">
        <v>18</v>
      </c>
      <c r="F787" s="30" t="s">
        <v>66</v>
      </c>
      <c r="G787" s="30" t="s">
        <v>67</v>
      </c>
      <c r="H787" s="30">
        <v>-1.2163495715E-2</v>
      </c>
      <c r="I787" s="58">
        <v>0</v>
      </c>
      <c r="J787" s="58">
        <v>8.42783219328418E+18</v>
      </c>
    </row>
    <row r="788" spans="3:10">
      <c r="C788" s="29" t="b">
        <v>0</v>
      </c>
      <c r="D788" s="30" t="s">
        <v>73</v>
      </c>
      <c r="E788" s="137">
        <v>18</v>
      </c>
      <c r="F788" s="30" t="s">
        <v>66</v>
      </c>
      <c r="G788" s="30" t="s">
        <v>67</v>
      </c>
      <c r="H788" s="30">
        <v>4.3837206407099996E-3</v>
      </c>
      <c r="I788" s="58">
        <v>0</v>
      </c>
      <c r="J788" s="58">
        <v>9.6526133127656202E+18</v>
      </c>
    </row>
    <row r="789" spans="3:10">
      <c r="C789" s="29" t="b">
        <v>0</v>
      </c>
      <c r="D789" s="30" t="s">
        <v>74</v>
      </c>
      <c r="E789" s="137">
        <v>18</v>
      </c>
      <c r="F789" s="30" t="s">
        <v>66</v>
      </c>
      <c r="G789" s="30" t="s">
        <v>67</v>
      </c>
      <c r="H789" s="30">
        <v>9.0519855890799999E-2</v>
      </c>
      <c r="I789" s="58">
        <v>0</v>
      </c>
      <c r="J789" s="58">
        <v>1.0874178091787901E+19</v>
      </c>
    </row>
    <row r="790" spans="3:10">
      <c r="C790" s="29" t="b">
        <v>0</v>
      </c>
      <c r="D790" s="30" t="s">
        <v>79</v>
      </c>
      <c r="E790" s="137">
        <v>0</v>
      </c>
      <c r="F790" s="30" t="s">
        <v>66</v>
      </c>
      <c r="G790" s="30" t="s">
        <v>71</v>
      </c>
      <c r="H790" s="30">
        <v>2.1449556770399999E-2</v>
      </c>
      <c r="I790" s="58">
        <v>0</v>
      </c>
      <c r="J790" s="58">
        <v>2.3600341842179502E+18</v>
      </c>
    </row>
    <row r="791" spans="3:10">
      <c r="C791" s="29" t="b">
        <v>0</v>
      </c>
      <c r="D791" s="30" t="s">
        <v>75</v>
      </c>
      <c r="E791" s="137">
        <v>18</v>
      </c>
      <c r="F791" s="30" t="s">
        <v>66</v>
      </c>
      <c r="G791" s="30" t="s">
        <v>67</v>
      </c>
      <c r="H791" s="30">
        <v>-3.2507589022699999E-3</v>
      </c>
      <c r="I791" s="58">
        <v>0</v>
      </c>
      <c r="J791" s="58">
        <v>7.2453965334321203E+18</v>
      </c>
    </row>
    <row r="792" spans="3:10">
      <c r="C792" s="29" t="b">
        <v>0</v>
      </c>
      <c r="D792" s="30" t="s">
        <v>77</v>
      </c>
      <c r="E792" s="137">
        <v>18</v>
      </c>
      <c r="F792" s="30" t="s">
        <v>66</v>
      </c>
      <c r="G792" s="30" t="s">
        <v>67</v>
      </c>
      <c r="H792" s="30">
        <v>1.4358246517299901E-2</v>
      </c>
      <c r="I792" s="58">
        <v>0</v>
      </c>
      <c r="J792" s="58">
        <v>8.3782818011110103E+18</v>
      </c>
    </row>
    <row r="793" spans="3:10">
      <c r="C793" s="29" t="b">
        <v>0</v>
      </c>
      <c r="D793" s="30" t="s">
        <v>78</v>
      </c>
      <c r="E793" s="137">
        <v>18</v>
      </c>
      <c r="F793" s="30" t="s">
        <v>66</v>
      </c>
      <c r="G793" s="30" t="s">
        <v>67</v>
      </c>
      <c r="H793" s="30">
        <v>-3.7438982644699997E-2</v>
      </c>
      <c r="I793" s="58">
        <v>0</v>
      </c>
      <c r="J793" s="58">
        <v>4.9901807016392704E+18</v>
      </c>
    </row>
    <row r="794" spans="3:10">
      <c r="C794" s="29" t="b">
        <v>0</v>
      </c>
      <c r="D794" s="30" t="s">
        <v>79</v>
      </c>
      <c r="E794" s="137">
        <v>18</v>
      </c>
      <c r="F794" s="30" t="s">
        <v>66</v>
      </c>
      <c r="G794" s="30" t="s">
        <v>67</v>
      </c>
      <c r="H794" s="30">
        <v>1.22480941706E-2</v>
      </c>
      <c r="I794" s="58">
        <v>0</v>
      </c>
      <c r="J794" s="58">
        <v>4.8436066587209298E+18</v>
      </c>
    </row>
    <row r="795" spans="3:10">
      <c r="C795" s="29" t="b">
        <v>0</v>
      </c>
      <c r="D795" s="30" t="s">
        <v>72</v>
      </c>
      <c r="E795" s="137">
        <v>18</v>
      </c>
      <c r="F795" s="30" t="s">
        <v>66</v>
      </c>
      <c r="G795" s="30" t="s">
        <v>67</v>
      </c>
      <c r="H795" s="30">
        <v>2.2501330767700001E-2</v>
      </c>
      <c r="I795" s="58">
        <v>0</v>
      </c>
      <c r="J795" s="58">
        <v>7.0165301687815404E+18</v>
      </c>
    </row>
    <row r="796" spans="3:10">
      <c r="C796" s="29" t="b">
        <v>0</v>
      </c>
      <c r="D796" s="30" t="s">
        <v>80</v>
      </c>
      <c r="E796" s="137">
        <v>18</v>
      </c>
      <c r="F796" s="30" t="s">
        <v>66</v>
      </c>
      <c r="G796" s="30" t="s">
        <v>67</v>
      </c>
      <c r="H796" s="30">
        <v>-4.5560288536399998E-2</v>
      </c>
      <c r="I796" s="58">
        <v>0</v>
      </c>
      <c r="J796" s="58">
        <v>1.79093249656337E+19</v>
      </c>
    </row>
    <row r="797" spans="3:10">
      <c r="C797" s="29" t="b">
        <v>0</v>
      </c>
      <c r="D797" s="30" t="s">
        <v>81</v>
      </c>
      <c r="E797" s="137">
        <v>18</v>
      </c>
      <c r="F797" s="30" t="s">
        <v>66</v>
      </c>
      <c r="G797" s="30" t="s">
        <v>67</v>
      </c>
      <c r="H797" s="30">
        <v>-2.3401578796200001E-2</v>
      </c>
      <c r="I797" s="58">
        <v>0</v>
      </c>
      <c r="J797" s="58">
        <v>8.0189742052985702E+18</v>
      </c>
    </row>
    <row r="798" spans="3:10">
      <c r="C798" s="29" t="b">
        <v>0</v>
      </c>
      <c r="D798" s="30" t="s">
        <v>82</v>
      </c>
      <c r="E798" s="137">
        <v>18</v>
      </c>
      <c r="F798" s="30" t="s">
        <v>66</v>
      </c>
      <c r="G798" s="30" t="s">
        <v>67</v>
      </c>
      <c r="H798" s="30">
        <v>1.5343379465400001E-2</v>
      </c>
      <c r="I798" s="58">
        <v>0</v>
      </c>
      <c r="J798" s="58">
        <v>1.66262419559663E+19</v>
      </c>
    </row>
    <row r="799" spans="3:10">
      <c r="C799" s="29" t="b">
        <v>0</v>
      </c>
      <c r="D799" s="30" t="s">
        <v>83</v>
      </c>
      <c r="E799" s="137">
        <v>18</v>
      </c>
      <c r="F799" s="30" t="s">
        <v>66</v>
      </c>
      <c r="G799" s="30" t="s">
        <v>67</v>
      </c>
      <c r="H799" s="30">
        <v>-1.53369260139E-3</v>
      </c>
      <c r="I799" s="58">
        <v>0</v>
      </c>
      <c r="J799" s="58">
        <v>1.70917649381005E+19</v>
      </c>
    </row>
    <row r="800" spans="3:10">
      <c r="C800" s="29" t="b">
        <v>0</v>
      </c>
      <c r="D800" s="30" t="s">
        <v>64</v>
      </c>
      <c r="E800" s="137">
        <v>18</v>
      </c>
      <c r="F800" s="30" t="s">
        <v>66</v>
      </c>
      <c r="G800" s="30" t="s">
        <v>67</v>
      </c>
      <c r="H800" s="30">
        <v>-3.4967425376500002E-3</v>
      </c>
      <c r="I800" s="58">
        <v>0</v>
      </c>
      <c r="J800" s="58">
        <v>9.2789286250617795E+18</v>
      </c>
    </row>
    <row r="801" spans="3:10">
      <c r="C801" s="29" t="b">
        <v>0</v>
      </c>
      <c r="D801" s="30" t="s">
        <v>76</v>
      </c>
      <c r="E801" s="137">
        <v>18</v>
      </c>
      <c r="F801" s="30" t="s">
        <v>66</v>
      </c>
      <c r="G801" s="30" t="s">
        <v>67</v>
      </c>
      <c r="H801" s="30">
        <v>-6.4331639827689996E-4</v>
      </c>
      <c r="I801" s="58">
        <v>0</v>
      </c>
      <c r="J801" s="58">
        <v>6.5423300132764498E+18</v>
      </c>
    </row>
    <row r="802" spans="3:10">
      <c r="C802" s="29" t="b">
        <v>0</v>
      </c>
      <c r="D802" s="30" t="s">
        <v>78</v>
      </c>
      <c r="E802" s="137">
        <v>0</v>
      </c>
      <c r="F802" s="30" t="s">
        <v>66</v>
      </c>
      <c r="G802" s="30" t="s">
        <v>71</v>
      </c>
      <c r="H802" s="30">
        <v>-6.3537439060899994E-2</v>
      </c>
      <c r="I802" s="58">
        <v>0</v>
      </c>
      <c r="J802" s="58">
        <v>1.7095410319245699E+19</v>
      </c>
    </row>
    <row r="803" spans="3:10">
      <c r="C803" s="29" t="b">
        <v>0</v>
      </c>
      <c r="D803" s="30" t="s">
        <v>77</v>
      </c>
      <c r="E803" s="137">
        <v>0</v>
      </c>
      <c r="F803" s="30" t="s">
        <v>66</v>
      </c>
      <c r="G803" s="30" t="s">
        <v>71</v>
      </c>
      <c r="H803" s="30">
        <v>-1.54603315311E-2</v>
      </c>
      <c r="I803" s="58">
        <v>0</v>
      </c>
      <c r="J803" s="58">
        <v>1.7953807680863101E+19</v>
      </c>
    </row>
    <row r="804" spans="3:10">
      <c r="C804" s="29" t="b">
        <v>0</v>
      </c>
      <c r="D804" s="30" t="s">
        <v>76</v>
      </c>
      <c r="E804" s="137">
        <v>0</v>
      </c>
      <c r="F804" s="30" t="s">
        <v>66</v>
      </c>
      <c r="G804" s="30" t="s">
        <v>71</v>
      </c>
      <c r="H804" s="30">
        <v>-2.8992576555599999E-2</v>
      </c>
      <c r="I804" s="58">
        <v>0</v>
      </c>
      <c r="J804" s="58">
        <v>1.1563443841634601E+19</v>
      </c>
    </row>
    <row r="805" spans="3:10">
      <c r="C805" s="29" t="b">
        <v>0</v>
      </c>
      <c r="D805" s="30" t="s">
        <v>82</v>
      </c>
      <c r="E805" s="137">
        <v>2</v>
      </c>
      <c r="F805" s="30" t="s">
        <v>66</v>
      </c>
      <c r="G805" s="30" t="s">
        <v>71</v>
      </c>
      <c r="H805" s="30">
        <v>1.95906789676E-2</v>
      </c>
      <c r="I805" s="58">
        <v>0</v>
      </c>
      <c r="J805" s="58">
        <v>4.8535344197878003E+17</v>
      </c>
    </row>
    <row r="806" spans="3:10">
      <c r="C806" s="29" t="b">
        <v>0</v>
      </c>
      <c r="D806" s="30" t="s">
        <v>83</v>
      </c>
      <c r="E806" s="137">
        <v>2</v>
      </c>
      <c r="F806" s="30" t="s">
        <v>66</v>
      </c>
      <c r="G806" s="30" t="s">
        <v>71</v>
      </c>
      <c r="H806" s="30">
        <v>-5.2212934781600003E-2</v>
      </c>
      <c r="I806" s="58">
        <v>0</v>
      </c>
      <c r="J806" s="58">
        <v>1.06552293190963E+19</v>
      </c>
    </row>
    <row r="807" spans="3:10">
      <c r="C807" s="29" t="b">
        <v>0</v>
      </c>
      <c r="D807" s="30" t="s">
        <v>64</v>
      </c>
      <c r="E807" s="137">
        <v>2</v>
      </c>
      <c r="F807" s="30" t="s">
        <v>66</v>
      </c>
      <c r="G807" s="30" t="s">
        <v>71</v>
      </c>
      <c r="H807" s="30">
        <v>3.3219554326999898E-2</v>
      </c>
      <c r="I807" s="58">
        <v>0</v>
      </c>
      <c r="J807" s="58">
        <v>1.3795958484668701E+19</v>
      </c>
    </row>
    <row r="808" spans="3:10">
      <c r="C808" s="29" t="b">
        <v>0</v>
      </c>
      <c r="D808" s="30" t="s">
        <v>69</v>
      </c>
      <c r="E808" s="137">
        <v>1</v>
      </c>
      <c r="F808" s="30" t="s">
        <v>66</v>
      </c>
      <c r="G808" s="30" t="s">
        <v>71</v>
      </c>
      <c r="H808" s="30">
        <v>-2.5184002269899999E-2</v>
      </c>
      <c r="I808" s="58">
        <v>0</v>
      </c>
      <c r="J808" s="58">
        <v>1.7193652856306201E+19</v>
      </c>
    </row>
    <row r="809" spans="3:10">
      <c r="C809" s="29" t="b">
        <v>0</v>
      </c>
      <c r="D809" s="30" t="s">
        <v>69</v>
      </c>
      <c r="E809" s="137">
        <v>14</v>
      </c>
      <c r="F809" s="30" t="s">
        <v>66</v>
      </c>
      <c r="G809" s="30" t="s">
        <v>67</v>
      </c>
      <c r="H809" s="30">
        <v>-5.7012352187499997E-3</v>
      </c>
      <c r="I809" s="58">
        <v>0</v>
      </c>
      <c r="J809" s="58">
        <v>3.9565979224359501E+18</v>
      </c>
    </row>
    <row r="810" spans="3:10">
      <c r="C810" s="29" t="b">
        <v>0</v>
      </c>
      <c r="D810" s="30" t="s">
        <v>73</v>
      </c>
      <c r="E810" s="137">
        <v>14</v>
      </c>
      <c r="F810" s="30" t="s">
        <v>66</v>
      </c>
      <c r="G810" s="30" t="s">
        <v>67</v>
      </c>
      <c r="H810" s="30">
        <v>-3.3179533740099998E-3</v>
      </c>
      <c r="I810" s="58">
        <v>0</v>
      </c>
      <c r="J810" s="58">
        <v>3.03685214141807E+18</v>
      </c>
    </row>
    <row r="811" spans="3:10">
      <c r="C811" s="29" t="b">
        <v>0</v>
      </c>
      <c r="D811" s="30" t="s">
        <v>74</v>
      </c>
      <c r="E811" s="137">
        <v>14</v>
      </c>
      <c r="F811" s="30" t="s">
        <v>66</v>
      </c>
      <c r="G811" s="30" t="s">
        <v>67</v>
      </c>
      <c r="H811" s="30">
        <v>5.0132738157900002E-2</v>
      </c>
      <c r="I811" s="58">
        <v>0</v>
      </c>
      <c r="J811" s="58">
        <v>8.4840590709770004E+18</v>
      </c>
    </row>
    <row r="812" spans="3:10">
      <c r="C812" s="29" t="b">
        <v>0</v>
      </c>
      <c r="D812" s="30" t="s">
        <v>79</v>
      </c>
      <c r="E812" s="137">
        <v>2</v>
      </c>
      <c r="F812" s="30" t="s">
        <v>66</v>
      </c>
      <c r="G812" s="30" t="s">
        <v>71</v>
      </c>
      <c r="H812" s="30">
        <v>-2.2924448743300001E-2</v>
      </c>
      <c r="I812" s="58">
        <v>0</v>
      </c>
      <c r="J812" s="58">
        <v>2.9189908774832302E+18</v>
      </c>
    </row>
    <row r="813" spans="3:10">
      <c r="C813" s="29" t="b">
        <v>0</v>
      </c>
      <c r="D813" s="30" t="s">
        <v>79</v>
      </c>
      <c r="E813" s="137">
        <v>7</v>
      </c>
      <c r="F813" s="30" t="s">
        <v>66</v>
      </c>
      <c r="G813" s="30" t="s">
        <v>71</v>
      </c>
      <c r="H813" s="30">
        <v>-1.98747030483E-2</v>
      </c>
      <c r="I813" s="58">
        <v>0</v>
      </c>
      <c r="J813" s="58">
        <v>5.7677707419653898E+18</v>
      </c>
    </row>
    <row r="814" spans="3:10">
      <c r="C814" s="29" t="b">
        <v>0</v>
      </c>
      <c r="D814" s="30" t="s">
        <v>72</v>
      </c>
      <c r="E814" s="137">
        <v>7</v>
      </c>
      <c r="F814" s="30" t="s">
        <v>66</v>
      </c>
      <c r="G814" s="30" t="s">
        <v>71</v>
      </c>
      <c r="H814" s="30">
        <v>-4.23492412146E-2</v>
      </c>
      <c r="I814" s="58">
        <v>0</v>
      </c>
      <c r="J814" s="58">
        <v>3.24162024349888E+18</v>
      </c>
    </row>
    <row r="815" spans="3:10">
      <c r="C815" s="29" t="b">
        <v>0</v>
      </c>
      <c r="D815" s="30" t="s">
        <v>80</v>
      </c>
      <c r="E815" s="137">
        <v>7</v>
      </c>
      <c r="F815" s="30" t="s">
        <v>66</v>
      </c>
      <c r="G815" s="30" t="s">
        <v>71</v>
      </c>
      <c r="H815" s="30">
        <v>-0.10822232829099999</v>
      </c>
      <c r="I815" s="58">
        <v>0</v>
      </c>
      <c r="J815" s="58">
        <v>5.8148380634202304E+17</v>
      </c>
    </row>
    <row r="816" spans="3:10">
      <c r="C816" s="29" t="b">
        <v>0</v>
      </c>
      <c r="D816" s="30" t="s">
        <v>81</v>
      </c>
      <c r="E816" s="137">
        <v>7</v>
      </c>
      <c r="F816" s="30" t="s">
        <v>66</v>
      </c>
      <c r="G816" s="30" t="s">
        <v>71</v>
      </c>
      <c r="H816" s="30">
        <v>4.1474959955899997E-2</v>
      </c>
      <c r="I816" s="58">
        <v>0</v>
      </c>
      <c r="J816" s="58">
        <v>2.4364589386927201E+18</v>
      </c>
    </row>
    <row r="817" spans="3:10">
      <c r="C817" s="29" t="b">
        <v>0</v>
      </c>
      <c r="D817" s="30" t="s">
        <v>82</v>
      </c>
      <c r="E817" s="137">
        <v>7</v>
      </c>
      <c r="F817" s="30" t="s">
        <v>66</v>
      </c>
      <c r="G817" s="30" t="s">
        <v>71</v>
      </c>
      <c r="H817" s="30">
        <v>-7.8111717940899994E-2</v>
      </c>
      <c r="I817" s="58">
        <v>0</v>
      </c>
      <c r="J817" s="58">
        <v>1.01664749424141E+19</v>
      </c>
    </row>
    <row r="818" spans="3:10">
      <c r="C818" s="29" t="b">
        <v>0</v>
      </c>
      <c r="D818" s="30" t="s">
        <v>83</v>
      </c>
      <c r="E818" s="137">
        <v>7</v>
      </c>
      <c r="F818" s="30" t="s">
        <v>66</v>
      </c>
      <c r="G818" s="30" t="s">
        <v>71</v>
      </c>
      <c r="H818" s="30">
        <v>6.5644420198599895E-2</v>
      </c>
      <c r="I818" s="58">
        <v>0</v>
      </c>
      <c r="J818" s="58">
        <v>5.3350029915914701E+18</v>
      </c>
    </row>
    <row r="819" spans="3:10">
      <c r="C819" s="29" t="b">
        <v>0</v>
      </c>
      <c r="D819" s="30" t="s">
        <v>64</v>
      </c>
      <c r="E819" s="137">
        <v>7</v>
      </c>
      <c r="F819" s="30" t="s">
        <v>66</v>
      </c>
      <c r="G819" s="30" t="s">
        <v>71</v>
      </c>
      <c r="H819" s="30">
        <v>2.5388883034100002E-2</v>
      </c>
      <c r="I819" s="58">
        <v>0</v>
      </c>
      <c r="J819" s="58">
        <v>9.1728461014376899E+18</v>
      </c>
    </row>
    <row r="820" spans="3:10">
      <c r="C820" s="29" t="b">
        <v>0</v>
      </c>
      <c r="D820" s="30" t="s">
        <v>69</v>
      </c>
      <c r="E820" s="137">
        <v>6</v>
      </c>
      <c r="F820" s="30" t="s">
        <v>66</v>
      </c>
      <c r="G820" s="30" t="s">
        <v>71</v>
      </c>
      <c r="H820" s="30">
        <v>5.72220144131999E-2</v>
      </c>
      <c r="I820" s="58">
        <v>0</v>
      </c>
      <c r="J820" s="58">
        <v>1.9243611836765901E+17</v>
      </c>
    </row>
    <row r="821" spans="3:10">
      <c r="C821" s="29" t="b">
        <v>0</v>
      </c>
      <c r="D821" s="30" t="s">
        <v>73</v>
      </c>
      <c r="E821" s="137">
        <v>6</v>
      </c>
      <c r="F821" s="30" t="s">
        <v>66</v>
      </c>
      <c r="G821" s="30" t="s">
        <v>71</v>
      </c>
      <c r="H821" s="30">
        <v>1.49150459614E-2</v>
      </c>
      <c r="I821" s="58">
        <v>0</v>
      </c>
      <c r="J821" s="58">
        <v>5.9364667276033198E+18</v>
      </c>
    </row>
    <row r="822" spans="3:10">
      <c r="C822" s="29" t="b">
        <v>0</v>
      </c>
      <c r="D822" s="30" t="s">
        <v>74</v>
      </c>
      <c r="E822" s="137">
        <v>6</v>
      </c>
      <c r="F822" s="30" t="s">
        <v>66</v>
      </c>
      <c r="G822" s="30" t="s">
        <v>71</v>
      </c>
      <c r="H822" s="30">
        <v>5.39885565071999E-2</v>
      </c>
      <c r="I822" s="58">
        <v>0</v>
      </c>
      <c r="J822" s="58">
        <v>1.72798704452545E+19</v>
      </c>
    </row>
    <row r="823" spans="3:10">
      <c r="C823" s="29" t="b">
        <v>0</v>
      </c>
      <c r="D823" s="30" t="s">
        <v>75</v>
      </c>
      <c r="E823" s="137">
        <v>6</v>
      </c>
      <c r="F823" s="30" t="s">
        <v>66</v>
      </c>
      <c r="G823" s="30" t="s">
        <v>71</v>
      </c>
      <c r="H823" s="30">
        <v>6.2082381352099999E-3</v>
      </c>
      <c r="I823" s="58">
        <v>0</v>
      </c>
      <c r="J823" s="58">
        <v>1.54724000716812E+19</v>
      </c>
    </row>
    <row r="824" spans="3:10">
      <c r="C824" s="29" t="b">
        <v>0</v>
      </c>
      <c r="D824" s="30" t="s">
        <v>76</v>
      </c>
      <c r="E824" s="137">
        <v>6</v>
      </c>
      <c r="F824" s="30" t="s">
        <v>66</v>
      </c>
      <c r="G824" s="30" t="s">
        <v>71</v>
      </c>
      <c r="H824" s="30">
        <v>1.7308684411099999E-2</v>
      </c>
      <c r="I824" s="58">
        <v>0</v>
      </c>
      <c r="J824" s="58">
        <v>1.4842326916382099E+19</v>
      </c>
    </row>
    <row r="825" spans="3:10">
      <c r="C825" s="29" t="b">
        <v>0</v>
      </c>
      <c r="D825" s="30" t="s">
        <v>77</v>
      </c>
      <c r="E825" s="137">
        <v>6</v>
      </c>
      <c r="F825" s="30" t="s">
        <v>66</v>
      </c>
      <c r="G825" s="30" t="s">
        <v>71</v>
      </c>
      <c r="H825" s="30">
        <v>3.5339957493300003E-2</v>
      </c>
      <c r="I825" s="58">
        <v>0</v>
      </c>
      <c r="J825" s="58">
        <v>1.69047314056621E+18</v>
      </c>
    </row>
    <row r="826" spans="3:10">
      <c r="C826" s="29" t="b">
        <v>0</v>
      </c>
      <c r="D826" s="30" t="s">
        <v>78</v>
      </c>
      <c r="E826" s="137">
        <v>6</v>
      </c>
      <c r="F826" s="30" t="s">
        <v>66</v>
      </c>
      <c r="G826" s="30" t="s">
        <v>71</v>
      </c>
      <c r="H826" s="30">
        <v>2.3385340025499999E-2</v>
      </c>
      <c r="I826" s="58">
        <v>0</v>
      </c>
      <c r="J826" s="58">
        <v>3.7846327872449802E+18</v>
      </c>
    </row>
    <row r="827" spans="3:10">
      <c r="C827" s="29" t="b">
        <v>0</v>
      </c>
      <c r="D827" s="30" t="s">
        <v>79</v>
      </c>
      <c r="E827" s="137">
        <v>6</v>
      </c>
      <c r="F827" s="30" t="s">
        <v>66</v>
      </c>
      <c r="G827" s="30" t="s">
        <v>71</v>
      </c>
      <c r="H827" s="30">
        <v>2.0649400612300001E-2</v>
      </c>
      <c r="I827" s="58">
        <v>0</v>
      </c>
      <c r="J827" s="58">
        <v>3.59627588407917E+18</v>
      </c>
    </row>
    <row r="828" spans="3:10">
      <c r="C828" s="29" t="b">
        <v>0</v>
      </c>
      <c r="D828" s="30" t="s">
        <v>72</v>
      </c>
      <c r="E828" s="137">
        <v>6</v>
      </c>
      <c r="F828" s="30" t="s">
        <v>66</v>
      </c>
      <c r="G828" s="30" t="s">
        <v>71</v>
      </c>
      <c r="H828" s="30">
        <v>-9.0965551147599993E-3</v>
      </c>
      <c r="I828" s="58">
        <v>0</v>
      </c>
      <c r="J828" s="58">
        <v>7.14349078091682E+18</v>
      </c>
    </row>
    <row r="829" spans="3:10">
      <c r="C829" s="29" t="b">
        <v>0</v>
      </c>
      <c r="D829" s="30" t="s">
        <v>80</v>
      </c>
      <c r="E829" s="137">
        <v>6</v>
      </c>
      <c r="F829" s="30" t="s">
        <v>66</v>
      </c>
      <c r="G829" s="30" t="s">
        <v>71</v>
      </c>
      <c r="H829" s="30">
        <v>4.93844589057E-2</v>
      </c>
      <c r="I829" s="58">
        <v>0</v>
      </c>
      <c r="J829" s="58">
        <v>7.6133105311455201E+18</v>
      </c>
    </row>
    <row r="830" spans="3:10">
      <c r="C830" s="29" t="b">
        <v>0</v>
      </c>
      <c r="D830" s="30" t="s">
        <v>81</v>
      </c>
      <c r="E830" s="137">
        <v>6</v>
      </c>
      <c r="F830" s="30" t="s">
        <v>66</v>
      </c>
      <c r="G830" s="30" t="s">
        <v>71</v>
      </c>
      <c r="H830" s="30">
        <v>8.4999618734500001E-2</v>
      </c>
      <c r="I830" s="58">
        <v>0</v>
      </c>
      <c r="J830" s="58">
        <v>8.5284051062706299E+18</v>
      </c>
    </row>
    <row r="831" spans="3:10">
      <c r="C831" s="29" t="b">
        <v>0</v>
      </c>
      <c r="D831" s="30" t="s">
        <v>82</v>
      </c>
      <c r="E831" s="137">
        <v>6</v>
      </c>
      <c r="F831" s="30" t="s">
        <v>66</v>
      </c>
      <c r="G831" s="30" t="s">
        <v>71</v>
      </c>
      <c r="H831" s="30">
        <v>-4.6840744577500003E-2</v>
      </c>
      <c r="I831" s="58">
        <v>0</v>
      </c>
      <c r="J831" s="58">
        <v>1.6375027469892399E+19</v>
      </c>
    </row>
    <row r="832" spans="3:10">
      <c r="C832" s="29" t="b">
        <v>0</v>
      </c>
      <c r="D832" s="30" t="s">
        <v>83</v>
      </c>
      <c r="E832" s="137">
        <v>6</v>
      </c>
      <c r="F832" s="30" t="s">
        <v>66</v>
      </c>
      <c r="G832" s="30" t="s">
        <v>71</v>
      </c>
      <c r="H832" s="30">
        <v>0.181532924007</v>
      </c>
      <c r="I832" s="58">
        <v>0</v>
      </c>
      <c r="J832" s="58">
        <v>1.77464719128989E+19</v>
      </c>
    </row>
    <row r="833" spans="3:10">
      <c r="C833" s="29" t="b">
        <v>0</v>
      </c>
      <c r="D833" s="30" t="s">
        <v>77</v>
      </c>
      <c r="E833" s="137">
        <v>7</v>
      </c>
      <c r="F833" s="30" t="s">
        <v>66</v>
      </c>
      <c r="G833" s="30" t="s">
        <v>71</v>
      </c>
      <c r="H833" s="30">
        <v>5.2622798354499999E-3</v>
      </c>
      <c r="I833" s="58">
        <v>0</v>
      </c>
      <c r="J833" s="58">
        <v>6.5161942738611098E+18</v>
      </c>
    </row>
    <row r="834" spans="3:10">
      <c r="C834" s="29" t="b">
        <v>0</v>
      </c>
      <c r="D834" s="30" t="s">
        <v>64</v>
      </c>
      <c r="E834" s="137">
        <v>6</v>
      </c>
      <c r="F834" s="30" t="s">
        <v>66</v>
      </c>
      <c r="G834" s="30" t="s">
        <v>71</v>
      </c>
      <c r="H834" s="30">
        <v>6.3798786769799998E-2</v>
      </c>
      <c r="I834" s="58">
        <v>0</v>
      </c>
      <c r="J834" s="58">
        <v>1.2609445494616701E+19</v>
      </c>
    </row>
    <row r="835" spans="3:10">
      <c r="C835" s="29" t="b">
        <v>0</v>
      </c>
      <c r="D835" s="30" t="s">
        <v>76</v>
      </c>
      <c r="E835" s="137">
        <v>7</v>
      </c>
      <c r="F835" s="30" t="s">
        <v>66</v>
      </c>
      <c r="G835" s="30" t="s">
        <v>71</v>
      </c>
      <c r="H835" s="30">
        <v>-2.3481938162300001E-2</v>
      </c>
      <c r="I835" s="58">
        <v>0</v>
      </c>
      <c r="J835" s="58">
        <v>1.03955128432111E+18</v>
      </c>
    </row>
    <row r="836" spans="3:10">
      <c r="C836" s="29" t="b">
        <v>0</v>
      </c>
      <c r="D836" s="30" t="s">
        <v>74</v>
      </c>
      <c r="E836" s="137">
        <v>7</v>
      </c>
      <c r="F836" s="30" t="s">
        <v>66</v>
      </c>
      <c r="G836" s="30" t="s">
        <v>71</v>
      </c>
      <c r="H836" s="30">
        <v>3.6892431833100002E-2</v>
      </c>
      <c r="I836" s="58">
        <v>0</v>
      </c>
      <c r="J836" s="58">
        <v>4.0743878936072801E+18</v>
      </c>
    </row>
    <row r="837" spans="3:10">
      <c r="C837" s="29" t="b">
        <v>0</v>
      </c>
      <c r="D837" s="30" t="s">
        <v>80</v>
      </c>
      <c r="E837" s="137">
        <v>9</v>
      </c>
      <c r="F837" s="30" t="s">
        <v>66</v>
      </c>
      <c r="G837" s="30" t="s">
        <v>71</v>
      </c>
      <c r="H837" s="30">
        <v>-0.14929926764199999</v>
      </c>
      <c r="I837" s="58">
        <v>0</v>
      </c>
      <c r="J837" s="58">
        <v>1.02826178635724E+19</v>
      </c>
    </row>
    <row r="838" spans="3:10">
      <c r="C838" s="29" t="b">
        <v>0</v>
      </c>
      <c r="D838" s="30" t="s">
        <v>81</v>
      </c>
      <c r="E838" s="137">
        <v>9</v>
      </c>
      <c r="F838" s="30" t="s">
        <v>66</v>
      </c>
      <c r="G838" s="30" t="s">
        <v>71</v>
      </c>
      <c r="H838" s="30">
        <v>-6.5935072189300004E-2</v>
      </c>
      <c r="I838" s="58">
        <v>0</v>
      </c>
      <c r="J838" s="58">
        <v>1.75768107345879E+19</v>
      </c>
    </row>
    <row r="839" spans="3:10">
      <c r="C839" s="29" t="b">
        <v>0</v>
      </c>
      <c r="D839" s="30" t="s">
        <v>82</v>
      </c>
      <c r="E839" s="137">
        <v>9</v>
      </c>
      <c r="F839" s="30" t="s">
        <v>66</v>
      </c>
      <c r="G839" s="30" t="s">
        <v>71</v>
      </c>
      <c r="H839" s="30">
        <v>-5.3902534273999998E-2</v>
      </c>
      <c r="I839" s="58">
        <v>0</v>
      </c>
      <c r="J839" s="58">
        <v>2.1473251270132101E+18</v>
      </c>
    </row>
    <row r="840" spans="3:10">
      <c r="C840" s="29" t="b">
        <v>0</v>
      </c>
      <c r="D840" s="30" t="s">
        <v>83</v>
      </c>
      <c r="E840" s="137">
        <v>9</v>
      </c>
      <c r="F840" s="30" t="s">
        <v>66</v>
      </c>
      <c r="G840" s="30" t="s">
        <v>71</v>
      </c>
      <c r="H840" s="30">
        <v>-0.152929131484</v>
      </c>
      <c r="I840" s="58">
        <v>0</v>
      </c>
      <c r="J840" s="58">
        <v>6.0992612483395697E+18</v>
      </c>
    </row>
    <row r="841" spans="3:10">
      <c r="C841" s="29" t="b">
        <v>0</v>
      </c>
      <c r="D841" s="30" t="s">
        <v>64</v>
      </c>
      <c r="E841" s="137">
        <v>9</v>
      </c>
      <c r="F841" s="30" t="s">
        <v>66</v>
      </c>
      <c r="G841" s="30" t="s">
        <v>71</v>
      </c>
      <c r="H841" s="30">
        <v>-2.0043653294899998E-2</v>
      </c>
      <c r="I841" s="58">
        <v>0</v>
      </c>
      <c r="J841" s="58">
        <v>1.74013151447499E+19</v>
      </c>
    </row>
    <row r="842" spans="3:10">
      <c r="C842" s="29" t="b">
        <v>0</v>
      </c>
      <c r="D842" s="30" t="s">
        <v>78</v>
      </c>
      <c r="E842" s="137">
        <v>7</v>
      </c>
      <c r="F842" s="30" t="s">
        <v>66</v>
      </c>
      <c r="G842" s="30" t="s">
        <v>71</v>
      </c>
      <c r="H842" s="30">
        <v>3.0374543163099999E-2</v>
      </c>
      <c r="I842" s="58">
        <v>0</v>
      </c>
      <c r="J842" s="58">
        <v>1.3868888019128701E+19</v>
      </c>
    </row>
    <row r="843" spans="3:10">
      <c r="C843" s="29" t="b">
        <v>0</v>
      </c>
      <c r="D843" s="30" t="s">
        <v>72</v>
      </c>
      <c r="E843" s="137">
        <v>2</v>
      </c>
      <c r="F843" s="30" t="s">
        <v>66</v>
      </c>
      <c r="G843" s="30" t="s">
        <v>71</v>
      </c>
      <c r="H843" s="30">
        <v>2.54025839431E-2</v>
      </c>
      <c r="I843" s="58">
        <v>0</v>
      </c>
      <c r="J843" s="58">
        <v>1.1831539036519899E+19</v>
      </c>
    </row>
    <row r="844" spans="3:10">
      <c r="C844" s="29" t="b">
        <v>0</v>
      </c>
      <c r="D844" s="30" t="s">
        <v>75</v>
      </c>
      <c r="E844" s="137">
        <v>14</v>
      </c>
      <c r="F844" s="30" t="s">
        <v>66</v>
      </c>
      <c r="G844" s="30" t="s">
        <v>67</v>
      </c>
      <c r="H844" s="30">
        <v>7.1673404014098996E-3</v>
      </c>
      <c r="I844" s="58">
        <v>0</v>
      </c>
      <c r="J844" s="58">
        <v>8.6953099422072197E+18</v>
      </c>
    </row>
    <row r="845" spans="3:10">
      <c r="C845" s="29" t="b">
        <v>0</v>
      </c>
      <c r="D845" s="30" t="s">
        <v>80</v>
      </c>
      <c r="E845" s="137">
        <v>2</v>
      </c>
      <c r="F845" s="30" t="s">
        <v>66</v>
      </c>
      <c r="G845" s="30" t="s">
        <v>71</v>
      </c>
      <c r="H845" s="30">
        <v>2.1762353643300002E-2</v>
      </c>
      <c r="I845" s="58">
        <v>0</v>
      </c>
      <c r="J845" s="58">
        <v>1.57701385576734E+19</v>
      </c>
    </row>
    <row r="846" spans="3:10">
      <c r="C846" s="29" t="b">
        <v>0</v>
      </c>
      <c r="D846" s="30" t="s">
        <v>77</v>
      </c>
      <c r="E846" s="137">
        <v>14</v>
      </c>
      <c r="F846" s="30" t="s">
        <v>66</v>
      </c>
      <c r="G846" s="30" t="s">
        <v>67</v>
      </c>
      <c r="H846" s="30">
        <v>2.17941110174E-2</v>
      </c>
      <c r="I846" s="58">
        <v>0</v>
      </c>
      <c r="J846" s="58">
        <v>1.27282739707469E+19</v>
      </c>
    </row>
    <row r="847" spans="3:10">
      <c r="C847" s="29" t="b">
        <v>0</v>
      </c>
      <c r="D847" s="30" t="s">
        <v>78</v>
      </c>
      <c r="E847" s="137">
        <v>14</v>
      </c>
      <c r="F847" s="30" t="s">
        <v>66</v>
      </c>
      <c r="G847" s="30" t="s">
        <v>67</v>
      </c>
      <c r="H847" s="30">
        <v>-1.9831456536800001E-2</v>
      </c>
      <c r="I847" s="58">
        <v>0</v>
      </c>
      <c r="J847" s="58">
        <v>1.4053196820983501E+19</v>
      </c>
    </row>
    <row r="848" spans="3:10">
      <c r="C848" s="29" t="b">
        <v>0</v>
      </c>
      <c r="D848" s="30" t="s">
        <v>79</v>
      </c>
      <c r="E848" s="137">
        <v>14</v>
      </c>
      <c r="F848" s="30" t="s">
        <v>66</v>
      </c>
      <c r="G848" s="30" t="s">
        <v>67</v>
      </c>
      <c r="H848" s="30">
        <v>-2.0814770381099999E-2</v>
      </c>
      <c r="I848" s="58">
        <v>0</v>
      </c>
      <c r="J848" s="58">
        <v>1.71271502618555E+19</v>
      </c>
    </row>
    <row r="849" spans="3:10">
      <c r="C849" s="29" t="b">
        <v>0</v>
      </c>
      <c r="D849" s="30" t="s">
        <v>69</v>
      </c>
      <c r="E849" s="137">
        <v>15</v>
      </c>
      <c r="F849" s="30" t="s">
        <v>66</v>
      </c>
      <c r="G849" s="30" t="s">
        <v>67</v>
      </c>
      <c r="H849" s="30">
        <v>-3.0534806123900002E-3</v>
      </c>
      <c r="I849" s="58">
        <v>0</v>
      </c>
      <c r="J849" s="58">
        <v>3.0169838084593802E+18</v>
      </c>
    </row>
    <row r="850" spans="3:10">
      <c r="C850" s="29" t="b">
        <v>0</v>
      </c>
      <c r="D850" s="30" t="s">
        <v>81</v>
      </c>
      <c r="E850" s="137">
        <v>2</v>
      </c>
      <c r="F850" s="30" t="s">
        <v>66</v>
      </c>
      <c r="G850" s="30" t="s">
        <v>71</v>
      </c>
      <c r="H850" s="30">
        <v>-1.38694123002E-2</v>
      </c>
      <c r="I850" s="58">
        <v>0</v>
      </c>
      <c r="J850" s="58">
        <v>1.3690762953162701E+19</v>
      </c>
    </row>
    <row r="851" spans="3:10">
      <c r="C851" s="29" t="b">
        <v>0</v>
      </c>
      <c r="D851" s="30" t="s">
        <v>64</v>
      </c>
      <c r="E851" s="137">
        <v>16</v>
      </c>
      <c r="F851" s="30" t="s">
        <v>66</v>
      </c>
      <c r="G851" s="30" t="s">
        <v>67</v>
      </c>
      <c r="H851" s="30">
        <v>-1.7191926650400001E-2</v>
      </c>
      <c r="I851" s="58">
        <v>0</v>
      </c>
      <c r="J851" s="58">
        <v>1.6447576867207E+19</v>
      </c>
    </row>
    <row r="852" spans="3:10">
      <c r="C852" s="29" t="b">
        <v>0</v>
      </c>
      <c r="D852" s="30" t="s">
        <v>82</v>
      </c>
      <c r="E852" s="137">
        <v>16</v>
      </c>
      <c r="F852" s="30" t="s">
        <v>66</v>
      </c>
      <c r="G852" s="30" t="s">
        <v>67</v>
      </c>
      <c r="H852" s="30">
        <v>1.4509864365600001E-2</v>
      </c>
      <c r="I852" s="58">
        <v>0</v>
      </c>
      <c r="J852" s="58">
        <v>1.4092149185930199E+19</v>
      </c>
    </row>
    <row r="853" spans="3:10">
      <c r="C853" s="29" t="b">
        <v>0</v>
      </c>
      <c r="D853" s="30" t="s">
        <v>76</v>
      </c>
      <c r="E853" s="137">
        <v>17</v>
      </c>
      <c r="F853" s="30" t="s">
        <v>66</v>
      </c>
      <c r="G853" s="30" t="s">
        <v>67</v>
      </c>
      <c r="H853" s="30">
        <v>-4.9004083947000003E-3</v>
      </c>
      <c r="I853" s="58">
        <v>0</v>
      </c>
      <c r="J853" s="58">
        <v>1.33432904584552E+19</v>
      </c>
    </row>
    <row r="854" spans="3:10">
      <c r="C854" s="29" t="b">
        <v>0</v>
      </c>
      <c r="D854" s="30" t="s">
        <v>77</v>
      </c>
      <c r="E854" s="137">
        <v>17</v>
      </c>
      <c r="F854" s="30" t="s">
        <v>66</v>
      </c>
      <c r="G854" s="30" t="s">
        <v>67</v>
      </c>
      <c r="H854" s="30">
        <v>1.3762123576999999E-2</v>
      </c>
      <c r="I854" s="58">
        <v>0</v>
      </c>
      <c r="J854" s="58">
        <v>1.22817283075386E+19</v>
      </c>
    </row>
    <row r="855" spans="3:10">
      <c r="C855" s="29" t="b">
        <v>0</v>
      </c>
      <c r="D855" s="30" t="s">
        <v>78</v>
      </c>
      <c r="E855" s="137">
        <v>17</v>
      </c>
      <c r="F855" s="30" t="s">
        <v>66</v>
      </c>
      <c r="G855" s="30" t="s">
        <v>67</v>
      </c>
      <c r="H855" s="30">
        <v>-4.44741031444E-2</v>
      </c>
      <c r="I855" s="58">
        <v>0</v>
      </c>
      <c r="J855" s="58">
        <v>2.4444873301117599E+18</v>
      </c>
    </row>
    <row r="856" spans="3:10">
      <c r="C856" s="29" t="b">
        <v>0</v>
      </c>
      <c r="D856" s="30" t="s">
        <v>79</v>
      </c>
      <c r="E856" s="137">
        <v>17</v>
      </c>
      <c r="F856" s="30" t="s">
        <v>66</v>
      </c>
      <c r="G856" s="30" t="s">
        <v>67</v>
      </c>
      <c r="H856" s="30">
        <v>2.0415337808700001E-2</v>
      </c>
      <c r="I856" s="58">
        <v>0</v>
      </c>
      <c r="J856" s="58">
        <v>7.9315306874567803E+18</v>
      </c>
    </row>
    <row r="857" spans="3:10">
      <c r="C857" s="29" t="b">
        <v>0</v>
      </c>
      <c r="D857" s="30" t="s">
        <v>72</v>
      </c>
      <c r="E857" s="137">
        <v>17</v>
      </c>
      <c r="F857" s="30" t="s">
        <v>66</v>
      </c>
      <c r="G857" s="30" t="s">
        <v>67</v>
      </c>
      <c r="H857" s="30">
        <v>5.8837342272499999E-3</v>
      </c>
      <c r="I857" s="58">
        <v>0</v>
      </c>
      <c r="J857" s="58">
        <v>1.5057659422684899E+19</v>
      </c>
    </row>
    <row r="858" spans="3:10">
      <c r="C858" s="29" t="b">
        <v>0</v>
      </c>
      <c r="D858" s="30" t="s">
        <v>80</v>
      </c>
      <c r="E858" s="137">
        <v>17</v>
      </c>
      <c r="F858" s="30" t="s">
        <v>66</v>
      </c>
      <c r="G858" s="30" t="s">
        <v>67</v>
      </c>
      <c r="H858" s="30">
        <v>-4.4785627350400002E-2</v>
      </c>
      <c r="I858" s="58">
        <v>0</v>
      </c>
      <c r="J858" s="58">
        <v>1.7561118404719E+19</v>
      </c>
    </row>
    <row r="859" spans="3:10">
      <c r="C859" s="29" t="b">
        <v>0</v>
      </c>
      <c r="D859" s="30" t="s">
        <v>81</v>
      </c>
      <c r="E859" s="137">
        <v>17</v>
      </c>
      <c r="F859" s="30" t="s">
        <v>66</v>
      </c>
      <c r="G859" s="30" t="s">
        <v>67</v>
      </c>
      <c r="H859" s="30">
        <v>-1.4138082875200001E-2</v>
      </c>
      <c r="I859" s="58">
        <v>0</v>
      </c>
      <c r="J859" s="58">
        <v>5.2751691184042701E+18</v>
      </c>
    </row>
    <row r="860" spans="3:10">
      <c r="C860" s="29" t="b">
        <v>0</v>
      </c>
      <c r="D860" s="30" t="s">
        <v>82</v>
      </c>
      <c r="E860" s="137">
        <v>17</v>
      </c>
      <c r="F860" s="30" t="s">
        <v>66</v>
      </c>
      <c r="G860" s="30" t="s">
        <v>67</v>
      </c>
      <c r="H860" s="30">
        <v>1.0319405043400001E-2</v>
      </c>
      <c r="I860" s="58">
        <v>0</v>
      </c>
      <c r="J860" s="58">
        <v>1.63470560995598E+18</v>
      </c>
    </row>
    <row r="861" spans="3:10">
      <c r="C861" s="29" t="b">
        <v>0</v>
      </c>
      <c r="D861" s="30" t="s">
        <v>83</v>
      </c>
      <c r="E861" s="137">
        <v>17</v>
      </c>
      <c r="F861" s="30" t="s">
        <v>66</v>
      </c>
      <c r="G861" s="30" t="s">
        <v>67</v>
      </c>
      <c r="H861" s="30">
        <v>-4.3873874897500001E-4</v>
      </c>
      <c r="I861" s="58">
        <v>0</v>
      </c>
      <c r="J861" s="58">
        <v>1.67384234672169E+19</v>
      </c>
    </row>
    <row r="862" spans="3:10">
      <c r="C862" s="29" t="b">
        <v>0</v>
      </c>
      <c r="D862" s="30" t="s">
        <v>64</v>
      </c>
      <c r="E862" s="137">
        <v>17</v>
      </c>
      <c r="F862" s="30" t="s">
        <v>66</v>
      </c>
      <c r="G862" s="30" t="s">
        <v>67</v>
      </c>
      <c r="H862" s="30">
        <v>-1.03752152963E-2</v>
      </c>
      <c r="I862" s="58">
        <v>0</v>
      </c>
      <c r="J862" s="58">
        <v>1.5553790812398399E+19</v>
      </c>
    </row>
    <row r="863" spans="3:10">
      <c r="C863" s="29" t="b">
        <v>0</v>
      </c>
      <c r="D863" s="30" t="s">
        <v>69</v>
      </c>
      <c r="E863" s="137">
        <v>16</v>
      </c>
      <c r="F863" s="30" t="s">
        <v>66</v>
      </c>
      <c r="G863" s="30" t="s">
        <v>67</v>
      </c>
      <c r="H863" s="30">
        <v>-2.5219123314000002E-3</v>
      </c>
      <c r="I863" s="58">
        <v>0</v>
      </c>
      <c r="J863" s="58">
        <v>4.5631520115096602E+18</v>
      </c>
    </row>
    <row r="864" spans="3:10">
      <c r="C864" s="29" t="b">
        <v>0</v>
      </c>
      <c r="D864" s="30" t="s">
        <v>73</v>
      </c>
      <c r="E864" s="137">
        <v>16</v>
      </c>
      <c r="F864" s="30" t="s">
        <v>66</v>
      </c>
      <c r="G864" s="30" t="s">
        <v>67</v>
      </c>
      <c r="H864" s="30">
        <v>-1.72336864926E-3</v>
      </c>
      <c r="I864" s="58">
        <v>0</v>
      </c>
      <c r="J864" s="58">
        <v>2.17701815202781E+18</v>
      </c>
    </row>
    <row r="865" spans="3:10">
      <c r="C865" s="29" t="b">
        <v>0</v>
      </c>
      <c r="D865" s="30" t="s">
        <v>74</v>
      </c>
      <c r="E865" s="137">
        <v>16</v>
      </c>
      <c r="F865" s="30" t="s">
        <v>66</v>
      </c>
      <c r="G865" s="30" t="s">
        <v>67</v>
      </c>
      <c r="H865" s="30">
        <v>5.7105395789199903E-2</v>
      </c>
      <c r="I865" s="58">
        <v>0</v>
      </c>
      <c r="J865" s="58">
        <v>8.4851870246994596E+18</v>
      </c>
    </row>
    <row r="866" spans="3:10">
      <c r="C866" s="29" t="b">
        <v>0</v>
      </c>
      <c r="D866" s="30" t="s">
        <v>75</v>
      </c>
      <c r="E866" s="137">
        <v>16</v>
      </c>
      <c r="F866" s="30" t="s">
        <v>66</v>
      </c>
      <c r="G866" s="30" t="s">
        <v>67</v>
      </c>
      <c r="H866" s="30">
        <v>1.0163192917800001E-2</v>
      </c>
      <c r="I866" s="58">
        <v>0</v>
      </c>
      <c r="J866" s="58">
        <v>3.2986759452276198E+18</v>
      </c>
    </row>
    <row r="867" spans="3:10">
      <c r="C867" s="29" t="b">
        <v>0</v>
      </c>
      <c r="D867" s="30" t="s">
        <v>76</v>
      </c>
      <c r="E867" s="137">
        <v>16</v>
      </c>
      <c r="F867" s="30" t="s">
        <v>66</v>
      </c>
      <c r="G867" s="30" t="s">
        <v>67</v>
      </c>
      <c r="H867" s="30">
        <v>-4.2898666620399999E-3</v>
      </c>
      <c r="I867" s="58">
        <v>0</v>
      </c>
      <c r="J867" s="58">
        <v>3.4286629102162298E+17</v>
      </c>
    </row>
    <row r="868" spans="3:10">
      <c r="C868" s="29" t="b">
        <v>0</v>
      </c>
      <c r="D868" s="30" t="s">
        <v>77</v>
      </c>
      <c r="E868" s="137">
        <v>16</v>
      </c>
      <c r="F868" s="30" t="s">
        <v>66</v>
      </c>
      <c r="G868" s="30" t="s">
        <v>67</v>
      </c>
      <c r="H868" s="30">
        <v>1.63316275274E-2</v>
      </c>
      <c r="I868" s="58">
        <v>0</v>
      </c>
      <c r="J868" s="58">
        <v>9.1031833590252196E+18</v>
      </c>
    </row>
    <row r="869" spans="3:10">
      <c r="C869" s="29" t="b">
        <v>0</v>
      </c>
      <c r="D869" s="30" t="s">
        <v>78</v>
      </c>
      <c r="E869" s="137">
        <v>16</v>
      </c>
      <c r="F869" s="30" t="s">
        <v>66</v>
      </c>
      <c r="G869" s="30" t="s">
        <v>67</v>
      </c>
      <c r="H869" s="30">
        <v>-3.9686684201899997E-2</v>
      </c>
      <c r="I869" s="58">
        <v>0</v>
      </c>
      <c r="J869" s="58">
        <v>7.6902010278221005E+17</v>
      </c>
    </row>
    <row r="870" spans="3:10">
      <c r="C870" s="29" t="b">
        <v>0</v>
      </c>
      <c r="D870" s="30" t="s">
        <v>79</v>
      </c>
      <c r="E870" s="137">
        <v>16</v>
      </c>
      <c r="F870" s="30" t="s">
        <v>66</v>
      </c>
      <c r="G870" s="30" t="s">
        <v>67</v>
      </c>
      <c r="H870" s="30">
        <v>3.1506509003399998E-2</v>
      </c>
      <c r="I870" s="58">
        <v>0</v>
      </c>
      <c r="J870" s="58">
        <v>1.3700651402606E+19</v>
      </c>
    </row>
    <row r="871" spans="3:10">
      <c r="C871" s="29" t="b">
        <v>0</v>
      </c>
      <c r="D871" s="30" t="s">
        <v>72</v>
      </c>
      <c r="E871" s="137">
        <v>16</v>
      </c>
      <c r="F871" s="30" t="s">
        <v>66</v>
      </c>
      <c r="G871" s="30" t="s">
        <v>67</v>
      </c>
      <c r="H871" s="30">
        <v>-1.00683021535E-2</v>
      </c>
      <c r="I871" s="58">
        <v>0</v>
      </c>
      <c r="J871" s="58">
        <v>4.2957983937599898E+18</v>
      </c>
    </row>
    <row r="872" spans="3:10">
      <c r="C872" s="29" t="b">
        <v>0</v>
      </c>
      <c r="D872" s="30" t="s">
        <v>80</v>
      </c>
      <c r="E872" s="137">
        <v>16</v>
      </c>
      <c r="F872" s="30" t="s">
        <v>66</v>
      </c>
      <c r="G872" s="30" t="s">
        <v>67</v>
      </c>
      <c r="H872" s="30">
        <v>-4.0862281952799999E-2</v>
      </c>
      <c r="I872" s="58">
        <v>0</v>
      </c>
      <c r="J872" s="58">
        <v>9.7936742622408008E+18</v>
      </c>
    </row>
    <row r="873" spans="3:10">
      <c r="C873" s="29" t="b">
        <v>0</v>
      </c>
      <c r="D873" s="30" t="s">
        <v>81</v>
      </c>
      <c r="E873" s="137">
        <v>16</v>
      </c>
      <c r="F873" s="30" t="s">
        <v>66</v>
      </c>
      <c r="G873" s="30" t="s">
        <v>67</v>
      </c>
      <c r="H873" s="30">
        <v>-1.6807465083799999E-2</v>
      </c>
      <c r="I873" s="58">
        <v>0</v>
      </c>
      <c r="J873" s="58">
        <v>8.6056446509232998E+18</v>
      </c>
    </row>
    <row r="874" spans="3:10">
      <c r="C874" s="29" t="b">
        <v>0</v>
      </c>
      <c r="D874" s="30" t="s">
        <v>83</v>
      </c>
      <c r="E874" s="137">
        <v>16</v>
      </c>
      <c r="F874" s="30" t="s">
        <v>66</v>
      </c>
      <c r="G874" s="30" t="s">
        <v>67</v>
      </c>
      <c r="H874" s="30">
        <v>4.5790837453499999E-3</v>
      </c>
      <c r="I874" s="58">
        <v>0</v>
      </c>
      <c r="J874" s="58">
        <v>1.74932456767225E+19</v>
      </c>
    </row>
    <row r="875" spans="3:10">
      <c r="C875" s="29" t="b">
        <v>0</v>
      </c>
      <c r="D875" s="30" t="s">
        <v>77</v>
      </c>
      <c r="E875" s="137">
        <v>0</v>
      </c>
      <c r="F875" s="30" t="s">
        <v>66</v>
      </c>
      <c r="G875" s="30" t="s">
        <v>67</v>
      </c>
      <c r="H875" s="30">
        <v>1.04169799858E-2</v>
      </c>
      <c r="I875" s="58">
        <v>0</v>
      </c>
      <c r="J875" s="58">
        <v>2.1689529658829701E+18</v>
      </c>
    </row>
    <row r="876" spans="3:10">
      <c r="C876" s="29" t="b">
        <v>0</v>
      </c>
      <c r="D876" s="30" t="s">
        <v>78</v>
      </c>
      <c r="E876" s="137">
        <v>12</v>
      </c>
      <c r="F876" s="30" t="s">
        <v>66</v>
      </c>
      <c r="G876" s="30" t="s">
        <v>71</v>
      </c>
      <c r="H876" s="30">
        <v>-2.0127482186800001E-2</v>
      </c>
      <c r="I876" s="58">
        <v>0</v>
      </c>
      <c r="J876" s="58">
        <v>7.2747054177117E+18</v>
      </c>
    </row>
    <row r="877" spans="3:10">
      <c r="C877" s="29" t="b">
        <v>0</v>
      </c>
      <c r="D877" s="30" t="s">
        <v>79</v>
      </c>
      <c r="E877" s="137">
        <v>0</v>
      </c>
      <c r="F877" s="30" t="s">
        <v>66</v>
      </c>
      <c r="G877" s="30" t="s">
        <v>67</v>
      </c>
      <c r="H877" s="30">
        <v>1.8652538309800001E-2</v>
      </c>
      <c r="I877" s="58">
        <v>0</v>
      </c>
      <c r="J877" s="58">
        <v>4.9029175605044695E+18</v>
      </c>
    </row>
    <row r="878" spans="3:10">
      <c r="C878" s="29" t="b">
        <v>0</v>
      </c>
      <c r="D878" s="30" t="s">
        <v>69</v>
      </c>
      <c r="E878" s="137">
        <v>17</v>
      </c>
      <c r="F878" s="30" t="s">
        <v>66</v>
      </c>
      <c r="G878" s="30" t="s">
        <v>71</v>
      </c>
      <c r="H878" s="30">
        <v>-1.72933786357999E-2</v>
      </c>
      <c r="I878" s="58">
        <v>0</v>
      </c>
      <c r="J878" s="58">
        <v>1.2422995100532301E+18</v>
      </c>
    </row>
    <row r="879" spans="3:10">
      <c r="C879" s="29" t="b">
        <v>0</v>
      </c>
      <c r="D879" s="30" t="s">
        <v>73</v>
      </c>
      <c r="E879" s="137">
        <v>18</v>
      </c>
      <c r="F879" s="30" t="s">
        <v>66</v>
      </c>
      <c r="G879" s="30" t="s">
        <v>71</v>
      </c>
      <c r="H879" s="30">
        <v>-1.1434107941100001E-2</v>
      </c>
      <c r="I879" s="58">
        <v>0</v>
      </c>
      <c r="J879" s="58">
        <v>8.8959046534000896E+18</v>
      </c>
    </row>
    <row r="880" spans="3:10">
      <c r="C880" s="29" t="b">
        <v>0</v>
      </c>
      <c r="D880" s="30" t="s">
        <v>74</v>
      </c>
      <c r="E880" s="137">
        <v>18</v>
      </c>
      <c r="F880" s="30" t="s">
        <v>66</v>
      </c>
      <c r="G880" s="30" t="s">
        <v>71</v>
      </c>
      <c r="H880" s="30">
        <v>4.31949665488E-2</v>
      </c>
      <c r="I880" s="58">
        <v>0</v>
      </c>
      <c r="J880" s="58">
        <v>3.5614263536394701E+18</v>
      </c>
    </row>
    <row r="881" spans="3:10">
      <c r="C881" s="29" t="b">
        <v>0</v>
      </c>
      <c r="D881" s="30" t="s">
        <v>75</v>
      </c>
      <c r="E881" s="137">
        <v>18</v>
      </c>
      <c r="F881" s="30" t="s">
        <v>66</v>
      </c>
      <c r="G881" s="30" t="s">
        <v>71</v>
      </c>
      <c r="H881" s="30">
        <v>-4.3577498564799998E-2</v>
      </c>
      <c r="I881" s="58">
        <v>0</v>
      </c>
      <c r="J881" s="58">
        <v>9.827115407424811E+18</v>
      </c>
    </row>
    <row r="882" spans="3:10">
      <c r="C882" s="29" t="b">
        <v>0</v>
      </c>
      <c r="D882" s="30" t="s">
        <v>76</v>
      </c>
      <c r="E882" s="137">
        <v>18</v>
      </c>
      <c r="F882" s="30" t="s">
        <v>66</v>
      </c>
      <c r="G882" s="30" t="s">
        <v>71</v>
      </c>
      <c r="H882" s="30">
        <v>-5.1040172801100001E-2</v>
      </c>
      <c r="I882" s="58">
        <v>0</v>
      </c>
      <c r="J882" s="58">
        <v>1.6829212039781599E+19</v>
      </c>
    </row>
    <row r="883" spans="3:10">
      <c r="C883" s="29" t="b">
        <v>0</v>
      </c>
      <c r="D883" s="30" t="s">
        <v>77</v>
      </c>
      <c r="E883" s="137">
        <v>18</v>
      </c>
      <c r="F883" s="30" t="s">
        <v>66</v>
      </c>
      <c r="G883" s="30" t="s">
        <v>71</v>
      </c>
      <c r="H883" s="30">
        <v>-1.7097188259200001E-2</v>
      </c>
      <c r="I883" s="58">
        <v>0</v>
      </c>
      <c r="J883" s="58">
        <v>4.2209340361968799E+18</v>
      </c>
    </row>
    <row r="884" spans="3:10">
      <c r="C884" s="29" t="b">
        <v>0</v>
      </c>
      <c r="D884" s="30" t="s">
        <v>78</v>
      </c>
      <c r="E884" s="137">
        <v>18</v>
      </c>
      <c r="F884" s="30" t="s">
        <v>66</v>
      </c>
      <c r="G884" s="30" t="s">
        <v>71</v>
      </c>
      <c r="H884" s="30">
        <v>-1.3380628745099999E-2</v>
      </c>
      <c r="I884" s="58">
        <v>0</v>
      </c>
      <c r="J884" s="58">
        <v>2.5429743230987402E+18</v>
      </c>
    </row>
    <row r="885" spans="3:10">
      <c r="C885" s="29" t="b">
        <v>0</v>
      </c>
      <c r="D885" s="30" t="s">
        <v>79</v>
      </c>
      <c r="E885" s="137">
        <v>18</v>
      </c>
      <c r="F885" s="30" t="s">
        <v>66</v>
      </c>
      <c r="G885" s="30" t="s">
        <v>71</v>
      </c>
      <c r="H885" s="30">
        <v>1.9531637984799999E-2</v>
      </c>
      <c r="I885" s="58">
        <v>0</v>
      </c>
      <c r="J885" s="58">
        <v>7.6574553235404001E+18</v>
      </c>
    </row>
    <row r="886" spans="3:10">
      <c r="C886" s="29" t="b">
        <v>0</v>
      </c>
      <c r="D886" s="30" t="s">
        <v>72</v>
      </c>
      <c r="E886" s="137">
        <v>18</v>
      </c>
      <c r="F886" s="30" t="s">
        <v>66</v>
      </c>
      <c r="G886" s="30" t="s">
        <v>71</v>
      </c>
      <c r="H886" s="30">
        <v>3.7160708432500002E-2</v>
      </c>
      <c r="I886" s="58">
        <v>0</v>
      </c>
      <c r="J886" s="58">
        <v>6.3127330719792896E+18</v>
      </c>
    </row>
    <row r="887" spans="3:10">
      <c r="C887" s="29" t="b">
        <v>0</v>
      </c>
      <c r="D887" s="30" t="s">
        <v>80</v>
      </c>
      <c r="E887" s="137">
        <v>18</v>
      </c>
      <c r="F887" s="30" t="s">
        <v>66</v>
      </c>
      <c r="G887" s="30" t="s">
        <v>71</v>
      </c>
      <c r="H887" s="30">
        <v>-5.2735580722399998E-2</v>
      </c>
      <c r="I887" s="58">
        <v>0</v>
      </c>
      <c r="J887" s="58">
        <v>1.65841200875217E+19</v>
      </c>
    </row>
    <row r="888" spans="3:10">
      <c r="C888" s="29" t="b">
        <v>0</v>
      </c>
      <c r="D888" s="30" t="s">
        <v>81</v>
      </c>
      <c r="E888" s="137">
        <v>18</v>
      </c>
      <c r="F888" s="30" t="s">
        <v>66</v>
      </c>
      <c r="G888" s="30" t="s">
        <v>71</v>
      </c>
      <c r="H888" s="30">
        <v>-3.9710094182900002E-2</v>
      </c>
      <c r="I888" s="58">
        <v>0</v>
      </c>
      <c r="J888" s="58">
        <v>1.1002130396686701E+19</v>
      </c>
    </row>
    <row r="889" spans="3:10">
      <c r="C889" s="29" t="b">
        <v>0</v>
      </c>
      <c r="D889" s="30" t="s">
        <v>82</v>
      </c>
      <c r="E889" s="137">
        <v>18</v>
      </c>
      <c r="F889" s="30" t="s">
        <v>66</v>
      </c>
      <c r="G889" s="30" t="s">
        <v>71</v>
      </c>
      <c r="H889" s="30">
        <v>1.78053386573E-2</v>
      </c>
      <c r="I889" s="58">
        <v>0</v>
      </c>
      <c r="J889" s="58">
        <v>4.68349894105583E+18</v>
      </c>
    </row>
    <row r="890" spans="3:10">
      <c r="C890" s="29" t="b">
        <v>0</v>
      </c>
      <c r="D890" s="30" t="s">
        <v>83</v>
      </c>
      <c r="E890" s="137">
        <v>18</v>
      </c>
      <c r="F890" s="30" t="s">
        <v>66</v>
      </c>
      <c r="G890" s="30" t="s">
        <v>71</v>
      </c>
      <c r="H890" s="30">
        <v>-2.63701313418E-2</v>
      </c>
      <c r="I890" s="58">
        <v>0</v>
      </c>
      <c r="J890" s="58">
        <v>1.32980557439784E+19</v>
      </c>
    </row>
    <row r="891" spans="3:10">
      <c r="C891" s="29" t="b">
        <v>0</v>
      </c>
      <c r="D891" s="30" t="s">
        <v>64</v>
      </c>
      <c r="E891" s="137">
        <v>18</v>
      </c>
      <c r="F891" s="30" t="s">
        <v>66</v>
      </c>
      <c r="G891" s="30" t="s">
        <v>71</v>
      </c>
      <c r="H891" s="30">
        <v>-1.4663525475500001E-2</v>
      </c>
      <c r="I891" s="58">
        <v>0</v>
      </c>
      <c r="J891" s="58">
        <v>1.81580509049735E+19</v>
      </c>
    </row>
    <row r="892" spans="3:10">
      <c r="C892" s="29" t="b">
        <v>0</v>
      </c>
      <c r="D892" s="30" t="s">
        <v>79</v>
      </c>
      <c r="E892" s="137">
        <v>14</v>
      </c>
      <c r="F892" s="30" t="s">
        <v>66</v>
      </c>
      <c r="G892" s="30" t="s">
        <v>71</v>
      </c>
      <c r="H892" s="30">
        <v>-1.42616476371E-2</v>
      </c>
      <c r="I892" s="58">
        <v>0</v>
      </c>
      <c r="J892" s="58">
        <v>1.3515380126385199E+19</v>
      </c>
    </row>
    <row r="893" spans="3:10">
      <c r="C893" s="29" t="b">
        <v>0</v>
      </c>
      <c r="D893" s="30" t="s">
        <v>74</v>
      </c>
      <c r="E893" s="137">
        <v>17</v>
      </c>
      <c r="F893" s="30" t="s">
        <v>66</v>
      </c>
      <c r="G893" s="30" t="s">
        <v>71</v>
      </c>
      <c r="H893" s="30">
        <v>3.1867005179799998E-2</v>
      </c>
      <c r="I893" s="58">
        <v>0</v>
      </c>
      <c r="J893" s="58">
        <v>1.25648399624349E+19</v>
      </c>
    </row>
    <row r="894" spans="3:10">
      <c r="C894" s="29" t="b">
        <v>0</v>
      </c>
      <c r="D894" s="30" t="s">
        <v>69</v>
      </c>
      <c r="E894" s="137">
        <v>18</v>
      </c>
      <c r="F894" s="30" t="s">
        <v>66</v>
      </c>
      <c r="G894" s="30" t="s">
        <v>71</v>
      </c>
      <c r="H894" s="30">
        <v>-2.08155049959E-2</v>
      </c>
      <c r="I894" s="58">
        <v>0</v>
      </c>
      <c r="J894" s="58">
        <v>8.57077619842432E+18</v>
      </c>
    </row>
    <row r="895" spans="3:10">
      <c r="C895" s="29" t="b">
        <v>0</v>
      </c>
      <c r="D895" s="30" t="s">
        <v>75</v>
      </c>
      <c r="E895" s="137">
        <v>17</v>
      </c>
      <c r="F895" s="30" t="s">
        <v>66</v>
      </c>
      <c r="G895" s="30" t="s">
        <v>71</v>
      </c>
      <c r="H895" s="30">
        <v>-3.1246758989199999E-2</v>
      </c>
      <c r="I895" s="58">
        <v>0</v>
      </c>
      <c r="J895" s="58">
        <v>9.5449823501152809E+18</v>
      </c>
    </row>
    <row r="896" spans="3:10">
      <c r="C896" s="29" t="b">
        <v>0</v>
      </c>
      <c r="D896" s="30" t="s">
        <v>76</v>
      </c>
      <c r="E896" s="137">
        <v>17</v>
      </c>
      <c r="F896" s="30" t="s">
        <v>66</v>
      </c>
      <c r="G896" s="30" t="s">
        <v>71</v>
      </c>
      <c r="H896" s="30">
        <v>-3.6362327985599997E-2</v>
      </c>
      <c r="I896" s="58">
        <v>0</v>
      </c>
      <c r="J896" s="58">
        <v>5.8640140642136504E+18</v>
      </c>
    </row>
    <row r="897" spans="3:10">
      <c r="C897" s="29" t="b">
        <v>0</v>
      </c>
      <c r="D897" s="30" t="s">
        <v>77</v>
      </c>
      <c r="E897" s="137">
        <v>17</v>
      </c>
      <c r="F897" s="30" t="s">
        <v>66</v>
      </c>
      <c r="G897" s="30" t="s">
        <v>71</v>
      </c>
      <c r="H897" s="30">
        <v>-5.91917445721E-3</v>
      </c>
      <c r="I897" s="58">
        <v>0</v>
      </c>
      <c r="J897" s="58">
        <v>9.7718596403990508E+18</v>
      </c>
    </row>
    <row r="898" spans="3:10">
      <c r="C898" s="29" t="b">
        <v>0</v>
      </c>
      <c r="D898" s="30" t="s">
        <v>78</v>
      </c>
      <c r="E898" s="137">
        <v>17</v>
      </c>
      <c r="F898" s="30" t="s">
        <v>66</v>
      </c>
      <c r="G898" s="30" t="s">
        <v>71</v>
      </c>
      <c r="H898" s="30">
        <v>-2.64353200358E-2</v>
      </c>
      <c r="I898" s="58">
        <v>0</v>
      </c>
      <c r="J898" s="58">
        <v>1.9770621029605901E+18</v>
      </c>
    </row>
    <row r="899" spans="3:10">
      <c r="C899" s="29" t="b">
        <v>0</v>
      </c>
      <c r="D899" s="30" t="s">
        <v>79</v>
      </c>
      <c r="E899" s="137">
        <v>17</v>
      </c>
      <c r="F899" s="30" t="s">
        <v>66</v>
      </c>
      <c r="G899" s="30" t="s">
        <v>71</v>
      </c>
      <c r="H899" s="30">
        <v>2.79699301572E-2</v>
      </c>
      <c r="I899" s="58">
        <v>0</v>
      </c>
      <c r="J899" s="58">
        <v>4.28959304266078E+18</v>
      </c>
    </row>
    <row r="900" spans="3:10">
      <c r="C900" s="29" t="b">
        <v>0</v>
      </c>
      <c r="D900" s="30" t="s">
        <v>72</v>
      </c>
      <c r="E900" s="137">
        <v>17</v>
      </c>
      <c r="F900" s="30" t="s">
        <v>66</v>
      </c>
      <c r="G900" s="30" t="s">
        <v>71</v>
      </c>
      <c r="H900" s="30">
        <v>2.58273000272E-2</v>
      </c>
      <c r="I900" s="58">
        <v>0</v>
      </c>
      <c r="J900" s="58">
        <v>1.09666353606005E+19</v>
      </c>
    </row>
    <row r="901" spans="3:10">
      <c r="C901" s="29" t="b">
        <v>0</v>
      </c>
      <c r="D901" s="30" t="s">
        <v>80</v>
      </c>
      <c r="E901" s="137">
        <v>17</v>
      </c>
      <c r="F901" s="30" t="s">
        <v>66</v>
      </c>
      <c r="G901" s="30" t="s">
        <v>71</v>
      </c>
      <c r="H901" s="30">
        <v>-3.7395453803400001E-2</v>
      </c>
      <c r="I901" s="58">
        <v>0</v>
      </c>
      <c r="J901" s="58">
        <v>1.32496200660572E+19</v>
      </c>
    </row>
    <row r="902" spans="3:10">
      <c r="C902" s="29" t="b">
        <v>0</v>
      </c>
      <c r="D902" s="30" t="s">
        <v>81</v>
      </c>
      <c r="E902" s="137">
        <v>17</v>
      </c>
      <c r="F902" s="30" t="s">
        <v>66</v>
      </c>
      <c r="G902" s="30" t="s">
        <v>71</v>
      </c>
      <c r="H902" s="30">
        <v>-3.9589391326399999E-2</v>
      </c>
      <c r="I902" s="58">
        <v>0</v>
      </c>
      <c r="J902" s="58">
        <v>1.54405884237986E+19</v>
      </c>
    </row>
    <row r="903" spans="3:10">
      <c r="C903" s="29" t="b">
        <v>0</v>
      </c>
      <c r="D903" s="30" t="s">
        <v>82</v>
      </c>
      <c r="E903" s="137">
        <v>17</v>
      </c>
      <c r="F903" s="30" t="s">
        <v>66</v>
      </c>
      <c r="G903" s="30" t="s">
        <v>71</v>
      </c>
      <c r="H903" s="30">
        <v>1.7802575185099999E-2</v>
      </c>
      <c r="I903" s="58">
        <v>0</v>
      </c>
      <c r="J903" s="58">
        <v>1.0390325784462399E+19</v>
      </c>
    </row>
    <row r="904" spans="3:10">
      <c r="C904" s="29" t="b">
        <v>0</v>
      </c>
      <c r="D904" s="30" t="s">
        <v>83</v>
      </c>
      <c r="E904" s="137">
        <v>17</v>
      </c>
      <c r="F904" s="30" t="s">
        <v>66</v>
      </c>
      <c r="G904" s="30" t="s">
        <v>71</v>
      </c>
      <c r="H904" s="30">
        <v>-1.04811213701E-2</v>
      </c>
      <c r="I904" s="58">
        <v>0</v>
      </c>
      <c r="J904" s="58">
        <v>9.2440219868693791E+18</v>
      </c>
    </row>
    <row r="905" spans="3:10">
      <c r="C905" s="29" t="b">
        <v>0</v>
      </c>
      <c r="D905" s="30" t="s">
        <v>64</v>
      </c>
      <c r="E905" s="137">
        <v>17</v>
      </c>
      <c r="F905" s="30" t="s">
        <v>66</v>
      </c>
      <c r="G905" s="30" t="s">
        <v>71</v>
      </c>
      <c r="H905" s="30">
        <v>-2.5895657271900002E-2</v>
      </c>
      <c r="I905" s="58">
        <v>0</v>
      </c>
      <c r="J905" s="58">
        <v>2.05558533804478E+18</v>
      </c>
    </row>
    <row r="906" spans="3:10">
      <c r="C906" s="29" t="b">
        <v>0</v>
      </c>
      <c r="D906" s="30" t="s">
        <v>69</v>
      </c>
      <c r="E906" s="137">
        <v>16</v>
      </c>
      <c r="F906" s="30" t="s">
        <v>66</v>
      </c>
      <c r="G906" s="30" t="s">
        <v>71</v>
      </c>
      <c r="H906" s="30">
        <v>-9.3793630360100005E-3</v>
      </c>
      <c r="I906" s="58">
        <v>0</v>
      </c>
      <c r="J906" s="58">
        <v>1.09745193626675E+19</v>
      </c>
    </row>
    <row r="907" spans="3:10">
      <c r="C907" s="29" t="b">
        <v>0</v>
      </c>
      <c r="D907" s="30" t="s">
        <v>73</v>
      </c>
      <c r="E907" s="137">
        <v>16</v>
      </c>
      <c r="F907" s="30" t="s">
        <v>66</v>
      </c>
      <c r="G907" s="30" t="s">
        <v>71</v>
      </c>
      <c r="H907" s="30">
        <v>-2.2735163424000001E-2</v>
      </c>
      <c r="I907" s="58">
        <v>0</v>
      </c>
      <c r="J907" s="58">
        <v>9.8044791440507802E+18</v>
      </c>
    </row>
    <row r="908" spans="3:10">
      <c r="C908" s="29" t="b">
        <v>0</v>
      </c>
      <c r="D908" s="30" t="s">
        <v>73</v>
      </c>
      <c r="E908" s="137">
        <v>17</v>
      </c>
      <c r="F908" s="30" t="s">
        <v>66</v>
      </c>
      <c r="G908" s="30" t="s">
        <v>71</v>
      </c>
      <c r="H908" s="30">
        <v>-1.5377691975299999E-2</v>
      </c>
      <c r="I908" s="58">
        <v>0</v>
      </c>
      <c r="J908" s="58">
        <v>1.7726725654197101E+19</v>
      </c>
    </row>
    <row r="909" spans="3:10">
      <c r="C909" s="29" t="b">
        <v>0</v>
      </c>
      <c r="D909" s="30" t="s">
        <v>78</v>
      </c>
      <c r="E909" s="137">
        <v>9</v>
      </c>
      <c r="F909" s="30" t="s">
        <v>66</v>
      </c>
      <c r="G909" s="30" t="s">
        <v>71</v>
      </c>
      <c r="H909" s="30">
        <v>-1.59037536707E-4</v>
      </c>
      <c r="I909" s="58">
        <v>0</v>
      </c>
      <c r="J909" s="58">
        <v>3.0845426905650002E+18</v>
      </c>
    </row>
    <row r="910" spans="3:10">
      <c r="C910" s="29" t="b">
        <v>0</v>
      </c>
      <c r="D910" s="30" t="s">
        <v>74</v>
      </c>
      <c r="E910" s="137">
        <v>16</v>
      </c>
      <c r="F910" s="30" t="s">
        <v>66</v>
      </c>
      <c r="G910" s="30" t="s">
        <v>71</v>
      </c>
      <c r="H910" s="30">
        <v>2.9306763807300001E-2</v>
      </c>
      <c r="I910" s="58">
        <v>0</v>
      </c>
      <c r="J910" s="58">
        <v>7.0355622796715305E+18</v>
      </c>
    </row>
    <row r="911" spans="3:10">
      <c r="C911" s="29" t="b">
        <v>0</v>
      </c>
      <c r="D911" s="30" t="s">
        <v>75</v>
      </c>
      <c r="E911" s="137">
        <v>16</v>
      </c>
      <c r="F911" s="30" t="s">
        <v>66</v>
      </c>
      <c r="G911" s="30" t="s">
        <v>71</v>
      </c>
      <c r="H911" s="30">
        <v>-1.6982237608900001E-2</v>
      </c>
      <c r="I911" s="58">
        <v>0</v>
      </c>
      <c r="J911" s="58">
        <v>2.3374527563974799E+18</v>
      </c>
    </row>
    <row r="912" spans="3:10">
      <c r="C912" s="29" t="b">
        <v>0</v>
      </c>
      <c r="D912" s="30" t="s">
        <v>76</v>
      </c>
      <c r="E912" s="137">
        <v>16</v>
      </c>
      <c r="F912" s="30" t="s">
        <v>66</v>
      </c>
      <c r="G912" s="30" t="s">
        <v>71</v>
      </c>
      <c r="H912" s="30">
        <v>-3.5394790191400002E-2</v>
      </c>
      <c r="I912" s="58">
        <v>0</v>
      </c>
      <c r="J912" s="58">
        <v>1.68935995195648E+19</v>
      </c>
    </row>
    <row r="913" spans="3:10">
      <c r="C913" s="29" t="b">
        <v>0</v>
      </c>
      <c r="D913" s="30" t="s">
        <v>79</v>
      </c>
      <c r="E913" s="137">
        <v>16</v>
      </c>
      <c r="F913" s="30" t="s">
        <v>66</v>
      </c>
      <c r="G913" s="30" t="s">
        <v>71</v>
      </c>
      <c r="H913" s="30">
        <v>2.0626447783200001E-2</v>
      </c>
      <c r="I913" s="58">
        <v>0</v>
      </c>
      <c r="J913" s="58">
        <v>6.0615030106703104E+18</v>
      </c>
    </row>
    <row r="914" spans="3:10">
      <c r="C914" s="29" t="b">
        <v>0</v>
      </c>
      <c r="D914" s="30" t="s">
        <v>72</v>
      </c>
      <c r="E914" s="137">
        <v>16</v>
      </c>
      <c r="F914" s="30" t="s">
        <v>66</v>
      </c>
      <c r="G914" s="30" t="s">
        <v>71</v>
      </c>
      <c r="H914" s="30">
        <v>1.6004512005900001E-2</v>
      </c>
      <c r="I914" s="58">
        <v>0</v>
      </c>
      <c r="J914" s="58">
        <v>1.24990276643688E+19</v>
      </c>
    </row>
    <row r="915" spans="3:10">
      <c r="C915" s="29" t="b">
        <v>0</v>
      </c>
      <c r="D915" s="30" t="s">
        <v>80</v>
      </c>
      <c r="E915" s="137">
        <v>16</v>
      </c>
      <c r="F915" s="30" t="s">
        <v>66</v>
      </c>
      <c r="G915" s="30" t="s">
        <v>71</v>
      </c>
      <c r="H915" s="30">
        <v>-2.0759130944699999E-2</v>
      </c>
      <c r="I915" s="58">
        <v>0</v>
      </c>
      <c r="J915" s="58">
        <v>9.5784258729129206E+18</v>
      </c>
    </row>
    <row r="916" spans="3:10">
      <c r="C916" s="29" t="b">
        <v>0</v>
      </c>
      <c r="D916" s="30" t="s">
        <v>81</v>
      </c>
      <c r="E916" s="137">
        <v>16</v>
      </c>
      <c r="F916" s="30" t="s">
        <v>66</v>
      </c>
      <c r="G916" s="30" t="s">
        <v>71</v>
      </c>
      <c r="H916" s="30">
        <v>-4.1899294928100003E-2</v>
      </c>
      <c r="I916" s="58">
        <v>0</v>
      </c>
      <c r="J916" s="58">
        <v>3.2091356709861699E+18</v>
      </c>
    </row>
    <row r="917" spans="3:10">
      <c r="C917" s="29" t="b">
        <v>0</v>
      </c>
      <c r="D917" s="30" t="s">
        <v>82</v>
      </c>
      <c r="E917" s="137">
        <v>16</v>
      </c>
      <c r="F917" s="30" t="s">
        <v>66</v>
      </c>
      <c r="G917" s="30" t="s">
        <v>71</v>
      </c>
      <c r="H917" s="30">
        <v>2.4931103100000001E-2</v>
      </c>
      <c r="I917" s="58">
        <v>0</v>
      </c>
      <c r="J917" s="58">
        <v>1.07308010945455E+19</v>
      </c>
    </row>
    <row r="918" spans="3:10">
      <c r="C918" s="29" t="b">
        <v>0</v>
      </c>
      <c r="D918" s="30" t="s">
        <v>83</v>
      </c>
      <c r="E918" s="137">
        <v>16</v>
      </c>
      <c r="F918" s="30" t="s">
        <v>66</v>
      </c>
      <c r="G918" s="30" t="s">
        <v>71</v>
      </c>
      <c r="H918" s="30">
        <v>-3.4926938083299999E-4</v>
      </c>
      <c r="I918" s="58">
        <v>0</v>
      </c>
      <c r="J918" s="58">
        <v>8.8706089646357105E+18</v>
      </c>
    </row>
    <row r="919" spans="3:10">
      <c r="C919" s="29" t="b">
        <v>0</v>
      </c>
      <c r="D919" s="30" t="s">
        <v>64</v>
      </c>
      <c r="E919" s="137">
        <v>16</v>
      </c>
      <c r="F919" s="30" t="s">
        <v>66</v>
      </c>
      <c r="G919" s="30" t="s">
        <v>71</v>
      </c>
      <c r="H919" s="30">
        <v>-2.6121668593899999E-2</v>
      </c>
      <c r="I919" s="58">
        <v>0</v>
      </c>
      <c r="J919" s="58">
        <v>1.3547384100871399E+19</v>
      </c>
    </row>
    <row r="920" spans="3:10">
      <c r="C920" s="29" t="b">
        <v>0</v>
      </c>
      <c r="D920" s="30" t="s">
        <v>69</v>
      </c>
      <c r="E920" s="137">
        <v>15</v>
      </c>
      <c r="F920" s="30" t="s">
        <v>66</v>
      </c>
      <c r="G920" s="30" t="s">
        <v>71</v>
      </c>
      <c r="H920" s="30">
        <v>-1.38989175368E-3</v>
      </c>
      <c r="I920" s="58">
        <v>0</v>
      </c>
      <c r="J920" s="58">
        <v>7.9419633490154404E+18</v>
      </c>
    </row>
    <row r="921" spans="3:10">
      <c r="C921" s="29" t="b">
        <v>0</v>
      </c>
      <c r="D921" s="30" t="s">
        <v>73</v>
      </c>
      <c r="E921" s="137">
        <v>15</v>
      </c>
      <c r="F921" s="30" t="s">
        <v>66</v>
      </c>
      <c r="G921" s="30" t="s">
        <v>71</v>
      </c>
      <c r="H921" s="30">
        <v>-2.4801131413900002E-2</v>
      </c>
      <c r="I921" s="58">
        <v>0</v>
      </c>
      <c r="J921" s="58">
        <v>7.5084867125788303E+18</v>
      </c>
    </row>
    <row r="922" spans="3:10">
      <c r="C922" s="29" t="b">
        <v>0</v>
      </c>
      <c r="D922" s="30" t="s">
        <v>74</v>
      </c>
      <c r="E922" s="137">
        <v>15</v>
      </c>
      <c r="F922" s="30" t="s">
        <v>66</v>
      </c>
      <c r="G922" s="30" t="s">
        <v>71</v>
      </c>
      <c r="H922" s="30">
        <v>3.7434527005200002E-2</v>
      </c>
      <c r="I922" s="58">
        <v>0</v>
      </c>
      <c r="J922" s="58">
        <v>1.575084370096E+19</v>
      </c>
    </row>
    <row r="923" spans="3:10">
      <c r="C923" s="29" t="b">
        <v>0</v>
      </c>
      <c r="D923" s="30" t="s">
        <v>75</v>
      </c>
      <c r="E923" s="137">
        <v>15</v>
      </c>
      <c r="F923" s="30" t="s">
        <v>66</v>
      </c>
      <c r="G923" s="30" t="s">
        <v>71</v>
      </c>
      <c r="H923" s="30">
        <v>-8.8870112270498999E-3</v>
      </c>
      <c r="I923" s="58">
        <v>0</v>
      </c>
      <c r="J923" s="58">
        <v>1.1009816500574401E+19</v>
      </c>
    </row>
    <row r="924" spans="3:10">
      <c r="C924" s="29" t="b">
        <v>0</v>
      </c>
      <c r="D924" s="30" t="s">
        <v>76</v>
      </c>
      <c r="E924" s="137">
        <v>15</v>
      </c>
      <c r="F924" s="30" t="s">
        <v>66</v>
      </c>
      <c r="G924" s="30" t="s">
        <v>71</v>
      </c>
      <c r="H924" s="30">
        <v>-3.8256760724399999E-2</v>
      </c>
      <c r="I924" s="58">
        <v>0</v>
      </c>
      <c r="J924" s="58">
        <v>1.6386895905194E+19</v>
      </c>
    </row>
    <row r="925" spans="3:10">
      <c r="C925" s="29" t="b">
        <v>0</v>
      </c>
      <c r="D925" s="30" t="s">
        <v>77</v>
      </c>
      <c r="E925" s="137">
        <v>15</v>
      </c>
      <c r="F925" s="30" t="s">
        <v>66</v>
      </c>
      <c r="G925" s="30" t="s">
        <v>71</v>
      </c>
      <c r="H925" s="30">
        <v>3.5904133750999999E-3</v>
      </c>
      <c r="I925" s="58">
        <v>0</v>
      </c>
      <c r="J925" s="58">
        <v>1.6825357433907401E+19</v>
      </c>
    </row>
    <row r="926" spans="3:10">
      <c r="C926" s="29" t="b">
        <v>0</v>
      </c>
      <c r="D926" s="30" t="s">
        <v>78</v>
      </c>
      <c r="E926" s="137">
        <v>15</v>
      </c>
      <c r="F926" s="30" t="s">
        <v>66</v>
      </c>
      <c r="G926" s="30" t="s">
        <v>71</v>
      </c>
      <c r="H926" s="30">
        <v>-1.38385715149E-2</v>
      </c>
      <c r="I926" s="58">
        <v>0</v>
      </c>
      <c r="J926" s="58">
        <v>4.9630915739777597E+18</v>
      </c>
    </row>
    <row r="927" spans="3:10">
      <c r="C927" s="29" t="b">
        <v>0</v>
      </c>
      <c r="D927" s="30" t="s">
        <v>79</v>
      </c>
      <c r="E927" s="137">
        <v>15</v>
      </c>
      <c r="F927" s="30" t="s">
        <v>66</v>
      </c>
      <c r="G927" s="30" t="s">
        <v>71</v>
      </c>
      <c r="H927" s="30">
        <v>6.4409065029399004E-3</v>
      </c>
      <c r="I927" s="58">
        <v>0</v>
      </c>
      <c r="J927" s="58">
        <v>1.0504545762330499E+19</v>
      </c>
    </row>
    <row r="928" spans="3:10">
      <c r="C928" s="29" t="b">
        <v>0</v>
      </c>
      <c r="D928" s="30" t="s">
        <v>72</v>
      </c>
      <c r="E928" s="137">
        <v>15</v>
      </c>
      <c r="F928" s="30" t="s">
        <v>66</v>
      </c>
      <c r="G928" s="30" t="s">
        <v>71</v>
      </c>
      <c r="H928" s="30">
        <v>7.8846338657400008E-3</v>
      </c>
      <c r="I928" s="58">
        <v>0</v>
      </c>
      <c r="J928" s="58">
        <v>3.2423130804164398E+18</v>
      </c>
    </row>
    <row r="929" spans="3:10">
      <c r="C929" s="29" t="b">
        <v>0</v>
      </c>
      <c r="D929" s="30" t="s">
        <v>80</v>
      </c>
      <c r="E929" s="137">
        <v>15</v>
      </c>
      <c r="F929" s="30" t="s">
        <v>66</v>
      </c>
      <c r="G929" s="30" t="s">
        <v>71</v>
      </c>
      <c r="H929" s="30">
        <v>-1.2294694618599999E-2</v>
      </c>
      <c r="I929" s="58">
        <v>0</v>
      </c>
      <c r="J929" s="58">
        <v>1.1915042855793E+19</v>
      </c>
    </row>
    <row r="930" spans="3:10">
      <c r="C930" s="29" t="b">
        <v>0</v>
      </c>
      <c r="D930" s="30" t="s">
        <v>81</v>
      </c>
      <c r="E930" s="137">
        <v>15</v>
      </c>
      <c r="F930" s="30" t="s">
        <v>66</v>
      </c>
      <c r="G930" s="30" t="s">
        <v>71</v>
      </c>
      <c r="H930" s="30">
        <v>-4.2253232778599999E-2</v>
      </c>
      <c r="I930" s="58">
        <v>0</v>
      </c>
      <c r="J930" s="58">
        <v>8.4574512635839703E+18</v>
      </c>
    </row>
    <row r="931" spans="3:10">
      <c r="C931" s="29" t="b">
        <v>0</v>
      </c>
      <c r="D931" s="30" t="s">
        <v>82</v>
      </c>
      <c r="E931" s="137">
        <v>15</v>
      </c>
      <c r="F931" s="30" t="s">
        <v>66</v>
      </c>
      <c r="G931" s="30" t="s">
        <v>71</v>
      </c>
      <c r="H931" s="30">
        <v>3.1595400651399999E-2</v>
      </c>
      <c r="I931" s="58">
        <v>0</v>
      </c>
      <c r="J931" s="58">
        <v>2.8296681927296399E+18</v>
      </c>
    </row>
    <row r="932" spans="3:10">
      <c r="C932" s="29" t="b">
        <v>0</v>
      </c>
      <c r="D932" s="30" t="s">
        <v>83</v>
      </c>
      <c r="E932" s="137">
        <v>15</v>
      </c>
      <c r="F932" s="30" t="s">
        <v>66</v>
      </c>
      <c r="G932" s="30" t="s">
        <v>71</v>
      </c>
      <c r="H932" s="30">
        <v>3.23779436699E-3</v>
      </c>
      <c r="I932" s="58">
        <v>0</v>
      </c>
      <c r="J932" s="58">
        <v>2.9821873141269699E+18</v>
      </c>
    </row>
    <row r="933" spans="3:10">
      <c r="C933" s="29" t="b">
        <v>0</v>
      </c>
      <c r="D933" s="30" t="s">
        <v>64</v>
      </c>
      <c r="E933" s="137">
        <v>15</v>
      </c>
      <c r="F933" s="30" t="s">
        <v>66</v>
      </c>
      <c r="G933" s="30" t="s">
        <v>71</v>
      </c>
      <c r="H933" s="30">
        <v>-2.5613787287599998E-2</v>
      </c>
      <c r="I933" s="58">
        <v>0</v>
      </c>
      <c r="J933" s="58">
        <v>7.6441432658659103E+18</v>
      </c>
    </row>
    <row r="934" spans="3:10">
      <c r="C934" s="29" t="b">
        <v>0</v>
      </c>
      <c r="D934" s="30" t="s">
        <v>69</v>
      </c>
      <c r="E934" s="137">
        <v>14</v>
      </c>
      <c r="F934" s="30" t="s">
        <v>66</v>
      </c>
      <c r="G934" s="30" t="s">
        <v>71</v>
      </c>
      <c r="H934" s="30">
        <v>-3.7138094437799999E-3</v>
      </c>
      <c r="I934" s="58">
        <v>0</v>
      </c>
      <c r="J934" s="58">
        <v>9.1335664262930698E+18</v>
      </c>
    </row>
    <row r="935" spans="3:10">
      <c r="C935" s="29" t="b">
        <v>0</v>
      </c>
      <c r="D935" s="30" t="s">
        <v>73</v>
      </c>
      <c r="E935" s="137">
        <v>14</v>
      </c>
      <c r="F935" s="30" t="s">
        <v>66</v>
      </c>
      <c r="G935" s="30" t="s">
        <v>71</v>
      </c>
      <c r="H935" s="30">
        <v>-2.1824245363899999E-2</v>
      </c>
      <c r="I935" s="58">
        <v>0</v>
      </c>
      <c r="J935" s="58">
        <v>8.2949026846818898E+18</v>
      </c>
    </row>
    <row r="936" spans="3:10">
      <c r="C936" s="29" t="b">
        <v>0</v>
      </c>
      <c r="D936" s="30" t="s">
        <v>74</v>
      </c>
      <c r="E936" s="137">
        <v>14</v>
      </c>
      <c r="F936" s="30" t="s">
        <v>66</v>
      </c>
      <c r="G936" s="30" t="s">
        <v>71</v>
      </c>
      <c r="H936" s="30">
        <v>4.13420912135E-2</v>
      </c>
      <c r="I936" s="58">
        <v>0</v>
      </c>
      <c r="J936" s="58">
        <v>1.25350784647539E+19</v>
      </c>
    </row>
    <row r="937" spans="3:10">
      <c r="C937" s="29" t="b">
        <v>0</v>
      </c>
      <c r="D937" s="30" t="s">
        <v>75</v>
      </c>
      <c r="E937" s="137">
        <v>14</v>
      </c>
      <c r="F937" s="30" t="s">
        <v>66</v>
      </c>
      <c r="G937" s="30" t="s">
        <v>71</v>
      </c>
      <c r="H937" s="30">
        <v>-1.076149627E-2</v>
      </c>
      <c r="I937" s="58">
        <v>0</v>
      </c>
      <c r="J937" s="58">
        <v>1.0342900047850899E+19</v>
      </c>
    </row>
    <row r="938" spans="3:10">
      <c r="C938" s="29" t="b">
        <v>0</v>
      </c>
      <c r="D938" s="30" t="s">
        <v>76</v>
      </c>
      <c r="E938" s="137">
        <v>14</v>
      </c>
      <c r="F938" s="30" t="s">
        <v>66</v>
      </c>
      <c r="G938" s="30" t="s">
        <v>71</v>
      </c>
      <c r="H938" s="30">
        <v>-3.4386455789700003E-2</v>
      </c>
      <c r="I938" s="58">
        <v>0</v>
      </c>
      <c r="J938" s="58">
        <v>1.0589557352757101E+19</v>
      </c>
    </row>
    <row r="939" spans="3:10">
      <c r="C939" s="29" t="b">
        <v>0</v>
      </c>
      <c r="D939" s="30" t="s">
        <v>77</v>
      </c>
      <c r="E939" s="137">
        <v>14</v>
      </c>
      <c r="F939" s="30" t="s">
        <v>66</v>
      </c>
      <c r="G939" s="30" t="s">
        <v>71</v>
      </c>
      <c r="H939" s="30">
        <v>-7.2021608824798999E-3</v>
      </c>
      <c r="I939" s="58">
        <v>0</v>
      </c>
      <c r="J939" s="58">
        <v>1.19791171619059E+19</v>
      </c>
    </row>
    <row r="940" spans="3:10">
      <c r="C940" s="29" t="b">
        <v>0</v>
      </c>
      <c r="D940" s="30" t="s">
        <v>78</v>
      </c>
      <c r="E940" s="137">
        <v>14</v>
      </c>
      <c r="F940" s="30" t="s">
        <v>66</v>
      </c>
      <c r="G940" s="30" t="s">
        <v>71</v>
      </c>
      <c r="H940" s="30">
        <v>-8.6546472256199998E-3</v>
      </c>
      <c r="I940" s="58">
        <v>0</v>
      </c>
      <c r="J940" s="58">
        <v>1.0163753204413E+19</v>
      </c>
    </row>
    <row r="941" spans="3:10">
      <c r="C941" s="29" t="b">
        <v>0</v>
      </c>
      <c r="D941" s="30" t="s">
        <v>77</v>
      </c>
      <c r="E941" s="137">
        <v>16</v>
      </c>
      <c r="F941" s="30" t="s">
        <v>66</v>
      </c>
      <c r="G941" s="30" t="s">
        <v>71</v>
      </c>
      <c r="H941" s="30">
        <v>8.4848433591499996E-4</v>
      </c>
      <c r="I941" s="58">
        <v>0</v>
      </c>
      <c r="J941" s="58">
        <v>1.53319001295528E+19</v>
      </c>
    </row>
    <row r="942" spans="3:10">
      <c r="C942" s="29" t="b">
        <v>0</v>
      </c>
      <c r="D942" s="30" t="s">
        <v>72</v>
      </c>
      <c r="E942" s="137">
        <v>14</v>
      </c>
      <c r="F942" s="30" t="s">
        <v>66</v>
      </c>
      <c r="G942" s="30" t="s">
        <v>71</v>
      </c>
      <c r="H942" s="30">
        <v>4.8159418170100003E-3</v>
      </c>
      <c r="I942" s="58">
        <v>0</v>
      </c>
      <c r="J942" s="58">
        <v>1.09790083451275E+18</v>
      </c>
    </row>
    <row r="943" spans="3:10">
      <c r="C943" s="29" t="b">
        <v>0</v>
      </c>
      <c r="D943" s="30" t="s">
        <v>81</v>
      </c>
      <c r="E943" s="137">
        <v>14</v>
      </c>
      <c r="F943" s="30" t="s">
        <v>66</v>
      </c>
      <c r="G943" s="30" t="s">
        <v>71</v>
      </c>
      <c r="H943" s="30">
        <v>-4.8376256462599999E-2</v>
      </c>
      <c r="I943" s="58">
        <v>0</v>
      </c>
      <c r="J943" s="58">
        <v>4.7280341563868403E+17</v>
      </c>
    </row>
    <row r="944" spans="3:10">
      <c r="C944" s="29" t="b">
        <v>0</v>
      </c>
      <c r="D944" s="30" t="s">
        <v>72</v>
      </c>
      <c r="E944" s="137">
        <v>0</v>
      </c>
      <c r="F944" s="30" t="s">
        <v>66</v>
      </c>
      <c r="G944" s="30" t="s">
        <v>67</v>
      </c>
      <c r="H944" s="30">
        <v>-2.7032713030399998E-2</v>
      </c>
      <c r="I944" s="58">
        <v>0</v>
      </c>
      <c r="J944" s="58">
        <v>1.0486208171723801E+19</v>
      </c>
    </row>
    <row r="945" spans="3:10">
      <c r="C945" s="29" t="b">
        <v>0</v>
      </c>
      <c r="D945" s="30" t="s">
        <v>82</v>
      </c>
      <c r="E945" s="137">
        <v>13</v>
      </c>
      <c r="F945" s="30" t="s">
        <v>66</v>
      </c>
      <c r="G945" s="30" t="s">
        <v>71</v>
      </c>
      <c r="H945" s="30">
        <v>3.9476259572099999E-2</v>
      </c>
      <c r="I945" s="58">
        <v>0</v>
      </c>
      <c r="J945" s="58">
        <v>2.7670076740341801E+18</v>
      </c>
    </row>
    <row r="946" spans="3:10">
      <c r="C946" s="29" t="b">
        <v>0</v>
      </c>
      <c r="D946" s="30" t="s">
        <v>69</v>
      </c>
      <c r="E946" s="137">
        <v>11</v>
      </c>
      <c r="F946" s="30" t="s">
        <v>66</v>
      </c>
      <c r="G946" s="30" t="s">
        <v>71</v>
      </c>
      <c r="H946" s="30">
        <v>-5.0694975352499998E-2</v>
      </c>
      <c r="I946" s="58">
        <v>0</v>
      </c>
      <c r="J946" s="58">
        <v>1.5272850239887999E+19</v>
      </c>
    </row>
    <row r="947" spans="3:10">
      <c r="C947" s="29" t="b">
        <v>0</v>
      </c>
      <c r="D947" s="30" t="s">
        <v>83</v>
      </c>
      <c r="E947" s="137">
        <v>14</v>
      </c>
      <c r="F947" s="30" t="s">
        <v>66</v>
      </c>
      <c r="G947" s="30" t="s">
        <v>71</v>
      </c>
      <c r="H947" s="30">
        <v>-1.90197680179E-2</v>
      </c>
      <c r="I947" s="58">
        <v>0</v>
      </c>
      <c r="J947" s="58">
        <v>1.22650349862423E+19</v>
      </c>
    </row>
    <row r="948" spans="3:10">
      <c r="C948" s="29" t="b">
        <v>0</v>
      </c>
      <c r="D948" s="30" t="s">
        <v>64</v>
      </c>
      <c r="E948" s="137">
        <v>14</v>
      </c>
      <c r="F948" s="30" t="s">
        <v>66</v>
      </c>
      <c r="G948" s="30" t="s">
        <v>71</v>
      </c>
      <c r="H948" s="30">
        <v>-3.1080444880299998E-2</v>
      </c>
      <c r="I948" s="58">
        <v>0</v>
      </c>
      <c r="J948" s="58">
        <v>3.25677893909647E+18</v>
      </c>
    </row>
    <row r="949" spans="3:10">
      <c r="C949" s="29" t="b">
        <v>0</v>
      </c>
      <c r="D949" s="30" t="s">
        <v>69</v>
      </c>
      <c r="E949" s="137">
        <v>13</v>
      </c>
      <c r="F949" s="30" t="s">
        <v>66</v>
      </c>
      <c r="G949" s="30" t="s">
        <v>71</v>
      </c>
      <c r="H949" s="30">
        <v>-9.1116300419999997E-3</v>
      </c>
      <c r="I949" s="58">
        <v>0</v>
      </c>
      <c r="J949" s="58">
        <v>9.84867009887727E+18</v>
      </c>
    </row>
    <row r="950" spans="3:10">
      <c r="C950" s="29" t="b">
        <v>0</v>
      </c>
      <c r="D950" s="30" t="s">
        <v>73</v>
      </c>
      <c r="E950" s="137">
        <v>13</v>
      </c>
      <c r="F950" s="30" t="s">
        <v>66</v>
      </c>
      <c r="G950" s="30" t="s">
        <v>71</v>
      </c>
      <c r="H950" s="30">
        <v>-2.01091472848E-2</v>
      </c>
      <c r="I950" s="58">
        <v>0</v>
      </c>
      <c r="J950" s="58">
        <v>1.5720394367453499E+19</v>
      </c>
    </row>
    <row r="951" spans="3:10">
      <c r="C951" s="29" t="b">
        <v>0</v>
      </c>
      <c r="D951" s="30" t="s">
        <v>74</v>
      </c>
      <c r="E951" s="137">
        <v>13</v>
      </c>
      <c r="F951" s="30" t="s">
        <v>66</v>
      </c>
      <c r="G951" s="30" t="s">
        <v>71</v>
      </c>
      <c r="H951" s="30">
        <v>2.8160690140799999E-2</v>
      </c>
      <c r="I951" s="58">
        <v>0</v>
      </c>
      <c r="J951" s="58">
        <v>1.1372708632436799E+19</v>
      </c>
    </row>
    <row r="952" spans="3:10">
      <c r="C952" s="29" t="b">
        <v>0</v>
      </c>
      <c r="D952" s="30" t="s">
        <v>75</v>
      </c>
      <c r="E952" s="137">
        <v>13</v>
      </c>
      <c r="F952" s="30" t="s">
        <v>66</v>
      </c>
      <c r="G952" s="30" t="s">
        <v>71</v>
      </c>
      <c r="H952" s="30">
        <v>-2.1587219240699999E-2</v>
      </c>
      <c r="I952" s="58">
        <v>0</v>
      </c>
      <c r="J952" s="58">
        <v>1.5784872452009099E+19</v>
      </c>
    </row>
    <row r="953" spans="3:10">
      <c r="C953" s="29" t="b">
        <v>0</v>
      </c>
      <c r="D953" s="30" t="s">
        <v>76</v>
      </c>
      <c r="E953" s="137">
        <v>13</v>
      </c>
      <c r="F953" s="30" t="s">
        <v>66</v>
      </c>
      <c r="G953" s="30" t="s">
        <v>71</v>
      </c>
      <c r="H953" s="30">
        <v>-1.6970349192600001E-2</v>
      </c>
      <c r="I953" s="58">
        <v>0</v>
      </c>
      <c r="J953" s="58">
        <v>1.36746880494406E+19</v>
      </c>
    </row>
    <row r="954" spans="3:10">
      <c r="C954" s="29" t="b">
        <v>0</v>
      </c>
      <c r="D954" s="30" t="s">
        <v>77</v>
      </c>
      <c r="E954" s="137">
        <v>13</v>
      </c>
      <c r="F954" s="30" t="s">
        <v>66</v>
      </c>
      <c r="G954" s="30" t="s">
        <v>71</v>
      </c>
      <c r="H954" s="30">
        <v>-2.6404726600000001E-2</v>
      </c>
      <c r="I954" s="58">
        <v>0</v>
      </c>
      <c r="J954" s="58">
        <v>1.04250482920175E+19</v>
      </c>
    </row>
    <row r="955" spans="3:10">
      <c r="C955" s="29" t="b">
        <v>0</v>
      </c>
      <c r="D955" s="30" t="s">
        <v>78</v>
      </c>
      <c r="E955" s="137">
        <v>13</v>
      </c>
      <c r="F955" s="30" t="s">
        <v>66</v>
      </c>
      <c r="G955" s="30" t="s">
        <v>71</v>
      </c>
      <c r="H955" s="30">
        <v>-1.40842106927E-2</v>
      </c>
      <c r="I955" s="58">
        <v>0</v>
      </c>
      <c r="J955" s="58">
        <v>1.3754782647924001E+19</v>
      </c>
    </row>
    <row r="956" spans="3:10">
      <c r="C956" s="29" t="b">
        <v>0</v>
      </c>
      <c r="D956" s="30" t="s">
        <v>79</v>
      </c>
      <c r="E956" s="137">
        <v>13</v>
      </c>
      <c r="F956" s="30" t="s">
        <v>66</v>
      </c>
      <c r="G956" s="30" t="s">
        <v>71</v>
      </c>
      <c r="H956" s="30">
        <v>-3.0560872725799999E-2</v>
      </c>
      <c r="I956" s="58">
        <v>0</v>
      </c>
      <c r="J956" s="58">
        <v>4.4336480844812298E+18</v>
      </c>
    </row>
    <row r="957" spans="3:10">
      <c r="C957" s="29" t="b">
        <v>0</v>
      </c>
      <c r="D957" s="30" t="s">
        <v>72</v>
      </c>
      <c r="E957" s="137">
        <v>13</v>
      </c>
      <c r="F957" s="30" t="s">
        <v>66</v>
      </c>
      <c r="G957" s="30" t="s">
        <v>71</v>
      </c>
      <c r="H957" s="30">
        <v>-6.5067708844600003E-3</v>
      </c>
      <c r="I957" s="58">
        <v>0</v>
      </c>
      <c r="J957" s="58">
        <v>1.51241361064086E+19</v>
      </c>
    </row>
    <row r="958" spans="3:10">
      <c r="C958" s="29" t="b">
        <v>0</v>
      </c>
      <c r="D958" s="30" t="s">
        <v>80</v>
      </c>
      <c r="E958" s="137">
        <v>13</v>
      </c>
      <c r="F958" s="30" t="s">
        <v>66</v>
      </c>
      <c r="G958" s="30" t="s">
        <v>71</v>
      </c>
      <c r="H958" s="30">
        <v>-1.0612646217500001E-2</v>
      </c>
      <c r="I958" s="58">
        <v>0</v>
      </c>
      <c r="J958" s="58">
        <v>1.1066234333689301E+19</v>
      </c>
    </row>
    <row r="959" spans="3:10">
      <c r="C959" s="29" t="b">
        <v>0</v>
      </c>
      <c r="D959" s="30" t="s">
        <v>81</v>
      </c>
      <c r="E959" s="137">
        <v>13</v>
      </c>
      <c r="F959" s="30" t="s">
        <v>66</v>
      </c>
      <c r="G959" s="30" t="s">
        <v>71</v>
      </c>
      <c r="H959" s="30">
        <v>-6.3704719393799999E-2</v>
      </c>
      <c r="I959" s="58">
        <v>0</v>
      </c>
      <c r="J959" s="58">
        <v>3.87786501189154E+18</v>
      </c>
    </row>
    <row r="960" spans="3:10">
      <c r="C960" s="29" t="b">
        <v>0</v>
      </c>
      <c r="D960" s="30" t="s">
        <v>82</v>
      </c>
      <c r="E960" s="137">
        <v>14</v>
      </c>
      <c r="F960" s="30" t="s">
        <v>66</v>
      </c>
      <c r="G960" s="30" t="s">
        <v>71</v>
      </c>
      <c r="H960" s="30">
        <v>3.5839985216500003E-2</v>
      </c>
      <c r="I960" s="58">
        <v>0</v>
      </c>
      <c r="J960" s="58">
        <v>1.42258640127795E+19</v>
      </c>
    </row>
    <row r="961" spans="3:10">
      <c r="C961" s="29" t="b">
        <v>0</v>
      </c>
      <c r="D961" s="30" t="s">
        <v>75</v>
      </c>
      <c r="E961" s="137">
        <v>11</v>
      </c>
      <c r="F961" s="30" t="s">
        <v>66</v>
      </c>
      <c r="G961" s="30" t="s">
        <v>71</v>
      </c>
      <c r="H961" s="30">
        <v>-4.5459978241200003E-2</v>
      </c>
      <c r="I961" s="58">
        <v>0</v>
      </c>
      <c r="J961" s="58">
        <v>1.28608897710343E+19</v>
      </c>
    </row>
    <row r="962" spans="3:10">
      <c r="C962" s="29" t="b">
        <v>0</v>
      </c>
      <c r="D962" s="30" t="s">
        <v>64</v>
      </c>
      <c r="E962" s="137">
        <v>13</v>
      </c>
      <c r="F962" s="30" t="s">
        <v>66</v>
      </c>
      <c r="G962" s="30" t="s">
        <v>71</v>
      </c>
      <c r="H962" s="30">
        <v>-3.5779817917000002E-2</v>
      </c>
      <c r="I962" s="58">
        <v>0</v>
      </c>
      <c r="J962" s="58">
        <v>4.35965611267546E+16</v>
      </c>
    </row>
    <row r="963" spans="3:10">
      <c r="C963" s="29" t="b">
        <v>0</v>
      </c>
      <c r="D963" s="30" t="s">
        <v>83</v>
      </c>
      <c r="E963" s="137">
        <v>12</v>
      </c>
      <c r="F963" s="30" t="s">
        <v>66</v>
      </c>
      <c r="G963" s="30" t="s">
        <v>71</v>
      </c>
      <c r="H963" s="30">
        <v>-0.103784572155</v>
      </c>
      <c r="I963" s="58">
        <v>0</v>
      </c>
      <c r="J963" s="58">
        <v>1.08380243138671E+19</v>
      </c>
    </row>
    <row r="964" spans="3:10">
      <c r="C964" s="29" t="b">
        <v>0</v>
      </c>
      <c r="D964" s="30" t="s">
        <v>82</v>
      </c>
      <c r="E964" s="137">
        <v>12</v>
      </c>
      <c r="F964" s="30" t="s">
        <v>66</v>
      </c>
      <c r="G964" s="30" t="s">
        <v>71</v>
      </c>
      <c r="H964" s="30">
        <v>3.09226741576E-2</v>
      </c>
      <c r="I964" s="58">
        <v>0</v>
      </c>
      <c r="J964" s="58">
        <v>6.0759781316909701E+18</v>
      </c>
    </row>
    <row r="965" spans="3:10">
      <c r="C965" s="29" t="b">
        <v>0</v>
      </c>
      <c r="D965" s="30" t="s">
        <v>81</v>
      </c>
      <c r="E965" s="137">
        <v>12</v>
      </c>
      <c r="F965" s="30" t="s">
        <v>66</v>
      </c>
      <c r="G965" s="30" t="s">
        <v>71</v>
      </c>
      <c r="H965" s="30">
        <v>-8.1459997922700006E-2</v>
      </c>
      <c r="I965" s="58">
        <v>0</v>
      </c>
      <c r="J965" s="58">
        <v>1.48301598330357E+19</v>
      </c>
    </row>
    <row r="966" spans="3:10">
      <c r="C966" s="29" t="b">
        <v>0</v>
      </c>
      <c r="D966" s="30" t="s">
        <v>80</v>
      </c>
      <c r="E966" s="137">
        <v>12</v>
      </c>
      <c r="F966" s="30" t="s">
        <v>66</v>
      </c>
      <c r="G966" s="30" t="s">
        <v>71</v>
      </c>
      <c r="H966" s="30">
        <v>-7.0921039911899996E-3</v>
      </c>
      <c r="I966" s="58">
        <v>0</v>
      </c>
      <c r="J966" s="58">
        <v>9.6544241630021606E+17</v>
      </c>
    </row>
    <row r="967" spans="3:10">
      <c r="C967" s="29" t="b">
        <v>0</v>
      </c>
      <c r="D967" s="30" t="s">
        <v>83</v>
      </c>
      <c r="E967" s="137">
        <v>13</v>
      </c>
      <c r="F967" s="30" t="s">
        <v>66</v>
      </c>
      <c r="G967" s="30" t="s">
        <v>71</v>
      </c>
      <c r="H967" s="30">
        <v>-5.27102127415E-2</v>
      </c>
      <c r="I967" s="58">
        <v>0</v>
      </c>
      <c r="J967" s="58">
        <v>1.78831829999039E+19</v>
      </c>
    </row>
    <row r="968" spans="3:10">
      <c r="C968" s="29" t="b">
        <v>0</v>
      </c>
      <c r="D968" s="30" t="s">
        <v>79</v>
      </c>
      <c r="E968" s="137">
        <v>12</v>
      </c>
      <c r="F968" s="30" t="s">
        <v>66</v>
      </c>
      <c r="G968" s="30" t="s">
        <v>71</v>
      </c>
      <c r="H968" s="30">
        <v>-4.2589368053600002E-2</v>
      </c>
      <c r="I968" s="58">
        <v>0</v>
      </c>
      <c r="J968" s="58">
        <v>3.4985831834039798E+18</v>
      </c>
    </row>
    <row r="969" spans="3:10">
      <c r="C969" s="29" t="b">
        <v>0</v>
      </c>
      <c r="D969" s="30" t="s">
        <v>72</v>
      </c>
      <c r="E969" s="137">
        <v>12</v>
      </c>
      <c r="F969" s="30" t="s">
        <v>66</v>
      </c>
      <c r="G969" s="30" t="s">
        <v>71</v>
      </c>
      <c r="H969" s="30">
        <v>-2.2032900625100001E-2</v>
      </c>
      <c r="I969" s="58">
        <v>0</v>
      </c>
      <c r="J969" s="58">
        <v>1.8303081846592801E+19</v>
      </c>
    </row>
    <row r="970" spans="3:10">
      <c r="C970" s="29" t="b">
        <v>0</v>
      </c>
      <c r="D970" s="30" t="s">
        <v>77</v>
      </c>
      <c r="E970" s="137">
        <v>12</v>
      </c>
      <c r="F970" s="30" t="s">
        <v>66</v>
      </c>
      <c r="G970" s="30" t="s">
        <v>71</v>
      </c>
      <c r="H970" s="30">
        <v>-4.2112387214300002E-2</v>
      </c>
      <c r="I970" s="58">
        <v>0</v>
      </c>
      <c r="J970" s="58">
        <v>2.8828917260277299E+18</v>
      </c>
    </row>
    <row r="971" spans="3:10">
      <c r="C971" s="29" t="b">
        <v>0</v>
      </c>
      <c r="D971" s="30" t="s">
        <v>76</v>
      </c>
      <c r="E971" s="137">
        <v>12</v>
      </c>
      <c r="F971" s="30" t="s">
        <v>66</v>
      </c>
      <c r="G971" s="30" t="s">
        <v>71</v>
      </c>
      <c r="H971" s="30">
        <v>-4.0443315189900002E-3</v>
      </c>
      <c r="I971" s="58">
        <v>0</v>
      </c>
      <c r="J971" s="58">
        <v>6.9133905957294705E+18</v>
      </c>
    </row>
    <row r="972" spans="3:10">
      <c r="C972" s="29" t="b">
        <v>0</v>
      </c>
      <c r="D972" s="30" t="s">
        <v>75</v>
      </c>
      <c r="E972" s="137">
        <v>12</v>
      </c>
      <c r="F972" s="30" t="s">
        <v>66</v>
      </c>
      <c r="G972" s="30" t="s">
        <v>71</v>
      </c>
      <c r="H972" s="30">
        <v>-3.0997334225499999E-2</v>
      </c>
      <c r="I972" s="58">
        <v>0</v>
      </c>
      <c r="J972" s="58">
        <v>1.69582652666782E+18</v>
      </c>
    </row>
    <row r="973" spans="3:10">
      <c r="C973" s="29" t="b">
        <v>0</v>
      </c>
      <c r="D973" s="30" t="s">
        <v>74</v>
      </c>
      <c r="E973" s="137">
        <v>12</v>
      </c>
      <c r="F973" s="30" t="s">
        <v>66</v>
      </c>
      <c r="G973" s="30" t="s">
        <v>71</v>
      </c>
      <c r="H973" s="30">
        <v>-2.37654002501E-3</v>
      </c>
      <c r="I973" s="58">
        <v>0</v>
      </c>
      <c r="J973" s="58">
        <v>1.5928390451046101E+19</v>
      </c>
    </row>
    <row r="974" spans="3:10">
      <c r="C974" s="29" t="b">
        <v>0</v>
      </c>
      <c r="D974" s="30" t="s">
        <v>73</v>
      </c>
      <c r="E974" s="137">
        <v>12</v>
      </c>
      <c r="F974" s="30" t="s">
        <v>66</v>
      </c>
      <c r="G974" s="30" t="s">
        <v>71</v>
      </c>
      <c r="H974" s="30">
        <v>-1.78295249988E-2</v>
      </c>
      <c r="I974" s="58">
        <v>0</v>
      </c>
      <c r="J974" s="58">
        <v>1.56407098882857E+19</v>
      </c>
    </row>
    <row r="975" spans="3:10">
      <c r="C975" s="29" t="b">
        <v>0</v>
      </c>
      <c r="D975" s="30" t="s">
        <v>69</v>
      </c>
      <c r="E975" s="137">
        <v>12</v>
      </c>
      <c r="F975" s="30" t="s">
        <v>66</v>
      </c>
      <c r="G975" s="30" t="s">
        <v>71</v>
      </c>
      <c r="H975" s="30">
        <v>-2.5716410197600001E-2</v>
      </c>
      <c r="I975" s="58">
        <v>0</v>
      </c>
      <c r="J975" s="58">
        <v>1.62637764234635E+19</v>
      </c>
    </row>
    <row r="976" spans="3:10">
      <c r="C976" s="29" t="b">
        <v>0</v>
      </c>
      <c r="D976" s="30" t="s">
        <v>64</v>
      </c>
      <c r="E976" s="137">
        <v>12</v>
      </c>
      <c r="F976" s="30" t="s">
        <v>66</v>
      </c>
      <c r="G976" s="30" t="s">
        <v>71</v>
      </c>
      <c r="H976" s="30">
        <v>-3.6943354135299998E-2</v>
      </c>
      <c r="I976" s="58">
        <v>0</v>
      </c>
      <c r="J976" s="58">
        <v>1.07726057946526E+19</v>
      </c>
    </row>
    <row r="977" spans="3:10">
      <c r="C977" s="29" t="b">
        <v>0</v>
      </c>
      <c r="D977" s="30" t="s">
        <v>73</v>
      </c>
      <c r="E977" s="137">
        <v>10</v>
      </c>
      <c r="F977" s="30" t="s">
        <v>66</v>
      </c>
      <c r="G977" s="30" t="s">
        <v>71</v>
      </c>
      <c r="H977" s="30">
        <v>-1.79281868977E-2</v>
      </c>
      <c r="I977" s="58">
        <v>0</v>
      </c>
      <c r="J977" s="58">
        <v>5.9416449626296003E+18</v>
      </c>
    </row>
    <row r="978" spans="3:10">
      <c r="C978" s="29" t="b">
        <v>0</v>
      </c>
      <c r="D978" s="30" t="s">
        <v>73</v>
      </c>
      <c r="E978" s="137">
        <v>11</v>
      </c>
      <c r="F978" s="30" t="s">
        <v>66</v>
      </c>
      <c r="G978" s="30" t="s">
        <v>71</v>
      </c>
      <c r="H978" s="30">
        <v>-1.8536397984499998E-2</v>
      </c>
      <c r="I978" s="58">
        <v>0</v>
      </c>
      <c r="J978" s="58">
        <v>1.64907038245801E+19</v>
      </c>
    </row>
    <row r="979" spans="3:10">
      <c r="C979" s="29" t="b">
        <v>0</v>
      </c>
      <c r="D979" s="30" t="s">
        <v>76</v>
      </c>
      <c r="E979" s="137">
        <v>10</v>
      </c>
      <c r="F979" s="30" t="s">
        <v>66</v>
      </c>
      <c r="G979" s="30" t="s">
        <v>71</v>
      </c>
      <c r="H979" s="30">
        <v>-1.35379597181E-2</v>
      </c>
      <c r="I979" s="58">
        <v>0</v>
      </c>
      <c r="J979" s="58">
        <v>1.6360985866249501E+19</v>
      </c>
    </row>
    <row r="980" spans="3:10">
      <c r="C980" s="29" t="b">
        <v>0</v>
      </c>
      <c r="D980" s="30" t="s">
        <v>76</v>
      </c>
      <c r="E980" s="137">
        <v>11</v>
      </c>
      <c r="F980" s="30" t="s">
        <v>66</v>
      </c>
      <c r="G980" s="30" t="s">
        <v>71</v>
      </c>
      <c r="H980" s="30">
        <v>-4.1411468339299998E-3</v>
      </c>
      <c r="I980" s="58">
        <v>0</v>
      </c>
      <c r="J980" s="58">
        <v>4.1234172396730798E+18</v>
      </c>
    </row>
    <row r="981" spans="3:10">
      <c r="C981" s="29" t="b">
        <v>0</v>
      </c>
      <c r="D981" s="30" t="s">
        <v>77</v>
      </c>
      <c r="E981" s="137">
        <v>11</v>
      </c>
      <c r="F981" s="30" t="s">
        <v>66</v>
      </c>
      <c r="G981" s="30" t="s">
        <v>71</v>
      </c>
      <c r="H981" s="30">
        <v>-4.5938702772600003E-2</v>
      </c>
      <c r="I981" s="58">
        <v>0</v>
      </c>
      <c r="J981" s="58">
        <v>1.6629347351405199E+19</v>
      </c>
    </row>
    <row r="982" spans="3:10">
      <c r="C982" s="29" t="b">
        <v>0</v>
      </c>
      <c r="D982" s="30" t="s">
        <v>78</v>
      </c>
      <c r="E982" s="137">
        <v>11</v>
      </c>
      <c r="F982" s="30" t="s">
        <v>66</v>
      </c>
      <c r="G982" s="30" t="s">
        <v>71</v>
      </c>
      <c r="H982" s="30">
        <v>-2.02657605321E-2</v>
      </c>
      <c r="I982" s="58">
        <v>0</v>
      </c>
      <c r="J982" s="58">
        <v>1.30587354313587E+19</v>
      </c>
    </row>
    <row r="983" spans="3:10">
      <c r="C983" s="29" t="b">
        <v>0</v>
      </c>
      <c r="D983" s="30" t="s">
        <v>79</v>
      </c>
      <c r="E983" s="137">
        <v>11</v>
      </c>
      <c r="F983" s="30" t="s">
        <v>66</v>
      </c>
      <c r="G983" s="30" t="s">
        <v>71</v>
      </c>
      <c r="H983" s="30">
        <v>-5.1604343514900002E-2</v>
      </c>
      <c r="I983" s="58">
        <v>0</v>
      </c>
      <c r="J983" s="58">
        <v>9.7303449071810396E+18</v>
      </c>
    </row>
    <row r="984" spans="3:10">
      <c r="C984" s="29" t="b">
        <v>0</v>
      </c>
      <c r="D984" s="30" t="s">
        <v>72</v>
      </c>
      <c r="E984" s="137">
        <v>11</v>
      </c>
      <c r="F984" s="30" t="s">
        <v>66</v>
      </c>
      <c r="G984" s="30" t="s">
        <v>71</v>
      </c>
      <c r="H984" s="30">
        <v>-3.9027386376700002E-2</v>
      </c>
      <c r="I984" s="58">
        <v>0</v>
      </c>
      <c r="J984" s="58">
        <v>1.69594213477084E+19</v>
      </c>
    </row>
    <row r="985" spans="3:10">
      <c r="C985" s="29" t="b">
        <v>0</v>
      </c>
      <c r="D985" s="30" t="s">
        <v>80</v>
      </c>
      <c r="E985" s="137">
        <v>11</v>
      </c>
      <c r="F985" s="30" t="s">
        <v>66</v>
      </c>
      <c r="G985" s="30" t="s">
        <v>71</v>
      </c>
      <c r="H985" s="30">
        <v>-1.90119095318E-2</v>
      </c>
      <c r="I985" s="58">
        <v>0</v>
      </c>
      <c r="J985" s="58">
        <v>1.5788869591296299E+19</v>
      </c>
    </row>
    <row r="986" spans="3:10">
      <c r="C986" s="29" t="b">
        <v>0</v>
      </c>
      <c r="D986" s="30" t="s">
        <v>81</v>
      </c>
      <c r="E986" s="137">
        <v>11</v>
      </c>
      <c r="F986" s="30" t="s">
        <v>66</v>
      </c>
      <c r="G986" s="30" t="s">
        <v>71</v>
      </c>
      <c r="H986" s="30">
        <v>-9.4231337223899994E-2</v>
      </c>
      <c r="I986" s="58">
        <v>0</v>
      </c>
      <c r="J986" s="58">
        <v>1.0893660203017099E+19</v>
      </c>
    </row>
    <row r="987" spans="3:10">
      <c r="C987" s="29" t="b">
        <v>0</v>
      </c>
      <c r="D987" s="30" t="s">
        <v>82</v>
      </c>
      <c r="E987" s="137">
        <v>11</v>
      </c>
      <c r="F987" s="30" t="s">
        <v>66</v>
      </c>
      <c r="G987" s="30" t="s">
        <v>71</v>
      </c>
      <c r="H987" s="30">
        <v>9.1369731164899996E-3</v>
      </c>
      <c r="I987" s="58">
        <v>0</v>
      </c>
      <c r="J987" s="58">
        <v>4.0025309392441001E+18</v>
      </c>
    </row>
    <row r="988" spans="3:10">
      <c r="C988" s="29" t="b">
        <v>0</v>
      </c>
      <c r="D988" s="30" t="s">
        <v>83</v>
      </c>
      <c r="E988" s="137">
        <v>11</v>
      </c>
      <c r="F988" s="30" t="s">
        <v>66</v>
      </c>
      <c r="G988" s="30" t="s">
        <v>71</v>
      </c>
      <c r="H988" s="30">
        <v>-0.14978519266099999</v>
      </c>
      <c r="I988" s="58">
        <v>0</v>
      </c>
      <c r="J988" s="58">
        <v>2.0678514198530299E+18</v>
      </c>
    </row>
    <row r="989" spans="3:10">
      <c r="C989" s="29" t="b">
        <v>0</v>
      </c>
      <c r="D989" s="30" t="s">
        <v>64</v>
      </c>
      <c r="E989" s="137">
        <v>11</v>
      </c>
      <c r="F989" s="30" t="s">
        <v>66</v>
      </c>
      <c r="G989" s="30" t="s">
        <v>71</v>
      </c>
      <c r="H989" s="30">
        <v>-3.9001979212700003E-2</v>
      </c>
      <c r="I989" s="58">
        <v>0</v>
      </c>
      <c r="J989" s="58">
        <v>1.3696858217814401E+19</v>
      </c>
    </row>
    <row r="990" spans="3:10">
      <c r="C990" s="29" t="b">
        <v>0</v>
      </c>
      <c r="D990" s="30" t="s">
        <v>69</v>
      </c>
      <c r="E990" s="137">
        <v>10</v>
      </c>
      <c r="F990" s="30" t="s">
        <v>66</v>
      </c>
      <c r="G990" s="30" t="s">
        <v>71</v>
      </c>
      <c r="H990" s="30">
        <v>-7.3327609463199994E-2</v>
      </c>
      <c r="I990" s="58">
        <v>0</v>
      </c>
      <c r="J990" s="58">
        <v>1.35884321660638E+19</v>
      </c>
    </row>
    <row r="991" spans="3:10">
      <c r="C991" s="29" t="b">
        <v>0</v>
      </c>
      <c r="D991" s="30" t="s">
        <v>80</v>
      </c>
      <c r="E991" s="137">
        <v>14</v>
      </c>
      <c r="F991" s="30" t="s">
        <v>66</v>
      </c>
      <c r="G991" s="30" t="s">
        <v>71</v>
      </c>
      <c r="H991" s="30">
        <v>-1.1868015143299999E-2</v>
      </c>
      <c r="I991" s="58">
        <v>0</v>
      </c>
      <c r="J991" s="58">
        <v>2.92045565983725E+18</v>
      </c>
    </row>
    <row r="992" spans="3:10">
      <c r="C992" s="29" t="b">
        <v>0</v>
      </c>
      <c r="D992" s="30" t="s">
        <v>74</v>
      </c>
      <c r="E992" s="137">
        <v>10</v>
      </c>
      <c r="F992" s="30" t="s">
        <v>66</v>
      </c>
      <c r="G992" s="30" t="s">
        <v>71</v>
      </c>
      <c r="H992" s="30">
        <v>-4.2917220338000002E-2</v>
      </c>
      <c r="I992" s="58">
        <v>0</v>
      </c>
      <c r="J992" s="58">
        <v>1.50465172527291E+19</v>
      </c>
    </row>
    <row r="993" spans="3:10">
      <c r="C993" s="29" t="b">
        <v>0</v>
      </c>
      <c r="D993" s="30" t="s">
        <v>74</v>
      </c>
      <c r="E993" s="137">
        <v>11</v>
      </c>
      <c r="F993" s="30" t="s">
        <v>66</v>
      </c>
      <c r="G993" s="30" t="s">
        <v>71</v>
      </c>
      <c r="H993" s="30">
        <v>-3.44473228553E-2</v>
      </c>
      <c r="I993" s="58">
        <v>0</v>
      </c>
      <c r="J993" s="58">
        <v>1.2101379854662899E+18</v>
      </c>
    </row>
    <row r="994" spans="3:10">
      <c r="C994" s="29" t="b">
        <v>0</v>
      </c>
      <c r="D994" s="30" t="s">
        <v>75</v>
      </c>
      <c r="E994" s="137">
        <v>10</v>
      </c>
      <c r="F994" s="30" t="s">
        <v>66</v>
      </c>
      <c r="G994" s="30" t="s">
        <v>71</v>
      </c>
      <c r="H994" s="30">
        <v>-5.6047260253100001E-2</v>
      </c>
      <c r="I994" s="58">
        <v>0</v>
      </c>
      <c r="J994" s="58">
        <v>1.1112634041787001E+19</v>
      </c>
    </row>
    <row r="995" spans="3:10">
      <c r="C995" s="29" t="b">
        <v>0</v>
      </c>
      <c r="D995" s="30" t="s">
        <v>77</v>
      </c>
      <c r="E995" s="137">
        <v>10</v>
      </c>
      <c r="F995" s="30" t="s">
        <v>66</v>
      </c>
      <c r="G995" s="30" t="s">
        <v>71</v>
      </c>
      <c r="H995" s="30">
        <v>-4.5905959259199901E-2</v>
      </c>
      <c r="I995" s="58">
        <v>0</v>
      </c>
      <c r="J995" s="58">
        <v>3.5280301223597302E+18</v>
      </c>
    </row>
    <row r="996" spans="3:10">
      <c r="C996" s="29" t="b">
        <v>0</v>
      </c>
      <c r="D996" s="30" t="s">
        <v>78</v>
      </c>
      <c r="E996" s="137">
        <v>10</v>
      </c>
      <c r="F996" s="30" t="s">
        <v>66</v>
      </c>
      <c r="G996" s="30" t="s">
        <v>71</v>
      </c>
      <c r="H996" s="30">
        <v>-1.42832458072E-2</v>
      </c>
      <c r="I996" s="58">
        <v>0</v>
      </c>
      <c r="J996" s="58">
        <v>8.9421909562286602E+18</v>
      </c>
    </row>
    <row r="997" spans="3:10">
      <c r="C997" s="29" t="b">
        <v>0</v>
      </c>
      <c r="D997" s="30" t="s">
        <v>79</v>
      </c>
      <c r="E997" s="137">
        <v>10</v>
      </c>
      <c r="F997" s="30" t="s">
        <v>66</v>
      </c>
      <c r="G997" s="30" t="s">
        <v>71</v>
      </c>
      <c r="H997" s="30">
        <v>-6.3754787388500003E-2</v>
      </c>
      <c r="I997" s="58">
        <v>0</v>
      </c>
      <c r="J997" s="58">
        <v>1.11560336953879E+19</v>
      </c>
    </row>
    <row r="998" spans="3:10">
      <c r="C998" s="29" t="b">
        <v>0</v>
      </c>
      <c r="D998" s="30" t="s">
        <v>72</v>
      </c>
      <c r="E998" s="137">
        <v>10</v>
      </c>
      <c r="F998" s="30" t="s">
        <v>66</v>
      </c>
      <c r="G998" s="30" t="s">
        <v>71</v>
      </c>
      <c r="H998" s="30">
        <v>-4.9764670767699998E-2</v>
      </c>
      <c r="I998" s="58">
        <v>0</v>
      </c>
      <c r="J998" s="58">
        <v>7.4711779185537905E+18</v>
      </c>
    </row>
    <row r="999" spans="3:10">
      <c r="C999" s="29" t="b">
        <v>0</v>
      </c>
      <c r="D999" s="30" t="s">
        <v>80</v>
      </c>
      <c r="E999" s="137">
        <v>10</v>
      </c>
      <c r="F999" s="30" t="s">
        <v>66</v>
      </c>
      <c r="G999" s="30" t="s">
        <v>71</v>
      </c>
      <c r="H999" s="30">
        <v>-6.8971426839600003E-2</v>
      </c>
      <c r="I999" s="58">
        <v>0</v>
      </c>
      <c r="J999" s="58">
        <v>2.85871075701235E+18</v>
      </c>
    </row>
    <row r="1000" spans="3:10">
      <c r="C1000" s="29" t="b">
        <v>0</v>
      </c>
      <c r="D1000" s="30" t="s">
        <v>81</v>
      </c>
      <c r="E1000" s="137">
        <v>10</v>
      </c>
      <c r="F1000" s="30" t="s">
        <v>66</v>
      </c>
      <c r="G1000" s="30" t="s">
        <v>71</v>
      </c>
      <c r="H1000" s="30">
        <v>-9.1749149690199996E-2</v>
      </c>
      <c r="I1000" s="58">
        <v>0</v>
      </c>
      <c r="J1000" s="58">
        <v>8.8653429934415401E+18</v>
      </c>
    </row>
    <row r="1001" spans="3:10">
      <c r="C1001" s="29" t="b">
        <v>0</v>
      </c>
      <c r="D1001" s="30" t="s">
        <v>82</v>
      </c>
      <c r="E1001" s="137">
        <v>10</v>
      </c>
      <c r="F1001" s="30" t="s">
        <v>66</v>
      </c>
      <c r="G1001" s="30" t="s">
        <v>71</v>
      </c>
      <c r="H1001" s="30">
        <v>-2.20622212949E-2</v>
      </c>
      <c r="I1001" s="58">
        <v>0</v>
      </c>
      <c r="J1001" s="58">
        <v>1.1031458150500899E+17</v>
      </c>
    </row>
    <row r="1002" spans="3:10">
      <c r="C1002" s="29" t="b">
        <v>0</v>
      </c>
      <c r="D1002" s="30" t="s">
        <v>83</v>
      </c>
      <c r="E1002" s="137">
        <v>10</v>
      </c>
      <c r="F1002" s="30" t="s">
        <v>66</v>
      </c>
      <c r="G1002" s="30" t="s">
        <v>71</v>
      </c>
      <c r="H1002" s="30">
        <v>-0.17645250840999999</v>
      </c>
      <c r="I1002" s="58">
        <v>0</v>
      </c>
      <c r="J1002" s="58">
        <v>5.2956347166831104E+18</v>
      </c>
    </row>
    <row r="1003" spans="3:10">
      <c r="C1003" s="29" t="b">
        <v>0</v>
      </c>
      <c r="D1003" s="30" t="s">
        <v>64</v>
      </c>
      <c r="E1003" s="137">
        <v>10</v>
      </c>
      <c r="F1003" s="30" t="s">
        <v>66</v>
      </c>
      <c r="G1003" s="30" t="s">
        <v>71</v>
      </c>
      <c r="H1003" s="30">
        <v>-3.2698832431899999E-2</v>
      </c>
      <c r="I1003" s="58">
        <v>0</v>
      </c>
      <c r="J1003" s="58">
        <v>1.82641467387426E+19</v>
      </c>
    </row>
    <row r="1004" spans="3:10">
      <c r="C1004" s="29" t="b">
        <v>0</v>
      </c>
      <c r="D1004" s="30" t="s">
        <v>69</v>
      </c>
      <c r="E1004" s="137">
        <v>9</v>
      </c>
      <c r="F1004" s="30" t="s">
        <v>66</v>
      </c>
      <c r="G1004" s="30" t="s">
        <v>71</v>
      </c>
      <c r="H1004" s="30">
        <v>-7.5079450520699906E-2</v>
      </c>
      <c r="I1004" s="58">
        <v>0</v>
      </c>
      <c r="J1004" s="58">
        <v>7.2095493924188795E+18</v>
      </c>
    </row>
    <row r="1005" spans="3:10">
      <c r="C1005" s="29" t="b">
        <v>0</v>
      </c>
      <c r="D1005" s="30" t="s">
        <v>73</v>
      </c>
      <c r="E1005" s="137">
        <v>9</v>
      </c>
      <c r="F1005" s="30" t="s">
        <v>66</v>
      </c>
      <c r="G1005" s="30" t="s">
        <v>71</v>
      </c>
      <c r="H1005" s="30">
        <v>-1.7397307980500001E-2</v>
      </c>
      <c r="I1005" s="58">
        <v>0</v>
      </c>
      <c r="J1005" s="58">
        <v>5.8459822697664604E+18</v>
      </c>
    </row>
    <row r="1006" spans="3:10">
      <c r="C1006" s="29" t="b">
        <v>0</v>
      </c>
      <c r="D1006" s="30" t="s">
        <v>74</v>
      </c>
      <c r="E1006" s="137">
        <v>9</v>
      </c>
      <c r="F1006" s="30" t="s">
        <v>66</v>
      </c>
      <c r="G1006" s="30" t="s">
        <v>71</v>
      </c>
      <c r="H1006" s="30">
        <v>-2.6744402820199999E-2</v>
      </c>
      <c r="I1006" s="58">
        <v>0</v>
      </c>
      <c r="J1006" s="58">
        <v>1.8137524399087401E+19</v>
      </c>
    </row>
    <row r="1007" spans="3:10">
      <c r="C1007" s="29" t="b">
        <v>0</v>
      </c>
      <c r="D1007" s="30" t="s">
        <v>75</v>
      </c>
      <c r="E1007" s="137">
        <v>9</v>
      </c>
      <c r="F1007" s="30" t="s">
        <v>66</v>
      </c>
      <c r="G1007" s="30" t="s">
        <v>71</v>
      </c>
      <c r="H1007" s="30">
        <v>-6.7724604377300004E-2</v>
      </c>
      <c r="I1007" s="58">
        <v>0</v>
      </c>
      <c r="J1007" s="58">
        <v>5.1682727804473805E+18</v>
      </c>
    </row>
    <row r="1008" spans="3:10">
      <c r="C1008" s="29" t="b">
        <v>0</v>
      </c>
      <c r="D1008" s="30" t="s">
        <v>76</v>
      </c>
      <c r="E1008" s="137">
        <v>9</v>
      </c>
      <c r="F1008" s="30" t="s">
        <v>66</v>
      </c>
      <c r="G1008" s="30" t="s">
        <v>71</v>
      </c>
      <c r="H1008" s="30">
        <v>-2.95463942763E-2</v>
      </c>
      <c r="I1008" s="58">
        <v>0</v>
      </c>
      <c r="J1008" s="58">
        <v>4.1510705532202598E+18</v>
      </c>
    </row>
    <row r="1009" spans="3:10">
      <c r="C1009" s="29" t="b">
        <v>0</v>
      </c>
      <c r="D1009" s="30" t="s">
        <v>78</v>
      </c>
      <c r="E1009" s="137">
        <v>16</v>
      </c>
      <c r="F1009" s="30" t="s">
        <v>66</v>
      </c>
      <c r="G1009" s="30" t="s">
        <v>71</v>
      </c>
      <c r="H1009" s="30">
        <v>-2.4589306399400001E-2</v>
      </c>
      <c r="I1009" s="58">
        <v>0</v>
      </c>
      <c r="J1009" s="58">
        <v>4.4577730353009802E+18</v>
      </c>
    </row>
    <row r="1010" spans="3:10">
      <c r="C1010" s="29" t="b">
        <v>0</v>
      </c>
      <c r="D1010" s="30" t="s">
        <v>77</v>
      </c>
      <c r="E1010" s="137">
        <v>9</v>
      </c>
      <c r="F1010" s="30" t="s">
        <v>66</v>
      </c>
      <c r="G1010" s="30" t="s">
        <v>71</v>
      </c>
      <c r="H1010" s="30">
        <v>-3.9663695843299998E-2</v>
      </c>
      <c r="I1010" s="58">
        <v>0</v>
      </c>
      <c r="J1010" s="58">
        <v>2.0685751361018601E+18</v>
      </c>
    </row>
    <row r="1011" spans="3:10">
      <c r="C1011" s="29" t="b">
        <v>0</v>
      </c>
      <c r="D1011" s="30" t="s">
        <v>64</v>
      </c>
      <c r="E1011" s="137">
        <v>0</v>
      </c>
      <c r="F1011" s="30" t="s">
        <v>66</v>
      </c>
      <c r="G1011" s="30" t="s">
        <v>67</v>
      </c>
      <c r="H1011" s="30">
        <v>7.76611182029E-3</v>
      </c>
      <c r="I1011" s="58">
        <v>0</v>
      </c>
      <c r="J1011" s="58">
        <v>7.5322530119712696E+18</v>
      </c>
    </row>
    <row r="1012" spans="3:10">
      <c r="C1012" s="29" t="b">
        <v>0</v>
      </c>
      <c r="D1012" s="30" t="s">
        <v>81</v>
      </c>
      <c r="E1012" s="137">
        <v>11</v>
      </c>
      <c r="F1012" s="30" t="s">
        <v>66</v>
      </c>
      <c r="G1012" s="30" t="s">
        <v>67</v>
      </c>
      <c r="H1012" s="30">
        <v>-8.8991179695999997E-2</v>
      </c>
      <c r="I1012" s="58">
        <v>0</v>
      </c>
      <c r="J1012" s="58">
        <v>8.9924069781970202E+17</v>
      </c>
    </row>
    <row r="1013" spans="3:10">
      <c r="C1013" s="29" t="b">
        <v>0</v>
      </c>
      <c r="D1013" s="30" t="s">
        <v>81</v>
      </c>
      <c r="E1013" s="137">
        <v>12</v>
      </c>
      <c r="F1013" s="30" t="s">
        <v>66</v>
      </c>
      <c r="G1013" s="30" t="s">
        <v>67</v>
      </c>
      <c r="H1013" s="30">
        <v>-7.0714049508399907E-2</v>
      </c>
      <c r="I1013" s="58">
        <v>0</v>
      </c>
      <c r="J1013" s="58">
        <v>1.2553549013111501E+18</v>
      </c>
    </row>
    <row r="1014" spans="3:10">
      <c r="C1014" s="29" t="b">
        <v>0</v>
      </c>
      <c r="D1014" s="30" t="s">
        <v>82</v>
      </c>
      <c r="E1014" s="137">
        <v>12</v>
      </c>
      <c r="F1014" s="30" t="s">
        <v>66</v>
      </c>
      <c r="G1014" s="30" t="s">
        <v>67</v>
      </c>
      <c r="H1014" s="30">
        <v>4.2362869768499997E-2</v>
      </c>
      <c r="I1014" s="58">
        <v>0</v>
      </c>
      <c r="J1014" s="58">
        <v>8.77931920654225E+18</v>
      </c>
    </row>
    <row r="1015" spans="3:10">
      <c r="C1015" s="29" t="b">
        <v>0</v>
      </c>
      <c r="D1015" s="30" t="s">
        <v>83</v>
      </c>
      <c r="E1015" s="137">
        <v>12</v>
      </c>
      <c r="F1015" s="30" t="s">
        <v>66</v>
      </c>
      <c r="G1015" s="30" t="s">
        <v>67</v>
      </c>
      <c r="H1015" s="30">
        <v>1.22552469576E-2</v>
      </c>
      <c r="I1015" s="58">
        <v>0</v>
      </c>
      <c r="J1015" s="58">
        <v>4.3980889193026202E+18</v>
      </c>
    </row>
    <row r="1016" spans="3:10">
      <c r="C1016" s="29" t="b">
        <v>0</v>
      </c>
      <c r="D1016" s="30" t="s">
        <v>64</v>
      </c>
      <c r="E1016" s="137">
        <v>12</v>
      </c>
      <c r="F1016" s="30" t="s">
        <v>66</v>
      </c>
      <c r="G1016" s="30" t="s">
        <v>67</v>
      </c>
      <c r="H1016" s="30">
        <v>-7.1251336892799999E-3</v>
      </c>
      <c r="I1016" s="58">
        <v>0</v>
      </c>
      <c r="J1016" s="58">
        <v>6.60121875946829E+18</v>
      </c>
    </row>
    <row r="1017" spans="3:10">
      <c r="C1017" s="29" t="b">
        <v>0</v>
      </c>
      <c r="D1017" s="30" t="s">
        <v>69</v>
      </c>
      <c r="E1017" s="137">
        <v>11</v>
      </c>
      <c r="F1017" s="30" t="s">
        <v>66</v>
      </c>
      <c r="G1017" s="30" t="s">
        <v>67</v>
      </c>
      <c r="H1017" s="30">
        <v>-4.0369212203099997E-2</v>
      </c>
      <c r="I1017" s="58">
        <v>0</v>
      </c>
      <c r="J1017" s="58">
        <v>7.4562012759346801E+18</v>
      </c>
    </row>
    <row r="1018" spans="3:10">
      <c r="C1018" s="29" t="b">
        <v>0</v>
      </c>
      <c r="D1018" s="30" t="s">
        <v>73</v>
      </c>
      <c r="E1018" s="137">
        <v>11</v>
      </c>
      <c r="F1018" s="30" t="s">
        <v>66</v>
      </c>
      <c r="G1018" s="30" t="s">
        <v>67</v>
      </c>
      <c r="H1018" s="30">
        <v>-6.3492580597599999E-3</v>
      </c>
      <c r="I1018" s="58">
        <v>0</v>
      </c>
      <c r="J1018" s="58">
        <v>8.1236759674400799E+18</v>
      </c>
    </row>
    <row r="1019" spans="3:10">
      <c r="C1019" s="29" t="b">
        <v>0</v>
      </c>
      <c r="D1019" s="30" t="s">
        <v>74</v>
      </c>
      <c r="E1019" s="137">
        <v>11</v>
      </c>
      <c r="F1019" s="30" t="s">
        <v>66</v>
      </c>
      <c r="G1019" s="30" t="s">
        <v>67</v>
      </c>
      <c r="H1019" s="30">
        <v>3.05283964358E-2</v>
      </c>
      <c r="I1019" s="58">
        <v>0</v>
      </c>
      <c r="J1019" s="58">
        <v>1.0916965010347399E+19</v>
      </c>
    </row>
    <row r="1020" spans="3:10">
      <c r="C1020" s="29" t="b">
        <v>0</v>
      </c>
      <c r="D1020" s="30" t="s">
        <v>75</v>
      </c>
      <c r="E1020" s="137">
        <v>11</v>
      </c>
      <c r="F1020" s="30" t="s">
        <v>66</v>
      </c>
      <c r="G1020" s="30" t="s">
        <v>67</v>
      </c>
      <c r="H1020" s="30">
        <v>-1.50336559644E-3</v>
      </c>
      <c r="I1020" s="58">
        <v>0</v>
      </c>
      <c r="J1020" s="58">
        <v>1.0642660708644301E+19</v>
      </c>
    </row>
    <row r="1021" spans="3:10">
      <c r="C1021" s="29" t="b">
        <v>0</v>
      </c>
      <c r="D1021" s="30" t="s">
        <v>76</v>
      </c>
      <c r="E1021" s="137">
        <v>11</v>
      </c>
      <c r="F1021" s="30" t="s">
        <v>66</v>
      </c>
      <c r="G1021" s="30" t="s">
        <v>67</v>
      </c>
      <c r="H1021" s="30">
        <v>2.0380343808299999E-2</v>
      </c>
      <c r="I1021" s="58">
        <v>0</v>
      </c>
      <c r="J1021" s="58">
        <v>8.7352128316211896E+18</v>
      </c>
    </row>
    <row r="1022" spans="3:10">
      <c r="C1022" s="29" t="b">
        <v>0</v>
      </c>
      <c r="D1022" s="30" t="s">
        <v>77</v>
      </c>
      <c r="E1022" s="137">
        <v>11</v>
      </c>
      <c r="F1022" s="30" t="s">
        <v>66</v>
      </c>
      <c r="G1022" s="30" t="s">
        <v>67</v>
      </c>
      <c r="H1022" s="30">
        <v>-1.4830160752999999E-2</v>
      </c>
      <c r="I1022" s="58">
        <v>0</v>
      </c>
      <c r="J1022" s="58">
        <v>7.9493099767463096E+18</v>
      </c>
    </row>
    <row r="1023" spans="3:10">
      <c r="C1023" s="29" t="b">
        <v>0</v>
      </c>
      <c r="D1023" s="30" t="s">
        <v>78</v>
      </c>
      <c r="E1023" s="137">
        <v>11</v>
      </c>
      <c r="F1023" s="30" t="s">
        <v>66</v>
      </c>
      <c r="G1023" s="30" t="s">
        <v>67</v>
      </c>
      <c r="H1023" s="30">
        <v>-5.1140807625099996E-3</v>
      </c>
      <c r="I1023" s="58">
        <v>0</v>
      </c>
      <c r="J1023" s="58">
        <v>1.1098471270676199E+19</v>
      </c>
    </row>
    <row r="1024" spans="3:10">
      <c r="C1024" s="29" t="b">
        <v>0</v>
      </c>
      <c r="D1024" s="30" t="s">
        <v>79</v>
      </c>
      <c r="E1024" s="137">
        <v>11</v>
      </c>
      <c r="F1024" s="30" t="s">
        <v>66</v>
      </c>
      <c r="G1024" s="30" t="s">
        <v>67</v>
      </c>
      <c r="H1024" s="30">
        <v>-5.2011779193599998E-2</v>
      </c>
      <c r="I1024" s="58">
        <v>0</v>
      </c>
      <c r="J1024" s="58">
        <v>7.7465916539593605E+18</v>
      </c>
    </row>
    <row r="1025" spans="3:10">
      <c r="C1025" s="29" t="b">
        <v>0</v>
      </c>
      <c r="D1025" s="30" t="s">
        <v>72</v>
      </c>
      <c r="E1025" s="137">
        <v>11</v>
      </c>
      <c r="F1025" s="30" t="s">
        <v>66</v>
      </c>
      <c r="G1025" s="30" t="s">
        <v>67</v>
      </c>
      <c r="H1025" s="30">
        <v>-2.3329026041000001E-2</v>
      </c>
      <c r="I1025" s="58">
        <v>0</v>
      </c>
      <c r="J1025" s="58">
        <v>1.8757931583789501E+17</v>
      </c>
    </row>
    <row r="1026" spans="3:10">
      <c r="C1026" s="29" t="b">
        <v>0</v>
      </c>
      <c r="D1026" s="30" t="s">
        <v>80</v>
      </c>
      <c r="E1026" s="137">
        <v>11</v>
      </c>
      <c r="F1026" s="30" t="s">
        <v>66</v>
      </c>
      <c r="G1026" s="30" t="s">
        <v>67</v>
      </c>
      <c r="H1026" s="30">
        <v>-2.4692765015699999E-2</v>
      </c>
      <c r="I1026" s="58">
        <v>0</v>
      </c>
      <c r="J1026" s="58">
        <v>7.2500295861008701E+18</v>
      </c>
    </row>
    <row r="1027" spans="3:10">
      <c r="C1027" s="29" t="b">
        <v>0</v>
      </c>
      <c r="D1027" s="30" t="s">
        <v>82</v>
      </c>
      <c r="E1027" s="137">
        <v>11</v>
      </c>
      <c r="F1027" s="30" t="s">
        <v>66</v>
      </c>
      <c r="G1027" s="30" t="s">
        <v>67</v>
      </c>
      <c r="H1027" s="30">
        <v>2.26803666835E-2</v>
      </c>
      <c r="I1027" s="58">
        <v>0</v>
      </c>
      <c r="J1027" s="58">
        <v>4.8709358618068E+17</v>
      </c>
    </row>
    <row r="1028" spans="3:10">
      <c r="C1028" s="29" t="b">
        <v>0</v>
      </c>
      <c r="D1028" s="30" t="s">
        <v>79</v>
      </c>
      <c r="E1028" s="137">
        <v>9</v>
      </c>
      <c r="F1028" s="30" t="s">
        <v>66</v>
      </c>
      <c r="G1028" s="30" t="s">
        <v>71</v>
      </c>
      <c r="H1028" s="30">
        <v>-6.9248081046399998E-2</v>
      </c>
      <c r="I1028" s="58">
        <v>0</v>
      </c>
      <c r="J1028" s="58">
        <v>9.5329290958604902E+18</v>
      </c>
    </row>
    <row r="1029" spans="3:10">
      <c r="C1029" s="29" t="b">
        <v>0</v>
      </c>
      <c r="D1029" s="30" t="s">
        <v>83</v>
      </c>
      <c r="E1029" s="137">
        <v>11</v>
      </c>
      <c r="F1029" s="30" t="s">
        <v>66</v>
      </c>
      <c r="G1029" s="30" t="s">
        <v>67</v>
      </c>
      <c r="H1029" s="30">
        <v>-3.2769644362599999E-2</v>
      </c>
      <c r="I1029" s="58">
        <v>0</v>
      </c>
      <c r="J1029" s="58">
        <v>1.1754249952302299E+19</v>
      </c>
    </row>
    <row r="1030" spans="3:10">
      <c r="C1030" s="29" t="b">
        <v>0</v>
      </c>
      <c r="D1030" s="30" t="s">
        <v>64</v>
      </c>
      <c r="E1030" s="137">
        <v>11</v>
      </c>
      <c r="F1030" s="30" t="s">
        <v>66</v>
      </c>
      <c r="G1030" s="30" t="s">
        <v>67</v>
      </c>
      <c r="H1030" s="30">
        <v>7.4604307922499996E-3</v>
      </c>
      <c r="I1030" s="58">
        <v>0</v>
      </c>
      <c r="J1030" s="58">
        <v>1.0706856148599599E+19</v>
      </c>
    </row>
    <row r="1031" spans="3:10">
      <c r="C1031" s="29" t="b">
        <v>0</v>
      </c>
      <c r="D1031" s="30" t="s">
        <v>69</v>
      </c>
      <c r="E1031" s="137">
        <v>10</v>
      </c>
      <c r="F1031" s="30" t="s">
        <v>66</v>
      </c>
      <c r="G1031" s="30" t="s">
        <v>67</v>
      </c>
      <c r="H1031" s="30">
        <v>-6.62865277457E-2</v>
      </c>
      <c r="I1031" s="58">
        <v>0</v>
      </c>
      <c r="J1031" s="58">
        <v>1.74762350605876E+19</v>
      </c>
    </row>
    <row r="1032" spans="3:10">
      <c r="C1032" s="29" t="b">
        <v>0</v>
      </c>
      <c r="D1032" s="30" t="s">
        <v>73</v>
      </c>
      <c r="E1032" s="137">
        <v>10</v>
      </c>
      <c r="F1032" s="30" t="s">
        <v>66</v>
      </c>
      <c r="G1032" s="30" t="s">
        <v>67</v>
      </c>
      <c r="H1032" s="30">
        <v>-9.3537530182300002E-3</v>
      </c>
      <c r="I1032" s="58">
        <v>0</v>
      </c>
      <c r="J1032" s="58">
        <v>1.9455904330859899E+18</v>
      </c>
    </row>
    <row r="1033" spans="3:10">
      <c r="C1033" s="29" t="b">
        <v>0</v>
      </c>
      <c r="D1033" s="30" t="s">
        <v>72</v>
      </c>
      <c r="E1033" s="137">
        <v>12</v>
      </c>
      <c r="F1033" s="30" t="s">
        <v>66</v>
      </c>
      <c r="G1033" s="30" t="s">
        <v>67</v>
      </c>
      <c r="H1033" s="30">
        <v>-1.8145940303299999E-2</v>
      </c>
      <c r="I1033" s="58">
        <v>0</v>
      </c>
      <c r="J1033" s="58">
        <v>5.75835557897715E+18</v>
      </c>
    </row>
    <row r="1034" spans="3:10">
      <c r="C1034" s="29" t="b">
        <v>0</v>
      </c>
      <c r="D1034" s="30" t="s">
        <v>74</v>
      </c>
      <c r="E1034" s="137">
        <v>10</v>
      </c>
      <c r="F1034" s="30" t="s">
        <v>66</v>
      </c>
      <c r="G1034" s="30" t="s">
        <v>67</v>
      </c>
      <c r="H1034" s="30">
        <v>-4.13791137607E-3</v>
      </c>
      <c r="I1034" s="58">
        <v>0</v>
      </c>
      <c r="J1034" s="58">
        <v>8.9405946224511703E+18</v>
      </c>
    </row>
    <row r="1035" spans="3:10">
      <c r="C1035" s="29" t="b">
        <v>0</v>
      </c>
      <c r="D1035" s="30" t="s">
        <v>79</v>
      </c>
      <c r="E1035" s="137">
        <v>12</v>
      </c>
      <c r="F1035" s="30" t="s">
        <v>66</v>
      </c>
      <c r="G1035" s="30" t="s">
        <v>67</v>
      </c>
      <c r="H1035" s="30">
        <v>-4.3699594114399998E-2</v>
      </c>
      <c r="I1035" s="58">
        <v>0</v>
      </c>
      <c r="J1035" s="58">
        <v>9.8661493168951808E+18</v>
      </c>
    </row>
    <row r="1036" spans="3:10">
      <c r="C1036" s="29" t="b">
        <v>0</v>
      </c>
      <c r="D1036" s="30" t="s">
        <v>77</v>
      </c>
      <c r="E1036" s="137">
        <v>12</v>
      </c>
      <c r="F1036" s="30" t="s">
        <v>66</v>
      </c>
      <c r="G1036" s="30" t="s">
        <v>67</v>
      </c>
      <c r="H1036" s="30">
        <v>-7.4306930527298998E-3</v>
      </c>
      <c r="I1036" s="58">
        <v>0</v>
      </c>
      <c r="J1036" s="58">
        <v>1.7430812560710101E+19</v>
      </c>
    </row>
    <row r="1037" spans="3:10">
      <c r="C1037" s="29" t="b">
        <v>0</v>
      </c>
      <c r="D1037" s="30" t="s">
        <v>83</v>
      </c>
      <c r="E1037" s="137">
        <v>14</v>
      </c>
      <c r="F1037" s="30" t="s">
        <v>66</v>
      </c>
      <c r="G1037" s="30" t="s">
        <v>67</v>
      </c>
      <c r="H1037" s="30">
        <v>2.02417407157E-2</v>
      </c>
      <c r="I1037" s="58">
        <v>0</v>
      </c>
      <c r="J1037" s="58">
        <v>1.1968718796593101E+19</v>
      </c>
    </row>
    <row r="1038" spans="3:10">
      <c r="C1038" s="29" t="b">
        <v>0</v>
      </c>
      <c r="D1038" s="30" t="s">
        <v>64</v>
      </c>
      <c r="E1038" s="137">
        <v>14</v>
      </c>
      <c r="F1038" s="30" t="s">
        <v>66</v>
      </c>
      <c r="G1038" s="30" t="s">
        <v>67</v>
      </c>
      <c r="H1038" s="30">
        <v>-2.4075714438700001E-2</v>
      </c>
      <c r="I1038" s="58">
        <v>0</v>
      </c>
      <c r="J1038" s="58">
        <v>1.09175824863022E+19</v>
      </c>
    </row>
    <row r="1039" spans="3:10">
      <c r="C1039" s="29" t="b">
        <v>0</v>
      </c>
      <c r="D1039" s="30" t="s">
        <v>69</v>
      </c>
      <c r="E1039" s="137">
        <v>13</v>
      </c>
      <c r="F1039" s="30" t="s">
        <v>66</v>
      </c>
      <c r="G1039" s="30" t="s">
        <v>67</v>
      </c>
      <c r="H1039" s="30">
        <v>-9.3882724079199995E-3</v>
      </c>
      <c r="I1039" s="58">
        <v>0</v>
      </c>
      <c r="J1039" s="58">
        <v>2.7199236696429302E+18</v>
      </c>
    </row>
    <row r="1040" spans="3:10">
      <c r="C1040" s="29" t="b">
        <v>0</v>
      </c>
      <c r="D1040" s="30" t="s">
        <v>73</v>
      </c>
      <c r="E1040" s="137">
        <v>13</v>
      </c>
      <c r="F1040" s="30" t="s">
        <v>66</v>
      </c>
      <c r="G1040" s="30" t="s">
        <v>67</v>
      </c>
      <c r="H1040" s="30">
        <v>-4.4499695279299999E-3</v>
      </c>
      <c r="I1040" s="58">
        <v>0</v>
      </c>
      <c r="J1040" s="58">
        <v>6.6340558007688806E+17</v>
      </c>
    </row>
    <row r="1041" spans="3:10">
      <c r="C1041" s="29" t="b">
        <v>0</v>
      </c>
      <c r="D1041" s="30" t="s">
        <v>74</v>
      </c>
      <c r="E1041" s="137">
        <v>13</v>
      </c>
      <c r="F1041" s="30" t="s">
        <v>66</v>
      </c>
      <c r="G1041" s="30" t="s">
        <v>67</v>
      </c>
      <c r="H1041" s="30">
        <v>5.9510357334099998E-2</v>
      </c>
      <c r="I1041" s="58">
        <v>0</v>
      </c>
      <c r="J1041" s="58">
        <v>8.0076527181850296E+18</v>
      </c>
    </row>
    <row r="1042" spans="3:10">
      <c r="C1042" s="29" t="b">
        <v>0</v>
      </c>
      <c r="D1042" s="30" t="s">
        <v>75</v>
      </c>
      <c r="E1042" s="137">
        <v>13</v>
      </c>
      <c r="F1042" s="30" t="s">
        <v>66</v>
      </c>
      <c r="G1042" s="30" t="s">
        <v>67</v>
      </c>
      <c r="H1042" s="30">
        <v>4.3997427415299996E-3</v>
      </c>
      <c r="I1042" s="58">
        <v>0</v>
      </c>
      <c r="J1042" s="58">
        <v>9.4085494969152696E+18</v>
      </c>
    </row>
    <row r="1043" spans="3:10">
      <c r="C1043" s="29" t="b">
        <v>0</v>
      </c>
      <c r="D1043" s="30" t="s">
        <v>80</v>
      </c>
      <c r="E1043" s="137">
        <v>12</v>
      </c>
      <c r="F1043" s="30" t="s">
        <v>66</v>
      </c>
      <c r="G1043" s="30" t="s">
        <v>67</v>
      </c>
      <c r="H1043" s="30">
        <v>-1.6983906673999901E-2</v>
      </c>
      <c r="I1043" s="58">
        <v>0</v>
      </c>
      <c r="J1043" s="58">
        <v>9.2763888518115799E+18</v>
      </c>
    </row>
    <row r="1044" spans="3:10">
      <c r="C1044" s="29" t="b">
        <v>0</v>
      </c>
      <c r="D1044" s="30" t="s">
        <v>81</v>
      </c>
      <c r="E1044" s="137">
        <v>7</v>
      </c>
      <c r="F1044" s="30" t="s">
        <v>66</v>
      </c>
      <c r="G1044" s="30" t="s">
        <v>67</v>
      </c>
      <c r="H1044" s="30">
        <v>2.66682447552E-2</v>
      </c>
      <c r="I1044" s="58">
        <v>0</v>
      </c>
      <c r="J1044" s="58">
        <v>9.7417975415021097E+18</v>
      </c>
    </row>
    <row r="1045" spans="3:10">
      <c r="C1045" s="29" t="b">
        <v>0</v>
      </c>
      <c r="D1045" s="30" t="s">
        <v>83</v>
      </c>
      <c r="E1045" s="137">
        <v>7</v>
      </c>
      <c r="F1045" s="30" t="s">
        <v>66</v>
      </c>
      <c r="G1045" s="30" t="s">
        <v>67</v>
      </c>
      <c r="H1045" s="30">
        <v>-5.3825194023399997E-2</v>
      </c>
      <c r="I1045" s="58">
        <v>0</v>
      </c>
      <c r="J1045" s="58">
        <v>7.8626201540146196E+18</v>
      </c>
    </row>
    <row r="1046" spans="3:10">
      <c r="C1046" s="29" t="b">
        <v>0</v>
      </c>
      <c r="D1046" s="30" t="s">
        <v>72</v>
      </c>
      <c r="E1046" s="137">
        <v>9</v>
      </c>
      <c r="F1046" s="30" t="s">
        <v>66</v>
      </c>
      <c r="G1046" s="30" t="s">
        <v>71</v>
      </c>
      <c r="H1046" s="30">
        <v>-5.6756631189500001E-2</v>
      </c>
      <c r="I1046" s="58">
        <v>0</v>
      </c>
      <c r="J1046" s="58">
        <v>1.02620086160936E+19</v>
      </c>
    </row>
    <row r="1047" spans="3:10">
      <c r="C1047" s="29" t="b">
        <v>0</v>
      </c>
      <c r="D1047" s="30" t="s">
        <v>80</v>
      </c>
      <c r="E1047" s="137">
        <v>0</v>
      </c>
      <c r="F1047" s="30" t="s">
        <v>66</v>
      </c>
      <c r="G1047" s="30" t="s">
        <v>67</v>
      </c>
      <c r="H1047" s="30">
        <v>-3.9116488496499999E-2</v>
      </c>
      <c r="I1047" s="58">
        <v>0</v>
      </c>
      <c r="J1047" s="58">
        <v>3.3895828925335598E+18</v>
      </c>
    </row>
    <row r="1048" spans="3:10">
      <c r="C1048" s="29" t="b">
        <v>0</v>
      </c>
      <c r="D1048" s="30" t="s">
        <v>81</v>
      </c>
      <c r="E1048" s="137">
        <v>0</v>
      </c>
      <c r="F1048" s="30" t="s">
        <v>66</v>
      </c>
      <c r="G1048" s="30" t="s">
        <v>67</v>
      </c>
      <c r="H1048" s="30">
        <v>-5.4623998170100002E-4</v>
      </c>
      <c r="I1048" s="58">
        <v>0</v>
      </c>
      <c r="J1048" s="58">
        <v>1.19431535514034E+18</v>
      </c>
    </row>
    <row r="1049" spans="3:10">
      <c r="C1049" s="29" t="b">
        <v>0</v>
      </c>
      <c r="D1049" s="30" t="s">
        <v>82</v>
      </c>
      <c r="E1049" s="137">
        <v>0</v>
      </c>
      <c r="F1049" s="30" t="s">
        <v>66</v>
      </c>
      <c r="G1049" s="30" t="s">
        <v>67</v>
      </c>
      <c r="H1049" s="30">
        <v>7.80174578614E-3</v>
      </c>
      <c r="I1049" s="58">
        <v>0</v>
      </c>
      <c r="J1049" s="58">
        <v>1.7275569491523701E+19</v>
      </c>
    </row>
    <row r="1050" spans="3:10">
      <c r="C1050" s="29" t="b">
        <v>0</v>
      </c>
      <c r="D1050" s="30" t="s">
        <v>76</v>
      </c>
      <c r="E1050" s="137">
        <v>1</v>
      </c>
      <c r="F1050" s="30" t="s">
        <v>66</v>
      </c>
      <c r="G1050" s="30" t="s">
        <v>67</v>
      </c>
      <c r="H1050" s="30">
        <v>5.3418856404399999E-3</v>
      </c>
      <c r="I1050" s="58">
        <v>0</v>
      </c>
      <c r="J1050" s="58">
        <v>1.8267121768217899E+19</v>
      </c>
    </row>
    <row r="1051" spans="3:10">
      <c r="C1051" s="29" t="b">
        <v>0</v>
      </c>
      <c r="D1051" s="30" t="s">
        <v>78</v>
      </c>
      <c r="E1051" s="137">
        <v>3</v>
      </c>
      <c r="F1051" s="30" t="s">
        <v>66</v>
      </c>
      <c r="G1051" s="30" t="s">
        <v>67</v>
      </c>
      <c r="H1051" s="30">
        <v>-3.96855716001E-2</v>
      </c>
      <c r="I1051" s="58">
        <v>0</v>
      </c>
      <c r="J1051" s="58">
        <v>1.7572266114646999E+18</v>
      </c>
    </row>
    <row r="1052" spans="3:10">
      <c r="C1052" s="29" t="b">
        <v>0</v>
      </c>
      <c r="D1052" s="30" t="s">
        <v>75</v>
      </c>
      <c r="E1052" s="137">
        <v>1</v>
      </c>
      <c r="F1052" s="30" t="s">
        <v>66</v>
      </c>
      <c r="G1052" s="30" t="s">
        <v>67</v>
      </c>
      <c r="H1052" s="30">
        <v>-2.25271650437E-2</v>
      </c>
      <c r="I1052" s="58">
        <v>0</v>
      </c>
      <c r="J1052" s="58">
        <v>1.3413195739856599E+19</v>
      </c>
    </row>
    <row r="1053" spans="3:10">
      <c r="C1053" s="29" t="b">
        <v>0</v>
      </c>
      <c r="D1053" s="30" t="s">
        <v>73</v>
      </c>
      <c r="E1053" s="137">
        <v>1</v>
      </c>
      <c r="F1053" s="30" t="s">
        <v>66</v>
      </c>
      <c r="G1053" s="30" t="s">
        <v>67</v>
      </c>
      <c r="H1053" s="30">
        <v>-7.1713801683100003E-3</v>
      </c>
      <c r="I1053" s="58">
        <v>0</v>
      </c>
      <c r="J1053" s="58">
        <v>1.3375539166205901E+19</v>
      </c>
    </row>
    <row r="1054" spans="3:10">
      <c r="C1054" s="29" t="b">
        <v>0</v>
      </c>
      <c r="D1054" s="30" t="s">
        <v>72</v>
      </c>
      <c r="E1054" s="137">
        <v>3</v>
      </c>
      <c r="F1054" s="30" t="s">
        <v>66</v>
      </c>
      <c r="G1054" s="30" t="s">
        <v>67</v>
      </c>
      <c r="H1054" s="30">
        <v>2.5692650575599999E-2</v>
      </c>
      <c r="I1054" s="58">
        <v>0</v>
      </c>
      <c r="J1054" s="58">
        <v>1.03435178741243E+19</v>
      </c>
    </row>
    <row r="1055" spans="3:10">
      <c r="C1055" s="29" t="b">
        <v>0</v>
      </c>
      <c r="D1055" s="30" t="s">
        <v>80</v>
      </c>
      <c r="E1055" s="137">
        <v>3</v>
      </c>
      <c r="F1055" s="30" t="s">
        <v>66</v>
      </c>
      <c r="G1055" s="30" t="s">
        <v>67</v>
      </c>
      <c r="H1055" s="30">
        <v>0.11851503795</v>
      </c>
      <c r="I1055" s="58">
        <v>0</v>
      </c>
      <c r="J1055" s="58">
        <v>7.0308871542555197E+18</v>
      </c>
    </row>
    <row r="1056" spans="3:10">
      <c r="C1056" s="29" t="b">
        <v>0</v>
      </c>
      <c r="D1056" s="30" t="s">
        <v>81</v>
      </c>
      <c r="E1056" s="137">
        <v>3</v>
      </c>
      <c r="F1056" s="30" t="s">
        <v>66</v>
      </c>
      <c r="G1056" s="30" t="s">
        <v>67</v>
      </c>
      <c r="H1056" s="30">
        <v>1.9946493697700001E-2</v>
      </c>
      <c r="I1056" s="58">
        <v>0</v>
      </c>
      <c r="J1056" s="58">
        <v>1.6264368375800801E+18</v>
      </c>
    </row>
    <row r="1057" spans="3:10">
      <c r="C1057" s="29" t="b">
        <v>0</v>
      </c>
      <c r="D1057" s="30" t="s">
        <v>82</v>
      </c>
      <c r="E1057" s="137">
        <v>3</v>
      </c>
      <c r="F1057" s="30" t="s">
        <v>66</v>
      </c>
      <c r="G1057" s="30" t="s">
        <v>67</v>
      </c>
      <c r="H1057" s="30">
        <v>9.9147919200599996E-3</v>
      </c>
      <c r="I1057" s="58">
        <v>0</v>
      </c>
      <c r="J1057" s="58">
        <v>1.7455006884994401E+18</v>
      </c>
    </row>
    <row r="1058" spans="3:10">
      <c r="C1058" s="29" t="b">
        <v>0</v>
      </c>
      <c r="D1058" s="30" t="s">
        <v>83</v>
      </c>
      <c r="E1058" s="137">
        <v>3</v>
      </c>
      <c r="F1058" s="30" t="s">
        <v>66</v>
      </c>
      <c r="G1058" s="30" t="s">
        <v>67</v>
      </c>
      <c r="H1058" s="30">
        <v>3.7749951916600001E-2</v>
      </c>
      <c r="I1058" s="58">
        <v>0</v>
      </c>
      <c r="J1058" s="58">
        <v>3.2299768296850801E+18</v>
      </c>
    </row>
    <row r="1059" spans="3:10">
      <c r="C1059" s="29" t="b">
        <v>0</v>
      </c>
      <c r="D1059" s="30" t="s">
        <v>64</v>
      </c>
      <c r="E1059" s="137">
        <v>3</v>
      </c>
      <c r="F1059" s="30" t="s">
        <v>66</v>
      </c>
      <c r="G1059" s="30" t="s">
        <v>67</v>
      </c>
      <c r="H1059" s="30">
        <v>4.7858788842199997E-2</v>
      </c>
      <c r="I1059" s="58">
        <v>0</v>
      </c>
      <c r="J1059" s="58">
        <v>1.75299864774807E+19</v>
      </c>
    </row>
    <row r="1060" spans="3:10">
      <c r="C1060" s="29" t="b">
        <v>0</v>
      </c>
      <c r="D1060" s="30" t="s">
        <v>69</v>
      </c>
      <c r="E1060" s="137">
        <v>2</v>
      </c>
      <c r="F1060" s="30" t="s">
        <v>66</v>
      </c>
      <c r="G1060" s="30" t="s">
        <v>67</v>
      </c>
      <c r="H1060" s="30">
        <v>4.3959925906400001E-3</v>
      </c>
      <c r="I1060" s="58">
        <v>0</v>
      </c>
      <c r="J1060" s="58">
        <v>3.3600545897453701E+18</v>
      </c>
    </row>
    <row r="1061" spans="3:10">
      <c r="C1061" s="29" t="b">
        <v>0</v>
      </c>
      <c r="D1061" s="30" t="s">
        <v>73</v>
      </c>
      <c r="E1061" s="137">
        <v>2</v>
      </c>
      <c r="F1061" s="30" t="s">
        <v>66</v>
      </c>
      <c r="G1061" s="30" t="s">
        <v>67</v>
      </c>
      <c r="H1061" s="30">
        <v>-7.5071279196E-3</v>
      </c>
      <c r="I1061" s="58">
        <v>0</v>
      </c>
      <c r="J1061" s="58">
        <v>1.4023967927269E+18</v>
      </c>
    </row>
    <row r="1062" spans="3:10">
      <c r="C1062" s="29" t="b">
        <v>0</v>
      </c>
      <c r="D1062" s="30" t="s">
        <v>74</v>
      </c>
      <c r="E1062" s="137">
        <v>2</v>
      </c>
      <c r="F1062" s="30" t="s">
        <v>66</v>
      </c>
      <c r="G1062" s="30" t="s">
        <v>67</v>
      </c>
      <c r="H1062" s="30">
        <v>-5.6768090243400002E-2</v>
      </c>
      <c r="I1062" s="58">
        <v>0</v>
      </c>
      <c r="J1062" s="58">
        <v>1.65397103223594E+19</v>
      </c>
    </row>
    <row r="1063" spans="3:10">
      <c r="C1063" s="29" t="b">
        <v>0</v>
      </c>
      <c r="D1063" s="30" t="s">
        <v>75</v>
      </c>
      <c r="E1063" s="137">
        <v>2</v>
      </c>
      <c r="F1063" s="30" t="s">
        <v>66</v>
      </c>
      <c r="G1063" s="30" t="s">
        <v>67</v>
      </c>
      <c r="H1063" s="30">
        <v>-1.9876666191700001E-2</v>
      </c>
      <c r="I1063" s="58">
        <v>0</v>
      </c>
      <c r="J1063" s="58">
        <v>9.1316663567229504E+17</v>
      </c>
    </row>
    <row r="1064" spans="3:10">
      <c r="C1064" s="29" t="b">
        <v>0</v>
      </c>
      <c r="D1064" s="30" t="s">
        <v>76</v>
      </c>
      <c r="E1064" s="137">
        <v>2</v>
      </c>
      <c r="F1064" s="30" t="s">
        <v>66</v>
      </c>
      <c r="G1064" s="30" t="s">
        <v>67</v>
      </c>
      <c r="H1064" s="30">
        <v>2.7964419796900002E-2</v>
      </c>
      <c r="I1064" s="58">
        <v>0</v>
      </c>
      <c r="J1064" s="58">
        <v>2.19571109548656E+18</v>
      </c>
    </row>
    <row r="1065" spans="3:10">
      <c r="C1065" s="29" t="b">
        <v>0</v>
      </c>
      <c r="D1065" s="30" t="s">
        <v>77</v>
      </c>
      <c r="E1065" s="137">
        <v>2</v>
      </c>
      <c r="F1065" s="30" t="s">
        <v>66</v>
      </c>
      <c r="G1065" s="30" t="s">
        <v>67</v>
      </c>
      <c r="H1065" s="30">
        <v>-1.24962347482E-2</v>
      </c>
      <c r="I1065" s="58">
        <v>0</v>
      </c>
      <c r="J1065" s="58">
        <v>8.3438240885505997E+18</v>
      </c>
    </row>
    <row r="1066" spans="3:10">
      <c r="C1066" s="29" t="b">
        <v>0</v>
      </c>
      <c r="D1066" s="30" t="s">
        <v>78</v>
      </c>
      <c r="E1066" s="137">
        <v>2</v>
      </c>
      <c r="F1066" s="30" t="s">
        <v>66</v>
      </c>
      <c r="G1066" s="30" t="s">
        <v>67</v>
      </c>
      <c r="H1066" s="30">
        <v>-4.3013682712399998E-2</v>
      </c>
      <c r="I1066" s="58">
        <v>0</v>
      </c>
      <c r="J1066" s="58">
        <v>6.71255626784499E+18</v>
      </c>
    </row>
    <row r="1067" spans="3:10">
      <c r="C1067" s="29" t="b">
        <v>0</v>
      </c>
      <c r="D1067" s="30" t="s">
        <v>79</v>
      </c>
      <c r="E1067" s="137">
        <v>2</v>
      </c>
      <c r="F1067" s="30" t="s">
        <v>66</v>
      </c>
      <c r="G1067" s="30" t="s">
        <v>67</v>
      </c>
      <c r="H1067" s="30">
        <v>9.2107667874900007E-3</v>
      </c>
      <c r="I1067" s="58">
        <v>0</v>
      </c>
      <c r="J1067" s="58">
        <v>1.44326929196317E+19</v>
      </c>
    </row>
    <row r="1068" spans="3:10">
      <c r="C1068" s="29" t="b">
        <v>0</v>
      </c>
      <c r="D1068" s="30" t="s">
        <v>72</v>
      </c>
      <c r="E1068" s="137">
        <v>2</v>
      </c>
      <c r="F1068" s="30" t="s">
        <v>66</v>
      </c>
      <c r="G1068" s="30" t="s">
        <v>67</v>
      </c>
      <c r="H1068" s="30">
        <v>2.1205214717200001E-3</v>
      </c>
      <c r="I1068" s="58">
        <v>0</v>
      </c>
      <c r="J1068" s="58">
        <v>1.1664298100639001E+19</v>
      </c>
    </row>
    <row r="1069" spans="3:10">
      <c r="C1069" s="29" t="b">
        <v>0</v>
      </c>
      <c r="D1069" s="30" t="s">
        <v>80</v>
      </c>
      <c r="E1069" s="137">
        <v>2</v>
      </c>
      <c r="F1069" s="30" t="s">
        <v>66</v>
      </c>
      <c r="G1069" s="30" t="s">
        <v>67</v>
      </c>
      <c r="H1069" s="30">
        <v>1.8849762983799999E-2</v>
      </c>
      <c r="I1069" s="58">
        <v>0</v>
      </c>
      <c r="J1069" s="58">
        <v>5.6844814215954E+16</v>
      </c>
    </row>
    <row r="1070" spans="3:10">
      <c r="C1070" s="29" t="b">
        <v>0</v>
      </c>
      <c r="D1070" s="30" t="s">
        <v>81</v>
      </c>
      <c r="E1070" s="137">
        <v>2</v>
      </c>
      <c r="F1070" s="30" t="s">
        <v>66</v>
      </c>
      <c r="G1070" s="30" t="s">
        <v>67</v>
      </c>
      <c r="H1070" s="30">
        <v>2.4528362129799999E-3</v>
      </c>
      <c r="I1070" s="58">
        <v>0</v>
      </c>
      <c r="J1070" s="58">
        <v>1.37348645951786E+19</v>
      </c>
    </row>
    <row r="1071" spans="3:10">
      <c r="C1071" s="29" t="b">
        <v>0</v>
      </c>
      <c r="D1071" s="30" t="s">
        <v>82</v>
      </c>
      <c r="E1071" s="137">
        <v>2</v>
      </c>
      <c r="F1071" s="30" t="s">
        <v>66</v>
      </c>
      <c r="G1071" s="30" t="s">
        <v>67</v>
      </c>
      <c r="H1071" s="30">
        <v>-9.0484902829900005E-3</v>
      </c>
      <c r="I1071" s="58">
        <v>0</v>
      </c>
      <c r="J1071" s="58">
        <v>6.0330304306256E+17</v>
      </c>
    </row>
    <row r="1072" spans="3:10">
      <c r="C1072" s="29" t="b">
        <v>0</v>
      </c>
      <c r="D1072" s="30" t="s">
        <v>83</v>
      </c>
      <c r="E1072" s="137">
        <v>2</v>
      </c>
      <c r="F1072" s="30" t="s">
        <v>66</v>
      </c>
      <c r="G1072" s="30" t="s">
        <v>67</v>
      </c>
      <c r="H1072" s="30">
        <v>-2.7065890167099999E-2</v>
      </c>
      <c r="I1072" s="58">
        <v>0</v>
      </c>
      <c r="J1072" s="58">
        <v>2.55964403620755E+18</v>
      </c>
    </row>
    <row r="1073" spans="3:10">
      <c r="C1073" s="29" t="b">
        <v>0</v>
      </c>
      <c r="D1073" s="30" t="s">
        <v>64</v>
      </c>
      <c r="E1073" s="137">
        <v>2</v>
      </c>
      <c r="F1073" s="30" t="s">
        <v>66</v>
      </c>
      <c r="G1073" s="30" t="s">
        <v>67</v>
      </c>
      <c r="H1073" s="30">
        <v>2.42960024654E-2</v>
      </c>
      <c r="I1073" s="58">
        <v>0</v>
      </c>
      <c r="J1073" s="58">
        <v>4.2680097373498501E+18</v>
      </c>
    </row>
    <row r="1074" spans="3:10">
      <c r="C1074" s="29" t="b">
        <v>0</v>
      </c>
      <c r="D1074" s="30" t="s">
        <v>69</v>
      </c>
      <c r="E1074" s="137">
        <v>1</v>
      </c>
      <c r="F1074" s="30" t="s">
        <v>66</v>
      </c>
      <c r="G1074" s="30" t="s">
        <v>67</v>
      </c>
      <c r="H1074" s="30">
        <v>-1.034610232E-2</v>
      </c>
      <c r="I1074" s="58">
        <v>0</v>
      </c>
      <c r="J1074" s="58">
        <v>1.39321070804702E+19</v>
      </c>
    </row>
    <row r="1075" spans="3:10">
      <c r="C1075" s="29" t="b">
        <v>0</v>
      </c>
      <c r="D1075" s="30" t="s">
        <v>74</v>
      </c>
      <c r="E1075" s="137">
        <v>1</v>
      </c>
      <c r="F1075" s="30" t="s">
        <v>66</v>
      </c>
      <c r="G1075" s="30" t="s">
        <v>67</v>
      </c>
      <c r="H1075" s="30">
        <v>-5.8813681659999999E-2</v>
      </c>
      <c r="I1075" s="58">
        <v>0</v>
      </c>
      <c r="J1075" s="58">
        <v>1.73266604309125E+19</v>
      </c>
    </row>
    <row r="1076" spans="3:10">
      <c r="C1076" s="29" t="b">
        <v>0</v>
      </c>
      <c r="D1076" s="30" t="s">
        <v>76</v>
      </c>
      <c r="E1076" s="137">
        <v>13</v>
      </c>
      <c r="F1076" s="30" t="s">
        <v>66</v>
      </c>
      <c r="G1076" s="30" t="s">
        <v>67</v>
      </c>
      <c r="H1076" s="30">
        <v>2.0073957107900001E-2</v>
      </c>
      <c r="I1076" s="58">
        <v>0</v>
      </c>
      <c r="J1076" s="58">
        <v>3.4448792000623002E+18</v>
      </c>
    </row>
    <row r="1077" spans="3:10">
      <c r="C1077" s="29" t="b">
        <v>0</v>
      </c>
      <c r="D1077" s="30" t="s">
        <v>77</v>
      </c>
      <c r="E1077" s="137">
        <v>13</v>
      </c>
      <c r="F1077" s="30" t="s">
        <v>66</v>
      </c>
      <c r="G1077" s="30" t="s">
        <v>67</v>
      </c>
      <c r="H1077" s="30">
        <v>8.4192567381499994E-3</v>
      </c>
      <c r="I1077" s="58">
        <v>0</v>
      </c>
      <c r="J1077" s="58">
        <v>1.27495973946722E+19</v>
      </c>
    </row>
    <row r="1078" spans="3:10">
      <c r="C1078" s="29" t="b">
        <v>0</v>
      </c>
      <c r="D1078" s="30" t="s">
        <v>78</v>
      </c>
      <c r="E1078" s="137">
        <v>13</v>
      </c>
      <c r="F1078" s="30" t="s">
        <v>66</v>
      </c>
      <c r="G1078" s="30" t="s">
        <v>67</v>
      </c>
      <c r="H1078" s="30">
        <v>-1.7513090760299999E-2</v>
      </c>
      <c r="I1078" s="58">
        <v>0</v>
      </c>
      <c r="J1078" s="58">
        <v>7.2830547600977295E+18</v>
      </c>
    </row>
    <row r="1079" spans="3:10">
      <c r="C1079" s="29" t="b">
        <v>0</v>
      </c>
      <c r="D1079" s="30" t="s">
        <v>77</v>
      </c>
      <c r="E1079" s="137">
        <v>7</v>
      </c>
      <c r="F1079" s="30" t="s">
        <v>66</v>
      </c>
      <c r="G1079" s="30" t="s">
        <v>67</v>
      </c>
      <c r="H1079" s="30">
        <v>1.9027522028199999E-2</v>
      </c>
      <c r="I1079" s="58">
        <v>0</v>
      </c>
      <c r="J1079" s="58">
        <v>4.9368380512830802E+18</v>
      </c>
    </row>
    <row r="1080" spans="3:10">
      <c r="C1080" s="29" t="b">
        <v>0</v>
      </c>
      <c r="D1080" s="30" t="s">
        <v>79</v>
      </c>
      <c r="E1080" s="137">
        <v>7</v>
      </c>
      <c r="F1080" s="30" t="s">
        <v>66</v>
      </c>
      <c r="G1080" s="30" t="s">
        <v>67</v>
      </c>
      <c r="H1080" s="30">
        <v>-4.2295381926500002E-2</v>
      </c>
      <c r="I1080" s="58">
        <v>0</v>
      </c>
      <c r="J1080" s="58">
        <v>9.44290567186722E+18</v>
      </c>
    </row>
    <row r="1081" spans="3:10">
      <c r="C1081" s="29" t="b">
        <v>0</v>
      </c>
      <c r="D1081" s="30" t="s">
        <v>72</v>
      </c>
      <c r="E1081" s="137">
        <v>7</v>
      </c>
      <c r="F1081" s="30" t="s">
        <v>66</v>
      </c>
      <c r="G1081" s="30" t="s">
        <v>67</v>
      </c>
      <c r="H1081" s="30">
        <v>-1.4399555075999999E-2</v>
      </c>
      <c r="I1081" s="58">
        <v>0</v>
      </c>
      <c r="J1081" s="58">
        <v>1.3445746961728399E+19</v>
      </c>
    </row>
    <row r="1082" spans="3:10">
      <c r="C1082" s="29" t="b">
        <v>0</v>
      </c>
      <c r="D1082" s="30" t="s">
        <v>80</v>
      </c>
      <c r="E1082" s="137">
        <v>7</v>
      </c>
      <c r="F1082" s="30" t="s">
        <v>66</v>
      </c>
      <c r="G1082" s="30" t="s">
        <v>67</v>
      </c>
      <c r="H1082" s="30">
        <v>-8.6785674423599996E-2</v>
      </c>
      <c r="I1082" s="58">
        <v>0</v>
      </c>
      <c r="J1082" s="58">
        <v>6.4164494033306501E+18</v>
      </c>
    </row>
    <row r="1083" spans="3:10">
      <c r="C1083" s="29" t="b">
        <v>0</v>
      </c>
      <c r="D1083" s="30" t="s">
        <v>74</v>
      </c>
      <c r="E1083" s="137">
        <v>8</v>
      </c>
      <c r="F1083" s="30" t="s">
        <v>66</v>
      </c>
      <c r="G1083" s="30" t="s">
        <v>67</v>
      </c>
      <c r="H1083" s="30">
        <v>-4.4925329705800002E-2</v>
      </c>
      <c r="I1083" s="58">
        <v>0</v>
      </c>
      <c r="J1083" s="58">
        <v>1.29833195446383E+19</v>
      </c>
    </row>
    <row r="1084" spans="3:10">
      <c r="C1084" s="29" t="b">
        <v>0</v>
      </c>
      <c r="D1084" s="30" t="s">
        <v>76</v>
      </c>
      <c r="E1084" s="137">
        <v>10</v>
      </c>
      <c r="F1084" s="30" t="s">
        <v>66</v>
      </c>
      <c r="G1084" s="30" t="s">
        <v>67</v>
      </c>
      <c r="H1084" s="30">
        <v>1.04634607701E-2</v>
      </c>
      <c r="I1084" s="58">
        <v>0</v>
      </c>
      <c r="J1084" s="58">
        <v>8.14438715347153E+18</v>
      </c>
    </row>
    <row r="1085" spans="3:10">
      <c r="C1085" s="29" t="b">
        <v>0</v>
      </c>
      <c r="D1085" s="30" t="s">
        <v>73</v>
      </c>
      <c r="E1085" s="137">
        <v>8</v>
      </c>
      <c r="F1085" s="30" t="s">
        <v>66</v>
      </c>
      <c r="G1085" s="30" t="s">
        <v>67</v>
      </c>
      <c r="H1085" s="30">
        <v>-3.1947671693900001E-3</v>
      </c>
      <c r="I1085" s="58">
        <v>0</v>
      </c>
      <c r="J1085" s="58">
        <v>3.3835832156086298E+18</v>
      </c>
    </row>
    <row r="1086" spans="3:10">
      <c r="C1086" s="29" t="b">
        <v>0</v>
      </c>
      <c r="D1086" s="30" t="s">
        <v>64</v>
      </c>
      <c r="E1086" s="137">
        <v>9</v>
      </c>
      <c r="F1086" s="30" t="s">
        <v>66</v>
      </c>
      <c r="G1086" s="30" t="s">
        <v>67</v>
      </c>
      <c r="H1086" s="30">
        <v>1.00270560903E-2</v>
      </c>
      <c r="I1086" s="58">
        <v>0</v>
      </c>
      <c r="J1086" s="58">
        <v>1.5822664774853399E+18</v>
      </c>
    </row>
    <row r="1087" spans="3:10">
      <c r="C1087" s="29" t="b">
        <v>0</v>
      </c>
      <c r="D1087" s="30" t="s">
        <v>78</v>
      </c>
      <c r="E1087" s="137">
        <v>10</v>
      </c>
      <c r="F1087" s="30" t="s">
        <v>66</v>
      </c>
      <c r="G1087" s="30" t="s">
        <v>67</v>
      </c>
      <c r="H1087" s="30">
        <v>5.5851620762999996E-3</v>
      </c>
      <c r="I1087" s="58">
        <v>0</v>
      </c>
      <c r="J1087" s="58">
        <v>1.35618434530206E+19</v>
      </c>
    </row>
    <row r="1088" spans="3:10">
      <c r="C1088" s="29" t="b">
        <v>0</v>
      </c>
      <c r="D1088" s="30" t="s">
        <v>79</v>
      </c>
      <c r="E1088" s="137">
        <v>10</v>
      </c>
      <c r="F1088" s="30" t="s">
        <v>66</v>
      </c>
      <c r="G1088" s="30" t="s">
        <v>67</v>
      </c>
      <c r="H1088" s="30">
        <v>-6.4226067084399999E-2</v>
      </c>
      <c r="I1088" s="58">
        <v>0</v>
      </c>
      <c r="J1088" s="58">
        <v>1.6085588988723699E+18</v>
      </c>
    </row>
    <row r="1089" spans="3:10">
      <c r="C1089" s="29" t="b">
        <v>0</v>
      </c>
      <c r="D1089" s="30" t="s">
        <v>72</v>
      </c>
      <c r="E1089" s="137">
        <v>10</v>
      </c>
      <c r="F1089" s="30" t="s">
        <v>66</v>
      </c>
      <c r="G1089" s="30" t="s">
        <v>67</v>
      </c>
      <c r="H1089" s="30">
        <v>-2.5539184123700001E-2</v>
      </c>
      <c r="I1089" s="58">
        <v>0</v>
      </c>
      <c r="J1089" s="58">
        <v>3.9999307190335099E+18</v>
      </c>
    </row>
    <row r="1090" spans="3:10">
      <c r="C1090" s="29" t="b">
        <v>0</v>
      </c>
      <c r="D1090" s="30" t="s">
        <v>80</v>
      </c>
      <c r="E1090" s="137">
        <v>10</v>
      </c>
      <c r="F1090" s="30" t="s">
        <v>66</v>
      </c>
      <c r="G1090" s="30" t="s">
        <v>67</v>
      </c>
      <c r="H1090" s="30">
        <v>-6.6592866457300004E-2</v>
      </c>
      <c r="I1090" s="58">
        <v>0</v>
      </c>
      <c r="J1090" s="58">
        <v>6.99579087152721E+18</v>
      </c>
    </row>
    <row r="1091" spans="3:10">
      <c r="C1091" s="29" t="b">
        <v>0</v>
      </c>
      <c r="D1091" s="30" t="s">
        <v>81</v>
      </c>
      <c r="E1091" s="137">
        <v>10</v>
      </c>
      <c r="F1091" s="30" t="s">
        <v>66</v>
      </c>
      <c r="G1091" s="30" t="s">
        <v>67</v>
      </c>
      <c r="H1091" s="30">
        <v>-9.3256784603899995E-2</v>
      </c>
      <c r="I1091" s="58">
        <v>0</v>
      </c>
      <c r="J1091" s="58">
        <v>1.3808586164690999E+19</v>
      </c>
    </row>
    <row r="1092" spans="3:10">
      <c r="C1092" s="29" t="b">
        <v>0</v>
      </c>
      <c r="D1092" s="30" t="s">
        <v>82</v>
      </c>
      <c r="E1092" s="137">
        <v>10</v>
      </c>
      <c r="F1092" s="30" t="s">
        <v>66</v>
      </c>
      <c r="G1092" s="30" t="s">
        <v>67</v>
      </c>
      <c r="H1092" s="30">
        <v>-3.7706668274100001E-3</v>
      </c>
      <c r="I1092" s="58">
        <v>0</v>
      </c>
      <c r="J1092" s="58">
        <v>1.2036815385279601E+19</v>
      </c>
    </row>
    <row r="1093" spans="3:10">
      <c r="C1093" s="29" t="b">
        <v>0</v>
      </c>
      <c r="D1093" s="30" t="s">
        <v>83</v>
      </c>
      <c r="E1093" s="137">
        <v>10</v>
      </c>
      <c r="F1093" s="30" t="s">
        <v>66</v>
      </c>
      <c r="G1093" s="30" t="s">
        <v>67</v>
      </c>
      <c r="H1093" s="30">
        <v>-9.79839589249E-2</v>
      </c>
      <c r="I1093" s="58">
        <v>0</v>
      </c>
      <c r="J1093" s="58">
        <v>1.62869264409949E+19</v>
      </c>
    </row>
    <row r="1094" spans="3:10">
      <c r="C1094" s="29" t="b">
        <v>0</v>
      </c>
      <c r="D1094" s="30" t="s">
        <v>64</v>
      </c>
      <c r="E1094" s="137">
        <v>10</v>
      </c>
      <c r="F1094" s="30" t="s">
        <v>66</v>
      </c>
      <c r="G1094" s="30" t="s">
        <v>67</v>
      </c>
      <c r="H1094" s="30">
        <v>1.09838741313E-2</v>
      </c>
      <c r="I1094" s="58">
        <v>0</v>
      </c>
      <c r="J1094" s="58">
        <v>1.4666486979821599E+18</v>
      </c>
    </row>
    <row r="1095" spans="3:10">
      <c r="C1095" s="29" t="b">
        <v>0</v>
      </c>
      <c r="D1095" s="30" t="s">
        <v>69</v>
      </c>
      <c r="E1095" s="137">
        <v>9</v>
      </c>
      <c r="F1095" s="30" t="s">
        <v>66</v>
      </c>
      <c r="G1095" s="30" t="s">
        <v>67</v>
      </c>
      <c r="H1095" s="30">
        <v>-8.2954840814799993E-2</v>
      </c>
      <c r="I1095" s="58">
        <v>0</v>
      </c>
      <c r="J1095" s="58">
        <v>7.3705593716047503E+18</v>
      </c>
    </row>
    <row r="1096" spans="3:10">
      <c r="C1096" s="29" t="b">
        <v>0</v>
      </c>
      <c r="D1096" s="30" t="s">
        <v>73</v>
      </c>
      <c r="E1096" s="137">
        <v>9</v>
      </c>
      <c r="F1096" s="30" t="s">
        <v>66</v>
      </c>
      <c r="G1096" s="30" t="s">
        <v>67</v>
      </c>
      <c r="H1096" s="30">
        <v>-7.6560735962599999E-3</v>
      </c>
      <c r="I1096" s="58">
        <v>0</v>
      </c>
      <c r="J1096" s="58">
        <v>1.1554027316897499E+19</v>
      </c>
    </row>
    <row r="1097" spans="3:10">
      <c r="C1097" s="29" t="b">
        <v>0</v>
      </c>
      <c r="D1097" s="30" t="s">
        <v>74</v>
      </c>
      <c r="E1097" s="137">
        <v>9</v>
      </c>
      <c r="F1097" s="30" t="s">
        <v>66</v>
      </c>
      <c r="G1097" s="30" t="s">
        <v>67</v>
      </c>
      <c r="H1097" s="30">
        <v>-3.6139696051499998E-2</v>
      </c>
      <c r="I1097" s="58">
        <v>0</v>
      </c>
      <c r="J1097" s="58">
        <v>1.52006274928156E+19</v>
      </c>
    </row>
    <row r="1098" spans="3:10">
      <c r="C1098" s="29" t="b">
        <v>0</v>
      </c>
      <c r="D1098" s="30" t="s">
        <v>75</v>
      </c>
      <c r="E1098" s="137">
        <v>9</v>
      </c>
      <c r="F1098" s="30" t="s">
        <v>66</v>
      </c>
      <c r="G1098" s="30" t="s">
        <v>67</v>
      </c>
      <c r="H1098" s="30">
        <v>-3.9302713894400002E-2</v>
      </c>
      <c r="I1098" s="58">
        <v>0</v>
      </c>
      <c r="J1098" s="58">
        <v>5.2566209067635405E+18</v>
      </c>
    </row>
    <row r="1099" spans="3:10">
      <c r="C1099" s="29" t="b">
        <v>0</v>
      </c>
      <c r="D1099" s="30" t="s">
        <v>76</v>
      </c>
      <c r="E1099" s="137">
        <v>9</v>
      </c>
      <c r="F1099" s="30" t="s">
        <v>66</v>
      </c>
      <c r="G1099" s="30" t="s">
        <v>67</v>
      </c>
      <c r="H1099" s="30">
        <v>-3.1332023346100002E-3</v>
      </c>
      <c r="I1099" s="58">
        <v>0</v>
      </c>
      <c r="J1099" s="58">
        <v>1.4619954005852701E+19</v>
      </c>
    </row>
    <row r="1100" spans="3:10">
      <c r="C1100" s="29" t="b">
        <v>0</v>
      </c>
      <c r="D1100" s="30" t="s">
        <v>77</v>
      </c>
      <c r="E1100" s="137">
        <v>9</v>
      </c>
      <c r="F1100" s="30" t="s">
        <v>66</v>
      </c>
      <c r="G1100" s="30" t="s">
        <v>67</v>
      </c>
      <c r="H1100" s="30">
        <v>-5.7353647347299997E-3</v>
      </c>
      <c r="I1100" s="58">
        <v>0</v>
      </c>
      <c r="J1100" s="58">
        <v>1.70724879324999E+19</v>
      </c>
    </row>
    <row r="1101" spans="3:10">
      <c r="C1101" s="29" t="b">
        <v>0</v>
      </c>
      <c r="D1101" s="30" t="s">
        <v>78</v>
      </c>
      <c r="E1101" s="137">
        <v>9</v>
      </c>
      <c r="F1101" s="30" t="s">
        <v>66</v>
      </c>
      <c r="G1101" s="30" t="s">
        <v>67</v>
      </c>
      <c r="H1101" s="30">
        <v>1.4398518726E-2</v>
      </c>
      <c r="I1101" s="58">
        <v>0</v>
      </c>
      <c r="J1101" s="58">
        <v>1.3227415978450801E+18</v>
      </c>
    </row>
    <row r="1102" spans="3:10">
      <c r="C1102" s="29" t="b">
        <v>0</v>
      </c>
      <c r="D1102" s="30" t="s">
        <v>79</v>
      </c>
      <c r="E1102" s="137">
        <v>9</v>
      </c>
      <c r="F1102" s="30" t="s">
        <v>66</v>
      </c>
      <c r="G1102" s="30" t="s">
        <v>67</v>
      </c>
      <c r="H1102" s="30">
        <v>-7.0898082576899904E-2</v>
      </c>
      <c r="I1102" s="58">
        <v>0</v>
      </c>
      <c r="J1102" s="58">
        <v>1.6474631411768701E+19</v>
      </c>
    </row>
    <row r="1103" spans="3:10">
      <c r="C1103" s="29" t="b">
        <v>0</v>
      </c>
      <c r="D1103" s="30" t="s">
        <v>72</v>
      </c>
      <c r="E1103" s="137">
        <v>9</v>
      </c>
      <c r="F1103" s="30" t="s">
        <v>66</v>
      </c>
      <c r="G1103" s="30" t="s">
        <v>67</v>
      </c>
      <c r="H1103" s="30">
        <v>-2.8837065255700001E-2</v>
      </c>
      <c r="I1103" s="58">
        <v>0</v>
      </c>
      <c r="J1103" s="58">
        <v>3.29410009065133E+18</v>
      </c>
    </row>
    <row r="1104" spans="3:10">
      <c r="C1104" s="29" t="b">
        <v>0</v>
      </c>
      <c r="D1104" s="30" t="s">
        <v>80</v>
      </c>
      <c r="E1104" s="137">
        <v>9</v>
      </c>
      <c r="F1104" s="30" t="s">
        <v>66</v>
      </c>
      <c r="G1104" s="30" t="s">
        <v>67</v>
      </c>
      <c r="H1104" s="30">
        <v>-0.13659174175399999</v>
      </c>
      <c r="I1104" s="58">
        <v>0</v>
      </c>
      <c r="J1104" s="58">
        <v>6.1738709384937503E+18</v>
      </c>
    </row>
    <row r="1105" spans="3:10">
      <c r="C1105" s="29" t="b">
        <v>0</v>
      </c>
      <c r="D1105" s="30" t="s">
        <v>81</v>
      </c>
      <c r="E1105" s="137">
        <v>9</v>
      </c>
      <c r="F1105" s="30" t="s">
        <v>66</v>
      </c>
      <c r="G1105" s="30" t="s">
        <v>67</v>
      </c>
      <c r="H1105" s="30">
        <v>-7.7533447476899997E-2</v>
      </c>
      <c r="I1105" s="58">
        <v>0</v>
      </c>
      <c r="J1105" s="58">
        <v>6.8627496470928701E+18</v>
      </c>
    </row>
    <row r="1106" spans="3:10">
      <c r="C1106" s="29" t="b">
        <v>0</v>
      </c>
      <c r="D1106" s="30" t="s">
        <v>82</v>
      </c>
      <c r="E1106" s="137">
        <v>9</v>
      </c>
      <c r="F1106" s="30" t="s">
        <v>66</v>
      </c>
      <c r="G1106" s="30" t="s">
        <v>67</v>
      </c>
      <c r="H1106" s="30">
        <v>-3.7688644057000002E-2</v>
      </c>
      <c r="I1106" s="58">
        <v>0</v>
      </c>
      <c r="J1106" s="58">
        <v>8.5606454153310095E+18</v>
      </c>
    </row>
    <row r="1107" spans="3:10">
      <c r="C1107" s="29" t="b">
        <v>0</v>
      </c>
      <c r="D1107" s="30" t="s">
        <v>83</v>
      </c>
      <c r="E1107" s="137">
        <v>9</v>
      </c>
      <c r="F1107" s="30" t="s">
        <v>66</v>
      </c>
      <c r="G1107" s="30" t="s">
        <v>67</v>
      </c>
      <c r="H1107" s="30">
        <v>-0.14604799449299999</v>
      </c>
      <c r="I1107" s="58">
        <v>0</v>
      </c>
      <c r="J1107" s="58">
        <v>8.7201343137032205E+17</v>
      </c>
    </row>
    <row r="1108" spans="3:10">
      <c r="C1108" s="29" t="b">
        <v>0</v>
      </c>
      <c r="D1108" s="30" t="s">
        <v>69</v>
      </c>
      <c r="E1108" s="137">
        <v>8</v>
      </c>
      <c r="F1108" s="30" t="s">
        <v>66</v>
      </c>
      <c r="G1108" s="30" t="s">
        <v>67</v>
      </c>
      <c r="H1108" s="30">
        <v>-7.09909206509E-2</v>
      </c>
      <c r="I1108" s="58">
        <v>0</v>
      </c>
      <c r="J1108" s="58">
        <v>1.7614325762159301E+19</v>
      </c>
    </row>
    <row r="1109" spans="3:10">
      <c r="C1109" s="29" t="b">
        <v>0</v>
      </c>
      <c r="D1109" s="30" t="s">
        <v>78</v>
      </c>
      <c r="E1109" s="137">
        <v>7</v>
      </c>
      <c r="F1109" s="30" t="s">
        <v>66</v>
      </c>
      <c r="G1109" s="30" t="s">
        <v>67</v>
      </c>
      <c r="H1109" s="30">
        <v>8.8439810480299991E-3</v>
      </c>
      <c r="I1109" s="58">
        <v>0</v>
      </c>
      <c r="J1109" s="58">
        <v>4.0776322423944499E+18</v>
      </c>
    </row>
    <row r="1110" spans="3:10">
      <c r="C1110" s="29" t="b">
        <v>0</v>
      </c>
      <c r="D1110" s="30" t="s">
        <v>76</v>
      </c>
      <c r="E1110" s="137">
        <v>7</v>
      </c>
      <c r="F1110" s="30" t="s">
        <v>66</v>
      </c>
      <c r="G1110" s="30" t="s">
        <v>67</v>
      </c>
      <c r="H1110" s="30">
        <v>3.6425919010999999E-3</v>
      </c>
      <c r="I1110" s="58">
        <v>0</v>
      </c>
      <c r="J1110" s="58">
        <v>1.2207236548495999E+19</v>
      </c>
    </row>
    <row r="1111" spans="3:10">
      <c r="C1111" s="29" t="b">
        <v>0</v>
      </c>
      <c r="D1111" s="30" t="s">
        <v>79</v>
      </c>
      <c r="E1111" s="137">
        <v>13</v>
      </c>
      <c r="F1111" s="30" t="s">
        <v>66</v>
      </c>
      <c r="G1111" s="30" t="s">
        <v>67</v>
      </c>
      <c r="H1111" s="30">
        <v>-3.7652260428800002E-2</v>
      </c>
      <c r="I1111" s="58">
        <v>0</v>
      </c>
      <c r="J1111" s="58">
        <v>4.0434551523679002E+18</v>
      </c>
    </row>
    <row r="1112" spans="3:10">
      <c r="C1112" s="29" t="b">
        <v>0</v>
      </c>
      <c r="D1112" s="30" t="s">
        <v>75</v>
      </c>
      <c r="E1112" s="137">
        <v>7</v>
      </c>
      <c r="F1112" s="30" t="s">
        <v>66</v>
      </c>
      <c r="G1112" s="30" t="s">
        <v>67</v>
      </c>
      <c r="H1112" s="30">
        <v>-4.7083648611700002E-2</v>
      </c>
      <c r="I1112" s="58">
        <v>0</v>
      </c>
      <c r="J1112" s="58">
        <v>5.7803993272918804E+18</v>
      </c>
    </row>
    <row r="1113" spans="3:10">
      <c r="C1113" s="29" t="b">
        <v>0</v>
      </c>
      <c r="D1113" s="30" t="s">
        <v>72</v>
      </c>
      <c r="E1113" s="137">
        <v>13</v>
      </c>
      <c r="F1113" s="30" t="s">
        <v>66</v>
      </c>
      <c r="G1113" s="30" t="s">
        <v>67</v>
      </c>
      <c r="H1113" s="30">
        <v>-1.49847251958999E-2</v>
      </c>
      <c r="I1113" s="58">
        <v>0</v>
      </c>
      <c r="J1113" s="58">
        <v>1.31713953274984E+19</v>
      </c>
    </row>
    <row r="1114" spans="3:10">
      <c r="C1114" s="29" t="b">
        <v>0</v>
      </c>
      <c r="D1114" s="30" t="s">
        <v>80</v>
      </c>
      <c r="E1114" s="137">
        <v>13</v>
      </c>
      <c r="F1114" s="30" t="s">
        <v>66</v>
      </c>
      <c r="G1114" s="30" t="s">
        <v>67</v>
      </c>
      <c r="H1114" s="30">
        <v>-2.1514218925100002E-2</v>
      </c>
      <c r="I1114" s="58">
        <v>0</v>
      </c>
      <c r="J1114" s="58">
        <v>1.5276368162574899E+19</v>
      </c>
    </row>
    <row r="1115" spans="3:10">
      <c r="C1115" s="29" t="b">
        <v>0</v>
      </c>
      <c r="D1115" s="30" t="s">
        <v>81</v>
      </c>
      <c r="E1115" s="137">
        <v>13</v>
      </c>
      <c r="F1115" s="30" t="s">
        <v>66</v>
      </c>
      <c r="G1115" s="30" t="s">
        <v>67</v>
      </c>
      <c r="H1115" s="30">
        <v>-4.7639050575099998E-2</v>
      </c>
      <c r="I1115" s="58">
        <v>0</v>
      </c>
      <c r="J1115" s="58">
        <v>9.3270893261111091E+18</v>
      </c>
    </row>
    <row r="1116" spans="3:10">
      <c r="C1116" s="29" t="b">
        <v>0</v>
      </c>
      <c r="D1116" s="30" t="s">
        <v>82</v>
      </c>
      <c r="E1116" s="137">
        <v>13</v>
      </c>
      <c r="F1116" s="30" t="s">
        <v>66</v>
      </c>
      <c r="G1116" s="30" t="s">
        <v>67</v>
      </c>
      <c r="H1116" s="30">
        <v>4.7918334885400003E-2</v>
      </c>
      <c r="I1116" s="58">
        <v>0</v>
      </c>
      <c r="J1116" s="58">
        <v>1.7149351600299E+19</v>
      </c>
    </row>
    <row r="1117" spans="3:10">
      <c r="C1117" s="29" t="b">
        <v>0</v>
      </c>
      <c r="D1117" s="30" t="s">
        <v>83</v>
      </c>
      <c r="E1117" s="137">
        <v>13</v>
      </c>
      <c r="F1117" s="30" t="s">
        <v>66</v>
      </c>
      <c r="G1117" s="30" t="s">
        <v>67</v>
      </c>
      <c r="H1117" s="30">
        <v>2.8378655018399999E-2</v>
      </c>
      <c r="I1117" s="58">
        <v>0</v>
      </c>
      <c r="J1117" s="58">
        <v>4.2776994268285102E+18</v>
      </c>
    </row>
    <row r="1118" spans="3:10">
      <c r="C1118" s="29" t="b">
        <v>0</v>
      </c>
      <c r="D1118" s="30" t="s">
        <v>64</v>
      </c>
      <c r="E1118" s="137">
        <v>13</v>
      </c>
      <c r="F1118" s="30" t="s">
        <v>66</v>
      </c>
      <c r="G1118" s="30" t="s">
        <v>67</v>
      </c>
      <c r="H1118" s="30">
        <v>-2.1728985185100001E-2</v>
      </c>
      <c r="I1118" s="58">
        <v>0</v>
      </c>
      <c r="J1118" s="58">
        <v>3.21209672882903E+16</v>
      </c>
    </row>
    <row r="1119" spans="3:10">
      <c r="C1119" s="29" t="b">
        <v>0</v>
      </c>
      <c r="D1119" s="30" t="s">
        <v>69</v>
      </c>
      <c r="E1119" s="137">
        <v>12</v>
      </c>
      <c r="F1119" s="30" t="s">
        <v>66</v>
      </c>
      <c r="G1119" s="30" t="s">
        <v>67</v>
      </c>
      <c r="H1119" s="30">
        <v>-2.06860781516E-2</v>
      </c>
      <c r="I1119" s="58">
        <v>0</v>
      </c>
      <c r="J1119" s="58">
        <v>2.9502496426717402E+17</v>
      </c>
    </row>
    <row r="1120" spans="3:10">
      <c r="C1120" s="29" t="b">
        <v>0</v>
      </c>
      <c r="D1120" s="30" t="s">
        <v>73</v>
      </c>
      <c r="E1120" s="137">
        <v>12</v>
      </c>
      <c r="F1120" s="30" t="s">
        <v>66</v>
      </c>
      <c r="G1120" s="30" t="s">
        <v>67</v>
      </c>
      <c r="H1120" s="30">
        <v>-3.0341903851799999E-3</v>
      </c>
      <c r="I1120" s="58">
        <v>0</v>
      </c>
      <c r="J1120" s="58">
        <v>9.9339041018749194E+18</v>
      </c>
    </row>
    <row r="1121" spans="3:10">
      <c r="C1121" s="29" t="b">
        <v>0</v>
      </c>
      <c r="D1121" s="30" t="s">
        <v>74</v>
      </c>
      <c r="E1121" s="137">
        <v>12</v>
      </c>
      <c r="F1121" s="30" t="s">
        <v>66</v>
      </c>
      <c r="G1121" s="30" t="s">
        <v>67</v>
      </c>
      <c r="H1121" s="30">
        <v>5.5766216769800002E-2</v>
      </c>
      <c r="I1121" s="58">
        <v>0</v>
      </c>
      <c r="J1121" s="58">
        <v>8.0782778344740301E+18</v>
      </c>
    </row>
    <row r="1122" spans="3:10">
      <c r="C1122" s="29" t="b">
        <v>0</v>
      </c>
      <c r="D1122" s="30" t="s">
        <v>75</v>
      </c>
      <c r="E1122" s="137">
        <v>12</v>
      </c>
      <c r="F1122" s="30" t="s">
        <v>66</v>
      </c>
      <c r="G1122" s="30" t="s">
        <v>67</v>
      </c>
      <c r="H1122" s="30">
        <v>5.7111811819600001E-3</v>
      </c>
      <c r="I1122" s="58">
        <v>0</v>
      </c>
      <c r="J1122" s="58">
        <v>1.74472171254912E+19</v>
      </c>
    </row>
    <row r="1123" spans="3:10">
      <c r="C1123" s="29" t="b">
        <v>0</v>
      </c>
      <c r="D1123" s="30" t="s">
        <v>76</v>
      </c>
      <c r="E1123" s="137">
        <v>12</v>
      </c>
      <c r="F1123" s="30" t="s">
        <v>66</v>
      </c>
      <c r="G1123" s="30" t="s">
        <v>67</v>
      </c>
      <c r="H1123" s="30">
        <v>2.4291516774900001E-2</v>
      </c>
      <c r="I1123" s="58">
        <v>0</v>
      </c>
      <c r="J1123" s="58">
        <v>1.81436314596637E+19</v>
      </c>
    </row>
    <row r="1124" spans="3:10">
      <c r="C1124" s="29" t="b">
        <v>0</v>
      </c>
      <c r="D1124" s="30" t="s">
        <v>78</v>
      </c>
      <c r="E1124" s="137">
        <v>12</v>
      </c>
      <c r="F1124" s="30" t="s">
        <v>66</v>
      </c>
      <c r="G1124" s="30" t="s">
        <v>67</v>
      </c>
      <c r="H1124" s="30">
        <v>-1.40053394853E-2</v>
      </c>
      <c r="I1124" s="58">
        <v>0</v>
      </c>
      <c r="J1124" s="58">
        <v>3.18430904861361E+18</v>
      </c>
    </row>
    <row r="1125" spans="3:10">
      <c r="C1125" s="29" t="b">
        <v>0</v>
      </c>
      <c r="D1125" s="30" t="s">
        <v>82</v>
      </c>
      <c r="E1125" s="137">
        <v>7</v>
      </c>
      <c r="F1125" s="30" t="s">
        <v>66</v>
      </c>
      <c r="G1125" s="30" t="s">
        <v>67</v>
      </c>
      <c r="H1125" s="30">
        <v>-7.8363220279500004E-2</v>
      </c>
      <c r="I1125" s="58">
        <v>0</v>
      </c>
      <c r="J1125" s="58">
        <v>1.39375201822989E+19</v>
      </c>
    </row>
    <row r="1126" spans="3:10">
      <c r="C1126" s="29" t="b">
        <v>0</v>
      </c>
      <c r="D1126" s="30" t="s">
        <v>75</v>
      </c>
      <c r="E1126" s="137">
        <v>10</v>
      </c>
      <c r="F1126" s="30" t="s">
        <v>66</v>
      </c>
      <c r="G1126" s="30" t="s">
        <v>67</v>
      </c>
      <c r="H1126" s="30">
        <v>-1.6124104235700001E-2</v>
      </c>
      <c r="I1126" s="58">
        <v>0</v>
      </c>
      <c r="J1126" s="58">
        <v>1.3577442188871899E+19</v>
      </c>
    </row>
    <row r="1127" spans="3:10">
      <c r="C1127" s="29" t="b">
        <v>0</v>
      </c>
      <c r="D1127" s="30" t="s">
        <v>77</v>
      </c>
      <c r="E1127" s="137">
        <v>10</v>
      </c>
      <c r="F1127" s="30" t="s">
        <v>66</v>
      </c>
      <c r="G1127" s="30" t="s">
        <v>67</v>
      </c>
      <c r="H1127" s="30">
        <v>-1.51405187963E-2</v>
      </c>
      <c r="I1127" s="58">
        <v>0</v>
      </c>
      <c r="J1127" s="58">
        <v>6.8092553633568102E+18</v>
      </c>
    </row>
    <row r="1128" spans="3:10">
      <c r="C1128" s="29" t="b">
        <v>0</v>
      </c>
      <c r="D1128" s="30" t="s">
        <v>75</v>
      </c>
      <c r="E1128" s="137">
        <v>8</v>
      </c>
      <c r="F1128" s="30" t="s">
        <v>66</v>
      </c>
      <c r="G1128" s="30" t="s">
        <v>67</v>
      </c>
      <c r="H1128" s="30">
        <v>-5.2504539283400001E-2</v>
      </c>
      <c r="I1128" s="58">
        <v>0</v>
      </c>
      <c r="J1128" s="58">
        <v>5.21805364143599E+18</v>
      </c>
    </row>
    <row r="1129" spans="3:10">
      <c r="C1129" s="29" t="b">
        <v>0</v>
      </c>
      <c r="D1129" s="30" t="s">
        <v>76</v>
      </c>
      <c r="E1129" s="137">
        <v>8</v>
      </c>
      <c r="F1129" s="30" t="s">
        <v>66</v>
      </c>
      <c r="G1129" s="30" t="s">
        <v>67</v>
      </c>
      <c r="H1129" s="30">
        <v>-8.7286320142899998E-3</v>
      </c>
      <c r="I1129" s="58">
        <v>0</v>
      </c>
      <c r="J1129" s="58">
        <v>8.0416878768883302E+18</v>
      </c>
    </row>
    <row r="1130" spans="3:10">
      <c r="C1130" s="29" t="b">
        <v>0</v>
      </c>
      <c r="D1130" s="30" t="s">
        <v>77</v>
      </c>
      <c r="E1130" s="137">
        <v>8</v>
      </c>
      <c r="F1130" s="30" t="s">
        <v>66</v>
      </c>
      <c r="G1130" s="30" t="s">
        <v>67</v>
      </c>
      <c r="H1130" s="30">
        <v>7.2777902114699996E-3</v>
      </c>
      <c r="I1130" s="58">
        <v>0</v>
      </c>
      <c r="J1130" s="58">
        <v>2.8138004017670502E+18</v>
      </c>
    </row>
    <row r="1131" spans="3:10">
      <c r="C1131" s="29" t="b">
        <v>0</v>
      </c>
      <c r="D1131" s="30" t="s">
        <v>78</v>
      </c>
      <c r="E1131" s="137">
        <v>8</v>
      </c>
      <c r="F1131" s="30" t="s">
        <v>66</v>
      </c>
      <c r="G1131" s="30" t="s">
        <v>67</v>
      </c>
      <c r="H1131" s="30">
        <v>1.5765089874E-2</v>
      </c>
      <c r="I1131" s="58">
        <v>0</v>
      </c>
      <c r="J1131" s="58">
        <v>1.5862579211666301E+19</v>
      </c>
    </row>
    <row r="1132" spans="3:10">
      <c r="C1132" s="29" t="b">
        <v>0</v>
      </c>
      <c r="D1132" s="30" t="s">
        <v>79</v>
      </c>
      <c r="E1132" s="137">
        <v>8</v>
      </c>
      <c r="F1132" s="30" t="s">
        <v>66</v>
      </c>
      <c r="G1132" s="30" t="s">
        <v>67</v>
      </c>
      <c r="H1132" s="30">
        <v>-6.3960667095099996E-2</v>
      </c>
      <c r="I1132" s="58">
        <v>0</v>
      </c>
      <c r="J1132" s="58">
        <v>6.1538811016657398E+18</v>
      </c>
    </row>
    <row r="1133" spans="3:10">
      <c r="C1133" s="29" t="b">
        <v>0</v>
      </c>
      <c r="D1133" s="30" t="s">
        <v>72</v>
      </c>
      <c r="E1133" s="137">
        <v>8</v>
      </c>
      <c r="F1133" s="30" t="s">
        <v>66</v>
      </c>
      <c r="G1133" s="30" t="s">
        <v>67</v>
      </c>
      <c r="H1133" s="30">
        <v>-2.8291747644300001E-2</v>
      </c>
      <c r="I1133" s="58">
        <v>0</v>
      </c>
      <c r="J1133" s="58">
        <v>3.7037015489579898E+17</v>
      </c>
    </row>
    <row r="1134" spans="3:10">
      <c r="C1134" s="29" t="b">
        <v>0</v>
      </c>
      <c r="D1134" s="30" t="s">
        <v>80</v>
      </c>
      <c r="E1134" s="137">
        <v>8</v>
      </c>
      <c r="F1134" s="30" t="s">
        <v>66</v>
      </c>
      <c r="G1134" s="30" t="s">
        <v>67</v>
      </c>
      <c r="H1134" s="30">
        <v>-0.160820708077</v>
      </c>
      <c r="I1134" s="58">
        <v>0</v>
      </c>
      <c r="J1134" s="58">
        <v>1.0505508594422399E+19</v>
      </c>
    </row>
    <row r="1135" spans="3:10">
      <c r="C1135" s="29" t="b">
        <v>0</v>
      </c>
      <c r="D1135" s="30" t="s">
        <v>81</v>
      </c>
      <c r="E1135" s="137">
        <v>8</v>
      </c>
      <c r="F1135" s="30" t="s">
        <v>66</v>
      </c>
      <c r="G1135" s="30" t="s">
        <v>67</v>
      </c>
      <c r="H1135" s="30">
        <v>-3.3848206983599999E-2</v>
      </c>
      <c r="I1135" s="58">
        <v>0</v>
      </c>
      <c r="J1135" s="58">
        <v>7.30525427269965E+18</v>
      </c>
    </row>
    <row r="1136" spans="3:10">
      <c r="C1136" s="29" t="b">
        <v>0</v>
      </c>
      <c r="D1136" s="30" t="s">
        <v>82</v>
      </c>
      <c r="E1136" s="137">
        <v>8</v>
      </c>
      <c r="F1136" s="30" t="s">
        <v>66</v>
      </c>
      <c r="G1136" s="30" t="s">
        <v>67</v>
      </c>
      <c r="H1136" s="30">
        <v>-6.9665806879200001E-2</v>
      </c>
      <c r="I1136" s="58">
        <v>0</v>
      </c>
      <c r="J1136" s="58">
        <v>1.10389022776221E+19</v>
      </c>
    </row>
    <row r="1137" spans="3:10">
      <c r="C1137" s="29" t="b">
        <v>0</v>
      </c>
      <c r="D1137" s="30" t="s">
        <v>83</v>
      </c>
      <c r="E1137" s="137">
        <v>8</v>
      </c>
      <c r="F1137" s="30" t="s">
        <v>66</v>
      </c>
      <c r="G1137" s="30" t="s">
        <v>67</v>
      </c>
      <c r="H1137" s="30">
        <v>-0.136059024168</v>
      </c>
      <c r="I1137" s="58">
        <v>0</v>
      </c>
      <c r="J1137" s="58">
        <v>1.5958859503542301E+19</v>
      </c>
    </row>
    <row r="1138" spans="3:10">
      <c r="C1138" s="29" t="b">
        <v>0</v>
      </c>
      <c r="D1138" s="30" t="s">
        <v>64</v>
      </c>
      <c r="E1138" s="137">
        <v>8</v>
      </c>
      <c r="F1138" s="30" t="s">
        <v>66</v>
      </c>
      <c r="G1138" s="30" t="s">
        <v>67</v>
      </c>
      <c r="H1138" s="30">
        <v>1.8165420851400001E-2</v>
      </c>
      <c r="I1138" s="58">
        <v>0</v>
      </c>
      <c r="J1138" s="58">
        <v>8.9715368190046095E+18</v>
      </c>
    </row>
    <row r="1139" spans="3:10">
      <c r="C1139" s="29" t="b">
        <v>0</v>
      </c>
      <c r="D1139" s="30" t="s">
        <v>69</v>
      </c>
      <c r="E1139" s="137">
        <v>7</v>
      </c>
      <c r="F1139" s="30" t="s">
        <v>66</v>
      </c>
      <c r="G1139" s="30" t="s">
        <v>67</v>
      </c>
      <c r="H1139" s="30">
        <v>-2.9130299781099999E-2</v>
      </c>
      <c r="I1139" s="58">
        <v>0</v>
      </c>
      <c r="J1139" s="58">
        <v>4.4190529758000302E+18</v>
      </c>
    </row>
    <row r="1140" spans="3:10">
      <c r="C1140" s="29" t="b">
        <v>0</v>
      </c>
      <c r="D1140" s="30" t="s">
        <v>73</v>
      </c>
      <c r="E1140" s="137">
        <v>7</v>
      </c>
      <c r="F1140" s="30" t="s">
        <v>66</v>
      </c>
      <c r="G1140" s="30" t="s">
        <v>67</v>
      </c>
      <c r="H1140" s="30">
        <v>-4.9391061362100003E-3</v>
      </c>
      <c r="I1140" s="58">
        <v>0</v>
      </c>
      <c r="J1140" s="58">
        <v>1.0757749742392799E+19</v>
      </c>
    </row>
    <row r="1141" spans="3:10">
      <c r="C1141" s="29" t="b">
        <v>0</v>
      </c>
      <c r="D1141" s="30" t="s">
        <v>74</v>
      </c>
      <c r="E1141" s="137">
        <v>7</v>
      </c>
      <c r="F1141" s="30" t="s">
        <v>66</v>
      </c>
      <c r="G1141" s="30" t="s">
        <v>67</v>
      </c>
      <c r="H1141" s="30">
        <v>-2.5366709818199999E-2</v>
      </c>
      <c r="I1141" s="58">
        <v>0</v>
      </c>
      <c r="J1141" s="58">
        <v>1.16714296990161E+19</v>
      </c>
    </row>
    <row r="1142" spans="3:10">
      <c r="C1142" s="29" t="b">
        <v>0</v>
      </c>
      <c r="D1142" s="30" t="s">
        <v>64</v>
      </c>
      <c r="E1142" s="137">
        <v>0</v>
      </c>
      <c r="F1142" s="30" t="s">
        <v>66</v>
      </c>
      <c r="G1142" s="30" t="s">
        <v>71</v>
      </c>
      <c r="H1142" s="30">
        <v>-6.8992347809200003E-3</v>
      </c>
      <c r="I1142" s="58">
        <v>0</v>
      </c>
      <c r="J1142" s="58">
        <v>3.7032753523074099E+18</v>
      </c>
    </row>
  </sheetData>
  <mergeCells count="1">
    <mergeCell ref="D15:E15"/>
  </mergeCells>
  <phoneticPr fontId="15" type="noConversion"/>
  <conditionalFormatting sqref="D22:F29 D35:F39 D45:F53">
    <cfRule type="cellIs" dxfId="103" priority="58" operator="equal">
      <formula>0</formula>
    </cfRule>
  </conditionalFormatting>
  <conditionalFormatting sqref="C79:C1142">
    <cfRule type="cellIs" dxfId="102" priority="54" operator="equal">
      <formula>FALSE</formula>
    </cfRule>
    <cfRule type="cellIs" dxfId="101" priority="55" operator="notEqual">
      <formula>FALSE</formula>
    </cfRule>
  </conditionalFormatting>
  <conditionalFormatting sqref="D9:H9">
    <cfRule type="cellIs" dxfId="100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99" priority="29"/>
  </conditionalFormatting>
  <conditionalFormatting sqref="D7:H7">
    <cfRule type="cellIs" dxfId="98" priority="22" operator="notEqual">
      <formula>"Definition"</formula>
    </cfRule>
  </conditionalFormatting>
  <conditionalFormatting sqref="D15">
    <cfRule type="cellIs" dxfId="97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96" priority="52" operator="equal">
      <formula>FALSE</formula>
    </cfRule>
    <cfRule type="cellIs" dxfId="95" priority="53" operator="notEqual">
      <formula>FALSE</formula>
    </cfRule>
  </conditionalFormatting>
  <conditionalFormatting sqref="G22:H29 G35:H39 G45:H53">
    <cfRule type="cellIs" dxfId="77" priority="5" operator="equal">
      <formula>0</formula>
    </cfRule>
  </conditionalFormatting>
  <conditionalFormatting sqref="G23:H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H64">
    <cfRule type="cellIs" dxfId="76" priority="3" operator="equal">
      <formula>FALSE</formula>
    </cfRule>
    <cfRule type="cellIs" dxfId="75" priority="4" operator="notEqual">
      <formula>FALSE</formula>
    </cfRule>
  </conditionalFormatting>
  <conditionalFormatting sqref="I78:J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23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3.6640625" bestFit="1" customWidth="1"/>
    <col min="5" max="5" width="10.21875" bestFit="1" customWidth="1"/>
    <col min="6" max="6" width="10.77734375" bestFit="1" customWidth="1"/>
    <col min="7" max="7" width="10.21875" bestFit="1" customWidth="1"/>
    <col min="8" max="9" width="15.77734375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fmri</v>
      </c>
      <c r="E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105"/>
    </row>
    <row r="8" spans="2:17" ht="36.6" customHeight="1">
      <c r="C8" s="141" t="s">
        <v>56</v>
      </c>
      <c r="D8" s="140" t="s">
        <v>57</v>
      </c>
      <c r="E8" s="140" t="s">
        <v>58</v>
      </c>
      <c r="F8" s="140" t="s">
        <v>59</v>
      </c>
      <c r="G8" s="140" t="s">
        <v>60</v>
      </c>
      <c r="H8" s="106" t="s">
        <v>52</v>
      </c>
      <c r="I8" s="106" t="s">
        <v>53</v>
      </c>
    </row>
    <row r="9" spans="2:17" ht="15" customHeight="1">
      <c r="C9" s="139" t="s">
        <v>64</v>
      </c>
      <c r="D9" s="98"/>
      <c r="E9" s="98"/>
      <c r="F9" s="98"/>
      <c r="G9" s="98"/>
      <c r="H9" s="107">
        <v>0</v>
      </c>
      <c r="I9" s="142"/>
    </row>
    <row r="10" spans="2:17" ht="15" customHeight="1">
      <c r="C10" s="139" t="s">
        <v>83</v>
      </c>
      <c r="D10" s="98"/>
      <c r="E10" s="98"/>
      <c r="F10" s="98"/>
      <c r="G10" s="98"/>
      <c r="H10" s="107">
        <v>0</v>
      </c>
      <c r="I10" s="142"/>
    </row>
    <row r="11" spans="2:17" ht="15" customHeight="1">
      <c r="C11" s="139" t="s">
        <v>75</v>
      </c>
      <c r="D11" s="98"/>
      <c r="E11" s="98"/>
      <c r="F11" s="98"/>
      <c r="G11" s="98"/>
      <c r="H11" s="107">
        <v>0</v>
      </c>
      <c r="I11" s="142"/>
    </row>
    <row r="12" spans="2:17" ht="15" customHeight="1">
      <c r="C12" s="139" t="s">
        <v>74</v>
      </c>
      <c r="D12" s="98"/>
      <c r="E12" s="98"/>
      <c r="F12" s="98"/>
      <c r="G12" s="98"/>
      <c r="H12" s="107">
        <v>0</v>
      </c>
      <c r="I12" s="142"/>
    </row>
    <row r="13" spans="2:17" ht="15" customHeight="1">
      <c r="C13" s="139" t="s">
        <v>73</v>
      </c>
      <c r="D13" s="98"/>
      <c r="E13" s="98"/>
      <c r="F13" s="98"/>
      <c r="G13" s="98"/>
      <c r="H13" s="107">
        <v>0</v>
      </c>
      <c r="I13" s="142"/>
    </row>
    <row r="14" spans="2:17">
      <c r="C14" s="139" t="s">
        <v>69</v>
      </c>
      <c r="D14" s="98"/>
      <c r="E14" s="98"/>
      <c r="F14" s="98"/>
      <c r="G14" s="98"/>
      <c r="H14" s="107">
        <v>0</v>
      </c>
      <c r="I14" s="142"/>
    </row>
    <row r="15" spans="2:17">
      <c r="C15" s="139" t="s">
        <v>82</v>
      </c>
      <c r="D15" s="98"/>
      <c r="E15" s="98"/>
      <c r="F15" s="98"/>
      <c r="G15" s="98"/>
      <c r="H15" s="107">
        <v>0</v>
      </c>
      <c r="I15" s="142"/>
    </row>
    <row r="16" spans="2:17">
      <c r="C16" s="139" t="s">
        <v>81</v>
      </c>
      <c r="D16" s="98"/>
      <c r="E16" s="98"/>
      <c r="F16" s="98"/>
      <c r="G16" s="98"/>
      <c r="H16" s="107">
        <v>0</v>
      </c>
      <c r="I16" s="142"/>
    </row>
    <row r="17" spans="3:9">
      <c r="C17" s="139" t="s">
        <v>80</v>
      </c>
      <c r="D17" s="98"/>
      <c r="E17" s="98"/>
      <c r="F17" s="98"/>
      <c r="G17" s="98"/>
      <c r="H17" s="107">
        <v>0</v>
      </c>
      <c r="I17" s="142"/>
    </row>
    <row r="18" spans="3:9">
      <c r="C18" s="139" t="s">
        <v>72</v>
      </c>
      <c r="D18" s="98"/>
      <c r="E18" s="98"/>
      <c r="F18" s="98"/>
      <c r="G18" s="98"/>
      <c r="H18" s="107">
        <v>0</v>
      </c>
      <c r="I18" s="142"/>
    </row>
    <row r="19" spans="3:9">
      <c r="C19" s="139" t="s">
        <v>79</v>
      </c>
      <c r="D19" s="98"/>
      <c r="E19" s="98"/>
      <c r="F19" s="98"/>
      <c r="G19" s="98"/>
      <c r="H19" s="107">
        <v>0</v>
      </c>
      <c r="I19" s="142"/>
    </row>
    <row r="20" spans="3:9">
      <c r="C20" s="139" t="s">
        <v>78</v>
      </c>
      <c r="D20" s="98"/>
      <c r="E20" s="98"/>
      <c r="F20" s="98"/>
      <c r="G20" s="98"/>
      <c r="H20" s="107">
        <v>0</v>
      </c>
      <c r="I20" s="142"/>
    </row>
    <row r="21" spans="3:9">
      <c r="C21" s="139" t="s">
        <v>77</v>
      </c>
      <c r="D21" s="98"/>
      <c r="E21" s="98"/>
      <c r="F21" s="98"/>
      <c r="G21" s="98"/>
      <c r="H21" s="107">
        <v>0</v>
      </c>
      <c r="I21" s="142"/>
    </row>
    <row r="22" spans="3:9">
      <c r="C22" s="139" t="s">
        <v>76</v>
      </c>
      <c r="D22" s="98"/>
      <c r="E22" s="98"/>
      <c r="F22" s="98"/>
      <c r="G22" s="98"/>
      <c r="H22" s="107">
        <v>0</v>
      </c>
      <c r="I22" s="142"/>
    </row>
    <row r="23" spans="3:9">
      <c r="C23" s="139" t="s">
        <v>84</v>
      </c>
      <c r="D23" s="98"/>
      <c r="E23" s="98"/>
      <c r="F23" s="98"/>
      <c r="G23" s="98"/>
      <c r="H23" s="107">
        <v>0</v>
      </c>
      <c r="I23" s="142"/>
    </row>
  </sheetData>
  <conditionalFormatting pivot="1" sqref="H9:H23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I9:I23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23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3.6640625" bestFit="1" customWidth="1"/>
    <col min="5" max="5" width="10.21875" bestFit="1" customWidth="1"/>
    <col min="6" max="6" width="10.77734375" bestFit="1" customWidth="1"/>
    <col min="7" max="7" width="10.21875" bestFit="1" customWidth="1"/>
    <col min="8" max="8" width="22.109375" bestFit="1" customWidth="1"/>
    <col min="9" max="9" width="15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fmri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105"/>
    </row>
    <row r="8" spans="2:17" ht="36.6" customHeight="1">
      <c r="C8" s="141" t="s">
        <v>56</v>
      </c>
      <c r="D8" s="140" t="s">
        <v>57</v>
      </c>
      <c r="E8" s="140" t="s">
        <v>58</v>
      </c>
      <c r="F8" s="140" t="s">
        <v>59</v>
      </c>
      <c r="G8" s="140" t="s">
        <v>60</v>
      </c>
    </row>
    <row r="9" spans="2:17" ht="15" customHeight="1">
      <c r="C9" s="139" t="s">
        <v>64</v>
      </c>
      <c r="D9" s="98"/>
      <c r="E9" s="98"/>
      <c r="F9" s="98"/>
      <c r="G9" s="98"/>
    </row>
    <row r="10" spans="2:17" ht="15" customHeight="1">
      <c r="C10" s="139" t="s">
        <v>83</v>
      </c>
      <c r="D10" s="98"/>
      <c r="E10" s="98"/>
      <c r="F10" s="98"/>
      <c r="G10" s="98"/>
    </row>
    <row r="11" spans="2:17" ht="15" customHeight="1">
      <c r="C11" s="139" t="s">
        <v>75</v>
      </c>
      <c r="D11" s="98"/>
      <c r="E11" s="98"/>
      <c r="F11" s="98"/>
      <c r="G11" s="98"/>
    </row>
    <row r="12" spans="2:17" ht="15" customHeight="1">
      <c r="C12" s="139" t="s">
        <v>74</v>
      </c>
      <c r="D12" s="98"/>
      <c r="E12" s="98"/>
      <c r="F12" s="98"/>
      <c r="G12" s="98"/>
    </row>
    <row r="13" spans="2:17" ht="15" customHeight="1">
      <c r="C13" s="139" t="s">
        <v>73</v>
      </c>
      <c r="D13" s="98"/>
      <c r="E13" s="98"/>
      <c r="F13" s="98"/>
      <c r="G13" s="98"/>
    </row>
    <row r="14" spans="2:17">
      <c r="C14" s="139" t="s">
        <v>69</v>
      </c>
      <c r="D14" s="98"/>
      <c r="E14" s="98"/>
      <c r="F14" s="98"/>
      <c r="G14" s="98"/>
    </row>
    <row r="15" spans="2:17">
      <c r="C15" s="139" t="s">
        <v>82</v>
      </c>
      <c r="D15" s="98"/>
      <c r="E15" s="98"/>
      <c r="F15" s="98"/>
      <c r="G15" s="98"/>
    </row>
    <row r="16" spans="2:17">
      <c r="C16" s="139" t="s">
        <v>81</v>
      </c>
      <c r="D16" s="98"/>
      <c r="E16" s="98"/>
      <c r="F16" s="98"/>
      <c r="G16" s="98"/>
    </row>
    <row r="17" spans="3:7">
      <c r="C17" s="139" t="s">
        <v>80</v>
      </c>
      <c r="D17" s="98"/>
      <c r="E17" s="98"/>
      <c r="F17" s="98"/>
      <c r="G17" s="98"/>
    </row>
    <row r="18" spans="3:7">
      <c r="C18" s="139" t="s">
        <v>72</v>
      </c>
      <c r="D18" s="98"/>
      <c r="E18" s="98"/>
      <c r="F18" s="98"/>
      <c r="G18" s="98"/>
    </row>
    <row r="19" spans="3:7">
      <c r="C19" s="139" t="s">
        <v>79</v>
      </c>
      <c r="D19" s="98"/>
      <c r="E19" s="98"/>
      <c r="F19" s="98"/>
      <c r="G19" s="98"/>
    </row>
    <row r="20" spans="3:7">
      <c r="C20" s="139" t="s">
        <v>78</v>
      </c>
      <c r="D20" s="98"/>
      <c r="E20" s="98"/>
      <c r="F20" s="98"/>
      <c r="G20" s="98"/>
    </row>
    <row r="21" spans="3:7">
      <c r="C21" s="139" t="s">
        <v>77</v>
      </c>
      <c r="D21" s="98"/>
      <c r="E21" s="98"/>
      <c r="F21" s="98"/>
      <c r="G21" s="98"/>
    </row>
    <row r="22" spans="3:7">
      <c r="C22" s="139" t="s">
        <v>76</v>
      </c>
      <c r="D22" s="98"/>
      <c r="E22" s="98"/>
      <c r="F22" s="98"/>
      <c r="G22" s="98"/>
    </row>
    <row r="23" spans="3:7">
      <c r="C23" s="139" t="s">
        <v>84</v>
      </c>
      <c r="D23" s="98"/>
      <c r="E23" s="98"/>
      <c r="F23" s="98"/>
      <c r="G23" s="98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5" t="s">
        <v>23</v>
      </c>
      <c r="P2" s="92"/>
    </row>
    <row r="3" spans="1:16" ht="4.95" customHeight="1">
      <c r="B3" s="1"/>
      <c r="C3" s="4"/>
      <c r="P3" s="91"/>
    </row>
    <row r="4" spans="1:16" ht="19.95" customHeight="1">
      <c r="B4" s="1"/>
      <c r="C4" s="4"/>
      <c r="P4" s="93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5" t="s">
        <v>30</v>
      </c>
      <c r="D2" s="96"/>
      <c r="P2" s="92"/>
    </row>
    <row r="3" spans="2:16" ht="4.95" customHeight="1">
      <c r="B3" s="40"/>
      <c r="C3" s="94"/>
      <c r="D3" s="95"/>
      <c r="P3" s="91"/>
    </row>
    <row r="4" spans="2:16" ht="19.95" customHeight="1">
      <c r="B4" s="40"/>
      <c r="C4" s="94"/>
      <c r="D4" s="95"/>
      <c r="P4" s="93"/>
    </row>
    <row r="5" spans="2:16" ht="4.95" customHeight="1">
      <c r="B5" s="1"/>
      <c r="C5" s="4"/>
    </row>
    <row r="6" spans="2:16" s="5" customFormat="1" ht="30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2026-05-25T06:54:00Z</dcterms:modified>
</cp:coreProperties>
</file>