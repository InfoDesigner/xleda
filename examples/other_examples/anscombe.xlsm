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5B61D9D-166E-4423-93F9-199AE034BD02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Analysis'!$E$15:$G$15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Analysis'!$E$58:$G$58</definedName>
    <definedName name="FieldList1" localSheetId="5">#REF!</definedName>
    <definedName name="FieldList1" localSheetId="4">#REF!</definedName>
    <definedName name="FieldList2" localSheetId="1">'Field Analysis'!$E$59:$G$59</definedName>
    <definedName name="FieldList2" localSheetId="5">#REF!</definedName>
    <definedName name="FieldList2" localSheetId="4">#REF!</definedName>
    <definedName name="FieldList3" localSheetId="1">'Field Analysis'!$E$60:$G$60</definedName>
    <definedName name="FieldList3" localSheetId="5">#REF!</definedName>
    <definedName name="FieldList3" localSheetId="4">#REF!</definedName>
    <definedName name="FieldList4" localSheetId="1">'Field Analysis'!$E$61:$G$61</definedName>
    <definedName name="FieldList4" localSheetId="5">#REF!</definedName>
    <definedName name="FieldList4" localSheetId="4">#REF!</definedName>
    <definedName name="FieldList5" localSheetId="1">'Field Analysis'!$E$62:$G$62</definedName>
    <definedName name="FieldList5" localSheetId="5">#REF!</definedName>
    <definedName name="FieldList5" localSheetId="4">#REF!</definedName>
    <definedName name="FieldList6" localSheetId="1">'Field Analysis'!$E$63:$G$63</definedName>
    <definedName name="FieldList6" localSheetId="5">#REF!</definedName>
    <definedName name="FieldList6" localSheetId="4">#REF!</definedName>
    <definedName name="FieldList7" localSheetId="1">'Field Analysis'!$E$64:$G$64</definedName>
    <definedName name="FieldList7" localSheetId="5">#REF!</definedName>
    <definedName name="FieldList7" localSheetId="4">#REF!</definedName>
    <definedName name="FieldList8" localSheetId="1">'Field Analysis'!$E$65:$G$65</definedName>
    <definedName name="FieldList8" localSheetId="5">#REF!</definedName>
    <definedName name="FieldList8" localSheetId="4">#REF!</definedName>
    <definedName name="FieldLists" localSheetId="1">'Field Analysis'!$D$58:$G$65</definedName>
    <definedName name="FieldRange" localSheetId="1">'Field Analysis'!$E$79:$G$79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Analysis'!$E$19:$G$19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Analysis'!$E$17:$G$17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Analysis'!$C$19:$G$19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<sst xmlns="http://schemas.openxmlformats.org/spreadsheetml/2006/main" count="282" uniqueCount="142">
  <si>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</si>
  <si>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</si>
  <si>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</si>
  <si>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</si>
  <si>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</si>
  <si>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</si>
  <si>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</si>
  <si>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</si>
  <si>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</si>
  <si>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</si>
  <si>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</si>
  <si>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</si>
  <si>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</si>
  <si>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</si>
  <si>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</si>
  <si>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</si>
  <si>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</si>
  <si>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</si>
  <si>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</si>
  <si>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</si>
  <si>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</si>
  <si>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</si>
  <si>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</si>
  <si>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</si>
  <si>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</si>
  <si>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</si>
  <si>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</si>
  <si>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</si>
  <si>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</si>
  <si>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</si>
  <si>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</si>
  <si>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</si>
  <si>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</si>
  <si>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</si>
  <si>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</si>
  <si>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</si>
  <si>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</si>
  <si>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</si>
  <si>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</si>
  <si>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</si>
  <si>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</si>
  <si>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</si>
  <si>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</si>
  <si>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</si>
  <si>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</si>
  <si>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</si>
  <si>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</si>
  <si>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</si>
  <si>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</si>
  <si>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</si>
  <si>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</si>
  <si>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</si>
  <si>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</si>
  <si>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</si>
  <si>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</si>
  <si>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</si>
  <si>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</si>
  <si>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</si>
  <si>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</si>
  <si>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</si>
  <si>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</si>
  <si>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</si>
  <si>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</si>
  <si>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</si>
  <si>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</si>
  <si>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</si>
  <si>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</si>
  <si>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</si>
  <si>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</si>
  <si>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</si>
  <si>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</si>
  <si>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</si>
  <si>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</si>
  <si>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</si>
  <si>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</si>
  <si>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</si>
  <si>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</si>
  <si>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</si>
  <si>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</si>
  <si>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</si>
  <si>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</si>
  <si>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</si>
  <si>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</si>
  <si>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Anscombe</t>
  </si>
  <si>
    <t>dataset</t>
  </si>
  <si>
    <t>x</t>
  </si>
  <si>
    <t>y</t>
  </si>
  <si>
    <t>index</t>
  </si>
  <si>
    <t>Record Hash</t>
  </si>
  <si>
    <t>1,276 bytes</t>
  </si>
  <si>
    <t>str</t>
  </si>
  <si>
    <t>float64</t>
  </si>
  <si>
    <t>I</t>
  </si>
  <si>
    <t>II</t>
  </si>
  <si>
    <t>III</t>
  </si>
  <si>
    <t>IV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</si>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</sst>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C0A6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2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2C0A6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6"/>
      <tableStyleElement type="headerRow" dxfId="125"/>
      <tableStyleElement type="totalRow" dxfId="124"/>
    </tableStyle>
    <tableStyle name="DarkTable" pivot="0" count="2" xr9:uid="{97C242D2-6F6D-4549-9428-17456D609B35}">
      <tableStyleElement type="wholeTable" dxfId="123"/>
      <tableStyleElement type="headerRow" dxfId="12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aset">
          <a:extLst>
            <a:ext uri="{FF2B5EF4-FFF2-40B4-BE49-F238E27FC236}">
              <a16:creationId xmlns:a16="http://schemas.microsoft.com/office/drawing/2014/main" id="{0A291170-2F6E-88AA-D1CD-6E86EF534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x">
          <a:extLst>
            <a:ext uri="{FF2B5EF4-FFF2-40B4-BE49-F238E27FC236}">
              <a16:creationId xmlns:a16="http://schemas.microsoft.com/office/drawing/2014/main" id="{23855AFD-DF74-985E-A91B-47E63305E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x">
          <a:extLst>
            <a:ext uri="{FF2B5EF4-FFF2-40B4-BE49-F238E27FC236}">
              <a16:creationId xmlns:a16="http://schemas.microsoft.com/office/drawing/2014/main" id="{FC7ED0DC-34D1-9444-EF3B-2567D8379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y">
          <a:extLst>
            <a:ext uri="{FF2B5EF4-FFF2-40B4-BE49-F238E27FC236}">
              <a16:creationId xmlns:a16="http://schemas.microsoft.com/office/drawing/2014/main" id="{E28064FF-0EAD-A846-1CB9-B4008A92E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y">
          <a:extLst>
            <a:ext uri="{FF2B5EF4-FFF2-40B4-BE49-F238E27FC236}">
              <a16:creationId xmlns:a16="http://schemas.microsoft.com/office/drawing/2014/main" id="{E479053C-0FC3-2EAF-AD06-A5F4E55AD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4153703705" createdVersion="8" refreshedVersion="8" minRefreshableVersion="3" recordCount="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index" numFmtId="0">
      <sharedItems containsSemiMixedTypes="0" containsString="0" containsNumber="1" containsInteger="1" minValue="0" maxValue="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5531757921356141E+17" maxValue="1.8290918260543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b v="0"/>
    <x v="0"/>
    <x v="0"/>
    <x v="0"/>
    <n v="0"/>
    <n v="0"/>
    <n v="8.2900397977865564E+18"/>
  </r>
  <r>
    <b v="0"/>
    <x v="0"/>
    <x v="1"/>
    <x v="1"/>
    <n v="1"/>
    <n v="0"/>
    <n v="7.746183454097559E+17"/>
  </r>
  <r>
    <b v="0"/>
    <x v="0"/>
    <x v="2"/>
    <x v="2"/>
    <n v="2"/>
    <n v="0"/>
    <n v="7.7304847401086556E+18"/>
  </r>
  <r>
    <b v="0"/>
    <x v="0"/>
    <x v="3"/>
    <x v="3"/>
    <n v="3"/>
    <n v="0"/>
    <n v="1.6450170027552784E+19"/>
  </r>
  <r>
    <b v="0"/>
    <x v="0"/>
    <x v="4"/>
    <x v="4"/>
    <n v="4"/>
    <n v="0"/>
    <n v="1.9576391762710935E+18"/>
  </r>
  <r>
    <b v="0"/>
    <x v="0"/>
    <x v="5"/>
    <x v="5"/>
    <n v="5"/>
    <n v="0"/>
    <n v="1.4813912060619E+19"/>
  </r>
  <r>
    <b v="0"/>
    <x v="0"/>
    <x v="6"/>
    <x v="6"/>
    <n v="6"/>
    <n v="0"/>
    <n v="4.5531757921356141E+17"/>
  </r>
  <r>
    <b v="0"/>
    <x v="0"/>
    <x v="7"/>
    <x v="7"/>
    <n v="7"/>
    <n v="0"/>
    <n v="4.2687004823131064E+18"/>
  </r>
  <r>
    <b v="0"/>
    <x v="0"/>
    <x v="8"/>
    <x v="8"/>
    <n v="8"/>
    <n v="0"/>
    <n v="1.0824355179871961E+19"/>
  </r>
  <r>
    <b v="0"/>
    <x v="0"/>
    <x v="9"/>
    <x v="9"/>
    <n v="9"/>
    <n v="0"/>
    <n v="1.6541709756342252E+19"/>
  </r>
  <r>
    <b v="0"/>
    <x v="0"/>
    <x v="10"/>
    <x v="10"/>
    <n v="10"/>
    <n v="0"/>
    <n v="1.2465426303620512E+19"/>
  </r>
  <r>
    <b v="0"/>
    <x v="1"/>
    <x v="0"/>
    <x v="11"/>
    <n v="11"/>
    <n v="0"/>
    <n v="1.2615110453480454E+19"/>
  </r>
  <r>
    <b v="0"/>
    <x v="1"/>
    <x v="1"/>
    <x v="12"/>
    <n v="12"/>
    <n v="0"/>
    <n v="1.7574382863757523E+19"/>
  </r>
  <r>
    <b v="0"/>
    <x v="1"/>
    <x v="2"/>
    <x v="13"/>
    <n v="13"/>
    <n v="0"/>
    <n v="1.2831300063501724E+19"/>
  </r>
  <r>
    <b v="0"/>
    <x v="1"/>
    <x v="3"/>
    <x v="14"/>
    <n v="14"/>
    <n v="0"/>
    <n v="1.7540277894604515E+19"/>
  </r>
  <r>
    <b v="0"/>
    <x v="1"/>
    <x v="4"/>
    <x v="15"/>
    <n v="15"/>
    <n v="0"/>
    <n v="7.5235392342167153E+18"/>
  </r>
  <r>
    <b v="0"/>
    <x v="1"/>
    <x v="5"/>
    <x v="16"/>
    <n v="16"/>
    <n v="0"/>
    <n v="1.3486858689431015E+19"/>
  </r>
  <r>
    <b v="0"/>
    <x v="1"/>
    <x v="6"/>
    <x v="17"/>
    <n v="17"/>
    <n v="0"/>
    <n v="1.8290918260543154E+19"/>
  </r>
  <r>
    <b v="0"/>
    <x v="1"/>
    <x v="7"/>
    <x v="18"/>
    <n v="18"/>
    <n v="0"/>
    <n v="3.0271482890587628E+18"/>
  </r>
  <r>
    <b v="0"/>
    <x v="1"/>
    <x v="8"/>
    <x v="19"/>
    <n v="19"/>
    <n v="0"/>
    <n v="1.3323868367707693E+19"/>
  </r>
  <r>
    <b v="0"/>
    <x v="1"/>
    <x v="9"/>
    <x v="20"/>
    <n v="20"/>
    <n v="0"/>
    <n v="3.5680720266868065E+18"/>
  </r>
  <r>
    <b v="0"/>
    <x v="1"/>
    <x v="10"/>
    <x v="21"/>
    <n v="21"/>
    <n v="0"/>
    <n v="2.3914005557568937E+18"/>
  </r>
  <r>
    <b v="0"/>
    <x v="2"/>
    <x v="0"/>
    <x v="22"/>
    <n v="22"/>
    <n v="0"/>
    <n v="1.7082740423865072E+19"/>
  </r>
  <r>
    <b v="0"/>
    <x v="2"/>
    <x v="1"/>
    <x v="23"/>
    <n v="23"/>
    <n v="0"/>
    <n v="4.9085920842948086E+18"/>
  </r>
  <r>
    <b v="0"/>
    <x v="2"/>
    <x v="2"/>
    <x v="24"/>
    <n v="24"/>
    <n v="0"/>
    <n v="1.770008728388957E+19"/>
  </r>
  <r>
    <b v="0"/>
    <x v="2"/>
    <x v="3"/>
    <x v="25"/>
    <n v="25"/>
    <n v="0"/>
    <n v="1.9372436006079421E+18"/>
  </r>
  <r>
    <b v="0"/>
    <x v="2"/>
    <x v="4"/>
    <x v="26"/>
    <n v="26"/>
    <n v="0"/>
    <n v="1.3529379415465892E+19"/>
  </r>
  <r>
    <b v="0"/>
    <x v="2"/>
    <x v="5"/>
    <x v="27"/>
    <n v="27"/>
    <n v="0"/>
    <n v="1.1161663523386765E+19"/>
  </r>
  <r>
    <b v="0"/>
    <x v="2"/>
    <x v="6"/>
    <x v="28"/>
    <n v="28"/>
    <n v="0"/>
    <n v="1.7455212853858664E+19"/>
  </r>
  <r>
    <b v="0"/>
    <x v="2"/>
    <x v="7"/>
    <x v="29"/>
    <n v="29"/>
    <n v="0"/>
    <n v="7.4044780924903977E+18"/>
  </r>
  <r>
    <b v="0"/>
    <x v="2"/>
    <x v="8"/>
    <x v="30"/>
    <n v="30"/>
    <n v="0"/>
    <n v="4.8691511575164723E+18"/>
  </r>
  <r>
    <b v="0"/>
    <x v="2"/>
    <x v="9"/>
    <x v="31"/>
    <n v="31"/>
    <n v="0"/>
    <n v="1.5520966538863829E+19"/>
  </r>
  <r>
    <b v="0"/>
    <x v="2"/>
    <x v="10"/>
    <x v="32"/>
    <n v="32"/>
    <n v="0"/>
    <n v="1.6956987607096488E+19"/>
  </r>
  <r>
    <b v="0"/>
    <x v="3"/>
    <x v="1"/>
    <x v="33"/>
    <n v="33"/>
    <n v="0"/>
    <n v="8.2794725629868687E+18"/>
  </r>
  <r>
    <b v="0"/>
    <x v="3"/>
    <x v="1"/>
    <x v="34"/>
    <n v="34"/>
    <n v="0"/>
    <n v="1.3292156592662393E+19"/>
  </r>
  <r>
    <b v="0"/>
    <x v="3"/>
    <x v="1"/>
    <x v="35"/>
    <n v="35"/>
    <n v="0"/>
    <n v="1.1803802399366158E+19"/>
  </r>
  <r>
    <b v="0"/>
    <x v="3"/>
    <x v="1"/>
    <x v="27"/>
    <n v="36"/>
    <n v="0"/>
    <n v="7.3049915945927967E+18"/>
  </r>
  <r>
    <b v="0"/>
    <x v="3"/>
    <x v="1"/>
    <x v="36"/>
    <n v="37"/>
    <n v="0"/>
    <n v="1.4983167448133067E+19"/>
  </r>
  <r>
    <b v="0"/>
    <x v="3"/>
    <x v="1"/>
    <x v="37"/>
    <n v="38"/>
    <n v="0"/>
    <n v="3.5115920427908675E+18"/>
  </r>
  <r>
    <b v="0"/>
    <x v="3"/>
    <x v="1"/>
    <x v="38"/>
    <n v="39"/>
    <n v="0"/>
    <n v="1.4505337100355502E+18"/>
  </r>
  <r>
    <b v="0"/>
    <x v="3"/>
    <x v="11"/>
    <x v="39"/>
    <n v="40"/>
    <n v="0"/>
    <n v="2.4440120055156204E+18"/>
  </r>
  <r>
    <b v="0"/>
    <x v="3"/>
    <x v="1"/>
    <x v="40"/>
    <n v="41"/>
    <n v="0"/>
    <n v="1.7387600761294412E+19"/>
  </r>
  <r>
    <b v="0"/>
    <x v="3"/>
    <x v="1"/>
    <x v="41"/>
    <n v="42"/>
    <n v="0"/>
    <n v="1.1044583522839329E+19"/>
  </r>
  <r>
    <b v="0"/>
    <x v="3"/>
    <x v="1"/>
    <x v="42"/>
    <n v="43"/>
    <n v="0"/>
    <n v="3.16695987368074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4" firstHeaderRow="0" firstDataRow="1" firstDataCol="3"/>
  <pivotFields count="7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40"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type="all" dataOnly="0" outline="0" fieldPosition="0"/>
    </format>
    <format dxfId="46">
      <pivotArea dataOnly="0" outline="0" fieldPosition="0">
        <references count="1">
          <reference field="4294967294" count="1">
            <x v="0"/>
          </reference>
        </references>
      </pivotArea>
    </format>
    <format dxfId="45">
      <pivotArea outline="0" fieldPosition="0">
        <references count="1">
          <reference field="4294967294" count="1">
            <x v="0"/>
          </reference>
        </references>
      </pivotArea>
    </format>
    <format dxfId="44">
      <pivotArea outline="0" fieldPosition="0">
        <references count="1">
          <reference field="4294967294" count="1">
            <x v="1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outline="0" fieldPosition="0">
        <references count="1">
          <reference field="4294967294" count="1" selected="0">
            <x v="1"/>
          </reference>
        </references>
      </pivotArea>
    </format>
    <format dxfId="39">
      <pivotArea dataOnly="0" outline="0" fieldPosition="0">
        <references count="1">
          <reference field="4294967294" count="1">
            <x v="1"/>
          </reference>
        </references>
      </pivotArea>
    </format>
    <format dxfId="38">
      <pivotArea type="all" dataOnly="0" outline="0" fieldPosition="0"/>
    </format>
    <format dxfId="37">
      <pivotArea type="all" dataOnly="0" outline="0" fieldPosition="0"/>
    </format>
    <format dxfId="36">
      <pivotArea outline="0" fieldPosition="0">
        <references count="1">
          <reference field="4294967294" count="1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1" count="0"/>
        </references>
      </pivotArea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1" type="button" dataOnly="0" labelOnly="1" outline="0" axis="axisRow" fieldPosition="0"/>
    </format>
    <format dxfId="13">
      <pivotArea field="2" type="button" dataOnly="0" labelOnly="1" outline="0" axis="axisRow" fieldPosition="1"/>
    </format>
    <format dxfId="12">
      <pivotArea field="3" type="button" dataOnly="0" labelOnly="1" outline="0" axis="axisRow" fieldPosition="2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field="2" type="button" dataOnly="0" labelOnly="1" outline="0" axis="axisRow" fieldPosition="1"/>
    </format>
    <format dxfId="9">
      <pivotArea field="3" type="button" dataOnly="0" labelOnly="1" outline="0" axis="axisRow" fieldPosition="2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outline="0" fieldPosition="0">
        <references count="1">
          <reference field="1" count="1">
            <x v="2"/>
          </reference>
        </references>
      </pivotArea>
    </format>
    <format dxfId="3">
      <pivotArea dataOnly="0" labelOnly="1" outline="0" fieldPosition="0">
        <references count="1">
          <reference field="1" count="1">
            <x v="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121" dataDxfId="119" headerRowBorderDxfId="120" tableBorderDxfId="118" totalsRowBorderDxfId="117" headerRowCellStyle="DarkHeader">
  <autoFilter ref="C45:J53" xr:uid="{DD504193-DD3B-4BC5-B491-CD13C900E1D0}"/>
  <tableColumns count="8">
    <tableColumn id="1" xr3:uid="{428A065A-E650-48CD-82D8-DCD52C6ADF49}" name="Dataset" dataDxfId="116"/>
    <tableColumn id="2" xr3:uid="{59A978F6-B8DD-476D-83D1-DF4156BF2B65}" name="Field" dataDxfId="115"/>
    <tableColumn id="4" xr3:uid="{F13FAD31-2DAD-46F1-87AA-89BB89F55C7D}" name="Activity" dataDxfId="114"/>
    <tableColumn id="3" xr3:uid="{EEC05A6B-8FC2-4E70-83F0-CD177B8B3640}" name="Rows" dataDxfId="113"/>
    <tableColumn id="5" xr3:uid="{393C3242-A398-4640-8F14-23E67E5E58DD}" name="Columns" dataDxfId="112" dataCellStyle="Comma"/>
    <tableColumn id="6" xr3:uid="{FD0E5439-87A1-4303-9EA2-539C332536D5}" name="Datatype" dataDxfId="111"/>
    <tableColumn id="7" xr3:uid="{8B1A0719-0FD5-40F2-A5A8-CFCFA32E014A}" name="Production Time in Seconds" dataDxfId="110"/>
    <tableColumn id="8" xr3:uid="{B5BE7F10-5FBA-44EF-8324-B95D2ABA2298}" name="% of Production Time" dataDxfId="10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8" dataDxfId="106" headerRowBorderDxfId="107" tableBorderDxfId="105" totalsRowBorderDxfId="104">
  <tableColumns count="3">
    <tableColumn id="1" xr3:uid="{FFACC0FF-000E-4785-9C1A-22F01E7C2644}" name="Production Section" dataDxfId="103" dataCellStyle="DarkHeader"/>
    <tableColumn id="2" xr3:uid="{6A06C42D-D4AD-45CE-A81D-0918B410EAA9}" name="Production Time in Seconds" dataDxfId="102"/>
    <tableColumn id="3" xr3:uid="{2643AF23-A2E5-4438-810D-7531CB2D2E4E}" name="% of Production Time" dataDxfId="10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00" dataDxfId="98" headerRowBorderDxfId="99" tableBorderDxfId="97">
  <tableColumns count="2">
    <tableColumn id="1" xr3:uid="{9623C5AE-E7C2-4493-9B72-08667C9B2C60}" name="Environment Variable" dataDxfId="96" dataCellStyle="DarkHeader"/>
    <tableColumn id="2" xr3:uid="{E5E357AA-48FB-47EA-928A-80845B0CD7C9}" name="Value" dataDxfId="9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94" tableBorderDxfId="93" totalsRowBorderDxfId="92">
  <autoFilter ref="F9:G20" xr:uid="{A6117933-3C15-4FC8-ADF4-0EC66304DEE1}"/>
  <tableColumns count="2">
    <tableColumn id="1" xr3:uid="{EC70458D-5C3D-497C-AA06-AFCBD688FBDA}" name="Input Argument" dataDxfId="91" dataCellStyle="DarkHeader"/>
    <tableColumn id="2" xr3:uid="{FCA8AE27-3D46-4152-9A03-0F3EFBA2366A}" name="Value" dataDxfId="9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89" tableBorderDxfId="88" totalsRowBorderDxfId="87">
  <autoFilter ref="I9:J10" xr:uid="{6AF89CD0-DF40-4046-87D4-2BF660DDE636}"/>
  <tableColumns count="2">
    <tableColumn id="1" xr3:uid="{27FA7240-202E-4FAB-AD4A-DC169AFD6F56}" name="Error Type" dataDxfId="86" dataCellStyle="DarkHeader"/>
    <tableColumn id="2" xr3:uid="{C21354E4-3682-4AA0-B73A-2E689C89258C}" name="Value" dataDxfId="8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123" totalsRowShown="0" headerRowDxfId="30" dataDxfId="29" headerRowCellStyle="DarkHeader" dataCellStyle="Normal">
  <autoFilter ref="D79:J123" xr:uid="{DB1D1E60-5E37-456A-AD85-0649D531840E}"/>
  <tableColumns count="7">
    <tableColumn id="1" xr3:uid="{57EDF41E-F06D-4819-BADE-3D62DE46F06C}" name="Record List" dataDxfId="27" dataCellStyle="Normal"/>
    <tableColumn id="2" xr3:uid="{CF70C9CE-83FE-40FA-8089-C68B39CF665A}" name="dataset" dataDxfId="28" dataCellStyle="Normal"/>
    <tableColumn id="3" xr3:uid="{B8654690-502A-4FAF-9205-0118DABCB954}" name="x" dataDxfId="31" dataCellStyle="Normal"/>
    <tableColumn id="4" xr3:uid="{5A5BA001-2F93-4E62-880C-C4E8BDB17EEB}" name="y" dataDxfId="26" dataCellStyle="Normal"/>
    <tableColumn id="5" xr3:uid="{CC5EB0F9-8287-4697-8D74-EB9D61F3136B}" name="index" dataDxfId="25" dataCellStyle="Normal"/>
    <tableColumn id="6" xr3:uid="{C9593117-EBEF-4727-A7ED-29542A1FE731}" name="HasBlank" dataDxfId="24" dataCellStyle="Normal"/>
    <tableColumn id="7" xr3:uid="{952EDB72-BE2E-4E7D-AAEC-BA54303210D4}" name="Record Hash" dataDxfId="2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34" dataDxfId="76" headerRowBorderDxfId="77">
  <autoFilter ref="B11:AA14" xr:uid="{034D1C74-BE18-490E-B396-097D407DA97D}"/>
  <tableColumns count="26">
    <tableColumn id="1" xr3:uid="{010A8E62-502A-4B19-B37A-BF59E03A068A}" name="Field" dataDxfId="75"/>
    <tableColumn id="2" xr3:uid="{AD236665-EC7C-404F-8915-AD7CD5510D0F}" name="Definition" dataDxfId="3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74"/>
    <tableColumn id="5" xr3:uid="{5006D683-9D12-4B97-9EF2-6D41AF6E0B35}" name="Distinct %" dataDxfId="73"/>
    <tableColumn id="6" xr3:uid="{3AFB42F8-9976-44FF-9239-74914D5BE035}" name="Missing %" dataDxfId="72"/>
    <tableColumn id="7" xr3:uid="{4BA41102-DB06-4180-9754-C88722FE82BD}" name="Memory Usage %" dataDxfId="71"/>
    <tableColumn id="8" xr3:uid="{D22319BD-3A80-40F3-84FC-A6D1627B2F29}" name="Memory Usage" dataDxfId="70"/>
    <tableColumn id="9" xr3:uid="{77FAEE19-B6C7-4056-8EF3-5EB877C820C4}" name="Distinct" dataDxfId="69"/>
    <tableColumn id="10" xr3:uid="{54FF47BF-594E-417B-9028-64A4DFE4D389}" name="Count" dataDxfId="68"/>
    <tableColumn id="11" xr3:uid="{54E587FE-36DC-4522-91DC-8B81B386217B}" name="Count %" dataDxfId="67"/>
    <tableColumn id="12" xr3:uid="{0DE21D83-93B1-480C-BE9C-379DA0E532C7}" name="Missing" dataDxfId="66"/>
    <tableColumn id="13" xr3:uid="{C4B407B9-B7FB-4DFC-A6B3-885C816BAF99}" name="Mean" dataDxfId="65"/>
    <tableColumn id="14" xr3:uid="{9796FD8E-D568-43E1-AC6E-BFAE7C7B7017}" name="Median" dataDxfId="64"/>
    <tableColumn id="15" xr3:uid="{A6A7BCED-DD2F-4B41-A84C-2F2674A38A53}" name="Mode" dataDxfId="63"/>
    <tableColumn id="16" xr3:uid="{46607FA5-244C-49C2-997C-B64EB2E94FDE}" name="Standard Deviation" dataDxfId="62"/>
    <tableColumn id="17" xr3:uid="{80BA1782-4C46-45CE-B3FB-40B70BA09AF9}" name="Variance" dataDxfId="61"/>
    <tableColumn id="18" xr3:uid="{EC3C5A76-EF95-419C-87A8-D8885B542521}" name="Min" dataDxfId="60"/>
    <tableColumn id="19" xr3:uid="{BFE545F8-810C-4F0A-A0B2-FF0AB9764A07}" name="5%" dataDxfId="59"/>
    <tableColumn id="20" xr3:uid="{77D31A9B-57B1-4422-8EF9-6320F00E0DB9}" name="25%" dataDxfId="58"/>
    <tableColumn id="21" xr3:uid="{7A350787-F0EA-4E65-B596-5D7253E75CD6}" name="50%" dataDxfId="57"/>
    <tableColumn id="22" xr3:uid="{FB4C260E-A19F-4908-9DBF-DB4AC630982A}" name="75%" dataDxfId="56"/>
    <tableColumn id="23" xr3:uid="{FBECC9F1-5BC8-4774-9475-EB2D6D28F1E2}" name="95%" dataDxfId="55"/>
    <tableColumn id="24" xr3:uid="{839CD532-ED80-4544-A8C8-E9E036764A84}" name="Max" dataDxfId="54"/>
    <tableColumn id="25" xr3:uid="{9DDA1FD6-82B1-4FBE-8BBD-B40C331930D2}" name="Range" dataDxfId="53"/>
    <tableColumn id="26" xr3:uid="{902A027A-FD65-44D4-B3D0-5B3883ACFA39}" name="IQR" dataDxfId="5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97</v>
      </c>
      <c r="D10" s="95" t="s">
        <v>98</v>
      </c>
      <c r="F10" s="110" t="s">
        <v>120</v>
      </c>
      <c r="G10" s="123" t="s">
        <v>83</v>
      </c>
      <c r="I10" s="115" t="s">
        <v>133</v>
      </c>
      <c r="J10" s="116" t="s">
        <v>134</v>
      </c>
      <c r="L10" s="78"/>
    </row>
    <row r="11" spans="2:12" ht="15" hidden="1" customHeight="1" outlineLevel="1">
      <c r="C11" s="94" t="s">
        <v>99</v>
      </c>
      <c r="D11" s="95" t="s">
        <v>100</v>
      </c>
      <c r="F11" s="111" t="s">
        <v>121</v>
      </c>
      <c r="G11" s="124" t="s">
        <v>122</v>
      </c>
      <c r="I11" s="115"/>
      <c r="J11" s="116"/>
    </row>
    <row r="12" spans="2:12" ht="15" hidden="1" customHeight="1" outlineLevel="1">
      <c r="C12" s="94" t="s">
        <v>101</v>
      </c>
      <c r="D12" s="95">
        <v>16</v>
      </c>
      <c r="F12" s="111" t="s">
        <v>123</v>
      </c>
      <c r="G12" s="124" t="s">
        <v>124</v>
      </c>
      <c r="H12"/>
      <c r="I12"/>
      <c r="J12"/>
      <c r="K12"/>
    </row>
    <row r="13" spans="2:12" ht="15" hidden="1" customHeight="1" outlineLevel="1">
      <c r="C13" s="94" t="s">
        <v>102</v>
      </c>
      <c r="D13" s="95" t="b">
        <v>0</v>
      </c>
      <c r="F13" s="111" t="s">
        <v>125</v>
      </c>
      <c r="G13" s="124" t="s">
        <v>124</v>
      </c>
      <c r="H13"/>
      <c r="I13"/>
      <c r="J13"/>
      <c r="K13"/>
    </row>
    <row r="14" spans="2:12" ht="15" hidden="1" customHeight="1" outlineLevel="1">
      <c r="C14" s="94" t="s">
        <v>103</v>
      </c>
      <c r="D14" s="95" t="b">
        <v>1</v>
      </c>
      <c r="F14" s="111" t="s">
        <v>126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104</v>
      </c>
      <c r="D15" s="95" t="s">
        <v>105</v>
      </c>
      <c r="F15" s="111" t="s">
        <v>127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106</v>
      </c>
      <c r="D16" s="95">
        <v>46177</v>
      </c>
      <c r="F16" s="111" t="s">
        <v>128</v>
      </c>
      <c r="G16" s="124" t="s">
        <v>129</v>
      </c>
      <c r="H16"/>
      <c r="I16"/>
      <c r="J16"/>
      <c r="K16"/>
    </row>
    <row r="17" spans="2:25" ht="15" hidden="1" customHeight="1" outlineLevel="1">
      <c r="C17" s="94" t="s">
        <v>107</v>
      </c>
      <c r="D17" s="95">
        <v>11</v>
      </c>
      <c r="F17" s="111" t="s">
        <v>130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108</v>
      </c>
      <c r="D18" s="95" t="s">
        <v>109</v>
      </c>
      <c r="F18" s="111" t="s">
        <v>131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110</v>
      </c>
      <c r="D19" s="95" t="s">
        <v>111</v>
      </c>
      <c r="F19" s="111" t="s">
        <v>132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112</v>
      </c>
      <c r="D20" s="95" t="s">
        <v>113</v>
      </c>
      <c r="F20" s="125" t="s">
        <v>102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114</v>
      </c>
      <c r="D21" s="95" t="s">
        <v>115</v>
      </c>
      <c r="F21"/>
      <c r="G21"/>
      <c r="H21"/>
      <c r="I21"/>
      <c r="J21"/>
      <c r="K21"/>
    </row>
    <row r="22" spans="2:25" ht="15" hidden="1" customHeight="1" outlineLevel="1">
      <c r="C22" s="94" t="s">
        <v>116</v>
      </c>
      <c r="D22" s="95" t="s">
        <v>117</v>
      </c>
      <c r="F22"/>
      <c r="G22"/>
      <c r="H22"/>
      <c r="I22"/>
      <c r="J22"/>
      <c r="K22"/>
    </row>
    <row r="23" spans="2:25" ht="15" hidden="1" customHeight="1" outlineLevel="1">
      <c r="C23" s="94" t="s">
        <v>118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119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44</v>
      </c>
      <c r="E31" s="97"/>
      <c r="K31" s="100"/>
      <c r="X31" s="83"/>
    </row>
    <row r="32" spans="2:25" ht="15" customHeight="1">
      <c r="C32" s="99" t="s">
        <v>70</v>
      </c>
      <c r="D32" s="86">
        <v>8.5974652767181396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5.2500886917114258</v>
      </c>
      <c r="E35" s="127">
        <v>0.61065312483863932</v>
      </c>
    </row>
    <row r="36" spans="2:24" ht="15" customHeight="1">
      <c r="C36" s="104" t="s">
        <v>135</v>
      </c>
      <c r="D36" s="129">
        <v>5.9672327041625977</v>
      </c>
      <c r="E36" s="127">
        <v>0.69406623609788409</v>
      </c>
      <c r="K36" s="100"/>
    </row>
    <row r="37" spans="2:24" ht="15" customHeight="1">
      <c r="C37" s="104" t="s">
        <v>136</v>
      </c>
      <c r="D37" s="129">
        <v>0.35431790351867676</v>
      </c>
      <c r="E37" s="127">
        <v>4.1211748538942231E-2</v>
      </c>
      <c r="K37" s="100"/>
    </row>
    <row r="38" spans="2:24" ht="15" customHeight="1">
      <c r="C38" s="104" t="s">
        <v>137</v>
      </c>
      <c r="D38" s="129">
        <v>0.41892385482788086</v>
      </c>
      <c r="E38" s="127">
        <v>4.8726255124787725E-2</v>
      </c>
      <c r="K38" s="100"/>
    </row>
    <row r="39" spans="2:24" ht="15" customHeight="1">
      <c r="C39" s="104" t="s">
        <v>75</v>
      </c>
      <c r="D39" s="129">
        <v>0.35285711288452148</v>
      </c>
      <c r="E39" s="127">
        <v>4.1041839720660694E-2</v>
      </c>
      <c r="N39" s="79"/>
    </row>
    <row r="40" spans="2:24" ht="15" customHeight="1">
      <c r="C40" s="104" t="s">
        <v>76</v>
      </c>
      <c r="D40" s="129">
        <v>1.0634832382202148</v>
      </c>
      <c r="E40" s="127">
        <v>0.12369683652353525</v>
      </c>
    </row>
    <row r="41" spans="2:24" ht="15" customHeight="1">
      <c r="C41" s="105" t="s">
        <v>138</v>
      </c>
      <c r="D41" s="130">
        <v>0.3705751895904541</v>
      </c>
      <c r="E41" s="128">
        <v>4.3102680887723246E-2</v>
      </c>
    </row>
    <row r="42" spans="2:24" ht="15" customHeight="1">
      <c r="C42" s="167" t="s">
        <v>77</v>
      </c>
      <c r="D42" s="130">
        <v>7.0055484771728516E-2</v>
      </c>
      <c r="E42" s="128">
        <v>8.1483577135525349E-3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139</v>
      </c>
      <c r="F46" s="113">
        <v>44</v>
      </c>
      <c r="G46" s="109">
        <v>3</v>
      </c>
      <c r="H46" s="108" t="s">
        <v>90</v>
      </c>
      <c r="I46" s="131">
        <v>7.2999238967895508E-2</v>
      </c>
      <c r="J46" s="127">
        <v>8.4907543480101984E-3</v>
      </c>
    </row>
    <row r="47" spans="2:24" ht="15" customHeight="1">
      <c r="C47" s="117" t="s">
        <v>83</v>
      </c>
      <c r="D47" s="118" t="s">
        <v>85</v>
      </c>
      <c r="E47" s="118" t="s">
        <v>139</v>
      </c>
      <c r="F47" s="113">
        <v>44</v>
      </c>
      <c r="G47" s="109">
        <v>3</v>
      </c>
      <c r="H47" s="108" t="s">
        <v>91</v>
      </c>
      <c r="I47" s="131">
        <v>0.1110234260559082</v>
      </c>
      <c r="J47" s="127">
        <v>1.2913458425638812E-2</v>
      </c>
    </row>
    <row r="48" spans="2:24" ht="15" customHeight="1">
      <c r="C48" s="117" t="s">
        <v>83</v>
      </c>
      <c r="D48" s="118" t="s">
        <v>86</v>
      </c>
      <c r="E48" s="118" t="s">
        <v>139</v>
      </c>
      <c r="F48" s="113">
        <v>44</v>
      </c>
      <c r="G48" s="109">
        <v>3</v>
      </c>
      <c r="H48" s="108" t="s">
        <v>91</v>
      </c>
      <c r="I48" s="131">
        <v>9.7146987915039063E-2</v>
      </c>
      <c r="J48" s="127">
        <v>1.1299449442184941E-2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140</v>
      </c>
      <c r="F49" s="169">
        <v>44</v>
      </c>
      <c r="G49" s="109">
        <v>3</v>
      </c>
      <c r="H49" s="113" t="s">
        <v>90</v>
      </c>
      <c r="I49" s="131">
        <v>0.18993330001831055</v>
      </c>
      <c r="J49" s="170">
        <v>2.2091695965099557E-2</v>
      </c>
      <c r="K49"/>
    </row>
    <row r="50" spans="1:11" ht="15" customHeight="1">
      <c r="A50"/>
      <c r="B50"/>
      <c r="C50" s="168" t="s">
        <v>83</v>
      </c>
      <c r="D50" s="168" t="s">
        <v>85</v>
      </c>
      <c r="E50" s="117" t="s">
        <v>140</v>
      </c>
      <c r="F50" s="169">
        <v>44</v>
      </c>
      <c r="G50" s="109">
        <v>3</v>
      </c>
      <c r="H50" s="113" t="s">
        <v>91</v>
      </c>
      <c r="I50" s="131">
        <v>0.23471689224243164</v>
      </c>
      <c r="J50" s="170">
        <v>2.7300606164337406E-2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141</v>
      </c>
      <c r="F51" s="169">
        <v>44</v>
      </c>
      <c r="G51" s="109">
        <v>3</v>
      </c>
      <c r="H51" s="113" t="s">
        <v>91</v>
      </c>
      <c r="I51" s="131">
        <v>0.1594700813293457</v>
      </c>
      <c r="J51" s="170">
        <v>1.8548430169527792E-2</v>
      </c>
      <c r="K51"/>
    </row>
    <row r="52" spans="1:11" ht="15" customHeight="1">
      <c r="A52"/>
      <c r="B52"/>
      <c r="C52" s="168" t="s">
        <v>83</v>
      </c>
      <c r="D52" s="168" t="s">
        <v>86</v>
      </c>
      <c r="E52" s="117" t="s">
        <v>140</v>
      </c>
      <c r="F52" s="169">
        <v>44</v>
      </c>
      <c r="G52" s="109">
        <v>3</v>
      </c>
      <c r="H52" s="113" t="s">
        <v>91</v>
      </c>
      <c r="I52" s="131">
        <v>0.24387860298156738</v>
      </c>
      <c r="J52" s="170">
        <v>2.8366231455687906E-2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141</v>
      </c>
      <c r="F53" s="173">
        <v>44</v>
      </c>
      <c r="G53" s="174">
        <v>3</v>
      </c>
      <c r="H53" s="175" t="s">
        <v>91</v>
      </c>
      <c r="I53" s="176">
        <v>0.17947816848754883</v>
      </c>
      <c r="J53" s="177">
        <v>2.087562912989769E-2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44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91</v>
      </c>
    </row>
    <row r="24" spans="1:10" ht="15" hidden="1" customHeight="1" outlineLevel="2">
      <c r="B24" s="32"/>
      <c r="C24" s="32"/>
      <c r="D24" s="3" t="s">
        <v>10</v>
      </c>
      <c r="E24" s="19">
        <v>9.0909090909090898E-2</v>
      </c>
      <c r="F24" s="19">
        <v>0.27272727272727199</v>
      </c>
      <c r="G24" s="19">
        <v>0.97727272727272696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0.29693741677762903</v>
      </c>
      <c r="F26" s="19">
        <v>0.234354194407456</v>
      </c>
      <c r="G26" s="19">
        <v>0.234354194407456</v>
      </c>
    </row>
    <row r="27" spans="1:10" ht="15" hidden="1" customHeight="1" outlineLevel="2">
      <c r="B27" s="32"/>
      <c r="C27" s="32"/>
      <c r="D27" s="27" t="s">
        <v>13</v>
      </c>
      <c r="E27" s="20">
        <v>446</v>
      </c>
      <c r="F27" s="20">
        <v>352</v>
      </c>
      <c r="G27" s="20">
        <v>352</v>
      </c>
    </row>
    <row r="28" spans="1:10" ht="15" hidden="1" customHeight="1" outlineLevel="2">
      <c r="B28" s="32"/>
      <c r="C28" s="32"/>
      <c r="D28" s="27" t="s">
        <v>14</v>
      </c>
      <c r="E28" s="20">
        <v>4</v>
      </c>
      <c r="F28" s="20">
        <v>12</v>
      </c>
      <c r="G28" s="20">
        <v>43</v>
      </c>
    </row>
    <row r="29" spans="1:10" ht="15" hidden="1" customHeight="1" outlineLevel="2">
      <c r="B29" s="32"/>
      <c r="C29" s="32"/>
      <c r="D29" s="28" t="s">
        <v>15</v>
      </c>
      <c r="E29" s="20">
        <v>44</v>
      </c>
      <c r="F29" s="20">
        <v>44</v>
      </c>
      <c r="G29" s="20">
        <v>44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/>
      <c r="F36" s="21">
        <v>9</v>
      </c>
      <c r="G36" s="21">
        <v>7.5006818181818096</v>
      </c>
    </row>
    <row r="37" spans="2:7" ht="15" hidden="1" customHeight="1" outlineLevel="2">
      <c r="B37" s="32"/>
      <c r="C37" s="32"/>
      <c r="D37" s="27" t="s">
        <v>19</v>
      </c>
      <c r="E37" s="21"/>
      <c r="F37" s="21">
        <v>8</v>
      </c>
      <c r="G37" s="21">
        <v>7.52</v>
      </c>
    </row>
    <row r="38" spans="2:7" ht="15" hidden="1" customHeight="1" outlineLevel="2">
      <c r="B38" s="32"/>
      <c r="C38" s="32"/>
      <c r="D38" s="27" t="s">
        <v>20</v>
      </c>
      <c r="E38" s="21" t="s">
        <v>92</v>
      </c>
      <c r="F38" s="21">
        <v>8</v>
      </c>
      <c r="G38" s="21">
        <v>8.84</v>
      </c>
    </row>
    <row r="39" spans="2:7" ht="15" hidden="1" customHeight="1" outlineLevel="2">
      <c r="B39" s="32"/>
      <c r="C39" s="32"/>
      <c r="D39" s="3" t="s">
        <v>21</v>
      </c>
      <c r="E39" s="21"/>
      <c r="F39" s="21">
        <v>3.1988369979626698</v>
      </c>
      <c r="G39" s="21">
        <v>1.9589251890784101</v>
      </c>
    </row>
    <row r="40" spans="2:7" ht="15" hidden="1" customHeight="1" outlineLevel="2">
      <c r="B40" s="32"/>
      <c r="C40" s="32"/>
      <c r="D40" s="29" t="s">
        <v>22</v>
      </c>
      <c r="E40" s="21"/>
      <c r="F40" s="21">
        <v>10.232558139534801</v>
      </c>
      <c r="G40" s="21">
        <v>3.83738789640591</v>
      </c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/>
      <c r="F46" s="21">
        <v>4</v>
      </c>
      <c r="G46" s="21">
        <v>3.1</v>
      </c>
    </row>
    <row r="47" spans="2:7" ht="15" hidden="1" customHeight="1" outlineLevel="2">
      <c r="B47" s="32"/>
      <c r="C47" s="32"/>
      <c r="D47" s="27">
        <v>0.05</v>
      </c>
      <c r="E47" s="21"/>
      <c r="F47" s="21">
        <v>4.1500000000000004</v>
      </c>
      <c r="G47" s="21">
        <v>4.7519999999999998</v>
      </c>
    </row>
    <row r="48" spans="2:7" ht="15" hidden="1" customHeight="1" outlineLevel="2">
      <c r="B48" s="32"/>
      <c r="C48" s="32"/>
      <c r="D48" s="28">
        <v>0.25</v>
      </c>
      <c r="E48" s="21"/>
      <c r="F48" s="21">
        <v>7</v>
      </c>
      <c r="G48" s="21">
        <v>6.1174999999999997</v>
      </c>
    </row>
    <row r="49" spans="1:7" ht="15" hidden="1" customHeight="1" outlineLevel="2">
      <c r="B49" s="32"/>
      <c r="C49" s="32"/>
      <c r="D49" s="3">
        <v>0.5</v>
      </c>
      <c r="E49" s="21"/>
      <c r="F49" s="21">
        <v>8</v>
      </c>
      <c r="G49" s="21">
        <v>7.52</v>
      </c>
    </row>
    <row r="50" spans="1:7" ht="15" hidden="1" customHeight="1" outlineLevel="2">
      <c r="B50" s="32"/>
      <c r="C50" s="32"/>
      <c r="D50" s="27">
        <v>0.75</v>
      </c>
      <c r="E50" s="21"/>
      <c r="F50" s="21">
        <v>11</v>
      </c>
      <c r="G50" s="21">
        <v>8.7475000000000005</v>
      </c>
    </row>
    <row r="51" spans="1:7" ht="15" hidden="1" customHeight="1" outlineLevel="2">
      <c r="B51" s="32"/>
      <c r="C51" s="32"/>
      <c r="D51" s="27">
        <v>0.95</v>
      </c>
      <c r="E51" s="21"/>
      <c r="F51" s="21">
        <v>14</v>
      </c>
      <c r="G51" s="21">
        <v>10.708</v>
      </c>
    </row>
    <row r="52" spans="1:7" ht="15" hidden="1" customHeight="1" outlineLevel="2">
      <c r="B52" s="32"/>
      <c r="C52" s="32"/>
      <c r="D52" s="3" t="s">
        <v>25</v>
      </c>
      <c r="E52" s="21"/>
      <c r="F52" s="21">
        <v>19</v>
      </c>
      <c r="G52" s="21">
        <v>12.74</v>
      </c>
    </row>
    <row r="53" spans="1:7" ht="15" hidden="1" customHeight="1" outlineLevel="2">
      <c r="B53" s="32"/>
      <c r="C53" s="32"/>
      <c r="D53" s="27" t="s">
        <v>26</v>
      </c>
      <c r="E53" s="21"/>
      <c r="F53" s="21">
        <v>15</v>
      </c>
      <c r="G53" s="21">
        <v>9.64</v>
      </c>
    </row>
    <row r="54" spans="1:7" ht="15" hidden="1" customHeight="1" outlineLevel="2">
      <c r="D54" s="3" t="s">
        <v>27</v>
      </c>
      <c r="E54" s="21"/>
      <c r="F54" s="21">
        <v>4</v>
      </c>
      <c r="G54" s="21">
        <v>2.63</v>
      </c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 t="s">
        <v>92</v>
      </c>
      <c r="F80" s="150">
        <v>10</v>
      </c>
      <c r="G80" s="150">
        <v>8.0399999999999991</v>
      </c>
      <c r="H80" s="158">
        <v>0</v>
      </c>
      <c r="I80" s="158">
        <v>0</v>
      </c>
      <c r="J80" s="158">
        <v>8.2900397977865564E+18</v>
      </c>
    </row>
    <row r="81" spans="4:10" ht="15" customHeight="1">
      <c r="D81" s="155" t="b">
        <v>0</v>
      </c>
      <c r="E81" s="150" t="s">
        <v>92</v>
      </c>
      <c r="F81" s="150">
        <v>8</v>
      </c>
      <c r="G81" s="150">
        <v>6.95</v>
      </c>
      <c r="H81" s="158">
        <v>1</v>
      </c>
      <c r="I81" s="158">
        <v>0</v>
      </c>
      <c r="J81" s="158">
        <v>7.746183454097559E+17</v>
      </c>
    </row>
    <row r="82" spans="4:10" ht="15" customHeight="1">
      <c r="D82" s="156" t="b">
        <v>0</v>
      </c>
      <c r="E82" s="151" t="s">
        <v>92</v>
      </c>
      <c r="F82" s="150">
        <v>13</v>
      </c>
      <c r="G82" s="150">
        <v>7.58</v>
      </c>
      <c r="H82" s="158">
        <v>2</v>
      </c>
      <c r="I82" s="158">
        <v>0</v>
      </c>
      <c r="J82" s="158">
        <v>7.7304847401086556E+18</v>
      </c>
    </row>
    <row r="83" spans="4:10" ht="15" customHeight="1">
      <c r="D83" s="156" t="b">
        <v>0</v>
      </c>
      <c r="E83" s="151" t="s">
        <v>92</v>
      </c>
      <c r="F83" s="150">
        <v>9</v>
      </c>
      <c r="G83" s="150">
        <v>8.81</v>
      </c>
      <c r="H83" s="158">
        <v>3</v>
      </c>
      <c r="I83" s="158">
        <v>0</v>
      </c>
      <c r="J83" s="158">
        <v>1.6450170027552784E+19</v>
      </c>
    </row>
    <row r="84" spans="4:10" ht="15" customHeight="1">
      <c r="D84" s="156" t="b">
        <v>0</v>
      </c>
      <c r="E84" s="151" t="s">
        <v>92</v>
      </c>
      <c r="F84" s="150">
        <v>11</v>
      </c>
      <c r="G84" s="150">
        <v>8.33</v>
      </c>
      <c r="H84" s="158">
        <v>4</v>
      </c>
      <c r="I84" s="158">
        <v>0</v>
      </c>
      <c r="J84" s="158">
        <v>1.9576391762710935E+18</v>
      </c>
    </row>
    <row r="85" spans="4:10" ht="15" customHeight="1">
      <c r="D85" s="156" t="b">
        <v>0</v>
      </c>
      <c r="E85" s="151" t="s">
        <v>92</v>
      </c>
      <c r="F85" s="150">
        <v>14</v>
      </c>
      <c r="G85" s="150">
        <v>9.9600000000000009</v>
      </c>
      <c r="H85" s="158">
        <v>5</v>
      </c>
      <c r="I85" s="158">
        <v>0</v>
      </c>
      <c r="J85" s="158">
        <v>1.4813912060619E+19</v>
      </c>
    </row>
    <row r="86" spans="4:10" ht="15" customHeight="1">
      <c r="D86" s="156" t="b">
        <v>0</v>
      </c>
      <c r="E86" s="151" t="s">
        <v>92</v>
      </c>
      <c r="F86" s="150">
        <v>6</v>
      </c>
      <c r="G86" s="150">
        <v>7.24</v>
      </c>
      <c r="H86" s="158">
        <v>6</v>
      </c>
      <c r="I86" s="158">
        <v>0</v>
      </c>
      <c r="J86" s="158">
        <v>4.5531757921356141E+17</v>
      </c>
    </row>
    <row r="87" spans="4:10" ht="15" customHeight="1">
      <c r="D87" s="156" t="b">
        <v>0</v>
      </c>
      <c r="E87" s="151" t="s">
        <v>92</v>
      </c>
      <c r="F87" s="150">
        <v>4</v>
      </c>
      <c r="G87" s="150">
        <v>4.26</v>
      </c>
      <c r="H87" s="158">
        <v>7</v>
      </c>
      <c r="I87" s="158">
        <v>0</v>
      </c>
      <c r="J87" s="158">
        <v>4.2687004823131064E+18</v>
      </c>
    </row>
    <row r="88" spans="4:10" ht="15" customHeight="1">
      <c r="D88" s="156" t="b">
        <v>0</v>
      </c>
      <c r="E88" s="151" t="s">
        <v>92</v>
      </c>
      <c r="F88" s="150">
        <v>12</v>
      </c>
      <c r="G88" s="150">
        <v>10.84</v>
      </c>
      <c r="H88" s="158">
        <v>8</v>
      </c>
      <c r="I88" s="158">
        <v>0</v>
      </c>
      <c r="J88" s="158">
        <v>1.0824355179871961E+19</v>
      </c>
    </row>
    <row r="89" spans="4:10" ht="15" customHeight="1">
      <c r="D89" s="156" t="b">
        <v>0</v>
      </c>
      <c r="E89" s="151" t="s">
        <v>92</v>
      </c>
      <c r="F89" s="150">
        <v>7</v>
      </c>
      <c r="G89" s="150">
        <v>4.82</v>
      </c>
      <c r="H89" s="158">
        <v>9</v>
      </c>
      <c r="I89" s="158">
        <v>0</v>
      </c>
      <c r="J89" s="158">
        <v>1.6541709756342252E+19</v>
      </c>
    </row>
    <row r="90" spans="4:10" ht="15" customHeight="1">
      <c r="D90" s="156" t="b">
        <v>0</v>
      </c>
      <c r="E90" s="151" t="s">
        <v>92</v>
      </c>
      <c r="F90" s="150">
        <v>5</v>
      </c>
      <c r="G90" s="150">
        <v>5.68</v>
      </c>
      <c r="H90" s="158">
        <v>10</v>
      </c>
      <c r="I90" s="158">
        <v>0</v>
      </c>
      <c r="J90" s="158">
        <v>1.2465426303620512E+19</v>
      </c>
    </row>
    <row r="91" spans="4:10" ht="15" customHeight="1">
      <c r="D91" s="156" t="b">
        <v>0</v>
      </c>
      <c r="E91" s="151" t="s">
        <v>93</v>
      </c>
      <c r="F91" s="150">
        <v>10</v>
      </c>
      <c r="G91" s="150">
        <v>9.14</v>
      </c>
      <c r="H91" s="158">
        <v>11</v>
      </c>
      <c r="I91" s="158">
        <v>0</v>
      </c>
      <c r="J91" s="158">
        <v>1.2615110453480454E+19</v>
      </c>
    </row>
    <row r="92" spans="4:10" ht="15" customHeight="1">
      <c r="D92" s="156" t="b">
        <v>0</v>
      </c>
      <c r="E92" s="151" t="s">
        <v>93</v>
      </c>
      <c r="F92" s="150">
        <v>8</v>
      </c>
      <c r="G92" s="150">
        <v>8.14</v>
      </c>
      <c r="H92" s="158">
        <v>12</v>
      </c>
      <c r="I92" s="158">
        <v>0</v>
      </c>
      <c r="J92" s="158">
        <v>1.7574382863757523E+19</v>
      </c>
    </row>
    <row r="93" spans="4:10" ht="15" customHeight="1">
      <c r="D93" s="156" t="b">
        <v>0</v>
      </c>
      <c r="E93" s="151" t="s">
        <v>93</v>
      </c>
      <c r="F93" s="150">
        <v>13</v>
      </c>
      <c r="G93" s="150">
        <v>8.74</v>
      </c>
      <c r="H93" s="158">
        <v>13</v>
      </c>
      <c r="I93" s="158">
        <v>0</v>
      </c>
      <c r="J93" s="158">
        <v>1.2831300063501724E+19</v>
      </c>
    </row>
    <row r="94" spans="4:10" ht="15" customHeight="1">
      <c r="D94" s="156" t="b">
        <v>0</v>
      </c>
      <c r="E94" s="151" t="s">
        <v>93</v>
      </c>
      <c r="F94" s="150">
        <v>9</v>
      </c>
      <c r="G94" s="150">
        <v>8.77</v>
      </c>
      <c r="H94" s="158">
        <v>14</v>
      </c>
      <c r="I94" s="158">
        <v>0</v>
      </c>
      <c r="J94" s="158">
        <v>1.7540277894604515E+19</v>
      </c>
    </row>
    <row r="95" spans="4:10" ht="15" customHeight="1">
      <c r="D95" s="156" t="b">
        <v>0</v>
      </c>
      <c r="E95" s="151" t="s">
        <v>93</v>
      </c>
      <c r="F95" s="150">
        <v>11</v>
      </c>
      <c r="G95" s="150">
        <v>9.26</v>
      </c>
      <c r="H95" s="158">
        <v>15</v>
      </c>
      <c r="I95" s="158">
        <v>0</v>
      </c>
      <c r="J95" s="158">
        <v>7.5235392342167153E+18</v>
      </c>
    </row>
    <row r="96" spans="4:10" ht="15" customHeight="1">
      <c r="D96" s="156" t="b">
        <v>0</v>
      </c>
      <c r="E96" s="151" t="s">
        <v>93</v>
      </c>
      <c r="F96" s="150">
        <v>14</v>
      </c>
      <c r="G96" s="150">
        <v>8.1</v>
      </c>
      <c r="H96" s="158">
        <v>16</v>
      </c>
      <c r="I96" s="158">
        <v>0</v>
      </c>
      <c r="J96" s="158">
        <v>1.3486858689431015E+19</v>
      </c>
    </row>
    <row r="97" spans="4:10" ht="15" customHeight="1">
      <c r="D97" s="156" t="b">
        <v>0</v>
      </c>
      <c r="E97" s="151" t="s">
        <v>93</v>
      </c>
      <c r="F97" s="150">
        <v>6</v>
      </c>
      <c r="G97" s="150">
        <v>6.13</v>
      </c>
      <c r="H97" s="158">
        <v>17</v>
      </c>
      <c r="I97" s="158">
        <v>0</v>
      </c>
      <c r="J97" s="158">
        <v>1.8290918260543154E+19</v>
      </c>
    </row>
    <row r="98" spans="4:10" ht="15" customHeight="1">
      <c r="D98" s="156" t="b">
        <v>0</v>
      </c>
      <c r="E98" s="151" t="s">
        <v>93</v>
      </c>
      <c r="F98" s="150">
        <v>4</v>
      </c>
      <c r="G98" s="150">
        <v>3.1</v>
      </c>
      <c r="H98" s="158">
        <v>18</v>
      </c>
      <c r="I98" s="158">
        <v>0</v>
      </c>
      <c r="J98" s="158">
        <v>3.0271482890587628E+18</v>
      </c>
    </row>
    <row r="99" spans="4:10" ht="15" customHeight="1">
      <c r="D99" s="156" t="b">
        <v>0</v>
      </c>
      <c r="E99" s="151" t="s">
        <v>93</v>
      </c>
      <c r="F99" s="150">
        <v>12</v>
      </c>
      <c r="G99" s="150">
        <v>9.1300000000000008</v>
      </c>
      <c r="H99" s="158">
        <v>19</v>
      </c>
      <c r="I99" s="158">
        <v>0</v>
      </c>
      <c r="J99" s="158">
        <v>1.3323868367707693E+19</v>
      </c>
    </row>
    <row r="100" spans="4:10" ht="15" customHeight="1">
      <c r="D100" s="156" t="b">
        <v>0</v>
      </c>
      <c r="E100" s="151" t="s">
        <v>93</v>
      </c>
      <c r="F100" s="150">
        <v>7</v>
      </c>
      <c r="G100" s="150">
        <v>7.26</v>
      </c>
      <c r="H100" s="158">
        <v>20</v>
      </c>
      <c r="I100" s="158">
        <v>0</v>
      </c>
      <c r="J100" s="158">
        <v>3.5680720266868065E+18</v>
      </c>
    </row>
    <row r="101" spans="4:10" ht="15" customHeight="1">
      <c r="D101" s="156" t="b">
        <v>0</v>
      </c>
      <c r="E101" s="151" t="s">
        <v>93</v>
      </c>
      <c r="F101" s="150">
        <v>5</v>
      </c>
      <c r="G101" s="150">
        <v>4.74</v>
      </c>
      <c r="H101" s="158">
        <v>21</v>
      </c>
      <c r="I101" s="158">
        <v>0</v>
      </c>
      <c r="J101" s="158">
        <v>2.3914005557568937E+18</v>
      </c>
    </row>
    <row r="102" spans="4:10" ht="15" customHeight="1">
      <c r="D102" s="156" t="b">
        <v>0</v>
      </c>
      <c r="E102" s="151" t="s">
        <v>94</v>
      </c>
      <c r="F102" s="150">
        <v>10</v>
      </c>
      <c r="G102" s="150">
        <v>7.46</v>
      </c>
      <c r="H102" s="158">
        <v>22</v>
      </c>
      <c r="I102" s="158">
        <v>0</v>
      </c>
      <c r="J102" s="158">
        <v>1.7082740423865072E+19</v>
      </c>
    </row>
    <row r="103" spans="4:10" ht="15" customHeight="1">
      <c r="D103" s="156" t="b">
        <v>0</v>
      </c>
      <c r="E103" s="151" t="s">
        <v>94</v>
      </c>
      <c r="F103" s="150">
        <v>8</v>
      </c>
      <c r="G103" s="150">
        <v>6.77</v>
      </c>
      <c r="H103" s="158">
        <v>23</v>
      </c>
      <c r="I103" s="158">
        <v>0</v>
      </c>
      <c r="J103" s="158">
        <v>4.9085920842948086E+18</v>
      </c>
    </row>
    <row r="104" spans="4:10" ht="15" customHeight="1">
      <c r="D104" s="156" t="b">
        <v>0</v>
      </c>
      <c r="E104" s="151" t="s">
        <v>94</v>
      </c>
      <c r="F104" s="150">
        <v>13</v>
      </c>
      <c r="G104" s="150">
        <v>12.74</v>
      </c>
      <c r="H104" s="158">
        <v>24</v>
      </c>
      <c r="I104" s="158">
        <v>0</v>
      </c>
      <c r="J104" s="158">
        <v>1.770008728388957E+19</v>
      </c>
    </row>
    <row r="105" spans="4:10" ht="15" customHeight="1">
      <c r="D105" s="156" t="b">
        <v>0</v>
      </c>
      <c r="E105" s="151" t="s">
        <v>94</v>
      </c>
      <c r="F105" s="150">
        <v>9</v>
      </c>
      <c r="G105" s="150">
        <v>7.11</v>
      </c>
      <c r="H105" s="158">
        <v>25</v>
      </c>
      <c r="I105" s="158">
        <v>0</v>
      </c>
      <c r="J105" s="158">
        <v>1.9372436006079421E+18</v>
      </c>
    </row>
    <row r="106" spans="4:10" ht="15" customHeight="1">
      <c r="D106" s="156" t="b">
        <v>0</v>
      </c>
      <c r="E106" s="151" t="s">
        <v>94</v>
      </c>
      <c r="F106" s="150">
        <v>11</v>
      </c>
      <c r="G106" s="150">
        <v>7.81</v>
      </c>
      <c r="H106" s="158">
        <v>26</v>
      </c>
      <c r="I106" s="158">
        <v>0</v>
      </c>
      <c r="J106" s="158">
        <v>1.3529379415465892E+19</v>
      </c>
    </row>
    <row r="107" spans="4:10" ht="15" customHeight="1">
      <c r="D107" s="156" t="b">
        <v>0</v>
      </c>
      <c r="E107" s="151" t="s">
        <v>94</v>
      </c>
      <c r="F107" s="150">
        <v>14</v>
      </c>
      <c r="G107" s="150">
        <v>8.84</v>
      </c>
      <c r="H107" s="158">
        <v>27</v>
      </c>
      <c r="I107" s="158">
        <v>0</v>
      </c>
      <c r="J107" s="158">
        <v>1.1161663523386765E+19</v>
      </c>
    </row>
    <row r="108" spans="4:10" ht="15" customHeight="1">
      <c r="D108" s="156" t="b">
        <v>0</v>
      </c>
      <c r="E108" s="151" t="s">
        <v>94</v>
      </c>
      <c r="F108" s="150">
        <v>6</v>
      </c>
      <c r="G108" s="150">
        <v>6.08</v>
      </c>
      <c r="H108" s="158">
        <v>28</v>
      </c>
      <c r="I108" s="158">
        <v>0</v>
      </c>
      <c r="J108" s="158">
        <v>1.7455212853858664E+19</v>
      </c>
    </row>
    <row r="109" spans="4:10" ht="15" customHeight="1">
      <c r="D109" s="156" t="b">
        <v>0</v>
      </c>
      <c r="E109" s="151" t="s">
        <v>94</v>
      </c>
      <c r="F109" s="150">
        <v>4</v>
      </c>
      <c r="G109" s="150">
        <v>5.39</v>
      </c>
      <c r="H109" s="158">
        <v>29</v>
      </c>
      <c r="I109" s="158">
        <v>0</v>
      </c>
      <c r="J109" s="158">
        <v>7.4044780924903977E+18</v>
      </c>
    </row>
    <row r="110" spans="4:10" ht="15" customHeight="1">
      <c r="D110" s="156" t="b">
        <v>0</v>
      </c>
      <c r="E110" s="151" t="s">
        <v>94</v>
      </c>
      <c r="F110" s="150">
        <v>12</v>
      </c>
      <c r="G110" s="150">
        <v>8.15</v>
      </c>
      <c r="H110" s="158">
        <v>30</v>
      </c>
      <c r="I110" s="158">
        <v>0</v>
      </c>
      <c r="J110" s="158">
        <v>4.8691511575164723E+18</v>
      </c>
    </row>
    <row r="111" spans="4:10" ht="15" customHeight="1">
      <c r="D111" s="156" t="b">
        <v>0</v>
      </c>
      <c r="E111" s="151" t="s">
        <v>94</v>
      </c>
      <c r="F111" s="150">
        <v>7</v>
      </c>
      <c r="G111" s="150">
        <v>6.42</v>
      </c>
      <c r="H111" s="158">
        <v>31</v>
      </c>
      <c r="I111" s="158">
        <v>0</v>
      </c>
      <c r="J111" s="158">
        <v>1.5520966538863829E+19</v>
      </c>
    </row>
    <row r="112" spans="4:10" ht="15" customHeight="1">
      <c r="D112" s="156" t="b">
        <v>0</v>
      </c>
      <c r="E112" s="151" t="s">
        <v>94</v>
      </c>
      <c r="F112" s="150">
        <v>5</v>
      </c>
      <c r="G112" s="150">
        <v>5.73</v>
      </c>
      <c r="H112" s="158">
        <v>32</v>
      </c>
      <c r="I112" s="158">
        <v>0</v>
      </c>
      <c r="J112" s="158">
        <v>1.6956987607096488E+19</v>
      </c>
    </row>
    <row r="113" spans="4:10" ht="15" customHeight="1">
      <c r="D113" s="156" t="b">
        <v>0</v>
      </c>
      <c r="E113" s="151" t="s">
        <v>95</v>
      </c>
      <c r="F113" s="150">
        <v>8</v>
      </c>
      <c r="G113" s="150">
        <v>6.58</v>
      </c>
      <c r="H113" s="158">
        <v>33</v>
      </c>
      <c r="I113" s="158">
        <v>0</v>
      </c>
      <c r="J113" s="158">
        <v>8.2794725629868687E+18</v>
      </c>
    </row>
    <row r="114" spans="4:10" ht="15" customHeight="1">
      <c r="D114" s="156" t="b">
        <v>0</v>
      </c>
      <c r="E114" s="151" t="s">
        <v>95</v>
      </c>
      <c r="F114" s="150">
        <v>8</v>
      </c>
      <c r="G114" s="150">
        <v>5.76</v>
      </c>
      <c r="H114" s="158">
        <v>34</v>
      </c>
      <c r="I114" s="158">
        <v>0</v>
      </c>
      <c r="J114" s="158">
        <v>1.3292156592662393E+19</v>
      </c>
    </row>
    <row r="115" spans="4:10" ht="15" customHeight="1">
      <c r="D115" s="156" t="b">
        <v>0</v>
      </c>
      <c r="E115" s="151" t="s">
        <v>95</v>
      </c>
      <c r="F115" s="150">
        <v>8</v>
      </c>
      <c r="G115" s="150">
        <v>7.71</v>
      </c>
      <c r="H115" s="158">
        <v>35</v>
      </c>
      <c r="I115" s="158">
        <v>0</v>
      </c>
      <c r="J115" s="158">
        <v>1.1803802399366158E+19</v>
      </c>
    </row>
    <row r="116" spans="4:10" ht="15" customHeight="1">
      <c r="D116" s="156" t="b">
        <v>0</v>
      </c>
      <c r="E116" s="151" t="s">
        <v>95</v>
      </c>
      <c r="F116" s="150">
        <v>8</v>
      </c>
      <c r="G116" s="150">
        <v>8.84</v>
      </c>
      <c r="H116" s="158">
        <v>36</v>
      </c>
      <c r="I116" s="158">
        <v>0</v>
      </c>
      <c r="J116" s="158">
        <v>7.3049915945927967E+18</v>
      </c>
    </row>
    <row r="117" spans="4:10" ht="15" customHeight="1">
      <c r="D117" s="156" t="b">
        <v>0</v>
      </c>
      <c r="E117" s="151" t="s">
        <v>95</v>
      </c>
      <c r="F117" s="150">
        <v>8</v>
      </c>
      <c r="G117" s="150">
        <v>8.4700000000000006</v>
      </c>
      <c r="H117" s="158">
        <v>37</v>
      </c>
      <c r="I117" s="158">
        <v>0</v>
      </c>
      <c r="J117" s="158">
        <v>1.4983167448133067E+19</v>
      </c>
    </row>
    <row r="118" spans="4:10" ht="15" customHeight="1">
      <c r="D118" s="156" t="b">
        <v>0</v>
      </c>
      <c r="E118" s="151" t="s">
        <v>95</v>
      </c>
      <c r="F118" s="150">
        <v>8</v>
      </c>
      <c r="G118" s="150">
        <v>7.04</v>
      </c>
      <c r="H118" s="158">
        <v>38</v>
      </c>
      <c r="I118" s="158">
        <v>0</v>
      </c>
      <c r="J118" s="158">
        <v>3.5115920427908675E+18</v>
      </c>
    </row>
    <row r="119" spans="4:10" ht="15" customHeight="1">
      <c r="D119" s="156" t="b">
        <v>0</v>
      </c>
      <c r="E119" s="151" t="s">
        <v>95</v>
      </c>
      <c r="F119" s="150">
        <v>8</v>
      </c>
      <c r="G119" s="150">
        <v>5.25</v>
      </c>
      <c r="H119" s="158">
        <v>39</v>
      </c>
      <c r="I119" s="158">
        <v>0</v>
      </c>
      <c r="J119" s="158">
        <v>1.4505337100355502E+18</v>
      </c>
    </row>
    <row r="120" spans="4:10" ht="15" customHeight="1">
      <c r="D120" s="156" t="b">
        <v>0</v>
      </c>
      <c r="E120" s="151" t="s">
        <v>95</v>
      </c>
      <c r="F120" s="150">
        <v>19</v>
      </c>
      <c r="G120" s="150">
        <v>12.5</v>
      </c>
      <c r="H120" s="158">
        <v>40</v>
      </c>
      <c r="I120" s="158">
        <v>0</v>
      </c>
      <c r="J120" s="158">
        <v>2.4440120055156204E+18</v>
      </c>
    </row>
    <row r="121" spans="4:10" ht="15" customHeight="1">
      <c r="D121" s="156" t="b">
        <v>0</v>
      </c>
      <c r="E121" s="151" t="s">
        <v>95</v>
      </c>
      <c r="F121" s="150">
        <v>8</v>
      </c>
      <c r="G121" s="150">
        <v>5.56</v>
      </c>
      <c r="H121" s="158">
        <v>41</v>
      </c>
      <c r="I121" s="158">
        <v>0</v>
      </c>
      <c r="J121" s="158">
        <v>1.7387600761294412E+19</v>
      </c>
    </row>
    <row r="122" spans="4:10" ht="15" customHeight="1">
      <c r="D122" s="156" t="b">
        <v>0</v>
      </c>
      <c r="E122" s="151" t="s">
        <v>95</v>
      </c>
      <c r="F122" s="150">
        <v>8</v>
      </c>
      <c r="G122" s="150">
        <v>7.91</v>
      </c>
      <c r="H122" s="158">
        <v>42</v>
      </c>
      <c r="I122" s="158">
        <v>0</v>
      </c>
      <c r="J122" s="158">
        <v>1.1044583522839329E+19</v>
      </c>
    </row>
    <row r="123" spans="4:10" ht="15" customHeight="1">
      <c r="D123" s="157" t="b">
        <v>0</v>
      </c>
      <c r="E123" s="152" t="s">
        <v>95</v>
      </c>
      <c r="F123" s="153">
        <v>8</v>
      </c>
      <c r="G123" s="153">
        <v>6.89</v>
      </c>
      <c r="H123" s="158">
        <v>43</v>
      </c>
      <c r="I123" s="158">
        <v>0</v>
      </c>
      <c r="J123" s="158">
        <v>3.1669598736807434E+18</v>
      </c>
    </row>
  </sheetData>
  <mergeCells count="1">
    <mergeCell ref="E7:F7"/>
  </mergeCells>
  <phoneticPr fontId="32" type="noConversion"/>
  <conditionalFormatting sqref="E23:G30 E36:G40 E46:G54">
    <cfRule type="cellIs" dxfId="84" priority="19" operator="equal">
      <formula>0</formula>
    </cfRule>
  </conditionalFormatting>
  <conditionalFormatting sqref="D80:D123">
    <cfRule type="cellIs" dxfId="83" priority="18" operator="notEqual">
      <formula>FALSE</formula>
    </cfRule>
  </conditionalFormatting>
  <conditionalFormatting sqref="E17:G17">
    <cfRule type="cellIs" dxfId="82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81" priority="13"/>
  </conditionalFormatting>
  <conditionalFormatting sqref="E15:G15">
    <cfRule type="cellIs" dxfId="80" priority="11" operator="notEqual">
      <formula>"Definition"</formula>
    </cfRule>
  </conditionalFormatting>
  <conditionalFormatting sqref="E7">
    <cfRule type="cellIs" dxfId="79" priority="10" operator="notEqual">
      <formula>"Dataset Description"</formula>
    </cfRule>
  </conditionalFormatting>
  <conditionalFormatting sqref="E58:G65">
    <cfRule type="cellIs" dxfId="78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44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90</v>
      </c>
      <c r="F12" s="64">
        <v>9.0909090909090898E-2</v>
      </c>
      <c r="G12" s="64">
        <v>0</v>
      </c>
      <c r="H12" s="64">
        <v>0.29693741677762903</v>
      </c>
      <c r="I12" s="61">
        <v>446</v>
      </c>
      <c r="J12" s="61">
        <v>4</v>
      </c>
      <c r="K12" s="61">
        <v>44</v>
      </c>
      <c r="L12" s="62">
        <v>1</v>
      </c>
      <c r="M12" s="61">
        <v>0</v>
      </c>
      <c r="N12" s="63"/>
      <c r="O12" s="63"/>
      <c r="P12" s="63" t="s">
        <v>92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91</v>
      </c>
      <c r="F13" s="140">
        <v>0.27272727272727199</v>
      </c>
      <c r="G13" s="140">
        <v>0</v>
      </c>
      <c r="H13" s="140">
        <v>0.234354194407456</v>
      </c>
      <c r="I13" s="61">
        <v>352</v>
      </c>
      <c r="J13" s="61">
        <v>12</v>
      </c>
      <c r="K13" s="61">
        <v>44</v>
      </c>
      <c r="L13" s="62">
        <v>1</v>
      </c>
      <c r="M13" s="61">
        <v>0</v>
      </c>
      <c r="N13" s="63">
        <v>9</v>
      </c>
      <c r="O13" s="63">
        <v>8</v>
      </c>
      <c r="P13" s="63">
        <v>8</v>
      </c>
      <c r="Q13" s="63">
        <v>3.1988369979626698</v>
      </c>
      <c r="R13" s="63">
        <v>10.232558139534801</v>
      </c>
      <c r="S13" s="63">
        <v>4</v>
      </c>
      <c r="T13" s="63">
        <v>4.1500000000000004</v>
      </c>
      <c r="U13" s="63">
        <v>7</v>
      </c>
      <c r="V13" s="63">
        <v>8</v>
      </c>
      <c r="W13" s="63">
        <v>11</v>
      </c>
      <c r="X13" s="63">
        <v>14</v>
      </c>
      <c r="Y13" s="63">
        <v>19</v>
      </c>
      <c r="Z13" s="63">
        <v>15</v>
      </c>
      <c r="AA13" s="63">
        <v>4</v>
      </c>
    </row>
    <row r="14" spans="1:27" ht="15" customHeight="1">
      <c r="B14" s="141" t="s">
        <v>86</v>
      </c>
      <c r="C1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43" t="s">
        <v>91</v>
      </c>
      <c r="F14" s="144">
        <v>0.97727272727272696</v>
      </c>
      <c r="G14" s="144">
        <v>0</v>
      </c>
      <c r="H14" s="144">
        <v>0.234354194407456</v>
      </c>
      <c r="I14" s="145">
        <v>352</v>
      </c>
      <c r="J14" s="145">
        <v>43</v>
      </c>
      <c r="K14" s="145">
        <v>44</v>
      </c>
      <c r="L14" s="146">
        <v>1</v>
      </c>
      <c r="M14" s="145">
        <v>0</v>
      </c>
      <c r="N14" s="147">
        <v>7.5006818181818096</v>
      </c>
      <c r="O14" s="147">
        <v>7.52</v>
      </c>
      <c r="P14" s="147">
        <v>8.84</v>
      </c>
      <c r="Q14" s="147">
        <v>1.9589251890784101</v>
      </c>
      <c r="R14" s="147">
        <v>3.83738789640591</v>
      </c>
      <c r="S14" s="147">
        <v>3.1</v>
      </c>
      <c r="T14" s="147">
        <v>4.7519999999999998</v>
      </c>
      <c r="U14" s="147">
        <v>6.1174999999999997</v>
      </c>
      <c r="V14" s="147">
        <v>7.52</v>
      </c>
      <c r="W14" s="147">
        <v>8.7475000000000005</v>
      </c>
      <c r="X14" s="147">
        <v>10.708</v>
      </c>
      <c r="Y14" s="147">
        <v>12.74</v>
      </c>
      <c r="Z14" s="147">
        <v>9.64</v>
      </c>
      <c r="AA14" s="147">
        <v>2.63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7" style="12" bestFit="1" customWidth="1"/>
    <col min="5" max="5" width="7.21875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Anscombe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 t="s">
        <v>92</v>
      </c>
      <c r="D10" s="50"/>
      <c r="E10" s="50"/>
      <c r="F10" s="163">
        <v>0</v>
      </c>
      <c r="G10" s="164"/>
      <c r="H10" s="165">
        <v>0.25</v>
      </c>
    </row>
    <row r="11" spans="1:17" ht="15" customHeight="1">
      <c r="C11" s="159" t="s">
        <v>93</v>
      </c>
      <c r="D11" s="50"/>
      <c r="E11" s="50"/>
      <c r="F11" s="163">
        <v>0</v>
      </c>
      <c r="G11" s="164"/>
      <c r="H11" s="165">
        <v>0.25</v>
      </c>
    </row>
    <row r="12" spans="1:17" ht="15" customHeight="1">
      <c r="C12" s="159" t="s">
        <v>94</v>
      </c>
      <c r="D12" s="50"/>
      <c r="E12" s="50"/>
      <c r="F12" s="163">
        <v>0</v>
      </c>
      <c r="G12" s="164"/>
      <c r="H12" s="165">
        <v>0.25</v>
      </c>
    </row>
    <row r="13" spans="1:17" ht="15" customHeight="1">
      <c r="C13" s="159" t="s">
        <v>95</v>
      </c>
      <c r="D13" s="50"/>
      <c r="E13" s="50"/>
      <c r="F13" s="163">
        <v>0</v>
      </c>
      <c r="G13" s="164"/>
      <c r="H13" s="165">
        <v>0.25</v>
      </c>
    </row>
    <row r="14" spans="1:17" ht="15" customHeight="1">
      <c r="C14" s="159" t="s">
        <v>96</v>
      </c>
      <c r="D14" s="159"/>
      <c r="E14" s="159"/>
      <c r="F14" s="163">
        <v>0</v>
      </c>
      <c r="G14" s="164"/>
      <c r="H14" s="165">
        <v>1</v>
      </c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  <row r="29" spans="3:7" ht="15" customHeight="1">
      <c r="C29"/>
      <c r="D29"/>
      <c r="E29"/>
      <c r="F29"/>
      <c r="G29"/>
    </row>
    <row r="30" spans="3:7" ht="15" customHeight="1">
      <c r="C30"/>
      <c r="D30"/>
      <c r="E30"/>
      <c r="F30"/>
      <c r="G30"/>
    </row>
    <row r="31" spans="3:7" ht="15" customHeight="1">
      <c r="C31"/>
      <c r="D31"/>
      <c r="E31"/>
      <c r="F31"/>
      <c r="G31"/>
    </row>
    <row r="32" spans="3:7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</sheetData>
  <conditionalFormatting pivot="1" sqref="F10:F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2026-06-04T16:42:00Z</dcterms:modified>
</cp:coreProperties>
</file>