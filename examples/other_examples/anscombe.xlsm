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182442C-EAFA-44B5-9C82-B50F0FE4727E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Anscombe" sheetId="25" r:id="rId3"/>
  </sheets>
  <functionGroups builtInGroupCount="19"/>
  <definedNames>
    <definedName name="Back">Overview!$D$58</definedName>
    <definedName name="Compiled_Lists" localSheetId="2">Anscombe!$C$71:$C$80</definedName>
    <definedName name="Composition" localSheetId="2">Anscombe!$C$25:$C$35</definedName>
    <definedName name="CompositionTable" localSheetId="2">Anscombe!$D$34</definedName>
    <definedName name="DarkHeader" localSheetId="2">Anscombe!$D$81</definedName>
    <definedName name="Data_Description" localSheetId="2">Anscombe!$C$9:$C$20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Anscombe!$D$17:$G$17</definedName>
    <definedName name="Description" localSheetId="2">Anscombe!$D$9</definedName>
    <definedName name="Dimensions" localSheetId="2">Anscombe!$D$11</definedName>
    <definedName name="Field_Analysis" localSheetId="2">Anscombe!$D$22:$D$80</definedName>
    <definedName name="Field_Lists" localSheetId="2">Anscombe!$C$60:$C$68</definedName>
    <definedName name="Field_Overview">Overview!$E$65:$E$69</definedName>
    <definedName name="FieldList1" localSheetId="2">Anscombe!$D$60:$G$60</definedName>
    <definedName name="FieldList2" localSheetId="2">Anscombe!$D$61:$G$61</definedName>
    <definedName name="FieldList3" localSheetId="2">Anscombe!$D$62:$G$62</definedName>
    <definedName name="FieldList4" localSheetId="2">Anscombe!$D$63:$G$63</definedName>
    <definedName name="FieldList5" localSheetId="2">Anscombe!$D$64:$G$64</definedName>
    <definedName name="FieldList6" localSheetId="2">Anscombe!$D$65:$G$65</definedName>
    <definedName name="FieldList7" localSheetId="2">Anscombe!$D$66:$G$66</definedName>
    <definedName name="FieldList8" localSheetId="2">Anscombe!$D$67:$G$67</definedName>
    <definedName name="FieldLists" localSheetId="2">Anscombe!$C$60:$G$67</definedName>
    <definedName name="FieldRange" localSheetId="2">Anscombe!$D$81:$G$81</definedName>
    <definedName name="Fields">Overview!$C$65:$C$70</definedName>
    <definedName name="FormatRange" localSheetId="2">Anscombe!$F:$F</definedName>
    <definedName name="Headers" localSheetId="2">Anscombe!$D$21:$G$21</definedName>
    <definedName name="Headers_Start" localSheetId="2">Anscombe!$D$21</definedName>
    <definedName name="Histogram" localSheetId="2">Anscombe!$D$44</definedName>
    <definedName name="LightHeader" localSheetId="2">Anscombe!$C$81</definedName>
    <definedName name="Name" localSheetId="2">Anscombe!$C$5</definedName>
    <definedName name="Name" localSheetId="1">Overview!$C$4</definedName>
    <definedName name="Name" localSheetId="0">SinglePlot!$C$4</definedName>
    <definedName name="Notes" localSheetId="2">Anscombe!$D$19:$G$19</definedName>
    <definedName name="Percentiles" localSheetId="2">Anscombe!$C$48:$C$57</definedName>
    <definedName name="SerializedLists" localSheetId="2">Anscombe!$D$71:$D$80</definedName>
    <definedName name="SinglePlot" localSheetId="0">SinglePlot!$C$10</definedName>
    <definedName name="Summary_Stats" localSheetId="2">Anscombe!$C$38:$C$45</definedName>
    <definedName name="Theme" localSheetId="2">Anscombe!$B$21:$G$21</definedName>
    <definedName name="Theme" localSheetId="1">Overview!$E$65:$AD$65</definedName>
    <definedName name="Theme" localSheetId="0">SinglePlot!$B$8:$P$8</definedName>
    <definedName name="Toggles" localSheetId="2">Anscombe!$B$7,Anscombe!$B$23,Anscombe!$B$36,Anscombe!$B$46,Anscombe!$B$58,Anscombe!$B$69</definedName>
    <definedName name="TopToggle" localSheetId="2">Anscombe!$B$5</definedName>
    <definedName name="Warning" localSheetId="2">Anscombe!$D$1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9" i="27"/>
  <c r="G67" i="27"/>
  <c r="G68" i="27"/>
  <c r="F66" i="27"/>
  <c r="F67" i="27"/>
  <c r="F68" i="27"/>
  <c r="F69" i="27"/>
  <c r="C69" i="27"/>
  <c r="C68" i="27"/>
  <c r="C66" i="27"/>
  <c r="C67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<sst xmlns="http://schemas.openxmlformats.org/spreadsheetml/2006/main" count="235" uniqueCount="130">
  <si>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</si>
  <si>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</si>
  <si>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</si>
  <si>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</si>
  <si>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</si>
  <si>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</si>
  <si>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</si>
  <si>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</si>
  <si>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</si>
  <si>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</si>
  <si>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</si>
  <si>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</si>
  <si>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</si>
  <si>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</si>
  <si>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</si>
  <si>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</si>
  <si>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</si>
  <si>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</si>
  <si>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</si>
  <si>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</si>
  <si>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</si>
  <si>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</si>
  <si>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</si>
  <si>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</si>
  <si>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</si>
  <si>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</si>
  <si>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</si>
  <si>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</si>
  <si>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</si>
  <si>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</si>
  <si>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</si>
  <si>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</si>
  <si>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</si>
  <si>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</si>
  <si>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</si>
  <si>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</si>
  <si>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</si>
  <si>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</si>
  <si>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</si>
  <si>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</si>
  <si>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</si>
  <si>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</si>
  <si>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</si>
  <si>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</si>
  <si>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</si>
  <si>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</si>
  <si>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</si>
  <si>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</si>
  <si>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</si>
  <si>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</si>
  <si>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</si>
  <si>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</si>
  <si>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</si>
  <si>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</si>
  <si>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</si>
  <si>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</si>
  <si>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</si>
  <si>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</si>
  <si>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</si>
  <si>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</si>
  <si>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</si>
  <si>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</si>
  <si>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</si>
  <si>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</si>
  <si>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</si>
  <si>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</si>
  <si>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</si>
  <si>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</si>
  <si>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</si>
  <si>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</si>
  <si>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</si>
  <si>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</si>
  <si>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</si>
  <si>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</si>
  <si>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</si>
  <si>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</si>
  <si>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</si>
  <si>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</si>
  <si>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</si>
  <si>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</si>
  <si>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</si>
  <si>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</si>
  <si>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</si>
  <si>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</si>
  <si>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</si>
  <si>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</si>
  <si>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</si>
  <si>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</si>
  <si>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</si>
  <si>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</si>
  <si>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</si>
  <si>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</si>
  <si>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</si>
  <si>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</si>
  <si>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</si>
  <si>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</si>
  <si>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</si>
  <si>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</si>
  <si>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</si>
  <si>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</si>
  <si>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</si>
  <si>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</si>
  <si>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Anscombe</t>
  </si>
  <si>
    <t>dataset</t>
  </si>
  <si>
    <t>x</t>
  </si>
  <si>
    <t>y</t>
  </si>
  <si>
    <t>index</t>
  </si>
  <si>
    <t>Record Hash</t>
  </si>
  <si>
    <t>str</t>
  </si>
  <si>
    <t>float64</t>
  </si>
  <si>
    <t>int64</t>
  </si>
  <si>
    <t>I</t>
  </si>
  <si>
    <t>II</t>
  </si>
  <si>
    <t>III</t>
  </si>
  <si>
    <t>IV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</si>
  <si>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</si>
  <si>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</si>
  <si>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</si>
  <si>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</si>
  <si>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</si>
  <si>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</si>
  <si>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</si>
  <si>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</si>
  <si>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</si>
  <si>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#05a7da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</si>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</sst>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05A7DA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5A7D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5A7D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1"/>
      <tableStyleElement type="headerRow" dxfId="100"/>
      <tableStyleElement type="totalRow" dxfId="99"/>
    </tableStyle>
    <tableStyle name="DarkTable" pivot="0" count="2" xr9:uid="{97C242D2-6F6D-4549-9428-17456D609B35}">
      <tableStyleElement type="wholeTable" dxfId="98"/>
      <tableStyleElement type="headerRow" dxfId="97"/>
    </tableStyle>
    <tableStyle name="SlicerStyleDark" pivot="0" table="0" count="10" xr9:uid="{11F1E452-086F-4069-BF08-FF8656253E5D}">
      <tableStyleElement type="wholeTable" dxfId="96"/>
      <tableStyleElement type="headerRow" dxfId="95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dataset">
          <a:extLst>
            <a:ext uri="{FF2B5EF4-FFF2-40B4-BE49-F238E27FC236}">
              <a16:creationId xmlns:a16="http://schemas.microsoft.com/office/drawing/2014/main" id="{1A750621-9E35-C834-C401-3E7E5D197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x">
          <a:extLst>
            <a:ext uri="{FF2B5EF4-FFF2-40B4-BE49-F238E27FC236}">
              <a16:creationId xmlns:a16="http://schemas.microsoft.com/office/drawing/2014/main" id="{24EA9DD6-3912-FCC7-8D5D-8472444DA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x">
          <a:extLst>
            <a:ext uri="{FF2B5EF4-FFF2-40B4-BE49-F238E27FC236}">
              <a16:creationId xmlns:a16="http://schemas.microsoft.com/office/drawing/2014/main" id="{40FF8018-E27B-0D13-B94D-96A57FE3E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y">
          <a:extLst>
            <a:ext uri="{FF2B5EF4-FFF2-40B4-BE49-F238E27FC236}">
              <a16:creationId xmlns:a16="http://schemas.microsoft.com/office/drawing/2014/main" id="{95F246DE-CE0F-7965-B5D4-CAEB95319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y">
          <a:extLst>
            <a:ext uri="{FF2B5EF4-FFF2-40B4-BE49-F238E27FC236}">
              <a16:creationId xmlns:a16="http://schemas.microsoft.com/office/drawing/2014/main" id="{1CC05019-CBEF-1835-CA7B-42FE0AE40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BA34D5B6-3A4B-8827-942D-BD6594973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3AD10880-8BD0-4A2E-4C0E-DAAA52F3A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7" dataDxfId="85" headerRowBorderDxfId="86" tableBorderDxfId="84" totalsRowBorderDxfId="83">
  <tableColumns count="3">
    <tableColumn id="1" xr3:uid="{5EB43B6F-4FF7-4D4C-8202-BD94842B8017}" name="Production Section" dataDxfId="82" dataCellStyle="DarkHeader"/>
    <tableColumn id="2" xr3:uid="{71F0A434-8F03-4CF9-987C-D6F88D936E0A}" name="Production Time in Seconds" dataDxfId="81"/>
    <tableColumn id="3" xr3:uid="{507EC883-FE9F-434C-8323-6EBB4691FEEE}" name="% of Production Time" dataDxfId="80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79" dataDxfId="77" headerRowBorderDxfId="78" tableBorderDxfId="76">
  <tableColumns count="2">
    <tableColumn id="1" xr3:uid="{6A891059-3C09-438F-9AB9-42F8BA5B3379}" name="Environment Variable" dataDxfId="75" dataCellStyle="DarkHeader"/>
    <tableColumn id="2" xr3:uid="{D9E0C91D-D549-4194-8575-1343B51883A7}" name="Value" dataDxfId="7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3" headerRowBorderDxfId="72" tableBorderDxfId="71" totalsRowBorderDxfId="70">
  <tableColumns count="2">
    <tableColumn id="1" xr3:uid="{BAFB02A5-6AA3-46EF-A3FA-1FC44F32BBF4}" name="Input Argument" dataDxfId="69" dataCellStyle="DarkHeader"/>
    <tableColumn id="2" xr3:uid="{402A365F-6164-4790-9B23-3CC27E2F5642}" name="Value" dataDxfId="68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7" dataDxfId="65" headerRowBorderDxfId="66" tableBorderDxfId="64" totalsRowBorderDxfId="63">
  <tableColumns count="2">
    <tableColumn id="1" xr3:uid="{CA519729-E316-4F10-9FC9-4DAD4EBFD7D6}" name="Error Type" dataDxfId="62" dataCellStyle="DarkHeader"/>
    <tableColumn id="2" xr3:uid="{E2631007-AAAB-4565-904C-CFF05E0A66F2}" name="Value" dataDxfId="6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69" totalsRowShown="0" headerRowDxfId="0" dataDxfId="59" headerRowBorderDxfId="60">
  <tableColumns count="28">
    <tableColumn id="1" xr3:uid="{BFB84B7E-8B25-47B3-90FE-AC7BFBAF30EB}" name="_" dataDxfId="58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7"/>
    <tableColumn id="3" xr3:uid="{3DFD5F5C-6F27-4E63-A437-05AB0A6A5E08}" name="Field" dataDxfId="56"/>
    <tableColumn id="4" xr3:uid="{0D07D95C-96ED-4D23-9CF7-D9AF683F9A4E}" name="Definition" dataDxfId="55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4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3"/>
    <tableColumn id="7" xr3:uid="{ACD85635-5643-4A9B-813A-F207FE56A1F7}" name="Distinct %" dataDxfId="52"/>
    <tableColumn id="8" xr3:uid="{37F20288-EC2E-4725-99D2-CA17AD77187C}" name="Missing %" dataDxfId="51"/>
    <tableColumn id="9" xr3:uid="{AC5DCE77-89A5-4067-8459-E0B28ED6C6C0}" name="Memory Usage %" dataDxfId="50"/>
    <tableColumn id="10" xr3:uid="{13D1C1A3-C851-4716-A780-608651BD57A2}" name="Memory Usage" dataDxfId="49"/>
    <tableColumn id="11" xr3:uid="{0E8B2640-5F58-4903-BB55-28298096FFE3}" name="Distinct" dataDxfId="48"/>
    <tableColumn id="12" xr3:uid="{D9F8262C-D1A8-4E72-90A6-B3C791F40382}" name="Count" dataDxfId="47"/>
    <tableColumn id="13" xr3:uid="{F03D5777-4C4C-461A-A414-310E41569255}" name="Count %" dataDxfId="46"/>
    <tableColumn id="14" xr3:uid="{DF6FEF9E-3BDB-44B7-B4A6-A86DF8793B7F}" name="Missing" dataDxfId="45"/>
    <tableColumn id="15" xr3:uid="{3292451D-4821-4F0F-A130-FA933CEF470F}" name="Mean" dataDxfId="44"/>
    <tableColumn id="16" xr3:uid="{43CC4EEF-B158-44ED-B44E-B63B3F4A01C7}" name="Median" dataDxfId="43"/>
    <tableColumn id="17" xr3:uid="{C72B8A11-2B77-4566-95E5-3532F39E2D81}" name="Mode" dataDxfId="42"/>
    <tableColumn id="18" xr3:uid="{61FEB60D-DA84-48AE-A3A3-D30021858F27}" name="Standard Deviation" dataDxfId="41"/>
    <tableColumn id="19" xr3:uid="{9832059F-A51E-4914-9929-224D64D5EA37}" name="Variance" dataDxfId="40"/>
    <tableColumn id="20" xr3:uid="{297F3021-9C27-46B1-B59B-27E05043CB4F}" name="Min" dataDxfId="39"/>
    <tableColumn id="21" xr3:uid="{7D4025BB-011A-4A8D-AB83-A125143050AC}" name="5%" dataDxfId="38"/>
    <tableColumn id="22" xr3:uid="{7AAF0884-12EA-4711-AFEF-2E750982712D}" name="25%" dataDxfId="37"/>
    <tableColumn id="23" xr3:uid="{EFB46394-A032-44BC-8584-974E11E6FFD6}" name="50%" dataDxfId="36"/>
    <tableColumn id="24" xr3:uid="{BFC5EF86-6080-4A18-970E-D74C31031F6F}" name="75%" dataDxfId="35"/>
    <tableColumn id="25" xr3:uid="{108ECE2B-AAB5-44B0-9B12-FB15AAF95230}" name="95%" dataDxfId="34"/>
    <tableColumn id="26" xr3:uid="{F7CB1526-3F23-44F4-A638-A08C3D7E8D1E}" name="Max" dataDxfId="33"/>
    <tableColumn id="27" xr3:uid="{3AFFF5B7-F5C9-49C4-B2F7-16A4511F9680}" name="Range" dataDxfId="32"/>
    <tableColumn id="28" xr3:uid="{94B53881-0AEC-4C9C-A50E-FDE25F882669}" name="IQR" dataDxfId="3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0" tableBorderDxfId="29">
  <tableColumns count="9">
    <tableColumn id="1" xr3:uid="{95AE6ED1-2225-487F-9D3B-3E94D426571D}" name="_" dataDxfId="2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7" dataCellStyle="Hyperlink"/>
    <tableColumn id="3" xr3:uid="{CBB5816F-DADE-468F-A97D-43A695D8EBE2}" name="Dataframe Description" dataDxfId="2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5"/>
    <tableColumn id="5" xr3:uid="{AE043E66-D074-402F-8F8A-8B2943350D33}" name="Rows" dataDxfId="24"/>
    <tableColumn id="6" xr3:uid="{8BA7A5F7-5211-4C26-8823-68B970025E20}" name="Columns" dataDxfId="23"/>
    <tableColumn id="7" xr3:uid="{2284F716-E451-41AC-A7E6-EE845FAAB2AA}" name="Fields Defined %" dataDxfId="2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1" dataCellStyle="Percent"/>
    <tableColumn id="8" xr3:uid="{FABC8667-DE28-4090-A23A-CBDDF1BCD6C8}" name="Subsampled" dataDxfId="20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I125" totalsRowShown="0" headerRowDxfId="8" dataDxfId="7" headerRowCellStyle="DarkHeader" dataCellStyle="Normal">
  <autoFilter ref="C81:I125" xr:uid="{DB1D1E60-5E37-456A-AD85-0649D531840E}"/>
  <tableColumns count="7">
    <tableColumn id="1" xr3:uid="{57EDF41E-F06D-4819-BADE-3D62DE46F06C}" name="Record List" dataDxfId="5" dataCellStyle="Normal"/>
    <tableColumn id="2" xr3:uid="{CF70C9CE-83FE-40FA-8089-C68B39CF665A}" name="dataset" dataDxfId="6" dataCellStyle="Normal"/>
    <tableColumn id="3" xr3:uid="{B8654690-502A-4FAF-9205-0118DABCB954}" name="x" dataDxfId="10" dataCellStyle="Normal"/>
    <tableColumn id="4" xr3:uid="{5A5BA001-2F93-4E62-880C-C4E8BDB17EEB}" name="y" dataDxfId="9" dataCellStyle="Normal"/>
    <tableColumn id="5" xr3:uid="{AD136444-614D-4D42-A6A8-10E7D115B229}" name="index" dataDxfId="4" dataCellStyle="Normal"/>
    <tableColumn id="6" xr3:uid="{97468B00-0B86-47FA-B36A-E8836524F6E6}" name="HasBlank" dataDxfId="3" dataCellStyle="Normal"/>
    <tableColumn id="7" xr3:uid="{361536CA-FE31-40DE-8FB2-ADE45DF87657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0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127</v>
      </c>
      <c r="I11" s="104" t="s">
        <v>55</v>
      </c>
    </row>
    <row r="12" spans="1:28" ht="15" hidden="1" customHeight="1">
      <c r="D12" s="106" t="s">
        <v>99</v>
      </c>
      <c r="E12" s="51">
        <v>2.35443115234375E-2</v>
      </c>
      <c r="F12" s="50">
        <v>1.5714645262634064E-3</v>
      </c>
      <c r="H12" s="49" t="s">
        <v>128</v>
      </c>
      <c r="I12" s="107" t="s">
        <v>129</v>
      </c>
    </row>
    <row r="13" spans="1:28" ht="15" hidden="1" customHeight="1">
      <c r="D13" s="106" t="s">
        <v>126</v>
      </c>
      <c r="E13" s="51">
        <v>6.5193703174591064</v>
      </c>
      <c r="F13" s="50">
        <v>0.4351352205505396</v>
      </c>
    </row>
    <row r="14" spans="1:28" ht="15" hidden="1" customHeight="1">
      <c r="D14" s="106" t="s">
        <v>59</v>
      </c>
      <c r="E14" s="51">
        <v>2.2996101379394531</v>
      </c>
      <c r="F14" s="50">
        <v>0.1534874252921003</v>
      </c>
    </row>
    <row r="15" spans="1:28" ht="15" hidden="1" customHeight="1">
      <c r="D15" s="106" t="s">
        <v>60</v>
      </c>
      <c r="E15" s="51">
        <v>6.1392066478729248</v>
      </c>
      <c r="F15" s="50">
        <v>0.40976120524607412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115</v>
      </c>
    </row>
    <row r="22" spans="2:12" ht="15" hidden="1" customHeight="1">
      <c r="D22" s="44" t="s">
        <v>64</v>
      </c>
      <c r="E22" s="57" t="s">
        <v>116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117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118</v>
      </c>
    </row>
    <row r="30" spans="2:12" ht="15" hidden="1" customHeight="1">
      <c r="D30" s="44" t="s">
        <v>72</v>
      </c>
      <c r="E30" s="57" t="s">
        <v>119</v>
      </c>
    </row>
    <row r="31" spans="2:12" ht="15" hidden="1" customHeight="1">
      <c r="D31" s="44" t="s">
        <v>73</v>
      </c>
      <c r="E31" s="57" t="s">
        <v>120</v>
      </c>
    </row>
    <row r="32" spans="2:12" ht="15" hidden="1" customHeight="1">
      <c r="D32" s="44" t="s">
        <v>74</v>
      </c>
      <c r="E32" s="57" t="s">
        <v>121</v>
      </c>
      <c r="I32" s="78"/>
      <c r="J32" s="79"/>
      <c r="K32" s="43"/>
    </row>
    <row r="33" spans="2:25" ht="15" hidden="1" customHeight="1">
      <c r="D33" s="44" t="s">
        <v>75</v>
      </c>
      <c r="E33" s="57" t="s">
        <v>122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123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124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125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1276</v>
      </c>
      <c r="G59" s="95">
        <v>44</v>
      </c>
      <c r="H59" s="96">
        <v>4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108</v>
      </c>
      <c r="I66" s="89">
        <v>9.0909090909090898E-2</v>
      </c>
      <c r="J66" s="89">
        <v>0</v>
      </c>
      <c r="K66" s="89">
        <v>0.34482758620689602</v>
      </c>
      <c r="L66" s="90">
        <v>440</v>
      </c>
      <c r="M66" s="90">
        <v>4</v>
      </c>
      <c r="N66" s="90">
        <v>44</v>
      </c>
      <c r="O66" s="91">
        <v>1</v>
      </c>
      <c r="P66" s="90">
        <v>0</v>
      </c>
      <c r="Q66" s="92"/>
      <c r="R66" s="92"/>
      <c r="S66" s="92" t="s">
        <v>111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109</v>
      </c>
      <c r="I67" s="89">
        <v>0.27272727272727199</v>
      </c>
      <c r="J67" s="89">
        <v>0</v>
      </c>
      <c r="K67" s="89">
        <v>0.27586206896551702</v>
      </c>
      <c r="L67" s="90">
        <v>352</v>
      </c>
      <c r="M67" s="90">
        <v>12</v>
      </c>
      <c r="N67" s="90">
        <v>44</v>
      </c>
      <c r="O67" s="91">
        <v>1</v>
      </c>
      <c r="P67" s="90">
        <v>0</v>
      </c>
      <c r="Q67" s="92">
        <v>9</v>
      </c>
      <c r="R67" s="92">
        <v>8</v>
      </c>
      <c r="S67" s="92">
        <v>8</v>
      </c>
      <c r="T67" s="92">
        <v>3.1988369979626698</v>
      </c>
      <c r="U67" s="92">
        <v>10.232558139534801</v>
      </c>
      <c r="V67" s="92">
        <v>4</v>
      </c>
      <c r="W67" s="92">
        <v>4.1500000000000004</v>
      </c>
      <c r="X67" s="92">
        <v>7</v>
      </c>
      <c r="Y67" s="92">
        <v>8</v>
      </c>
      <c r="Z67" s="92">
        <v>11</v>
      </c>
      <c r="AA67" s="92">
        <v>14</v>
      </c>
      <c r="AB67" s="92">
        <v>19</v>
      </c>
      <c r="AC67" s="92">
        <v>15</v>
      </c>
      <c r="AD67" s="92">
        <v>4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109</v>
      </c>
      <c r="I68" s="89">
        <v>0.97727272727272696</v>
      </c>
      <c r="J68" s="89">
        <v>0</v>
      </c>
      <c r="K68" s="89">
        <v>0.27586206896551702</v>
      </c>
      <c r="L68" s="90">
        <v>352</v>
      </c>
      <c r="M68" s="90">
        <v>43</v>
      </c>
      <c r="N68" s="90">
        <v>44</v>
      </c>
      <c r="O68" s="91">
        <v>1</v>
      </c>
      <c r="P68" s="90">
        <v>0</v>
      </c>
      <c r="Q68" s="92">
        <v>7.5006818181818096</v>
      </c>
      <c r="R68" s="92">
        <v>7.52</v>
      </c>
      <c r="S68" s="92">
        <v>8.84</v>
      </c>
      <c r="T68" s="92">
        <v>1.9589251890784101</v>
      </c>
      <c r="U68" s="92">
        <v>3.83738789640591</v>
      </c>
      <c r="V68" s="92">
        <v>3.1</v>
      </c>
      <c r="W68" s="92">
        <v>4.7519999999999998</v>
      </c>
      <c r="X68" s="92">
        <v>6.1174999999999997</v>
      </c>
      <c r="Y68" s="92">
        <v>7.52</v>
      </c>
      <c r="Z68" s="92">
        <v>8.7475000000000005</v>
      </c>
      <c r="AA68" s="92">
        <v>10.708</v>
      </c>
      <c r="AB68" s="92">
        <v>12.74</v>
      </c>
      <c r="AC68" s="92">
        <v>9.64</v>
      </c>
      <c r="AD68" s="92">
        <v>2.63</v>
      </c>
    </row>
    <row r="69" spans="3:30" ht="15" customHeight="1" outlineLevel="1">
      <c r="C69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9" t="s">
        <v>102</v>
      </c>
      <c r="E69" s="130" t="s">
        <v>106</v>
      </c>
      <c r="F69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2" t="s">
        <v>110</v>
      </c>
      <c r="I69" s="133">
        <v>1</v>
      </c>
      <c r="J69" s="133">
        <v>0</v>
      </c>
      <c r="K69" s="133">
        <v>0.10344827586206801</v>
      </c>
      <c r="L69" s="134">
        <v>132</v>
      </c>
      <c r="M69" s="134">
        <v>44</v>
      </c>
      <c r="N69" s="134">
        <v>44</v>
      </c>
      <c r="O69" s="135">
        <v>1</v>
      </c>
      <c r="P69" s="134">
        <v>0</v>
      </c>
      <c r="Q69" s="136">
        <v>21.5</v>
      </c>
      <c r="R69" s="136">
        <v>21.5</v>
      </c>
      <c r="S69" s="136">
        <v>0</v>
      </c>
      <c r="T69" s="136">
        <v>12.845232578665099</v>
      </c>
      <c r="U69" s="136">
        <v>165</v>
      </c>
      <c r="V69" s="136">
        <v>0</v>
      </c>
      <c r="W69" s="136">
        <v>2.15</v>
      </c>
      <c r="X69" s="136">
        <v>10.75</v>
      </c>
      <c r="Y69" s="136">
        <v>21.5</v>
      </c>
      <c r="Z69" s="136">
        <v>32.25</v>
      </c>
      <c r="AA69" s="136">
        <v>40.85</v>
      </c>
      <c r="AB69" s="136">
        <v>43</v>
      </c>
      <c r="AC69" s="136">
        <v>43</v>
      </c>
      <c r="AD69" s="136">
        <v>21.5</v>
      </c>
    </row>
    <row r="70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69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4" priority="1" operator="equal">
      <formula>FALSE</formula>
    </cfRule>
    <cfRule type="cellIs" dxfId="93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69">
    <cfRule type="cellIs" dxfId="92" priority="10" operator="equal">
      <formula>"Definition"</formula>
    </cfRule>
  </conditionalFormatting>
  <conditionalFormatting sqref="G66:G69">
    <cfRule type="cellIs" dxfId="91" priority="9" operator="equal">
      <formula>"Note"</formula>
    </cfRule>
  </conditionalFormatting>
  <conditionalFormatting sqref="E59">
    <cfRule type="cellIs" dxfId="90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69">
    <cfRule type="cellIs" dxfId="89" priority="4" operator="equal">
      <formula>"Link"</formula>
    </cfRule>
  </conditionalFormatting>
  <conditionalFormatting sqref="C59">
    <cfRule type="cellIs" dxfId="88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I125"/>
  <sheetViews>
    <sheetView topLeftCell="A2" zoomScale="85" zoomScaleNormal="85" workbookViewId="0">
      <pane xSplit="3" ySplit="20" topLeftCell="D9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7" width="27.6640625" style="83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3" customFormat="1" ht="4.95" customHeight="1">
      <c r="C2" s="74"/>
      <c r="D2" s="74"/>
      <c r="E2" s="74"/>
      <c r="F2" s="74"/>
      <c r="G2" s="74"/>
      <c r="H2" s="74"/>
    </row>
    <row r="3" spans="1: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8" ht="4.95" customHeight="1">
      <c r="B4" s="68"/>
    </row>
    <row r="5" spans="1:8" ht="30" customHeight="1">
      <c r="B5" s="99" t="e" vm="1">
        <v>#VALUE!</v>
      </c>
      <c r="C5" s="76" t="s">
        <v>102</v>
      </c>
      <c r="D5" s="22"/>
    </row>
    <row r="6" spans="1:8" ht="10.199999999999999" customHeight="1"/>
    <row r="7" spans="1:8" ht="14.4">
      <c r="A7" s="66"/>
      <c r="B7" s="84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70" t="s">
        <v>51</v>
      </c>
      <c r="E9" s="7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44</v>
      </c>
    </row>
    <row r="12" spans="1:8" ht="15" hidden="1" customHeight="1" outlineLevel="1">
      <c r="A12" s="66"/>
      <c r="C12" s="3" t="s">
        <v>48</v>
      </c>
      <c r="D12" s="24">
        <v>4</v>
      </c>
    </row>
    <row r="13" spans="1:8" ht="15" hidden="1" customHeight="1" outlineLevel="1">
      <c r="A13" s="66"/>
      <c r="C13" s="3" t="s">
        <v>12</v>
      </c>
      <c r="D13" s="24">
        <v>1276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199999999999999" hidden="1" customHeight="1" outlineLevel="1">
      <c r="A18" s="66"/>
    </row>
    <row r="19" spans="1: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199999999999999" hidden="1" customHeight="1" outlineLevel="1"/>
    <row r="21" spans="1:9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23" t="s">
        <v>38</v>
      </c>
      <c r="I21" s="23" t="s">
        <v>107</v>
      </c>
    </row>
    <row r="22" spans="1:9" ht="10.199999999999999" customHeight="1"/>
    <row r="23" spans="1:9" ht="14.4" outlineLevel="1">
      <c r="A23" s="66"/>
      <c r="B23" s="84" t="s">
        <v>62</v>
      </c>
      <c r="C23" s="2" t="s">
        <v>7</v>
      </c>
    </row>
    <row r="24" spans="1:9" ht="10.199999999999999" customHeight="1" outlineLevel="1">
      <c r="A24" s="66"/>
    </row>
    <row r="25" spans="1:9" ht="15" hidden="1" customHeight="1" outlineLevel="2">
      <c r="A25" s="66"/>
      <c r="C25" s="19" t="s">
        <v>8</v>
      </c>
      <c r="D25" s="9" t="s">
        <v>108</v>
      </c>
      <c r="E25" s="9" t="s">
        <v>109</v>
      </c>
      <c r="F25" s="9" t="s">
        <v>109</v>
      </c>
      <c r="G25" s="9" t="s">
        <v>110</v>
      </c>
    </row>
    <row r="26" spans="1:9" ht="15" hidden="1" customHeight="1" outlineLevel="2">
      <c r="A26" s="66"/>
      <c r="C26" s="3" t="s">
        <v>9</v>
      </c>
      <c r="D26" s="10">
        <v>9.0909090909090898E-2</v>
      </c>
      <c r="E26" s="10">
        <v>0.27272727272727199</v>
      </c>
      <c r="F26" s="10">
        <v>0.97727272727272696</v>
      </c>
      <c r="G26" s="10">
        <v>1</v>
      </c>
    </row>
    <row r="27" spans="1: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66"/>
      <c r="C28" s="18" t="s">
        <v>11</v>
      </c>
      <c r="D28" s="10">
        <v>0.34482758620689602</v>
      </c>
      <c r="E28" s="10">
        <v>0.27586206896551702</v>
      </c>
      <c r="F28" s="10">
        <v>0.27586206896551702</v>
      </c>
      <c r="G28" s="10">
        <v>0.10344827586206801</v>
      </c>
    </row>
    <row r="29" spans="1:9" ht="15" hidden="1" customHeight="1" outlineLevel="2">
      <c r="A29" s="66"/>
      <c r="C29" s="18" t="s">
        <v>12</v>
      </c>
      <c r="D29" s="11">
        <v>440</v>
      </c>
      <c r="E29" s="11">
        <v>352</v>
      </c>
      <c r="F29" s="11">
        <v>352</v>
      </c>
      <c r="G29" s="11">
        <v>132</v>
      </c>
    </row>
    <row r="30" spans="1:9" ht="15" hidden="1" customHeight="1" outlineLevel="2">
      <c r="A30" s="66"/>
      <c r="C30" s="18" t="s">
        <v>13</v>
      </c>
      <c r="D30" s="11">
        <v>4</v>
      </c>
      <c r="E30" s="11">
        <v>12</v>
      </c>
      <c r="F30" s="11">
        <v>43</v>
      </c>
      <c r="G30" s="11">
        <v>44</v>
      </c>
    </row>
    <row r="31" spans="1:9" ht="15" hidden="1" customHeight="1" outlineLevel="2">
      <c r="A31" s="66"/>
      <c r="C31" s="19" t="s">
        <v>14</v>
      </c>
      <c r="D31" s="11">
        <v>44</v>
      </c>
      <c r="E31" s="11">
        <v>44</v>
      </c>
      <c r="F31" s="11">
        <v>44</v>
      </c>
      <c r="G31" s="11">
        <v>44</v>
      </c>
    </row>
    <row r="32" spans="1: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199999999999999" hidden="1" customHeight="1" outlineLevel="2">
      <c r="A33" s="66"/>
    </row>
    <row r="34" spans="1:7" ht="124.95" hidden="1" customHeight="1" outlineLevel="2"/>
    <row r="35" spans="1:7" ht="10.199999999999999" hidden="1" customHeight="1" outlineLevel="2"/>
    <row r="36" spans="1:7" ht="14.4" outlineLevel="1" collapsed="1">
      <c r="A36" s="66"/>
      <c r="B36" s="84" t="s">
        <v>62</v>
      </c>
      <c r="C36" s="2" t="s">
        <v>16</v>
      </c>
    </row>
    <row r="37" spans="1:7" ht="10.199999999999999" customHeight="1" outlineLevel="1">
      <c r="A37" s="66"/>
    </row>
    <row r="38" spans="1:7" ht="15" hidden="1" customHeight="1" outlineLevel="2">
      <c r="A38" s="66"/>
      <c r="C38" s="3" t="s">
        <v>17</v>
      </c>
      <c r="D38" s="12"/>
      <c r="E38" s="12">
        <v>9</v>
      </c>
      <c r="F38" s="12">
        <v>7.5006818181818096</v>
      </c>
      <c r="G38" s="12">
        <v>21.5</v>
      </c>
    </row>
    <row r="39" spans="1:7" ht="15" hidden="1" customHeight="1" outlineLevel="2">
      <c r="A39" s="66"/>
      <c r="C39" s="18" t="s">
        <v>18</v>
      </c>
      <c r="D39" s="12"/>
      <c r="E39" s="12">
        <v>8</v>
      </c>
      <c r="F39" s="12">
        <v>7.52</v>
      </c>
      <c r="G39" s="12">
        <v>21.5</v>
      </c>
    </row>
    <row r="40" spans="1:7" ht="15" hidden="1" customHeight="1" outlineLevel="2">
      <c r="A40" s="66"/>
      <c r="C40" s="18" t="s">
        <v>19</v>
      </c>
      <c r="D40" s="12" t="s">
        <v>111</v>
      </c>
      <c r="E40" s="12">
        <v>8</v>
      </c>
      <c r="F40" s="12">
        <v>8.84</v>
      </c>
      <c r="G40" s="12">
        <v>0</v>
      </c>
    </row>
    <row r="41" spans="1:7" ht="15" hidden="1" customHeight="1" outlineLevel="2">
      <c r="A41" s="66"/>
      <c r="C41" s="3" t="s">
        <v>20</v>
      </c>
      <c r="D41" s="12"/>
      <c r="E41" s="12">
        <v>3.1988369979626698</v>
      </c>
      <c r="F41" s="12">
        <v>1.9589251890784101</v>
      </c>
      <c r="G41" s="12">
        <v>12.845232578665099</v>
      </c>
    </row>
    <row r="42" spans="1:7" ht="15" hidden="1" customHeight="1" outlineLevel="2">
      <c r="A42" s="66"/>
      <c r="C42" s="20" t="s">
        <v>21</v>
      </c>
      <c r="D42" s="12"/>
      <c r="E42" s="12">
        <v>10.232558139534801</v>
      </c>
      <c r="F42" s="12">
        <v>3.83738789640591</v>
      </c>
      <c r="G42" s="12">
        <v>165</v>
      </c>
    </row>
    <row r="43" spans="1:7" ht="10.199999999999999" hidden="1" customHeight="1" outlineLevel="2">
      <c r="A43" s="66"/>
    </row>
    <row r="44" spans="1:7" ht="150" hidden="1" customHeight="1" outlineLevel="2"/>
    <row r="45" spans="1:7" ht="10.199999999999999" hidden="1" customHeight="1" outlineLevel="2"/>
    <row r="46" spans="1:7" ht="14.4" outlineLevel="1" collapsed="1">
      <c r="A46" s="66"/>
      <c r="B46" s="84" t="s">
        <v>62</v>
      </c>
      <c r="C46" s="2" t="s">
        <v>22</v>
      </c>
    </row>
    <row r="47" spans="1:7" ht="10.050000000000001" customHeight="1" outlineLevel="1">
      <c r="A47" s="66"/>
    </row>
    <row r="48" spans="1:7" ht="15" hidden="1" customHeight="1" outlineLevel="2">
      <c r="A48" s="66"/>
      <c r="C48" s="3" t="s">
        <v>23</v>
      </c>
      <c r="D48" s="12"/>
      <c r="E48" s="12">
        <v>4</v>
      </c>
      <c r="F48" s="12">
        <v>3.1</v>
      </c>
      <c r="G48" s="12">
        <v>0</v>
      </c>
    </row>
    <row r="49" spans="1:7" ht="15" hidden="1" customHeight="1" outlineLevel="2">
      <c r="A49" s="66"/>
      <c r="C49" s="18">
        <v>0.05</v>
      </c>
      <c r="D49" s="12"/>
      <c r="E49" s="12">
        <v>4.1500000000000004</v>
      </c>
      <c r="F49" s="12">
        <v>4.7519999999999998</v>
      </c>
      <c r="G49" s="12">
        <v>2.15</v>
      </c>
    </row>
    <row r="50" spans="1:7" ht="15" hidden="1" customHeight="1" outlineLevel="2">
      <c r="A50" s="66"/>
      <c r="C50" s="19">
        <v>0.25</v>
      </c>
      <c r="D50" s="12"/>
      <c r="E50" s="12">
        <v>7</v>
      </c>
      <c r="F50" s="12">
        <v>6.1174999999999997</v>
      </c>
      <c r="G50" s="12">
        <v>10.75</v>
      </c>
    </row>
    <row r="51" spans="1:7" ht="15" hidden="1" customHeight="1" outlineLevel="2">
      <c r="A51" s="66"/>
      <c r="C51" s="3">
        <v>0.5</v>
      </c>
      <c r="D51" s="12"/>
      <c r="E51" s="12">
        <v>8</v>
      </c>
      <c r="F51" s="12">
        <v>7.52</v>
      </c>
      <c r="G51" s="12">
        <v>21.5</v>
      </c>
    </row>
    <row r="52" spans="1:7" ht="15" hidden="1" customHeight="1" outlineLevel="2">
      <c r="A52" s="66"/>
      <c r="C52" s="18">
        <v>0.75</v>
      </c>
      <c r="D52" s="12"/>
      <c r="E52" s="12">
        <v>11</v>
      </c>
      <c r="F52" s="12">
        <v>8.7475000000000005</v>
      </c>
      <c r="G52" s="12">
        <v>32.25</v>
      </c>
    </row>
    <row r="53" spans="1:7" ht="15" hidden="1" customHeight="1" outlineLevel="2">
      <c r="A53" s="66"/>
      <c r="C53" s="18">
        <v>0.95</v>
      </c>
      <c r="D53" s="12"/>
      <c r="E53" s="12">
        <v>14</v>
      </c>
      <c r="F53" s="12">
        <v>10.708</v>
      </c>
      <c r="G53" s="12">
        <v>40.85</v>
      </c>
    </row>
    <row r="54" spans="1:7" ht="15" hidden="1" customHeight="1" outlineLevel="2">
      <c r="A54" s="66"/>
      <c r="C54" s="3" t="s">
        <v>24</v>
      </c>
      <c r="D54" s="12"/>
      <c r="E54" s="12">
        <v>19</v>
      </c>
      <c r="F54" s="12">
        <v>12.74</v>
      </c>
      <c r="G54" s="12">
        <v>43</v>
      </c>
    </row>
    <row r="55" spans="1:7" ht="15" hidden="1" customHeight="1" outlineLevel="2">
      <c r="A55" s="66"/>
      <c r="C55" s="18" t="s">
        <v>25</v>
      </c>
      <c r="D55" s="12"/>
      <c r="E55" s="12">
        <v>15</v>
      </c>
      <c r="F55" s="12">
        <v>9.64</v>
      </c>
      <c r="G55" s="12">
        <v>43</v>
      </c>
    </row>
    <row r="56" spans="1:7" ht="15" hidden="1" customHeight="1" outlineLevel="2">
      <c r="C56" s="3" t="s">
        <v>26</v>
      </c>
      <c r="D56" s="12"/>
      <c r="E56" s="12">
        <v>4</v>
      </c>
      <c r="F56" s="12">
        <v>2.63</v>
      </c>
      <c r="G56" s="12">
        <v>21.5</v>
      </c>
    </row>
    <row r="57" spans="1:7" ht="10.199999999999999" hidden="1" customHeight="1" outlineLevel="2"/>
    <row r="58" spans="1:7" ht="14.4" outlineLevel="1" collapsed="1">
      <c r="A58" s="66"/>
      <c r="B58" s="84" t="s">
        <v>62</v>
      </c>
      <c r="C58" s="2" t="s">
        <v>27</v>
      </c>
    </row>
    <row r="59" spans="1:7" ht="10.050000000000001" customHeight="1" outlineLevel="1">
      <c r="A59" s="66"/>
    </row>
    <row r="60" spans="1: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199999999999999" hidden="1" customHeight="1" outlineLevel="2"/>
    <row r="69" spans="1:7" ht="14.4" outlineLevel="1" collapsed="1">
      <c r="A69" s="66"/>
      <c r="B69" s="84" t="s">
        <v>62</v>
      </c>
      <c r="C69" s="2" t="s">
        <v>36</v>
      </c>
    </row>
    <row r="70" spans="1:7" ht="10.050000000000001" customHeight="1" outlineLevel="1">
      <c r="A70" s="66"/>
    </row>
    <row r="71" spans="1:7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199999999999999" hidden="1" customHeight="1" outlineLevel="1" collapsed="1"/>
    <row r="81" spans="3:9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61" t="s">
        <v>38</v>
      </c>
      <c r="I81" s="61" t="s">
        <v>107</v>
      </c>
    </row>
    <row r="82" spans="3:9" ht="15" customHeight="1">
      <c r="C82" s="62" t="b">
        <v>0</v>
      </c>
      <c r="D82" s="60" t="s">
        <v>111</v>
      </c>
      <c r="E82" s="60">
        <v>10</v>
      </c>
      <c r="F82" s="60">
        <v>8.0399999999999991</v>
      </c>
      <c r="G82" s="119">
        <v>0</v>
      </c>
      <c r="H82" s="121">
        <v>0</v>
      </c>
      <c r="I82" s="121">
        <v>8.2900397977865564E+18</v>
      </c>
    </row>
    <row r="83" spans="3:9" ht="15" customHeight="1">
      <c r="C83" s="62" t="b">
        <v>0</v>
      </c>
      <c r="D83" s="60" t="s">
        <v>111</v>
      </c>
      <c r="E83" s="60">
        <v>8</v>
      </c>
      <c r="F83" s="60">
        <v>6.95</v>
      </c>
      <c r="G83" s="119">
        <v>1</v>
      </c>
      <c r="H83" s="121">
        <v>0</v>
      </c>
      <c r="I83" s="121">
        <v>7.746183454097559E+17</v>
      </c>
    </row>
    <row r="84" spans="3:9" ht="15" customHeight="1">
      <c r="C84" s="113" t="b">
        <v>0</v>
      </c>
      <c r="D84" s="114" t="s">
        <v>111</v>
      </c>
      <c r="E84" s="115">
        <v>13</v>
      </c>
      <c r="F84" s="115">
        <v>7.58</v>
      </c>
      <c r="G84" s="119">
        <v>2</v>
      </c>
      <c r="H84" s="121">
        <v>0</v>
      </c>
      <c r="I84" s="121">
        <v>7.7304847401086556E+18</v>
      </c>
    </row>
    <row r="85" spans="3:9" ht="15" customHeight="1">
      <c r="C85" s="113" t="b">
        <v>0</v>
      </c>
      <c r="D85" s="114" t="s">
        <v>111</v>
      </c>
      <c r="E85" s="115">
        <v>9</v>
      </c>
      <c r="F85" s="115">
        <v>8.81</v>
      </c>
      <c r="G85" s="119">
        <v>3</v>
      </c>
      <c r="H85" s="121">
        <v>0</v>
      </c>
      <c r="I85" s="121">
        <v>1.6450170027552784E+19</v>
      </c>
    </row>
    <row r="86" spans="3:9" ht="15" customHeight="1">
      <c r="C86" s="113" t="b">
        <v>0</v>
      </c>
      <c r="D86" s="114" t="s">
        <v>111</v>
      </c>
      <c r="E86" s="115">
        <v>11</v>
      </c>
      <c r="F86" s="115">
        <v>8.33</v>
      </c>
      <c r="G86" s="119">
        <v>4</v>
      </c>
      <c r="H86" s="121">
        <v>0</v>
      </c>
      <c r="I86" s="121">
        <v>1.9576391762710935E+18</v>
      </c>
    </row>
    <row r="87" spans="3:9" ht="15" customHeight="1">
      <c r="C87" s="113" t="b">
        <v>0</v>
      </c>
      <c r="D87" s="114" t="s">
        <v>111</v>
      </c>
      <c r="E87" s="115">
        <v>14</v>
      </c>
      <c r="F87" s="115">
        <v>9.9600000000000009</v>
      </c>
      <c r="G87" s="119">
        <v>5</v>
      </c>
      <c r="H87" s="121">
        <v>0</v>
      </c>
      <c r="I87" s="121">
        <v>1.4813912060619E+19</v>
      </c>
    </row>
    <row r="88" spans="3:9" ht="15" customHeight="1">
      <c r="C88" s="113" t="b">
        <v>0</v>
      </c>
      <c r="D88" s="114" t="s">
        <v>111</v>
      </c>
      <c r="E88" s="115">
        <v>6</v>
      </c>
      <c r="F88" s="115">
        <v>7.24</v>
      </c>
      <c r="G88" s="119">
        <v>6</v>
      </c>
      <c r="H88" s="121">
        <v>0</v>
      </c>
      <c r="I88" s="121">
        <v>4.5531757921356141E+17</v>
      </c>
    </row>
    <row r="89" spans="3:9" ht="15" customHeight="1">
      <c r="C89" s="113" t="b">
        <v>0</v>
      </c>
      <c r="D89" s="114" t="s">
        <v>111</v>
      </c>
      <c r="E89" s="115">
        <v>4</v>
      </c>
      <c r="F89" s="115">
        <v>4.26</v>
      </c>
      <c r="G89" s="119">
        <v>7</v>
      </c>
      <c r="H89" s="121">
        <v>0</v>
      </c>
      <c r="I89" s="121">
        <v>4.2687004823131064E+18</v>
      </c>
    </row>
    <row r="90" spans="3:9" ht="15" customHeight="1">
      <c r="C90" s="113" t="b">
        <v>0</v>
      </c>
      <c r="D90" s="114" t="s">
        <v>111</v>
      </c>
      <c r="E90" s="115">
        <v>12</v>
      </c>
      <c r="F90" s="115">
        <v>10.84</v>
      </c>
      <c r="G90" s="119">
        <v>8</v>
      </c>
      <c r="H90" s="121">
        <v>0</v>
      </c>
      <c r="I90" s="121">
        <v>1.0824355179871961E+19</v>
      </c>
    </row>
    <row r="91" spans="3:9" ht="15" customHeight="1">
      <c r="C91" s="113" t="b">
        <v>0</v>
      </c>
      <c r="D91" s="114" t="s">
        <v>111</v>
      </c>
      <c r="E91" s="115">
        <v>7</v>
      </c>
      <c r="F91" s="115">
        <v>4.82</v>
      </c>
      <c r="G91" s="119">
        <v>9</v>
      </c>
      <c r="H91" s="121">
        <v>0</v>
      </c>
      <c r="I91" s="121">
        <v>1.6541709756342252E+19</v>
      </c>
    </row>
    <row r="92" spans="3:9" ht="15" customHeight="1">
      <c r="C92" s="113" t="b">
        <v>0</v>
      </c>
      <c r="D92" s="114" t="s">
        <v>111</v>
      </c>
      <c r="E92" s="115">
        <v>5</v>
      </c>
      <c r="F92" s="115">
        <v>5.68</v>
      </c>
      <c r="G92" s="119">
        <v>10</v>
      </c>
      <c r="H92" s="121">
        <v>0</v>
      </c>
      <c r="I92" s="121">
        <v>1.2465426303620512E+19</v>
      </c>
    </row>
    <row r="93" spans="3:9" ht="15" customHeight="1">
      <c r="C93" s="113" t="b">
        <v>0</v>
      </c>
      <c r="D93" s="114" t="s">
        <v>112</v>
      </c>
      <c r="E93" s="115">
        <v>10</v>
      </c>
      <c r="F93" s="115">
        <v>9.14</v>
      </c>
      <c r="G93" s="119">
        <v>11</v>
      </c>
      <c r="H93" s="121">
        <v>0</v>
      </c>
      <c r="I93" s="121">
        <v>1.2615110453480454E+19</v>
      </c>
    </row>
    <row r="94" spans="3:9" ht="15" customHeight="1">
      <c r="C94" s="113" t="b">
        <v>0</v>
      </c>
      <c r="D94" s="114" t="s">
        <v>112</v>
      </c>
      <c r="E94" s="115">
        <v>8</v>
      </c>
      <c r="F94" s="115">
        <v>8.14</v>
      </c>
      <c r="G94" s="119">
        <v>12</v>
      </c>
      <c r="H94" s="121">
        <v>0</v>
      </c>
      <c r="I94" s="121">
        <v>1.7574382863757523E+19</v>
      </c>
    </row>
    <row r="95" spans="3:9" ht="15" customHeight="1">
      <c r="C95" s="113" t="b">
        <v>0</v>
      </c>
      <c r="D95" s="114" t="s">
        <v>112</v>
      </c>
      <c r="E95" s="115">
        <v>13</v>
      </c>
      <c r="F95" s="115">
        <v>8.74</v>
      </c>
      <c r="G95" s="119">
        <v>13</v>
      </c>
      <c r="H95" s="121">
        <v>0</v>
      </c>
      <c r="I95" s="121">
        <v>1.2831300063501724E+19</v>
      </c>
    </row>
    <row r="96" spans="3:9" ht="15" customHeight="1">
      <c r="C96" s="113" t="b">
        <v>0</v>
      </c>
      <c r="D96" s="114" t="s">
        <v>112</v>
      </c>
      <c r="E96" s="115">
        <v>9</v>
      </c>
      <c r="F96" s="115">
        <v>8.77</v>
      </c>
      <c r="G96" s="119">
        <v>14</v>
      </c>
      <c r="H96" s="121">
        <v>0</v>
      </c>
      <c r="I96" s="121">
        <v>1.7540277894604515E+19</v>
      </c>
    </row>
    <row r="97" spans="3:9" ht="15" customHeight="1">
      <c r="C97" s="113" t="b">
        <v>0</v>
      </c>
      <c r="D97" s="114" t="s">
        <v>112</v>
      </c>
      <c r="E97" s="115">
        <v>11</v>
      </c>
      <c r="F97" s="115">
        <v>9.26</v>
      </c>
      <c r="G97" s="119">
        <v>15</v>
      </c>
      <c r="H97" s="121">
        <v>0</v>
      </c>
      <c r="I97" s="121">
        <v>7.5235392342167153E+18</v>
      </c>
    </row>
    <row r="98" spans="3:9" ht="15" customHeight="1">
      <c r="C98" s="113" t="b">
        <v>0</v>
      </c>
      <c r="D98" s="114" t="s">
        <v>112</v>
      </c>
      <c r="E98" s="115">
        <v>14</v>
      </c>
      <c r="F98" s="115">
        <v>8.1</v>
      </c>
      <c r="G98" s="119">
        <v>16</v>
      </c>
      <c r="H98" s="121">
        <v>0</v>
      </c>
      <c r="I98" s="121">
        <v>1.3486858689431015E+19</v>
      </c>
    </row>
    <row r="99" spans="3:9" ht="15" customHeight="1">
      <c r="C99" s="113" t="b">
        <v>0</v>
      </c>
      <c r="D99" s="114" t="s">
        <v>112</v>
      </c>
      <c r="E99" s="115">
        <v>6</v>
      </c>
      <c r="F99" s="115">
        <v>6.13</v>
      </c>
      <c r="G99" s="119">
        <v>17</v>
      </c>
      <c r="H99" s="121">
        <v>0</v>
      </c>
      <c r="I99" s="121">
        <v>1.8290918260543154E+19</v>
      </c>
    </row>
    <row r="100" spans="3:9" ht="15" customHeight="1">
      <c r="C100" s="113" t="b">
        <v>0</v>
      </c>
      <c r="D100" s="114" t="s">
        <v>112</v>
      </c>
      <c r="E100" s="115">
        <v>4</v>
      </c>
      <c r="F100" s="115">
        <v>3.1</v>
      </c>
      <c r="G100" s="119">
        <v>18</v>
      </c>
      <c r="H100" s="121">
        <v>0</v>
      </c>
      <c r="I100" s="121">
        <v>3.0271482890587628E+18</v>
      </c>
    </row>
    <row r="101" spans="3:9" ht="15" customHeight="1">
      <c r="C101" s="113" t="b">
        <v>0</v>
      </c>
      <c r="D101" s="114" t="s">
        <v>112</v>
      </c>
      <c r="E101" s="115">
        <v>12</v>
      </c>
      <c r="F101" s="115">
        <v>9.1300000000000008</v>
      </c>
      <c r="G101" s="119">
        <v>19</v>
      </c>
      <c r="H101" s="121">
        <v>0</v>
      </c>
      <c r="I101" s="121">
        <v>1.3323868367707693E+19</v>
      </c>
    </row>
    <row r="102" spans="3:9" ht="15" customHeight="1">
      <c r="C102" s="113" t="b">
        <v>0</v>
      </c>
      <c r="D102" s="114" t="s">
        <v>112</v>
      </c>
      <c r="E102" s="115">
        <v>7</v>
      </c>
      <c r="F102" s="115">
        <v>7.26</v>
      </c>
      <c r="G102" s="119">
        <v>20</v>
      </c>
      <c r="H102" s="121">
        <v>0</v>
      </c>
      <c r="I102" s="121">
        <v>3.5680720266868065E+18</v>
      </c>
    </row>
    <row r="103" spans="3:9" ht="15" customHeight="1">
      <c r="C103" s="113" t="b">
        <v>0</v>
      </c>
      <c r="D103" s="114" t="s">
        <v>112</v>
      </c>
      <c r="E103" s="115">
        <v>5</v>
      </c>
      <c r="F103" s="115">
        <v>4.74</v>
      </c>
      <c r="G103" s="119">
        <v>21</v>
      </c>
      <c r="H103" s="121">
        <v>0</v>
      </c>
      <c r="I103" s="121">
        <v>2.3914005557568937E+18</v>
      </c>
    </row>
    <row r="104" spans="3:9" ht="15" customHeight="1">
      <c r="C104" s="113" t="b">
        <v>0</v>
      </c>
      <c r="D104" s="114" t="s">
        <v>113</v>
      </c>
      <c r="E104" s="115">
        <v>10</v>
      </c>
      <c r="F104" s="115">
        <v>7.46</v>
      </c>
      <c r="G104" s="119">
        <v>22</v>
      </c>
      <c r="H104" s="121">
        <v>0</v>
      </c>
      <c r="I104" s="121">
        <v>1.7082740423865072E+19</v>
      </c>
    </row>
    <row r="105" spans="3:9" ht="15" customHeight="1">
      <c r="C105" s="113" t="b">
        <v>0</v>
      </c>
      <c r="D105" s="114" t="s">
        <v>113</v>
      </c>
      <c r="E105" s="115">
        <v>8</v>
      </c>
      <c r="F105" s="115">
        <v>6.77</v>
      </c>
      <c r="G105" s="119">
        <v>23</v>
      </c>
      <c r="H105" s="121">
        <v>0</v>
      </c>
      <c r="I105" s="121">
        <v>4.9085920842948086E+18</v>
      </c>
    </row>
    <row r="106" spans="3:9" ht="15" customHeight="1">
      <c r="C106" s="113" t="b">
        <v>0</v>
      </c>
      <c r="D106" s="114" t="s">
        <v>113</v>
      </c>
      <c r="E106" s="115">
        <v>13</v>
      </c>
      <c r="F106" s="115">
        <v>12.74</v>
      </c>
      <c r="G106" s="119">
        <v>24</v>
      </c>
      <c r="H106" s="121">
        <v>0</v>
      </c>
      <c r="I106" s="121">
        <v>1.770008728388957E+19</v>
      </c>
    </row>
    <row r="107" spans="3:9" ht="15" customHeight="1">
      <c r="C107" s="113" t="b">
        <v>0</v>
      </c>
      <c r="D107" s="114" t="s">
        <v>113</v>
      </c>
      <c r="E107" s="115">
        <v>9</v>
      </c>
      <c r="F107" s="115">
        <v>7.11</v>
      </c>
      <c r="G107" s="119">
        <v>25</v>
      </c>
      <c r="H107" s="121">
        <v>0</v>
      </c>
      <c r="I107" s="121">
        <v>1.9372436006079421E+18</v>
      </c>
    </row>
    <row r="108" spans="3:9" ht="15" customHeight="1">
      <c r="C108" s="113" t="b">
        <v>0</v>
      </c>
      <c r="D108" s="114" t="s">
        <v>113</v>
      </c>
      <c r="E108" s="115">
        <v>11</v>
      </c>
      <c r="F108" s="115">
        <v>7.81</v>
      </c>
      <c r="G108" s="119">
        <v>26</v>
      </c>
      <c r="H108" s="121">
        <v>0</v>
      </c>
      <c r="I108" s="121">
        <v>1.3529379415465892E+19</v>
      </c>
    </row>
    <row r="109" spans="3:9" ht="15" customHeight="1">
      <c r="C109" s="113" t="b">
        <v>0</v>
      </c>
      <c r="D109" s="114" t="s">
        <v>113</v>
      </c>
      <c r="E109" s="115">
        <v>14</v>
      </c>
      <c r="F109" s="115">
        <v>8.84</v>
      </c>
      <c r="G109" s="119">
        <v>27</v>
      </c>
      <c r="H109" s="121">
        <v>0</v>
      </c>
      <c r="I109" s="121">
        <v>1.1161663523386765E+19</v>
      </c>
    </row>
    <row r="110" spans="3:9" ht="15" customHeight="1">
      <c r="C110" s="113" t="b">
        <v>0</v>
      </c>
      <c r="D110" s="114" t="s">
        <v>113</v>
      </c>
      <c r="E110" s="115">
        <v>6</v>
      </c>
      <c r="F110" s="115">
        <v>6.08</v>
      </c>
      <c r="G110" s="119">
        <v>28</v>
      </c>
      <c r="H110" s="121">
        <v>0</v>
      </c>
      <c r="I110" s="121">
        <v>1.7455212853858664E+19</v>
      </c>
    </row>
    <row r="111" spans="3:9" ht="15" customHeight="1">
      <c r="C111" s="113" t="b">
        <v>0</v>
      </c>
      <c r="D111" s="114" t="s">
        <v>113</v>
      </c>
      <c r="E111" s="115">
        <v>4</v>
      </c>
      <c r="F111" s="115">
        <v>5.39</v>
      </c>
      <c r="G111" s="119">
        <v>29</v>
      </c>
      <c r="H111" s="121">
        <v>0</v>
      </c>
      <c r="I111" s="121">
        <v>7.4044780924903977E+18</v>
      </c>
    </row>
    <row r="112" spans="3:9" ht="15" customHeight="1">
      <c r="C112" s="113" t="b">
        <v>0</v>
      </c>
      <c r="D112" s="114" t="s">
        <v>113</v>
      </c>
      <c r="E112" s="115">
        <v>12</v>
      </c>
      <c r="F112" s="115">
        <v>8.15</v>
      </c>
      <c r="G112" s="119">
        <v>30</v>
      </c>
      <c r="H112" s="121">
        <v>0</v>
      </c>
      <c r="I112" s="121">
        <v>4.8691511575164723E+18</v>
      </c>
    </row>
    <row r="113" spans="3:9" ht="15" customHeight="1">
      <c r="C113" s="113" t="b">
        <v>0</v>
      </c>
      <c r="D113" s="114" t="s">
        <v>113</v>
      </c>
      <c r="E113" s="115">
        <v>7</v>
      </c>
      <c r="F113" s="115">
        <v>6.42</v>
      </c>
      <c r="G113" s="119">
        <v>31</v>
      </c>
      <c r="H113" s="121">
        <v>0</v>
      </c>
      <c r="I113" s="121">
        <v>1.5520966538863829E+19</v>
      </c>
    </row>
    <row r="114" spans="3:9" ht="15" customHeight="1">
      <c r="C114" s="113" t="b">
        <v>0</v>
      </c>
      <c r="D114" s="114" t="s">
        <v>113</v>
      </c>
      <c r="E114" s="115">
        <v>5</v>
      </c>
      <c r="F114" s="115">
        <v>5.73</v>
      </c>
      <c r="G114" s="119">
        <v>32</v>
      </c>
      <c r="H114" s="121">
        <v>0</v>
      </c>
      <c r="I114" s="121">
        <v>1.6956987607096488E+19</v>
      </c>
    </row>
    <row r="115" spans="3:9" ht="15" customHeight="1">
      <c r="C115" s="113" t="b">
        <v>0</v>
      </c>
      <c r="D115" s="114" t="s">
        <v>114</v>
      </c>
      <c r="E115" s="115">
        <v>8</v>
      </c>
      <c r="F115" s="115">
        <v>6.58</v>
      </c>
      <c r="G115" s="119">
        <v>33</v>
      </c>
      <c r="H115" s="121">
        <v>0</v>
      </c>
      <c r="I115" s="121">
        <v>8.2794725629868687E+18</v>
      </c>
    </row>
    <row r="116" spans="3:9" ht="15" customHeight="1">
      <c r="C116" s="113" t="b">
        <v>0</v>
      </c>
      <c r="D116" s="114" t="s">
        <v>114</v>
      </c>
      <c r="E116" s="115">
        <v>8</v>
      </c>
      <c r="F116" s="115">
        <v>5.76</v>
      </c>
      <c r="G116" s="119">
        <v>34</v>
      </c>
      <c r="H116" s="121">
        <v>0</v>
      </c>
      <c r="I116" s="121">
        <v>1.3292156592662393E+19</v>
      </c>
    </row>
    <row r="117" spans="3:9" ht="15" customHeight="1">
      <c r="C117" s="113" t="b">
        <v>0</v>
      </c>
      <c r="D117" s="114" t="s">
        <v>114</v>
      </c>
      <c r="E117" s="115">
        <v>8</v>
      </c>
      <c r="F117" s="115">
        <v>7.71</v>
      </c>
      <c r="G117" s="119">
        <v>35</v>
      </c>
      <c r="H117" s="121">
        <v>0</v>
      </c>
      <c r="I117" s="121">
        <v>1.1803802399366158E+19</v>
      </c>
    </row>
    <row r="118" spans="3:9" ht="15" customHeight="1">
      <c r="C118" s="113" t="b">
        <v>0</v>
      </c>
      <c r="D118" s="114" t="s">
        <v>114</v>
      </c>
      <c r="E118" s="115">
        <v>8</v>
      </c>
      <c r="F118" s="115">
        <v>8.84</v>
      </c>
      <c r="G118" s="119">
        <v>36</v>
      </c>
      <c r="H118" s="121">
        <v>0</v>
      </c>
      <c r="I118" s="121">
        <v>7.3049915945927967E+18</v>
      </c>
    </row>
    <row r="119" spans="3:9" ht="15" customHeight="1">
      <c r="C119" s="113" t="b">
        <v>0</v>
      </c>
      <c r="D119" s="114" t="s">
        <v>114</v>
      </c>
      <c r="E119" s="115">
        <v>8</v>
      </c>
      <c r="F119" s="115">
        <v>8.4700000000000006</v>
      </c>
      <c r="G119" s="119">
        <v>37</v>
      </c>
      <c r="H119" s="121">
        <v>0</v>
      </c>
      <c r="I119" s="121">
        <v>1.4983167448133067E+19</v>
      </c>
    </row>
    <row r="120" spans="3:9" ht="15" customHeight="1">
      <c r="C120" s="113" t="b">
        <v>0</v>
      </c>
      <c r="D120" s="114" t="s">
        <v>114</v>
      </c>
      <c r="E120" s="115">
        <v>8</v>
      </c>
      <c r="F120" s="115">
        <v>7.04</v>
      </c>
      <c r="G120" s="119">
        <v>38</v>
      </c>
      <c r="H120" s="121">
        <v>0</v>
      </c>
      <c r="I120" s="121">
        <v>3.5115920427908675E+18</v>
      </c>
    </row>
    <row r="121" spans="3:9" ht="15" customHeight="1">
      <c r="C121" s="113" t="b">
        <v>0</v>
      </c>
      <c r="D121" s="114" t="s">
        <v>114</v>
      </c>
      <c r="E121" s="115">
        <v>8</v>
      </c>
      <c r="F121" s="115">
        <v>5.25</v>
      </c>
      <c r="G121" s="119">
        <v>39</v>
      </c>
      <c r="H121" s="121">
        <v>0</v>
      </c>
      <c r="I121" s="121">
        <v>1.4505337100355502E+18</v>
      </c>
    </row>
    <row r="122" spans="3:9" ht="15" customHeight="1">
      <c r="C122" s="113" t="b">
        <v>0</v>
      </c>
      <c r="D122" s="114" t="s">
        <v>114</v>
      </c>
      <c r="E122" s="115">
        <v>19</v>
      </c>
      <c r="F122" s="115">
        <v>12.5</v>
      </c>
      <c r="G122" s="119">
        <v>40</v>
      </c>
      <c r="H122" s="121">
        <v>0</v>
      </c>
      <c r="I122" s="121">
        <v>2.4440120055156204E+18</v>
      </c>
    </row>
    <row r="123" spans="3:9" ht="15" customHeight="1">
      <c r="C123" s="113" t="b">
        <v>0</v>
      </c>
      <c r="D123" s="114" t="s">
        <v>114</v>
      </c>
      <c r="E123" s="115">
        <v>8</v>
      </c>
      <c r="F123" s="115">
        <v>5.56</v>
      </c>
      <c r="G123" s="119">
        <v>41</v>
      </c>
      <c r="H123" s="121">
        <v>0</v>
      </c>
      <c r="I123" s="121">
        <v>1.7387600761294412E+19</v>
      </c>
    </row>
    <row r="124" spans="3:9" ht="15" customHeight="1">
      <c r="C124" s="113" t="b">
        <v>0</v>
      </c>
      <c r="D124" s="114" t="s">
        <v>114</v>
      </c>
      <c r="E124" s="115">
        <v>8</v>
      </c>
      <c r="F124" s="115">
        <v>7.91</v>
      </c>
      <c r="G124" s="119">
        <v>42</v>
      </c>
      <c r="H124" s="121">
        <v>0</v>
      </c>
      <c r="I124" s="121">
        <v>1.1044583522839329E+19</v>
      </c>
    </row>
    <row r="125" spans="3:9" ht="15" customHeight="1">
      <c r="C125" s="116" t="b">
        <v>0</v>
      </c>
      <c r="D125" s="117" t="s">
        <v>114</v>
      </c>
      <c r="E125" s="118">
        <v>8</v>
      </c>
      <c r="F125" s="118">
        <v>6.89</v>
      </c>
      <c r="G125" s="119">
        <v>43</v>
      </c>
      <c r="H125" s="121">
        <v>0</v>
      </c>
      <c r="I125" s="121">
        <v>3.1669598736807434E+18</v>
      </c>
    </row>
  </sheetData>
  <phoneticPr fontId="24" type="noConversion"/>
  <conditionalFormatting sqref="D25:F32 D38:F42 D48:F56">
    <cfRule type="cellIs" dxfId="19" priority="26" operator="equal">
      <formula>0</formula>
    </cfRule>
  </conditionalFormatting>
  <conditionalFormatting sqref="C82:C125">
    <cfRule type="cellIs" dxfId="18" priority="25" operator="notEqual">
      <formula>FALSE</formula>
    </cfRule>
  </conditionalFormatting>
  <conditionalFormatting sqref="D19:G19">
    <cfRule type="cellIs" dxfId="1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6" priority="20"/>
  </conditionalFormatting>
  <conditionalFormatting sqref="D17:G17">
    <cfRule type="cellIs" dxfId="15" priority="18" operator="notEqual">
      <formula>"Definition"</formula>
    </cfRule>
  </conditionalFormatting>
  <conditionalFormatting sqref="D60:F67">
    <cfRule type="cellIs" dxfId="1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3" priority="4" operator="notEqual">
      <formula>"Dataset Description"</formula>
    </cfRule>
  </conditionalFormatting>
  <conditionalFormatting sqref="G25:G32 G38:G42 G48:G56">
    <cfRule type="cellIs" dxfId="12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1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Anscombe</vt:lpstr>
      <vt:lpstr>Back</vt:lpstr>
      <vt:lpstr>Anscombe!Compiled_Lists</vt:lpstr>
      <vt:lpstr>Anscombe!Composition</vt:lpstr>
      <vt:lpstr>Anscombe!CompositionTable</vt:lpstr>
      <vt:lpstr>Anscombe!DarkHeader</vt:lpstr>
      <vt:lpstr>Anscombe!Data_Description</vt:lpstr>
      <vt:lpstr>Dataframes</vt:lpstr>
      <vt:lpstr>Overview!Debug</vt:lpstr>
      <vt:lpstr>Overview!DebugToggle</vt:lpstr>
      <vt:lpstr>Anscombe!Definitions</vt:lpstr>
      <vt:lpstr>Anscombe!Description</vt:lpstr>
      <vt:lpstr>Anscombe!Dimensions</vt:lpstr>
      <vt:lpstr>Anscombe!Field_Analysis</vt:lpstr>
      <vt:lpstr>Anscombe!Field_Lists</vt:lpstr>
      <vt:lpstr>Field_Overview</vt:lpstr>
      <vt:lpstr>Anscombe!FieldList1</vt:lpstr>
      <vt:lpstr>Anscombe!FieldList2</vt:lpstr>
      <vt:lpstr>Anscombe!FieldList3</vt:lpstr>
      <vt:lpstr>Anscombe!FieldList4</vt:lpstr>
      <vt:lpstr>Anscombe!FieldList5</vt:lpstr>
      <vt:lpstr>Anscombe!FieldList6</vt:lpstr>
      <vt:lpstr>Anscombe!FieldList7</vt:lpstr>
      <vt:lpstr>Anscombe!FieldList8</vt:lpstr>
      <vt:lpstr>Anscombe!FieldLists</vt:lpstr>
      <vt:lpstr>Anscombe!FieldRange</vt:lpstr>
      <vt:lpstr>Fields</vt:lpstr>
      <vt:lpstr>Anscombe!FormatRange</vt:lpstr>
      <vt:lpstr>Anscombe!Headers</vt:lpstr>
      <vt:lpstr>Anscombe!Headers_Start</vt:lpstr>
      <vt:lpstr>Anscombe!Histogram</vt:lpstr>
      <vt:lpstr>Anscombe!LightHeader</vt:lpstr>
      <vt:lpstr>Anscombe!Name</vt:lpstr>
      <vt:lpstr>Overview!Name</vt:lpstr>
      <vt:lpstr>SinglePlot!Name</vt:lpstr>
      <vt:lpstr>Anscombe!Notes</vt:lpstr>
      <vt:lpstr>Anscombe!Percentiles</vt:lpstr>
      <vt:lpstr>Anscombe!SerializedLists</vt:lpstr>
      <vt:lpstr>SinglePlot!SinglePlot</vt:lpstr>
      <vt:lpstr>Anscombe!Summary_Stats</vt:lpstr>
      <vt:lpstr>Anscombe!Theme</vt:lpstr>
      <vt:lpstr>Overview!Theme</vt:lpstr>
      <vt:lpstr>SinglePlot!Theme</vt:lpstr>
      <vt:lpstr>Anscombe!Toggles</vt:lpstr>
      <vt:lpstr>Anscombe!TopToggle</vt:lpstr>
      <vt:lpstr>Anscombe!Warning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2026-06-24T07:28:26Z</dcterms:modified>
</cp:coreProperties>
</file>