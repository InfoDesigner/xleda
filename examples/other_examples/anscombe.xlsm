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CAAFF46-56CA-42B4-8541-966964F11A9D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Analysis'!$E$7:$G$7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Analysis'!$E$60:$G$60</definedName>
    <definedName name="FieldList2" localSheetId="4">#REF!</definedName>
    <definedName name="FieldList2" localSheetId="3">#REF!</definedName>
    <definedName name="FieldList2">'Field Analysis'!$E$61:$G$61</definedName>
    <definedName name="FieldList3" localSheetId="4">#REF!</definedName>
    <definedName name="FieldList3" localSheetId="3">#REF!</definedName>
    <definedName name="FieldList3">'Field Analysis'!$E$62:$G$62</definedName>
    <definedName name="FieldList4" localSheetId="4">#REF!</definedName>
    <definedName name="FieldList4" localSheetId="3">#REF!</definedName>
    <definedName name="FieldList4">'Field Analysis'!$E$63:$G$63</definedName>
    <definedName name="FieldList5" localSheetId="4">#REF!</definedName>
    <definedName name="FieldList5" localSheetId="3">#REF!</definedName>
    <definedName name="FieldList5">'Field Analysis'!$E$64:$G$64</definedName>
    <definedName name="FieldList6" localSheetId="4">#REF!</definedName>
    <definedName name="FieldList6" localSheetId="3">#REF!</definedName>
    <definedName name="FieldList6">'Field Analysis'!$E$65:$G$65</definedName>
    <definedName name="FieldList7" localSheetId="4">#REF!</definedName>
    <definedName name="FieldList7" localSheetId="3">#REF!</definedName>
    <definedName name="FieldList7">'Field Analysis'!$E$66:$G$66</definedName>
    <definedName name="FieldList8" localSheetId="4">#REF!</definedName>
    <definedName name="FieldList8" localSheetId="3">#REF!</definedName>
    <definedName name="FieldList8">'Field Analysis'!$E$67:$G$67</definedName>
    <definedName name="FieldLists">'Field Analysis'!$D$60:$H$67</definedName>
    <definedName name="FieldRange" localSheetId="4">#REF!</definedName>
    <definedName name="FieldRange" localSheetId="3">#REF!</definedName>
    <definedName name="FieldRange">'Field Analysis'!$E$81:$G$81</definedName>
    <definedName name="FormatRange">'Field Analysis'!$G:$G</definedName>
    <definedName name="Headers">'Field Analysis'!$E$11:$G$11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Analysis'!$E$9:$G$9</definedName>
    <definedName name="Percentiles">'Field Analysis'!$D$48:$D$57</definedName>
    <definedName name="RecordHashes">'Field Analysis'!$J$82:$J$125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Analysis'!$C$11:$F$11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6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C11" i="27"/>
  <c r="C12" i="27"/>
  <c r="C13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<sst xmlns="http://schemas.openxmlformats.org/spreadsheetml/2006/main" count="171" uniqueCount="72">
  <si>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</si>
  <si>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</si>
  <si>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</si>
  <si>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</si>
  <si>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</si>
  <si>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</si>
  <si>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</si>
  <si>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</si>
  <si>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</si>
  <si>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</si>
  <si>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</si>
  <si>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</si>
  <si>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</si>
  <si>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</si>
  <si>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</si>
  <si>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</si>
  <si>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</si>
  <si>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</si>
  <si>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</si>
  <si>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</si>
  <si>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</si>
  <si>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</si>
  <si>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</si>
  <si>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</si>
  <si>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</si>
  <si>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</si>
  <si>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</si>
  <si>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</si>
  <si>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</si>
  <si>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</si>
  <si>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</si>
  <si>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</si>
  <si>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</si>
  <si>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</si>
  <si>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</si>
  <si>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</si>
  <si>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</si>
  <si>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</si>
  <si>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</si>
  <si>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</si>
  <si>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</si>
  <si>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</si>
  <si>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</si>
  <si>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</si>
  <si>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</si>
  <si>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</si>
  <si>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</si>
  <si>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</si>
  <si>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</si>
  <si>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</si>
  <si>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</si>
  <si>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</si>
  <si>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</si>
  <si>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</si>
  <si>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</si>
  <si>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</si>
  <si>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</si>
  <si>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</si>
  <si>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Anscombe</t>
  </si>
  <si>
    <t>1,276 bytes</t>
  </si>
  <si>
    <t>dataset</t>
  </si>
  <si>
    <t>x</t>
  </si>
  <si>
    <t>y</t>
  </si>
  <si>
    <t>index</t>
  </si>
  <si>
    <t>Record Hash</t>
  </si>
  <si>
    <t>str</t>
  </si>
  <si>
    <t>float64</t>
  </si>
  <si>
    <t>I</t>
  </si>
  <si>
    <t>II</t>
  </si>
  <si>
    <t>III</t>
  </si>
  <si>
    <t>IV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</si>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</sst>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6E5B7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9" borderId="0" xfId="0" applyFont="1" applyFill="1"/>
    <xf numFmtId="0" fontId="22" fillId="9" borderId="0" xfId="0" applyFont="1" applyFill="1" applyAlignment="1">
      <alignment horizontal="center" vertical="center"/>
    </xf>
    <xf numFmtId="0" fontId="21" fillId="9" borderId="16" xfId="0" applyFont="1" applyFill="1" applyBorder="1" applyAlignment="1">
      <alignment horizontal="left" vertical="center" indent="1"/>
    </xf>
    <xf numFmtId="0" fontId="21" fillId="9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8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9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8" borderId="0" xfId="7" applyFont="1" applyFill="1" applyAlignment="1">
      <alignment horizontal="center" vertical="center" wrapText="1"/>
    </xf>
    <xf numFmtId="0" fontId="25" fillId="8" borderId="15" xfId="0" applyFont="1" applyFill="1" applyBorder="1" applyAlignment="1">
      <alignment horizontal="center"/>
    </xf>
    <xf numFmtId="0" fontId="25" fillId="8" borderId="2" xfId="0" applyFont="1" applyFill="1" applyBorder="1" applyAlignment="1">
      <alignment horizontal="center"/>
    </xf>
    <xf numFmtId="0" fontId="25" fillId="8" borderId="16" xfId="0" applyFont="1" applyFill="1" applyBorder="1" applyAlignment="1">
      <alignment horizontal="center"/>
    </xf>
    <xf numFmtId="0" fontId="2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8" borderId="0" xfId="0" applyFont="1" applyFill="1" applyAlignment="1">
      <alignment horizontal="center" vertical="center" wrapText="1"/>
    </xf>
    <xf numFmtId="164" fontId="26" fillId="8" borderId="0" xfId="0" applyNumberFormat="1" applyFont="1" applyFill="1" applyAlignment="1">
      <alignment horizontal="center" vertical="center"/>
    </xf>
    <xf numFmtId="164" fontId="27" fillId="10" borderId="0" xfId="0" applyNumberFormat="1" applyFont="1" applyFill="1" applyAlignment="1">
      <alignment horizontal="center" vertical="center" wrapText="1"/>
    </xf>
    <xf numFmtId="10" fontId="26" fillId="8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81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B6E5B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80"/>
      <tableStyleElement type="headerRow" dxfId="79"/>
      <tableStyleElement type="totalRow" dxfId="78"/>
    </tableStyle>
    <tableStyle name="DarkTable" pivot="0" count="2" xr9:uid="{97C242D2-6F6D-4549-9428-17456D609B35}">
      <tableStyleElement type="wholeTable" dxfId="77"/>
      <tableStyleElement type="headerRow" dxfId="76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dataset">
          <a:extLst>
            <a:ext uri="{FF2B5EF4-FFF2-40B4-BE49-F238E27FC236}">
              <a16:creationId xmlns:a16="http://schemas.microsoft.com/office/drawing/2014/main" id="{C88BE069-09AF-B61F-03E9-8D6D1A93C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x">
          <a:extLst>
            <a:ext uri="{FF2B5EF4-FFF2-40B4-BE49-F238E27FC236}">
              <a16:creationId xmlns:a16="http://schemas.microsoft.com/office/drawing/2014/main" id="{7A3B78C5-ECA2-BDDC-84AF-06B26ADD00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x">
          <a:extLst>
            <a:ext uri="{FF2B5EF4-FFF2-40B4-BE49-F238E27FC236}">
              <a16:creationId xmlns:a16="http://schemas.microsoft.com/office/drawing/2014/main" id="{F8DD2550-62F9-1204-4A05-E082C6464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y">
          <a:extLst>
            <a:ext uri="{FF2B5EF4-FFF2-40B4-BE49-F238E27FC236}">
              <a16:creationId xmlns:a16="http://schemas.microsoft.com/office/drawing/2014/main" id="{D820CEF4-2798-013C-000F-5C65249DA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9" name="histogram_y">
          <a:extLst>
            <a:ext uri="{FF2B5EF4-FFF2-40B4-BE49-F238E27FC236}">
              <a16:creationId xmlns:a16="http://schemas.microsoft.com/office/drawing/2014/main" id="{00198422-3356-2E26-32E7-A1BA27B38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3919444447" createdVersion="8" refreshedVersion="8" minRefreshableVersion="3" recordCount="44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ataset" numFmtId="0">
      <sharedItems count="4">
        <s v="I"/>
        <s v="II"/>
        <s v="III"/>
        <s v="IV"/>
      </sharedItems>
    </cacheField>
    <cacheField name="x" numFmtId="0">
      <sharedItems containsSemiMixedTypes="0" containsString="0" containsNumber="1" containsInteger="1" minValue="4" maxValue="19" count="12">
        <n v="10"/>
        <n v="8"/>
        <n v="13"/>
        <n v="9"/>
        <n v="11"/>
        <n v="14"/>
        <n v="6"/>
        <n v="4"/>
        <n v="12"/>
        <n v="7"/>
        <n v="5"/>
        <n v="19"/>
      </sharedItems>
    </cacheField>
    <cacheField name="y" numFmtId="0">
      <sharedItems containsSemiMixedTypes="0" containsString="0" containsNumber="1" minValue="3.1" maxValue="12.74" count="43">
        <n v="8.0399999999999991"/>
        <n v="6.95"/>
        <n v="7.58"/>
        <n v="8.81"/>
        <n v="8.33"/>
        <n v="9.9600000000000009"/>
        <n v="7.24"/>
        <n v="4.26"/>
        <n v="10.84"/>
        <n v="4.82"/>
        <n v="5.68"/>
        <n v="9.14"/>
        <n v="8.14"/>
        <n v="8.74"/>
        <n v="8.77"/>
        <n v="9.26"/>
        <n v="8.1"/>
        <n v="6.13"/>
        <n v="3.1"/>
        <n v="9.1300000000000008"/>
        <n v="7.26"/>
        <n v="4.74"/>
        <n v="7.46"/>
        <n v="6.77"/>
        <n v="12.74"/>
        <n v="7.11"/>
        <n v="7.81"/>
        <n v="8.84"/>
        <n v="6.08"/>
        <n v="5.39"/>
        <n v="8.15"/>
        <n v="6.42"/>
        <n v="5.73"/>
        <n v="6.58"/>
        <n v="5.76"/>
        <n v="7.71"/>
        <n v="8.4700000000000006"/>
        <n v="7.04"/>
        <n v="5.25"/>
        <n v="12.5"/>
        <n v="5.56"/>
        <n v="7.91"/>
        <n v="6.89"/>
      </sharedItems>
    </cacheField>
    <cacheField name="index" numFmtId="0">
      <sharedItems containsSemiMixedTypes="0" containsString="0" containsNumber="1" containsInteger="1" minValue="0" maxValue="4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5531757921356141E+17" maxValue="1.8290918260543154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b v="0"/>
    <x v="0"/>
    <x v="0"/>
    <x v="0"/>
    <n v="0"/>
    <n v="0"/>
    <n v="8.2900397977865564E+18"/>
  </r>
  <r>
    <b v="0"/>
    <x v="0"/>
    <x v="1"/>
    <x v="1"/>
    <n v="1"/>
    <n v="0"/>
    <n v="7.746183454097559E+17"/>
  </r>
  <r>
    <b v="0"/>
    <x v="0"/>
    <x v="2"/>
    <x v="2"/>
    <n v="2"/>
    <n v="0"/>
    <n v="7.7304847401086556E+18"/>
  </r>
  <r>
    <b v="0"/>
    <x v="0"/>
    <x v="3"/>
    <x v="3"/>
    <n v="3"/>
    <n v="0"/>
    <n v="1.6450170027552784E+19"/>
  </r>
  <r>
    <b v="0"/>
    <x v="0"/>
    <x v="4"/>
    <x v="4"/>
    <n v="4"/>
    <n v="0"/>
    <n v="1.9576391762710935E+18"/>
  </r>
  <r>
    <b v="0"/>
    <x v="0"/>
    <x v="5"/>
    <x v="5"/>
    <n v="5"/>
    <n v="0"/>
    <n v="1.4813912060619E+19"/>
  </r>
  <r>
    <b v="0"/>
    <x v="0"/>
    <x v="6"/>
    <x v="6"/>
    <n v="6"/>
    <n v="0"/>
    <n v="4.5531757921356141E+17"/>
  </r>
  <r>
    <b v="0"/>
    <x v="0"/>
    <x v="7"/>
    <x v="7"/>
    <n v="7"/>
    <n v="0"/>
    <n v="4.2687004823131064E+18"/>
  </r>
  <r>
    <b v="0"/>
    <x v="0"/>
    <x v="8"/>
    <x v="8"/>
    <n v="8"/>
    <n v="0"/>
    <n v="1.0824355179871961E+19"/>
  </r>
  <r>
    <b v="0"/>
    <x v="0"/>
    <x v="9"/>
    <x v="9"/>
    <n v="9"/>
    <n v="0"/>
    <n v="1.6541709756342252E+19"/>
  </r>
  <r>
    <b v="0"/>
    <x v="0"/>
    <x v="10"/>
    <x v="10"/>
    <n v="10"/>
    <n v="0"/>
    <n v="1.2465426303620512E+19"/>
  </r>
  <r>
    <b v="0"/>
    <x v="1"/>
    <x v="0"/>
    <x v="11"/>
    <n v="11"/>
    <n v="0"/>
    <n v="1.2615110453480454E+19"/>
  </r>
  <r>
    <b v="0"/>
    <x v="1"/>
    <x v="1"/>
    <x v="12"/>
    <n v="12"/>
    <n v="0"/>
    <n v="1.7574382863757523E+19"/>
  </r>
  <r>
    <b v="0"/>
    <x v="1"/>
    <x v="2"/>
    <x v="13"/>
    <n v="13"/>
    <n v="0"/>
    <n v="1.2831300063501724E+19"/>
  </r>
  <r>
    <b v="0"/>
    <x v="1"/>
    <x v="3"/>
    <x v="14"/>
    <n v="14"/>
    <n v="0"/>
    <n v="1.7540277894604515E+19"/>
  </r>
  <r>
    <b v="0"/>
    <x v="1"/>
    <x v="4"/>
    <x v="15"/>
    <n v="15"/>
    <n v="0"/>
    <n v="7.5235392342167153E+18"/>
  </r>
  <r>
    <b v="0"/>
    <x v="1"/>
    <x v="5"/>
    <x v="16"/>
    <n v="16"/>
    <n v="0"/>
    <n v="1.3486858689431015E+19"/>
  </r>
  <r>
    <b v="0"/>
    <x v="1"/>
    <x v="6"/>
    <x v="17"/>
    <n v="17"/>
    <n v="0"/>
    <n v="1.8290918260543154E+19"/>
  </r>
  <r>
    <b v="0"/>
    <x v="1"/>
    <x v="7"/>
    <x v="18"/>
    <n v="18"/>
    <n v="0"/>
    <n v="3.0271482890587628E+18"/>
  </r>
  <r>
    <b v="0"/>
    <x v="1"/>
    <x v="8"/>
    <x v="19"/>
    <n v="19"/>
    <n v="0"/>
    <n v="1.3323868367707693E+19"/>
  </r>
  <r>
    <b v="0"/>
    <x v="1"/>
    <x v="9"/>
    <x v="20"/>
    <n v="20"/>
    <n v="0"/>
    <n v="3.5680720266868065E+18"/>
  </r>
  <r>
    <b v="0"/>
    <x v="1"/>
    <x v="10"/>
    <x v="21"/>
    <n v="21"/>
    <n v="0"/>
    <n v="2.3914005557568937E+18"/>
  </r>
  <r>
    <b v="0"/>
    <x v="2"/>
    <x v="0"/>
    <x v="22"/>
    <n v="22"/>
    <n v="0"/>
    <n v="1.7082740423865072E+19"/>
  </r>
  <r>
    <b v="0"/>
    <x v="2"/>
    <x v="1"/>
    <x v="23"/>
    <n v="23"/>
    <n v="0"/>
    <n v="4.9085920842948086E+18"/>
  </r>
  <r>
    <b v="0"/>
    <x v="2"/>
    <x v="2"/>
    <x v="24"/>
    <n v="24"/>
    <n v="0"/>
    <n v="1.770008728388957E+19"/>
  </r>
  <r>
    <b v="0"/>
    <x v="2"/>
    <x v="3"/>
    <x v="25"/>
    <n v="25"/>
    <n v="0"/>
    <n v="1.9372436006079421E+18"/>
  </r>
  <r>
    <b v="0"/>
    <x v="2"/>
    <x v="4"/>
    <x v="26"/>
    <n v="26"/>
    <n v="0"/>
    <n v="1.3529379415465892E+19"/>
  </r>
  <r>
    <b v="0"/>
    <x v="2"/>
    <x v="5"/>
    <x v="27"/>
    <n v="27"/>
    <n v="0"/>
    <n v="1.1161663523386765E+19"/>
  </r>
  <r>
    <b v="0"/>
    <x v="2"/>
    <x v="6"/>
    <x v="28"/>
    <n v="28"/>
    <n v="0"/>
    <n v="1.7455212853858664E+19"/>
  </r>
  <r>
    <b v="0"/>
    <x v="2"/>
    <x v="7"/>
    <x v="29"/>
    <n v="29"/>
    <n v="0"/>
    <n v="7.4044780924903977E+18"/>
  </r>
  <r>
    <b v="0"/>
    <x v="2"/>
    <x v="8"/>
    <x v="30"/>
    <n v="30"/>
    <n v="0"/>
    <n v="4.8691511575164723E+18"/>
  </r>
  <r>
    <b v="0"/>
    <x v="2"/>
    <x v="9"/>
    <x v="31"/>
    <n v="31"/>
    <n v="0"/>
    <n v="1.5520966538863829E+19"/>
  </r>
  <r>
    <b v="0"/>
    <x v="2"/>
    <x v="10"/>
    <x v="32"/>
    <n v="32"/>
    <n v="0"/>
    <n v="1.6956987607096488E+19"/>
  </r>
  <r>
    <b v="0"/>
    <x v="3"/>
    <x v="1"/>
    <x v="33"/>
    <n v="33"/>
    <n v="0"/>
    <n v="8.2794725629868687E+18"/>
  </r>
  <r>
    <b v="0"/>
    <x v="3"/>
    <x v="1"/>
    <x v="34"/>
    <n v="34"/>
    <n v="0"/>
    <n v="1.3292156592662393E+19"/>
  </r>
  <r>
    <b v="0"/>
    <x v="3"/>
    <x v="1"/>
    <x v="35"/>
    <n v="35"/>
    <n v="0"/>
    <n v="1.1803802399366158E+19"/>
  </r>
  <r>
    <b v="0"/>
    <x v="3"/>
    <x v="1"/>
    <x v="27"/>
    <n v="36"/>
    <n v="0"/>
    <n v="7.3049915945927967E+18"/>
  </r>
  <r>
    <b v="0"/>
    <x v="3"/>
    <x v="1"/>
    <x v="36"/>
    <n v="37"/>
    <n v="0"/>
    <n v="1.4983167448133067E+19"/>
  </r>
  <r>
    <b v="0"/>
    <x v="3"/>
    <x v="1"/>
    <x v="37"/>
    <n v="38"/>
    <n v="0"/>
    <n v="3.5115920427908675E+18"/>
  </r>
  <r>
    <b v="0"/>
    <x v="3"/>
    <x v="1"/>
    <x v="38"/>
    <n v="39"/>
    <n v="0"/>
    <n v="1.4505337100355502E+18"/>
  </r>
  <r>
    <b v="0"/>
    <x v="3"/>
    <x v="11"/>
    <x v="39"/>
    <n v="40"/>
    <n v="0"/>
    <n v="2.4440120055156204E+18"/>
  </r>
  <r>
    <b v="0"/>
    <x v="3"/>
    <x v="1"/>
    <x v="40"/>
    <n v="41"/>
    <n v="0"/>
    <n v="1.7387600761294412E+19"/>
  </r>
  <r>
    <b v="0"/>
    <x v="3"/>
    <x v="1"/>
    <x v="41"/>
    <n v="42"/>
    <n v="0"/>
    <n v="1.1044583522839329E+19"/>
  </r>
  <r>
    <b v="0"/>
    <x v="3"/>
    <x v="1"/>
    <x v="42"/>
    <n v="43"/>
    <n v="0"/>
    <n v="3.1669598736807434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H13" firstHeaderRow="0" firstDataRow="1" firstDataCol="3"/>
  <pivotFields count="7">
    <pivotField compact="0" outline="0" showAll="0"/>
    <pivotField axis="axisRow" compact="0" outline="0" showAll="0" defaultSubtotal="0">
      <items count="4">
        <item sd="0" x="0"/>
        <item sd="0" x="1"/>
        <item sd="0" x="2"/>
        <item sd="0" x="3"/>
      </items>
    </pivotField>
    <pivotField axis="axisRow" compact="0" outline="0" showAll="0" defaultSubtotal="0">
      <items count="12">
        <item sd="0" x="7"/>
        <item sd="0" x="10"/>
        <item sd="0" x="6"/>
        <item sd="0" x="9"/>
        <item sd="0" x="1"/>
        <item sd="0" x="3"/>
        <item sd="0" x="0"/>
        <item sd="0" x="4"/>
        <item sd="0" x="8"/>
        <item sd="0" x="2"/>
        <item sd="0" x="5"/>
        <item sd="0" x="11"/>
      </items>
    </pivotField>
    <pivotField axis="axisRow" compact="0" outline="0" showAll="0" defaultSubtotal="0">
      <items count="43">
        <item x="18"/>
        <item x="7"/>
        <item x="21"/>
        <item x="9"/>
        <item x="38"/>
        <item x="29"/>
        <item x="40"/>
        <item x="10"/>
        <item x="32"/>
        <item x="34"/>
        <item x="28"/>
        <item x="17"/>
        <item x="31"/>
        <item x="33"/>
        <item x="23"/>
        <item x="42"/>
        <item x="1"/>
        <item x="37"/>
        <item x="25"/>
        <item x="6"/>
        <item x="20"/>
        <item x="22"/>
        <item x="2"/>
        <item x="35"/>
        <item x="26"/>
        <item x="41"/>
        <item x="0"/>
        <item x="16"/>
        <item x="12"/>
        <item x="30"/>
        <item x="4"/>
        <item x="36"/>
        <item x="13"/>
        <item x="14"/>
        <item x="3"/>
        <item x="27"/>
        <item x="19"/>
        <item x="11"/>
        <item x="15"/>
        <item x="5"/>
        <item x="8"/>
        <item x="39"/>
        <item x="24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31">
    <format dxfId="42">
      <pivotArea type="all" dataOnly="0" outline="0" fieldPosition="0"/>
    </format>
    <format dxfId="41">
      <pivotArea outline="0" collapsedLevelsAreSubtotals="1" fieldPosition="0"/>
    </format>
    <format dxfId="40">
      <pivotArea dataOnly="0" labelOnly="1" grandRow="1" outline="0" fieldPosition="0"/>
    </format>
    <format dxfId="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8">
      <pivotArea type="all" dataOnly="0" outline="0" fieldPosition="0"/>
    </format>
    <format dxfId="37">
      <pivotArea dataOnly="0" outline="0" fieldPosition="0">
        <references count="1">
          <reference field="4294967294" count="1">
            <x v="0"/>
          </reference>
        </references>
      </pivotArea>
    </format>
    <format dxfId="36">
      <pivotArea outline="0" fieldPosition="0">
        <references count="1">
          <reference field="4294967294" count="1">
            <x v="0"/>
          </reference>
        </references>
      </pivotArea>
    </format>
    <format dxfId="35">
      <pivotArea outline="0" fieldPosition="0">
        <references count="1">
          <reference field="4294967294" count="1">
            <x v="1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outline="0" fieldPosition="0">
        <references count="1">
          <reference field="4294967294" count="1" selected="0">
            <x v="1"/>
          </reference>
        </references>
      </pivotArea>
    </format>
    <format dxfId="30">
      <pivotArea dataOnly="0" outline="0" fieldPosition="0">
        <references count="1">
          <reference field="4294967294" count="1">
            <x v="1"/>
          </reference>
        </references>
      </pivotArea>
    </format>
    <format dxfId="29">
      <pivotArea type="all" dataOnly="0" outline="0" fieldPosition="0"/>
    </format>
    <format dxfId="28">
      <pivotArea type="all" dataOnly="0" outline="0" fieldPosition="0"/>
    </format>
    <format dxfId="27">
      <pivotArea outline="0" fieldPosition="0">
        <references count="1">
          <reference field="4294967294" count="1"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1" type="button" dataOnly="0" labelOnly="1" outline="0" axis="axisRow" fieldPosition="0"/>
    </format>
    <format dxfId="12">
      <pivotArea field="2" type="button" dataOnly="0" labelOnly="1" outline="0" axis="axisRow" fieldPosition="1"/>
    </format>
    <format dxfId="11">
      <pivotArea field="3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1" type="button" dataOnly="0" labelOnly="1" outline="0" axis="axisRow" fieldPosition="0"/>
    </format>
    <format dxfId="8">
      <pivotArea dataOnly="0" labelOnly="1" outline="0" fieldPosition="0">
        <references count="1">
          <reference field="1" count="1">
            <x v="0"/>
          </reference>
        </references>
      </pivotArea>
    </format>
    <format dxfId="7">
      <pivotArea dataOnly="0" labelOnly="1" outline="0" fieldPosition="0">
        <references count="1">
          <reference field="1" count="1">
            <x v="1"/>
          </reference>
        </references>
      </pivotArea>
    </format>
    <format dxfId="6">
      <pivotArea dataOnly="0" labelOnly="1" outline="0" fieldPosition="0">
        <references count="1">
          <reference field="1" count="1">
            <x v="2"/>
          </reference>
        </references>
      </pivotArea>
    </format>
    <format dxfId="5">
      <pivotArea dataOnly="0" labelOnly="1" outline="0" fieldPosition="0">
        <references count="1">
          <reference field="1" count="1">
            <x v="3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3" totalsRowShown="0" headerRowDxfId="25" dataDxfId="74" headerRowBorderDxfId="75">
  <autoFilter ref="B10:AA13" xr:uid="{034D1C74-BE18-490E-B396-097D407DA97D}"/>
  <tableColumns count="26">
    <tableColumn id="1" xr3:uid="{010A8E62-502A-4B19-B37A-BF59E03A068A}" name="Field" dataDxfId="73"/>
    <tableColumn id="2" xr3:uid="{AD236665-EC7C-404F-8915-AD7CD5510D0F}" name="Definition" dataDxfId="24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23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72"/>
    <tableColumn id="5" xr3:uid="{5006D683-9D12-4B97-9EF2-6D41AF6E0B35}" name="Distinct %" dataDxfId="71"/>
    <tableColumn id="6" xr3:uid="{3AFB42F8-9976-44FF-9239-74914D5BE035}" name="Missing %" dataDxfId="70"/>
    <tableColumn id="7" xr3:uid="{4BA41102-DB06-4180-9754-C88722FE82BD}" name="Memory Usage %" dataDxfId="69"/>
    <tableColumn id="8" xr3:uid="{D22319BD-3A80-40F3-84FC-A6D1627B2F29}" name="Memory Usage" dataDxfId="68"/>
    <tableColumn id="9" xr3:uid="{77FAEE19-B6C7-4056-8EF3-5EB877C820C4}" name="Distinct" dataDxfId="67"/>
    <tableColumn id="10" xr3:uid="{54FF47BF-594E-417B-9028-64A4DFE4D389}" name="Count" dataDxfId="66"/>
    <tableColumn id="11" xr3:uid="{54E587FE-36DC-4522-91DC-8B81B386217B}" name="Count %" dataDxfId="65"/>
    <tableColumn id="12" xr3:uid="{0DE21D83-93B1-480C-BE9C-379DA0E532C7}" name="Missing" dataDxfId="64"/>
    <tableColumn id="13" xr3:uid="{C4B407B9-B7FB-4DFC-A6B3-885C816BAF99}" name="Mean" dataDxfId="63"/>
    <tableColumn id="14" xr3:uid="{9796FD8E-D568-43E1-AC6E-BFAE7C7B7017}" name="Median" dataDxfId="62"/>
    <tableColumn id="15" xr3:uid="{A6A7BCED-DD2F-4B41-A84C-2F2674A38A53}" name="Mode" dataDxfId="61"/>
    <tableColumn id="16" xr3:uid="{46607FA5-244C-49C2-997C-B64EB2E94FDE}" name="Standard Deviation" dataDxfId="60"/>
    <tableColumn id="17" xr3:uid="{80BA1782-4C46-45CE-B3FB-40B70BA09AF9}" name="Variance" dataDxfId="59"/>
    <tableColumn id="18" xr3:uid="{EC3C5A76-EF95-419C-87A8-D8885B542521}" name="Min" dataDxfId="58"/>
    <tableColumn id="19" xr3:uid="{BFE545F8-810C-4F0A-A0B2-FF0AB9764A07}" name="5%" dataDxfId="57"/>
    <tableColumn id="20" xr3:uid="{77D31A9B-57B1-4422-8EF9-6320F00E0DB9}" name="25%" dataDxfId="56"/>
    <tableColumn id="21" xr3:uid="{7A350787-F0EA-4E65-B596-5D7253E75CD6}" name="50%" dataDxfId="55"/>
    <tableColumn id="22" xr3:uid="{FB4C260E-A19F-4908-9DBF-DB4AC630982A}" name="75%" dataDxfId="54"/>
    <tableColumn id="23" xr3:uid="{FBECC9F1-5BC8-4774-9475-EB2D6D28F1E2}" name="95%" dataDxfId="53"/>
    <tableColumn id="24" xr3:uid="{839CD532-ED80-4544-A8C8-E9E036764A84}" name="Max" dataDxfId="52"/>
    <tableColumn id="25" xr3:uid="{9DDA1FD6-82B1-4FBE-8BBD-B40C331930D2}" name="Range" dataDxfId="51"/>
    <tableColumn id="26" xr3:uid="{902A027A-FD65-44D4-B3D0-5B3883ACFA39}" name="IQR" dataDxfId="50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J125" totalsRowShown="0" headerRowDxfId="21" dataDxfId="20" headerRowCellStyle="DarkHeader" dataCellStyle="Normal">
  <autoFilter ref="D81:J125" xr:uid="{DB1D1E60-5E37-456A-AD85-0649D531840E}"/>
  <tableColumns count="7">
    <tableColumn id="1" xr3:uid="{57EDF41E-F06D-4819-BADE-3D62DE46F06C}" name="Record List" dataDxfId="18" dataCellStyle="Normal"/>
    <tableColumn id="2" xr3:uid="{CF70C9CE-83FE-40FA-8089-C68B39CF665A}" name="dataset" dataDxfId="19" dataCellStyle="Normal"/>
    <tableColumn id="3" xr3:uid="{B8654690-502A-4FAF-9205-0118DABCB954}" name="x" dataDxfId="22" dataCellStyle="Normal"/>
    <tableColumn id="4" xr3:uid="{5A5BA001-2F93-4E62-880C-C4E8BDB17EEB}" name="y" dataDxfId="17" dataCellStyle="Normal"/>
    <tableColumn id="5" xr3:uid="{14D08D57-D7ED-4E2F-8B4B-82EABE2C20F0}" name="index" dataDxfId="16" dataCellStyle="Normal"/>
    <tableColumn id="6" xr3:uid="{1A3C7334-DF9A-4696-BF55-193EEFB95FFC}" name="HasBlank" dataDxfId="15" dataCellStyle="Normal"/>
    <tableColumn id="7" xr3:uid="{AFE8E626-E0A0-4DA0-9416-A905AD45F566}" name="Record Hash" dataDxfId="1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3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Anscombe</v>
      </c>
      <c r="AA2" s="7"/>
    </row>
    <row r="3" spans="2:27" ht="10.050000000000001" customHeight="1">
      <c r="B3" s="41"/>
      <c r="AA3" s="8"/>
    </row>
    <row r="4" spans="2:27" ht="15" customHeight="1">
      <c r="B4" s="40" t="s">
        <v>8</v>
      </c>
      <c r="C4" s="37">
        <v>44</v>
      </c>
      <c r="AA4" s="9"/>
    </row>
    <row r="5" spans="2:27" ht="15" customHeight="1">
      <c r="B5" s="39" t="s">
        <v>55</v>
      </c>
      <c r="C5" s="38">
        <v>3</v>
      </c>
      <c r="AA5" s="4"/>
    </row>
    <row r="6" spans="2:27" ht="15" customHeight="1">
      <c r="B6" s="39" t="s">
        <v>14</v>
      </c>
      <c r="C6" s="38" t="s">
        <v>59</v>
      </c>
      <c r="AA6" s="4"/>
    </row>
    <row r="7" spans="2:27" ht="15" customHeight="1">
      <c r="B7" s="39" t="s">
        <v>56</v>
      </c>
      <c r="C7" s="71">
        <v>1</v>
      </c>
      <c r="D7" s="4"/>
    </row>
    <row r="8" spans="2:27" ht="15" customHeight="1">
      <c r="B8" s="42" t="s">
        <v>57</v>
      </c>
      <c r="C8" s="72">
        <v>0</v>
      </c>
      <c r="D8" s="6"/>
    </row>
    <row r="9" spans="2:27" ht="24" customHeight="1"/>
    <row r="10" spans="2:27" ht="40.049999999999997" customHeight="1">
      <c r="B10" s="80" t="s">
        <v>41</v>
      </c>
      <c r="C10" s="80" t="s">
        <v>42</v>
      </c>
      <c r="D10" s="80" t="s">
        <v>2</v>
      </c>
      <c r="E10" s="81" t="s">
        <v>10</v>
      </c>
      <c r="F10" s="81" t="s">
        <v>11</v>
      </c>
      <c r="G10" s="81" t="s">
        <v>12</v>
      </c>
      <c r="H10" s="81" t="s">
        <v>13</v>
      </c>
      <c r="I10" s="81" t="s">
        <v>14</v>
      </c>
      <c r="J10" s="81" t="s">
        <v>15</v>
      </c>
      <c r="K10" s="81" t="s">
        <v>16</v>
      </c>
      <c r="L10" s="81" t="s">
        <v>43</v>
      </c>
      <c r="M10" s="81" t="s">
        <v>17</v>
      </c>
      <c r="N10" s="81" t="s">
        <v>19</v>
      </c>
      <c r="O10" s="81" t="s">
        <v>20</v>
      </c>
      <c r="P10" s="81" t="s">
        <v>21</v>
      </c>
      <c r="Q10" s="81" t="s">
        <v>22</v>
      </c>
      <c r="R10" s="81" t="s">
        <v>23</v>
      </c>
      <c r="S10" s="81" t="s">
        <v>25</v>
      </c>
      <c r="T10" s="90" t="s">
        <v>44</v>
      </c>
      <c r="U10" s="90" t="s">
        <v>45</v>
      </c>
      <c r="V10" s="90" t="s">
        <v>46</v>
      </c>
      <c r="W10" s="90" t="s">
        <v>47</v>
      </c>
      <c r="X10" s="90" t="s">
        <v>48</v>
      </c>
      <c r="Y10" s="81" t="s">
        <v>26</v>
      </c>
      <c r="Z10" s="81" t="s">
        <v>27</v>
      </c>
      <c r="AA10" s="81" t="s">
        <v>28</v>
      </c>
    </row>
    <row r="11" spans="2:27" ht="15" customHeight="1">
      <c r="B11" s="65" t="s">
        <v>60</v>
      </c>
      <c r="C11" s="74" t="str">
        <f>IF(INDEX(Definitions,1,MATCH(tbl_Overview[[#This Row],[Field]],Headers,0))="Definition","",INDEX(Definitions,1,MATCH(tbl_Overview[[#This Row],[Field]],Headers,0)))</f>
        <v/>
      </c>
      <c r="D11" s="74" t="str">
        <f>IF(INDEX(Notes,1,MATCH(tbl_Overview[[#This Row],[Field]],Headers,0))="Note","",INDEX(Notes,1,MATCH(tbl_Overview[[#This Row],[Field]],Headers,0)))</f>
        <v/>
      </c>
      <c r="E11" s="66" t="s">
        <v>65</v>
      </c>
      <c r="F11" s="70">
        <v>9.0909090909090898E-2</v>
      </c>
      <c r="G11" s="70">
        <v>0</v>
      </c>
      <c r="H11" s="70">
        <v>0.29693741677762903</v>
      </c>
      <c r="I11" s="67">
        <v>446</v>
      </c>
      <c r="J11" s="67">
        <v>4</v>
      </c>
      <c r="K11" s="67">
        <v>44</v>
      </c>
      <c r="L11" s="68">
        <v>1</v>
      </c>
      <c r="M11" s="67">
        <v>0</v>
      </c>
      <c r="N11" s="69"/>
      <c r="O11" s="69"/>
      <c r="P11" s="69" t="s">
        <v>67</v>
      </c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</row>
    <row r="12" spans="2:27" ht="15" customHeight="1">
      <c r="B12" s="65" t="s">
        <v>61</v>
      </c>
      <c r="C12" s="74" t="str">
        <f>IF(INDEX(Definitions,1,MATCH(tbl_Overview[[#This Row],[Field]],Headers,0))="Definition","",INDEX(Definitions,1,MATCH(tbl_Overview[[#This Row],[Field]],Headers,0)))</f>
        <v/>
      </c>
      <c r="D12" s="74" t="str">
        <f>IF(INDEX(Notes,1,MATCH(tbl_Overview[[#This Row],[Field]],Headers,0))="Note","",INDEX(Notes,1,MATCH(tbl_Overview[[#This Row],[Field]],Headers,0)))</f>
        <v/>
      </c>
      <c r="E12" s="66" t="s">
        <v>66</v>
      </c>
      <c r="F12" s="82">
        <v>0.27272727272727199</v>
      </c>
      <c r="G12" s="82">
        <v>0</v>
      </c>
      <c r="H12" s="82">
        <v>0.234354194407456</v>
      </c>
      <c r="I12" s="67">
        <v>352</v>
      </c>
      <c r="J12" s="67">
        <v>12</v>
      </c>
      <c r="K12" s="67">
        <v>44</v>
      </c>
      <c r="L12" s="68">
        <v>1</v>
      </c>
      <c r="M12" s="67">
        <v>0</v>
      </c>
      <c r="N12" s="69">
        <v>9</v>
      </c>
      <c r="O12" s="69">
        <v>8</v>
      </c>
      <c r="P12" s="69">
        <v>8</v>
      </c>
      <c r="Q12" s="69">
        <v>3.1988369979626698</v>
      </c>
      <c r="R12" s="69">
        <v>10.232558139534801</v>
      </c>
      <c r="S12" s="69">
        <v>4</v>
      </c>
      <c r="T12" s="69">
        <v>4.1500000000000004</v>
      </c>
      <c r="U12" s="69">
        <v>7</v>
      </c>
      <c r="V12" s="69">
        <v>8</v>
      </c>
      <c r="W12" s="69">
        <v>11</v>
      </c>
      <c r="X12" s="69">
        <v>14</v>
      </c>
      <c r="Y12" s="69">
        <v>19</v>
      </c>
      <c r="Z12" s="69">
        <v>15</v>
      </c>
      <c r="AA12" s="69">
        <v>4</v>
      </c>
    </row>
    <row r="13" spans="2:27" ht="15" customHeight="1">
      <c r="B13" s="83" t="s">
        <v>62</v>
      </c>
      <c r="C13" s="84" t="str">
        <f>IF(INDEX(Definitions,1,MATCH(tbl_Overview[[#This Row],[Field]],Headers,0))="Definition","",INDEX(Definitions,1,MATCH(tbl_Overview[[#This Row],[Field]],Headers,0)))</f>
        <v/>
      </c>
      <c r="D13" s="84" t="str">
        <f>IF(INDEX(Notes,1,MATCH(tbl_Overview[[#This Row],[Field]],Headers,0))="Note","",INDEX(Notes,1,MATCH(tbl_Overview[[#This Row],[Field]],Headers,0)))</f>
        <v/>
      </c>
      <c r="E13" s="85" t="s">
        <v>66</v>
      </c>
      <c r="F13" s="86">
        <v>0.97727272727272696</v>
      </c>
      <c r="G13" s="86">
        <v>0</v>
      </c>
      <c r="H13" s="86">
        <v>0.234354194407456</v>
      </c>
      <c r="I13" s="87">
        <v>352</v>
      </c>
      <c r="J13" s="87">
        <v>43</v>
      </c>
      <c r="K13" s="87">
        <v>44</v>
      </c>
      <c r="L13" s="88">
        <v>1</v>
      </c>
      <c r="M13" s="87">
        <v>0</v>
      </c>
      <c r="N13" s="89">
        <v>7.5006818181818096</v>
      </c>
      <c r="O13" s="89">
        <v>7.52</v>
      </c>
      <c r="P13" s="89">
        <v>8.84</v>
      </c>
      <c r="Q13" s="89">
        <v>1.9589251890784101</v>
      </c>
      <c r="R13" s="89">
        <v>3.83738789640591</v>
      </c>
      <c r="S13" s="89">
        <v>3.1</v>
      </c>
      <c r="T13" s="89">
        <v>4.7519999999999998</v>
      </c>
      <c r="U13" s="89">
        <v>6.1174999999999997</v>
      </c>
      <c r="V13" s="89">
        <v>7.52</v>
      </c>
      <c r="W13" s="89">
        <v>8.7475000000000005</v>
      </c>
      <c r="X13" s="89">
        <v>10.708</v>
      </c>
      <c r="Y13" s="89">
        <v>12.74</v>
      </c>
      <c r="Z13" s="89">
        <v>9.64</v>
      </c>
      <c r="AA13" s="89">
        <v>2.63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J125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9" customWidth="1"/>
    <col min="3" max="3" width="2.77734375" customWidth="1"/>
    <col min="4" max="4" width="25.77734375" customWidth="1"/>
    <col min="5" max="7" width="27.77734375" customWidth="1"/>
    <col min="8" max="8" width="15.77734375" customWidth="1"/>
  </cols>
  <sheetData>
    <row r="1" spans="1:10" ht="19.95" hidden="1" customHeight="1">
      <c r="A1" s="22"/>
      <c r="B1" s="22"/>
      <c r="C1" s="23"/>
      <c r="D1" s="23" t="s">
        <v>0</v>
      </c>
      <c r="E1" s="23"/>
      <c r="F1" s="23"/>
      <c r="G1" s="23"/>
    </row>
    <row r="2" spans="1:10" ht="10.050000000000001" customHeight="1"/>
    <row r="3" spans="1:10" ht="36.6">
      <c r="B3" s="1" t="s">
        <v>1</v>
      </c>
      <c r="C3" s="31" t="s">
        <v>58</v>
      </c>
      <c r="D3" s="31"/>
    </row>
    <row r="4" spans="1:10" ht="10.050000000000001" customHeight="1"/>
    <row r="5" spans="1:10" ht="14.4">
      <c r="B5" s="32"/>
      <c r="C5" s="76" t="s">
        <v>1</v>
      </c>
      <c r="D5" s="2" t="s">
        <v>2</v>
      </c>
    </row>
    <row r="6" spans="1:10" ht="10.050000000000001" customHeight="1">
      <c r="B6" s="32"/>
      <c r="C6" s="32"/>
    </row>
    <row r="7" spans="1:10" ht="34.950000000000003" hidden="1" customHeight="1" outlineLevel="1">
      <c r="B7" s="32"/>
      <c r="C7" s="32"/>
      <c r="D7" s="30" t="s">
        <v>3</v>
      </c>
      <c r="E7" s="43" t="s">
        <v>42</v>
      </c>
      <c r="F7" s="44" t="s">
        <v>42</v>
      </c>
      <c r="G7" s="44" t="s">
        <v>42</v>
      </c>
    </row>
    <row r="8" spans="1:10" ht="10.050000000000001" hidden="1" customHeight="1" outlineLevel="1">
      <c r="B8" s="32"/>
      <c r="C8" s="32"/>
    </row>
    <row r="9" spans="1:10" ht="34.950000000000003" hidden="1" customHeight="1" outlineLevel="1">
      <c r="D9" s="30" t="s">
        <v>4</v>
      </c>
      <c r="E9" s="45" t="s">
        <v>51</v>
      </c>
      <c r="F9" s="46" t="s">
        <v>51</v>
      </c>
      <c r="G9" s="47" t="s">
        <v>51</v>
      </c>
    </row>
    <row r="10" spans="1:10" ht="10.050000000000001" hidden="1" customHeight="1" outlineLevel="1"/>
    <row r="11" spans="1:10" s="35" customFormat="1" ht="30" customHeight="1" collapsed="1">
      <c r="A11"/>
      <c r="B11" s="49"/>
      <c r="C11" s="78"/>
      <c r="D11" s="78" t="s">
        <v>5</v>
      </c>
      <c r="E11" s="79" t="s">
        <v>60</v>
      </c>
      <c r="F11" s="79" t="s">
        <v>61</v>
      </c>
      <c r="G11" s="36" t="s">
        <v>62</v>
      </c>
      <c r="H11" s="35" t="s">
        <v>63</v>
      </c>
      <c r="I11" s="35" t="s">
        <v>40</v>
      </c>
      <c r="J11" s="35" t="s">
        <v>64</v>
      </c>
    </row>
    <row r="12" spans="1:10" ht="10.050000000000001" customHeight="1"/>
    <row r="13" spans="1:10" ht="14.4" outlineLevel="1">
      <c r="B13" s="32"/>
      <c r="C13" s="76" t="s">
        <v>1</v>
      </c>
      <c r="D13" s="33" t="s">
        <v>6</v>
      </c>
    </row>
    <row r="14" spans="1:10" ht="10.050000000000001" customHeight="1" outlineLevel="1">
      <c r="B14" s="32"/>
      <c r="C14" s="32"/>
      <c r="D14" s="32"/>
    </row>
    <row r="15" spans="1:10" ht="34.950000000000003" hidden="1" customHeight="1" outlineLevel="2">
      <c r="B15" s="32"/>
      <c r="C15" s="32"/>
      <c r="D15" s="73"/>
      <c r="E15" s="77" t="s">
        <v>7</v>
      </c>
      <c r="F15" s="77"/>
      <c r="G15" s="41"/>
    </row>
    <row r="16" spans="1:10" ht="14.4" hidden="1" outlineLevel="2">
      <c r="B16" s="32"/>
      <c r="C16" s="32"/>
      <c r="D16" s="32"/>
    </row>
    <row r="17" spans="2:7" ht="15" hidden="1" customHeight="1" outlineLevel="2">
      <c r="B17" s="32"/>
      <c r="C17" s="32"/>
      <c r="D17" s="34" t="s">
        <v>8</v>
      </c>
      <c r="E17" s="37">
        <v>44</v>
      </c>
    </row>
    <row r="18" spans="2:7" ht="15" hidden="1" customHeight="1" outlineLevel="2">
      <c r="B18" s="32"/>
      <c r="C18" s="32"/>
      <c r="D18" s="75" t="s">
        <v>55</v>
      </c>
      <c r="E18" s="38">
        <v>3</v>
      </c>
    </row>
    <row r="19" spans="2:7" s="49" customFormat="1" ht="15" hidden="1" customHeight="1" outlineLevel="2">
      <c r="B19" s="32"/>
      <c r="C19" s="32"/>
      <c r="D19" s="75" t="s">
        <v>14</v>
      </c>
      <c r="E19" s="38" t="s">
        <v>59</v>
      </c>
    </row>
    <row r="20" spans="2:7" s="49" customFormat="1" ht="15" hidden="1" customHeight="1" outlineLevel="2">
      <c r="B20" s="32"/>
      <c r="C20" s="32"/>
      <c r="D20" s="75" t="s">
        <v>56</v>
      </c>
      <c r="E20" s="71">
        <v>1</v>
      </c>
    </row>
    <row r="21" spans="2:7" s="49" customFormat="1" ht="15" hidden="1" customHeight="1" outlineLevel="2">
      <c r="D21" s="3" t="s">
        <v>57</v>
      </c>
      <c r="E21" s="72">
        <v>0</v>
      </c>
    </row>
    <row r="22" spans="2:7" ht="10.050000000000001" hidden="1" customHeight="1" outlineLevel="2"/>
    <row r="23" spans="2:7" ht="14.4" outlineLevel="1" collapsed="1">
      <c r="B23" s="32"/>
      <c r="C23" s="76" t="s">
        <v>1</v>
      </c>
      <c r="D23" s="2" t="s">
        <v>9</v>
      </c>
    </row>
    <row r="24" spans="2:7" ht="10.050000000000001" customHeight="1" outlineLevel="1">
      <c r="B24" s="32"/>
      <c r="C24" s="32"/>
    </row>
    <row r="25" spans="2:7" ht="15" hidden="1" customHeight="1" outlineLevel="2">
      <c r="B25" s="32"/>
      <c r="C25" s="32"/>
      <c r="D25" s="28" t="s">
        <v>10</v>
      </c>
      <c r="E25" s="18" t="s">
        <v>65</v>
      </c>
      <c r="F25" s="18" t="s">
        <v>66</v>
      </c>
      <c r="G25" s="18" t="s">
        <v>66</v>
      </c>
    </row>
    <row r="26" spans="2:7" ht="15" hidden="1" customHeight="1" outlineLevel="2">
      <c r="B26" s="32"/>
      <c r="C26" s="32"/>
      <c r="D26" s="3" t="s">
        <v>11</v>
      </c>
      <c r="E26" s="19">
        <v>9.0909090909090898E-2</v>
      </c>
      <c r="F26" s="19">
        <v>0.27272727272727199</v>
      </c>
      <c r="G26" s="19">
        <v>0.97727272727272696</v>
      </c>
    </row>
    <row r="27" spans="2:7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</row>
    <row r="28" spans="2:7" ht="15" hidden="1" customHeight="1" outlineLevel="2">
      <c r="B28" s="32"/>
      <c r="C28" s="32"/>
      <c r="D28" s="27" t="s">
        <v>13</v>
      </c>
      <c r="E28" s="19">
        <v>0.29693741677762903</v>
      </c>
      <c r="F28" s="19">
        <v>0.234354194407456</v>
      </c>
      <c r="G28" s="19">
        <v>0.234354194407456</v>
      </c>
    </row>
    <row r="29" spans="2:7" ht="15" hidden="1" customHeight="1" outlineLevel="2">
      <c r="B29" s="32"/>
      <c r="C29" s="32"/>
      <c r="D29" s="27" t="s">
        <v>14</v>
      </c>
      <c r="E29" s="20">
        <v>446</v>
      </c>
      <c r="F29" s="20">
        <v>352</v>
      </c>
      <c r="G29" s="20">
        <v>352</v>
      </c>
    </row>
    <row r="30" spans="2:7" ht="15" hidden="1" customHeight="1" outlineLevel="2">
      <c r="B30" s="32"/>
      <c r="C30" s="32"/>
      <c r="D30" s="27" t="s">
        <v>15</v>
      </c>
      <c r="E30" s="20">
        <v>4</v>
      </c>
      <c r="F30" s="20">
        <v>12</v>
      </c>
      <c r="G30" s="20">
        <v>43</v>
      </c>
    </row>
    <row r="31" spans="2:7" ht="15" hidden="1" customHeight="1" outlineLevel="2">
      <c r="B31" s="32"/>
      <c r="C31" s="32"/>
      <c r="D31" s="28" t="s">
        <v>16</v>
      </c>
      <c r="E31" s="20">
        <v>44</v>
      </c>
      <c r="F31" s="20">
        <v>44</v>
      </c>
      <c r="G31" s="20">
        <v>44</v>
      </c>
    </row>
    <row r="32" spans="2:7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</row>
    <row r="33" spans="2:7" ht="10.050000000000001" hidden="1" customHeight="1" outlineLevel="2">
      <c r="B33" s="32"/>
      <c r="C33" s="32"/>
    </row>
    <row r="34" spans="2:7" ht="150" hidden="1" customHeight="1" outlineLevel="2"/>
    <row r="35" spans="2:7" ht="10.050000000000001" hidden="1" customHeight="1" outlineLevel="2"/>
    <row r="36" spans="2:7" ht="14.4" outlineLevel="1" collapsed="1">
      <c r="B36" s="32"/>
      <c r="C36" s="76" t="s">
        <v>1</v>
      </c>
      <c r="D36" s="2" t="s">
        <v>18</v>
      </c>
    </row>
    <row r="37" spans="2:7" ht="10.050000000000001" customHeight="1" outlineLevel="1">
      <c r="B37" s="32"/>
      <c r="C37" s="32"/>
    </row>
    <row r="38" spans="2:7" ht="15" hidden="1" customHeight="1" outlineLevel="2">
      <c r="B38" s="32"/>
      <c r="C38" s="32"/>
      <c r="D38" s="3" t="s">
        <v>19</v>
      </c>
      <c r="E38" s="21"/>
      <c r="F38" s="21">
        <v>9</v>
      </c>
      <c r="G38" s="21">
        <v>7.5006818181818096</v>
      </c>
    </row>
    <row r="39" spans="2:7" ht="15" hidden="1" customHeight="1" outlineLevel="2">
      <c r="B39" s="32"/>
      <c r="C39" s="32"/>
      <c r="D39" s="27" t="s">
        <v>20</v>
      </c>
      <c r="E39" s="21"/>
      <c r="F39" s="21">
        <v>8</v>
      </c>
      <c r="G39" s="21">
        <v>7.52</v>
      </c>
    </row>
    <row r="40" spans="2:7" ht="15" hidden="1" customHeight="1" outlineLevel="2">
      <c r="B40" s="32"/>
      <c r="C40" s="32"/>
      <c r="D40" s="27" t="s">
        <v>21</v>
      </c>
      <c r="E40" s="21" t="s">
        <v>67</v>
      </c>
      <c r="F40" s="21">
        <v>8</v>
      </c>
      <c r="G40" s="21">
        <v>8.84</v>
      </c>
    </row>
    <row r="41" spans="2:7" ht="15" hidden="1" customHeight="1" outlineLevel="2">
      <c r="B41" s="32"/>
      <c r="C41" s="32"/>
      <c r="D41" s="3" t="s">
        <v>22</v>
      </c>
      <c r="E41" s="21"/>
      <c r="F41" s="21">
        <v>3.1988369979626698</v>
      </c>
      <c r="G41" s="21">
        <v>1.9589251890784101</v>
      </c>
    </row>
    <row r="42" spans="2:7" ht="15" hidden="1" customHeight="1" outlineLevel="2">
      <c r="B42" s="32"/>
      <c r="C42" s="32"/>
      <c r="D42" s="29" t="s">
        <v>23</v>
      </c>
      <c r="E42" s="21"/>
      <c r="F42" s="21">
        <v>10.232558139534801</v>
      </c>
      <c r="G42" s="21">
        <v>3.83738789640591</v>
      </c>
    </row>
    <row r="43" spans="2:7" ht="10.050000000000001" hidden="1" customHeight="1" outlineLevel="2">
      <c r="B43" s="32"/>
      <c r="C43" s="32"/>
    </row>
    <row r="44" spans="2:7" ht="150" hidden="1" customHeight="1" outlineLevel="2"/>
    <row r="45" spans="2:7" ht="10.050000000000001" hidden="1" customHeight="1" outlineLevel="2"/>
    <row r="46" spans="2:7" ht="14.4" outlineLevel="1" collapsed="1">
      <c r="B46" s="32"/>
      <c r="C46" s="76" t="s">
        <v>1</v>
      </c>
      <c r="D46" s="2" t="s">
        <v>24</v>
      </c>
    </row>
    <row r="47" spans="2:7" ht="10.050000000000001" customHeight="1" outlineLevel="1">
      <c r="B47" s="32"/>
      <c r="C47" s="32"/>
    </row>
    <row r="48" spans="2:7" ht="15" hidden="1" customHeight="1" outlineLevel="2">
      <c r="B48" s="32"/>
      <c r="C48" s="32"/>
      <c r="D48" s="3" t="s">
        <v>25</v>
      </c>
      <c r="E48" s="21"/>
      <c r="F48" s="21">
        <v>4</v>
      </c>
      <c r="G48" s="21">
        <v>3.1</v>
      </c>
    </row>
    <row r="49" spans="1:7" ht="15" hidden="1" customHeight="1" outlineLevel="2">
      <c r="B49" s="32"/>
      <c r="C49" s="32"/>
      <c r="D49" s="27">
        <v>0.05</v>
      </c>
      <c r="E49" s="21"/>
      <c r="F49" s="21">
        <v>4.1500000000000004</v>
      </c>
      <c r="G49" s="21">
        <v>4.7519999999999998</v>
      </c>
    </row>
    <row r="50" spans="1:7" ht="15" hidden="1" customHeight="1" outlineLevel="2">
      <c r="B50" s="32"/>
      <c r="C50" s="32"/>
      <c r="D50" s="28">
        <v>0.25</v>
      </c>
      <c r="E50" s="21"/>
      <c r="F50" s="21">
        <v>7</v>
      </c>
      <c r="G50" s="21">
        <v>6.1174999999999997</v>
      </c>
    </row>
    <row r="51" spans="1:7" ht="15" hidden="1" customHeight="1" outlineLevel="2">
      <c r="B51" s="32"/>
      <c r="C51" s="32"/>
      <c r="D51" s="3">
        <v>0.5</v>
      </c>
      <c r="E51" s="21"/>
      <c r="F51" s="21">
        <v>8</v>
      </c>
      <c r="G51" s="21">
        <v>7.52</v>
      </c>
    </row>
    <row r="52" spans="1:7" ht="15" hidden="1" customHeight="1" outlineLevel="2">
      <c r="B52" s="32"/>
      <c r="C52" s="32"/>
      <c r="D52" s="27">
        <v>0.75</v>
      </c>
      <c r="E52" s="21"/>
      <c r="F52" s="21">
        <v>11</v>
      </c>
      <c r="G52" s="21">
        <v>8.7475000000000005</v>
      </c>
    </row>
    <row r="53" spans="1:7" ht="15" hidden="1" customHeight="1" outlineLevel="2">
      <c r="B53" s="32"/>
      <c r="C53" s="32"/>
      <c r="D53" s="27">
        <v>0.95</v>
      </c>
      <c r="E53" s="21"/>
      <c r="F53" s="21">
        <v>14</v>
      </c>
      <c r="G53" s="21">
        <v>10.708</v>
      </c>
    </row>
    <row r="54" spans="1:7" ht="15" hidden="1" customHeight="1" outlineLevel="2">
      <c r="B54" s="32"/>
      <c r="C54" s="32"/>
      <c r="D54" s="3" t="s">
        <v>26</v>
      </c>
      <c r="E54" s="21"/>
      <c r="F54" s="21">
        <v>19</v>
      </c>
      <c r="G54" s="21">
        <v>12.74</v>
      </c>
    </row>
    <row r="55" spans="1:7" ht="15" hidden="1" customHeight="1" outlineLevel="2">
      <c r="B55" s="32"/>
      <c r="C55" s="32"/>
      <c r="D55" s="27" t="s">
        <v>27</v>
      </c>
      <c r="E55" s="21"/>
      <c r="F55" s="21">
        <v>15</v>
      </c>
      <c r="G55" s="21">
        <v>9.64</v>
      </c>
    </row>
    <row r="56" spans="1:7" ht="15" hidden="1" customHeight="1" outlineLevel="2">
      <c r="D56" s="3" t="s">
        <v>28</v>
      </c>
      <c r="E56" s="21"/>
      <c r="F56" s="21">
        <v>4</v>
      </c>
      <c r="G56" s="21">
        <v>2.63</v>
      </c>
    </row>
    <row r="57" spans="1:7" ht="10.050000000000001" hidden="1" customHeight="1" outlineLevel="2"/>
    <row r="58" spans="1:7" ht="14.4" outlineLevel="1" collapsed="1">
      <c r="A58" s="32"/>
      <c r="B58" s="32"/>
      <c r="C58" s="76" t="s">
        <v>1</v>
      </c>
      <c r="D58" s="2" t="s">
        <v>29</v>
      </c>
    </row>
    <row r="59" spans="1:7" ht="10.050000000000001" customHeight="1" outlineLevel="1">
      <c r="A59" s="32"/>
      <c r="B59" s="32"/>
      <c r="C59" s="32"/>
    </row>
    <row r="60" spans="1:7" ht="15" hidden="1" customHeight="1" outlineLevel="2">
      <c r="A60" s="32"/>
      <c r="B60" s="32"/>
      <c r="C60" s="32"/>
      <c r="D60" s="3" t="s">
        <v>30</v>
      </c>
      <c r="E60" s="64" t="b">
        <v>0</v>
      </c>
      <c r="F60" s="64" t="b">
        <v>0</v>
      </c>
      <c r="G60" s="64" t="b">
        <v>0</v>
      </c>
    </row>
    <row r="61" spans="1:7" ht="15" hidden="1" customHeight="1" outlineLevel="2">
      <c r="A61" s="32"/>
      <c r="B61" s="32"/>
      <c r="C61" s="32"/>
      <c r="D61" s="27" t="s">
        <v>31</v>
      </c>
      <c r="E61" s="64" t="b">
        <v>0</v>
      </c>
      <c r="F61" s="64" t="b">
        <v>0</v>
      </c>
      <c r="G61" s="64" t="b">
        <v>0</v>
      </c>
    </row>
    <row r="62" spans="1:7" ht="15" hidden="1" customHeight="1" outlineLevel="2">
      <c r="A62" s="32"/>
      <c r="B62" s="32"/>
      <c r="C62" s="32"/>
      <c r="D62" s="27" t="s">
        <v>32</v>
      </c>
      <c r="E62" s="64" t="b">
        <v>0</v>
      </c>
      <c r="F62" s="64" t="b">
        <v>0</v>
      </c>
      <c r="G62" s="64" t="b">
        <v>0</v>
      </c>
    </row>
    <row r="63" spans="1:7" ht="15" hidden="1" customHeight="1" outlineLevel="2">
      <c r="A63" s="32"/>
      <c r="B63" s="32"/>
      <c r="C63" s="32"/>
      <c r="D63" s="27" t="s">
        <v>33</v>
      </c>
      <c r="E63" s="64" t="b">
        <v>0</v>
      </c>
      <c r="F63" s="64" t="b">
        <v>0</v>
      </c>
      <c r="G63" s="64" t="b">
        <v>0</v>
      </c>
    </row>
    <row r="64" spans="1:7" ht="15" hidden="1" customHeight="1" outlineLevel="2">
      <c r="A64" s="32"/>
      <c r="B64" s="32"/>
      <c r="C64" s="32"/>
      <c r="D64" s="3" t="s">
        <v>34</v>
      </c>
      <c r="E64" s="64" t="b">
        <v>0</v>
      </c>
      <c r="F64" s="64" t="b">
        <v>0</v>
      </c>
      <c r="G64" s="64" t="b">
        <v>0</v>
      </c>
    </row>
    <row r="65" spans="1:7" ht="15" hidden="1" customHeight="1" outlineLevel="2">
      <c r="A65" s="32"/>
      <c r="B65" s="32"/>
      <c r="C65" s="32"/>
      <c r="D65" s="27" t="s">
        <v>35</v>
      </c>
      <c r="E65" s="64" t="b">
        <v>0</v>
      </c>
      <c r="F65" s="64" t="b">
        <v>0</v>
      </c>
      <c r="G65" s="64" t="b">
        <v>0</v>
      </c>
    </row>
    <row r="66" spans="1:7" ht="15" hidden="1" customHeight="1" outlineLevel="2">
      <c r="A66" s="32"/>
      <c r="B66" s="32"/>
      <c r="C66" s="32"/>
      <c r="D66" s="27" t="s">
        <v>36</v>
      </c>
      <c r="E66" s="64" t="b">
        <v>0</v>
      </c>
      <c r="F66" s="64" t="b">
        <v>0</v>
      </c>
      <c r="G66" s="64" t="b">
        <v>0</v>
      </c>
    </row>
    <row r="67" spans="1:7" ht="15" hidden="1" customHeight="1" outlineLevel="2">
      <c r="D67" s="3" t="s">
        <v>37</v>
      </c>
      <c r="E67" s="64" t="b">
        <v>0</v>
      </c>
      <c r="F67" s="64" t="b">
        <v>0</v>
      </c>
      <c r="G67" s="64" t="b">
        <v>0</v>
      </c>
    </row>
    <row r="68" spans="1:7" ht="10.050000000000001" hidden="1" customHeight="1" outlineLevel="2"/>
    <row r="69" spans="1:7" ht="14.4" outlineLevel="1" collapsed="1">
      <c r="A69" s="32"/>
      <c r="B69" s="32"/>
      <c r="C69" s="76" t="s">
        <v>1</v>
      </c>
      <c r="D69" s="2" t="s">
        <v>38</v>
      </c>
    </row>
    <row r="70" spans="1:7" ht="15" customHeight="1" outlineLevel="1">
      <c r="A70" s="32"/>
      <c r="B70" s="32"/>
    </row>
    <row r="71" spans="1:7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050000000000001" hidden="1" customHeight="1" outlineLevel="1" collapsed="1"/>
    <row r="81" spans="4:10" ht="30" customHeight="1">
      <c r="D81" s="96" t="s">
        <v>39</v>
      </c>
      <c r="E81" s="91" t="s">
        <v>60</v>
      </c>
      <c r="F81" s="91" t="s">
        <v>61</v>
      </c>
      <c r="G81" s="91" t="s">
        <v>62</v>
      </c>
      <c r="H81" s="96" t="s">
        <v>63</v>
      </c>
      <c r="I81" s="96" t="s">
        <v>40</v>
      </c>
      <c r="J81" s="96" t="s">
        <v>64</v>
      </c>
    </row>
    <row r="82" spans="4:10" ht="15" customHeight="1">
      <c r="D82" s="97" t="b">
        <v>0</v>
      </c>
      <c r="E82" s="92" t="s">
        <v>67</v>
      </c>
      <c r="F82" s="92">
        <v>10</v>
      </c>
      <c r="G82" s="92">
        <v>8.0399999999999991</v>
      </c>
      <c r="H82" s="100">
        <v>0</v>
      </c>
      <c r="I82" s="100">
        <v>0</v>
      </c>
      <c r="J82" s="100">
        <v>8.2900397977865564E+18</v>
      </c>
    </row>
    <row r="83" spans="4:10" ht="15" customHeight="1">
      <c r="D83" s="97" t="b">
        <v>0</v>
      </c>
      <c r="E83" s="92" t="s">
        <v>67</v>
      </c>
      <c r="F83" s="92">
        <v>8</v>
      </c>
      <c r="G83" s="92">
        <v>6.95</v>
      </c>
      <c r="H83" s="100">
        <v>1</v>
      </c>
      <c r="I83" s="100">
        <v>0</v>
      </c>
      <c r="J83" s="100">
        <v>7.746183454097559E+17</v>
      </c>
    </row>
    <row r="84" spans="4:10" ht="15" customHeight="1">
      <c r="D84" s="98" t="b">
        <v>0</v>
      </c>
      <c r="E84" s="93" t="s">
        <v>67</v>
      </c>
      <c r="F84" s="92">
        <v>13</v>
      </c>
      <c r="G84" s="92">
        <v>7.58</v>
      </c>
      <c r="H84" s="100">
        <v>2</v>
      </c>
      <c r="I84" s="100">
        <v>0</v>
      </c>
      <c r="J84" s="100">
        <v>7.7304847401086556E+18</v>
      </c>
    </row>
    <row r="85" spans="4:10" ht="15" customHeight="1">
      <c r="D85" s="98" t="b">
        <v>0</v>
      </c>
      <c r="E85" s="93" t="s">
        <v>67</v>
      </c>
      <c r="F85" s="92">
        <v>9</v>
      </c>
      <c r="G85" s="92">
        <v>8.81</v>
      </c>
      <c r="H85" s="100">
        <v>3</v>
      </c>
      <c r="I85" s="100">
        <v>0</v>
      </c>
      <c r="J85" s="100">
        <v>1.6450170027552784E+19</v>
      </c>
    </row>
    <row r="86" spans="4:10" ht="15" customHeight="1">
      <c r="D86" s="98" t="b">
        <v>0</v>
      </c>
      <c r="E86" s="93" t="s">
        <v>67</v>
      </c>
      <c r="F86" s="92">
        <v>11</v>
      </c>
      <c r="G86" s="92">
        <v>8.33</v>
      </c>
      <c r="H86" s="100">
        <v>4</v>
      </c>
      <c r="I86" s="100">
        <v>0</v>
      </c>
      <c r="J86" s="100">
        <v>1.9576391762710935E+18</v>
      </c>
    </row>
    <row r="87" spans="4:10" ht="15" customHeight="1">
      <c r="D87" s="98" t="b">
        <v>0</v>
      </c>
      <c r="E87" s="93" t="s">
        <v>67</v>
      </c>
      <c r="F87" s="92">
        <v>14</v>
      </c>
      <c r="G87" s="92">
        <v>9.9600000000000009</v>
      </c>
      <c r="H87" s="100">
        <v>5</v>
      </c>
      <c r="I87" s="100">
        <v>0</v>
      </c>
      <c r="J87" s="100">
        <v>1.4813912060619E+19</v>
      </c>
    </row>
    <row r="88" spans="4:10" ht="15" customHeight="1">
      <c r="D88" s="98" t="b">
        <v>0</v>
      </c>
      <c r="E88" s="93" t="s">
        <v>67</v>
      </c>
      <c r="F88" s="92">
        <v>6</v>
      </c>
      <c r="G88" s="92">
        <v>7.24</v>
      </c>
      <c r="H88" s="100">
        <v>6</v>
      </c>
      <c r="I88" s="100">
        <v>0</v>
      </c>
      <c r="J88" s="100">
        <v>4.5531757921356141E+17</v>
      </c>
    </row>
    <row r="89" spans="4:10" ht="15" customHeight="1">
      <c r="D89" s="98" t="b">
        <v>0</v>
      </c>
      <c r="E89" s="93" t="s">
        <v>67</v>
      </c>
      <c r="F89" s="92">
        <v>4</v>
      </c>
      <c r="G89" s="92">
        <v>4.26</v>
      </c>
      <c r="H89" s="100">
        <v>7</v>
      </c>
      <c r="I89" s="100">
        <v>0</v>
      </c>
      <c r="J89" s="100">
        <v>4.2687004823131064E+18</v>
      </c>
    </row>
    <row r="90" spans="4:10" ht="15" customHeight="1">
      <c r="D90" s="98" t="b">
        <v>0</v>
      </c>
      <c r="E90" s="93" t="s">
        <v>67</v>
      </c>
      <c r="F90" s="92">
        <v>12</v>
      </c>
      <c r="G90" s="92">
        <v>10.84</v>
      </c>
      <c r="H90" s="100">
        <v>8</v>
      </c>
      <c r="I90" s="100">
        <v>0</v>
      </c>
      <c r="J90" s="100">
        <v>1.0824355179871961E+19</v>
      </c>
    </row>
    <row r="91" spans="4:10" ht="15" customHeight="1">
      <c r="D91" s="98" t="b">
        <v>0</v>
      </c>
      <c r="E91" s="93" t="s">
        <v>67</v>
      </c>
      <c r="F91" s="92">
        <v>7</v>
      </c>
      <c r="G91" s="92">
        <v>4.82</v>
      </c>
      <c r="H91" s="100">
        <v>9</v>
      </c>
      <c r="I91" s="100">
        <v>0</v>
      </c>
      <c r="J91" s="100">
        <v>1.6541709756342252E+19</v>
      </c>
    </row>
    <row r="92" spans="4:10" ht="15" customHeight="1">
      <c r="D92" s="98" t="b">
        <v>0</v>
      </c>
      <c r="E92" s="93" t="s">
        <v>67</v>
      </c>
      <c r="F92" s="92">
        <v>5</v>
      </c>
      <c r="G92" s="92">
        <v>5.68</v>
      </c>
      <c r="H92" s="100">
        <v>10</v>
      </c>
      <c r="I92" s="100">
        <v>0</v>
      </c>
      <c r="J92" s="100">
        <v>1.2465426303620512E+19</v>
      </c>
    </row>
    <row r="93" spans="4:10" ht="15" customHeight="1">
      <c r="D93" s="98" t="b">
        <v>0</v>
      </c>
      <c r="E93" s="93" t="s">
        <v>68</v>
      </c>
      <c r="F93" s="92">
        <v>10</v>
      </c>
      <c r="G93" s="92">
        <v>9.14</v>
      </c>
      <c r="H93" s="100">
        <v>11</v>
      </c>
      <c r="I93" s="100">
        <v>0</v>
      </c>
      <c r="J93" s="100">
        <v>1.2615110453480454E+19</v>
      </c>
    </row>
    <row r="94" spans="4:10" ht="15" customHeight="1">
      <c r="D94" s="98" t="b">
        <v>0</v>
      </c>
      <c r="E94" s="93" t="s">
        <v>68</v>
      </c>
      <c r="F94" s="92">
        <v>8</v>
      </c>
      <c r="G94" s="92">
        <v>8.14</v>
      </c>
      <c r="H94" s="100">
        <v>12</v>
      </c>
      <c r="I94" s="100">
        <v>0</v>
      </c>
      <c r="J94" s="100">
        <v>1.7574382863757523E+19</v>
      </c>
    </row>
    <row r="95" spans="4:10" ht="15" customHeight="1">
      <c r="D95" s="98" t="b">
        <v>0</v>
      </c>
      <c r="E95" s="93" t="s">
        <v>68</v>
      </c>
      <c r="F95" s="92">
        <v>13</v>
      </c>
      <c r="G95" s="92">
        <v>8.74</v>
      </c>
      <c r="H95" s="100">
        <v>13</v>
      </c>
      <c r="I95" s="100">
        <v>0</v>
      </c>
      <c r="J95" s="100">
        <v>1.2831300063501724E+19</v>
      </c>
    </row>
    <row r="96" spans="4:10" ht="15" customHeight="1">
      <c r="D96" s="98" t="b">
        <v>0</v>
      </c>
      <c r="E96" s="93" t="s">
        <v>68</v>
      </c>
      <c r="F96" s="92">
        <v>9</v>
      </c>
      <c r="G96" s="92">
        <v>8.77</v>
      </c>
      <c r="H96" s="100">
        <v>14</v>
      </c>
      <c r="I96" s="100">
        <v>0</v>
      </c>
      <c r="J96" s="100">
        <v>1.7540277894604515E+19</v>
      </c>
    </row>
    <row r="97" spans="4:10" ht="15" customHeight="1">
      <c r="D97" s="98" t="b">
        <v>0</v>
      </c>
      <c r="E97" s="93" t="s">
        <v>68</v>
      </c>
      <c r="F97" s="92">
        <v>11</v>
      </c>
      <c r="G97" s="92">
        <v>9.26</v>
      </c>
      <c r="H97" s="100">
        <v>15</v>
      </c>
      <c r="I97" s="100">
        <v>0</v>
      </c>
      <c r="J97" s="100">
        <v>7.5235392342167153E+18</v>
      </c>
    </row>
    <row r="98" spans="4:10" ht="15" customHeight="1">
      <c r="D98" s="98" t="b">
        <v>0</v>
      </c>
      <c r="E98" s="93" t="s">
        <v>68</v>
      </c>
      <c r="F98" s="92">
        <v>14</v>
      </c>
      <c r="G98" s="92">
        <v>8.1</v>
      </c>
      <c r="H98" s="100">
        <v>16</v>
      </c>
      <c r="I98" s="100">
        <v>0</v>
      </c>
      <c r="J98" s="100">
        <v>1.3486858689431015E+19</v>
      </c>
    </row>
    <row r="99" spans="4:10" ht="15" customHeight="1">
      <c r="D99" s="98" t="b">
        <v>0</v>
      </c>
      <c r="E99" s="93" t="s">
        <v>68</v>
      </c>
      <c r="F99" s="92">
        <v>6</v>
      </c>
      <c r="G99" s="92">
        <v>6.13</v>
      </c>
      <c r="H99" s="100">
        <v>17</v>
      </c>
      <c r="I99" s="100">
        <v>0</v>
      </c>
      <c r="J99" s="100">
        <v>1.8290918260543154E+19</v>
      </c>
    </row>
    <row r="100" spans="4:10" ht="15" customHeight="1">
      <c r="D100" s="98" t="b">
        <v>0</v>
      </c>
      <c r="E100" s="93" t="s">
        <v>68</v>
      </c>
      <c r="F100" s="92">
        <v>4</v>
      </c>
      <c r="G100" s="92">
        <v>3.1</v>
      </c>
      <c r="H100" s="100">
        <v>18</v>
      </c>
      <c r="I100" s="100">
        <v>0</v>
      </c>
      <c r="J100" s="100">
        <v>3.0271482890587628E+18</v>
      </c>
    </row>
    <row r="101" spans="4:10" ht="15" customHeight="1">
      <c r="D101" s="98" t="b">
        <v>0</v>
      </c>
      <c r="E101" s="93" t="s">
        <v>68</v>
      </c>
      <c r="F101" s="92">
        <v>12</v>
      </c>
      <c r="G101" s="92">
        <v>9.1300000000000008</v>
      </c>
      <c r="H101" s="100">
        <v>19</v>
      </c>
      <c r="I101" s="100">
        <v>0</v>
      </c>
      <c r="J101" s="100">
        <v>1.3323868367707693E+19</v>
      </c>
    </row>
    <row r="102" spans="4:10" ht="15" customHeight="1">
      <c r="D102" s="98" t="b">
        <v>0</v>
      </c>
      <c r="E102" s="93" t="s">
        <v>68</v>
      </c>
      <c r="F102" s="92">
        <v>7</v>
      </c>
      <c r="G102" s="92">
        <v>7.26</v>
      </c>
      <c r="H102" s="100">
        <v>20</v>
      </c>
      <c r="I102" s="100">
        <v>0</v>
      </c>
      <c r="J102" s="100">
        <v>3.5680720266868065E+18</v>
      </c>
    </row>
    <row r="103" spans="4:10" ht="15" customHeight="1">
      <c r="D103" s="98" t="b">
        <v>0</v>
      </c>
      <c r="E103" s="93" t="s">
        <v>68</v>
      </c>
      <c r="F103" s="92">
        <v>5</v>
      </c>
      <c r="G103" s="92">
        <v>4.74</v>
      </c>
      <c r="H103" s="100">
        <v>21</v>
      </c>
      <c r="I103" s="100">
        <v>0</v>
      </c>
      <c r="J103" s="100">
        <v>2.3914005557568937E+18</v>
      </c>
    </row>
    <row r="104" spans="4:10" ht="15" customHeight="1">
      <c r="D104" s="98" t="b">
        <v>0</v>
      </c>
      <c r="E104" s="93" t="s">
        <v>69</v>
      </c>
      <c r="F104" s="92">
        <v>10</v>
      </c>
      <c r="G104" s="92">
        <v>7.46</v>
      </c>
      <c r="H104" s="100">
        <v>22</v>
      </c>
      <c r="I104" s="100">
        <v>0</v>
      </c>
      <c r="J104" s="100">
        <v>1.7082740423865072E+19</v>
      </c>
    </row>
    <row r="105" spans="4:10" ht="15" customHeight="1">
      <c r="D105" s="98" t="b">
        <v>0</v>
      </c>
      <c r="E105" s="93" t="s">
        <v>69</v>
      </c>
      <c r="F105" s="92">
        <v>8</v>
      </c>
      <c r="G105" s="92">
        <v>6.77</v>
      </c>
      <c r="H105" s="100">
        <v>23</v>
      </c>
      <c r="I105" s="100">
        <v>0</v>
      </c>
      <c r="J105" s="100">
        <v>4.9085920842948086E+18</v>
      </c>
    </row>
    <row r="106" spans="4:10" ht="15" customHeight="1">
      <c r="D106" s="98" t="b">
        <v>0</v>
      </c>
      <c r="E106" s="93" t="s">
        <v>69</v>
      </c>
      <c r="F106" s="92">
        <v>13</v>
      </c>
      <c r="G106" s="92">
        <v>12.74</v>
      </c>
      <c r="H106" s="100">
        <v>24</v>
      </c>
      <c r="I106" s="100">
        <v>0</v>
      </c>
      <c r="J106" s="100">
        <v>1.770008728388957E+19</v>
      </c>
    </row>
    <row r="107" spans="4:10" ht="15" customHeight="1">
      <c r="D107" s="98" t="b">
        <v>0</v>
      </c>
      <c r="E107" s="93" t="s">
        <v>69</v>
      </c>
      <c r="F107" s="92">
        <v>9</v>
      </c>
      <c r="G107" s="92">
        <v>7.11</v>
      </c>
      <c r="H107" s="100">
        <v>25</v>
      </c>
      <c r="I107" s="100">
        <v>0</v>
      </c>
      <c r="J107" s="100">
        <v>1.9372436006079421E+18</v>
      </c>
    </row>
    <row r="108" spans="4:10" ht="15" customHeight="1">
      <c r="D108" s="98" t="b">
        <v>0</v>
      </c>
      <c r="E108" s="93" t="s">
        <v>69</v>
      </c>
      <c r="F108" s="92">
        <v>11</v>
      </c>
      <c r="G108" s="92">
        <v>7.81</v>
      </c>
      <c r="H108" s="100">
        <v>26</v>
      </c>
      <c r="I108" s="100">
        <v>0</v>
      </c>
      <c r="J108" s="100">
        <v>1.3529379415465892E+19</v>
      </c>
    </row>
    <row r="109" spans="4:10" ht="15" customHeight="1">
      <c r="D109" s="98" t="b">
        <v>0</v>
      </c>
      <c r="E109" s="93" t="s">
        <v>69</v>
      </c>
      <c r="F109" s="92">
        <v>14</v>
      </c>
      <c r="G109" s="92">
        <v>8.84</v>
      </c>
      <c r="H109" s="100">
        <v>27</v>
      </c>
      <c r="I109" s="100">
        <v>0</v>
      </c>
      <c r="J109" s="100">
        <v>1.1161663523386765E+19</v>
      </c>
    </row>
    <row r="110" spans="4:10" ht="15" customHeight="1">
      <c r="D110" s="98" t="b">
        <v>0</v>
      </c>
      <c r="E110" s="93" t="s">
        <v>69</v>
      </c>
      <c r="F110" s="92">
        <v>6</v>
      </c>
      <c r="G110" s="92">
        <v>6.08</v>
      </c>
      <c r="H110" s="100">
        <v>28</v>
      </c>
      <c r="I110" s="100">
        <v>0</v>
      </c>
      <c r="J110" s="100">
        <v>1.7455212853858664E+19</v>
      </c>
    </row>
    <row r="111" spans="4:10" ht="15" customHeight="1">
      <c r="D111" s="98" t="b">
        <v>0</v>
      </c>
      <c r="E111" s="93" t="s">
        <v>69</v>
      </c>
      <c r="F111" s="92">
        <v>4</v>
      </c>
      <c r="G111" s="92">
        <v>5.39</v>
      </c>
      <c r="H111" s="100">
        <v>29</v>
      </c>
      <c r="I111" s="100">
        <v>0</v>
      </c>
      <c r="J111" s="100">
        <v>7.4044780924903977E+18</v>
      </c>
    </row>
    <row r="112" spans="4:10" ht="15" customHeight="1">
      <c r="D112" s="98" t="b">
        <v>0</v>
      </c>
      <c r="E112" s="93" t="s">
        <v>69</v>
      </c>
      <c r="F112" s="92">
        <v>12</v>
      </c>
      <c r="G112" s="92">
        <v>8.15</v>
      </c>
      <c r="H112" s="100">
        <v>30</v>
      </c>
      <c r="I112" s="100">
        <v>0</v>
      </c>
      <c r="J112" s="100">
        <v>4.8691511575164723E+18</v>
      </c>
    </row>
    <row r="113" spans="4:10" ht="15" customHeight="1">
      <c r="D113" s="98" t="b">
        <v>0</v>
      </c>
      <c r="E113" s="93" t="s">
        <v>69</v>
      </c>
      <c r="F113" s="92">
        <v>7</v>
      </c>
      <c r="G113" s="92">
        <v>6.42</v>
      </c>
      <c r="H113" s="100">
        <v>31</v>
      </c>
      <c r="I113" s="100">
        <v>0</v>
      </c>
      <c r="J113" s="100">
        <v>1.5520966538863829E+19</v>
      </c>
    </row>
    <row r="114" spans="4:10" ht="15" customHeight="1">
      <c r="D114" s="98" t="b">
        <v>0</v>
      </c>
      <c r="E114" s="93" t="s">
        <v>69</v>
      </c>
      <c r="F114" s="92">
        <v>5</v>
      </c>
      <c r="G114" s="92">
        <v>5.73</v>
      </c>
      <c r="H114" s="100">
        <v>32</v>
      </c>
      <c r="I114" s="100">
        <v>0</v>
      </c>
      <c r="J114" s="100">
        <v>1.6956987607096488E+19</v>
      </c>
    </row>
    <row r="115" spans="4:10" ht="15" customHeight="1">
      <c r="D115" s="98" t="b">
        <v>0</v>
      </c>
      <c r="E115" s="93" t="s">
        <v>70</v>
      </c>
      <c r="F115" s="92">
        <v>8</v>
      </c>
      <c r="G115" s="92">
        <v>6.58</v>
      </c>
      <c r="H115" s="100">
        <v>33</v>
      </c>
      <c r="I115" s="100">
        <v>0</v>
      </c>
      <c r="J115" s="100">
        <v>8.2794725629868687E+18</v>
      </c>
    </row>
    <row r="116" spans="4:10" ht="15" customHeight="1">
      <c r="D116" s="98" t="b">
        <v>0</v>
      </c>
      <c r="E116" s="93" t="s">
        <v>70</v>
      </c>
      <c r="F116" s="92">
        <v>8</v>
      </c>
      <c r="G116" s="92">
        <v>5.76</v>
      </c>
      <c r="H116" s="100">
        <v>34</v>
      </c>
      <c r="I116" s="100">
        <v>0</v>
      </c>
      <c r="J116" s="100">
        <v>1.3292156592662393E+19</v>
      </c>
    </row>
    <row r="117" spans="4:10" ht="15" customHeight="1">
      <c r="D117" s="98" t="b">
        <v>0</v>
      </c>
      <c r="E117" s="93" t="s">
        <v>70</v>
      </c>
      <c r="F117" s="92">
        <v>8</v>
      </c>
      <c r="G117" s="92">
        <v>7.71</v>
      </c>
      <c r="H117" s="100">
        <v>35</v>
      </c>
      <c r="I117" s="100">
        <v>0</v>
      </c>
      <c r="J117" s="100">
        <v>1.1803802399366158E+19</v>
      </c>
    </row>
    <row r="118" spans="4:10" ht="15" customHeight="1">
      <c r="D118" s="98" t="b">
        <v>0</v>
      </c>
      <c r="E118" s="93" t="s">
        <v>70</v>
      </c>
      <c r="F118" s="92">
        <v>8</v>
      </c>
      <c r="G118" s="92">
        <v>8.84</v>
      </c>
      <c r="H118" s="100">
        <v>36</v>
      </c>
      <c r="I118" s="100">
        <v>0</v>
      </c>
      <c r="J118" s="100">
        <v>7.3049915945927967E+18</v>
      </c>
    </row>
    <row r="119" spans="4:10" ht="15" customHeight="1">
      <c r="D119" s="98" t="b">
        <v>0</v>
      </c>
      <c r="E119" s="93" t="s">
        <v>70</v>
      </c>
      <c r="F119" s="92">
        <v>8</v>
      </c>
      <c r="G119" s="92">
        <v>8.4700000000000006</v>
      </c>
      <c r="H119" s="100">
        <v>37</v>
      </c>
      <c r="I119" s="100">
        <v>0</v>
      </c>
      <c r="J119" s="100">
        <v>1.4983167448133067E+19</v>
      </c>
    </row>
    <row r="120" spans="4:10" ht="15" customHeight="1">
      <c r="D120" s="98" t="b">
        <v>0</v>
      </c>
      <c r="E120" s="93" t="s">
        <v>70</v>
      </c>
      <c r="F120" s="92">
        <v>8</v>
      </c>
      <c r="G120" s="92">
        <v>7.04</v>
      </c>
      <c r="H120" s="100">
        <v>38</v>
      </c>
      <c r="I120" s="100">
        <v>0</v>
      </c>
      <c r="J120" s="100">
        <v>3.5115920427908675E+18</v>
      </c>
    </row>
    <row r="121" spans="4:10" ht="15" customHeight="1">
      <c r="D121" s="98" t="b">
        <v>0</v>
      </c>
      <c r="E121" s="93" t="s">
        <v>70</v>
      </c>
      <c r="F121" s="92">
        <v>8</v>
      </c>
      <c r="G121" s="92">
        <v>5.25</v>
      </c>
      <c r="H121" s="100">
        <v>39</v>
      </c>
      <c r="I121" s="100">
        <v>0</v>
      </c>
      <c r="J121" s="100">
        <v>1.4505337100355502E+18</v>
      </c>
    </row>
    <row r="122" spans="4:10" ht="15" customHeight="1">
      <c r="D122" s="98" t="b">
        <v>0</v>
      </c>
      <c r="E122" s="93" t="s">
        <v>70</v>
      </c>
      <c r="F122" s="92">
        <v>19</v>
      </c>
      <c r="G122" s="92">
        <v>12.5</v>
      </c>
      <c r="H122" s="100">
        <v>40</v>
      </c>
      <c r="I122" s="100">
        <v>0</v>
      </c>
      <c r="J122" s="100">
        <v>2.4440120055156204E+18</v>
      </c>
    </row>
    <row r="123" spans="4:10" ht="15" customHeight="1">
      <c r="D123" s="98" t="b">
        <v>0</v>
      </c>
      <c r="E123" s="93" t="s">
        <v>70</v>
      </c>
      <c r="F123" s="92">
        <v>8</v>
      </c>
      <c r="G123" s="92">
        <v>5.56</v>
      </c>
      <c r="H123" s="100">
        <v>41</v>
      </c>
      <c r="I123" s="100">
        <v>0</v>
      </c>
      <c r="J123" s="100">
        <v>1.7387600761294412E+19</v>
      </c>
    </row>
    <row r="124" spans="4:10" ht="15" customHeight="1">
      <c r="D124" s="98" t="b">
        <v>0</v>
      </c>
      <c r="E124" s="93" t="s">
        <v>70</v>
      </c>
      <c r="F124" s="92">
        <v>8</v>
      </c>
      <c r="G124" s="92">
        <v>7.91</v>
      </c>
      <c r="H124" s="100">
        <v>42</v>
      </c>
      <c r="I124" s="100">
        <v>0</v>
      </c>
      <c r="J124" s="100">
        <v>1.1044583522839329E+19</v>
      </c>
    </row>
    <row r="125" spans="4:10" ht="15" customHeight="1">
      <c r="D125" s="99" t="b">
        <v>0</v>
      </c>
      <c r="E125" s="94" t="s">
        <v>70</v>
      </c>
      <c r="F125" s="95">
        <v>8</v>
      </c>
      <c r="G125" s="95">
        <v>6.89</v>
      </c>
      <c r="H125" s="100">
        <v>43</v>
      </c>
      <c r="I125" s="100">
        <v>0</v>
      </c>
      <c r="J125" s="100">
        <v>3.1669598736807434E+18</v>
      </c>
    </row>
  </sheetData>
  <mergeCells count="1">
    <mergeCell ref="E15:F15"/>
  </mergeCells>
  <phoneticPr fontId="23" type="noConversion"/>
  <conditionalFormatting sqref="E25:G32 E38:G42 E48:G56">
    <cfRule type="cellIs" dxfId="49" priority="19" operator="equal">
      <formula>0</formula>
    </cfRule>
  </conditionalFormatting>
  <conditionalFormatting sqref="D82:D125">
    <cfRule type="cellIs" dxfId="48" priority="18" operator="notEqual">
      <formula>FALSE</formula>
    </cfRule>
  </conditionalFormatting>
  <conditionalFormatting sqref="E9:G9">
    <cfRule type="cellIs" dxfId="47" priority="12" operator="notEqual">
      <formula>"Note"</formula>
    </cfRule>
  </conditionalFormatting>
  <conditionalFormatting sqref="E26:G28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46" priority="13"/>
  </conditionalFormatting>
  <conditionalFormatting sqref="E7:G7">
    <cfRule type="cellIs" dxfId="45" priority="11" operator="notEqual">
      <formula>"Definition"</formula>
    </cfRule>
  </conditionalFormatting>
  <conditionalFormatting sqref="E15">
    <cfRule type="cellIs" dxfId="44" priority="10" operator="notEqual">
      <formula>"Description"</formula>
    </cfRule>
  </conditionalFormatting>
  <conditionalFormatting sqref="E60:G67">
    <cfRule type="cellIs" dxfId="43" priority="16" operator="notEqual">
      <formula>FALSE</formula>
    </cfRule>
  </conditionalFormatting>
  <conditionalFormatting sqref="E20:E21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53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7" style="12" bestFit="1" customWidth="1"/>
    <col min="5" max="5" width="7.21875" style="12" bestFit="1" customWidth="1"/>
    <col min="6" max="8" width="13.77734375" style="12" customWidth="1"/>
    <col min="9" max="9" width="9.33203125" style="12" customWidth="1"/>
    <col min="10" max="10" width="10.77734375" style="12" customWidth="1"/>
    <col min="11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Anscombe</v>
      </c>
      <c r="P2" s="11"/>
    </row>
    <row r="3" spans="2:17" ht="10.050000000000001" customHeight="1">
      <c r="D3" s="16"/>
    </row>
    <row r="4" spans="2:17" ht="30" customHeight="1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7" spans="2:17" ht="15" customHeight="1">
      <c r="C7" s="17"/>
    </row>
    <row r="8" spans="2:17" ht="36.6" customHeight="1">
      <c r="C8" s="103" t="s">
        <v>60</v>
      </c>
      <c r="D8" s="102" t="s">
        <v>61</v>
      </c>
      <c r="E8" s="102" t="s">
        <v>62</v>
      </c>
      <c r="F8" s="104" t="s">
        <v>49</v>
      </c>
      <c r="G8" s="104" t="s">
        <v>50</v>
      </c>
      <c r="H8" s="104" t="s">
        <v>54</v>
      </c>
    </row>
    <row r="9" spans="2:17" ht="15" customHeight="1">
      <c r="C9" s="101" t="s">
        <v>67</v>
      </c>
      <c r="D9" s="56"/>
      <c r="E9" s="56"/>
      <c r="F9" s="105">
        <v>0</v>
      </c>
      <c r="G9" s="106"/>
      <c r="H9" s="107">
        <v>0.25</v>
      </c>
    </row>
    <row r="10" spans="2:17" ht="15" customHeight="1">
      <c r="C10" s="101" t="s">
        <v>68</v>
      </c>
      <c r="D10" s="56"/>
      <c r="E10" s="56"/>
      <c r="F10" s="105">
        <v>0</v>
      </c>
      <c r="G10" s="106"/>
      <c r="H10" s="107">
        <v>0.25</v>
      </c>
    </row>
    <row r="11" spans="2:17" ht="15" customHeight="1">
      <c r="C11" s="101" t="s">
        <v>69</v>
      </c>
      <c r="D11" s="56"/>
      <c r="E11" s="56"/>
      <c r="F11" s="105">
        <v>0</v>
      </c>
      <c r="G11" s="106"/>
      <c r="H11" s="107">
        <v>0.25</v>
      </c>
    </row>
    <row r="12" spans="2:17" ht="15" customHeight="1">
      <c r="C12" s="101" t="s">
        <v>70</v>
      </c>
      <c r="D12" s="56"/>
      <c r="E12" s="56"/>
      <c r="F12" s="105">
        <v>0</v>
      </c>
      <c r="G12" s="106"/>
      <c r="H12" s="107">
        <v>0.25</v>
      </c>
    </row>
    <row r="13" spans="2:17" ht="15" customHeight="1">
      <c r="C13" s="101" t="s">
        <v>71</v>
      </c>
      <c r="D13" s="56"/>
      <c r="E13" s="56"/>
      <c r="F13" s="105">
        <v>0</v>
      </c>
      <c r="G13" s="106"/>
      <c r="H13" s="107">
        <v>1</v>
      </c>
    </row>
    <row r="14" spans="2:17" ht="15" customHeight="1">
      <c r="C14"/>
      <c r="D14"/>
      <c r="E14"/>
      <c r="F14"/>
      <c r="G14"/>
      <c r="H14"/>
    </row>
    <row r="15" spans="2:17" ht="15" customHeight="1">
      <c r="C15"/>
      <c r="D15"/>
      <c r="E15"/>
      <c r="F15"/>
      <c r="G15"/>
      <c r="H15"/>
    </row>
    <row r="16" spans="2:17" ht="15" customHeight="1">
      <c r="C16"/>
      <c r="D16"/>
      <c r="E16"/>
      <c r="F16"/>
      <c r="G16"/>
      <c r="H16"/>
    </row>
    <row r="17" spans="3:8" ht="15" customHeight="1">
      <c r="C17"/>
      <c r="D17"/>
      <c r="E17"/>
      <c r="F17"/>
      <c r="G17"/>
      <c r="H17"/>
    </row>
    <row r="18" spans="3:8" ht="15" customHeight="1">
      <c r="C18"/>
      <c r="D18"/>
      <c r="E18"/>
      <c r="F18"/>
      <c r="G18"/>
      <c r="H18"/>
    </row>
    <row r="19" spans="3:8" ht="15" customHeight="1">
      <c r="C19"/>
      <c r="D19"/>
      <c r="E19"/>
      <c r="F19"/>
      <c r="G19"/>
      <c r="H19"/>
    </row>
    <row r="20" spans="3:8" ht="15" customHeight="1">
      <c r="C20"/>
      <c r="D20"/>
      <c r="E20"/>
      <c r="F20"/>
      <c r="G20"/>
      <c r="H20"/>
    </row>
    <row r="21" spans="3:8" ht="15" customHeight="1">
      <c r="C21"/>
      <c r="D21"/>
      <c r="E21"/>
      <c r="F21"/>
      <c r="G21"/>
      <c r="H21"/>
    </row>
    <row r="22" spans="3:8" ht="15" customHeight="1">
      <c r="C22"/>
      <c r="D22"/>
      <c r="E22"/>
      <c r="F22"/>
      <c r="G22"/>
      <c r="H22"/>
    </row>
    <row r="23" spans="3:8" ht="15" customHeight="1">
      <c r="C23"/>
      <c r="D23"/>
      <c r="E23"/>
      <c r="F23"/>
      <c r="G23"/>
      <c r="H23"/>
    </row>
    <row r="24" spans="3:8" ht="15" customHeight="1">
      <c r="C24"/>
      <c r="D24"/>
      <c r="E24"/>
      <c r="F24"/>
      <c r="G24"/>
      <c r="H24"/>
    </row>
    <row r="25" spans="3:8" ht="15" customHeight="1">
      <c r="C25"/>
      <c r="D25"/>
      <c r="E25"/>
      <c r="F25"/>
      <c r="G25"/>
      <c r="H25"/>
    </row>
    <row r="26" spans="3:8" ht="15" customHeight="1">
      <c r="C26"/>
      <c r="D26"/>
      <c r="E26"/>
      <c r="F26"/>
      <c r="G26"/>
      <c r="H26"/>
    </row>
    <row r="27" spans="3:8" ht="15" customHeight="1">
      <c r="C27"/>
      <c r="D27"/>
      <c r="E27"/>
      <c r="F27"/>
      <c r="G27"/>
      <c r="H27"/>
    </row>
    <row r="28" spans="3:8" ht="15" customHeight="1">
      <c r="C28"/>
      <c r="D28"/>
      <c r="E28"/>
      <c r="F28"/>
      <c r="G28"/>
      <c r="H28"/>
    </row>
    <row r="29" spans="3:8" ht="15" customHeight="1">
      <c r="C29"/>
      <c r="D29"/>
      <c r="E29"/>
      <c r="F29"/>
      <c r="G29"/>
      <c r="H29"/>
    </row>
    <row r="30" spans="3:8" ht="15" customHeight="1">
      <c r="C30"/>
      <c r="D30"/>
      <c r="E30"/>
      <c r="F30"/>
      <c r="G30"/>
      <c r="H30"/>
    </row>
    <row r="31" spans="3:8" ht="15" customHeight="1">
      <c r="C31"/>
      <c r="D31"/>
      <c r="E31"/>
      <c r="F31"/>
      <c r="G31"/>
      <c r="H31"/>
    </row>
    <row r="32" spans="3:8" ht="15" customHeight="1">
      <c r="C32"/>
      <c r="D32"/>
      <c r="E32"/>
      <c r="F32"/>
      <c r="G32"/>
      <c r="H32"/>
    </row>
    <row r="33" spans="3:8" ht="15" customHeight="1">
      <c r="C33"/>
      <c r="D33"/>
      <c r="E33"/>
      <c r="F33"/>
      <c r="G33"/>
      <c r="H33"/>
    </row>
    <row r="34" spans="3:8" ht="15" customHeight="1">
      <c r="C34"/>
      <c r="D34"/>
      <c r="E34"/>
      <c r="F34"/>
      <c r="G34"/>
      <c r="H34"/>
    </row>
    <row r="35" spans="3:8" ht="15" customHeight="1">
      <c r="C35"/>
      <c r="D35"/>
      <c r="E35"/>
      <c r="F35"/>
      <c r="G35"/>
      <c r="H35"/>
    </row>
    <row r="36" spans="3:8" ht="15" customHeight="1">
      <c r="C36"/>
      <c r="D36"/>
      <c r="E36"/>
      <c r="F36"/>
      <c r="G36"/>
      <c r="H36"/>
    </row>
    <row r="37" spans="3:8" ht="15" customHeight="1">
      <c r="C37"/>
      <c r="D37"/>
      <c r="E37"/>
      <c r="F37"/>
      <c r="G37"/>
      <c r="H37"/>
    </row>
    <row r="38" spans="3:8" ht="15" customHeight="1">
      <c r="C38"/>
      <c r="D38"/>
      <c r="E38"/>
      <c r="F38"/>
      <c r="G38"/>
      <c r="H38"/>
    </row>
    <row r="39" spans="3:8" ht="15" customHeight="1">
      <c r="C39"/>
      <c r="D39"/>
      <c r="E39"/>
      <c r="F39"/>
      <c r="G39"/>
      <c r="H39"/>
    </row>
    <row r="40" spans="3:8" ht="15" customHeight="1">
      <c r="C40"/>
      <c r="D40"/>
      <c r="E40"/>
      <c r="F40"/>
      <c r="G40"/>
      <c r="H40"/>
    </row>
    <row r="41" spans="3:8" ht="15" customHeight="1">
      <c r="C41"/>
      <c r="D41"/>
      <c r="E41"/>
      <c r="F41"/>
      <c r="G41"/>
      <c r="H41"/>
    </row>
    <row r="42" spans="3:8" ht="15" customHeight="1">
      <c r="C42"/>
      <c r="D42"/>
      <c r="E42"/>
      <c r="F42"/>
      <c r="G42"/>
      <c r="H42"/>
    </row>
    <row r="43" spans="3:8" ht="15" customHeight="1">
      <c r="C43"/>
      <c r="D43"/>
      <c r="E43"/>
      <c r="F43"/>
      <c r="G43"/>
      <c r="H43"/>
    </row>
    <row r="44" spans="3:8" ht="15" customHeight="1">
      <c r="C44"/>
      <c r="D44"/>
      <c r="E44"/>
      <c r="F44"/>
      <c r="G44"/>
      <c r="H44"/>
    </row>
    <row r="45" spans="3:8" ht="15" customHeight="1">
      <c r="C45"/>
      <c r="D45"/>
      <c r="E45"/>
      <c r="F45"/>
      <c r="G45"/>
      <c r="H45"/>
    </row>
    <row r="46" spans="3:8" ht="15" customHeight="1">
      <c r="C46"/>
      <c r="D46"/>
      <c r="E46"/>
      <c r="F46"/>
      <c r="G46"/>
      <c r="H46"/>
    </row>
    <row r="47" spans="3:8" ht="15" customHeight="1">
      <c r="C47"/>
      <c r="D47"/>
      <c r="E47"/>
      <c r="F47"/>
      <c r="G47"/>
      <c r="H47"/>
    </row>
    <row r="48" spans="3:8" ht="15" customHeight="1">
      <c r="C48"/>
      <c r="D48"/>
      <c r="E48"/>
      <c r="F48"/>
      <c r="G48"/>
      <c r="H48"/>
    </row>
    <row r="49" spans="3:8" ht="15" customHeight="1">
      <c r="C49"/>
      <c r="D49"/>
      <c r="E49"/>
      <c r="F49"/>
      <c r="G49"/>
      <c r="H49"/>
    </row>
    <row r="50" spans="3:8" ht="15" customHeight="1">
      <c r="C50"/>
      <c r="D50"/>
      <c r="E50"/>
      <c r="F50"/>
      <c r="G50"/>
      <c r="H50"/>
    </row>
    <row r="51" spans="3:8" ht="15" customHeight="1">
      <c r="C51"/>
      <c r="D51"/>
      <c r="E51"/>
      <c r="F51"/>
      <c r="G51"/>
      <c r="H51"/>
    </row>
    <row r="52" spans="3:8" ht="15" customHeight="1">
      <c r="C52"/>
      <c r="D52"/>
      <c r="E52"/>
      <c r="F52"/>
      <c r="G52"/>
      <c r="H52"/>
    </row>
    <row r="53" spans="3:8" ht="15" customHeight="1">
      <c r="C53"/>
      <c r="D53"/>
      <c r="E53"/>
      <c r="F53"/>
      <c r="G53"/>
      <c r="H53"/>
    </row>
  </sheetData>
  <conditionalFormatting pivot="1" sqref="F9:F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9:G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9" customWidth="1"/>
    <col min="2" max="2" width="2.77734375" style="50" customWidth="1"/>
    <col min="3" max="3" width="78.6640625" style="55" customWidth="1"/>
    <col min="4" max="4" width="31.88671875" style="49" customWidth="1"/>
    <col min="5" max="16384" width="8.88671875" style="49"/>
  </cols>
  <sheetData>
    <row r="2" spans="2:16" ht="43.2" customHeight="1">
      <c r="C2" s="48" t="s">
        <v>52</v>
      </c>
      <c r="P2"/>
    </row>
    <row r="3" spans="2:16" ht="4.95" customHeight="1">
      <c r="B3" s="49"/>
      <c r="C3" s="51"/>
      <c r="P3" s="52"/>
    </row>
    <row r="4" spans="2:16" ht="19.95" customHeight="1">
      <c r="B4" s="49"/>
      <c r="C4" s="51"/>
      <c r="P4" s="53"/>
    </row>
    <row r="5" spans="2:16" ht="4.95" customHeight="1">
      <c r="B5" s="49"/>
      <c r="C5" s="51"/>
    </row>
    <row r="6" spans="2:16" ht="34.950000000000003" customHeight="1"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2:16" ht="15" customHeight="1">
      <c r="B7" s="49"/>
      <c r="C7" s="49"/>
    </row>
    <row r="8" spans="2:16" ht="15" customHeight="1">
      <c r="C8" s="54"/>
    </row>
    <row r="9" spans="2:16" ht="19.2" customHeight="1">
      <c r="B9" s="49"/>
      <c r="C9" s="51"/>
    </row>
    <row r="16" spans="2:16">
      <c r="C16" s="49"/>
    </row>
    <row r="17" spans="2:2" s="49" customFormat="1">
      <c r="B17" s="5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9" customWidth="1"/>
    <col min="2" max="2" width="2.77734375" style="50" customWidth="1"/>
    <col min="3" max="3" width="53.33203125" style="55" customWidth="1"/>
    <col min="4" max="4" width="27.77734375" style="49" customWidth="1"/>
    <col min="5" max="16" width="8.88671875" style="49"/>
  </cols>
  <sheetData>
    <row r="2" spans="1:16" ht="51.6" customHeight="1">
      <c r="B2" s="56"/>
      <c r="C2" s="48" t="s">
        <v>53</v>
      </c>
      <c r="D2"/>
      <c r="P2"/>
    </row>
    <row r="3" spans="1:16" ht="4.95" customHeight="1">
      <c r="B3" s="56"/>
      <c r="C3" s="57"/>
      <c r="D3" s="58"/>
      <c r="P3" s="52"/>
    </row>
    <row r="4" spans="1:16" ht="19.95" customHeight="1">
      <c r="B4" s="56"/>
      <c r="C4" s="57"/>
      <c r="D4" s="58"/>
      <c r="P4" s="53"/>
    </row>
    <row r="5" spans="1:16" ht="4.95" customHeight="1">
      <c r="B5" s="49"/>
      <c r="C5" s="51"/>
    </row>
    <row r="6" spans="1:16" ht="30" customHeight="1">
      <c r="A6"/>
      <c r="B6" s="62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</row>
    <row r="7" spans="1:16" ht="10.050000000000001" customHeight="1">
      <c r="B7" s="49"/>
      <c r="C7" s="51"/>
    </row>
    <row r="8" spans="1:16" ht="10.050000000000001" customHeight="1">
      <c r="B8" s="52"/>
      <c r="D8" s="55"/>
    </row>
    <row r="9" spans="1:16" ht="150" customHeight="1">
      <c r="B9" s="59"/>
      <c r="C9" s="60"/>
    </row>
    <row r="10" spans="1:16" ht="10.050000000000001" customHeight="1">
      <c r="B10" s="61"/>
    </row>
    <row r="11" spans="1:16" collapsed="1"/>
    <row r="13" spans="1:16">
      <c r="C13" s="49"/>
    </row>
    <row r="14" spans="1:16">
      <c r="C14" s="49"/>
    </row>
    <row r="15" spans="1:16">
      <c r="C15" s="49"/>
    </row>
    <row r="16" spans="1:16">
      <c r="C16" s="49"/>
    </row>
    <row r="19" spans="3:3">
      <c r="C19" s="49"/>
    </row>
    <row r="20" spans="3:3">
      <c r="C20" s="49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2026-05-30T04:27:16Z</dcterms:modified>
</cp:coreProperties>
</file>