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10ABC94D-61B1-4645-89B6-06510EC7EE7D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initions">'Field Analysis'!$D$7:$F$7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AnalysisTheme" localSheetId="3">#REF!,#REF!,#REF!,#REF!,MultiplePlots!$B$6:$D$6</definedName>
    <definedName name="FieldList1">'Field Analysis'!$D$57:$F$57</definedName>
    <definedName name="FieldList2">'Field Analysis'!$D$58:$F$58</definedName>
    <definedName name="FieldList3">'Field Analysis'!$D$59:$F$59</definedName>
    <definedName name="FieldList4">'Field Analysis'!$D$60:$F$60</definedName>
    <definedName name="FieldList5">'Field Analysis'!$D$61:$F$61</definedName>
    <definedName name="FieldList6">'Field Analysis'!$D$62:$F$62</definedName>
    <definedName name="FieldList7">'Field Analysis'!$D$63:$F$63</definedName>
    <definedName name="FieldList8">'Field Analysis'!$D$64:$F$64</definedName>
    <definedName name="FieldLists">'Field Analysis'!$C$57:$F$64</definedName>
    <definedName name="FieldRange">'Field Analysis'!$D$78:$F$78</definedName>
    <definedName name="FormatRange">'Field Analysis'!$F:$F</definedName>
    <definedName name="Headers">'Field Analysis'!$D$11:$F$11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Analysis'!$D$9:$F$9</definedName>
    <definedName name="Percentiles">'Field Analysis'!$D$45:$D$54</definedName>
    <definedName name="RecordHashes">'Field Analysis'!$G$79:$G$122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1">'Field Analysis'!$B$11:$F$11,LightHeader</definedName>
    <definedName name="Theme" localSheetId="3">MultiplePlots!$B$6:$P$6</definedName>
    <definedName name="Theme" localSheetId="0">tbl_Overview[#Headers]</definedName>
    <definedName name="Theme" localSheetId="2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C11" i="9"/>
  <c r="C12" i="9"/>
  <c r="C13" i="9"/>
  <c r="D68" i="3"/>
  <c r="D69" i="3"/>
  <c r="D70" i="3"/>
  <c r="D71" i="3"/>
  <c r="D72" i="3"/>
  <c r="D73" i="3"/>
  <c r="D74" i="3" a="1"/>
  <c r="D74" i="3" s="1"/>
  <c r="D75" i="3" a="1"/>
  <c r="D75" i="3" s="1"/>
  <c r="D76" i="3" a="1"/>
  <c r="D76" i="3" s="1"/>
  <c r="C73" i="3" l="1"/>
  <c r="C74" i="3"/>
  <c r="C75" i="3"/>
  <c r="C76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<sst xmlns="http://schemas.openxmlformats.org/spreadsheetml/2006/main" count="152" uniqueCount="64">
  <si>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</si>
  <si>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</si>
  <si>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</si>
  <si>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</si>
  <si>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</si>
  <si>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</si>
  <si>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</si>
  <si>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</si>
  <si>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</si>
  <si>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</si>
  <si>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</si>
  <si>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</si>
  <si>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</si>
  <si>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</si>
  <si>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</si>
  <si>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</si>
  <si>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</si>
  <si>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</si>
  <si>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</si>
  <si>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</si>
  <si>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</si>
  <si>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</si>
  <si>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</si>
  <si>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</si>
  <si>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</si>
  <si>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</si>
  <si>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</si>
  <si>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</si>
  <si>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</si>
  <si>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</si>
  <si>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</si>
  <si>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</si>
  <si>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</si>
  <si>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</si>
  <si>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</si>
  <si>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</si>
  <si>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</si>
  <si>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</si>
  <si>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</si>
  <si>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</si>
  <si>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</si>
  <si>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</si>
  <si>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</si>
  <si>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</si>
  <si>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</si>
  <si>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</si>
  <si>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</si>
  <si>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</si>
  <si>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</si>
  <si>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</si>
  <si>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</si>
  <si>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</si>
  <si>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</si>
  <si>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anscombe</t>
  </si>
  <si>
    <t>dataset</t>
  </si>
  <si>
    <t>x</t>
  </si>
  <si>
    <t>y</t>
  </si>
  <si>
    <t>1,276 bytes</t>
  </si>
  <si>
    <t>str</t>
  </si>
  <si>
    <t>I</t>
  </si>
  <si>
    <t>float64</t>
  </si>
  <si>
    <t>II</t>
  </si>
  <si>
    <t>III</t>
  </si>
  <si>
    <t>IV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</si>
</sst>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6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sz val="16"/>
      <color theme="9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b/>
      <sz val="10"/>
      <color rgb="FF000000"/>
      <name val="Calibri"/>
      <family val="2"/>
    </font>
    <font>
      <b/>
      <sz val="12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FD9CB7"/>
        <bgColor indexed="64"/>
      </patternFill>
    </fill>
  </fills>
  <borders count="19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</borders>
  <cellStyleXfs count="6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2" fillId="2" borderId="0" applyNumberFormat="0" applyFill="0" applyBorder="0" applyAlignment="0" applyProtection="0"/>
  </cellStyleXfs>
  <cellXfs count="125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0" fontId="3" fillId="8" borderId="15" xfId="1" applyNumberFormat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2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31" fillId="2" borderId="0" xfId="0" applyFont="1" applyAlignment="1">
      <alignment horizontal="right" vertical="center"/>
    </xf>
    <xf numFmtId="0" fontId="0" fillId="2" borderId="0" xfId="0" applyAlignment="1">
      <alignment horizontal="center"/>
    </xf>
    <xf numFmtId="0" fontId="0" fillId="2" borderId="0" xfId="0" applyAlignment="1">
      <alignment horizontal="right"/>
    </xf>
    <xf numFmtId="0" fontId="32" fillId="2" borderId="0" xfId="5" applyAlignment="1">
      <alignment horizontal="right"/>
    </xf>
    <xf numFmtId="0" fontId="33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2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3" fillId="2" borderId="0" xfId="0" applyFont="1" applyAlignment="1">
      <alignment horizontal="center" vertical="center"/>
    </xf>
    <xf numFmtId="0" fontId="2" fillId="2" borderId="0" xfId="1" applyFont="1" applyAlignment="1">
      <alignment horizontal="right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34" fillId="9" borderId="3" xfId="1" applyFont="1" applyFill="1" applyBorder="1" applyAlignment="1">
      <alignment horizontal="left" vertical="center" wrapText="1" indent="1"/>
    </xf>
    <xf numFmtId="0" fontId="34" fillId="9" borderId="7" xfId="1" applyFont="1" applyFill="1" applyBorder="1" applyAlignment="1">
      <alignment horizontal="left" vertical="center" wrapText="1" indent="1"/>
    </xf>
    <xf numFmtId="0" fontId="34" fillId="9" borderId="3" xfId="1" applyFont="1" applyFill="1" applyBorder="1" applyAlignment="1">
      <alignment horizontal="center" vertical="center" wrapText="1"/>
    </xf>
    <xf numFmtId="9" fontId="34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35" fillId="9" borderId="0" xfId="1" applyFont="1" applyFill="1" applyBorder="1" applyAlignment="1">
      <alignment horizontal="center" vertical="center" wrapText="1"/>
    </xf>
    <xf numFmtId="0" fontId="35" fillId="9" borderId="9" xfId="1" applyFont="1" applyFill="1" applyBorder="1" applyAlignment="1">
      <alignment horizontal="center" vertical="center"/>
    </xf>
    <xf numFmtId="0" fontId="25" fillId="9" borderId="0" xfId="1" applyFont="1" applyFill="1" applyBorder="1" applyAlignment="1">
      <alignment vertical="center" wrapText="1"/>
    </xf>
    <xf numFmtId="0" fontId="0" fillId="2" borderId="0" xfId="0" applyAlignment="1">
      <alignment textRotation="180"/>
    </xf>
  </cellXfs>
  <cellStyles count="6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57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solid">
          <fgColor indexed="64"/>
          <bgColor rgb="FFFD9CB7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56"/>
      <tableStyleElement type="headerRow" dxfId="55"/>
      <tableStyleElement type="totalRow" dxfId="54"/>
      <tableStyleElement type="firstColumn" dxfId="53"/>
      <tableStyleElement type="lastColumn" dxfId="52"/>
      <tableStyleElement type="firstRowStripe" dxfId="51"/>
      <tableStyleElement type="secondRowStripe" dxfId="50"/>
      <tableStyleElement type="firstColumnStripe" dxfId="49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DC7EE925-5BC1-4DBE-B3F6-52D0105721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97D12BC7-B336-0C6A-9AA7-BFF43D056A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40</xdr:row>
      <xdr:rowOff>95250</xdr:rowOff>
    </xdr:from>
    <xdr:to>
      <xdr:col>4</xdr:col>
      <xdr:colOff>1809750</xdr:colOff>
      <xdr:row>40</xdr:row>
      <xdr:rowOff>1809750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88D1B4C8-AC63-81C1-9064-8834BEEBAD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B13CED1C-01BC-3E0D-EA03-86737C5573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6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40</xdr:row>
      <xdr:rowOff>95250</xdr:rowOff>
    </xdr:from>
    <xdr:to>
      <xdr:col>5</xdr:col>
      <xdr:colOff>1809750</xdr:colOff>
      <xdr:row>40</xdr:row>
      <xdr:rowOff>1809750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72C156BB-B1AF-DDAE-6605-CA74929A99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69330" y="433959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3" totalsRowShown="0" headerRowDxfId="5" dataDxfId="47" headerRowBorderDxfId="48" headerRowCellStyle="Normal 2">
  <autoFilter ref="B10:AA13" xr:uid="{7EC467B7-DE9E-48DF-95B5-2995F1F6DE8F}"/>
  <tableColumns count="26">
    <tableColumn id="1" xr3:uid="{CDAE6949-9186-42E8-AEBE-1928381A0155}" name="Field" dataDxfId="46" dataCellStyle="Normal 2"/>
    <tableColumn id="2" xr3:uid="{24D139B7-BFC8-4DD9-8DE4-2245810E04F3}" name="Definition" dataDxfId="4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3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45"/>
    <tableColumn id="8" xr3:uid="{30CDB1E0-924C-48B4-82F4-9B3E3228BE95}" name="Distinct %" dataDxfId="44"/>
    <tableColumn id="12" xr3:uid="{03824906-BEA5-4B63-A981-21F959B6439E}" name="Missing %" dataDxfId="43" dataCellStyle="Percent 2"/>
    <tableColumn id="6" xr3:uid="{8DFFE5A0-8676-4576-AB4D-97E8B31EC097}" name="Memory Usage %" dataDxfId="42" dataCellStyle="Percent 2"/>
    <tableColumn id="5" xr3:uid="{DD50C3DA-F4A8-40F0-AFBD-DBF916650F7E}" name="Memory Usage" dataDxfId="41"/>
    <tableColumn id="7" xr3:uid="{A0CD56D0-07EF-46CA-BC46-D54CD5E746C7}" name="Distinct" dataDxfId="40"/>
    <tableColumn id="9" xr3:uid="{1C848176-6AC1-44A6-9B3B-F1C9E8BC32EA}" name="Count" dataDxfId="39"/>
    <tableColumn id="10" xr3:uid="{6C6E6A37-4969-459F-AC39-2193366810E2}" name="Count %" dataDxfId="38"/>
    <tableColumn id="11" xr3:uid="{CD47252D-0307-4513-AF7C-13CC4AA1FCD9}" name="Missing" dataDxfId="37"/>
    <tableColumn id="13" xr3:uid="{2B45F7F8-CE35-48A6-BB27-9684B5D7936D}" name="Mean" dataDxfId="36"/>
    <tableColumn id="14" xr3:uid="{293386E4-1FA6-4340-9DC6-54CC26209C0A}" name="Median" dataDxfId="35"/>
    <tableColumn id="15" xr3:uid="{29252F5E-4163-4D62-89FC-FF85F6C4755C}" name="Mode" dataDxfId="34"/>
    <tableColumn id="16" xr3:uid="{69FFA3C1-FD1E-4395-AF2E-177FDFCDE62A}" name="Standard Deviation" dataDxfId="33"/>
    <tableColumn id="17" xr3:uid="{2AAB37E9-8AE2-4771-B92B-C04BFABA0B4E}" name="Variance" dataDxfId="32"/>
    <tableColumn id="18" xr3:uid="{07151E41-6633-4A65-A7E1-091F027DEF95}" name="Min" dataDxfId="31"/>
    <tableColumn id="19" xr3:uid="{41A1FD5D-4E5C-45B3-A0C7-1820F89F417F}" name="5%" dataDxfId="30"/>
    <tableColumn id="20" xr3:uid="{50D70984-5A2E-4A19-9F2B-5DA0502339BC}" name="25%" dataDxfId="29"/>
    <tableColumn id="21" xr3:uid="{75FF5489-8FC0-4894-83BC-802076BF1066}" name="50%" dataDxfId="28"/>
    <tableColumn id="22" xr3:uid="{B7FA20A8-EE17-470E-93AD-54011230C113}" name="75%" dataDxfId="27"/>
    <tableColumn id="23" xr3:uid="{378BE758-7A3F-4C04-A75B-FE899B1B0BAD}" name="95%" dataDxfId="26"/>
    <tableColumn id="24" xr3:uid="{818594E7-DC84-4229-81F6-97C1E2E93633}" name="Max" dataDxfId="25"/>
    <tableColumn id="25" xr3:uid="{D8116583-A886-47C1-85E2-D28AD96194AD}" name="Range" dataDxfId="24"/>
    <tableColumn id="26" xr3:uid="{D061AC6A-EAB2-461F-8AB8-E743DC68E666}" name="IQR" dataDxfId="23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G122" totalsRowShown="0" headerRowDxfId="13" dataDxfId="12">
  <autoFilter ref="C78:G122" xr:uid="{DB263373-2B4F-4302-9CF6-5012CE3F1A47}"/>
  <tableColumns count="5">
    <tableColumn id="1" xr3:uid="{B87F6371-B38F-4AA9-8A9B-F1D62600E38F}" name="Record List" dataDxfId="1" dataCellStyle="Normal 2"/>
    <tableColumn id="2" xr3:uid="{55547D6A-0C4F-44F3-8DA7-D9918F9ECA79}" name="dataset" dataDxfId="11"/>
    <tableColumn id="8" xr3:uid="{5CEA6B82-08F7-4BBF-BE74-DD211F1E2384}" name="x" dataDxfId="10"/>
    <tableColumn id="3" xr3:uid="{6C0B3232-D5C0-4185-AF99-A47484E561D2}" name="y" dataDxfId="9"/>
    <tableColumn id="4" xr3:uid="{39B8CF28-808C-459C-8A2C-36EAB64F8A52}" name="Record Hash" dataDxfId="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3"/>
  <sheetViews>
    <sheetView zoomScale="85" zoomScaleNormal="85" workbookViewId="0">
      <selection activeCell="C10" sqref="C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79" t="str">
        <f>Name</f>
        <v>anscombe</v>
      </c>
      <c r="C2"/>
      <c r="AA2" s="105"/>
    </row>
    <row r="3" spans="2:27" ht="10.050000000000001" customHeight="1">
      <c r="B3"/>
      <c r="C3"/>
      <c r="AA3" s="106"/>
    </row>
    <row r="4" spans="2:27">
      <c r="B4" s="88" t="s">
        <v>26</v>
      </c>
      <c r="C4" s="46">
        <v>44</v>
      </c>
      <c r="AA4" s="107"/>
    </row>
    <row r="5" spans="2:27">
      <c r="B5" s="88" t="s">
        <v>27</v>
      </c>
      <c r="C5" s="47">
        <v>3</v>
      </c>
    </row>
    <row r="6" spans="2:27">
      <c r="B6" s="90" t="s">
        <v>4</v>
      </c>
      <c r="C6" s="47" t="s">
        <v>57</v>
      </c>
      <c r="F6" s="44"/>
    </row>
    <row r="7" spans="2:27">
      <c r="B7" s="86" t="s">
        <v>7</v>
      </c>
      <c r="C7" s="43">
        <v>1</v>
      </c>
    </row>
    <row r="8" spans="2:27">
      <c r="B8" s="90" t="s">
        <v>10</v>
      </c>
      <c r="C8" s="45">
        <v>0</v>
      </c>
      <c r="D8" s="42"/>
    </row>
    <row r="9" spans="2:27" ht="24" customHeight="1">
      <c r="B9"/>
      <c r="C9"/>
    </row>
    <row r="10" spans="2:27" ht="34.950000000000003" customHeight="1">
      <c r="B10" s="115" t="s">
        <v>28</v>
      </c>
      <c r="C10" s="116" t="s">
        <v>29</v>
      </c>
      <c r="D10" s="116" t="s">
        <v>30</v>
      </c>
      <c r="E10" s="117" t="s">
        <v>3</v>
      </c>
      <c r="F10" s="117" t="s">
        <v>7</v>
      </c>
      <c r="G10" s="117" t="s">
        <v>10</v>
      </c>
      <c r="H10" s="117" t="s">
        <v>5</v>
      </c>
      <c r="I10" s="117" t="s">
        <v>4</v>
      </c>
      <c r="J10" s="117" t="s">
        <v>6</v>
      </c>
      <c r="K10" s="117" t="s">
        <v>8</v>
      </c>
      <c r="L10" s="117" t="s">
        <v>32</v>
      </c>
      <c r="M10" s="117" t="s">
        <v>9</v>
      </c>
      <c r="N10" s="117" t="s">
        <v>11</v>
      </c>
      <c r="O10" s="117" t="s">
        <v>12</v>
      </c>
      <c r="P10" s="117" t="s">
        <v>13</v>
      </c>
      <c r="Q10" s="117" t="s">
        <v>14</v>
      </c>
      <c r="R10" s="117" t="s">
        <v>15</v>
      </c>
      <c r="S10" s="117" t="s">
        <v>16</v>
      </c>
      <c r="T10" s="118" t="s">
        <v>33</v>
      </c>
      <c r="U10" s="118" t="s">
        <v>34</v>
      </c>
      <c r="V10" s="118" t="s">
        <v>35</v>
      </c>
      <c r="W10" s="118" t="s">
        <v>36</v>
      </c>
      <c r="X10" s="118" t="s">
        <v>37</v>
      </c>
      <c r="Y10" s="117" t="s">
        <v>17</v>
      </c>
      <c r="Z10" s="117" t="s">
        <v>18</v>
      </c>
      <c r="AA10" s="117" t="s">
        <v>19</v>
      </c>
    </row>
    <row r="11" spans="2:27">
      <c r="B11" s="60" t="s">
        <v>54</v>
      </c>
      <c r="C11" s="48" t="str">
        <f>IF(INDEX(Definitions,1,MATCH(tbl_Overview[[#This Row],[Field]],Headers,0))="Definition","",INDEX(Definitions,1,MATCH(tbl_Overview[[#This Row],[Field]],Headers,0)))</f>
        <v/>
      </c>
      <c r="D11" s="48" t="str">
        <f>IF(INDEX(Notes,1,MATCH(tbl_Overview[[#This Row],[Field]],Headers,0))="Notes","",INDEX(Notes,1,MATCH(tbl_Overview[[#This Row],[Field]],Headers,0)))</f>
        <v/>
      </c>
      <c r="E11" s="95" t="s">
        <v>58</v>
      </c>
      <c r="F11" s="50">
        <v>9.0909090909090898E-2</v>
      </c>
      <c r="G11" s="51">
        <v>0</v>
      </c>
      <c r="H11" s="50">
        <v>0.29693741677762903</v>
      </c>
      <c r="I11" s="52">
        <v>446</v>
      </c>
      <c r="J11" s="52">
        <v>4</v>
      </c>
      <c r="K11" s="52">
        <v>44</v>
      </c>
      <c r="L11" s="53">
        <v>1</v>
      </c>
      <c r="M11" s="52">
        <v>0</v>
      </c>
      <c r="N11" s="54"/>
      <c r="O11" s="54"/>
      <c r="P11" s="54" t="s">
        <v>59</v>
      </c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</row>
    <row r="12" spans="2:27">
      <c r="B12" s="61" t="s">
        <v>55</v>
      </c>
      <c r="C12" s="49" t="str">
        <f>IF(INDEX(Definitions,1,MATCH(tbl_Overview[[#This Row],[Field]],Headers,0))="Definition","",INDEX(Definitions,1,MATCH(tbl_Overview[[#This Row],[Field]],Headers,0)))</f>
        <v/>
      </c>
      <c r="D12" s="49" t="str">
        <f>IF(INDEX(Notes,1,MATCH(tbl_Overview[[#This Row],[Field]],Headers,0))="Notes","",INDEX(Notes,1,MATCH(tbl_Overview[[#This Row],[Field]],Headers,0)))</f>
        <v/>
      </c>
      <c r="E12" s="95" t="s">
        <v>60</v>
      </c>
      <c r="F12" s="53">
        <v>0.27272727272727199</v>
      </c>
      <c r="G12" s="55">
        <v>0</v>
      </c>
      <c r="H12" s="56">
        <v>0.234354194407456</v>
      </c>
      <c r="I12" s="52">
        <v>352</v>
      </c>
      <c r="J12" s="52">
        <v>12</v>
      </c>
      <c r="K12" s="52">
        <v>44</v>
      </c>
      <c r="L12" s="53">
        <v>1</v>
      </c>
      <c r="M12" s="52">
        <v>0</v>
      </c>
      <c r="N12" s="54">
        <v>9</v>
      </c>
      <c r="O12" s="54">
        <v>8</v>
      </c>
      <c r="P12" s="54">
        <v>8</v>
      </c>
      <c r="Q12" s="54">
        <v>3.1988369979626698</v>
      </c>
      <c r="R12" s="54">
        <v>10.232558139534801</v>
      </c>
      <c r="S12" s="54">
        <v>4</v>
      </c>
      <c r="T12" s="54">
        <v>4.1500000000000004</v>
      </c>
      <c r="U12" s="54">
        <v>7</v>
      </c>
      <c r="V12" s="54">
        <v>8</v>
      </c>
      <c r="W12" s="54">
        <v>11</v>
      </c>
      <c r="X12" s="54">
        <v>14</v>
      </c>
      <c r="Y12" s="54">
        <v>19</v>
      </c>
      <c r="Z12" s="54">
        <v>15</v>
      </c>
      <c r="AA12" s="54">
        <v>4</v>
      </c>
    </row>
    <row r="13" spans="2:27">
      <c r="B13" s="61" t="s">
        <v>56</v>
      </c>
      <c r="C13" s="62" t="str">
        <f>IF(INDEX(Definitions,1,MATCH(tbl_Overview[[#This Row],[Field]],Headers,0))="Definition","",INDEX(Definitions,1,MATCH(tbl_Overview[[#This Row],[Field]],Headers,0)))</f>
        <v/>
      </c>
      <c r="D13" s="63" t="str">
        <f>IF(INDEX(Notes,1,MATCH(tbl_Overview[[#This Row],[Field]],Headers,0))="Notes","",INDEX(Notes,1,MATCH(tbl_Overview[[#This Row],[Field]],Headers,0)))</f>
        <v/>
      </c>
      <c r="E13" s="95" t="s">
        <v>60</v>
      </c>
      <c r="F13" s="53">
        <v>0.97727272727272696</v>
      </c>
      <c r="G13" s="55">
        <v>0</v>
      </c>
      <c r="H13" s="56">
        <v>0.234354194407456</v>
      </c>
      <c r="I13" s="52">
        <v>352</v>
      </c>
      <c r="J13" s="52">
        <v>43</v>
      </c>
      <c r="K13" s="52">
        <v>44</v>
      </c>
      <c r="L13" s="53">
        <v>1</v>
      </c>
      <c r="M13" s="52">
        <v>0</v>
      </c>
      <c r="N13" s="54">
        <v>7.5006818181818096</v>
      </c>
      <c r="O13" s="54">
        <v>7.52</v>
      </c>
      <c r="P13" s="54">
        <v>8.84</v>
      </c>
      <c r="Q13" s="54">
        <v>1.9589251890784101</v>
      </c>
      <c r="R13" s="54">
        <v>3.83738789640591</v>
      </c>
      <c r="S13" s="54">
        <v>3.1</v>
      </c>
      <c r="T13" s="54">
        <v>4.7519999999999998</v>
      </c>
      <c r="U13" s="54">
        <v>6.1174999999999997</v>
      </c>
      <c r="V13" s="54">
        <v>7.52</v>
      </c>
      <c r="W13" s="54">
        <v>8.7475000000000005</v>
      </c>
      <c r="X13" s="54">
        <v>10.708</v>
      </c>
      <c r="Y13" s="54">
        <v>12.74</v>
      </c>
      <c r="Z13" s="54">
        <v>9.64</v>
      </c>
      <c r="AA13" s="54">
        <v>2.63</v>
      </c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3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122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111" customWidth="1"/>
    <col min="3" max="3" width="25.77734375" style="6" customWidth="1"/>
    <col min="4" max="6" width="27.77734375" style="1" customWidth="1"/>
    <col min="7" max="7" width="18" bestFit="1" customWidth="1"/>
    <col min="11" max="11" width="7.5546875" bestFit="1" customWidth="1"/>
    <col min="12" max="12" width="7.33203125" customWidth="1"/>
  </cols>
  <sheetData>
    <row r="1" spans="1:14" ht="31.8" hidden="1" customHeight="1">
      <c r="A1" s="38"/>
      <c r="B1" s="38"/>
      <c r="C1" s="39" t="s">
        <v>39</v>
      </c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</row>
    <row r="2" spans="1:14" ht="10.050000000000001" customHeight="1">
      <c r="A2" s="65"/>
      <c r="B2" s="109"/>
      <c r="C2" s="65"/>
      <c r="D2"/>
      <c r="E2"/>
    </row>
    <row r="3" spans="1:14" ht="36.6" customHeight="1">
      <c r="A3" s="67"/>
      <c r="B3" s="108" t="s">
        <v>0</v>
      </c>
      <c r="C3" s="79" t="s">
        <v>53</v>
      </c>
      <c r="D3"/>
      <c r="E3"/>
      <c r="F3" s="100"/>
      <c r="H3" s="97"/>
    </row>
    <row r="4" spans="1:14" ht="4.95" customHeight="1">
      <c r="A4" s="65"/>
      <c r="B4" s="109"/>
      <c r="C4" s="65"/>
      <c r="D4"/>
      <c r="E4"/>
      <c r="F4" s="99"/>
    </row>
    <row r="5" spans="1:14" ht="19.95" customHeight="1">
      <c r="A5" s="67"/>
      <c r="B5" s="78" t="s">
        <v>0</v>
      </c>
      <c r="C5" s="80" t="s">
        <v>30</v>
      </c>
      <c r="D5"/>
      <c r="E5"/>
      <c r="F5" s="101"/>
    </row>
    <row r="6" spans="1:14" ht="4.95" customHeight="1">
      <c r="A6" s="30"/>
      <c r="B6" s="73"/>
      <c r="C6" s="74"/>
      <c r="D6" s="67"/>
      <c r="E6" s="67"/>
      <c r="F6" s="67"/>
      <c r="G6" s="98"/>
    </row>
    <row r="7" spans="1:14" ht="37.799999999999997" hidden="1" customHeight="1" outlineLevel="1">
      <c r="A7" s="30"/>
      <c r="B7" s="73"/>
      <c r="C7" s="75" t="s">
        <v>38</v>
      </c>
      <c r="D7" s="72" t="s">
        <v>29</v>
      </c>
      <c r="E7" s="72" t="s">
        <v>29</v>
      </c>
      <c r="F7" s="72" t="s">
        <v>29</v>
      </c>
    </row>
    <row r="8" spans="1:14" ht="10.050000000000001" hidden="1" customHeight="1" outlineLevel="1">
      <c r="A8" s="64"/>
      <c r="B8" s="76"/>
      <c r="C8" s="64"/>
      <c r="D8" s="65"/>
      <c r="E8" s="65"/>
      <c r="F8" s="65"/>
    </row>
    <row r="9" spans="1:14" ht="37.799999999999997" hidden="1" customHeight="1" outlineLevel="1">
      <c r="A9" s="30"/>
      <c r="B9" s="110"/>
      <c r="C9" s="75" t="s">
        <v>1</v>
      </c>
      <c r="D9" s="72" t="s">
        <v>1</v>
      </c>
      <c r="E9" s="72" t="s">
        <v>1</v>
      </c>
      <c r="F9" s="72" t="s">
        <v>1</v>
      </c>
    </row>
    <row r="10" spans="1:14" ht="4.95" hidden="1" customHeight="1" outlineLevel="1">
      <c r="B10" s="28"/>
      <c r="C10" s="3"/>
      <c r="D10" s="57"/>
      <c r="E10" s="57"/>
      <c r="F10" s="57"/>
    </row>
    <row r="11" spans="1:14" s="94" customFormat="1" ht="30" customHeight="1" collapsed="1">
      <c r="A11" s="5"/>
      <c r="B11" s="119"/>
      <c r="C11" s="120" t="s">
        <v>2</v>
      </c>
      <c r="D11" s="121" t="s">
        <v>54</v>
      </c>
      <c r="E11" s="121" t="s">
        <v>55</v>
      </c>
      <c r="F11" s="121" t="s">
        <v>56</v>
      </c>
      <c r="G11" s="94" t="s">
        <v>20</v>
      </c>
    </row>
    <row r="12" spans="1:14" ht="4.95" customHeight="1">
      <c r="A12"/>
      <c r="C12"/>
      <c r="D12"/>
      <c r="E12"/>
      <c r="F12"/>
    </row>
    <row r="13" spans="1:14" ht="19.95" customHeight="1" outlineLevel="1">
      <c r="A13" s="67"/>
      <c r="B13" s="78" t="s">
        <v>0</v>
      </c>
      <c r="C13" s="80" t="s">
        <v>52</v>
      </c>
      <c r="D13" s="66"/>
      <c r="E13" s="66"/>
      <c r="F13" s="66"/>
    </row>
    <row r="14" spans="1:14" ht="4.95" customHeight="1" outlineLevel="1">
      <c r="A14" s="67"/>
      <c r="B14" s="69"/>
      <c r="C14" s="70"/>
      <c r="D14" s="67"/>
      <c r="E14" s="66"/>
      <c r="F14" s="66"/>
    </row>
    <row r="15" spans="1:14" ht="84.6" hidden="1" customHeight="1" outlineLevel="2">
      <c r="A15" s="67"/>
      <c r="B15" s="69"/>
      <c r="C15" s="77"/>
      <c r="D15" s="113" t="s">
        <v>25</v>
      </c>
      <c r="E15" s="114"/>
      <c r="F15" s="66"/>
    </row>
    <row r="16" spans="1:14" ht="10.050000000000001" hidden="1" customHeight="1" outlineLevel="2">
      <c r="A16" s="67"/>
      <c r="B16" s="69"/>
      <c r="C16" s="71"/>
      <c r="D16" s="68"/>
      <c r="E16" s="67"/>
      <c r="F16" s="67"/>
    </row>
    <row r="17" spans="1:9" hidden="1" outlineLevel="2">
      <c r="A17" s="67"/>
      <c r="B17" s="69"/>
      <c r="C17" s="91" t="s">
        <v>26</v>
      </c>
      <c r="D17" s="93">
        <v>44</v>
      </c>
      <c r="E17" s="44"/>
      <c r="F17" s="44"/>
    </row>
    <row r="18" spans="1:9" hidden="1" outlineLevel="2">
      <c r="A18" s="67"/>
      <c r="B18" s="69"/>
      <c r="C18" s="91" t="s">
        <v>46</v>
      </c>
      <c r="D18" s="93">
        <v>3</v>
      </c>
      <c r="E18" s="44"/>
      <c r="F18" s="44"/>
    </row>
    <row r="19" spans="1:9" ht="4.95" hidden="1" customHeight="1" outlineLevel="2">
      <c r="A19" s="67"/>
      <c r="B19" s="69"/>
      <c r="C19" s="71"/>
      <c r="D19" s="68"/>
      <c r="E19"/>
      <c r="F19"/>
    </row>
    <row r="20" spans="1:9" ht="19.95" customHeight="1" outlineLevel="1" collapsed="1">
      <c r="B20" s="78" t="s">
        <v>0</v>
      </c>
      <c r="C20" s="80" t="s">
        <v>51</v>
      </c>
      <c r="D20" s="92"/>
      <c r="E20"/>
      <c r="F20"/>
      <c r="I20" s="124"/>
    </row>
    <row r="21" spans="1:9" ht="4.95" customHeight="1" outlineLevel="1">
      <c r="B21" s="9"/>
      <c r="C21" s="33"/>
      <c r="D21" s="33"/>
      <c r="E21" s="33"/>
      <c r="F21" s="33"/>
    </row>
    <row r="22" spans="1:9" ht="14.4" hidden="1" customHeight="1" outlineLevel="2">
      <c r="A22" s="34"/>
      <c r="B22" s="35"/>
      <c r="C22" s="88" t="s">
        <v>3</v>
      </c>
      <c r="D22" s="11" t="s">
        <v>58</v>
      </c>
      <c r="E22" s="11" t="s">
        <v>60</v>
      </c>
      <c r="F22" s="11" t="s">
        <v>60</v>
      </c>
    </row>
    <row r="23" spans="1:9" ht="14.4" hidden="1" customHeight="1" outlineLevel="2">
      <c r="A23" s="34"/>
      <c r="B23" s="36"/>
      <c r="C23" s="86" t="s">
        <v>7</v>
      </c>
      <c r="D23" s="37">
        <v>9.0909090909090898E-2</v>
      </c>
      <c r="E23" s="37">
        <v>0.27272727272727199</v>
      </c>
      <c r="F23" s="37">
        <v>0.97727272727272696</v>
      </c>
    </row>
    <row r="24" spans="1:9" ht="14.4" hidden="1" customHeight="1" outlineLevel="2">
      <c r="A24" s="34"/>
      <c r="B24" s="36"/>
      <c r="C24" s="86" t="s">
        <v>10</v>
      </c>
      <c r="D24" s="37">
        <v>0</v>
      </c>
      <c r="E24" s="37">
        <v>0</v>
      </c>
      <c r="F24" s="37">
        <v>0</v>
      </c>
    </row>
    <row r="25" spans="1:9" ht="14.4" hidden="1" customHeight="1" outlineLevel="2">
      <c r="B25" s="12"/>
      <c r="C25" s="90" t="s">
        <v>5</v>
      </c>
      <c r="D25" s="37">
        <v>0.29693741677762903</v>
      </c>
      <c r="E25" s="37">
        <v>0.234354194407456</v>
      </c>
      <c r="F25" s="37">
        <v>0.234354194407456</v>
      </c>
    </row>
    <row r="26" spans="1:9" ht="14.4" hidden="1" customHeight="1" outlineLevel="2">
      <c r="B26" s="12"/>
      <c r="C26" s="86" t="s">
        <v>4</v>
      </c>
      <c r="D26" s="11">
        <v>446</v>
      </c>
      <c r="E26" s="11">
        <v>352</v>
      </c>
      <c r="F26" s="11">
        <v>352</v>
      </c>
    </row>
    <row r="27" spans="1:9" ht="14.4" hidden="1" customHeight="1" outlineLevel="2">
      <c r="B27" s="12"/>
      <c r="C27" s="86" t="s">
        <v>6</v>
      </c>
      <c r="D27" s="11">
        <v>4</v>
      </c>
      <c r="E27" s="11">
        <v>12</v>
      </c>
      <c r="F27" s="11">
        <v>43</v>
      </c>
    </row>
    <row r="28" spans="1:9" ht="14.4" hidden="1" customHeight="1" outlineLevel="2">
      <c r="B28" s="12"/>
      <c r="C28" s="86" t="s">
        <v>8</v>
      </c>
      <c r="D28" s="11">
        <v>44</v>
      </c>
      <c r="E28" s="11">
        <v>44</v>
      </c>
      <c r="F28" s="11">
        <v>44</v>
      </c>
    </row>
    <row r="29" spans="1:9" ht="14.4" hidden="1" customHeight="1" outlineLevel="2">
      <c r="B29" s="12"/>
      <c r="C29" s="90" t="s">
        <v>9</v>
      </c>
      <c r="D29" s="13">
        <v>0</v>
      </c>
      <c r="E29" s="13">
        <v>0</v>
      </c>
      <c r="F29" s="13">
        <v>0</v>
      </c>
    </row>
    <row r="30" spans="1:9" ht="4.95" hidden="1" customHeight="1" outlineLevel="2">
      <c r="B30" s="9"/>
      <c r="D30" s="6"/>
      <c r="E30" s="6"/>
      <c r="F30" s="6"/>
    </row>
    <row r="31" spans="1:9" ht="150" hidden="1" customHeight="1" outlineLevel="2">
      <c r="B31" s="19"/>
      <c r="C31" s="15"/>
      <c r="D31" s="16"/>
      <c r="E31" s="16"/>
      <c r="F31" s="16"/>
    </row>
    <row r="32" spans="1:9" ht="4.95" hidden="1" customHeight="1" outlineLevel="2">
      <c r="B32" s="9"/>
      <c r="D32" s="6"/>
      <c r="E32" s="6"/>
      <c r="F32" s="6"/>
    </row>
    <row r="33" spans="1:6" ht="19.95" customHeight="1" outlineLevel="1" collapsed="1">
      <c r="B33" s="78" t="s">
        <v>0</v>
      </c>
      <c r="C33" s="80" t="s">
        <v>50</v>
      </c>
      <c r="D33" s="6"/>
      <c r="E33" s="6"/>
      <c r="F33" s="6"/>
    </row>
    <row r="34" spans="1:6" ht="4.95" customHeight="1" outlineLevel="1">
      <c r="A34" s="18"/>
      <c r="B34" s="19"/>
      <c r="C34" s="20"/>
      <c r="D34" s="6"/>
      <c r="E34" s="6"/>
      <c r="F34" s="6"/>
    </row>
    <row r="35" spans="1:6" ht="14.4" hidden="1" customHeight="1" outlineLevel="2">
      <c r="B35" s="10"/>
      <c r="C35" s="88" t="s">
        <v>11</v>
      </c>
      <c r="D35" s="21"/>
      <c r="E35" s="21">
        <v>9</v>
      </c>
      <c r="F35" s="21">
        <v>7.5006818181818096</v>
      </c>
    </row>
    <row r="36" spans="1:6" ht="14.4" hidden="1" customHeight="1" outlineLevel="2">
      <c r="B36" s="12"/>
      <c r="C36" s="89" t="s">
        <v>12</v>
      </c>
      <c r="D36" s="22"/>
      <c r="E36" s="22">
        <v>8</v>
      </c>
      <c r="F36" s="22">
        <v>7.52</v>
      </c>
    </row>
    <row r="37" spans="1:6" ht="14.4" hidden="1" customHeight="1" outlineLevel="2">
      <c r="B37" s="12"/>
      <c r="C37" s="86" t="s">
        <v>13</v>
      </c>
      <c r="D37" s="13" t="s">
        <v>59</v>
      </c>
      <c r="E37" s="13">
        <v>8</v>
      </c>
      <c r="F37" s="13">
        <v>8.84</v>
      </c>
    </row>
    <row r="38" spans="1:6" ht="14.4" hidden="1" customHeight="1" outlineLevel="2">
      <c r="B38" s="12"/>
      <c r="C38" s="89" t="s">
        <v>14</v>
      </c>
      <c r="D38" s="23"/>
      <c r="E38" s="23">
        <v>3.1988369979626698</v>
      </c>
      <c r="F38" s="23">
        <v>1.9589251890784101</v>
      </c>
    </row>
    <row r="39" spans="1:6" ht="14.4" hidden="1" customHeight="1" outlineLevel="2">
      <c r="B39" s="12"/>
      <c r="C39" s="90" t="s">
        <v>15</v>
      </c>
      <c r="D39" s="21"/>
      <c r="E39" s="21">
        <v>10.232558139534801</v>
      </c>
      <c r="F39" s="21">
        <v>3.83738789640591</v>
      </c>
    </row>
    <row r="40" spans="1:6" ht="4.95" hidden="1" customHeight="1" outlineLevel="2">
      <c r="B40" s="9"/>
      <c r="D40" s="6"/>
      <c r="E40" s="6"/>
      <c r="F40" s="6"/>
    </row>
    <row r="41" spans="1:6" ht="150" hidden="1" customHeight="1" outlineLevel="2">
      <c r="A41" s="18"/>
      <c r="B41" s="19"/>
      <c r="C41" s="15"/>
      <c r="D41" s="16"/>
      <c r="E41" s="16"/>
      <c r="F41" s="16"/>
    </row>
    <row r="42" spans="1:6" ht="4.95" hidden="1" customHeight="1" outlineLevel="2">
      <c r="A42" s="18"/>
      <c r="B42" s="19"/>
      <c r="C42" s="24"/>
      <c r="D42" s="6"/>
      <c r="E42" s="6"/>
      <c r="F42" s="6"/>
    </row>
    <row r="43" spans="1:6" ht="19.95" customHeight="1" outlineLevel="1" collapsed="1">
      <c r="B43" s="78" t="s">
        <v>0</v>
      </c>
      <c r="C43" s="80" t="s">
        <v>49</v>
      </c>
      <c r="D43" s="6"/>
      <c r="E43" s="6"/>
      <c r="F43" s="6"/>
    </row>
    <row r="44" spans="1:6" ht="4.95" customHeight="1" outlineLevel="1">
      <c r="A44" s="18"/>
      <c r="B44" s="19"/>
      <c r="C44" s="20"/>
      <c r="D44" s="6"/>
      <c r="E44" s="6"/>
      <c r="F44" s="6"/>
    </row>
    <row r="45" spans="1:6" ht="14.4" hidden="1" customHeight="1" outlineLevel="2">
      <c r="B45" s="10"/>
      <c r="C45" s="83" t="s">
        <v>16</v>
      </c>
      <c r="D45" s="23"/>
      <c r="E45" s="23">
        <v>4</v>
      </c>
      <c r="F45" s="23">
        <v>3.1</v>
      </c>
    </row>
    <row r="46" spans="1:6" ht="14.4" hidden="1" customHeight="1" outlineLevel="2">
      <c r="B46" s="9"/>
      <c r="C46" s="84">
        <v>0.05</v>
      </c>
      <c r="D46" s="21"/>
      <c r="E46" s="21">
        <v>4.1500000000000004</v>
      </c>
      <c r="F46" s="21">
        <v>4.7519999999999998</v>
      </c>
    </row>
    <row r="47" spans="1:6" ht="14.4" hidden="1" customHeight="1" outlineLevel="2">
      <c r="B47" s="9"/>
      <c r="C47" s="85">
        <v>0.25</v>
      </c>
      <c r="D47" s="23"/>
      <c r="E47" s="23">
        <v>7</v>
      </c>
      <c r="F47" s="23">
        <v>6.1174999999999997</v>
      </c>
    </row>
    <row r="48" spans="1:6" ht="14.4" hidden="1" customHeight="1" outlineLevel="2">
      <c r="B48" s="9"/>
      <c r="C48" s="84">
        <v>0.5</v>
      </c>
      <c r="D48" s="21"/>
      <c r="E48" s="21">
        <v>8</v>
      </c>
      <c r="F48" s="21">
        <v>7.52</v>
      </c>
    </row>
    <row r="49" spans="1:6" ht="14.4" hidden="1" customHeight="1" outlineLevel="2">
      <c r="B49" s="9"/>
      <c r="C49" s="85">
        <v>0.75</v>
      </c>
      <c r="D49" s="23"/>
      <c r="E49" s="23">
        <v>11</v>
      </c>
      <c r="F49" s="23">
        <v>8.7475000000000005</v>
      </c>
    </row>
    <row r="50" spans="1:6" ht="14.4" hidden="1" customHeight="1" outlineLevel="2">
      <c r="B50" s="9"/>
      <c r="C50" s="84">
        <v>0.95</v>
      </c>
      <c r="D50" s="21"/>
      <c r="E50" s="21">
        <v>14</v>
      </c>
      <c r="F50" s="21">
        <v>10.708</v>
      </c>
    </row>
    <row r="51" spans="1:6" ht="14.4" hidden="1" customHeight="1" outlineLevel="2">
      <c r="B51" s="9"/>
      <c r="C51" s="85" t="s">
        <v>17</v>
      </c>
      <c r="D51" s="23"/>
      <c r="E51" s="23">
        <v>19</v>
      </c>
      <c r="F51" s="23">
        <v>12.74</v>
      </c>
    </row>
    <row r="52" spans="1:6" ht="14.4" hidden="1" customHeight="1" outlineLevel="2">
      <c r="B52" s="9"/>
      <c r="C52" s="86" t="s">
        <v>18</v>
      </c>
      <c r="D52" s="21"/>
      <c r="E52" s="21">
        <v>15</v>
      </c>
      <c r="F52" s="21">
        <v>9.64</v>
      </c>
    </row>
    <row r="53" spans="1:6" ht="14.4" hidden="1" customHeight="1" outlineLevel="2">
      <c r="B53" s="9"/>
      <c r="C53" s="87" t="s">
        <v>19</v>
      </c>
      <c r="D53" s="23"/>
      <c r="E53" s="23">
        <v>4</v>
      </c>
      <c r="F53" s="23">
        <v>2.63</v>
      </c>
    </row>
    <row r="54" spans="1:6" ht="4.95" hidden="1" customHeight="1" outlineLevel="2">
      <c r="B54" s="9"/>
      <c r="D54" s="6"/>
      <c r="E54" s="6"/>
      <c r="F54" s="6"/>
    </row>
    <row r="55" spans="1:6" ht="19.95" customHeight="1" outlineLevel="1" collapsed="1">
      <c r="A55" s="28"/>
      <c r="B55" s="78" t="s">
        <v>0</v>
      </c>
      <c r="C55" s="80" t="s">
        <v>48</v>
      </c>
      <c r="D55" s="6"/>
      <c r="E55" s="6"/>
      <c r="F55" s="6"/>
    </row>
    <row r="56" spans="1:6" ht="4.95" customHeight="1" outlineLevel="1">
      <c r="A56" s="28"/>
      <c r="B56" s="19"/>
      <c r="D56" s="6"/>
      <c r="E56" s="6"/>
      <c r="F56" s="6"/>
    </row>
    <row r="57" spans="1:6" ht="14.4" hidden="1" customHeight="1" outlineLevel="2">
      <c r="A57" s="28"/>
      <c r="B57" s="28"/>
      <c r="C57" s="81" t="s">
        <v>40</v>
      </c>
      <c r="D57" s="59" t="b">
        <v>0</v>
      </c>
      <c r="E57" s="59" t="b">
        <v>0</v>
      </c>
      <c r="F57" s="59" t="b">
        <v>0</v>
      </c>
    </row>
    <row r="58" spans="1:6" ht="14.4" hidden="1" customHeight="1" outlineLevel="2">
      <c r="A58" s="28"/>
      <c r="B58" s="28"/>
      <c r="C58" s="81" t="s">
        <v>41</v>
      </c>
      <c r="D58" s="59" t="b">
        <v>0</v>
      </c>
      <c r="E58" s="59" t="b">
        <v>0</v>
      </c>
      <c r="F58" s="59" t="b">
        <v>0</v>
      </c>
    </row>
    <row r="59" spans="1:6" ht="14.4" hidden="1" customHeight="1" outlineLevel="2">
      <c r="A59" s="28"/>
      <c r="B59" s="28"/>
      <c r="C59" s="81" t="s">
        <v>42</v>
      </c>
      <c r="D59" s="59" t="b">
        <v>0</v>
      </c>
      <c r="E59" s="59" t="b">
        <v>0</v>
      </c>
      <c r="F59" s="59" t="b">
        <v>0</v>
      </c>
    </row>
    <row r="60" spans="1:6" ht="14.4" hidden="1" customHeight="1" outlineLevel="2">
      <c r="A60" s="28"/>
      <c r="B60" s="28"/>
      <c r="C60" s="81" t="s">
        <v>43</v>
      </c>
      <c r="D60" s="59" t="b">
        <v>0</v>
      </c>
      <c r="E60" s="59" t="b">
        <v>0</v>
      </c>
      <c r="F60" s="59" t="b">
        <v>0</v>
      </c>
    </row>
    <row r="61" spans="1:6" ht="14.4" hidden="1" customHeight="1" outlineLevel="2">
      <c r="A61" s="28"/>
      <c r="B61" s="28"/>
      <c r="C61" s="81" t="s">
        <v>44</v>
      </c>
      <c r="D61" s="59" t="b">
        <v>0</v>
      </c>
      <c r="E61" s="59" t="b">
        <v>0</v>
      </c>
      <c r="F61" s="59" t="b">
        <v>0</v>
      </c>
    </row>
    <row r="62" spans="1:6" ht="14.4" hidden="1" customHeight="1" outlineLevel="2">
      <c r="A62" s="28"/>
      <c r="B62" s="28"/>
      <c r="C62" s="81" t="s">
        <v>45</v>
      </c>
      <c r="D62" s="59" t="b">
        <v>0</v>
      </c>
      <c r="E62" s="59" t="b">
        <v>0</v>
      </c>
      <c r="F62" s="59" t="b">
        <v>0</v>
      </c>
    </row>
    <row r="63" spans="1:6" ht="14.4" hidden="1" customHeight="1" outlineLevel="2">
      <c r="A63" s="28"/>
      <c r="B63" s="28"/>
      <c r="C63" s="81" t="s">
        <v>22</v>
      </c>
      <c r="D63" s="59" t="b">
        <v>0</v>
      </c>
      <c r="E63" s="59" t="b">
        <v>0</v>
      </c>
      <c r="F63" s="59" t="b">
        <v>0</v>
      </c>
    </row>
    <row r="64" spans="1:6" ht="14.4" hidden="1" customHeight="1" outlineLevel="2">
      <c r="B64" s="28"/>
      <c r="C64" s="82" t="s">
        <v>23</v>
      </c>
      <c r="D64" s="59" t="b">
        <v>0</v>
      </c>
      <c r="E64" s="59" t="b">
        <v>0</v>
      </c>
      <c r="F64" s="59" t="b">
        <v>0</v>
      </c>
    </row>
    <row r="65" spans="1:7" ht="4.95" hidden="1" customHeight="1" outlineLevel="2">
      <c r="B65" s="19"/>
      <c r="D65" s="6"/>
      <c r="E65" s="6"/>
      <c r="F65" s="6"/>
    </row>
    <row r="66" spans="1:7" ht="19.95" customHeight="1" outlineLevel="1" collapsed="1">
      <c r="A66" s="28"/>
      <c r="B66" s="78" t="s">
        <v>0</v>
      </c>
      <c r="C66" s="80" t="s">
        <v>47</v>
      </c>
      <c r="D66" s="6"/>
      <c r="E66" s="6"/>
      <c r="F66" s="6"/>
    </row>
    <row r="67" spans="1:7" ht="4.95" customHeight="1">
      <c r="A67" s="28"/>
      <c r="B67" s="7"/>
      <c r="C67" s="8"/>
      <c r="D67" s="6"/>
      <c r="E67" s="6"/>
      <c r="F67" s="6"/>
    </row>
    <row r="68" spans="1:7" ht="14.4" hidden="1" customHeight="1" outlineLevel="2">
      <c r="A68" s="28"/>
      <c r="B68" s="28"/>
      <c r="C68" s="32" t="str">
        <f>IF(COUNTIF(FieldList1, "&lt;&gt;FALSE") = 0,"",SUBSTITUTE(LOWER(C57)," ","_") &amp;" = ")</f>
        <v/>
      </c>
      <c r="D68" s="31" t="str">
        <f>IF(COUNTIF(FieldList1, "&lt;&gt;FALSE") = 0,"","['"&amp;_xlfn.TEXTJOIN("', '", TRUE, _xlfn._xlws.FILTER(FieldRange,FieldList1&lt;&gt; FALSE, ""))&amp;"']")</f>
        <v/>
      </c>
    </row>
    <row r="69" spans="1:7" ht="14.4" hidden="1" customHeight="1" outlineLevel="2">
      <c r="A69" s="28"/>
      <c r="B69" s="28"/>
      <c r="C69" s="32" t="str">
        <f>IF(COUNTIF(FieldList2, "&lt;&gt;FALSE") = 0,"",SUBSTITUTE(LOWER(C58)," ","_")&amp;" = ")</f>
        <v/>
      </c>
      <c r="D69" s="31" t="str">
        <f>IF(COUNTIF(FieldList2, "&lt;&gt;FALSE") = 0,"","['"&amp;_xlfn.TEXTJOIN("', '", TRUE, _xlfn._xlws.FILTER(FieldRange,FieldList2&lt;&gt; FALSE, ""))&amp;"']")</f>
        <v/>
      </c>
    </row>
    <row r="70" spans="1:7" ht="14.4" hidden="1" customHeight="1" outlineLevel="2">
      <c r="A70" s="28"/>
      <c r="B70" s="28"/>
      <c r="C70" s="32" t="str">
        <f>IF(COUNTIF(FieldList3, "&lt;&gt;FALSE") = 0,"",SUBSTITUTE(LOWER(C59)," ","_")&amp;" = ")</f>
        <v/>
      </c>
      <c r="D70" s="31" t="str">
        <f>IF(COUNTIF(FieldList3, "&lt;&gt;FALSE") = 0,"","['"&amp;_xlfn.TEXTJOIN("', '", TRUE, _xlfn._xlws.FILTER(FieldRange,FieldList3&lt;&gt; FALSE, ""))&amp;"']")</f>
        <v/>
      </c>
    </row>
    <row r="71" spans="1:7" ht="14.4" hidden="1" customHeight="1" outlineLevel="2">
      <c r="A71" s="28"/>
      <c r="B71" s="28"/>
      <c r="C71" s="32" t="str">
        <f>IF(COUNTIF(FieldList4, "&lt;&gt;FALSE") = 0,"",SUBSTITUTE(LOWER(C60)," ","_")&amp;" = ")</f>
        <v/>
      </c>
      <c r="D71" s="31" t="str">
        <f>IF(COUNTIF(FieldList4, "&lt;&gt;FALSE") = 0,"","['"&amp;_xlfn.TEXTJOIN("', '", TRUE, _xlfn._xlws.FILTER(FieldRange,FieldList4&lt;&gt; FALSE, ""))&amp;"']")</f>
        <v/>
      </c>
    </row>
    <row r="72" spans="1:7" ht="14.4" hidden="1" customHeight="1" outlineLevel="2">
      <c r="A72" s="28"/>
      <c r="B72" s="28"/>
      <c r="C72" s="32" t="str">
        <f>IF(COUNTIF(FieldList5, "&lt;&gt;FALSE") = 0,"",SUBSTITUTE(LOWER(C61)," ","_")&amp;" = ")</f>
        <v/>
      </c>
      <c r="D72" s="31" t="str">
        <f>IF(COUNTIF(FieldList5, "&lt;&gt;FALSE") = 0,"","['"&amp;_xlfn.TEXTJOIN("', '", TRUE, _xlfn._xlws.FILTER(FieldRange,FieldList5&lt;&gt; FALSE, ""))&amp;"']")</f>
        <v/>
      </c>
    </row>
    <row r="73" spans="1:7" ht="13.8" hidden="1" customHeight="1" outlineLevel="2">
      <c r="A73" s="28"/>
      <c r="B73" s="28"/>
      <c r="C73" s="32" t="str">
        <f>IF(COUNTIF(FieldList6, "&lt;&gt;FALSE") = 0,"",SUBSTITUTE(LOWER(C62)," ","_")&amp;" = ")</f>
        <v/>
      </c>
      <c r="D73" s="31" t="str">
        <f>IF(COUNTIF(FieldList6, "&lt;&gt;FALSE") = 0,"","['"&amp;_xlfn.TEXTJOIN("', '", TRUE, _xlfn._xlws.FILTER(FieldRange,FieldList6&lt;&gt; FALSE, ""))&amp;"']")</f>
        <v/>
      </c>
    </row>
    <row r="74" spans="1:7" ht="13.8" hidden="1" customHeight="1" outlineLevel="2">
      <c r="A74" s="28"/>
      <c r="B74" s="28"/>
      <c r="C74" s="32" t="str">
        <f>IF(COUNTIF(FieldList7, "&lt;&gt;FALSE") = 0,"",SUBSTITUTE(LOWER(C63)," ","_")&amp;" = ")</f>
        <v/>
      </c>
      <c r="D74" s="31" t="str" cm="1">
        <f t="array" ref="D74">IF(COUNTIF(FieldList7, "&lt;&gt;FALSE") = 0,"","['"&amp;_xlfn.TEXTJOIN("', '", TRUE, _xlfn._xlws.FILTER(FieldRange,FieldList7&lt;&gt; FALSE, ""))&amp;"']")</f>
        <v/>
      </c>
    </row>
    <row r="75" spans="1:7" ht="13.8" hidden="1" customHeight="1" outlineLevel="2">
      <c r="A75" s="28"/>
      <c r="B75" s="28"/>
      <c r="C75" s="32" t="str">
        <f>IF(COUNTIF(FieldList8, "&lt;&gt;FALSE") = 0,"",SUBSTITUTE(LOWER(C64)," ","_")&amp;" = ")</f>
        <v/>
      </c>
      <c r="D75" s="31" t="str" cm="1">
        <f t="array" ref="D75">IF(COUNTIF(FieldList8, "&lt;&gt;FALSE") = 0,"","['"&amp;_xlfn.TEXTJOIN("', '", TRUE, _xlfn._xlws.FILTER(FieldRange,FieldList8&lt;&gt; FALSE, ""))&amp;"']")</f>
        <v/>
      </c>
    </row>
    <row r="76" spans="1:7" ht="14.4" hidden="1" customHeight="1" outlineLevel="2">
      <c r="B76" s="112"/>
      <c r="C76" s="41" t="str">
        <f>IF(COUNTIF(tbl_SourceData[Record List], "&lt;&gt;FALSE") = 0,"",SUBSTITUTE(LOWER(LightHeader)," ", "_") &amp;" = ")</f>
        <v/>
      </c>
      <c r="D76" s="31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7" ht="4.95" hidden="1" customHeight="1" outlineLevel="2">
      <c r="B77" s="19"/>
      <c r="C77" s="25"/>
      <c r="D77" s="26"/>
      <c r="E77" s="26"/>
      <c r="F77" s="26"/>
    </row>
    <row r="78" spans="1:7" ht="30" customHeight="1" collapsed="1">
      <c r="C78" s="122" t="s">
        <v>21</v>
      </c>
      <c r="D78" s="27" t="s">
        <v>54</v>
      </c>
      <c r="E78" s="27" t="s">
        <v>55</v>
      </c>
      <c r="F78" s="27" t="s">
        <v>56</v>
      </c>
      <c r="G78" s="122" t="s">
        <v>20</v>
      </c>
    </row>
    <row r="79" spans="1:7">
      <c r="C79" s="29" t="b">
        <v>0</v>
      </c>
      <c r="D79" s="30" t="s">
        <v>59</v>
      </c>
      <c r="E79" s="30">
        <v>10</v>
      </c>
      <c r="F79" s="30">
        <v>8.0399999999999991</v>
      </c>
      <c r="G79" s="64">
        <v>2.8454094130192502E+18</v>
      </c>
    </row>
    <row r="80" spans="1:7">
      <c r="C80" s="29" t="b">
        <v>0</v>
      </c>
      <c r="D80" s="30" t="s">
        <v>59</v>
      </c>
      <c r="E80" s="30">
        <v>8</v>
      </c>
      <c r="F80" s="30">
        <v>6.95</v>
      </c>
      <c r="G80" s="64">
        <v>1.0836384747149199E+19</v>
      </c>
    </row>
    <row r="81" spans="3:7">
      <c r="C81" s="29" t="b">
        <v>0</v>
      </c>
      <c r="D81" s="30" t="s">
        <v>59</v>
      </c>
      <c r="E81" s="30">
        <v>13</v>
      </c>
      <c r="F81" s="30">
        <v>7.58</v>
      </c>
      <c r="G81" s="64">
        <v>6.5527174279685898E+18</v>
      </c>
    </row>
    <row r="82" spans="3:7">
      <c r="C82" s="29" t="b">
        <v>0</v>
      </c>
      <c r="D82" s="30" t="s">
        <v>59</v>
      </c>
      <c r="E82" s="30">
        <v>9</v>
      </c>
      <c r="F82" s="30">
        <v>8.81</v>
      </c>
      <c r="G82" s="64">
        <v>4.4642553426489999E+18</v>
      </c>
    </row>
    <row r="83" spans="3:7">
      <c r="C83" s="29" t="b">
        <v>0</v>
      </c>
      <c r="D83" s="30" t="s">
        <v>59</v>
      </c>
      <c r="E83" s="30">
        <v>11</v>
      </c>
      <c r="F83" s="30">
        <v>8.33</v>
      </c>
      <c r="G83" s="64">
        <v>6.89321540516049E+18</v>
      </c>
    </row>
    <row r="84" spans="3:7">
      <c r="C84" s="29" t="b">
        <v>0</v>
      </c>
      <c r="D84" s="30" t="s">
        <v>59</v>
      </c>
      <c r="E84" s="30">
        <v>14</v>
      </c>
      <c r="F84" s="30">
        <v>9.9600000000000009</v>
      </c>
      <c r="G84" s="64">
        <v>3.9810440011071302E+17</v>
      </c>
    </row>
    <row r="85" spans="3:7">
      <c r="C85" s="29" t="b">
        <v>0</v>
      </c>
      <c r="D85" s="30" t="s">
        <v>59</v>
      </c>
      <c r="E85" s="30">
        <v>6</v>
      </c>
      <c r="F85" s="30">
        <v>7.24</v>
      </c>
      <c r="G85" s="64">
        <v>1.41042559780684E+19</v>
      </c>
    </row>
    <row r="86" spans="3:7">
      <c r="C86" s="29" t="b">
        <v>0</v>
      </c>
      <c r="D86" s="30" t="s">
        <v>59</v>
      </c>
      <c r="E86" s="30">
        <v>4</v>
      </c>
      <c r="F86" s="30">
        <v>4.26</v>
      </c>
      <c r="G86" s="64">
        <v>9.4385819246966108E+18</v>
      </c>
    </row>
    <row r="87" spans="3:7">
      <c r="C87" s="29" t="b">
        <v>0</v>
      </c>
      <c r="D87" s="30" t="s">
        <v>59</v>
      </c>
      <c r="E87" s="30">
        <v>12</v>
      </c>
      <c r="F87" s="30">
        <v>10.84</v>
      </c>
      <c r="G87" s="64">
        <v>9.5530720481987092E+18</v>
      </c>
    </row>
    <row r="88" spans="3:7">
      <c r="C88" s="29" t="b">
        <v>0</v>
      </c>
      <c r="D88" s="30" t="s">
        <v>59</v>
      </c>
      <c r="E88" s="30">
        <v>7</v>
      </c>
      <c r="F88" s="30">
        <v>4.82</v>
      </c>
      <c r="G88" s="64">
        <v>7.8074761636836997E+18</v>
      </c>
    </row>
    <row r="89" spans="3:7">
      <c r="C89" s="29" t="b">
        <v>0</v>
      </c>
      <c r="D89" s="30" t="s">
        <v>59</v>
      </c>
      <c r="E89" s="30">
        <v>5</v>
      </c>
      <c r="F89" s="30">
        <v>5.68</v>
      </c>
      <c r="G89" s="64">
        <v>7.4073668418141604E+18</v>
      </c>
    </row>
    <row r="90" spans="3:7">
      <c r="C90" s="29" t="b">
        <v>0</v>
      </c>
      <c r="D90" s="30" t="s">
        <v>61</v>
      </c>
      <c r="E90" s="30">
        <v>10</v>
      </c>
      <c r="F90" s="30">
        <v>9.14</v>
      </c>
      <c r="G90" s="64">
        <v>5.4922571149654804E+18</v>
      </c>
    </row>
    <row r="91" spans="3:7">
      <c r="C91" s="29" t="b">
        <v>0</v>
      </c>
      <c r="D91" s="30" t="s">
        <v>61</v>
      </c>
      <c r="E91" s="30">
        <v>8</v>
      </c>
      <c r="F91" s="30">
        <v>8.14</v>
      </c>
      <c r="G91" s="64">
        <v>2.95358080871987E+18</v>
      </c>
    </row>
    <row r="92" spans="3:7">
      <c r="C92" s="29" t="b">
        <v>0</v>
      </c>
      <c r="D92" s="30" t="s">
        <v>61</v>
      </c>
      <c r="E92" s="30">
        <v>13</v>
      </c>
      <c r="F92" s="30">
        <v>8.74</v>
      </c>
      <c r="G92" s="64">
        <v>5394748437137050</v>
      </c>
    </row>
    <row r="93" spans="3:7">
      <c r="C93" s="29" t="b">
        <v>0</v>
      </c>
      <c r="D93" s="30" t="s">
        <v>61</v>
      </c>
      <c r="E93" s="30">
        <v>9</v>
      </c>
      <c r="F93" s="30">
        <v>8.77</v>
      </c>
      <c r="G93" s="64">
        <v>5.4152788655851397E+18</v>
      </c>
    </row>
    <row r="94" spans="3:7">
      <c r="C94" s="29" t="b">
        <v>0</v>
      </c>
      <c r="D94" s="30" t="s">
        <v>61</v>
      </c>
      <c r="E94" s="30">
        <v>11</v>
      </c>
      <c r="F94" s="30">
        <v>9.26</v>
      </c>
      <c r="G94" s="64">
        <v>9.5236052591229809E+18</v>
      </c>
    </row>
    <row r="95" spans="3:7">
      <c r="C95" s="29" t="b">
        <v>0</v>
      </c>
      <c r="D95" s="30" t="s">
        <v>61</v>
      </c>
      <c r="E95" s="30">
        <v>14</v>
      </c>
      <c r="F95" s="30">
        <v>8.1</v>
      </c>
      <c r="G95" s="64">
        <v>1.12903780567295E+18</v>
      </c>
    </row>
    <row r="96" spans="3:7">
      <c r="C96" s="29" t="b">
        <v>0</v>
      </c>
      <c r="D96" s="30" t="s">
        <v>61</v>
      </c>
      <c r="E96" s="30">
        <v>6</v>
      </c>
      <c r="F96" s="30">
        <v>6.13</v>
      </c>
      <c r="G96" s="64">
        <v>1.6978976512457601E+19</v>
      </c>
    </row>
    <row r="97" spans="3:7">
      <c r="C97" s="29" t="b">
        <v>0</v>
      </c>
      <c r="D97" s="30" t="s">
        <v>61</v>
      </c>
      <c r="E97" s="30">
        <v>4</v>
      </c>
      <c r="F97" s="30">
        <v>3.1</v>
      </c>
      <c r="G97" s="64">
        <v>1.20809234738852E+19</v>
      </c>
    </row>
    <row r="98" spans="3:7">
      <c r="C98" s="29" t="b">
        <v>0</v>
      </c>
      <c r="D98" s="30" t="s">
        <v>61</v>
      </c>
      <c r="E98" s="30">
        <v>12</v>
      </c>
      <c r="F98" s="30">
        <v>9.1300000000000008</v>
      </c>
      <c r="G98" s="64">
        <v>1.7246476809089499E+19</v>
      </c>
    </row>
    <row r="99" spans="3:7">
      <c r="C99" s="29" t="b">
        <v>0</v>
      </c>
      <c r="D99" s="30" t="s">
        <v>61</v>
      </c>
      <c r="E99" s="30">
        <v>7</v>
      </c>
      <c r="F99" s="30">
        <v>7.26</v>
      </c>
      <c r="G99" s="64">
        <v>1.1746225231691901E+19</v>
      </c>
    </row>
    <row r="100" spans="3:7">
      <c r="C100" s="29" t="b">
        <v>0</v>
      </c>
      <c r="D100" s="30" t="s">
        <v>61</v>
      </c>
      <c r="E100" s="30">
        <v>5</v>
      </c>
      <c r="F100" s="30">
        <v>4.74</v>
      </c>
      <c r="G100" s="64">
        <v>9.1238366854069504E+18</v>
      </c>
    </row>
    <row r="101" spans="3:7">
      <c r="C101" s="29" t="b">
        <v>0</v>
      </c>
      <c r="D101" s="30" t="s">
        <v>62</v>
      </c>
      <c r="E101" s="30">
        <v>10</v>
      </c>
      <c r="F101" s="30">
        <v>7.46</v>
      </c>
      <c r="G101" s="64">
        <v>2.1472340387593001E+18</v>
      </c>
    </row>
    <row r="102" spans="3:7">
      <c r="C102" s="29" t="b">
        <v>0</v>
      </c>
      <c r="D102" s="30" t="s">
        <v>62</v>
      </c>
      <c r="E102" s="30">
        <v>8</v>
      </c>
      <c r="F102" s="30">
        <v>6.77</v>
      </c>
      <c r="G102" s="64">
        <v>1.6826749592604899E+19</v>
      </c>
    </row>
    <row r="103" spans="3:7">
      <c r="C103" s="29" t="b">
        <v>0</v>
      </c>
      <c r="D103" s="30" t="s">
        <v>62</v>
      </c>
      <c r="E103" s="30">
        <v>13</v>
      </c>
      <c r="F103" s="30">
        <v>12.74</v>
      </c>
      <c r="G103" s="64">
        <v>1.58888556534295E+19</v>
      </c>
    </row>
    <row r="104" spans="3:7">
      <c r="C104" s="29" t="b">
        <v>0</v>
      </c>
      <c r="D104" s="30" t="s">
        <v>62</v>
      </c>
      <c r="E104" s="30">
        <v>9</v>
      </c>
      <c r="F104" s="30">
        <v>7.11</v>
      </c>
      <c r="G104" s="64">
        <v>1.80347174522984E+19</v>
      </c>
    </row>
    <row r="105" spans="3:7">
      <c r="C105" s="29" t="b">
        <v>0</v>
      </c>
      <c r="D105" s="30" t="s">
        <v>62</v>
      </c>
      <c r="E105" s="30">
        <v>11</v>
      </c>
      <c r="F105" s="30">
        <v>7.81</v>
      </c>
      <c r="G105" s="64">
        <v>9.0627707655893197E+18</v>
      </c>
    </row>
    <row r="106" spans="3:7">
      <c r="C106" s="29" t="b">
        <v>0</v>
      </c>
      <c r="D106" s="30" t="s">
        <v>62</v>
      </c>
      <c r="E106" s="30">
        <v>14</v>
      </c>
      <c r="F106" s="30">
        <v>8.84</v>
      </c>
      <c r="G106" s="64">
        <v>1.52505983479807E+19</v>
      </c>
    </row>
    <row r="107" spans="3:7">
      <c r="C107" s="29" t="b">
        <v>0</v>
      </c>
      <c r="D107" s="30" t="s">
        <v>62</v>
      </c>
      <c r="E107" s="30">
        <v>6</v>
      </c>
      <c r="F107" s="30">
        <v>6.08</v>
      </c>
      <c r="G107" s="64">
        <v>1.79854231005149E+18</v>
      </c>
    </row>
    <row r="108" spans="3:7">
      <c r="C108" s="29" t="b">
        <v>0</v>
      </c>
      <c r="D108" s="30" t="s">
        <v>62</v>
      </c>
      <c r="E108" s="30">
        <v>4</v>
      </c>
      <c r="F108" s="30">
        <v>5.39</v>
      </c>
      <c r="G108" s="64">
        <v>9.7371911615824794E+18</v>
      </c>
    </row>
    <row r="109" spans="3:7">
      <c r="C109" s="29" t="b">
        <v>0</v>
      </c>
      <c r="D109" s="30" t="s">
        <v>62</v>
      </c>
      <c r="E109" s="30">
        <v>12</v>
      </c>
      <c r="F109" s="30">
        <v>8.15</v>
      </c>
      <c r="G109" s="64">
        <v>5.4454045529280205E+18</v>
      </c>
    </row>
    <row r="110" spans="3:7">
      <c r="C110" s="29" t="b">
        <v>0</v>
      </c>
      <c r="D110" s="30" t="s">
        <v>62</v>
      </c>
      <c r="E110" s="30">
        <v>7</v>
      </c>
      <c r="F110" s="30">
        <v>6.42</v>
      </c>
      <c r="G110" s="64">
        <v>1.2001983730747001E+19</v>
      </c>
    </row>
    <row r="111" spans="3:7">
      <c r="C111" s="29" t="b">
        <v>0</v>
      </c>
      <c r="D111" s="30" t="s">
        <v>62</v>
      </c>
      <c r="E111" s="30">
        <v>5</v>
      </c>
      <c r="F111" s="30">
        <v>5.73</v>
      </c>
      <c r="G111" s="64">
        <v>1.05086329199506E+19</v>
      </c>
    </row>
    <row r="112" spans="3:7">
      <c r="C112" s="29" t="b">
        <v>0</v>
      </c>
      <c r="D112" s="30" t="s">
        <v>63</v>
      </c>
      <c r="E112" s="30">
        <v>8</v>
      </c>
      <c r="F112" s="30">
        <v>6.58</v>
      </c>
      <c r="G112" s="64">
        <v>5.7929059739542497E+18</v>
      </c>
    </row>
    <row r="113" spans="3:7">
      <c r="C113" s="29" t="b">
        <v>0</v>
      </c>
      <c r="D113" s="30" t="s">
        <v>63</v>
      </c>
      <c r="E113" s="30">
        <v>8</v>
      </c>
      <c r="F113" s="30">
        <v>5.76</v>
      </c>
      <c r="G113" s="64">
        <v>5.6834675159801999E+18</v>
      </c>
    </row>
    <row r="114" spans="3:7">
      <c r="C114" s="29" t="b">
        <v>0</v>
      </c>
      <c r="D114" s="30" t="s">
        <v>63</v>
      </c>
      <c r="E114" s="30">
        <v>8</v>
      </c>
      <c r="F114" s="30">
        <v>7.71</v>
      </c>
      <c r="G114" s="64">
        <v>5.9998283002785096E+18</v>
      </c>
    </row>
    <row r="115" spans="3:7">
      <c r="C115" s="29" t="b">
        <v>0</v>
      </c>
      <c r="D115" s="30" t="s">
        <v>63</v>
      </c>
      <c r="E115" s="30">
        <v>8</v>
      </c>
      <c r="F115" s="30">
        <v>8.84</v>
      </c>
      <c r="G115" s="64">
        <v>5.5327752545114798E+18</v>
      </c>
    </row>
    <row r="116" spans="3:7">
      <c r="C116" s="29" t="b">
        <v>0</v>
      </c>
      <c r="D116" s="30" t="s">
        <v>63</v>
      </c>
      <c r="E116" s="30">
        <v>8</v>
      </c>
      <c r="F116" s="30">
        <v>8.4700000000000006</v>
      </c>
      <c r="G116" s="64">
        <v>8.2211065989950904E+18</v>
      </c>
    </row>
    <row r="117" spans="3:7">
      <c r="C117" s="29" t="b">
        <v>0</v>
      </c>
      <c r="D117" s="30" t="s">
        <v>63</v>
      </c>
      <c r="E117" s="30">
        <v>8</v>
      </c>
      <c r="F117" s="30">
        <v>7.04</v>
      </c>
      <c r="G117" s="64">
        <v>1.5882094272543001E+19</v>
      </c>
    </row>
    <row r="118" spans="3:7">
      <c r="C118" s="29" t="b">
        <v>0</v>
      </c>
      <c r="D118" s="30" t="s">
        <v>63</v>
      </c>
      <c r="E118" s="30">
        <v>8</v>
      </c>
      <c r="F118" s="30">
        <v>5.25</v>
      </c>
      <c r="G118" s="64">
        <v>1.57735777312798E+19</v>
      </c>
    </row>
    <row r="119" spans="3:7">
      <c r="C119" s="29" t="b">
        <v>0</v>
      </c>
      <c r="D119" s="30" t="s">
        <v>63</v>
      </c>
      <c r="E119" s="30">
        <v>19</v>
      </c>
      <c r="F119" s="30">
        <v>12.5</v>
      </c>
      <c r="G119" s="64">
        <v>8.7740009195292396E+18</v>
      </c>
    </row>
    <row r="120" spans="3:7">
      <c r="C120" s="29" t="b">
        <v>0</v>
      </c>
      <c r="D120" s="30" t="s">
        <v>63</v>
      </c>
      <c r="E120" s="30">
        <v>8</v>
      </c>
      <c r="F120" s="30">
        <v>5.56</v>
      </c>
      <c r="G120" s="64">
        <v>1.5586345677435601E+19</v>
      </c>
    </row>
    <row r="121" spans="3:7">
      <c r="C121" s="29" t="b">
        <v>0</v>
      </c>
      <c r="D121" s="30" t="s">
        <v>63</v>
      </c>
      <c r="E121" s="30">
        <v>8</v>
      </c>
      <c r="F121" s="30">
        <v>7.91</v>
      </c>
      <c r="G121" s="64">
        <v>1.68995586890887E+19</v>
      </c>
    </row>
    <row r="122" spans="3:7">
      <c r="C122" s="29" t="b">
        <v>0</v>
      </c>
      <c r="D122" s="30" t="s">
        <v>63</v>
      </c>
      <c r="E122" s="30">
        <v>8</v>
      </c>
      <c r="F122" s="30">
        <v>6.89</v>
      </c>
      <c r="G122" s="64">
        <v>7.9083629136960297E+18</v>
      </c>
    </row>
  </sheetData>
  <mergeCells count="1">
    <mergeCell ref="D15:E15"/>
  </mergeCells>
  <phoneticPr fontId="15" type="noConversion"/>
  <conditionalFormatting sqref="D22:F29 D35:F39 D45:F53">
    <cfRule type="cellIs" dxfId="22" priority="54" operator="equal">
      <formula>0</formula>
    </cfRule>
  </conditionalFormatting>
  <conditionalFormatting sqref="C79:C122">
    <cfRule type="cellIs" dxfId="21" priority="50" operator="equal">
      <formula>FALSE</formula>
    </cfRule>
    <cfRule type="cellIs" dxfId="20" priority="51" operator="notEqual">
      <formula>FALSE</formula>
    </cfRule>
  </conditionalFormatting>
  <conditionalFormatting sqref="D9:F9">
    <cfRule type="cellIs" dxfId="19" priority="24" operator="notEqual">
      <formula>"Notes"</formula>
    </cfRule>
  </conditionalFormatting>
  <conditionalFormatting sqref="D23:F25">
    <cfRule type="colorScale" priority="45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18" priority="25"/>
  </conditionalFormatting>
  <conditionalFormatting sqref="D7:F7">
    <cfRule type="cellIs" dxfId="17" priority="18" operator="notEqual">
      <formula>"Definition"</formula>
    </cfRule>
  </conditionalFormatting>
  <conditionalFormatting sqref="D15">
    <cfRule type="cellIs" dxfId="16" priority="9" operator="notEqual">
      <formula>"Description"</formula>
    </cfRule>
  </conditionalFormatting>
  <conditionalFormatting sqref="D17">
    <cfRule type="colorScale" priority="8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6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15" priority="48" operator="equal">
      <formula>FALSE</formula>
    </cfRule>
    <cfRule type="cellIs" dxfId="14" priority="49" operator="notEqual">
      <formula>FALSE</formula>
    </cfRule>
  </conditionalFormatting>
  <conditionalFormatting sqref="G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58" t="s">
        <v>24</v>
      </c>
      <c r="P2" s="100"/>
    </row>
    <row r="3" spans="1:16" ht="4.95" customHeight="1">
      <c r="B3" s="1"/>
      <c r="C3" s="4"/>
      <c r="P3" s="99"/>
    </row>
    <row r="4" spans="1:16" ht="19.95" customHeight="1">
      <c r="B4" s="1"/>
      <c r="C4" s="4"/>
      <c r="P4" s="101"/>
    </row>
    <row r="5" spans="1:16" ht="4.95" customHeight="1">
      <c r="B5" s="1"/>
      <c r="C5" s="4"/>
    </row>
    <row r="6" spans="1:16" ht="34.950000000000003" customHeight="1">
      <c r="B6" s="120"/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3"/>
      <c r="N6" s="123"/>
      <c r="O6" s="123"/>
      <c r="P6" s="123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24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C8" sqref="C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40"/>
      <c r="C2" s="58" t="s">
        <v>31</v>
      </c>
      <c r="D2" s="104"/>
      <c r="P2" s="100"/>
    </row>
    <row r="3" spans="2:16" ht="4.95" customHeight="1">
      <c r="B3" s="40"/>
      <c r="C3" s="102"/>
      <c r="D3" s="103"/>
      <c r="P3" s="99"/>
    </row>
    <row r="4" spans="2:16" ht="19.95" customHeight="1">
      <c r="B4" s="40"/>
      <c r="C4" s="102"/>
      <c r="D4" s="103"/>
      <c r="P4" s="101"/>
    </row>
    <row r="5" spans="2:16" ht="4.95" customHeight="1">
      <c r="B5" s="1"/>
      <c r="C5" s="4"/>
    </row>
    <row r="6" spans="2:16" s="5" customFormat="1" ht="30" customHeight="1">
      <c r="B6" s="120"/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3"/>
      <c r="N6" s="123"/>
      <c r="O6" s="123"/>
      <c r="P6" s="123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4"/>
      <c r="C9" s="15"/>
      <c r="D9"/>
      <c r="E9"/>
      <c r="F9"/>
      <c r="G9"/>
      <c r="H9"/>
      <c r="I9"/>
    </row>
    <row r="10" spans="2:16" ht="10.050000000000001" customHeight="1">
      <c r="B10" s="17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conditionalFormatting sqref="D8">
    <cfRule type="cellIs" dxfId="8" priority="4" operator="equal">
      <formula>0</formula>
    </cfRule>
  </conditionalFormatting>
  <conditionalFormatting sqref="D2:D4">
    <cfRule type="cellIs" dxfId="7" priority="1" operator="equal">
      <formula>"Notes"</formula>
    </cfRule>
    <cfRule type="cellIs" dxfId="6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43</vt:i4>
      </vt:variant>
    </vt:vector>
  </HeadingPairs>
  <TitlesOfParts>
    <vt:vector size="47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2026-05-21T19:15:07Z</dcterms:modified>
</cp:coreProperties>
</file>