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22D62C3A-4F19-764B-A7F3-8F70B2E0199C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<sst xmlns="http://schemas.openxmlformats.org/spreadsheetml/2006/main" count="243" uniqueCount="137">
  <si>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</si>
  <si>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</si>
  <si>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</si>
  <si>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</si>
  <si>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</si>
  <si>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</si>
  <si>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</si>
  <si>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</si>
  <si>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</si>
  <si>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</si>
  <si>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</si>
  <si>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</si>
  <si>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</si>
  <si>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</si>
  <si>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</si>
  <si>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</si>
  <si>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</si>
  <si>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</si>
  <si>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</si>
  <si>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</si>
  <si>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</si>
  <si>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</si>
  <si>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</si>
  <si>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</si>
  <si>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</si>
  <si>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</si>
  <si>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</si>
  <si>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</si>
  <si>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</si>
  <si>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</si>
  <si>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</si>
  <si>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</si>
  <si>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</si>
  <si>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</si>
  <si>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</si>
  <si>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</si>
  <si>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</si>
  <si>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</si>
  <si>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</si>
  <si>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</si>
  <si>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</si>
  <si>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</si>
  <si>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</si>
  <si>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</si>
  <si>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</si>
  <si>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</si>
  <si>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</si>
  <si>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</si>
  <si>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</si>
  <si>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</si>
  <si>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</si>
  <si>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</si>
  <si>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</si>
  <si>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</si>
  <si>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</si>
  <si>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</si>
  <si>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</si>
  <si>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</si>
  <si>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</si>
  <si>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</si>
  <si>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</si>
  <si>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</si>
  <si>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</si>
  <si>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</si>
  <si>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</si>
  <si>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</si>
  <si>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</si>
  <si>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</si>
  <si>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</si>
  <si>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</si>
  <si>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</si>
  <si>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</si>
  <si>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</si>
  <si>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</si>
  <si>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</si>
  <si>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</si>
  <si>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</si>
  <si>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</si>
  <si>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</si>
  <si>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Anscombe</t>
  </si>
  <si>
    <t>dataset</t>
  </si>
  <si>
    <t>x</t>
  </si>
  <si>
    <t>y</t>
  </si>
  <si>
    <t>index</t>
  </si>
  <si>
    <t>Record Hash</t>
  </si>
  <si>
    <t>1,276 bytes</t>
  </si>
  <si>
    <t>str</t>
  </si>
  <si>
    <t>float64</t>
  </si>
  <si>
    <t>I</t>
  </si>
  <si>
    <t>II</t>
  </si>
  <si>
    <t>III</t>
  </si>
  <si>
    <t>IV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</si>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</sst>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86B7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A86B7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3"/>
      <tableStyleElement type="headerRow" dxfId="102"/>
      <tableStyleElement type="totalRow" dxfId="101"/>
    </tableStyle>
    <tableStyle name="DarkTable" pivot="0" count="2" xr9:uid="{97C242D2-6F6D-4549-9428-17456D609B35}">
      <tableStyleElement type="wholeTable" dxfId="100"/>
      <tableStyleElement type="headerRow" dxfId="9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dataset">
          <a:extLst>
            <a:ext uri="{FF2B5EF4-FFF2-40B4-BE49-F238E27FC236}">
              <a16:creationId xmlns:a16="http://schemas.microsoft.com/office/drawing/2014/main" id="{3413C324-3A45-EB24-44D0-34D50F9A6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x">
          <a:extLst>
            <a:ext uri="{FF2B5EF4-FFF2-40B4-BE49-F238E27FC236}">
              <a16:creationId xmlns:a16="http://schemas.microsoft.com/office/drawing/2014/main" id="{4A35A4FD-B2AB-1471-8F13-308479CBF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x">
          <a:extLst>
            <a:ext uri="{FF2B5EF4-FFF2-40B4-BE49-F238E27FC236}">
              <a16:creationId xmlns:a16="http://schemas.microsoft.com/office/drawing/2014/main" id="{5D4ACF4F-953F-36EF-61B7-812533E4D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y">
          <a:extLst>
            <a:ext uri="{FF2B5EF4-FFF2-40B4-BE49-F238E27FC236}">
              <a16:creationId xmlns:a16="http://schemas.microsoft.com/office/drawing/2014/main" id="{EA89E310-D566-4C34-D0B1-561A4DB81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8" name="histogram_y">
          <a:extLst>
            <a:ext uri="{FF2B5EF4-FFF2-40B4-BE49-F238E27FC236}">
              <a16:creationId xmlns:a16="http://schemas.microsoft.com/office/drawing/2014/main" id="{68180916-D8E0-F129-D8D5-EE54B57C7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37149652778" createdVersion="8" refreshedVersion="8" minRefreshableVersion="3" recordCount="44" xr:uid="{00DEDBB6-1F4A-4C10-B2D2-FF41FE7983D3}">
  <cacheSource type="worksheet">
    <worksheetSource name="tbl_SourceData"/>
  </cacheSource>
  <cacheFields count="7">
    <cacheField name="Record List" numFmtId="0">
      <sharedItems count="1">
        <b v="0"/>
      </sharedItems>
    </cacheField>
    <cacheField name="dataset" numFmtId="0">
      <sharedItems count="4">
        <s v="I"/>
        <s v="II"/>
        <s v="III"/>
        <s v="IV"/>
      </sharedItems>
    </cacheField>
    <cacheField name="x" numFmtId="0">
      <sharedItems containsSemiMixedTypes="0" containsString="0" containsNumber="1" containsInteger="1" minValue="4" maxValue="19" count="12">
        <n v="10"/>
        <n v="8"/>
        <n v="13"/>
        <n v="9"/>
        <n v="11"/>
        <n v="14"/>
        <n v="6"/>
        <n v="4"/>
        <n v="12"/>
        <n v="7"/>
        <n v="5"/>
        <n v="19"/>
      </sharedItems>
    </cacheField>
    <cacheField name="y" numFmtId="0">
      <sharedItems containsSemiMixedTypes="0" containsString="0" containsNumber="1" minValue="3.1" maxValue="12.74" count="43">
        <n v="8.0399999999999991"/>
        <n v="6.95"/>
        <n v="7.58"/>
        <n v="8.81"/>
        <n v="8.33"/>
        <n v="9.9600000000000009"/>
        <n v="7.24"/>
        <n v="4.26"/>
        <n v="10.84"/>
        <n v="4.82"/>
        <n v="5.68"/>
        <n v="9.14"/>
        <n v="8.14"/>
        <n v="8.74"/>
        <n v="8.77"/>
        <n v="9.26"/>
        <n v="8.1"/>
        <n v="6.13"/>
        <n v="3.1"/>
        <n v="9.1300000000000008"/>
        <n v="7.26"/>
        <n v="4.74"/>
        <n v="7.46"/>
        <n v="6.77"/>
        <n v="12.74"/>
        <n v="7.11"/>
        <n v="7.81"/>
        <n v="8.84"/>
        <n v="6.08"/>
        <n v="5.39"/>
        <n v="8.15"/>
        <n v="6.42"/>
        <n v="5.73"/>
        <n v="6.58"/>
        <n v="5.76"/>
        <n v="7.71"/>
        <n v="8.4700000000000006"/>
        <n v="7.04"/>
        <n v="5.25"/>
        <n v="12.5"/>
        <n v="5.56"/>
        <n v="7.91"/>
        <n v="6.89"/>
      </sharedItems>
    </cacheField>
    <cacheField name="index" numFmtId="0">
      <sharedItems containsSemiMixedTypes="0" containsString="0" containsNumber="1" containsInteger="1" minValue="0" maxValue="43" count="4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4.5531757921356141E+17" maxValue="1.8290918260543154E+19" count="44">
        <n v="8.2900397977865564E+18"/>
        <n v="7.746183454097559E+17"/>
        <n v="7.7304847401086556E+18"/>
        <n v="1.6450170027552784E+19"/>
        <n v="1.9576391762710935E+18"/>
        <n v="1.4813912060619E+19"/>
        <n v="4.5531757921356141E+17"/>
        <n v="4.2687004823131064E+18"/>
        <n v="1.0824355179871961E+19"/>
        <n v="1.6541709756342252E+19"/>
        <n v="1.2465426303620512E+19"/>
        <n v="1.2615110453480454E+19"/>
        <n v="1.7574382863757523E+19"/>
        <n v="1.2831300063501724E+19"/>
        <n v="1.7540277894604515E+19"/>
        <n v="7.5235392342167153E+18"/>
        <n v="1.3486858689431015E+19"/>
        <n v="1.8290918260543154E+19"/>
        <n v="3.0271482890587628E+18"/>
        <n v="1.3323868367707693E+19"/>
        <n v="3.5680720266868065E+18"/>
        <n v="2.3914005557568937E+18"/>
        <n v="1.7082740423865072E+19"/>
        <n v="4.9085920842948086E+18"/>
        <n v="1.770008728388957E+19"/>
        <n v="1.9372436006079421E+18"/>
        <n v="1.3529379415465892E+19"/>
        <n v="1.1161663523386765E+19"/>
        <n v="1.7455212853858664E+19"/>
        <n v="7.4044780924903977E+18"/>
        <n v="4.8691511575164723E+18"/>
        <n v="1.5520966538863829E+19"/>
        <n v="1.6956987607096488E+19"/>
        <n v="8.2794725629868687E+18"/>
        <n v="1.3292156592662393E+19"/>
        <n v="1.1803802399366158E+19"/>
        <n v="7.3049915945927967E+18"/>
        <n v="1.4983167448133067E+19"/>
        <n v="3.5115920427908675E+18"/>
        <n v="1.4505337100355502E+18"/>
        <n v="2.4440120055156204E+18"/>
        <n v="1.7387600761294412E+19"/>
        <n v="1.1044583522839329E+19"/>
        <n v="3.1669598736807434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x v="0"/>
    <x v="0"/>
    <x v="0"/>
    <x v="0"/>
    <x v="0"/>
  </r>
  <r>
    <x v="0"/>
    <x v="0"/>
    <x v="1"/>
    <x v="1"/>
    <x v="1"/>
    <x v="0"/>
    <x v="1"/>
  </r>
  <r>
    <x v="0"/>
    <x v="0"/>
    <x v="2"/>
    <x v="2"/>
    <x v="2"/>
    <x v="0"/>
    <x v="2"/>
  </r>
  <r>
    <x v="0"/>
    <x v="0"/>
    <x v="3"/>
    <x v="3"/>
    <x v="3"/>
    <x v="0"/>
    <x v="3"/>
  </r>
  <r>
    <x v="0"/>
    <x v="0"/>
    <x v="4"/>
    <x v="4"/>
    <x v="4"/>
    <x v="0"/>
    <x v="4"/>
  </r>
  <r>
    <x v="0"/>
    <x v="0"/>
    <x v="5"/>
    <x v="5"/>
    <x v="5"/>
    <x v="0"/>
    <x v="5"/>
  </r>
  <r>
    <x v="0"/>
    <x v="0"/>
    <x v="6"/>
    <x v="6"/>
    <x v="6"/>
    <x v="0"/>
    <x v="6"/>
  </r>
  <r>
    <x v="0"/>
    <x v="0"/>
    <x v="7"/>
    <x v="7"/>
    <x v="7"/>
    <x v="0"/>
    <x v="7"/>
  </r>
  <r>
    <x v="0"/>
    <x v="0"/>
    <x v="8"/>
    <x v="8"/>
    <x v="8"/>
    <x v="0"/>
    <x v="8"/>
  </r>
  <r>
    <x v="0"/>
    <x v="0"/>
    <x v="9"/>
    <x v="9"/>
    <x v="9"/>
    <x v="0"/>
    <x v="9"/>
  </r>
  <r>
    <x v="0"/>
    <x v="0"/>
    <x v="10"/>
    <x v="10"/>
    <x v="10"/>
    <x v="0"/>
    <x v="10"/>
  </r>
  <r>
    <x v="0"/>
    <x v="1"/>
    <x v="0"/>
    <x v="11"/>
    <x v="11"/>
    <x v="0"/>
    <x v="11"/>
  </r>
  <r>
    <x v="0"/>
    <x v="1"/>
    <x v="1"/>
    <x v="12"/>
    <x v="12"/>
    <x v="0"/>
    <x v="12"/>
  </r>
  <r>
    <x v="0"/>
    <x v="1"/>
    <x v="2"/>
    <x v="13"/>
    <x v="13"/>
    <x v="0"/>
    <x v="13"/>
  </r>
  <r>
    <x v="0"/>
    <x v="1"/>
    <x v="3"/>
    <x v="14"/>
    <x v="14"/>
    <x v="0"/>
    <x v="14"/>
  </r>
  <r>
    <x v="0"/>
    <x v="1"/>
    <x v="4"/>
    <x v="15"/>
    <x v="15"/>
    <x v="0"/>
    <x v="15"/>
  </r>
  <r>
    <x v="0"/>
    <x v="1"/>
    <x v="5"/>
    <x v="16"/>
    <x v="16"/>
    <x v="0"/>
    <x v="16"/>
  </r>
  <r>
    <x v="0"/>
    <x v="1"/>
    <x v="6"/>
    <x v="17"/>
    <x v="17"/>
    <x v="0"/>
    <x v="17"/>
  </r>
  <r>
    <x v="0"/>
    <x v="1"/>
    <x v="7"/>
    <x v="18"/>
    <x v="18"/>
    <x v="0"/>
    <x v="18"/>
  </r>
  <r>
    <x v="0"/>
    <x v="1"/>
    <x v="8"/>
    <x v="19"/>
    <x v="19"/>
    <x v="0"/>
    <x v="19"/>
  </r>
  <r>
    <x v="0"/>
    <x v="1"/>
    <x v="9"/>
    <x v="20"/>
    <x v="20"/>
    <x v="0"/>
    <x v="20"/>
  </r>
  <r>
    <x v="0"/>
    <x v="1"/>
    <x v="10"/>
    <x v="21"/>
    <x v="21"/>
    <x v="0"/>
    <x v="21"/>
  </r>
  <r>
    <x v="0"/>
    <x v="2"/>
    <x v="0"/>
    <x v="22"/>
    <x v="22"/>
    <x v="0"/>
    <x v="22"/>
  </r>
  <r>
    <x v="0"/>
    <x v="2"/>
    <x v="1"/>
    <x v="23"/>
    <x v="23"/>
    <x v="0"/>
    <x v="23"/>
  </r>
  <r>
    <x v="0"/>
    <x v="2"/>
    <x v="2"/>
    <x v="24"/>
    <x v="24"/>
    <x v="0"/>
    <x v="24"/>
  </r>
  <r>
    <x v="0"/>
    <x v="2"/>
    <x v="3"/>
    <x v="25"/>
    <x v="25"/>
    <x v="0"/>
    <x v="25"/>
  </r>
  <r>
    <x v="0"/>
    <x v="2"/>
    <x v="4"/>
    <x v="26"/>
    <x v="26"/>
    <x v="0"/>
    <x v="26"/>
  </r>
  <r>
    <x v="0"/>
    <x v="2"/>
    <x v="5"/>
    <x v="27"/>
    <x v="27"/>
    <x v="0"/>
    <x v="27"/>
  </r>
  <r>
    <x v="0"/>
    <x v="2"/>
    <x v="6"/>
    <x v="28"/>
    <x v="28"/>
    <x v="0"/>
    <x v="28"/>
  </r>
  <r>
    <x v="0"/>
    <x v="2"/>
    <x v="7"/>
    <x v="29"/>
    <x v="29"/>
    <x v="0"/>
    <x v="29"/>
  </r>
  <r>
    <x v="0"/>
    <x v="2"/>
    <x v="8"/>
    <x v="30"/>
    <x v="30"/>
    <x v="0"/>
    <x v="30"/>
  </r>
  <r>
    <x v="0"/>
    <x v="2"/>
    <x v="9"/>
    <x v="31"/>
    <x v="31"/>
    <x v="0"/>
    <x v="31"/>
  </r>
  <r>
    <x v="0"/>
    <x v="2"/>
    <x v="10"/>
    <x v="32"/>
    <x v="32"/>
    <x v="0"/>
    <x v="32"/>
  </r>
  <r>
    <x v="0"/>
    <x v="3"/>
    <x v="1"/>
    <x v="33"/>
    <x v="33"/>
    <x v="0"/>
    <x v="33"/>
  </r>
  <r>
    <x v="0"/>
    <x v="3"/>
    <x v="1"/>
    <x v="34"/>
    <x v="34"/>
    <x v="0"/>
    <x v="34"/>
  </r>
  <r>
    <x v="0"/>
    <x v="3"/>
    <x v="1"/>
    <x v="35"/>
    <x v="35"/>
    <x v="0"/>
    <x v="35"/>
  </r>
  <r>
    <x v="0"/>
    <x v="3"/>
    <x v="1"/>
    <x v="27"/>
    <x v="36"/>
    <x v="0"/>
    <x v="36"/>
  </r>
  <r>
    <x v="0"/>
    <x v="3"/>
    <x v="1"/>
    <x v="36"/>
    <x v="37"/>
    <x v="0"/>
    <x v="37"/>
  </r>
  <r>
    <x v="0"/>
    <x v="3"/>
    <x v="1"/>
    <x v="37"/>
    <x v="38"/>
    <x v="0"/>
    <x v="38"/>
  </r>
  <r>
    <x v="0"/>
    <x v="3"/>
    <x v="1"/>
    <x v="38"/>
    <x v="39"/>
    <x v="0"/>
    <x v="39"/>
  </r>
  <r>
    <x v="0"/>
    <x v="3"/>
    <x v="11"/>
    <x v="39"/>
    <x v="40"/>
    <x v="0"/>
    <x v="40"/>
  </r>
  <r>
    <x v="0"/>
    <x v="3"/>
    <x v="1"/>
    <x v="40"/>
    <x v="41"/>
    <x v="0"/>
    <x v="41"/>
  </r>
  <r>
    <x v="0"/>
    <x v="3"/>
    <x v="1"/>
    <x v="41"/>
    <x v="42"/>
    <x v="0"/>
    <x v="42"/>
  </r>
  <r>
    <x v="0"/>
    <x v="3"/>
    <x v="1"/>
    <x v="42"/>
    <x v="43"/>
    <x v="0"/>
    <x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4" firstHeaderRow="0" firstDataRow="1" firstDataCol="3"/>
  <pivotFields count="7">
    <pivotField compact="0" outline="0" showAll="0" defaultSubtotal="0">
      <items count="1">
        <item sd="0" x="0"/>
      </items>
    </pivotField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compact="0" outline="0" showAll="0" defaultSubtotal="0">
      <items count="4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44">
        <item sd="0" x="6"/>
        <item sd="0" x="1"/>
        <item sd="0" x="39"/>
        <item sd="0" x="25"/>
        <item sd="0" x="4"/>
        <item sd="0" x="21"/>
        <item sd="0" x="40"/>
        <item sd="0" x="18"/>
        <item sd="0" x="43"/>
        <item sd="0" x="38"/>
        <item sd="0" x="20"/>
        <item sd="0" x="7"/>
        <item sd="0" x="30"/>
        <item sd="0" x="23"/>
        <item sd="0" x="36"/>
        <item sd="0" x="29"/>
        <item sd="0" x="15"/>
        <item sd="0" x="2"/>
        <item sd="0" x="33"/>
        <item sd="0" x="0"/>
        <item sd="0" x="8"/>
        <item sd="0" x="42"/>
        <item sd="0" x="27"/>
        <item sd="0" x="35"/>
        <item sd="0" x="10"/>
        <item sd="0" x="11"/>
        <item sd="0" x="13"/>
        <item sd="0" x="34"/>
        <item sd="0" x="19"/>
        <item sd="0" x="16"/>
        <item sd="0" x="26"/>
        <item sd="0" x="5"/>
        <item sd="0" x="37"/>
        <item sd="0" x="31"/>
        <item sd="0" x="3"/>
        <item sd="0" x="9"/>
        <item sd="0" x="32"/>
        <item sd="0" x="22"/>
        <item sd="0" x="41"/>
        <item sd="0" x="28"/>
        <item sd="0" x="14"/>
        <item sd="0" x="12"/>
        <item sd="0" x="24"/>
        <item sd="0" x="17"/>
      </items>
    </pivotField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31"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type="all" dataOnly="0" outline="0" fieldPosition="0"/>
    </format>
    <format dxfId="60">
      <pivotArea dataOnly="0" outline="0" fieldPosition="0">
        <references count="1">
          <reference field="4294967294" count="1">
            <x v="0"/>
          </reference>
        </references>
      </pivotArea>
    </format>
    <format dxfId="59">
      <pivotArea outline="0" fieldPosition="0">
        <references count="1">
          <reference field="4294967294" count="1">
            <x v="0"/>
          </reference>
        </references>
      </pivotArea>
    </format>
    <format dxfId="58">
      <pivotArea outline="0" fieldPosition="0">
        <references count="1">
          <reference field="4294967294" count="1">
            <x v="1"/>
          </reference>
        </references>
      </pivotArea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outline="0" fieldPosition="0">
        <references count="1">
          <reference field="4294967294" count="1" selected="0">
            <x v="1"/>
          </reference>
        </references>
      </pivotArea>
    </format>
    <format dxfId="53">
      <pivotArea dataOnly="0" outline="0" fieldPosition="0">
        <references count="1">
          <reference field="4294967294" count="1">
            <x v="1"/>
          </reference>
        </references>
      </pivotArea>
    </format>
    <format dxfId="52">
      <pivotArea type="all" dataOnly="0" outline="0" fieldPosition="0"/>
    </format>
    <format dxfId="51">
      <pivotArea type="all" dataOnly="0" outline="0" fieldPosition="0"/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field="2" type="button" dataOnly="0" labelOnly="1" outline="0" axis="axisRow" fieldPosition="1"/>
    </format>
    <format dxfId="11">
      <pivotArea field="3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1">
            <x v="0"/>
          </reference>
        </references>
      </pivotArea>
    </format>
    <format dxfId="7">
      <pivotArea dataOnly="0" labelOnly="1" outline="0" fieldPosition="0">
        <references count="1">
          <reference field="1" count="1">
            <x v="1"/>
          </reference>
        </references>
      </pivotArea>
    </format>
    <format dxfId="6">
      <pivotArea dataOnly="0" labelOnly="1" outline="0" fieldPosition="0">
        <references count="1">
          <reference field="1" count="1">
            <x v="2"/>
          </reference>
        </references>
      </pivotArea>
    </format>
    <format dxfId="5">
      <pivotArea dataOnly="0" labelOnly="1" outline="0" fieldPosition="0">
        <references count="1">
          <reference field="1" count="1">
            <x v="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123" totalsRowShown="0" headerRowDxfId="21" dataDxfId="20" headerRowCellStyle="DarkHeader" dataCellStyle="Normal">
  <autoFilter ref="D79:J123" xr:uid="{DB1D1E60-5E37-456A-AD85-0649D531840E}"/>
  <tableColumns count="7">
    <tableColumn id="1" xr3:uid="{57EDF41E-F06D-4819-BADE-3D62DE46F06C}" name="Record List" dataDxfId="18" dataCellStyle="Normal"/>
    <tableColumn id="2" xr3:uid="{CF70C9CE-83FE-40FA-8089-C68B39CF665A}" name="dataset" dataDxfId="19" dataCellStyle="Normal"/>
    <tableColumn id="3" xr3:uid="{B8654690-502A-4FAF-9205-0118DABCB954}" name="x" dataDxfId="22" dataCellStyle="Normal"/>
    <tableColumn id="4" xr3:uid="{5A5BA001-2F93-4E62-880C-C4E8BDB17EEB}" name="y" dataDxfId="17" dataCellStyle="Normal"/>
    <tableColumn id="5" xr3:uid="{F0638EBA-DFC3-0B47-A217-90A81FB434E1}" name="index" dataDxfId="16" dataCellStyle="Normal"/>
    <tableColumn id="6" xr3:uid="{A843FC27-372B-D14D-8CD0-8489F184944E}" name="HasBlank" dataDxfId="15" dataCellStyle="Normal"/>
    <tableColumn id="7" xr3:uid="{6EC6CBA3-5793-B447-A513-2EFEF29963FE}" name="Record Hash" dataDxfId="1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25" dataDxfId="90" headerRowBorderDxfId="91">
  <autoFilter ref="B11:AA14" xr:uid="{034D1C74-BE18-490E-B396-097D407DA97D}"/>
  <tableColumns count="26">
    <tableColumn id="1" xr3:uid="{010A8E62-502A-4B19-B37A-BF59E03A068A}" name="Field" dataDxfId="89"/>
    <tableColumn id="2" xr3:uid="{AD236665-EC7C-404F-8915-AD7CD5510D0F}" name="Definition" dataDxfId="2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8"/>
    <tableColumn id="5" xr3:uid="{5006D683-9D12-4B97-9EF2-6D41AF6E0B35}" name="Distinct %" dataDxfId="87"/>
    <tableColumn id="6" xr3:uid="{3AFB42F8-9976-44FF-9239-74914D5BE035}" name="Missing %" dataDxfId="86"/>
    <tableColumn id="7" xr3:uid="{4BA41102-DB06-4180-9754-C88722FE82BD}" name="Memory Usage %" dataDxfId="85"/>
    <tableColumn id="8" xr3:uid="{D22319BD-3A80-40F3-84FC-A6D1627B2F29}" name="Memory Usage" dataDxfId="84"/>
    <tableColumn id="9" xr3:uid="{77FAEE19-B6C7-4056-8EF3-5EB877C820C4}" name="Distinct" dataDxfId="83"/>
    <tableColumn id="10" xr3:uid="{54FF47BF-594E-417B-9028-64A4DFE4D389}" name="Count" dataDxfId="82"/>
    <tableColumn id="11" xr3:uid="{54E587FE-36DC-4522-91DC-8B81B386217B}" name="Count %" dataDxfId="81"/>
    <tableColumn id="12" xr3:uid="{0DE21D83-93B1-480C-BE9C-379DA0E532C7}" name="Missing" dataDxfId="80"/>
    <tableColumn id="13" xr3:uid="{C4B407B9-B7FB-4DFC-A6B3-885C816BAF99}" name="Mean" dataDxfId="79"/>
    <tableColumn id="14" xr3:uid="{9796FD8E-D568-43E1-AC6E-BFAE7C7B7017}" name="Median" dataDxfId="78"/>
    <tableColumn id="15" xr3:uid="{A6A7BCED-DD2F-4B41-A84C-2F2674A38A53}" name="Mode" dataDxfId="77"/>
    <tableColumn id="16" xr3:uid="{46607FA5-244C-49C2-997C-B64EB2E94FDE}" name="Standard Deviation" dataDxfId="76"/>
    <tableColumn id="17" xr3:uid="{80BA1782-4C46-45CE-B3FB-40B70BA09AF9}" name="Variance" dataDxfId="75"/>
    <tableColumn id="18" xr3:uid="{EC3C5A76-EF95-419C-87A8-D8885B542521}" name="Min" dataDxfId="74"/>
    <tableColumn id="19" xr3:uid="{BFE545F8-810C-4F0A-A0B2-FF0AB9764A07}" name="5%" dataDxfId="73"/>
    <tableColumn id="20" xr3:uid="{77D31A9B-57B1-4422-8EF9-6320F00E0DB9}" name="25%" dataDxfId="72"/>
    <tableColumn id="21" xr3:uid="{7A350787-F0EA-4E65-B596-5D7253E75CD6}" name="50%" dataDxfId="71"/>
    <tableColumn id="22" xr3:uid="{FB4C260E-A19F-4908-9DBF-DB4AC630982A}" name="75%" dataDxfId="70"/>
    <tableColumn id="23" xr3:uid="{FBECC9F1-5BC8-4774-9475-EB2D6D28F1E2}" name="95%" dataDxfId="69"/>
    <tableColumn id="24" xr3:uid="{839CD532-ED80-4544-A8C8-E9E036764A84}" name="Max" dataDxfId="68"/>
    <tableColumn id="25" xr3:uid="{9DDA1FD6-82B1-4FBE-8BBD-B40C331930D2}" name="Range" dataDxfId="67"/>
    <tableColumn id="26" xr3:uid="{902A027A-FD65-44D4-B3D0-5B3883ACFA39}" name="IQR" dataDxfId="6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48" dataDxfId="46" headerRowBorderDxfId="47" tableBorderDxfId="45" totalsRowBorderDxfId="44">
  <tableColumns count="3">
    <tableColumn id="1" xr3:uid="{FFACC0FF-000E-4785-9C1A-22F01E7C2644}" name="Production Section" dataDxfId="43" dataCellStyle="DarkHeader"/>
    <tableColumn id="2" xr3:uid="{6A06C42D-D4AD-45CE-A81D-0918B410EAA9}" name="Production Time in Seconds" dataDxfId="42"/>
    <tableColumn id="3" xr3:uid="{2643AF23-A2E5-4438-810D-7531CB2D2E4E}" name="% of Production Time" dataDxfId="4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39" headerRowBorderDxfId="40" tableBorderDxfId="38">
  <tableColumns count="2">
    <tableColumn id="1" xr3:uid="{9623C5AE-E7C2-4493-9B72-08667C9B2C60}" name="Environment Variable" dataDxfId="37" dataCellStyle="DarkHeader"/>
    <tableColumn id="2" xr3:uid="{E5E357AA-48FB-47EA-928A-80845B0CD7C9}" name="Value" dataDxfId="3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35" tableBorderDxfId="34" totalsRowBorderDxfId="33">
  <autoFilter ref="F8:G19" xr:uid="{A6117933-3C15-4FC8-ADF4-0EC66304DEE1}"/>
  <tableColumns count="2">
    <tableColumn id="1" xr3:uid="{EC70458D-5C3D-497C-AA06-AFCBD688FBDA}" name="Input Argument" dataDxfId="32" dataCellStyle="DarkHeader"/>
    <tableColumn id="2" xr3:uid="{FCA8AE27-3D46-4152-9A03-0F3EFBA2366A}" name="Value" dataDxfId="3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30" tableBorderDxfId="29" totalsRowBorderDxfId="28">
  <autoFilter ref="I8:J9" xr:uid="{6AF89CD0-DF40-4046-87D4-2BF660DDE636}"/>
  <tableColumns count="2">
    <tableColumn id="1" xr3:uid="{27FA7240-202E-4FAB-AD4A-DC169AFD6F56}" name="Error Type" dataDxfId="27" dataCellStyle="DarkHeader"/>
    <tableColumn id="2" xr3:uid="{C21354E4-3682-4AA0-B73A-2E689C89258C}" name="Value" dataDxfId="2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2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44</v>
      </c>
    </row>
    <row r="10" spans="1:23" ht="15" hidden="1" customHeight="1" outlineLevel="1" x14ac:dyDescent="0.2">
      <c r="D10" s="3" t="s">
        <v>53</v>
      </c>
      <c r="E10" s="29">
        <v>3</v>
      </c>
    </row>
    <row r="11" spans="1:23" ht="15" hidden="1" customHeight="1" outlineLevel="1" x14ac:dyDescent="0.2">
      <c r="D11" s="3" t="s">
        <v>12</v>
      </c>
      <c r="E11" s="29" t="s">
        <v>85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</row>
    <row r="16" spans="1:23" ht="10.25" hidden="1" customHeight="1" outlineLevel="1" x14ac:dyDescent="0.2"/>
    <row r="17" spans="1:10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</row>
    <row r="18" spans="1:10" ht="10.25" hidden="1" customHeight="1" outlineLevel="1" x14ac:dyDescent="0.2"/>
    <row r="19" spans="1:10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27" t="s">
        <v>83</v>
      </c>
      <c r="I19" s="27" t="s">
        <v>38</v>
      </c>
      <c r="J19" s="27" t="s">
        <v>84</v>
      </c>
    </row>
    <row r="20" spans="1:10" ht="10.25" customHeight="1" x14ac:dyDescent="0.2"/>
    <row r="21" spans="1:10" outlineLevel="1" x14ac:dyDescent="0.2">
      <c r="C21" s="52" t="s">
        <v>78</v>
      </c>
      <c r="D21" s="2" t="s">
        <v>7</v>
      </c>
    </row>
    <row r="22" spans="1:10" ht="10.25" customHeight="1" outlineLevel="1" x14ac:dyDescent="0.2"/>
    <row r="23" spans="1:10" ht="15" hidden="1" customHeight="1" outlineLevel="2" x14ac:dyDescent="0.2">
      <c r="D23" s="23" t="s">
        <v>8</v>
      </c>
      <c r="E23" s="13" t="s">
        <v>86</v>
      </c>
      <c r="F23" s="13" t="s">
        <v>87</v>
      </c>
      <c r="G23" s="13" t="s">
        <v>87</v>
      </c>
    </row>
    <row r="24" spans="1:10" ht="15" hidden="1" customHeight="1" outlineLevel="2" x14ac:dyDescent="0.2">
      <c r="D24" s="3" t="s">
        <v>9</v>
      </c>
      <c r="E24" s="14">
        <v>9.0909090909090898E-2</v>
      </c>
      <c r="F24" s="14">
        <v>0.27272727272727199</v>
      </c>
      <c r="G24" s="14">
        <v>0.97727272727272696</v>
      </c>
    </row>
    <row r="25" spans="1:10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</row>
    <row r="26" spans="1:10" ht="15" hidden="1" customHeight="1" outlineLevel="2" x14ac:dyDescent="0.2">
      <c r="D26" s="22" t="s">
        <v>11</v>
      </c>
      <c r="E26" s="14">
        <v>0.29693741677762903</v>
      </c>
      <c r="F26" s="14">
        <v>0.234354194407456</v>
      </c>
      <c r="G26" s="14">
        <v>0.234354194407456</v>
      </c>
    </row>
    <row r="27" spans="1:10" ht="15" hidden="1" customHeight="1" outlineLevel="2" x14ac:dyDescent="0.2">
      <c r="D27" s="22" t="s">
        <v>12</v>
      </c>
      <c r="E27" s="15">
        <v>446</v>
      </c>
      <c r="F27" s="15">
        <v>352</v>
      </c>
      <c r="G27" s="15">
        <v>352</v>
      </c>
    </row>
    <row r="28" spans="1:10" ht="15" hidden="1" customHeight="1" outlineLevel="2" x14ac:dyDescent="0.2">
      <c r="D28" s="22" t="s">
        <v>13</v>
      </c>
      <c r="E28" s="15">
        <v>4</v>
      </c>
      <c r="F28" s="15">
        <v>12</v>
      </c>
      <c r="G28" s="15">
        <v>43</v>
      </c>
    </row>
    <row r="29" spans="1:10" ht="15" hidden="1" customHeight="1" outlineLevel="2" x14ac:dyDescent="0.2">
      <c r="D29" s="23" t="s">
        <v>14</v>
      </c>
      <c r="E29" s="15">
        <v>44</v>
      </c>
      <c r="F29" s="15">
        <v>44</v>
      </c>
      <c r="G29" s="15">
        <v>44</v>
      </c>
    </row>
    <row r="30" spans="1:10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</row>
    <row r="31" spans="1:10" ht="10.25" hidden="1" customHeight="1" outlineLevel="2" x14ac:dyDescent="0.2"/>
    <row r="32" spans="1:10" ht="150" hidden="1" customHeight="1" outlineLevel="2" x14ac:dyDescent="0.2"/>
    <row r="33" spans="3:7" ht="10.25" hidden="1" customHeight="1" outlineLevel="2" x14ac:dyDescent="0.2"/>
    <row r="34" spans="3:7" outlineLevel="1" collapsed="1" x14ac:dyDescent="0.2">
      <c r="C34" s="52" t="s">
        <v>78</v>
      </c>
      <c r="D34" s="2" t="s">
        <v>16</v>
      </c>
    </row>
    <row r="35" spans="3:7" ht="10.25" customHeight="1" outlineLevel="1" x14ac:dyDescent="0.2"/>
    <row r="36" spans="3:7" ht="15" hidden="1" customHeight="1" outlineLevel="2" x14ac:dyDescent="0.2">
      <c r="D36" s="3" t="s">
        <v>17</v>
      </c>
      <c r="E36" s="16"/>
      <c r="F36" s="16">
        <v>9</v>
      </c>
      <c r="G36" s="16">
        <v>7.5006818181818096</v>
      </c>
    </row>
    <row r="37" spans="3:7" ht="15" hidden="1" customHeight="1" outlineLevel="2" x14ac:dyDescent="0.2">
      <c r="D37" s="22" t="s">
        <v>18</v>
      </c>
      <c r="E37" s="16"/>
      <c r="F37" s="16">
        <v>8</v>
      </c>
      <c r="G37" s="16">
        <v>7.52</v>
      </c>
    </row>
    <row r="38" spans="3:7" ht="15" hidden="1" customHeight="1" outlineLevel="2" x14ac:dyDescent="0.2">
      <c r="D38" s="22" t="s">
        <v>19</v>
      </c>
      <c r="E38" s="16" t="s">
        <v>88</v>
      </c>
      <c r="F38" s="16">
        <v>8</v>
      </c>
      <c r="G38" s="16">
        <v>8.84</v>
      </c>
    </row>
    <row r="39" spans="3:7" ht="15" hidden="1" customHeight="1" outlineLevel="2" x14ac:dyDescent="0.2">
      <c r="D39" s="3" t="s">
        <v>20</v>
      </c>
      <c r="E39" s="16"/>
      <c r="F39" s="16">
        <v>3.1988369979626698</v>
      </c>
      <c r="G39" s="16">
        <v>1.9589251890784101</v>
      </c>
    </row>
    <row r="40" spans="3:7" ht="15" hidden="1" customHeight="1" outlineLevel="2" x14ac:dyDescent="0.2">
      <c r="D40" s="24" t="s">
        <v>21</v>
      </c>
      <c r="E40" s="16"/>
      <c r="F40" s="16">
        <v>10.232558139534801</v>
      </c>
      <c r="G40" s="16">
        <v>3.83738789640591</v>
      </c>
    </row>
    <row r="41" spans="3:7" ht="10.25" hidden="1" customHeight="1" outlineLevel="2" x14ac:dyDescent="0.2"/>
    <row r="42" spans="3:7" ht="150" hidden="1" customHeight="1" outlineLevel="2" x14ac:dyDescent="0.2"/>
    <row r="43" spans="3:7" ht="10.25" hidden="1" customHeight="1" outlineLevel="2" x14ac:dyDescent="0.2"/>
    <row r="44" spans="3:7" outlineLevel="1" collapsed="1" x14ac:dyDescent="0.2">
      <c r="C44" s="52" t="s">
        <v>78</v>
      </c>
      <c r="D44" s="2" t="s">
        <v>22</v>
      </c>
    </row>
    <row r="45" spans="3:7" ht="10" customHeight="1" outlineLevel="1" x14ac:dyDescent="0.2"/>
    <row r="46" spans="3:7" ht="15" hidden="1" customHeight="1" outlineLevel="2" x14ac:dyDescent="0.2">
      <c r="D46" s="3" t="s">
        <v>23</v>
      </c>
      <c r="E46" s="16"/>
      <c r="F46" s="16">
        <v>4</v>
      </c>
      <c r="G46" s="16">
        <v>3.1</v>
      </c>
    </row>
    <row r="47" spans="3:7" ht="15" hidden="1" customHeight="1" outlineLevel="2" x14ac:dyDescent="0.2">
      <c r="D47" s="22">
        <v>0.05</v>
      </c>
      <c r="E47" s="16"/>
      <c r="F47" s="16">
        <v>4.1500000000000004</v>
      </c>
      <c r="G47" s="16">
        <v>4.7519999999999998</v>
      </c>
    </row>
    <row r="48" spans="3:7" ht="15" hidden="1" customHeight="1" outlineLevel="2" x14ac:dyDescent="0.2">
      <c r="D48" s="23">
        <v>0.25</v>
      </c>
      <c r="E48" s="16"/>
      <c r="F48" s="16">
        <v>7</v>
      </c>
      <c r="G48" s="16">
        <v>6.1174999999999997</v>
      </c>
    </row>
    <row r="49" spans="3:7" ht="15" hidden="1" customHeight="1" outlineLevel="2" x14ac:dyDescent="0.2">
      <c r="D49" s="3">
        <v>0.5</v>
      </c>
      <c r="E49" s="16"/>
      <c r="F49" s="16">
        <v>8</v>
      </c>
      <c r="G49" s="16">
        <v>7.52</v>
      </c>
    </row>
    <row r="50" spans="3:7" ht="15" hidden="1" customHeight="1" outlineLevel="2" x14ac:dyDescent="0.2">
      <c r="D50" s="22">
        <v>0.75</v>
      </c>
      <c r="E50" s="16"/>
      <c r="F50" s="16">
        <v>11</v>
      </c>
      <c r="G50" s="16">
        <v>8.7475000000000005</v>
      </c>
    </row>
    <row r="51" spans="3:7" ht="15" hidden="1" customHeight="1" outlineLevel="2" x14ac:dyDescent="0.2">
      <c r="D51" s="22">
        <v>0.95</v>
      </c>
      <c r="E51" s="16"/>
      <c r="F51" s="16">
        <v>14</v>
      </c>
      <c r="G51" s="16">
        <v>10.708</v>
      </c>
    </row>
    <row r="52" spans="3:7" ht="15" hidden="1" customHeight="1" outlineLevel="2" x14ac:dyDescent="0.2">
      <c r="D52" s="3" t="s">
        <v>24</v>
      </c>
      <c r="E52" s="16"/>
      <c r="F52" s="16">
        <v>19</v>
      </c>
      <c r="G52" s="16">
        <v>12.74</v>
      </c>
    </row>
    <row r="53" spans="3:7" ht="15" hidden="1" customHeight="1" outlineLevel="2" x14ac:dyDescent="0.2">
      <c r="D53" s="22" t="s">
        <v>25</v>
      </c>
      <c r="E53" s="16"/>
      <c r="F53" s="16">
        <v>15</v>
      </c>
      <c r="G53" s="16">
        <v>9.64</v>
      </c>
    </row>
    <row r="54" spans="3:7" ht="15" hidden="1" customHeight="1" outlineLevel="2" x14ac:dyDescent="0.2">
      <c r="D54" s="3" t="s">
        <v>26</v>
      </c>
      <c r="E54" s="16"/>
      <c r="F54" s="16">
        <v>4</v>
      </c>
      <c r="G54" s="16">
        <v>2.63</v>
      </c>
    </row>
    <row r="55" spans="3:7" ht="10.25" hidden="1" customHeight="1" outlineLevel="2" x14ac:dyDescent="0.2"/>
    <row r="56" spans="3:7" outlineLevel="1" collapsed="1" x14ac:dyDescent="0.2">
      <c r="C56" s="52" t="s">
        <v>78</v>
      </c>
      <c r="D56" s="2" t="s">
        <v>27</v>
      </c>
    </row>
    <row r="57" spans="3:7" ht="10" customHeight="1" outlineLevel="1" x14ac:dyDescent="0.2"/>
    <row r="58" spans="3:7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</row>
    <row r="59" spans="3:7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</row>
    <row r="60" spans="3:7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</row>
    <row r="61" spans="3:7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</row>
    <row r="62" spans="3:7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</row>
    <row r="63" spans="3:7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</row>
    <row r="64" spans="3:7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</row>
    <row r="65" spans="3:10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</row>
    <row r="66" spans="3:10" ht="10.25" hidden="1" customHeight="1" outlineLevel="2" x14ac:dyDescent="0.2"/>
    <row r="67" spans="3:10" outlineLevel="1" collapsed="1" x14ac:dyDescent="0.2">
      <c r="C67" s="52" t="s">
        <v>78</v>
      </c>
      <c r="D67" s="2" t="s">
        <v>36</v>
      </c>
    </row>
    <row r="68" spans="3:10" ht="10" customHeight="1" outlineLevel="1" x14ac:dyDescent="0.2"/>
    <row r="69" spans="3:10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0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0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0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0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0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0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0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0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0" ht="10.25" hidden="1" customHeight="1" outlineLevel="1" collapsed="1" x14ac:dyDescent="0.2"/>
    <row r="79" spans="3:10" ht="30" customHeight="1" x14ac:dyDescent="0.2">
      <c r="D79" s="126" t="s">
        <v>37</v>
      </c>
      <c r="E79" s="120" t="s">
        <v>80</v>
      </c>
      <c r="F79" s="120" t="s">
        <v>81</v>
      </c>
      <c r="G79" s="120" t="s">
        <v>82</v>
      </c>
      <c r="H79" s="126" t="s">
        <v>83</v>
      </c>
      <c r="I79" s="126" t="s">
        <v>38</v>
      </c>
      <c r="J79" s="126" t="s">
        <v>84</v>
      </c>
    </row>
    <row r="80" spans="3:10" ht="15" customHeight="1" x14ac:dyDescent="0.2">
      <c r="D80" s="127" t="b">
        <v>0</v>
      </c>
      <c r="E80" s="121" t="s">
        <v>88</v>
      </c>
      <c r="F80" s="121">
        <v>10</v>
      </c>
      <c r="G80" s="121">
        <v>8.0399999999999991</v>
      </c>
      <c r="H80" s="130">
        <v>0</v>
      </c>
      <c r="I80" s="130">
        <v>0</v>
      </c>
      <c r="J80" s="130">
        <v>8.2900397977865564E+18</v>
      </c>
    </row>
    <row r="81" spans="4:10" ht="15" customHeight="1" x14ac:dyDescent="0.2">
      <c r="D81" s="127" t="b">
        <v>0</v>
      </c>
      <c r="E81" s="121" t="s">
        <v>88</v>
      </c>
      <c r="F81" s="121">
        <v>8</v>
      </c>
      <c r="G81" s="121">
        <v>6.95</v>
      </c>
      <c r="H81" s="130">
        <v>1</v>
      </c>
      <c r="I81" s="130">
        <v>0</v>
      </c>
      <c r="J81" s="130">
        <v>7.746183454097559E+17</v>
      </c>
    </row>
    <row r="82" spans="4:10" ht="15" customHeight="1" x14ac:dyDescent="0.2">
      <c r="D82" s="128" t="b">
        <v>0</v>
      </c>
      <c r="E82" s="122" t="s">
        <v>88</v>
      </c>
      <c r="F82" s="123">
        <v>13</v>
      </c>
      <c r="G82" s="123">
        <v>7.58</v>
      </c>
      <c r="H82" s="130">
        <v>2</v>
      </c>
      <c r="I82" s="130">
        <v>0</v>
      </c>
      <c r="J82" s="130">
        <v>7.7304847401086556E+18</v>
      </c>
    </row>
    <row r="83" spans="4:10" ht="15" customHeight="1" x14ac:dyDescent="0.2">
      <c r="D83" s="128" t="b">
        <v>0</v>
      </c>
      <c r="E83" s="122" t="s">
        <v>88</v>
      </c>
      <c r="F83" s="123">
        <v>9</v>
      </c>
      <c r="G83" s="123">
        <v>8.81</v>
      </c>
      <c r="H83" s="130">
        <v>3</v>
      </c>
      <c r="I83" s="130">
        <v>0</v>
      </c>
      <c r="J83" s="130">
        <v>1.6450170027552784E+19</v>
      </c>
    </row>
    <row r="84" spans="4:10" ht="15" customHeight="1" x14ac:dyDescent="0.2">
      <c r="D84" s="128" t="b">
        <v>0</v>
      </c>
      <c r="E84" s="122" t="s">
        <v>88</v>
      </c>
      <c r="F84" s="123">
        <v>11</v>
      </c>
      <c r="G84" s="123">
        <v>8.33</v>
      </c>
      <c r="H84" s="130">
        <v>4</v>
      </c>
      <c r="I84" s="130">
        <v>0</v>
      </c>
      <c r="J84" s="130">
        <v>1.9576391762710935E+18</v>
      </c>
    </row>
    <row r="85" spans="4:10" ht="15" customHeight="1" x14ac:dyDescent="0.2">
      <c r="D85" s="128" t="b">
        <v>0</v>
      </c>
      <c r="E85" s="122" t="s">
        <v>88</v>
      </c>
      <c r="F85" s="123">
        <v>14</v>
      </c>
      <c r="G85" s="123">
        <v>9.9600000000000009</v>
      </c>
      <c r="H85" s="130">
        <v>5</v>
      </c>
      <c r="I85" s="130">
        <v>0</v>
      </c>
      <c r="J85" s="130">
        <v>1.4813912060619E+19</v>
      </c>
    </row>
    <row r="86" spans="4:10" ht="15" customHeight="1" x14ac:dyDescent="0.2">
      <c r="D86" s="128" t="b">
        <v>0</v>
      </c>
      <c r="E86" s="122" t="s">
        <v>88</v>
      </c>
      <c r="F86" s="123">
        <v>6</v>
      </c>
      <c r="G86" s="123">
        <v>7.24</v>
      </c>
      <c r="H86" s="130">
        <v>6</v>
      </c>
      <c r="I86" s="130">
        <v>0</v>
      </c>
      <c r="J86" s="130">
        <v>4.5531757921356141E+17</v>
      </c>
    </row>
    <row r="87" spans="4:10" ht="15" customHeight="1" x14ac:dyDescent="0.2">
      <c r="D87" s="128" t="b">
        <v>0</v>
      </c>
      <c r="E87" s="122" t="s">
        <v>88</v>
      </c>
      <c r="F87" s="123">
        <v>4</v>
      </c>
      <c r="G87" s="123">
        <v>4.26</v>
      </c>
      <c r="H87" s="130">
        <v>7</v>
      </c>
      <c r="I87" s="130">
        <v>0</v>
      </c>
      <c r="J87" s="130">
        <v>4.2687004823131064E+18</v>
      </c>
    </row>
    <row r="88" spans="4:10" ht="15" customHeight="1" x14ac:dyDescent="0.2">
      <c r="D88" s="128" t="b">
        <v>0</v>
      </c>
      <c r="E88" s="122" t="s">
        <v>88</v>
      </c>
      <c r="F88" s="123">
        <v>12</v>
      </c>
      <c r="G88" s="123">
        <v>10.84</v>
      </c>
      <c r="H88" s="130">
        <v>8</v>
      </c>
      <c r="I88" s="130">
        <v>0</v>
      </c>
      <c r="J88" s="130">
        <v>1.0824355179871961E+19</v>
      </c>
    </row>
    <row r="89" spans="4:10" ht="15" customHeight="1" x14ac:dyDescent="0.2">
      <c r="D89" s="128" t="b">
        <v>0</v>
      </c>
      <c r="E89" s="122" t="s">
        <v>88</v>
      </c>
      <c r="F89" s="123">
        <v>7</v>
      </c>
      <c r="G89" s="123">
        <v>4.82</v>
      </c>
      <c r="H89" s="130">
        <v>9</v>
      </c>
      <c r="I89" s="130">
        <v>0</v>
      </c>
      <c r="J89" s="130">
        <v>1.6541709756342252E+19</v>
      </c>
    </row>
    <row r="90" spans="4:10" ht="15" customHeight="1" x14ac:dyDescent="0.2">
      <c r="D90" s="128" t="b">
        <v>0</v>
      </c>
      <c r="E90" s="122" t="s">
        <v>88</v>
      </c>
      <c r="F90" s="123">
        <v>5</v>
      </c>
      <c r="G90" s="123">
        <v>5.68</v>
      </c>
      <c r="H90" s="130">
        <v>10</v>
      </c>
      <c r="I90" s="130">
        <v>0</v>
      </c>
      <c r="J90" s="130">
        <v>1.2465426303620512E+19</v>
      </c>
    </row>
    <row r="91" spans="4:10" ht="15" customHeight="1" x14ac:dyDescent="0.2">
      <c r="D91" s="128" t="b">
        <v>0</v>
      </c>
      <c r="E91" s="122" t="s">
        <v>89</v>
      </c>
      <c r="F91" s="123">
        <v>10</v>
      </c>
      <c r="G91" s="123">
        <v>9.14</v>
      </c>
      <c r="H91" s="130">
        <v>11</v>
      </c>
      <c r="I91" s="130">
        <v>0</v>
      </c>
      <c r="J91" s="130">
        <v>1.2615110453480454E+19</v>
      </c>
    </row>
    <row r="92" spans="4:10" ht="15" customHeight="1" x14ac:dyDescent="0.2">
      <c r="D92" s="128" t="b">
        <v>0</v>
      </c>
      <c r="E92" s="122" t="s">
        <v>89</v>
      </c>
      <c r="F92" s="123">
        <v>8</v>
      </c>
      <c r="G92" s="123">
        <v>8.14</v>
      </c>
      <c r="H92" s="130">
        <v>12</v>
      </c>
      <c r="I92" s="130">
        <v>0</v>
      </c>
      <c r="J92" s="130">
        <v>1.7574382863757523E+19</v>
      </c>
    </row>
    <row r="93" spans="4:10" ht="15" customHeight="1" x14ac:dyDescent="0.2">
      <c r="D93" s="128" t="b">
        <v>0</v>
      </c>
      <c r="E93" s="122" t="s">
        <v>89</v>
      </c>
      <c r="F93" s="123">
        <v>13</v>
      </c>
      <c r="G93" s="123">
        <v>8.74</v>
      </c>
      <c r="H93" s="130">
        <v>13</v>
      </c>
      <c r="I93" s="130">
        <v>0</v>
      </c>
      <c r="J93" s="130">
        <v>1.2831300063501724E+19</v>
      </c>
    </row>
    <row r="94" spans="4:10" ht="15" customHeight="1" x14ac:dyDescent="0.2">
      <c r="D94" s="128" t="b">
        <v>0</v>
      </c>
      <c r="E94" s="122" t="s">
        <v>89</v>
      </c>
      <c r="F94" s="123">
        <v>9</v>
      </c>
      <c r="G94" s="123">
        <v>8.77</v>
      </c>
      <c r="H94" s="130">
        <v>14</v>
      </c>
      <c r="I94" s="130">
        <v>0</v>
      </c>
      <c r="J94" s="130">
        <v>1.7540277894604515E+19</v>
      </c>
    </row>
    <row r="95" spans="4:10" ht="15" customHeight="1" x14ac:dyDescent="0.2">
      <c r="D95" s="128" t="b">
        <v>0</v>
      </c>
      <c r="E95" s="122" t="s">
        <v>89</v>
      </c>
      <c r="F95" s="123">
        <v>11</v>
      </c>
      <c r="G95" s="123">
        <v>9.26</v>
      </c>
      <c r="H95" s="130">
        <v>15</v>
      </c>
      <c r="I95" s="130">
        <v>0</v>
      </c>
      <c r="J95" s="130">
        <v>7.5235392342167153E+18</v>
      </c>
    </row>
    <row r="96" spans="4:10" ht="15" customHeight="1" x14ac:dyDescent="0.2">
      <c r="D96" s="128" t="b">
        <v>0</v>
      </c>
      <c r="E96" s="122" t="s">
        <v>89</v>
      </c>
      <c r="F96" s="123">
        <v>14</v>
      </c>
      <c r="G96" s="123">
        <v>8.1</v>
      </c>
      <c r="H96" s="130">
        <v>16</v>
      </c>
      <c r="I96" s="130">
        <v>0</v>
      </c>
      <c r="J96" s="130">
        <v>1.3486858689431015E+19</v>
      </c>
    </row>
    <row r="97" spans="4:10" ht="15" customHeight="1" x14ac:dyDescent="0.2">
      <c r="D97" s="128" t="b">
        <v>0</v>
      </c>
      <c r="E97" s="122" t="s">
        <v>89</v>
      </c>
      <c r="F97" s="123">
        <v>6</v>
      </c>
      <c r="G97" s="123">
        <v>6.13</v>
      </c>
      <c r="H97" s="130">
        <v>17</v>
      </c>
      <c r="I97" s="130">
        <v>0</v>
      </c>
      <c r="J97" s="130">
        <v>1.8290918260543154E+19</v>
      </c>
    </row>
    <row r="98" spans="4:10" ht="15" customHeight="1" x14ac:dyDescent="0.2">
      <c r="D98" s="128" t="b">
        <v>0</v>
      </c>
      <c r="E98" s="122" t="s">
        <v>89</v>
      </c>
      <c r="F98" s="123">
        <v>4</v>
      </c>
      <c r="G98" s="123">
        <v>3.1</v>
      </c>
      <c r="H98" s="130">
        <v>18</v>
      </c>
      <c r="I98" s="130">
        <v>0</v>
      </c>
      <c r="J98" s="130">
        <v>3.0271482890587628E+18</v>
      </c>
    </row>
    <row r="99" spans="4:10" ht="15" customHeight="1" x14ac:dyDescent="0.2">
      <c r="D99" s="128" t="b">
        <v>0</v>
      </c>
      <c r="E99" s="122" t="s">
        <v>89</v>
      </c>
      <c r="F99" s="123">
        <v>12</v>
      </c>
      <c r="G99" s="123">
        <v>9.1300000000000008</v>
      </c>
      <c r="H99" s="130">
        <v>19</v>
      </c>
      <c r="I99" s="130">
        <v>0</v>
      </c>
      <c r="J99" s="130">
        <v>1.3323868367707693E+19</v>
      </c>
    </row>
    <row r="100" spans="4:10" ht="15" customHeight="1" x14ac:dyDescent="0.2">
      <c r="D100" s="128" t="b">
        <v>0</v>
      </c>
      <c r="E100" s="122" t="s">
        <v>89</v>
      </c>
      <c r="F100" s="123">
        <v>7</v>
      </c>
      <c r="G100" s="123">
        <v>7.26</v>
      </c>
      <c r="H100" s="130">
        <v>20</v>
      </c>
      <c r="I100" s="130">
        <v>0</v>
      </c>
      <c r="J100" s="130">
        <v>3.5680720266868065E+18</v>
      </c>
    </row>
    <row r="101" spans="4:10" ht="15" customHeight="1" x14ac:dyDescent="0.2">
      <c r="D101" s="128" t="b">
        <v>0</v>
      </c>
      <c r="E101" s="122" t="s">
        <v>89</v>
      </c>
      <c r="F101" s="123">
        <v>5</v>
      </c>
      <c r="G101" s="123">
        <v>4.74</v>
      </c>
      <c r="H101" s="130">
        <v>21</v>
      </c>
      <c r="I101" s="130">
        <v>0</v>
      </c>
      <c r="J101" s="130">
        <v>2.3914005557568937E+18</v>
      </c>
    </row>
    <row r="102" spans="4:10" ht="15" customHeight="1" x14ac:dyDescent="0.2">
      <c r="D102" s="128" t="b">
        <v>0</v>
      </c>
      <c r="E102" s="122" t="s">
        <v>90</v>
      </c>
      <c r="F102" s="123">
        <v>10</v>
      </c>
      <c r="G102" s="123">
        <v>7.46</v>
      </c>
      <c r="H102" s="130">
        <v>22</v>
      </c>
      <c r="I102" s="130">
        <v>0</v>
      </c>
      <c r="J102" s="130">
        <v>1.7082740423865072E+19</v>
      </c>
    </row>
    <row r="103" spans="4:10" ht="15" customHeight="1" x14ac:dyDescent="0.2">
      <c r="D103" s="128" t="b">
        <v>0</v>
      </c>
      <c r="E103" s="122" t="s">
        <v>90</v>
      </c>
      <c r="F103" s="123">
        <v>8</v>
      </c>
      <c r="G103" s="123">
        <v>6.77</v>
      </c>
      <c r="H103" s="130">
        <v>23</v>
      </c>
      <c r="I103" s="130">
        <v>0</v>
      </c>
      <c r="J103" s="130">
        <v>4.9085920842948086E+18</v>
      </c>
    </row>
    <row r="104" spans="4:10" ht="15" customHeight="1" x14ac:dyDescent="0.2">
      <c r="D104" s="128" t="b">
        <v>0</v>
      </c>
      <c r="E104" s="122" t="s">
        <v>90</v>
      </c>
      <c r="F104" s="123">
        <v>13</v>
      </c>
      <c r="G104" s="123">
        <v>12.74</v>
      </c>
      <c r="H104" s="130">
        <v>24</v>
      </c>
      <c r="I104" s="130">
        <v>0</v>
      </c>
      <c r="J104" s="130">
        <v>1.770008728388957E+19</v>
      </c>
    </row>
    <row r="105" spans="4:10" ht="15" customHeight="1" x14ac:dyDescent="0.2">
      <c r="D105" s="128" t="b">
        <v>0</v>
      </c>
      <c r="E105" s="122" t="s">
        <v>90</v>
      </c>
      <c r="F105" s="123">
        <v>9</v>
      </c>
      <c r="G105" s="123">
        <v>7.11</v>
      </c>
      <c r="H105" s="130">
        <v>25</v>
      </c>
      <c r="I105" s="130">
        <v>0</v>
      </c>
      <c r="J105" s="130">
        <v>1.9372436006079421E+18</v>
      </c>
    </row>
    <row r="106" spans="4:10" ht="15" customHeight="1" x14ac:dyDescent="0.2">
      <c r="D106" s="128" t="b">
        <v>0</v>
      </c>
      <c r="E106" s="122" t="s">
        <v>90</v>
      </c>
      <c r="F106" s="123">
        <v>11</v>
      </c>
      <c r="G106" s="123">
        <v>7.81</v>
      </c>
      <c r="H106" s="130">
        <v>26</v>
      </c>
      <c r="I106" s="130">
        <v>0</v>
      </c>
      <c r="J106" s="130">
        <v>1.3529379415465892E+19</v>
      </c>
    </row>
    <row r="107" spans="4:10" ht="15" customHeight="1" x14ac:dyDescent="0.2">
      <c r="D107" s="128" t="b">
        <v>0</v>
      </c>
      <c r="E107" s="122" t="s">
        <v>90</v>
      </c>
      <c r="F107" s="123">
        <v>14</v>
      </c>
      <c r="G107" s="123">
        <v>8.84</v>
      </c>
      <c r="H107" s="130">
        <v>27</v>
      </c>
      <c r="I107" s="130">
        <v>0</v>
      </c>
      <c r="J107" s="130">
        <v>1.1161663523386765E+19</v>
      </c>
    </row>
    <row r="108" spans="4:10" ht="15" customHeight="1" x14ac:dyDescent="0.2">
      <c r="D108" s="128" t="b">
        <v>0</v>
      </c>
      <c r="E108" s="122" t="s">
        <v>90</v>
      </c>
      <c r="F108" s="123">
        <v>6</v>
      </c>
      <c r="G108" s="123">
        <v>6.08</v>
      </c>
      <c r="H108" s="130">
        <v>28</v>
      </c>
      <c r="I108" s="130">
        <v>0</v>
      </c>
      <c r="J108" s="130">
        <v>1.7455212853858664E+19</v>
      </c>
    </row>
    <row r="109" spans="4:10" ht="15" customHeight="1" x14ac:dyDescent="0.2">
      <c r="D109" s="128" t="b">
        <v>0</v>
      </c>
      <c r="E109" s="122" t="s">
        <v>90</v>
      </c>
      <c r="F109" s="123">
        <v>4</v>
      </c>
      <c r="G109" s="123">
        <v>5.39</v>
      </c>
      <c r="H109" s="130">
        <v>29</v>
      </c>
      <c r="I109" s="130">
        <v>0</v>
      </c>
      <c r="J109" s="130">
        <v>7.4044780924903977E+18</v>
      </c>
    </row>
    <row r="110" spans="4:10" ht="15" customHeight="1" x14ac:dyDescent="0.2">
      <c r="D110" s="128" t="b">
        <v>0</v>
      </c>
      <c r="E110" s="122" t="s">
        <v>90</v>
      </c>
      <c r="F110" s="123">
        <v>12</v>
      </c>
      <c r="G110" s="123">
        <v>8.15</v>
      </c>
      <c r="H110" s="130">
        <v>30</v>
      </c>
      <c r="I110" s="130">
        <v>0</v>
      </c>
      <c r="J110" s="130">
        <v>4.8691511575164723E+18</v>
      </c>
    </row>
    <row r="111" spans="4:10" ht="15" customHeight="1" x14ac:dyDescent="0.2">
      <c r="D111" s="128" t="b">
        <v>0</v>
      </c>
      <c r="E111" s="122" t="s">
        <v>90</v>
      </c>
      <c r="F111" s="123">
        <v>7</v>
      </c>
      <c r="G111" s="123">
        <v>6.42</v>
      </c>
      <c r="H111" s="130">
        <v>31</v>
      </c>
      <c r="I111" s="130">
        <v>0</v>
      </c>
      <c r="J111" s="130">
        <v>1.5520966538863829E+19</v>
      </c>
    </row>
    <row r="112" spans="4:10" ht="15" customHeight="1" x14ac:dyDescent="0.2">
      <c r="D112" s="128" t="b">
        <v>0</v>
      </c>
      <c r="E112" s="122" t="s">
        <v>90</v>
      </c>
      <c r="F112" s="123">
        <v>5</v>
      </c>
      <c r="G112" s="123">
        <v>5.73</v>
      </c>
      <c r="H112" s="130">
        <v>32</v>
      </c>
      <c r="I112" s="130">
        <v>0</v>
      </c>
      <c r="J112" s="130">
        <v>1.6956987607096488E+19</v>
      </c>
    </row>
    <row r="113" spans="4:10" ht="15" customHeight="1" x14ac:dyDescent="0.2">
      <c r="D113" s="128" t="b">
        <v>0</v>
      </c>
      <c r="E113" s="122" t="s">
        <v>91</v>
      </c>
      <c r="F113" s="123">
        <v>8</v>
      </c>
      <c r="G113" s="123">
        <v>6.58</v>
      </c>
      <c r="H113" s="130">
        <v>33</v>
      </c>
      <c r="I113" s="130">
        <v>0</v>
      </c>
      <c r="J113" s="130">
        <v>8.2794725629868687E+18</v>
      </c>
    </row>
    <row r="114" spans="4:10" ht="15" customHeight="1" x14ac:dyDescent="0.2">
      <c r="D114" s="128" t="b">
        <v>0</v>
      </c>
      <c r="E114" s="122" t="s">
        <v>91</v>
      </c>
      <c r="F114" s="123">
        <v>8</v>
      </c>
      <c r="G114" s="123">
        <v>5.76</v>
      </c>
      <c r="H114" s="130">
        <v>34</v>
      </c>
      <c r="I114" s="130">
        <v>0</v>
      </c>
      <c r="J114" s="130">
        <v>1.3292156592662393E+19</v>
      </c>
    </row>
    <row r="115" spans="4:10" ht="15" customHeight="1" x14ac:dyDescent="0.2">
      <c r="D115" s="128" t="b">
        <v>0</v>
      </c>
      <c r="E115" s="122" t="s">
        <v>91</v>
      </c>
      <c r="F115" s="123">
        <v>8</v>
      </c>
      <c r="G115" s="123">
        <v>7.71</v>
      </c>
      <c r="H115" s="130">
        <v>35</v>
      </c>
      <c r="I115" s="130">
        <v>0</v>
      </c>
      <c r="J115" s="130">
        <v>1.1803802399366158E+19</v>
      </c>
    </row>
    <row r="116" spans="4:10" ht="15" customHeight="1" x14ac:dyDescent="0.2">
      <c r="D116" s="128" t="b">
        <v>0</v>
      </c>
      <c r="E116" s="122" t="s">
        <v>91</v>
      </c>
      <c r="F116" s="123">
        <v>8</v>
      </c>
      <c r="G116" s="123">
        <v>8.84</v>
      </c>
      <c r="H116" s="130">
        <v>36</v>
      </c>
      <c r="I116" s="130">
        <v>0</v>
      </c>
      <c r="J116" s="130">
        <v>7.3049915945927967E+18</v>
      </c>
    </row>
    <row r="117" spans="4:10" ht="15" customHeight="1" x14ac:dyDescent="0.2">
      <c r="D117" s="128" t="b">
        <v>0</v>
      </c>
      <c r="E117" s="122" t="s">
        <v>91</v>
      </c>
      <c r="F117" s="123">
        <v>8</v>
      </c>
      <c r="G117" s="123">
        <v>8.4700000000000006</v>
      </c>
      <c r="H117" s="130">
        <v>37</v>
      </c>
      <c r="I117" s="130">
        <v>0</v>
      </c>
      <c r="J117" s="130">
        <v>1.4983167448133067E+19</v>
      </c>
    </row>
    <row r="118" spans="4:10" ht="15" customHeight="1" x14ac:dyDescent="0.2">
      <c r="D118" s="128" t="b">
        <v>0</v>
      </c>
      <c r="E118" s="122" t="s">
        <v>91</v>
      </c>
      <c r="F118" s="123">
        <v>8</v>
      </c>
      <c r="G118" s="123">
        <v>7.04</v>
      </c>
      <c r="H118" s="130">
        <v>38</v>
      </c>
      <c r="I118" s="130">
        <v>0</v>
      </c>
      <c r="J118" s="130">
        <v>3.5115920427908675E+18</v>
      </c>
    </row>
    <row r="119" spans="4:10" ht="15" customHeight="1" x14ac:dyDescent="0.2">
      <c r="D119" s="128" t="b">
        <v>0</v>
      </c>
      <c r="E119" s="122" t="s">
        <v>91</v>
      </c>
      <c r="F119" s="123">
        <v>8</v>
      </c>
      <c r="G119" s="123">
        <v>5.25</v>
      </c>
      <c r="H119" s="130">
        <v>39</v>
      </c>
      <c r="I119" s="130">
        <v>0</v>
      </c>
      <c r="J119" s="130">
        <v>1.4505337100355502E+18</v>
      </c>
    </row>
    <row r="120" spans="4:10" ht="15" customHeight="1" x14ac:dyDescent="0.2">
      <c r="D120" s="128" t="b">
        <v>0</v>
      </c>
      <c r="E120" s="122" t="s">
        <v>91</v>
      </c>
      <c r="F120" s="123">
        <v>19</v>
      </c>
      <c r="G120" s="123">
        <v>12.5</v>
      </c>
      <c r="H120" s="130">
        <v>40</v>
      </c>
      <c r="I120" s="130">
        <v>0</v>
      </c>
      <c r="J120" s="130">
        <v>2.4440120055156204E+18</v>
      </c>
    </row>
    <row r="121" spans="4:10" ht="15" customHeight="1" x14ac:dyDescent="0.2">
      <c r="D121" s="128" t="b">
        <v>0</v>
      </c>
      <c r="E121" s="122" t="s">
        <v>91</v>
      </c>
      <c r="F121" s="123">
        <v>8</v>
      </c>
      <c r="G121" s="123">
        <v>5.56</v>
      </c>
      <c r="H121" s="130">
        <v>41</v>
      </c>
      <c r="I121" s="130">
        <v>0</v>
      </c>
      <c r="J121" s="130">
        <v>1.7387600761294412E+19</v>
      </c>
    </row>
    <row r="122" spans="4:10" ht="15" customHeight="1" x14ac:dyDescent="0.2">
      <c r="D122" s="128" t="b">
        <v>0</v>
      </c>
      <c r="E122" s="122" t="s">
        <v>91</v>
      </c>
      <c r="F122" s="123">
        <v>8</v>
      </c>
      <c r="G122" s="123">
        <v>7.91</v>
      </c>
      <c r="H122" s="130">
        <v>42</v>
      </c>
      <c r="I122" s="130">
        <v>0</v>
      </c>
      <c r="J122" s="130">
        <v>1.1044583522839329E+19</v>
      </c>
    </row>
    <row r="123" spans="4:10" ht="15" customHeight="1" x14ac:dyDescent="0.2">
      <c r="D123" s="129" t="b">
        <v>0</v>
      </c>
      <c r="E123" s="124" t="s">
        <v>91</v>
      </c>
      <c r="F123" s="125">
        <v>8</v>
      </c>
      <c r="G123" s="125">
        <v>6.89</v>
      </c>
      <c r="H123" s="130">
        <v>43</v>
      </c>
      <c r="I123" s="130">
        <v>0</v>
      </c>
      <c r="J123" s="130">
        <v>3.1669598736807434E+18</v>
      </c>
    </row>
  </sheetData>
  <mergeCells count="1">
    <mergeCell ref="E7:F7"/>
  </mergeCells>
  <phoneticPr fontId="31" type="noConversion"/>
  <conditionalFormatting sqref="E23:G30 E36:G40 E46:G54">
    <cfRule type="cellIs" dxfId="98" priority="19" operator="equal">
      <formula>0</formula>
    </cfRule>
  </conditionalFormatting>
  <conditionalFormatting sqref="D80:D123">
    <cfRule type="cellIs" dxfId="97" priority="18" operator="notEqual">
      <formula>FALSE</formula>
    </cfRule>
  </conditionalFormatting>
  <conditionalFormatting sqref="E17:G17">
    <cfRule type="cellIs" dxfId="96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5" priority="13"/>
  </conditionalFormatting>
  <conditionalFormatting sqref="E15:G15">
    <cfRule type="cellIs" dxfId="94" priority="11" operator="notEqual">
      <formula>"Definition"</formula>
    </cfRule>
  </conditionalFormatting>
  <conditionalFormatting sqref="E7">
    <cfRule type="cellIs" dxfId="93" priority="10" operator="notEqual">
      <formula>"Dataset Description"</formula>
    </cfRule>
  </conditionalFormatting>
  <conditionalFormatting sqref="E58:G65">
    <cfRule type="cellIs" dxfId="92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44</v>
      </c>
      <c r="AA5" s="6"/>
    </row>
    <row r="6" spans="1:27" ht="15" customHeight="1" x14ac:dyDescent="0.2">
      <c r="B6" s="30" t="s">
        <v>53</v>
      </c>
      <c r="C6" s="29">
        <v>3</v>
      </c>
    </row>
    <row r="7" spans="1:27" ht="15" customHeight="1" x14ac:dyDescent="0.2">
      <c r="B7" s="30" t="s">
        <v>12</v>
      </c>
      <c r="C7" s="29" t="s">
        <v>85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86</v>
      </c>
      <c r="F12" s="48">
        <v>9.0909090909090898E-2</v>
      </c>
      <c r="G12" s="48">
        <v>0</v>
      </c>
      <c r="H12" s="48">
        <v>0.29693741677762903</v>
      </c>
      <c r="I12" s="45">
        <v>446</v>
      </c>
      <c r="J12" s="45">
        <v>4</v>
      </c>
      <c r="K12" s="45">
        <v>44</v>
      </c>
      <c r="L12" s="46">
        <v>1</v>
      </c>
      <c r="M12" s="45">
        <v>0</v>
      </c>
      <c r="N12" s="47"/>
      <c r="O12" s="47"/>
      <c r="P12" s="47" t="s">
        <v>88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87</v>
      </c>
      <c r="F13" s="108">
        <v>0.27272727272727199</v>
      </c>
      <c r="G13" s="108">
        <v>0</v>
      </c>
      <c r="H13" s="108">
        <v>0.234354194407456</v>
      </c>
      <c r="I13" s="109">
        <v>352</v>
      </c>
      <c r="J13" s="109">
        <v>12</v>
      </c>
      <c r="K13" s="109">
        <v>44</v>
      </c>
      <c r="L13" s="110">
        <v>1</v>
      </c>
      <c r="M13" s="109">
        <v>0</v>
      </c>
      <c r="N13" s="111">
        <v>9</v>
      </c>
      <c r="O13" s="111">
        <v>8</v>
      </c>
      <c r="P13" s="111">
        <v>8</v>
      </c>
      <c r="Q13" s="111">
        <v>3.1988369979626698</v>
      </c>
      <c r="R13" s="111">
        <v>10.232558139534801</v>
      </c>
      <c r="S13" s="111">
        <v>4</v>
      </c>
      <c r="T13" s="111">
        <v>4.1500000000000004</v>
      </c>
      <c r="U13" s="111">
        <v>7</v>
      </c>
      <c r="V13" s="111">
        <v>8</v>
      </c>
      <c r="W13" s="111">
        <v>11</v>
      </c>
      <c r="X13" s="111">
        <v>14</v>
      </c>
      <c r="Y13" s="111">
        <v>19</v>
      </c>
      <c r="Z13" s="111">
        <v>15</v>
      </c>
      <c r="AA13" s="111">
        <v>4</v>
      </c>
    </row>
    <row r="14" spans="1:27" ht="15" customHeight="1" x14ac:dyDescent="0.2">
      <c r="B14" s="112" t="s">
        <v>82</v>
      </c>
      <c r="C14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14" t="s">
        <v>87</v>
      </c>
      <c r="F14" s="115">
        <v>0.97727272727272696</v>
      </c>
      <c r="G14" s="115">
        <v>0</v>
      </c>
      <c r="H14" s="115">
        <v>0.234354194407456</v>
      </c>
      <c r="I14" s="116">
        <v>352</v>
      </c>
      <c r="J14" s="116">
        <v>43</v>
      </c>
      <c r="K14" s="116">
        <v>44</v>
      </c>
      <c r="L14" s="117">
        <v>1</v>
      </c>
      <c r="M14" s="116">
        <v>0</v>
      </c>
      <c r="N14" s="118">
        <v>7.5006818181818096</v>
      </c>
      <c r="O14" s="118">
        <v>7.52</v>
      </c>
      <c r="P14" s="118">
        <v>8.84</v>
      </c>
      <c r="Q14" s="118">
        <v>1.9589251890784101</v>
      </c>
      <c r="R14" s="118">
        <v>3.83738789640591</v>
      </c>
      <c r="S14" s="118">
        <v>3.1</v>
      </c>
      <c r="T14" s="118">
        <v>4.7519999999999998</v>
      </c>
      <c r="U14" s="118">
        <v>6.1174999999999997</v>
      </c>
      <c r="V14" s="118">
        <v>7.52</v>
      </c>
      <c r="W14" s="118">
        <v>8.7475000000000005</v>
      </c>
      <c r="X14" s="118">
        <v>10.708</v>
      </c>
      <c r="Y14" s="118">
        <v>12.74</v>
      </c>
      <c r="Z14" s="118">
        <v>9.64</v>
      </c>
      <c r="AA14" s="118">
        <v>2.63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4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5" width="7" bestFit="1" customWidth="1"/>
    <col min="6" max="8" width="13.83203125" customWidth="1"/>
    <col min="9" max="9" width="9.33203125" customWidth="1"/>
    <col min="10" max="10" width="10.66406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Anscombe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3" t="s">
        <v>80</v>
      </c>
      <c r="D9" s="132" t="s">
        <v>81</v>
      </c>
      <c r="E9" s="132" t="s">
        <v>82</v>
      </c>
      <c r="F9" s="134" t="s">
        <v>47</v>
      </c>
      <c r="G9" s="134" t="s">
        <v>48</v>
      </c>
      <c r="H9" s="134" t="s">
        <v>52</v>
      </c>
    </row>
    <row r="10" spans="1:17" ht="15" customHeight="1" x14ac:dyDescent="0.2">
      <c r="C10" s="131" t="s">
        <v>88</v>
      </c>
      <c r="D10" s="5"/>
      <c r="E10" s="5"/>
      <c r="F10" s="135">
        <v>0</v>
      </c>
      <c r="G10" s="136"/>
      <c r="H10" s="137">
        <v>0.25</v>
      </c>
    </row>
    <row r="11" spans="1:17" ht="15" customHeight="1" x14ac:dyDescent="0.2">
      <c r="C11" s="131" t="s">
        <v>89</v>
      </c>
      <c r="D11" s="5"/>
      <c r="E11" s="5"/>
      <c r="F11" s="135">
        <v>0</v>
      </c>
      <c r="G11" s="136"/>
      <c r="H11" s="137">
        <v>0.25</v>
      </c>
    </row>
    <row r="12" spans="1:17" ht="15" customHeight="1" x14ac:dyDescent="0.2">
      <c r="C12" s="131" t="s">
        <v>90</v>
      </c>
      <c r="D12" s="5"/>
      <c r="E12" s="5"/>
      <c r="F12" s="135">
        <v>0</v>
      </c>
      <c r="G12" s="136"/>
      <c r="H12" s="137">
        <v>0.25</v>
      </c>
    </row>
    <row r="13" spans="1:17" ht="15" customHeight="1" x14ac:dyDescent="0.2">
      <c r="C13" s="131" t="s">
        <v>91</v>
      </c>
      <c r="D13" s="5"/>
      <c r="E13" s="5"/>
      <c r="F13" s="135">
        <v>0</v>
      </c>
      <c r="G13" s="136"/>
      <c r="H13" s="137">
        <v>0.25</v>
      </c>
    </row>
    <row r="14" spans="1:17" ht="15" customHeight="1" x14ac:dyDescent="0.2">
      <c r="C14" s="131" t="s">
        <v>92</v>
      </c>
      <c r="D14" s="5"/>
      <c r="E14" s="5"/>
      <c r="F14" s="135">
        <v>0</v>
      </c>
      <c r="G14" s="136"/>
      <c r="H14" s="137">
        <v>1</v>
      </c>
    </row>
  </sheetData>
  <conditionalFormatting pivot="1" sqref="F10:F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93</v>
      </c>
      <c r="D9" s="72" t="s">
        <v>94</v>
      </c>
      <c r="F9" s="82" t="s">
        <v>118</v>
      </c>
      <c r="G9" s="85" t="s">
        <v>79</v>
      </c>
      <c r="H9" s="69"/>
      <c r="I9" s="83" t="s">
        <v>131</v>
      </c>
      <c r="J9" s="84" t="s">
        <v>132</v>
      </c>
      <c r="K9" s="69"/>
      <c r="L9" s="60"/>
    </row>
    <row r="10" spans="2:12" ht="15" hidden="1" customHeight="1" outlineLevel="1" x14ac:dyDescent="0.2">
      <c r="C10" s="71" t="s">
        <v>95</v>
      </c>
      <c r="D10" s="72" t="s">
        <v>96</v>
      </c>
      <c r="F10" s="71" t="s">
        <v>119</v>
      </c>
      <c r="G10" s="86" t="s">
        <v>120</v>
      </c>
      <c r="H10" s="69"/>
      <c r="I10" s="83"/>
      <c r="J10" s="84"/>
      <c r="K10" s="69"/>
    </row>
    <row r="11" spans="2:12" ht="15" hidden="1" customHeight="1" outlineLevel="1" x14ac:dyDescent="0.2">
      <c r="C11" s="71" t="s">
        <v>97</v>
      </c>
      <c r="D11" s="72">
        <v>16</v>
      </c>
      <c r="F11" s="71" t="s">
        <v>121</v>
      </c>
      <c r="G11" s="138" t="s">
        <v>122</v>
      </c>
    </row>
    <row r="12" spans="2:12" ht="15" hidden="1" customHeight="1" outlineLevel="1" x14ac:dyDescent="0.2">
      <c r="C12" s="71" t="s">
        <v>98</v>
      </c>
      <c r="D12" s="72" t="b">
        <v>0</v>
      </c>
      <c r="F12" s="71" t="s">
        <v>123</v>
      </c>
      <c r="G12" s="138" t="s">
        <v>122</v>
      </c>
    </row>
    <row r="13" spans="2:12" ht="15" hidden="1" customHeight="1" outlineLevel="1" x14ac:dyDescent="0.2">
      <c r="C13" s="71" t="s">
        <v>99</v>
      </c>
      <c r="D13" s="72" t="b">
        <v>1</v>
      </c>
      <c r="F13" s="71" t="s">
        <v>124</v>
      </c>
      <c r="G13" s="138" t="b">
        <v>0</v>
      </c>
    </row>
    <row r="14" spans="2:12" ht="15" hidden="1" customHeight="1" outlineLevel="1" x14ac:dyDescent="0.2">
      <c r="C14" s="71" t="s">
        <v>100</v>
      </c>
      <c r="D14" s="72" t="s">
        <v>101</v>
      </c>
      <c r="F14" s="71" t="s">
        <v>125</v>
      </c>
      <c r="G14" s="138" t="b">
        <v>1</v>
      </c>
    </row>
    <row r="15" spans="2:12" ht="15" hidden="1" customHeight="1" outlineLevel="1" x14ac:dyDescent="0.2">
      <c r="C15" s="71" t="s">
        <v>102</v>
      </c>
      <c r="D15" s="72" t="s">
        <v>103</v>
      </c>
      <c r="F15" s="71" t="s">
        <v>126</v>
      </c>
      <c r="G15" s="138" t="s">
        <v>127</v>
      </c>
    </row>
    <row r="16" spans="2:12" ht="15" hidden="1" customHeight="1" outlineLevel="1" x14ac:dyDescent="0.2">
      <c r="C16" s="71" t="s">
        <v>104</v>
      </c>
      <c r="D16" s="72" t="s">
        <v>105</v>
      </c>
      <c r="F16" s="71" t="s">
        <v>128</v>
      </c>
      <c r="G16" s="138" t="b">
        <v>0</v>
      </c>
    </row>
    <row r="17" spans="2:25" ht="15" hidden="1" customHeight="1" outlineLevel="1" x14ac:dyDescent="0.2">
      <c r="C17" s="71" t="s">
        <v>106</v>
      </c>
      <c r="D17" s="72" t="s">
        <v>107</v>
      </c>
      <c r="F17" s="71" t="s">
        <v>129</v>
      </c>
      <c r="G17" s="138" t="b">
        <v>0</v>
      </c>
    </row>
    <row r="18" spans="2:25" ht="15" hidden="1" customHeight="1" outlineLevel="1" x14ac:dyDescent="0.2">
      <c r="C18" s="71" t="s">
        <v>108</v>
      </c>
      <c r="D18" s="72" t="s">
        <v>109</v>
      </c>
      <c r="F18" s="71" t="s">
        <v>130</v>
      </c>
      <c r="G18" s="138" t="b">
        <v>0</v>
      </c>
    </row>
    <row r="19" spans="2:25" ht="15" hidden="1" customHeight="1" outlineLevel="1" x14ac:dyDescent="0.2">
      <c r="B19" s="61"/>
      <c r="C19" s="71" t="s">
        <v>110</v>
      </c>
      <c r="D19" s="72" t="s">
        <v>111</v>
      </c>
      <c r="F19" s="87" t="s">
        <v>98</v>
      </c>
      <c r="G19" s="139" t="b">
        <v>0</v>
      </c>
    </row>
    <row r="20" spans="2:25" ht="15" hidden="1" customHeight="1" outlineLevel="1" x14ac:dyDescent="0.2">
      <c r="C20" s="71" t="s">
        <v>112</v>
      </c>
      <c r="D20" s="72" t="s">
        <v>113</v>
      </c>
    </row>
    <row r="21" spans="2:25" ht="15" hidden="1" customHeight="1" outlineLevel="1" x14ac:dyDescent="0.2">
      <c r="C21" s="71" t="s">
        <v>114</v>
      </c>
      <c r="D21" s="72" t="s">
        <v>115</v>
      </c>
    </row>
    <row r="22" spans="2:25" ht="15" hidden="1" customHeight="1" outlineLevel="1" x14ac:dyDescent="0.2">
      <c r="C22" s="71" t="s">
        <v>116</v>
      </c>
      <c r="D22" s="72">
        <v>187</v>
      </c>
      <c r="K22" s="69"/>
    </row>
    <row r="23" spans="2:25" ht="15" hidden="1" customHeight="1" outlineLevel="1" x14ac:dyDescent="0.2">
      <c r="C23" s="87" t="s">
        <v>117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1.2993812561035156E-4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3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44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56.749231815338135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4.0427279472351074</v>
      </c>
      <c r="E35" s="88">
        <v>7.1238266333957051E-2</v>
      </c>
    </row>
    <row r="36" spans="2:5" ht="15" customHeight="1" x14ac:dyDescent="0.2">
      <c r="C36" s="80" t="s">
        <v>133</v>
      </c>
      <c r="D36" s="90">
        <v>16.960861921310425</v>
      </c>
      <c r="E36" s="88">
        <v>0.29887304181082341</v>
      </c>
    </row>
    <row r="37" spans="2:5" ht="15" customHeight="1" x14ac:dyDescent="0.2">
      <c r="C37" s="80" t="s">
        <v>134</v>
      </c>
      <c r="D37" s="90">
        <v>5.4006550312042236</v>
      </c>
      <c r="E37" s="88">
        <v>9.5166755347432533E-2</v>
      </c>
    </row>
    <row r="38" spans="2:5" ht="15" customHeight="1" x14ac:dyDescent="0.2">
      <c r="C38" s="80" t="s">
        <v>135</v>
      </c>
      <c r="D38" s="90">
        <v>6.4903779029846191</v>
      </c>
      <c r="E38" s="88">
        <v>0.11436912789965654</v>
      </c>
    </row>
    <row r="39" spans="2:5" ht="15" customHeight="1" x14ac:dyDescent="0.2">
      <c r="C39" s="80" t="s">
        <v>73</v>
      </c>
      <c r="D39" s="90">
        <v>9.3431882858276367</v>
      </c>
      <c r="E39" s="88">
        <v>0.16463945736672864</v>
      </c>
    </row>
    <row r="40" spans="2:5" ht="15" customHeight="1" x14ac:dyDescent="0.2">
      <c r="C40" s="80" t="s">
        <v>74</v>
      </c>
      <c r="D40" s="90">
        <v>5.2642738819122314</v>
      </c>
      <c r="E40" s="88">
        <v>9.276353733152852E-2</v>
      </c>
    </row>
    <row r="41" spans="2:5" ht="15" customHeight="1" x14ac:dyDescent="0.2">
      <c r="C41" s="81" t="s">
        <v>136</v>
      </c>
      <c r="D41" s="91">
        <v>5.5052158832550049</v>
      </c>
      <c r="E41" s="89">
        <v>9.7009257223323875E-2</v>
      </c>
    </row>
    <row r="42" spans="2:5" ht="15" customHeight="1" x14ac:dyDescent="0.2">
      <c r="C42" s="140" t="s">
        <v>75</v>
      </c>
      <c r="D42" s="91">
        <v>3.7418560981750488</v>
      </c>
      <c r="E42" s="89">
        <v>6.5936502476611814E-2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2026-06-09T00:42:02Z</dcterms:modified>
</cp:coreProperties>
</file>