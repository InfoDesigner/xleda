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52E90181-C248-4836-9A0A-CE8476135477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debug!$D$7:$D$25</definedName>
    <definedName name="DarkHeader" localSheetId="0">'Field Analysis'!$E$79</definedName>
    <definedName name="Data_Description" localSheetId="0">'Field Analysis'!$D$7:$D$18</definedName>
    <definedName name="debug_metadata" localSheetId="3">debug!$E$28</definedName>
    <definedName name="DefaultWarn" localSheetId="2">Pivot!$C$8</definedName>
    <definedName name="Definitions" localSheetId="0">'Field Analysis'!$E$15:$G$15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Analysis'!$E$58:$G$58</definedName>
    <definedName name="FieldList1" localSheetId="5">#REF!</definedName>
    <definedName name="FieldList1" localSheetId="4">#REF!</definedName>
    <definedName name="FieldList2" localSheetId="0">'Field Analysis'!$E$59:$G$59</definedName>
    <definedName name="FieldList2" localSheetId="5">#REF!</definedName>
    <definedName name="FieldList2" localSheetId="4">#REF!</definedName>
    <definedName name="FieldList3" localSheetId="0">'Field Analysis'!$E$60:$G$60</definedName>
    <definedName name="FieldList3" localSheetId="5">#REF!</definedName>
    <definedName name="FieldList3" localSheetId="4">#REF!</definedName>
    <definedName name="FieldList4" localSheetId="0">'Field Analysis'!$E$61:$G$61</definedName>
    <definedName name="FieldList4" localSheetId="5">#REF!</definedName>
    <definedName name="FieldList4" localSheetId="4">#REF!</definedName>
    <definedName name="FieldList5" localSheetId="0">'Field Analysis'!$E$62:$G$62</definedName>
    <definedName name="FieldList5" localSheetId="5">#REF!</definedName>
    <definedName name="FieldList5" localSheetId="4">#REF!</definedName>
    <definedName name="FieldList6" localSheetId="0">'Field Analysis'!$E$63:$G$63</definedName>
    <definedName name="FieldList6" localSheetId="5">#REF!</definedName>
    <definedName name="FieldList6" localSheetId="4">#REF!</definedName>
    <definedName name="FieldList7" localSheetId="0">'Field Analysis'!$E$64:$G$64</definedName>
    <definedName name="FieldList7" localSheetId="5">#REF!</definedName>
    <definedName name="FieldList7" localSheetId="4">#REF!</definedName>
    <definedName name="FieldList8" localSheetId="0">'Field Analysis'!$E$65:$G$65</definedName>
    <definedName name="FieldList8" localSheetId="5">#REF!</definedName>
    <definedName name="FieldList8" localSheetId="4">#REF!</definedName>
    <definedName name="FieldLists" localSheetId="0">'Field Analysis'!$D$58:$G$65</definedName>
    <definedName name="FieldRange" localSheetId="0">'Field Analysis'!$E$79:$G$79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Analysis'!$E$19:$G$19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Analysis'!$E$17:$G$17</definedName>
    <definedName name="Percentiles" localSheetId="0">'Field Analysis'!$D$46:$D$55</definedName>
    <definedName name="Performance">debug!$D$28:$D$46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Analysis'!$C$19:$G$19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debug!$C$5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6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C12" i="27"/>
  <c r="C13" i="27"/>
  <c r="C14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<sst xmlns="http://schemas.openxmlformats.org/spreadsheetml/2006/main" count="241" uniqueCount="135">
  <si>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</si>
  <si>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</si>
  <si>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</si>
  <si>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</si>
  <si>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</si>
  <si>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</si>
  <si>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</si>
  <si>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</si>
  <si>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</si>
  <si>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</si>
  <si>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</si>
  <si>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</si>
  <si>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</si>
  <si>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</si>
  <si>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</si>
  <si>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</si>
  <si>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</si>
  <si>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</si>
  <si>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</si>
  <si>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</si>
  <si>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</si>
  <si>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</si>
  <si>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</si>
  <si>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</si>
  <si>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</si>
  <si>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</si>
  <si>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</si>
  <si>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</si>
  <si>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</si>
  <si>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</si>
  <si>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</si>
  <si>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</si>
  <si>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</si>
  <si>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</si>
  <si>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</si>
  <si>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</si>
  <si>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</si>
  <si>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</si>
  <si>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</si>
  <si>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</si>
  <si>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</si>
  <si>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</si>
  <si>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</si>
  <si>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</si>
  <si>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</si>
  <si>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</si>
  <si>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</si>
  <si>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</si>
  <si>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</si>
  <si>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</si>
  <si>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</si>
  <si>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</si>
  <si>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</si>
  <si>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</si>
  <si>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</si>
  <si>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</si>
  <si>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</si>
  <si>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</si>
  <si>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</si>
  <si>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</si>
  <si>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</si>
  <si>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</si>
  <si>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</si>
  <si>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</si>
  <si>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</si>
  <si>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</si>
  <si>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</si>
  <si>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</si>
  <si>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</si>
  <si>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</si>
  <si>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</si>
  <si>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</si>
  <si>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</si>
  <si>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</si>
  <si>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</si>
  <si>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</si>
  <si>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</si>
  <si>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</si>
  <si>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</si>
  <si>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Anscombe</t>
  </si>
  <si>
    <t>dataset</t>
  </si>
  <si>
    <t>x</t>
  </si>
  <si>
    <t>y</t>
  </si>
  <si>
    <t>index</t>
  </si>
  <si>
    <t>Record Hash</t>
  </si>
  <si>
    <t>1,276 bytes</t>
  </si>
  <si>
    <t>str</t>
  </si>
  <si>
    <t>float64</t>
  </si>
  <si>
    <t>I</t>
  </si>
  <si>
    <t>II</t>
  </si>
  <si>
    <t>III</t>
  </si>
  <si>
    <t>IV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</si>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</sst>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40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10"/>
      <color theme="1" tint="0.39997558519241921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C0C9FD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42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3" fontId="28" fillId="6" borderId="18" xfId="7" applyNumberFormat="1" applyFont="1" applyFill="1" applyBorder="1" applyAlignment="1">
      <alignment horizontal="left" vertical="center" wrapText="1" indent="1"/>
    </xf>
    <xf numFmtId="3" fontId="29" fillId="2" borderId="0" xfId="7" applyNumberFormat="1" applyFont="1" applyAlignment="1">
      <alignment horizontal="left" vertical="center" wrapText="1" indent="1"/>
    </xf>
    <xf numFmtId="3" fontId="1" fillId="2" borderId="0" xfId="1" applyNumberFormat="1" applyFill="1" applyAlignment="1"/>
    <xf numFmtId="0" fontId="30" fillId="2" borderId="0" xfId="0" applyFont="1" applyAlignment="1">
      <alignment vertical="center"/>
    </xf>
    <xf numFmtId="0" fontId="31" fillId="2" borderId="0" xfId="0" applyFont="1" applyAlignment="1">
      <alignment horizontal="right" vertical="center"/>
    </xf>
    <xf numFmtId="0" fontId="32" fillId="2" borderId="0" xfId="0" applyFont="1" applyAlignment="1">
      <alignment vertical="center"/>
    </xf>
    <xf numFmtId="0" fontId="32" fillId="2" borderId="0" xfId="0" applyFont="1" applyAlignment="1">
      <alignment horizontal="left" vertical="center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29" fillId="2" borderId="0" xfId="7" applyNumberFormat="1" applyFont="1" applyAlignment="1">
      <alignment horizontal="left" vertical="center" wrapText="1"/>
    </xf>
    <xf numFmtId="0" fontId="33" fillId="10" borderId="0" xfId="0" applyFont="1" applyFill="1"/>
    <xf numFmtId="0" fontId="34" fillId="10" borderId="0" xfId="0" applyFont="1" applyFill="1" applyAlignment="1">
      <alignment horizontal="center" vertical="center"/>
    </xf>
    <xf numFmtId="0" fontId="33" fillId="10" borderId="16" xfId="0" applyFont="1" applyFill="1" applyBorder="1" applyAlignment="1">
      <alignment horizontal="left" vertical="center" indent="1"/>
    </xf>
    <xf numFmtId="0" fontId="33" fillId="10" borderId="16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3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0" fillId="2" borderId="14" xfId="0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6" fillId="8" borderId="0" xfId="7" applyFont="1" applyFill="1" applyAlignment="1">
      <alignment horizontal="center" vertical="center" wrapText="1"/>
    </xf>
    <xf numFmtId="0" fontId="37" fillId="8" borderId="15" xfId="0" applyFont="1" applyFill="1" applyBorder="1" applyAlignment="1">
      <alignment horizontal="center"/>
    </xf>
    <xf numFmtId="0" fontId="37" fillId="8" borderId="2" xfId="0" applyFont="1" applyFill="1" applyBorder="1" applyAlignment="1">
      <alignment horizontal="center"/>
    </xf>
    <xf numFmtId="0" fontId="37" fillId="8" borderId="16" xfId="0" applyFont="1" applyFill="1" applyBorder="1" applyAlignment="1">
      <alignment horizontal="center"/>
    </xf>
    <xf numFmtId="0" fontId="38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8" fillId="8" borderId="0" xfId="0" applyFont="1" applyFill="1" applyAlignment="1">
      <alignment horizontal="center" vertical="center" wrapText="1"/>
    </xf>
    <xf numFmtId="164" fontId="38" fillId="8" borderId="0" xfId="0" applyNumberFormat="1" applyFont="1" applyFill="1" applyAlignment="1">
      <alignment horizontal="center" vertical="center"/>
    </xf>
    <xf numFmtId="164" fontId="39" fillId="11" borderId="0" xfId="0" applyNumberFormat="1" applyFont="1" applyFill="1" applyAlignment="1">
      <alignment horizontal="center" vertical="center" wrapText="1"/>
    </xf>
    <xf numFmtId="10" fontId="38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04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C0C9F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03"/>
      <tableStyleElement type="headerRow" dxfId="102"/>
      <tableStyleElement type="totalRow" dxfId="101"/>
    </tableStyle>
    <tableStyle name="DarkTable" pivot="0" count="2" xr9:uid="{97C242D2-6F6D-4549-9428-17456D609B35}">
      <tableStyleElement type="wholeTable" dxfId="100"/>
      <tableStyleElement type="headerRow" dxfId="99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dataset">
          <a:extLst>
            <a:ext uri="{FF2B5EF4-FFF2-40B4-BE49-F238E27FC236}">
              <a16:creationId xmlns:a16="http://schemas.microsoft.com/office/drawing/2014/main" id="{B2669A58-59EE-12C4-B656-91F9C23689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7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2" name="composition_x">
          <a:extLst>
            <a:ext uri="{FF2B5EF4-FFF2-40B4-BE49-F238E27FC236}">
              <a16:creationId xmlns:a16="http://schemas.microsoft.com/office/drawing/2014/main" id="{E2370A89-4563-B545-A16B-00850944EE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4" name="histogram_x">
          <a:extLst>
            <a:ext uri="{FF2B5EF4-FFF2-40B4-BE49-F238E27FC236}">
              <a16:creationId xmlns:a16="http://schemas.microsoft.com/office/drawing/2014/main" id="{B74083DE-80D0-FC66-55B9-AC7E9B22BE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6" name="composition_y">
          <a:extLst>
            <a:ext uri="{FF2B5EF4-FFF2-40B4-BE49-F238E27FC236}">
              <a16:creationId xmlns:a16="http://schemas.microsoft.com/office/drawing/2014/main" id="{3FEEE27E-B028-7F51-6DBB-B9B110904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1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18" name="histogram_y">
          <a:extLst>
            <a:ext uri="{FF2B5EF4-FFF2-40B4-BE49-F238E27FC236}">
              <a16:creationId xmlns:a16="http://schemas.microsoft.com/office/drawing/2014/main" id="{7CFDB8F0-061A-9C34-F476-DEEF0046F4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1809" y="417195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3</xdr:col>
      <xdr:colOff>1848866</xdr:colOff>
      <xdr:row>4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2.671274652777" createdVersion="8" refreshedVersion="8" minRefreshableVersion="3" recordCount="44" xr:uid="{00DEDBB6-1F4A-4C10-B2D2-FF41FE7983D3}">
  <cacheSource type="worksheet">
    <worksheetSource name="tbl_SourceData"/>
  </cacheSource>
  <cacheFields count="7">
    <cacheField name="Record List" numFmtId="0">
      <sharedItems/>
    </cacheField>
    <cacheField name="dataset" numFmtId="0">
      <sharedItems count="4">
        <s v="I"/>
        <s v="II"/>
        <s v="III"/>
        <s v="IV"/>
      </sharedItems>
    </cacheField>
    <cacheField name="x" numFmtId="0">
      <sharedItems containsSemiMixedTypes="0" containsString="0" containsNumber="1" containsInteger="1" minValue="4" maxValue="19" count="12">
        <n v="10"/>
        <n v="8"/>
        <n v="13"/>
        <n v="9"/>
        <n v="11"/>
        <n v="14"/>
        <n v="6"/>
        <n v="4"/>
        <n v="12"/>
        <n v="7"/>
        <n v="5"/>
        <n v="19"/>
      </sharedItems>
    </cacheField>
    <cacheField name="y" numFmtId="0">
      <sharedItems containsSemiMixedTypes="0" containsString="0" containsNumber="1" minValue="3.1" maxValue="12.74" count="43">
        <n v="8.0399999999999991"/>
        <n v="6.95"/>
        <n v="7.58"/>
        <n v="8.81"/>
        <n v="8.33"/>
        <n v="9.9600000000000009"/>
        <n v="7.24"/>
        <n v="4.26"/>
        <n v="10.84"/>
        <n v="4.82"/>
        <n v="5.68"/>
        <n v="9.14"/>
        <n v="8.14"/>
        <n v="8.74"/>
        <n v="8.77"/>
        <n v="9.26"/>
        <n v="8.1"/>
        <n v="6.13"/>
        <n v="3.1"/>
        <n v="9.1300000000000008"/>
        <n v="7.26"/>
        <n v="4.74"/>
        <n v="7.46"/>
        <n v="6.77"/>
        <n v="12.74"/>
        <n v="7.11"/>
        <n v="7.81"/>
        <n v="8.84"/>
        <n v="6.08"/>
        <n v="5.39"/>
        <n v="8.15"/>
        <n v="6.42"/>
        <n v="5.73"/>
        <n v="6.58"/>
        <n v="5.76"/>
        <n v="7.71"/>
        <n v="8.4700000000000006"/>
        <n v="7.04"/>
        <n v="5.25"/>
        <n v="12.5"/>
        <n v="5.56"/>
        <n v="7.91"/>
        <n v="6.89"/>
      </sharedItems>
    </cacheField>
    <cacheField name="index" numFmtId="0">
      <sharedItems containsSemiMixedTypes="0" containsString="0" containsNumber="1" containsInteger="1" minValue="0" maxValue="43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4.5531757921356141E+17" maxValue="1.8290918260543154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">
  <r>
    <b v="0"/>
    <x v="0"/>
    <x v="0"/>
    <x v="0"/>
    <n v="0"/>
    <n v="0"/>
    <n v="8.2900397977865564E+18"/>
  </r>
  <r>
    <b v="0"/>
    <x v="0"/>
    <x v="1"/>
    <x v="1"/>
    <n v="1"/>
    <n v="0"/>
    <n v="7.746183454097559E+17"/>
  </r>
  <r>
    <b v="0"/>
    <x v="0"/>
    <x v="2"/>
    <x v="2"/>
    <n v="2"/>
    <n v="0"/>
    <n v="7.7304847401086556E+18"/>
  </r>
  <r>
    <b v="0"/>
    <x v="0"/>
    <x v="3"/>
    <x v="3"/>
    <n v="3"/>
    <n v="0"/>
    <n v="1.6450170027552784E+19"/>
  </r>
  <r>
    <b v="0"/>
    <x v="0"/>
    <x v="4"/>
    <x v="4"/>
    <n v="4"/>
    <n v="0"/>
    <n v="1.9576391762710935E+18"/>
  </r>
  <r>
    <b v="0"/>
    <x v="0"/>
    <x v="5"/>
    <x v="5"/>
    <n v="5"/>
    <n v="0"/>
    <n v="1.4813912060619E+19"/>
  </r>
  <r>
    <b v="0"/>
    <x v="0"/>
    <x v="6"/>
    <x v="6"/>
    <n v="6"/>
    <n v="0"/>
    <n v="4.5531757921356141E+17"/>
  </r>
  <r>
    <b v="0"/>
    <x v="0"/>
    <x v="7"/>
    <x v="7"/>
    <n v="7"/>
    <n v="0"/>
    <n v="4.2687004823131064E+18"/>
  </r>
  <r>
    <b v="0"/>
    <x v="0"/>
    <x v="8"/>
    <x v="8"/>
    <n v="8"/>
    <n v="0"/>
    <n v="1.0824355179871961E+19"/>
  </r>
  <r>
    <b v="0"/>
    <x v="0"/>
    <x v="9"/>
    <x v="9"/>
    <n v="9"/>
    <n v="0"/>
    <n v="1.6541709756342252E+19"/>
  </r>
  <r>
    <b v="0"/>
    <x v="0"/>
    <x v="10"/>
    <x v="10"/>
    <n v="10"/>
    <n v="0"/>
    <n v="1.2465426303620512E+19"/>
  </r>
  <r>
    <b v="0"/>
    <x v="1"/>
    <x v="0"/>
    <x v="11"/>
    <n v="11"/>
    <n v="0"/>
    <n v="1.2615110453480454E+19"/>
  </r>
  <r>
    <b v="0"/>
    <x v="1"/>
    <x v="1"/>
    <x v="12"/>
    <n v="12"/>
    <n v="0"/>
    <n v="1.7574382863757523E+19"/>
  </r>
  <r>
    <b v="0"/>
    <x v="1"/>
    <x v="2"/>
    <x v="13"/>
    <n v="13"/>
    <n v="0"/>
    <n v="1.2831300063501724E+19"/>
  </r>
  <r>
    <b v="0"/>
    <x v="1"/>
    <x v="3"/>
    <x v="14"/>
    <n v="14"/>
    <n v="0"/>
    <n v="1.7540277894604515E+19"/>
  </r>
  <r>
    <b v="0"/>
    <x v="1"/>
    <x v="4"/>
    <x v="15"/>
    <n v="15"/>
    <n v="0"/>
    <n v="7.5235392342167153E+18"/>
  </r>
  <r>
    <b v="0"/>
    <x v="1"/>
    <x v="5"/>
    <x v="16"/>
    <n v="16"/>
    <n v="0"/>
    <n v="1.3486858689431015E+19"/>
  </r>
  <r>
    <b v="0"/>
    <x v="1"/>
    <x v="6"/>
    <x v="17"/>
    <n v="17"/>
    <n v="0"/>
    <n v="1.8290918260543154E+19"/>
  </r>
  <r>
    <b v="0"/>
    <x v="1"/>
    <x v="7"/>
    <x v="18"/>
    <n v="18"/>
    <n v="0"/>
    <n v="3.0271482890587628E+18"/>
  </r>
  <r>
    <b v="0"/>
    <x v="1"/>
    <x v="8"/>
    <x v="19"/>
    <n v="19"/>
    <n v="0"/>
    <n v="1.3323868367707693E+19"/>
  </r>
  <r>
    <b v="0"/>
    <x v="1"/>
    <x v="9"/>
    <x v="20"/>
    <n v="20"/>
    <n v="0"/>
    <n v="3.5680720266868065E+18"/>
  </r>
  <r>
    <b v="0"/>
    <x v="1"/>
    <x v="10"/>
    <x v="21"/>
    <n v="21"/>
    <n v="0"/>
    <n v="2.3914005557568937E+18"/>
  </r>
  <r>
    <b v="0"/>
    <x v="2"/>
    <x v="0"/>
    <x v="22"/>
    <n v="22"/>
    <n v="0"/>
    <n v="1.7082740423865072E+19"/>
  </r>
  <r>
    <b v="0"/>
    <x v="2"/>
    <x v="1"/>
    <x v="23"/>
    <n v="23"/>
    <n v="0"/>
    <n v="4.9085920842948086E+18"/>
  </r>
  <r>
    <b v="0"/>
    <x v="2"/>
    <x v="2"/>
    <x v="24"/>
    <n v="24"/>
    <n v="0"/>
    <n v="1.770008728388957E+19"/>
  </r>
  <r>
    <b v="0"/>
    <x v="2"/>
    <x v="3"/>
    <x v="25"/>
    <n v="25"/>
    <n v="0"/>
    <n v="1.9372436006079421E+18"/>
  </r>
  <r>
    <b v="0"/>
    <x v="2"/>
    <x v="4"/>
    <x v="26"/>
    <n v="26"/>
    <n v="0"/>
    <n v="1.3529379415465892E+19"/>
  </r>
  <r>
    <b v="0"/>
    <x v="2"/>
    <x v="5"/>
    <x v="27"/>
    <n v="27"/>
    <n v="0"/>
    <n v="1.1161663523386765E+19"/>
  </r>
  <r>
    <b v="0"/>
    <x v="2"/>
    <x v="6"/>
    <x v="28"/>
    <n v="28"/>
    <n v="0"/>
    <n v="1.7455212853858664E+19"/>
  </r>
  <r>
    <b v="0"/>
    <x v="2"/>
    <x v="7"/>
    <x v="29"/>
    <n v="29"/>
    <n v="0"/>
    <n v="7.4044780924903977E+18"/>
  </r>
  <r>
    <b v="0"/>
    <x v="2"/>
    <x v="8"/>
    <x v="30"/>
    <n v="30"/>
    <n v="0"/>
    <n v="4.8691511575164723E+18"/>
  </r>
  <r>
    <b v="0"/>
    <x v="2"/>
    <x v="9"/>
    <x v="31"/>
    <n v="31"/>
    <n v="0"/>
    <n v="1.5520966538863829E+19"/>
  </r>
  <r>
    <b v="0"/>
    <x v="2"/>
    <x v="10"/>
    <x v="32"/>
    <n v="32"/>
    <n v="0"/>
    <n v="1.6956987607096488E+19"/>
  </r>
  <r>
    <b v="0"/>
    <x v="3"/>
    <x v="1"/>
    <x v="33"/>
    <n v="33"/>
    <n v="0"/>
    <n v="8.2794725629868687E+18"/>
  </r>
  <r>
    <b v="0"/>
    <x v="3"/>
    <x v="1"/>
    <x v="34"/>
    <n v="34"/>
    <n v="0"/>
    <n v="1.3292156592662393E+19"/>
  </r>
  <r>
    <b v="0"/>
    <x v="3"/>
    <x v="1"/>
    <x v="35"/>
    <n v="35"/>
    <n v="0"/>
    <n v="1.1803802399366158E+19"/>
  </r>
  <r>
    <b v="0"/>
    <x v="3"/>
    <x v="1"/>
    <x v="27"/>
    <n v="36"/>
    <n v="0"/>
    <n v="7.3049915945927967E+18"/>
  </r>
  <r>
    <b v="0"/>
    <x v="3"/>
    <x v="1"/>
    <x v="36"/>
    <n v="37"/>
    <n v="0"/>
    <n v="1.4983167448133067E+19"/>
  </r>
  <r>
    <b v="0"/>
    <x v="3"/>
    <x v="1"/>
    <x v="37"/>
    <n v="38"/>
    <n v="0"/>
    <n v="3.5115920427908675E+18"/>
  </r>
  <r>
    <b v="0"/>
    <x v="3"/>
    <x v="1"/>
    <x v="38"/>
    <n v="39"/>
    <n v="0"/>
    <n v="1.4505337100355502E+18"/>
  </r>
  <r>
    <b v="0"/>
    <x v="3"/>
    <x v="11"/>
    <x v="39"/>
    <n v="40"/>
    <n v="0"/>
    <n v="2.4440120055156204E+18"/>
  </r>
  <r>
    <b v="0"/>
    <x v="3"/>
    <x v="1"/>
    <x v="40"/>
    <n v="41"/>
    <n v="0"/>
    <n v="1.7387600761294412E+19"/>
  </r>
  <r>
    <b v="0"/>
    <x v="3"/>
    <x v="1"/>
    <x v="41"/>
    <n v="42"/>
    <n v="0"/>
    <n v="1.1044583522839329E+19"/>
  </r>
  <r>
    <b v="0"/>
    <x v="3"/>
    <x v="1"/>
    <x v="42"/>
    <n v="43"/>
    <n v="0"/>
    <n v="3.1669598736807434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6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H14" firstHeaderRow="0" firstDataRow="1" firstDataCol="3"/>
  <pivotFields count="7">
    <pivotField compact="0" outline="0" showAll="0"/>
    <pivotField axis="axisRow" compact="0" outline="0" showAll="0" defaultSubtotal="0">
      <items count="4">
        <item sd="0" x="0"/>
        <item sd="0" x="1"/>
        <item sd="0" x="2"/>
        <item sd="0" x="3"/>
      </items>
    </pivotField>
    <pivotField axis="axisRow" compact="0" outline="0" showAll="0" defaultSubtotal="0">
      <items count="12">
        <item sd="0" x="7"/>
        <item sd="0" x="10"/>
        <item sd="0" x="6"/>
        <item sd="0" x="9"/>
        <item sd="0" x="1"/>
        <item sd="0" x="3"/>
        <item sd="0" x="0"/>
        <item sd="0" x="4"/>
        <item sd="0" x="8"/>
        <item sd="0" x="2"/>
        <item sd="0" x="5"/>
        <item sd="0" x="11"/>
      </items>
    </pivotField>
    <pivotField axis="axisRow" compact="0" outline="0" showAll="0" defaultSubtotal="0">
      <items count="43">
        <item x="18"/>
        <item x="7"/>
        <item x="21"/>
        <item x="9"/>
        <item x="38"/>
        <item x="29"/>
        <item x="40"/>
        <item x="10"/>
        <item x="32"/>
        <item x="34"/>
        <item x="28"/>
        <item x="17"/>
        <item x="31"/>
        <item x="33"/>
        <item x="23"/>
        <item x="42"/>
        <item x="1"/>
        <item x="37"/>
        <item x="25"/>
        <item x="6"/>
        <item x="20"/>
        <item x="22"/>
        <item x="2"/>
        <item x="35"/>
        <item x="26"/>
        <item x="41"/>
        <item x="0"/>
        <item x="16"/>
        <item x="12"/>
        <item x="30"/>
        <item x="4"/>
        <item x="36"/>
        <item x="13"/>
        <item x="14"/>
        <item x="3"/>
        <item x="27"/>
        <item x="19"/>
        <item x="11"/>
        <item x="15"/>
        <item x="5"/>
        <item x="8"/>
        <item x="39"/>
        <item x="24"/>
      </items>
    </pivotField>
    <pivotField compact="0" outline="0" showAll="0"/>
    <pivotField dataField="1" compact="0" outline="0" showAll="0"/>
    <pivotField compact="0" outline="0" showAll="0"/>
  </pivotFields>
  <rowFields count="3">
    <field x="1"/>
    <field x="2"/>
    <field x="3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5" subtotal="average" baseField="0" baseItem="1" numFmtId="164"/>
    <dataField name="% of Total Blanks" fld="5" showDataAs="percentOfTotal" baseField="0" baseItem="1" numFmtId="164"/>
    <dataField name="% of Records" fld="5" subtotal="count" showDataAs="percentOfTotal" baseField="0" baseItem="2" numFmtId="10"/>
  </dataFields>
  <formats count="31">
    <format dxfId="65">
      <pivotArea type="all" dataOnly="0" outline="0" fieldPosition="0"/>
    </format>
    <format dxfId="64">
      <pivotArea outline="0" collapsedLevelsAreSubtotals="1" fieldPosition="0"/>
    </format>
    <format dxfId="63">
      <pivotArea dataOnly="0" labelOnly="1" grandRow="1" outline="0" fieldPosition="0"/>
    </format>
    <format dxfId="6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1">
      <pivotArea type="all" dataOnly="0" outline="0" fieldPosition="0"/>
    </format>
    <format dxfId="60">
      <pivotArea dataOnly="0" outline="0" fieldPosition="0">
        <references count="1">
          <reference field="4294967294" count="1">
            <x v="0"/>
          </reference>
        </references>
      </pivotArea>
    </format>
    <format dxfId="59">
      <pivotArea outline="0" fieldPosition="0">
        <references count="1">
          <reference field="4294967294" count="1">
            <x v="0"/>
          </reference>
        </references>
      </pivotArea>
    </format>
    <format dxfId="58">
      <pivotArea outline="0" fieldPosition="0">
        <references count="1">
          <reference field="4294967294" count="1">
            <x v="1"/>
          </reference>
        </references>
      </pivotArea>
    </format>
    <format dxfId="57">
      <pivotArea type="all" dataOnly="0" outline="0" fieldPosition="0"/>
    </format>
    <format dxfId="56">
      <pivotArea outline="0" collapsedLevelsAreSubtotals="1" fieldPosition="0"/>
    </format>
    <format dxfId="55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54">
      <pivotArea outline="0" fieldPosition="0">
        <references count="1">
          <reference field="4294967294" count="1" selected="0">
            <x v="1"/>
          </reference>
        </references>
      </pivotArea>
    </format>
    <format dxfId="53">
      <pivotArea dataOnly="0" outline="0" fieldPosition="0">
        <references count="1">
          <reference field="4294967294" count="1">
            <x v="1"/>
          </reference>
        </references>
      </pivotArea>
    </format>
    <format dxfId="52">
      <pivotArea type="all" dataOnly="0" outline="0" fieldPosition="0"/>
    </format>
    <format dxfId="51">
      <pivotArea type="all" dataOnly="0" outline="0" fieldPosition="0"/>
    </format>
    <format dxfId="50">
      <pivotArea outline="0" fieldPosition="0">
        <references count="1">
          <reference field="4294967294" count="1">
            <x v="2"/>
          </reference>
        </references>
      </pivotArea>
    </format>
    <format dxfId="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">
      <pivotArea field="1" type="button" dataOnly="0" labelOnly="1" outline="0" axis="axisRow" fieldPosition="0"/>
    </format>
    <format dxfId="12">
      <pivotArea field="2" type="button" dataOnly="0" labelOnly="1" outline="0" axis="axisRow" fieldPosition="1"/>
    </format>
    <format dxfId="11">
      <pivotArea field="3" type="button" dataOnly="0" labelOnly="1" outline="0" axis="axisRow" fieldPosition="2"/>
    </format>
    <format dxfId="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">
      <pivotArea field="1" type="button" dataOnly="0" labelOnly="1" outline="0" axis="axisRow" fieldPosition="0"/>
    </format>
    <format dxfId="8">
      <pivotArea dataOnly="0" labelOnly="1" outline="0" fieldPosition="0">
        <references count="1">
          <reference field="1" count="1">
            <x v="0"/>
          </reference>
        </references>
      </pivotArea>
    </format>
    <format dxfId="7">
      <pivotArea dataOnly="0" labelOnly="1" outline="0" fieldPosition="0">
        <references count="1">
          <reference field="1" count="1">
            <x v="1"/>
          </reference>
        </references>
      </pivotArea>
    </format>
    <format dxfId="6">
      <pivotArea dataOnly="0" labelOnly="1" outline="0" fieldPosition="0">
        <references count="1">
          <reference field="1" count="1">
            <x v="2"/>
          </reference>
        </references>
      </pivotArea>
    </format>
    <format dxfId="5">
      <pivotArea dataOnly="0" labelOnly="1" outline="0" fieldPosition="0">
        <references count="1">
          <reference field="1" count="1">
            <x v="3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J123" totalsRowShown="0" headerRowDxfId="21" dataDxfId="20" headerRowCellStyle="DarkHeader" dataCellStyle="Normal">
  <autoFilter ref="D79:J123" xr:uid="{DB1D1E60-5E37-456A-AD85-0649D531840E}"/>
  <tableColumns count="7">
    <tableColumn id="1" xr3:uid="{57EDF41E-F06D-4819-BADE-3D62DE46F06C}" name="Record List" dataDxfId="18" dataCellStyle="Normal"/>
    <tableColumn id="2" xr3:uid="{CF70C9CE-83FE-40FA-8089-C68B39CF665A}" name="dataset" dataDxfId="19" dataCellStyle="Normal"/>
    <tableColumn id="3" xr3:uid="{B8654690-502A-4FAF-9205-0118DABCB954}" name="x" dataDxfId="22" dataCellStyle="Normal"/>
    <tableColumn id="4" xr3:uid="{5A5BA001-2F93-4E62-880C-C4E8BDB17EEB}" name="y" dataDxfId="17" dataCellStyle="Normal"/>
    <tableColumn id="5" xr3:uid="{14A605FA-2D16-45EF-A55A-4EE86C60012E}" name="index" dataDxfId="16" dataCellStyle="Normal"/>
    <tableColumn id="6" xr3:uid="{B25AD591-9CFD-423C-BA16-492F3A4B3676}" name="HasBlank" dataDxfId="15" dataCellStyle="Normal"/>
    <tableColumn id="7" xr3:uid="{463D39D5-163C-4729-A22C-DD03811300DD}" name="Record Hash" dataDxfId="14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4" totalsRowShown="0" headerRowDxfId="25" dataDxfId="90" headerRowBorderDxfId="91">
  <autoFilter ref="B11:AA14" xr:uid="{034D1C74-BE18-490E-B396-097D407DA97D}"/>
  <tableColumns count="26">
    <tableColumn id="1" xr3:uid="{010A8E62-502A-4B19-B37A-BF59E03A068A}" name="Field" dataDxfId="89"/>
    <tableColumn id="2" xr3:uid="{AD236665-EC7C-404F-8915-AD7CD5510D0F}" name="Definition" dataDxfId="24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23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88"/>
    <tableColumn id="5" xr3:uid="{5006D683-9D12-4B97-9EF2-6D41AF6E0B35}" name="Distinct %" dataDxfId="87"/>
    <tableColumn id="6" xr3:uid="{3AFB42F8-9976-44FF-9239-74914D5BE035}" name="Missing %" dataDxfId="86"/>
    <tableColumn id="7" xr3:uid="{4BA41102-DB06-4180-9754-C88722FE82BD}" name="Memory Usage %" dataDxfId="85"/>
    <tableColumn id="8" xr3:uid="{D22319BD-3A80-40F3-84FC-A6D1627B2F29}" name="Memory Usage" dataDxfId="84"/>
    <tableColumn id="9" xr3:uid="{77FAEE19-B6C7-4056-8EF3-5EB877C820C4}" name="Distinct" dataDxfId="83"/>
    <tableColumn id="10" xr3:uid="{54FF47BF-594E-417B-9028-64A4DFE4D389}" name="Count" dataDxfId="82"/>
    <tableColumn id="11" xr3:uid="{54E587FE-36DC-4522-91DC-8B81B386217B}" name="Count %" dataDxfId="81"/>
    <tableColumn id="12" xr3:uid="{0DE21D83-93B1-480C-BE9C-379DA0E532C7}" name="Missing" dataDxfId="80"/>
    <tableColumn id="13" xr3:uid="{C4B407B9-B7FB-4DFC-A6B3-885C816BAF99}" name="Mean" dataDxfId="79"/>
    <tableColumn id="14" xr3:uid="{9796FD8E-D568-43E1-AC6E-BFAE7C7B7017}" name="Median" dataDxfId="78"/>
    <tableColumn id="15" xr3:uid="{A6A7BCED-DD2F-4B41-A84C-2F2674A38A53}" name="Mode" dataDxfId="77"/>
    <tableColumn id="16" xr3:uid="{46607FA5-244C-49C2-997C-B64EB2E94FDE}" name="Standard Deviation" dataDxfId="76"/>
    <tableColumn id="17" xr3:uid="{80BA1782-4C46-45CE-B3FB-40B70BA09AF9}" name="Variance" dataDxfId="75"/>
    <tableColumn id="18" xr3:uid="{EC3C5A76-EF95-419C-87A8-D8885B542521}" name="Min" dataDxfId="74"/>
    <tableColumn id="19" xr3:uid="{BFE545F8-810C-4F0A-A0B2-FF0AB9764A07}" name="5%" dataDxfId="73"/>
    <tableColumn id="20" xr3:uid="{77D31A9B-57B1-4422-8EF9-6320F00E0DB9}" name="25%" dataDxfId="72"/>
    <tableColumn id="21" xr3:uid="{7A350787-F0EA-4E65-B596-5D7253E75CD6}" name="50%" dataDxfId="71"/>
    <tableColumn id="22" xr3:uid="{FB4C260E-A19F-4908-9DBF-DB4AC630982A}" name="75%" dataDxfId="70"/>
    <tableColumn id="23" xr3:uid="{FBECC9F1-5BC8-4774-9475-EB2D6D28F1E2}" name="95%" dataDxfId="69"/>
    <tableColumn id="24" xr3:uid="{839CD532-ED80-4544-A8C8-E9E036764A84}" name="Max" dataDxfId="68"/>
    <tableColumn id="25" xr3:uid="{9DDA1FD6-82B1-4FBE-8BBD-B40C331930D2}" name="Range" dataDxfId="67"/>
    <tableColumn id="26" xr3:uid="{902A027A-FD65-44D4-B3D0-5B3883ACFA39}" name="IQR" dataDxfId="66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D34:F42" totalsRowShown="0" headerRowDxfId="48" dataDxfId="46" headerRowBorderDxfId="47" tableBorderDxfId="45" totalsRowBorderDxfId="44">
  <tableColumns count="3">
    <tableColumn id="1" xr3:uid="{FFACC0FF-000E-4785-9C1A-22F01E7C2644}" name="Production Section" dataDxfId="43" dataCellStyle="DarkHeader"/>
    <tableColumn id="2" xr3:uid="{6A06C42D-D4AD-45CE-A81D-0918B410EAA9}" name="Production Time in Seconds" dataDxfId="42"/>
    <tableColumn id="3" xr3:uid="{2643AF23-A2E5-4438-810D-7531CB2D2E4E}" name="% of Production Time" dataDxfId="41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D10:E25" totalsRowShown="0" dataDxfId="39" headerRowBorderDxfId="40" tableBorderDxfId="38">
  <tableColumns count="2">
    <tableColumn id="1" xr3:uid="{9623C5AE-E7C2-4493-9B72-08667C9B2C60}" name="Environment Variable" dataDxfId="37" dataCellStyle="DarkHeader"/>
    <tableColumn id="2" xr3:uid="{E5E357AA-48FB-47EA-928A-80845B0CD7C9}" name="Value" dataDxfId="36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G10:H21" totalsRowShown="0" headerRowBorderDxfId="35" tableBorderDxfId="34" totalsRowBorderDxfId="33">
  <autoFilter ref="G10:H21" xr:uid="{A6117933-3C15-4FC8-ADF4-0EC66304DEE1}"/>
  <tableColumns count="2">
    <tableColumn id="1" xr3:uid="{EC70458D-5C3D-497C-AA06-AFCBD688FBDA}" name="Input Argument" dataDxfId="32" dataCellStyle="DarkHeader"/>
    <tableColumn id="2" xr3:uid="{FCA8AE27-3D46-4152-9A03-0F3EFBA2366A}" name="Value" dataDxfId="31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J10:K11" totalsRowShown="0" headerRowBorderDxfId="30" tableBorderDxfId="29" totalsRowBorderDxfId="28">
  <autoFilter ref="J10:K11" xr:uid="{6AF89CD0-DF40-4046-87D4-2BF660DDE636}"/>
  <tableColumns count="2">
    <tableColumn id="1" xr3:uid="{27FA7240-202E-4FAB-AD4A-DC169AFD6F56}" name="Error Type" dataDxfId="27" dataCellStyle="DarkHeader"/>
    <tableColumn id="2" xr3:uid="{C21354E4-3682-4AA0-B73A-2E689C89258C}" name="Value" dataDxfId="26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hyperlink" Target="https://github.com/InfoDesigner/xleda" TargetMode="External"/><Relationship Id="rId7" Type="http://schemas.openxmlformats.org/officeDocument/2006/relationships/table" Target="../tables/table4.xml"/><Relationship Id="rId2" Type="http://schemas.openxmlformats.org/officeDocument/2006/relationships/hyperlink" Target="https://github.com/InfoDesigner/xleda" TargetMode="External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Relationship Id="rId9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123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defaultColWidth="15.6640625" defaultRowHeight="15" customHeight="1" outlineLevelRow="2"/>
  <cols>
    <col min="1" max="1" width="0.77734375" customWidth="1"/>
    <col min="2" max="2" width="3" customWidth="1"/>
    <col min="3" max="3" width="2.6640625" customWidth="1"/>
    <col min="4" max="4" width="25.6640625" customWidth="1"/>
    <col min="5" max="7" width="27.6640625" customWidth="1"/>
    <col min="8" max="8" width="15.6640625" customWidth="1"/>
  </cols>
  <sheetData>
    <row r="1" spans="1:23" ht="19.95" hidden="1" customHeight="1">
      <c r="A1" s="16"/>
      <c r="B1" s="16"/>
      <c r="C1" s="17"/>
      <c r="D1" s="17" t="s">
        <v>0</v>
      </c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</row>
    <row r="2" spans="1:23" ht="10.199999999999999" customHeight="1"/>
    <row r="3" spans="1:23" ht="37.049999999999997" customHeight="1">
      <c r="B3" s="1" t="s">
        <v>78</v>
      </c>
      <c r="C3" s="98" t="s">
        <v>79</v>
      </c>
      <c r="D3" s="25"/>
    </row>
    <row r="4" spans="1:23" ht="10.199999999999999" customHeight="1"/>
    <row r="5" spans="1:23" ht="14.4">
      <c r="C5" s="51" t="s">
        <v>78</v>
      </c>
      <c r="D5" s="2" t="s">
        <v>5</v>
      </c>
    </row>
    <row r="6" spans="1:23" ht="10.199999999999999" customHeight="1"/>
    <row r="7" spans="1:23" ht="40.049999999999997" hidden="1" customHeight="1" outlineLevel="1">
      <c r="E7" s="100" t="s">
        <v>56</v>
      </c>
      <c r="F7" s="101"/>
    </row>
    <row r="8" spans="1:23" ht="14.4" hidden="1" outlineLevel="1"/>
    <row r="9" spans="1:23" ht="15" hidden="1" customHeight="1" outlineLevel="1">
      <c r="D9" s="24" t="s">
        <v>6</v>
      </c>
      <c r="E9" s="52">
        <v>44</v>
      </c>
    </row>
    <row r="10" spans="1:23" ht="15" hidden="1" customHeight="1" outlineLevel="1">
      <c r="D10" s="3" t="s">
        <v>53</v>
      </c>
      <c r="E10" s="28">
        <v>3</v>
      </c>
    </row>
    <row r="11" spans="1:23" ht="15" hidden="1" customHeight="1" outlineLevel="1">
      <c r="D11" s="3" t="s">
        <v>12</v>
      </c>
      <c r="E11" s="28" t="s">
        <v>85</v>
      </c>
    </row>
    <row r="12" spans="1:23" ht="15" hidden="1" customHeight="1" outlineLevel="1">
      <c r="D12" s="3" t="s">
        <v>54</v>
      </c>
      <c r="E12" s="48">
        <v>1</v>
      </c>
    </row>
    <row r="13" spans="1:23" ht="15" hidden="1" customHeight="1" outlineLevel="1">
      <c r="D13" s="3" t="s">
        <v>55</v>
      </c>
      <c r="E13" s="49">
        <v>0</v>
      </c>
    </row>
    <row r="14" spans="1:23" ht="10.199999999999999" hidden="1" customHeight="1" outlineLevel="1"/>
    <row r="15" spans="1:23" ht="34.950000000000003" hidden="1" customHeight="1" outlineLevel="1">
      <c r="D15" s="24" t="s">
        <v>2</v>
      </c>
      <c r="E15" s="53" t="s">
        <v>40</v>
      </c>
      <c r="F15" s="54" t="s">
        <v>40</v>
      </c>
      <c r="G15" s="54" t="s">
        <v>40</v>
      </c>
    </row>
    <row r="16" spans="1:23" ht="10.199999999999999" hidden="1" customHeight="1" outlineLevel="1"/>
    <row r="17" spans="1:10" ht="34.950000000000003" hidden="1" customHeight="1" outlineLevel="1">
      <c r="D17" s="24" t="s">
        <v>3</v>
      </c>
      <c r="E17" s="55" t="s">
        <v>49</v>
      </c>
      <c r="F17" s="56" t="s">
        <v>49</v>
      </c>
      <c r="G17" s="57" t="s">
        <v>49</v>
      </c>
    </row>
    <row r="18" spans="1:10" ht="10.199999999999999" hidden="1" customHeight="1" outlineLevel="1"/>
    <row r="19" spans="1:10" s="26" customFormat="1" ht="30" customHeight="1" collapsed="1">
      <c r="A19"/>
      <c r="B19"/>
      <c r="C19" s="103"/>
      <c r="D19" s="103" t="s">
        <v>4</v>
      </c>
      <c r="E19" s="104" t="s">
        <v>80</v>
      </c>
      <c r="F19" s="104" t="s">
        <v>81</v>
      </c>
      <c r="G19" s="104" t="s">
        <v>82</v>
      </c>
      <c r="H19" s="26" t="s">
        <v>83</v>
      </c>
      <c r="I19" s="26" t="s">
        <v>38</v>
      </c>
      <c r="J19" s="26" t="s">
        <v>84</v>
      </c>
    </row>
    <row r="20" spans="1:10" ht="10.199999999999999" customHeight="1"/>
    <row r="21" spans="1:10" ht="14.4" outlineLevel="1">
      <c r="C21" s="51" t="s">
        <v>78</v>
      </c>
      <c r="D21" s="2" t="s">
        <v>7</v>
      </c>
    </row>
    <row r="22" spans="1:10" ht="10.199999999999999" customHeight="1" outlineLevel="1"/>
    <row r="23" spans="1:10" ht="15" hidden="1" customHeight="1" outlineLevel="2">
      <c r="D23" s="22" t="s">
        <v>8</v>
      </c>
      <c r="E23" s="12" t="s">
        <v>86</v>
      </c>
      <c r="F23" s="12" t="s">
        <v>87</v>
      </c>
      <c r="G23" s="12" t="s">
        <v>87</v>
      </c>
    </row>
    <row r="24" spans="1:10" ht="15" hidden="1" customHeight="1" outlineLevel="2">
      <c r="D24" s="3" t="s">
        <v>9</v>
      </c>
      <c r="E24" s="13">
        <v>9.0909090909090898E-2</v>
      </c>
      <c r="F24" s="13">
        <v>0.27272727272727199</v>
      </c>
      <c r="G24" s="13">
        <v>0.97727272727272696</v>
      </c>
    </row>
    <row r="25" spans="1:10" ht="15" hidden="1" customHeight="1" outlineLevel="2">
      <c r="D25" s="21" t="s">
        <v>10</v>
      </c>
      <c r="E25" s="13">
        <v>0</v>
      </c>
      <c r="F25" s="13">
        <v>0</v>
      </c>
      <c r="G25" s="13">
        <v>0</v>
      </c>
    </row>
    <row r="26" spans="1:10" ht="15" hidden="1" customHeight="1" outlineLevel="2">
      <c r="D26" s="21" t="s">
        <v>11</v>
      </c>
      <c r="E26" s="13">
        <v>0.29693741677762903</v>
      </c>
      <c r="F26" s="13">
        <v>0.234354194407456</v>
      </c>
      <c r="G26" s="13">
        <v>0.234354194407456</v>
      </c>
    </row>
    <row r="27" spans="1:10" ht="15" hidden="1" customHeight="1" outlineLevel="2">
      <c r="D27" s="21" t="s">
        <v>12</v>
      </c>
      <c r="E27" s="14">
        <v>446</v>
      </c>
      <c r="F27" s="14">
        <v>352</v>
      </c>
      <c r="G27" s="14">
        <v>352</v>
      </c>
    </row>
    <row r="28" spans="1:10" ht="15" hidden="1" customHeight="1" outlineLevel="2">
      <c r="D28" s="21" t="s">
        <v>13</v>
      </c>
      <c r="E28" s="14">
        <v>4</v>
      </c>
      <c r="F28" s="14">
        <v>12</v>
      </c>
      <c r="G28" s="14">
        <v>43</v>
      </c>
    </row>
    <row r="29" spans="1:10" ht="15" hidden="1" customHeight="1" outlineLevel="2">
      <c r="D29" s="22" t="s">
        <v>14</v>
      </c>
      <c r="E29" s="14">
        <v>44</v>
      </c>
      <c r="F29" s="14">
        <v>44</v>
      </c>
      <c r="G29" s="14">
        <v>44</v>
      </c>
    </row>
    <row r="30" spans="1:10" ht="15" hidden="1" customHeight="1" outlineLevel="2">
      <c r="D30" s="3" t="s">
        <v>15</v>
      </c>
      <c r="E30" s="14">
        <v>0</v>
      </c>
      <c r="F30" s="14">
        <v>0</v>
      </c>
      <c r="G30" s="14">
        <v>0</v>
      </c>
    </row>
    <row r="31" spans="1:10" ht="10.199999999999999" hidden="1" customHeight="1" outlineLevel="2"/>
    <row r="32" spans="1:10" ht="150" hidden="1" customHeight="1" outlineLevel="2"/>
    <row r="33" spans="3:7" ht="10.199999999999999" hidden="1" customHeight="1" outlineLevel="2"/>
    <row r="34" spans="3:7" ht="14.4" outlineLevel="1" collapsed="1">
      <c r="C34" s="51" t="s">
        <v>78</v>
      </c>
      <c r="D34" s="2" t="s">
        <v>16</v>
      </c>
    </row>
    <row r="35" spans="3:7" ht="10.199999999999999" customHeight="1" outlineLevel="1"/>
    <row r="36" spans="3:7" ht="15" hidden="1" customHeight="1" outlineLevel="2">
      <c r="D36" s="3" t="s">
        <v>17</v>
      </c>
      <c r="E36" s="15"/>
      <c r="F36" s="15">
        <v>9</v>
      </c>
      <c r="G36" s="15">
        <v>7.5006818181818096</v>
      </c>
    </row>
    <row r="37" spans="3:7" ht="15" hidden="1" customHeight="1" outlineLevel="2">
      <c r="D37" s="21" t="s">
        <v>18</v>
      </c>
      <c r="E37" s="15"/>
      <c r="F37" s="15">
        <v>8</v>
      </c>
      <c r="G37" s="15">
        <v>7.52</v>
      </c>
    </row>
    <row r="38" spans="3:7" ht="15" hidden="1" customHeight="1" outlineLevel="2">
      <c r="D38" s="21" t="s">
        <v>19</v>
      </c>
      <c r="E38" s="15" t="s">
        <v>88</v>
      </c>
      <c r="F38" s="15">
        <v>8</v>
      </c>
      <c r="G38" s="15">
        <v>8.84</v>
      </c>
    </row>
    <row r="39" spans="3:7" ht="15" hidden="1" customHeight="1" outlineLevel="2">
      <c r="D39" s="3" t="s">
        <v>20</v>
      </c>
      <c r="E39" s="15"/>
      <c r="F39" s="15">
        <v>3.1988369979626698</v>
      </c>
      <c r="G39" s="15">
        <v>1.9589251890784101</v>
      </c>
    </row>
    <row r="40" spans="3:7" ht="15" hidden="1" customHeight="1" outlineLevel="2">
      <c r="D40" s="23" t="s">
        <v>21</v>
      </c>
      <c r="E40" s="15"/>
      <c r="F40" s="15">
        <v>10.232558139534801</v>
      </c>
      <c r="G40" s="15">
        <v>3.83738789640591</v>
      </c>
    </row>
    <row r="41" spans="3:7" ht="10.199999999999999" hidden="1" customHeight="1" outlineLevel="2"/>
    <row r="42" spans="3:7" ht="150" hidden="1" customHeight="1" outlineLevel="2"/>
    <row r="43" spans="3:7" ht="10.199999999999999" hidden="1" customHeight="1" outlineLevel="2"/>
    <row r="44" spans="3:7" ht="14.4" outlineLevel="1" collapsed="1">
      <c r="C44" s="51" t="s">
        <v>78</v>
      </c>
      <c r="D44" s="2" t="s">
        <v>22</v>
      </c>
    </row>
    <row r="45" spans="3:7" ht="10.050000000000001" customHeight="1" outlineLevel="1"/>
    <row r="46" spans="3:7" ht="15" hidden="1" customHeight="1" outlineLevel="2">
      <c r="D46" s="3" t="s">
        <v>23</v>
      </c>
      <c r="E46" s="15"/>
      <c r="F46" s="15">
        <v>4</v>
      </c>
      <c r="G46" s="15">
        <v>3.1</v>
      </c>
    </row>
    <row r="47" spans="3:7" ht="15" hidden="1" customHeight="1" outlineLevel="2">
      <c r="D47" s="21">
        <v>0.05</v>
      </c>
      <c r="E47" s="15"/>
      <c r="F47" s="15">
        <v>4.1500000000000004</v>
      </c>
      <c r="G47" s="15">
        <v>4.7519999999999998</v>
      </c>
    </row>
    <row r="48" spans="3:7" ht="15" hidden="1" customHeight="1" outlineLevel="2">
      <c r="D48" s="22">
        <v>0.25</v>
      </c>
      <c r="E48" s="15"/>
      <c r="F48" s="15">
        <v>7</v>
      </c>
      <c r="G48" s="15">
        <v>6.1174999999999997</v>
      </c>
    </row>
    <row r="49" spans="3:7" ht="15" hidden="1" customHeight="1" outlineLevel="2">
      <c r="D49" s="3">
        <v>0.5</v>
      </c>
      <c r="E49" s="15"/>
      <c r="F49" s="15">
        <v>8</v>
      </c>
      <c r="G49" s="15">
        <v>7.52</v>
      </c>
    </row>
    <row r="50" spans="3:7" ht="15" hidden="1" customHeight="1" outlineLevel="2">
      <c r="D50" s="21">
        <v>0.75</v>
      </c>
      <c r="E50" s="15"/>
      <c r="F50" s="15">
        <v>11</v>
      </c>
      <c r="G50" s="15">
        <v>8.7475000000000005</v>
      </c>
    </row>
    <row r="51" spans="3:7" ht="15" hidden="1" customHeight="1" outlineLevel="2">
      <c r="D51" s="21">
        <v>0.95</v>
      </c>
      <c r="E51" s="15"/>
      <c r="F51" s="15">
        <v>14</v>
      </c>
      <c r="G51" s="15">
        <v>10.708</v>
      </c>
    </row>
    <row r="52" spans="3:7" ht="15" hidden="1" customHeight="1" outlineLevel="2">
      <c r="D52" s="3" t="s">
        <v>24</v>
      </c>
      <c r="E52" s="15"/>
      <c r="F52" s="15">
        <v>19</v>
      </c>
      <c r="G52" s="15">
        <v>12.74</v>
      </c>
    </row>
    <row r="53" spans="3:7" ht="15" hidden="1" customHeight="1" outlineLevel="2">
      <c r="D53" s="21" t="s">
        <v>25</v>
      </c>
      <c r="E53" s="15"/>
      <c r="F53" s="15">
        <v>15</v>
      </c>
      <c r="G53" s="15">
        <v>9.64</v>
      </c>
    </row>
    <row r="54" spans="3:7" ht="15" hidden="1" customHeight="1" outlineLevel="2">
      <c r="D54" s="3" t="s">
        <v>26</v>
      </c>
      <c r="E54" s="15"/>
      <c r="F54" s="15">
        <v>4</v>
      </c>
      <c r="G54" s="15">
        <v>2.63</v>
      </c>
    </row>
    <row r="55" spans="3:7" ht="10.199999999999999" hidden="1" customHeight="1" outlineLevel="2"/>
    <row r="56" spans="3:7" ht="14.4" outlineLevel="1" collapsed="1">
      <c r="C56" s="51" t="s">
        <v>78</v>
      </c>
      <c r="D56" s="2" t="s">
        <v>27</v>
      </c>
    </row>
    <row r="57" spans="3:7" ht="10.050000000000001" customHeight="1" outlineLevel="1"/>
    <row r="58" spans="3:7" ht="15" hidden="1" customHeight="1" outlineLevel="2">
      <c r="D58" s="3" t="s">
        <v>28</v>
      </c>
      <c r="E58" s="41" t="b">
        <v>0</v>
      </c>
      <c r="F58" s="41" t="b">
        <v>0</v>
      </c>
      <c r="G58" s="41" t="b">
        <v>0</v>
      </c>
    </row>
    <row r="59" spans="3:7" ht="15" hidden="1" customHeight="1" outlineLevel="2">
      <c r="D59" s="21" t="s">
        <v>29</v>
      </c>
      <c r="E59" s="41" t="b">
        <v>0</v>
      </c>
      <c r="F59" s="41" t="b">
        <v>0</v>
      </c>
      <c r="G59" s="41" t="b">
        <v>0</v>
      </c>
    </row>
    <row r="60" spans="3:7" ht="15" hidden="1" customHeight="1" outlineLevel="2">
      <c r="D60" s="21" t="s">
        <v>30</v>
      </c>
      <c r="E60" s="41" t="b">
        <v>0</v>
      </c>
      <c r="F60" s="41" t="b">
        <v>0</v>
      </c>
      <c r="G60" s="41" t="b">
        <v>0</v>
      </c>
    </row>
    <row r="61" spans="3:7" ht="15" hidden="1" customHeight="1" outlineLevel="2">
      <c r="D61" s="21" t="s">
        <v>31</v>
      </c>
      <c r="E61" s="41" t="b">
        <v>0</v>
      </c>
      <c r="F61" s="41" t="b">
        <v>0</v>
      </c>
      <c r="G61" s="41" t="b">
        <v>0</v>
      </c>
    </row>
    <row r="62" spans="3:7" ht="15" hidden="1" customHeight="1" outlineLevel="2">
      <c r="D62" s="3" t="s">
        <v>32</v>
      </c>
      <c r="E62" s="41" t="b">
        <v>0</v>
      </c>
      <c r="F62" s="41" t="b">
        <v>0</v>
      </c>
      <c r="G62" s="41" t="b">
        <v>0</v>
      </c>
    </row>
    <row r="63" spans="3:7" ht="15" hidden="1" customHeight="1" outlineLevel="2">
      <c r="D63" s="21" t="s">
        <v>33</v>
      </c>
      <c r="E63" s="41" t="b">
        <v>0</v>
      </c>
      <c r="F63" s="41" t="b">
        <v>0</v>
      </c>
      <c r="G63" s="41" t="b">
        <v>0</v>
      </c>
    </row>
    <row r="64" spans="3:7" ht="15" hidden="1" customHeight="1" outlineLevel="2">
      <c r="D64" s="21" t="s">
        <v>34</v>
      </c>
      <c r="E64" s="41" t="b">
        <v>0</v>
      </c>
      <c r="F64" s="41" t="b">
        <v>0</v>
      </c>
      <c r="G64" s="41" t="b">
        <v>0</v>
      </c>
    </row>
    <row r="65" spans="3:10" ht="15" hidden="1" customHeight="1" outlineLevel="2">
      <c r="D65" s="3" t="s">
        <v>35</v>
      </c>
      <c r="E65" s="41" t="b">
        <v>0</v>
      </c>
      <c r="F65" s="41" t="b">
        <v>0</v>
      </c>
      <c r="G65" s="41" t="b">
        <v>0</v>
      </c>
    </row>
    <row r="66" spans="3:10" ht="10.199999999999999" hidden="1" customHeight="1" outlineLevel="2"/>
    <row r="67" spans="3:10" ht="14.4" outlineLevel="1" collapsed="1">
      <c r="C67" s="51" t="s">
        <v>78</v>
      </c>
      <c r="D67" s="2" t="s">
        <v>36</v>
      </c>
    </row>
    <row r="68" spans="3:10" ht="10.050000000000001" customHeight="1" outlineLevel="1"/>
    <row r="69" spans="3:10" ht="15" hidden="1" customHeight="1" outlineLevel="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10" ht="15" hidden="1" customHeight="1" outlineLevel="2">
      <c r="D70" s="20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10" ht="15" hidden="1" customHeight="1" outlineLevel="2">
      <c r="D71" s="20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10" ht="15" hidden="1" customHeight="1" outlineLevel="2">
      <c r="D72" s="20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10" ht="15" hidden="1" customHeight="1" outlineLevel="2">
      <c r="D73" s="20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10" ht="15" hidden="1" customHeight="1" outlineLevel="2">
      <c r="D74" s="20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10" ht="15" hidden="1" customHeight="1" outlineLevel="2">
      <c r="D75" s="19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10" ht="15" hidden="1" customHeight="1" outlineLevel="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10" ht="15" hidden="1" customHeight="1" outlineLevel="2">
      <c r="D77" s="18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10" ht="10.199999999999999" hidden="1" customHeight="1" outlineLevel="1" collapsed="1"/>
    <row r="79" spans="3:10" ht="30" customHeight="1">
      <c r="D79" s="127" t="s">
        <v>37</v>
      </c>
      <c r="E79" s="121" t="s">
        <v>80</v>
      </c>
      <c r="F79" s="121" t="s">
        <v>81</v>
      </c>
      <c r="G79" s="121" t="s">
        <v>82</v>
      </c>
      <c r="H79" s="127" t="s">
        <v>83</v>
      </c>
      <c r="I79" s="127" t="s">
        <v>38</v>
      </c>
      <c r="J79" s="127" t="s">
        <v>84</v>
      </c>
    </row>
    <row r="80" spans="3:10" ht="15" customHeight="1">
      <c r="D80" s="128" t="b">
        <v>0</v>
      </c>
      <c r="E80" s="122" t="s">
        <v>88</v>
      </c>
      <c r="F80" s="122">
        <v>10</v>
      </c>
      <c r="G80" s="122">
        <v>8.0399999999999991</v>
      </c>
      <c r="H80" s="131">
        <v>0</v>
      </c>
      <c r="I80" s="131">
        <v>0</v>
      </c>
      <c r="J80" s="131">
        <v>8.2900397977865564E+18</v>
      </c>
    </row>
    <row r="81" spans="4:10" ht="15" customHeight="1">
      <c r="D81" s="128" t="b">
        <v>0</v>
      </c>
      <c r="E81" s="122" t="s">
        <v>88</v>
      </c>
      <c r="F81" s="122">
        <v>8</v>
      </c>
      <c r="G81" s="122">
        <v>6.95</v>
      </c>
      <c r="H81" s="131">
        <v>1</v>
      </c>
      <c r="I81" s="131">
        <v>0</v>
      </c>
      <c r="J81" s="131">
        <v>7.746183454097559E+17</v>
      </c>
    </row>
    <row r="82" spans="4:10" ht="15" customHeight="1">
      <c r="D82" s="129" t="b">
        <v>0</v>
      </c>
      <c r="E82" s="123" t="s">
        <v>88</v>
      </c>
      <c r="F82" s="124">
        <v>13</v>
      </c>
      <c r="G82" s="124">
        <v>7.58</v>
      </c>
      <c r="H82" s="131">
        <v>2</v>
      </c>
      <c r="I82" s="131">
        <v>0</v>
      </c>
      <c r="J82" s="131">
        <v>7.7304847401086556E+18</v>
      </c>
    </row>
    <row r="83" spans="4:10" ht="15" customHeight="1">
      <c r="D83" s="129" t="b">
        <v>0</v>
      </c>
      <c r="E83" s="123" t="s">
        <v>88</v>
      </c>
      <c r="F83" s="124">
        <v>9</v>
      </c>
      <c r="G83" s="124">
        <v>8.81</v>
      </c>
      <c r="H83" s="131">
        <v>3</v>
      </c>
      <c r="I83" s="131">
        <v>0</v>
      </c>
      <c r="J83" s="131">
        <v>1.6450170027552784E+19</v>
      </c>
    </row>
    <row r="84" spans="4:10" ht="15" customHeight="1">
      <c r="D84" s="129" t="b">
        <v>0</v>
      </c>
      <c r="E84" s="123" t="s">
        <v>88</v>
      </c>
      <c r="F84" s="124">
        <v>11</v>
      </c>
      <c r="G84" s="124">
        <v>8.33</v>
      </c>
      <c r="H84" s="131">
        <v>4</v>
      </c>
      <c r="I84" s="131">
        <v>0</v>
      </c>
      <c r="J84" s="131">
        <v>1.9576391762710935E+18</v>
      </c>
    </row>
    <row r="85" spans="4:10" ht="15" customHeight="1">
      <c r="D85" s="129" t="b">
        <v>0</v>
      </c>
      <c r="E85" s="123" t="s">
        <v>88</v>
      </c>
      <c r="F85" s="124">
        <v>14</v>
      </c>
      <c r="G85" s="124">
        <v>9.9600000000000009</v>
      </c>
      <c r="H85" s="131">
        <v>5</v>
      </c>
      <c r="I85" s="131">
        <v>0</v>
      </c>
      <c r="J85" s="131">
        <v>1.4813912060619E+19</v>
      </c>
    </row>
    <row r="86" spans="4:10" ht="15" customHeight="1">
      <c r="D86" s="129" t="b">
        <v>0</v>
      </c>
      <c r="E86" s="123" t="s">
        <v>88</v>
      </c>
      <c r="F86" s="124">
        <v>6</v>
      </c>
      <c r="G86" s="124">
        <v>7.24</v>
      </c>
      <c r="H86" s="131">
        <v>6</v>
      </c>
      <c r="I86" s="131">
        <v>0</v>
      </c>
      <c r="J86" s="131">
        <v>4.5531757921356141E+17</v>
      </c>
    </row>
    <row r="87" spans="4:10" ht="15" customHeight="1">
      <c r="D87" s="129" t="b">
        <v>0</v>
      </c>
      <c r="E87" s="123" t="s">
        <v>88</v>
      </c>
      <c r="F87" s="124">
        <v>4</v>
      </c>
      <c r="G87" s="124">
        <v>4.26</v>
      </c>
      <c r="H87" s="131">
        <v>7</v>
      </c>
      <c r="I87" s="131">
        <v>0</v>
      </c>
      <c r="J87" s="131">
        <v>4.2687004823131064E+18</v>
      </c>
    </row>
    <row r="88" spans="4:10" ht="15" customHeight="1">
      <c r="D88" s="129" t="b">
        <v>0</v>
      </c>
      <c r="E88" s="123" t="s">
        <v>88</v>
      </c>
      <c r="F88" s="124">
        <v>12</v>
      </c>
      <c r="G88" s="124">
        <v>10.84</v>
      </c>
      <c r="H88" s="131">
        <v>8</v>
      </c>
      <c r="I88" s="131">
        <v>0</v>
      </c>
      <c r="J88" s="131">
        <v>1.0824355179871961E+19</v>
      </c>
    </row>
    <row r="89" spans="4:10" ht="15" customHeight="1">
      <c r="D89" s="129" t="b">
        <v>0</v>
      </c>
      <c r="E89" s="123" t="s">
        <v>88</v>
      </c>
      <c r="F89" s="124">
        <v>7</v>
      </c>
      <c r="G89" s="124">
        <v>4.82</v>
      </c>
      <c r="H89" s="131">
        <v>9</v>
      </c>
      <c r="I89" s="131">
        <v>0</v>
      </c>
      <c r="J89" s="131">
        <v>1.6541709756342252E+19</v>
      </c>
    </row>
    <row r="90" spans="4:10" ht="15" customHeight="1">
      <c r="D90" s="129" t="b">
        <v>0</v>
      </c>
      <c r="E90" s="123" t="s">
        <v>88</v>
      </c>
      <c r="F90" s="124">
        <v>5</v>
      </c>
      <c r="G90" s="124">
        <v>5.68</v>
      </c>
      <c r="H90" s="131">
        <v>10</v>
      </c>
      <c r="I90" s="131">
        <v>0</v>
      </c>
      <c r="J90" s="131">
        <v>1.2465426303620512E+19</v>
      </c>
    </row>
    <row r="91" spans="4:10" ht="15" customHeight="1">
      <c r="D91" s="129" t="b">
        <v>0</v>
      </c>
      <c r="E91" s="123" t="s">
        <v>89</v>
      </c>
      <c r="F91" s="124">
        <v>10</v>
      </c>
      <c r="G91" s="124">
        <v>9.14</v>
      </c>
      <c r="H91" s="131">
        <v>11</v>
      </c>
      <c r="I91" s="131">
        <v>0</v>
      </c>
      <c r="J91" s="131">
        <v>1.2615110453480454E+19</v>
      </c>
    </row>
    <row r="92" spans="4:10" ht="15" customHeight="1">
      <c r="D92" s="129" t="b">
        <v>0</v>
      </c>
      <c r="E92" s="123" t="s">
        <v>89</v>
      </c>
      <c r="F92" s="124">
        <v>8</v>
      </c>
      <c r="G92" s="124">
        <v>8.14</v>
      </c>
      <c r="H92" s="131">
        <v>12</v>
      </c>
      <c r="I92" s="131">
        <v>0</v>
      </c>
      <c r="J92" s="131">
        <v>1.7574382863757523E+19</v>
      </c>
    </row>
    <row r="93" spans="4:10" ht="15" customHeight="1">
      <c r="D93" s="129" t="b">
        <v>0</v>
      </c>
      <c r="E93" s="123" t="s">
        <v>89</v>
      </c>
      <c r="F93" s="124">
        <v>13</v>
      </c>
      <c r="G93" s="124">
        <v>8.74</v>
      </c>
      <c r="H93" s="131">
        <v>13</v>
      </c>
      <c r="I93" s="131">
        <v>0</v>
      </c>
      <c r="J93" s="131">
        <v>1.2831300063501724E+19</v>
      </c>
    </row>
    <row r="94" spans="4:10" ht="15" customHeight="1">
      <c r="D94" s="129" t="b">
        <v>0</v>
      </c>
      <c r="E94" s="123" t="s">
        <v>89</v>
      </c>
      <c r="F94" s="124">
        <v>9</v>
      </c>
      <c r="G94" s="124">
        <v>8.77</v>
      </c>
      <c r="H94" s="131">
        <v>14</v>
      </c>
      <c r="I94" s="131">
        <v>0</v>
      </c>
      <c r="J94" s="131">
        <v>1.7540277894604515E+19</v>
      </c>
    </row>
    <row r="95" spans="4:10" ht="15" customHeight="1">
      <c r="D95" s="129" t="b">
        <v>0</v>
      </c>
      <c r="E95" s="123" t="s">
        <v>89</v>
      </c>
      <c r="F95" s="124">
        <v>11</v>
      </c>
      <c r="G95" s="124">
        <v>9.26</v>
      </c>
      <c r="H95" s="131">
        <v>15</v>
      </c>
      <c r="I95" s="131">
        <v>0</v>
      </c>
      <c r="J95" s="131">
        <v>7.5235392342167153E+18</v>
      </c>
    </row>
    <row r="96" spans="4:10" ht="15" customHeight="1">
      <c r="D96" s="129" t="b">
        <v>0</v>
      </c>
      <c r="E96" s="123" t="s">
        <v>89</v>
      </c>
      <c r="F96" s="124">
        <v>14</v>
      </c>
      <c r="G96" s="124">
        <v>8.1</v>
      </c>
      <c r="H96" s="131">
        <v>16</v>
      </c>
      <c r="I96" s="131">
        <v>0</v>
      </c>
      <c r="J96" s="131">
        <v>1.3486858689431015E+19</v>
      </c>
    </row>
    <row r="97" spans="4:10" ht="15" customHeight="1">
      <c r="D97" s="129" t="b">
        <v>0</v>
      </c>
      <c r="E97" s="123" t="s">
        <v>89</v>
      </c>
      <c r="F97" s="124">
        <v>6</v>
      </c>
      <c r="G97" s="124">
        <v>6.13</v>
      </c>
      <c r="H97" s="131">
        <v>17</v>
      </c>
      <c r="I97" s="131">
        <v>0</v>
      </c>
      <c r="J97" s="131">
        <v>1.8290918260543154E+19</v>
      </c>
    </row>
    <row r="98" spans="4:10" ht="15" customHeight="1">
      <c r="D98" s="129" t="b">
        <v>0</v>
      </c>
      <c r="E98" s="123" t="s">
        <v>89</v>
      </c>
      <c r="F98" s="124">
        <v>4</v>
      </c>
      <c r="G98" s="124">
        <v>3.1</v>
      </c>
      <c r="H98" s="131">
        <v>18</v>
      </c>
      <c r="I98" s="131">
        <v>0</v>
      </c>
      <c r="J98" s="131">
        <v>3.0271482890587628E+18</v>
      </c>
    </row>
    <row r="99" spans="4:10" ht="15" customHeight="1">
      <c r="D99" s="129" t="b">
        <v>0</v>
      </c>
      <c r="E99" s="123" t="s">
        <v>89</v>
      </c>
      <c r="F99" s="124">
        <v>12</v>
      </c>
      <c r="G99" s="124">
        <v>9.1300000000000008</v>
      </c>
      <c r="H99" s="131">
        <v>19</v>
      </c>
      <c r="I99" s="131">
        <v>0</v>
      </c>
      <c r="J99" s="131">
        <v>1.3323868367707693E+19</v>
      </c>
    </row>
    <row r="100" spans="4:10" ht="15" customHeight="1">
      <c r="D100" s="129" t="b">
        <v>0</v>
      </c>
      <c r="E100" s="123" t="s">
        <v>89</v>
      </c>
      <c r="F100" s="124">
        <v>7</v>
      </c>
      <c r="G100" s="124">
        <v>7.26</v>
      </c>
      <c r="H100" s="131">
        <v>20</v>
      </c>
      <c r="I100" s="131">
        <v>0</v>
      </c>
      <c r="J100" s="131">
        <v>3.5680720266868065E+18</v>
      </c>
    </row>
    <row r="101" spans="4:10" ht="15" customHeight="1">
      <c r="D101" s="129" t="b">
        <v>0</v>
      </c>
      <c r="E101" s="123" t="s">
        <v>89</v>
      </c>
      <c r="F101" s="124">
        <v>5</v>
      </c>
      <c r="G101" s="124">
        <v>4.74</v>
      </c>
      <c r="H101" s="131">
        <v>21</v>
      </c>
      <c r="I101" s="131">
        <v>0</v>
      </c>
      <c r="J101" s="131">
        <v>2.3914005557568937E+18</v>
      </c>
    </row>
    <row r="102" spans="4:10" ht="15" customHeight="1">
      <c r="D102" s="129" t="b">
        <v>0</v>
      </c>
      <c r="E102" s="123" t="s">
        <v>90</v>
      </c>
      <c r="F102" s="124">
        <v>10</v>
      </c>
      <c r="G102" s="124">
        <v>7.46</v>
      </c>
      <c r="H102" s="131">
        <v>22</v>
      </c>
      <c r="I102" s="131">
        <v>0</v>
      </c>
      <c r="J102" s="131">
        <v>1.7082740423865072E+19</v>
      </c>
    </row>
    <row r="103" spans="4:10" ht="15" customHeight="1">
      <c r="D103" s="129" t="b">
        <v>0</v>
      </c>
      <c r="E103" s="123" t="s">
        <v>90</v>
      </c>
      <c r="F103" s="124">
        <v>8</v>
      </c>
      <c r="G103" s="124">
        <v>6.77</v>
      </c>
      <c r="H103" s="131">
        <v>23</v>
      </c>
      <c r="I103" s="131">
        <v>0</v>
      </c>
      <c r="J103" s="131">
        <v>4.9085920842948086E+18</v>
      </c>
    </row>
    <row r="104" spans="4:10" ht="15" customHeight="1">
      <c r="D104" s="129" t="b">
        <v>0</v>
      </c>
      <c r="E104" s="123" t="s">
        <v>90</v>
      </c>
      <c r="F104" s="124">
        <v>13</v>
      </c>
      <c r="G104" s="124">
        <v>12.74</v>
      </c>
      <c r="H104" s="131">
        <v>24</v>
      </c>
      <c r="I104" s="131">
        <v>0</v>
      </c>
      <c r="J104" s="131">
        <v>1.770008728388957E+19</v>
      </c>
    </row>
    <row r="105" spans="4:10" ht="15" customHeight="1">
      <c r="D105" s="129" t="b">
        <v>0</v>
      </c>
      <c r="E105" s="123" t="s">
        <v>90</v>
      </c>
      <c r="F105" s="124">
        <v>9</v>
      </c>
      <c r="G105" s="124">
        <v>7.11</v>
      </c>
      <c r="H105" s="131">
        <v>25</v>
      </c>
      <c r="I105" s="131">
        <v>0</v>
      </c>
      <c r="J105" s="131">
        <v>1.9372436006079421E+18</v>
      </c>
    </row>
    <row r="106" spans="4:10" ht="15" customHeight="1">
      <c r="D106" s="129" t="b">
        <v>0</v>
      </c>
      <c r="E106" s="123" t="s">
        <v>90</v>
      </c>
      <c r="F106" s="124">
        <v>11</v>
      </c>
      <c r="G106" s="124">
        <v>7.81</v>
      </c>
      <c r="H106" s="131">
        <v>26</v>
      </c>
      <c r="I106" s="131">
        <v>0</v>
      </c>
      <c r="J106" s="131">
        <v>1.3529379415465892E+19</v>
      </c>
    </row>
    <row r="107" spans="4:10" ht="15" customHeight="1">
      <c r="D107" s="129" t="b">
        <v>0</v>
      </c>
      <c r="E107" s="123" t="s">
        <v>90</v>
      </c>
      <c r="F107" s="124">
        <v>14</v>
      </c>
      <c r="G107" s="124">
        <v>8.84</v>
      </c>
      <c r="H107" s="131">
        <v>27</v>
      </c>
      <c r="I107" s="131">
        <v>0</v>
      </c>
      <c r="J107" s="131">
        <v>1.1161663523386765E+19</v>
      </c>
    </row>
    <row r="108" spans="4:10" ht="15" customHeight="1">
      <c r="D108" s="129" t="b">
        <v>0</v>
      </c>
      <c r="E108" s="123" t="s">
        <v>90</v>
      </c>
      <c r="F108" s="124">
        <v>6</v>
      </c>
      <c r="G108" s="124">
        <v>6.08</v>
      </c>
      <c r="H108" s="131">
        <v>28</v>
      </c>
      <c r="I108" s="131">
        <v>0</v>
      </c>
      <c r="J108" s="131">
        <v>1.7455212853858664E+19</v>
      </c>
    </row>
    <row r="109" spans="4:10" ht="15" customHeight="1">
      <c r="D109" s="129" t="b">
        <v>0</v>
      </c>
      <c r="E109" s="123" t="s">
        <v>90</v>
      </c>
      <c r="F109" s="124">
        <v>4</v>
      </c>
      <c r="G109" s="124">
        <v>5.39</v>
      </c>
      <c r="H109" s="131">
        <v>29</v>
      </c>
      <c r="I109" s="131">
        <v>0</v>
      </c>
      <c r="J109" s="131">
        <v>7.4044780924903977E+18</v>
      </c>
    </row>
    <row r="110" spans="4:10" ht="15" customHeight="1">
      <c r="D110" s="129" t="b">
        <v>0</v>
      </c>
      <c r="E110" s="123" t="s">
        <v>90</v>
      </c>
      <c r="F110" s="124">
        <v>12</v>
      </c>
      <c r="G110" s="124">
        <v>8.15</v>
      </c>
      <c r="H110" s="131">
        <v>30</v>
      </c>
      <c r="I110" s="131">
        <v>0</v>
      </c>
      <c r="J110" s="131">
        <v>4.8691511575164723E+18</v>
      </c>
    </row>
    <row r="111" spans="4:10" ht="15" customHeight="1">
      <c r="D111" s="129" t="b">
        <v>0</v>
      </c>
      <c r="E111" s="123" t="s">
        <v>90</v>
      </c>
      <c r="F111" s="124">
        <v>7</v>
      </c>
      <c r="G111" s="124">
        <v>6.42</v>
      </c>
      <c r="H111" s="131">
        <v>31</v>
      </c>
      <c r="I111" s="131">
        <v>0</v>
      </c>
      <c r="J111" s="131">
        <v>1.5520966538863829E+19</v>
      </c>
    </row>
    <row r="112" spans="4:10" ht="15" customHeight="1">
      <c r="D112" s="129" t="b">
        <v>0</v>
      </c>
      <c r="E112" s="123" t="s">
        <v>90</v>
      </c>
      <c r="F112" s="124">
        <v>5</v>
      </c>
      <c r="G112" s="124">
        <v>5.73</v>
      </c>
      <c r="H112" s="131">
        <v>32</v>
      </c>
      <c r="I112" s="131">
        <v>0</v>
      </c>
      <c r="J112" s="131">
        <v>1.6956987607096488E+19</v>
      </c>
    </row>
    <row r="113" spans="4:10" ht="15" customHeight="1">
      <c r="D113" s="129" t="b">
        <v>0</v>
      </c>
      <c r="E113" s="123" t="s">
        <v>91</v>
      </c>
      <c r="F113" s="124">
        <v>8</v>
      </c>
      <c r="G113" s="124">
        <v>6.58</v>
      </c>
      <c r="H113" s="131">
        <v>33</v>
      </c>
      <c r="I113" s="131">
        <v>0</v>
      </c>
      <c r="J113" s="131">
        <v>8.2794725629868687E+18</v>
      </c>
    </row>
    <row r="114" spans="4:10" ht="15" customHeight="1">
      <c r="D114" s="129" t="b">
        <v>0</v>
      </c>
      <c r="E114" s="123" t="s">
        <v>91</v>
      </c>
      <c r="F114" s="124">
        <v>8</v>
      </c>
      <c r="G114" s="124">
        <v>5.76</v>
      </c>
      <c r="H114" s="131">
        <v>34</v>
      </c>
      <c r="I114" s="131">
        <v>0</v>
      </c>
      <c r="J114" s="131">
        <v>1.3292156592662393E+19</v>
      </c>
    </row>
    <row r="115" spans="4:10" ht="15" customHeight="1">
      <c r="D115" s="129" t="b">
        <v>0</v>
      </c>
      <c r="E115" s="123" t="s">
        <v>91</v>
      </c>
      <c r="F115" s="124">
        <v>8</v>
      </c>
      <c r="G115" s="124">
        <v>7.71</v>
      </c>
      <c r="H115" s="131">
        <v>35</v>
      </c>
      <c r="I115" s="131">
        <v>0</v>
      </c>
      <c r="J115" s="131">
        <v>1.1803802399366158E+19</v>
      </c>
    </row>
    <row r="116" spans="4:10" ht="15" customHeight="1">
      <c r="D116" s="129" t="b">
        <v>0</v>
      </c>
      <c r="E116" s="123" t="s">
        <v>91</v>
      </c>
      <c r="F116" s="124">
        <v>8</v>
      </c>
      <c r="G116" s="124">
        <v>8.84</v>
      </c>
      <c r="H116" s="131">
        <v>36</v>
      </c>
      <c r="I116" s="131">
        <v>0</v>
      </c>
      <c r="J116" s="131">
        <v>7.3049915945927967E+18</v>
      </c>
    </row>
    <row r="117" spans="4:10" ht="15" customHeight="1">
      <c r="D117" s="129" t="b">
        <v>0</v>
      </c>
      <c r="E117" s="123" t="s">
        <v>91</v>
      </c>
      <c r="F117" s="124">
        <v>8</v>
      </c>
      <c r="G117" s="124">
        <v>8.4700000000000006</v>
      </c>
      <c r="H117" s="131">
        <v>37</v>
      </c>
      <c r="I117" s="131">
        <v>0</v>
      </c>
      <c r="J117" s="131">
        <v>1.4983167448133067E+19</v>
      </c>
    </row>
    <row r="118" spans="4:10" ht="15" customHeight="1">
      <c r="D118" s="129" t="b">
        <v>0</v>
      </c>
      <c r="E118" s="123" t="s">
        <v>91</v>
      </c>
      <c r="F118" s="124">
        <v>8</v>
      </c>
      <c r="G118" s="124">
        <v>7.04</v>
      </c>
      <c r="H118" s="131">
        <v>38</v>
      </c>
      <c r="I118" s="131">
        <v>0</v>
      </c>
      <c r="J118" s="131">
        <v>3.5115920427908675E+18</v>
      </c>
    </row>
    <row r="119" spans="4:10" ht="15" customHeight="1">
      <c r="D119" s="129" t="b">
        <v>0</v>
      </c>
      <c r="E119" s="123" t="s">
        <v>91</v>
      </c>
      <c r="F119" s="124">
        <v>8</v>
      </c>
      <c r="G119" s="124">
        <v>5.25</v>
      </c>
      <c r="H119" s="131">
        <v>39</v>
      </c>
      <c r="I119" s="131">
        <v>0</v>
      </c>
      <c r="J119" s="131">
        <v>1.4505337100355502E+18</v>
      </c>
    </row>
    <row r="120" spans="4:10" ht="15" customHeight="1">
      <c r="D120" s="129" t="b">
        <v>0</v>
      </c>
      <c r="E120" s="123" t="s">
        <v>91</v>
      </c>
      <c r="F120" s="124">
        <v>19</v>
      </c>
      <c r="G120" s="124">
        <v>12.5</v>
      </c>
      <c r="H120" s="131">
        <v>40</v>
      </c>
      <c r="I120" s="131">
        <v>0</v>
      </c>
      <c r="J120" s="131">
        <v>2.4440120055156204E+18</v>
      </c>
    </row>
    <row r="121" spans="4:10" ht="15" customHeight="1">
      <c r="D121" s="129" t="b">
        <v>0</v>
      </c>
      <c r="E121" s="123" t="s">
        <v>91</v>
      </c>
      <c r="F121" s="124">
        <v>8</v>
      </c>
      <c r="G121" s="124">
        <v>5.56</v>
      </c>
      <c r="H121" s="131">
        <v>41</v>
      </c>
      <c r="I121" s="131">
        <v>0</v>
      </c>
      <c r="J121" s="131">
        <v>1.7387600761294412E+19</v>
      </c>
    </row>
    <row r="122" spans="4:10" ht="15" customHeight="1">
      <c r="D122" s="129" t="b">
        <v>0</v>
      </c>
      <c r="E122" s="123" t="s">
        <v>91</v>
      </c>
      <c r="F122" s="124">
        <v>8</v>
      </c>
      <c r="G122" s="124">
        <v>7.91</v>
      </c>
      <c r="H122" s="131">
        <v>42</v>
      </c>
      <c r="I122" s="131">
        <v>0</v>
      </c>
      <c r="J122" s="131">
        <v>1.1044583522839329E+19</v>
      </c>
    </row>
    <row r="123" spans="4:10" ht="15" customHeight="1">
      <c r="D123" s="130" t="b">
        <v>0</v>
      </c>
      <c r="E123" s="125" t="s">
        <v>91</v>
      </c>
      <c r="F123" s="126">
        <v>8</v>
      </c>
      <c r="G123" s="126">
        <v>6.89</v>
      </c>
      <c r="H123" s="131">
        <v>43</v>
      </c>
      <c r="I123" s="131">
        <v>0</v>
      </c>
      <c r="J123" s="131">
        <v>3.1669598736807434E+18</v>
      </c>
    </row>
  </sheetData>
  <mergeCells count="1">
    <mergeCell ref="E7:F7"/>
  </mergeCells>
  <phoneticPr fontId="35" type="noConversion"/>
  <conditionalFormatting sqref="E23:G30 E36:G40 E46:G54">
    <cfRule type="cellIs" dxfId="98" priority="19" operator="equal">
      <formula>0</formula>
    </cfRule>
  </conditionalFormatting>
  <conditionalFormatting sqref="D80:D123">
    <cfRule type="cellIs" dxfId="97" priority="18" operator="notEqual">
      <formula>FALSE</formula>
    </cfRule>
  </conditionalFormatting>
  <conditionalFormatting sqref="E17:G17">
    <cfRule type="cellIs" dxfId="96" priority="12" operator="notEqual">
      <formula>"Note"</formula>
    </cfRule>
  </conditionalFormatting>
  <conditionalFormatting sqref="E24:G26">
    <cfRule type="colorScale" priority="14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95" priority="13"/>
  </conditionalFormatting>
  <conditionalFormatting sqref="E15:G15">
    <cfRule type="cellIs" dxfId="94" priority="11" operator="notEqual">
      <formula>"Definition"</formula>
    </cfRule>
  </conditionalFormatting>
  <conditionalFormatting sqref="E7">
    <cfRule type="cellIs" dxfId="93" priority="10" operator="notEqual">
      <formula>"Dataset Description"</formula>
    </cfRule>
  </conditionalFormatting>
  <conditionalFormatting sqref="E58:G65">
    <cfRule type="cellIs" dxfId="92" priority="16" operator="notEqual">
      <formula>FALSE</formula>
    </cfRule>
  </conditionalFormatting>
  <conditionalFormatting sqref="E12:E13">
    <cfRule type="colorScale" priority="1">
      <colorScale>
        <cfvo type="num" val="0"/>
        <cfvo type="num" val="0.2"/>
        <color theme="1" tint="-0.499984740745262"/>
        <color rgb="FF7A0000"/>
      </colorScale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4"/>
  <sheetViews>
    <sheetView topLeftCell="A2" zoomScale="85" zoomScaleNormal="85" workbookViewId="0">
      <selection activeCell="B11" sqref="B11"/>
    </sheetView>
  </sheetViews>
  <sheetFormatPr defaultColWidth="8.77734375" defaultRowHeight="15" customHeight="1"/>
  <cols>
    <col min="1" max="1" width="2.6640625" customWidth="1"/>
    <col min="2" max="2" width="32" customWidth="1"/>
    <col min="3" max="3" width="42.33203125" customWidth="1"/>
    <col min="4" max="4" width="45.44140625" customWidth="1"/>
    <col min="5" max="5" width="17.6640625" customWidth="1"/>
    <col min="6" max="7" width="15.77734375" customWidth="1"/>
    <col min="8" max="8" width="17.6640625" customWidth="1"/>
    <col min="9" max="9" width="15.6640625" customWidth="1"/>
    <col min="10" max="16" width="13.44140625" customWidth="1"/>
    <col min="17" max="17" width="19" customWidth="1"/>
    <col min="18" max="27" width="13.44140625" customWidth="1"/>
  </cols>
  <sheetData>
    <row r="1" spans="1:27" ht="19.95" hidden="1" customHeight="1">
      <c r="A1" s="16"/>
      <c r="B1" s="17" t="s">
        <v>0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</row>
    <row r="2" spans="1:27" ht="14.4"/>
    <row r="3" spans="1:27" ht="36.450000000000003" customHeight="1">
      <c r="B3" s="99" t="s">
        <v>79</v>
      </c>
      <c r="AA3" s="5"/>
    </row>
    <row r="4" spans="1:27" ht="10.199999999999999" customHeight="1">
      <c r="AA4" s="5"/>
    </row>
    <row r="5" spans="1:27" ht="15" customHeight="1">
      <c r="B5" s="30" t="s">
        <v>6</v>
      </c>
      <c r="C5" s="27">
        <v>44</v>
      </c>
      <c r="AA5" s="6"/>
    </row>
    <row r="6" spans="1:27" ht="15" customHeight="1">
      <c r="B6" s="29" t="s">
        <v>53</v>
      </c>
      <c r="C6" s="28">
        <v>3</v>
      </c>
    </row>
    <row r="7" spans="1:27" ht="15" customHeight="1">
      <c r="B7" s="29" t="s">
        <v>12</v>
      </c>
      <c r="C7" s="28" t="s">
        <v>85</v>
      </c>
    </row>
    <row r="8" spans="1:27" ht="15" customHeight="1">
      <c r="B8" s="29" t="s">
        <v>54</v>
      </c>
      <c r="C8" s="48">
        <v>1</v>
      </c>
    </row>
    <row r="9" spans="1:27" ht="15" customHeight="1">
      <c r="B9" s="31" t="s">
        <v>55</v>
      </c>
      <c r="C9" s="49">
        <v>0</v>
      </c>
      <c r="D9" s="4"/>
    </row>
    <row r="10" spans="1:27" ht="24" customHeight="1"/>
    <row r="11" spans="1:27" ht="30" customHeight="1">
      <c r="B11" s="105" t="s">
        <v>39</v>
      </c>
      <c r="C11" s="105" t="s">
        <v>40</v>
      </c>
      <c r="D11" s="105" t="s">
        <v>1</v>
      </c>
      <c r="E11" s="106" t="s">
        <v>8</v>
      </c>
      <c r="F11" s="106" t="s">
        <v>9</v>
      </c>
      <c r="G11" s="106" t="s">
        <v>10</v>
      </c>
      <c r="H11" s="106" t="s">
        <v>11</v>
      </c>
      <c r="I11" s="106" t="s">
        <v>12</v>
      </c>
      <c r="J11" s="106" t="s">
        <v>13</v>
      </c>
      <c r="K11" s="106" t="s">
        <v>14</v>
      </c>
      <c r="L11" s="106" t="s">
        <v>41</v>
      </c>
      <c r="M11" s="106" t="s">
        <v>15</v>
      </c>
      <c r="N11" s="106" t="s">
        <v>17</v>
      </c>
      <c r="O11" s="106" t="s">
        <v>18</v>
      </c>
      <c r="P11" s="106" t="s">
        <v>19</v>
      </c>
      <c r="Q11" s="106" t="s">
        <v>20</v>
      </c>
      <c r="R11" s="106" t="s">
        <v>21</v>
      </c>
      <c r="S11" s="106" t="s">
        <v>23</v>
      </c>
      <c r="T11" s="120" t="s">
        <v>42</v>
      </c>
      <c r="U11" s="120" t="s">
        <v>43</v>
      </c>
      <c r="V11" s="120" t="s">
        <v>44</v>
      </c>
      <c r="W11" s="120" t="s">
        <v>45</v>
      </c>
      <c r="X11" s="120" t="s">
        <v>46</v>
      </c>
      <c r="Y11" s="106" t="s">
        <v>24</v>
      </c>
      <c r="Z11" s="106" t="s">
        <v>25</v>
      </c>
      <c r="AA11" s="106" t="s">
        <v>26</v>
      </c>
    </row>
    <row r="12" spans="1:27" ht="15" customHeight="1">
      <c r="B12" s="42" t="s">
        <v>80</v>
      </c>
      <c r="C12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43" t="s">
        <v>86</v>
      </c>
      <c r="F12" s="47">
        <v>9.0909090909090898E-2</v>
      </c>
      <c r="G12" s="47">
        <v>0</v>
      </c>
      <c r="H12" s="47">
        <v>0.29693741677762903</v>
      </c>
      <c r="I12" s="44">
        <v>446</v>
      </c>
      <c r="J12" s="44">
        <v>4</v>
      </c>
      <c r="K12" s="44">
        <v>44</v>
      </c>
      <c r="L12" s="45">
        <v>1</v>
      </c>
      <c r="M12" s="44">
        <v>0</v>
      </c>
      <c r="N12" s="46"/>
      <c r="O12" s="46"/>
      <c r="P12" s="46" t="s">
        <v>88</v>
      </c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</row>
    <row r="13" spans="1:27" ht="15" customHeight="1">
      <c r="B13" s="107" t="s">
        <v>81</v>
      </c>
      <c r="C13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08" t="s">
        <v>87</v>
      </c>
      <c r="F13" s="109">
        <v>0.27272727272727199</v>
      </c>
      <c r="G13" s="109">
        <v>0</v>
      </c>
      <c r="H13" s="109">
        <v>0.234354194407456</v>
      </c>
      <c r="I13" s="110">
        <v>352</v>
      </c>
      <c r="J13" s="110">
        <v>12</v>
      </c>
      <c r="K13" s="110">
        <v>44</v>
      </c>
      <c r="L13" s="111">
        <v>1</v>
      </c>
      <c r="M13" s="110">
        <v>0</v>
      </c>
      <c r="N13" s="112">
        <v>9</v>
      </c>
      <c r="O13" s="112">
        <v>8</v>
      </c>
      <c r="P13" s="112">
        <v>8</v>
      </c>
      <c r="Q13" s="112">
        <v>3.1988369979626698</v>
      </c>
      <c r="R13" s="112">
        <v>10.232558139534801</v>
      </c>
      <c r="S13" s="112">
        <v>4</v>
      </c>
      <c r="T13" s="112">
        <v>4.1500000000000004</v>
      </c>
      <c r="U13" s="112">
        <v>7</v>
      </c>
      <c r="V13" s="112">
        <v>8</v>
      </c>
      <c r="W13" s="112">
        <v>11</v>
      </c>
      <c r="X13" s="112">
        <v>14</v>
      </c>
      <c r="Y13" s="112">
        <v>19</v>
      </c>
      <c r="Z13" s="112">
        <v>15</v>
      </c>
      <c r="AA13" s="112">
        <v>4</v>
      </c>
    </row>
    <row r="14" spans="1:27" ht="15" customHeight="1">
      <c r="B14" s="113" t="s">
        <v>82</v>
      </c>
      <c r="C14" s="114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114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15" t="s">
        <v>87</v>
      </c>
      <c r="F14" s="116">
        <v>0.97727272727272696</v>
      </c>
      <c r="G14" s="116">
        <v>0</v>
      </c>
      <c r="H14" s="116">
        <v>0.234354194407456</v>
      </c>
      <c r="I14" s="117">
        <v>352</v>
      </c>
      <c r="J14" s="117">
        <v>43</v>
      </c>
      <c r="K14" s="117">
        <v>44</v>
      </c>
      <c r="L14" s="118">
        <v>1</v>
      </c>
      <c r="M14" s="117">
        <v>0</v>
      </c>
      <c r="N14" s="119">
        <v>7.5006818181818096</v>
      </c>
      <c r="O14" s="119">
        <v>7.52</v>
      </c>
      <c r="P14" s="119">
        <v>8.84</v>
      </c>
      <c r="Q14" s="119">
        <v>1.9589251890784101</v>
      </c>
      <c r="R14" s="119">
        <v>3.83738789640591</v>
      </c>
      <c r="S14" s="119">
        <v>3.1</v>
      </c>
      <c r="T14" s="119">
        <v>4.7519999999999998</v>
      </c>
      <c r="U14" s="119">
        <v>6.1174999999999997</v>
      </c>
      <c r="V14" s="119">
        <v>7.52</v>
      </c>
      <c r="W14" s="119">
        <v>8.7475000000000005</v>
      </c>
      <c r="X14" s="119">
        <v>10.708</v>
      </c>
      <c r="Y14" s="119">
        <v>12.74</v>
      </c>
      <c r="Z14" s="119">
        <v>9.64</v>
      </c>
      <c r="AA14" s="119">
        <v>2.63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4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4"/>
  <sheetViews>
    <sheetView topLeftCell="A2" zoomScale="85" zoomScaleNormal="85" workbookViewId="0">
      <selection activeCell="C9" sqref="C9"/>
    </sheetView>
  </sheetViews>
  <sheetFormatPr defaultColWidth="8.77734375" defaultRowHeight="15" customHeight="1"/>
  <cols>
    <col min="1" max="2" width="2.6640625" customWidth="1"/>
    <col min="3" max="3" width="10.77734375" bestFit="1" customWidth="1"/>
    <col min="4" max="4" width="7" bestFit="1" customWidth="1"/>
    <col min="5" max="5" width="7.21875" bestFit="1" customWidth="1"/>
    <col min="6" max="8" width="13.77734375" customWidth="1"/>
    <col min="9" max="9" width="9.33203125" customWidth="1"/>
    <col min="10" max="10" width="10.6640625" customWidth="1"/>
    <col min="11" max="16" width="15.44140625" customWidth="1"/>
  </cols>
  <sheetData>
    <row r="1" spans="1:17" ht="19.95" hidden="1" customHeight="1">
      <c r="A1" s="16"/>
      <c r="B1" s="17" t="s">
        <v>0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</row>
    <row r="2" spans="1:17" ht="14.4">
      <c r="C2" s="8"/>
      <c r="D2" s="9"/>
    </row>
    <row r="3" spans="1:17" ht="33.6">
      <c r="C3" s="99" t="str">
        <f>'Field Analysis'!Name</f>
        <v>Anscombe</v>
      </c>
      <c r="P3" s="7"/>
    </row>
    <row r="4" spans="1:17" ht="10.199999999999999" customHeight="1">
      <c r="D4" s="10"/>
    </row>
    <row r="5" spans="1:17" ht="30" customHeight="1"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3"/>
    </row>
    <row r="8" spans="1:17" ht="15" customHeight="1">
      <c r="C8" s="11"/>
    </row>
    <row r="9" spans="1:17" ht="30" customHeight="1">
      <c r="C9" s="134" t="s">
        <v>80</v>
      </c>
      <c r="D9" s="133" t="s">
        <v>81</v>
      </c>
      <c r="E9" s="133" t="s">
        <v>82</v>
      </c>
      <c r="F9" s="135" t="s">
        <v>47</v>
      </c>
      <c r="G9" s="135" t="s">
        <v>48</v>
      </c>
      <c r="H9" s="135" t="s">
        <v>52</v>
      </c>
    </row>
    <row r="10" spans="1:17" ht="15" customHeight="1">
      <c r="C10" s="132" t="s">
        <v>88</v>
      </c>
      <c r="D10" s="5"/>
      <c r="E10" s="5"/>
      <c r="F10" s="136">
        <v>0</v>
      </c>
      <c r="G10" s="137"/>
      <c r="H10" s="138">
        <v>0.25</v>
      </c>
    </row>
    <row r="11" spans="1:17" ht="15" customHeight="1">
      <c r="C11" s="132" t="s">
        <v>89</v>
      </c>
      <c r="D11" s="5"/>
      <c r="E11" s="5"/>
      <c r="F11" s="136">
        <v>0</v>
      </c>
      <c r="G11" s="137"/>
      <c r="H11" s="138">
        <v>0.25</v>
      </c>
    </row>
    <row r="12" spans="1:17" ht="15" customHeight="1">
      <c r="C12" s="132" t="s">
        <v>90</v>
      </c>
      <c r="D12" s="5"/>
      <c r="E12" s="5"/>
      <c r="F12" s="136">
        <v>0</v>
      </c>
      <c r="G12" s="137"/>
      <c r="H12" s="138">
        <v>0.25</v>
      </c>
    </row>
    <row r="13" spans="1:17" ht="15" customHeight="1">
      <c r="C13" s="132" t="s">
        <v>91</v>
      </c>
      <c r="D13" s="5"/>
      <c r="E13" s="5"/>
      <c r="F13" s="136">
        <v>0</v>
      </c>
      <c r="G13" s="137"/>
      <c r="H13" s="138">
        <v>0.25</v>
      </c>
    </row>
    <row r="14" spans="1:17" ht="15" customHeight="1">
      <c r="C14" s="132" t="s">
        <v>92</v>
      </c>
      <c r="D14" s="5"/>
      <c r="E14" s="5"/>
      <c r="F14" s="136">
        <v>0</v>
      </c>
      <c r="G14" s="137"/>
      <c r="H14" s="138">
        <v>1</v>
      </c>
    </row>
  </sheetData>
  <conditionalFormatting pivot="1" sqref="F10:F14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G10:G14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Z49"/>
  <sheetViews>
    <sheetView zoomScale="85" zoomScaleNormal="85" workbookViewId="0">
      <selection activeCell="D34" sqref="D34"/>
    </sheetView>
  </sheetViews>
  <sheetFormatPr defaultColWidth="8.77734375" defaultRowHeight="14.4" outlineLevelRow="1"/>
  <cols>
    <col min="1" max="1" width="6.44140625" customWidth="1"/>
    <col min="2" max="2" width="5.77734375" customWidth="1"/>
    <col min="3" max="3" width="2.77734375" customWidth="1"/>
    <col min="4" max="5" width="25.77734375" style="68" customWidth="1"/>
    <col min="6" max="6" width="20.77734375" style="68" customWidth="1"/>
    <col min="7" max="12" width="20.77734375" customWidth="1"/>
    <col min="13" max="85" width="24.77734375" customWidth="1"/>
  </cols>
  <sheetData>
    <row r="1" spans="2:13">
      <c r="G1" s="68"/>
      <c r="H1" s="68"/>
      <c r="I1" s="68"/>
      <c r="J1" s="68"/>
      <c r="K1" s="68"/>
      <c r="L1" s="68"/>
    </row>
    <row r="2" spans="2:13">
      <c r="G2" s="68"/>
      <c r="H2" s="68"/>
      <c r="I2" s="68"/>
      <c r="J2" s="68"/>
      <c r="K2" s="68"/>
      <c r="L2" s="68"/>
    </row>
    <row r="3" spans="2:13" ht="30" customHeight="1">
      <c r="B3" s="95" t="e" vm="1">
        <v>#VALUE!</v>
      </c>
      <c r="C3" s="98" t="s">
        <v>57</v>
      </c>
      <c r="F3" s="72"/>
      <c r="K3" s="68"/>
      <c r="L3" s="68"/>
    </row>
    <row r="4" spans="2:13" ht="10.050000000000001" customHeight="1">
      <c r="B4" s="95"/>
      <c r="C4" s="25"/>
      <c r="F4" s="72"/>
      <c r="K4" s="68"/>
      <c r="L4" s="68"/>
    </row>
    <row r="5" spans="2:13" ht="37.049999999999997" customHeight="1">
      <c r="C5" s="97" t="s">
        <v>78</v>
      </c>
      <c r="D5" s="96" t="s">
        <v>58</v>
      </c>
      <c r="E5" s="91"/>
      <c r="G5" s="92"/>
      <c r="H5" s="68"/>
      <c r="I5" s="68"/>
      <c r="J5" s="68"/>
      <c r="K5" s="68"/>
      <c r="L5" s="68"/>
    </row>
    <row r="6" spans="2:13" ht="15" hidden="1" customHeight="1" outlineLevel="1">
      <c r="G6" s="68"/>
      <c r="H6" s="68"/>
      <c r="I6" s="68"/>
      <c r="J6" s="68"/>
      <c r="K6" s="68"/>
      <c r="L6" s="68"/>
    </row>
    <row r="7" spans="2:13" ht="10.050000000000001" hidden="1" customHeight="1" outlineLevel="1">
      <c r="C7" s="1"/>
      <c r="D7" s="69"/>
      <c r="E7" s="69"/>
      <c r="G7" s="68"/>
      <c r="H7" s="68"/>
      <c r="I7" s="68"/>
      <c r="J7" s="68"/>
      <c r="K7" s="68"/>
      <c r="L7" s="68"/>
    </row>
    <row r="8" spans="2:13" ht="43.95" hidden="1" customHeight="1" outlineLevel="1">
      <c r="D8" s="102" t="s">
        <v>59</v>
      </c>
      <c r="E8" s="102"/>
      <c r="G8" s="102" t="s">
        <v>60</v>
      </c>
      <c r="H8" s="102"/>
      <c r="I8" s="68"/>
      <c r="J8" s="94" t="s">
        <v>61</v>
      </c>
      <c r="K8" s="68"/>
      <c r="L8" s="68"/>
    </row>
    <row r="9" spans="2:13" ht="15" hidden="1" customHeight="1" outlineLevel="1">
      <c r="G9" s="68"/>
      <c r="H9" s="68"/>
      <c r="I9" s="68"/>
      <c r="J9" s="68"/>
      <c r="K9" s="68"/>
      <c r="L9" s="68"/>
      <c r="M9" s="58"/>
    </row>
    <row r="10" spans="2:13" ht="30" hidden="1" customHeight="1" outlineLevel="1">
      <c r="D10" s="76" t="s">
        <v>62</v>
      </c>
      <c r="E10" s="78" t="s">
        <v>63</v>
      </c>
      <c r="G10" s="93" t="s">
        <v>76</v>
      </c>
      <c r="H10" s="78" t="s">
        <v>63</v>
      </c>
      <c r="I10" s="68"/>
      <c r="J10" s="76" t="s">
        <v>77</v>
      </c>
      <c r="K10" s="78" t="s">
        <v>63</v>
      </c>
      <c r="L10" s="68"/>
      <c r="M10" s="58"/>
    </row>
    <row r="11" spans="2:13" ht="15" hidden="1" customHeight="1" outlineLevel="1">
      <c r="D11" s="70" t="s">
        <v>93</v>
      </c>
      <c r="E11" s="71" t="s">
        <v>94</v>
      </c>
      <c r="G11" s="81" t="s">
        <v>116</v>
      </c>
      <c r="H11" s="84" t="s">
        <v>79</v>
      </c>
      <c r="I11" s="68"/>
      <c r="J11" s="82" t="s">
        <v>129</v>
      </c>
      <c r="K11" s="83" t="s">
        <v>130</v>
      </c>
      <c r="L11" s="68"/>
      <c r="M11" s="59"/>
    </row>
    <row r="12" spans="2:13" ht="15" hidden="1" customHeight="1" outlineLevel="1">
      <c r="D12" s="70" t="s">
        <v>95</v>
      </c>
      <c r="E12" s="71" t="s">
        <v>96</v>
      </c>
      <c r="G12" s="70" t="s">
        <v>117</v>
      </c>
      <c r="H12" s="85" t="s">
        <v>118</v>
      </c>
      <c r="I12" s="68"/>
      <c r="J12" s="82"/>
      <c r="K12" s="83"/>
      <c r="L12" s="68"/>
    </row>
    <row r="13" spans="2:13" ht="15" hidden="1" customHeight="1" outlineLevel="1">
      <c r="D13" s="70" t="s">
        <v>97</v>
      </c>
      <c r="E13" s="71">
        <v>16</v>
      </c>
      <c r="G13" s="70" t="s">
        <v>119</v>
      </c>
      <c r="H13" s="139" t="s">
        <v>120</v>
      </c>
    </row>
    <row r="14" spans="2:13" ht="15" hidden="1" customHeight="1" outlineLevel="1">
      <c r="D14" s="70" t="s">
        <v>98</v>
      </c>
      <c r="E14" s="71" t="b">
        <v>0</v>
      </c>
      <c r="G14" s="70" t="s">
        <v>121</v>
      </c>
      <c r="H14" s="139" t="s">
        <v>120</v>
      </c>
    </row>
    <row r="15" spans="2:13" ht="15" hidden="1" customHeight="1" outlineLevel="1">
      <c r="D15" s="70" t="s">
        <v>99</v>
      </c>
      <c r="E15" s="71" t="b">
        <v>1</v>
      </c>
      <c r="G15" s="70" t="s">
        <v>122</v>
      </c>
      <c r="H15" s="139" t="b">
        <v>0</v>
      </c>
    </row>
    <row r="16" spans="2:13" ht="15" hidden="1" customHeight="1" outlineLevel="1">
      <c r="D16" s="70" t="s">
        <v>100</v>
      </c>
      <c r="E16" s="71" t="s">
        <v>101</v>
      </c>
      <c r="G16" s="70" t="s">
        <v>123</v>
      </c>
      <c r="H16" s="139" t="b">
        <v>1</v>
      </c>
    </row>
    <row r="17" spans="3:26" ht="15" hidden="1" customHeight="1" outlineLevel="1">
      <c r="D17" s="70" t="s">
        <v>102</v>
      </c>
      <c r="E17" s="71">
        <v>46182</v>
      </c>
      <c r="G17" s="70" t="s">
        <v>124</v>
      </c>
      <c r="H17" s="139" t="s">
        <v>125</v>
      </c>
    </row>
    <row r="18" spans="3:26" ht="15" hidden="1" customHeight="1" outlineLevel="1">
      <c r="D18" s="70" t="s">
        <v>103</v>
      </c>
      <c r="E18" s="71">
        <v>11</v>
      </c>
      <c r="G18" s="70" t="s">
        <v>126</v>
      </c>
      <c r="H18" s="139" t="b">
        <v>0</v>
      </c>
    </row>
    <row r="19" spans="3:26" ht="15" hidden="1" customHeight="1" outlineLevel="1">
      <c r="D19" s="70" t="s">
        <v>104</v>
      </c>
      <c r="E19" s="71" t="s">
        <v>105</v>
      </c>
      <c r="G19" s="70" t="s">
        <v>127</v>
      </c>
      <c r="H19" s="139" t="b">
        <v>0</v>
      </c>
    </row>
    <row r="20" spans="3:26" ht="15" hidden="1" customHeight="1" outlineLevel="1">
      <c r="D20" s="70" t="s">
        <v>106</v>
      </c>
      <c r="E20" s="71" t="s">
        <v>107</v>
      </c>
      <c r="G20" s="70" t="s">
        <v>128</v>
      </c>
      <c r="H20" s="139" t="b">
        <v>0</v>
      </c>
    </row>
    <row r="21" spans="3:26" ht="15" hidden="1" customHeight="1" outlineLevel="1">
      <c r="C21" s="60"/>
      <c r="D21" s="70" t="s">
        <v>108</v>
      </c>
      <c r="E21" s="71" t="s">
        <v>109</v>
      </c>
      <c r="G21" s="86" t="s">
        <v>98</v>
      </c>
      <c r="H21" s="140" t="b">
        <v>0</v>
      </c>
    </row>
    <row r="22" spans="3:26" ht="15" hidden="1" customHeight="1" outlineLevel="1">
      <c r="D22" s="70" t="s">
        <v>110</v>
      </c>
      <c r="E22" s="71" t="s">
        <v>111</v>
      </c>
    </row>
    <row r="23" spans="3:26" ht="15" hidden="1" customHeight="1" outlineLevel="1">
      <c r="D23" s="70" t="s">
        <v>112</v>
      </c>
      <c r="E23" s="71" t="s">
        <v>113</v>
      </c>
    </row>
    <row r="24" spans="3:26" ht="15" hidden="1" customHeight="1" outlineLevel="1">
      <c r="D24" s="70" t="s">
        <v>114</v>
      </c>
      <c r="E24" s="71">
        <v>201</v>
      </c>
      <c r="L24" s="68"/>
    </row>
    <row r="25" spans="3:26" ht="15" hidden="1" customHeight="1" outlineLevel="1">
      <c r="D25" s="86" t="s">
        <v>115</v>
      </c>
      <c r="E25" s="71">
        <v>24</v>
      </c>
      <c r="L25" s="68"/>
    </row>
    <row r="26" spans="3:26" ht="30" hidden="1" customHeight="1" collapsed="1">
      <c r="C26" s="61"/>
      <c r="D26" s="72"/>
      <c r="F26" s="72"/>
      <c r="L26" s="68"/>
    </row>
    <row r="27" spans="3:26" ht="10.050000000000001" customHeight="1">
      <c r="C27" s="61"/>
      <c r="D27" s="72"/>
      <c r="F27" s="72"/>
      <c r="L27" s="68"/>
    </row>
    <row r="28" spans="3:26" ht="15" customHeight="1">
      <c r="D28" s="74" t="s">
        <v>64</v>
      </c>
      <c r="E28" s="65">
        <v>1</v>
      </c>
      <c r="F28" s="73"/>
      <c r="G28" s="68"/>
      <c r="H28" s="68"/>
      <c r="I28" s="68"/>
      <c r="J28" s="68"/>
      <c r="K28" s="68"/>
      <c r="L28" s="68"/>
      <c r="X28" s="63"/>
      <c r="Z28" s="58"/>
    </row>
    <row r="29" spans="3:26" ht="15" customHeight="1">
      <c r="D29" s="74" t="s">
        <v>65</v>
      </c>
      <c r="E29" s="65">
        <v>1.9788742065429688E-5</v>
      </c>
      <c r="F29" s="73"/>
      <c r="G29" s="68"/>
      <c r="H29" s="68"/>
      <c r="I29" s="68"/>
      <c r="J29" s="68"/>
      <c r="K29" s="68"/>
      <c r="L29" s="68"/>
      <c r="Y29" s="64"/>
      <c r="Z29" s="59"/>
    </row>
    <row r="30" spans="3:26" ht="15" customHeight="1">
      <c r="D30" s="74" t="s">
        <v>66</v>
      </c>
      <c r="E30" s="66">
        <v>3</v>
      </c>
      <c r="F30" s="73"/>
      <c r="G30" s="68"/>
      <c r="H30" s="68"/>
      <c r="I30" s="68"/>
      <c r="J30" s="68"/>
      <c r="K30" s="68"/>
      <c r="L30" s="68"/>
      <c r="Y30" s="64"/>
    </row>
    <row r="31" spans="3:26" ht="15" customHeight="1">
      <c r="D31" s="74" t="s">
        <v>67</v>
      </c>
      <c r="E31" s="66">
        <v>44</v>
      </c>
      <c r="F31" s="73"/>
      <c r="G31" s="68"/>
      <c r="H31" s="68"/>
      <c r="I31" s="68"/>
      <c r="J31" s="68"/>
      <c r="K31" s="68"/>
      <c r="L31" s="75"/>
      <c r="Y31" s="64"/>
    </row>
    <row r="32" spans="3:26" ht="15" customHeight="1">
      <c r="D32" s="74" t="s">
        <v>68</v>
      </c>
      <c r="E32" s="67">
        <v>8.146461009979248</v>
      </c>
      <c r="F32" s="73"/>
      <c r="G32" s="68"/>
      <c r="H32" s="68"/>
      <c r="I32" s="68"/>
      <c r="J32" s="68"/>
      <c r="K32" s="68"/>
      <c r="L32" s="75"/>
      <c r="Y32" s="64"/>
    </row>
    <row r="33" spans="3:6" ht="15" customHeight="1"/>
    <row r="34" spans="3:6" ht="30" customHeight="1">
      <c r="C34" s="62"/>
      <c r="D34" s="76" t="s">
        <v>69</v>
      </c>
      <c r="E34" s="77" t="s">
        <v>70</v>
      </c>
      <c r="F34" s="78" t="s">
        <v>71</v>
      </c>
    </row>
    <row r="35" spans="3:6" ht="15" customHeight="1">
      <c r="D35" s="79" t="s">
        <v>72</v>
      </c>
      <c r="E35" s="89">
        <v>5.6262180805206299</v>
      </c>
      <c r="F35" s="87">
        <v>0.69063152211809908</v>
      </c>
    </row>
    <row r="36" spans="3:6" ht="15" customHeight="1">
      <c r="D36" s="79" t="s">
        <v>131</v>
      </c>
      <c r="E36" s="89">
        <v>0.51692819595336914</v>
      </c>
      <c r="F36" s="87">
        <v>6.3454153693950341E-2</v>
      </c>
    </row>
    <row r="37" spans="3:6" ht="15" customHeight="1">
      <c r="D37" s="79" t="s">
        <v>132</v>
      </c>
      <c r="E37" s="89">
        <v>0.29478073120117188</v>
      </c>
      <c r="F37" s="87">
        <v>3.6185029120256305E-2</v>
      </c>
    </row>
    <row r="38" spans="3:6" ht="15" customHeight="1">
      <c r="D38" s="79" t="s">
        <v>133</v>
      </c>
      <c r="E38" s="89">
        <v>0.25429272651672363</v>
      </c>
      <c r="F38" s="87">
        <v>3.1215031174467885E-2</v>
      </c>
    </row>
    <row r="39" spans="3:6" ht="15" customHeight="1">
      <c r="D39" s="79" t="s">
        <v>73</v>
      </c>
      <c r="E39" s="89">
        <v>0.27917814254760742</v>
      </c>
      <c r="F39" s="87">
        <v>3.426977461064145E-2</v>
      </c>
    </row>
    <row r="40" spans="3:6" ht="15" customHeight="1">
      <c r="D40" s="79" t="s">
        <v>74</v>
      </c>
      <c r="E40" s="89">
        <v>0.98722577095031738</v>
      </c>
      <c r="F40" s="87">
        <v>0.12118428882560119</v>
      </c>
    </row>
    <row r="41" spans="3:6" ht="15" customHeight="1">
      <c r="D41" s="80" t="s">
        <v>134</v>
      </c>
      <c r="E41" s="90">
        <v>0.13479423522949219</v>
      </c>
      <c r="F41" s="88">
        <v>1.6546309886493908E-2</v>
      </c>
    </row>
    <row r="42" spans="3:6" ht="15" customHeight="1">
      <c r="D42" s="141" t="s">
        <v>75</v>
      </c>
      <c r="E42" s="90">
        <v>5.3033113479614258E-2</v>
      </c>
      <c r="F42" s="88">
        <v>6.5099396007946069E-3</v>
      </c>
    </row>
    <row r="43" spans="3:6" ht="15" customHeight="1"/>
    <row r="44" spans="3:6" ht="15" customHeight="1"/>
    <row r="45" spans="3:6" ht="15" customHeight="1">
      <c r="D45"/>
      <c r="E45"/>
      <c r="F45"/>
    </row>
    <row r="46" spans="3:6">
      <c r="D46"/>
      <c r="E46"/>
      <c r="F46"/>
    </row>
    <row r="47" spans="3:6">
      <c r="D47"/>
      <c r="E47"/>
      <c r="F47"/>
    </row>
    <row r="48" spans="3:6">
      <c r="D48"/>
      <c r="E48"/>
      <c r="F48"/>
    </row>
    <row r="49" customFormat="1"/>
  </sheetData>
  <mergeCells count="2">
    <mergeCell ref="D8:E8"/>
    <mergeCell ref="G8:H8"/>
  </mergeCells>
  <conditionalFormatting sqref="F35:F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K3" r:id="rId1" display="https://github.com/InfoDesigner/xleda" xr:uid="{35CA870E-CFB3-4A5B-898C-767F46FD5F25}"/>
    <hyperlink ref="B3:B4" r:id="rId2" display="https://github.com/InfoDesigner/xleda" xr:uid="{A0F4769C-A410-4AF0-AF45-1F0CE87D1F5E}"/>
    <hyperlink ref="B3" r:id="rId3" display="https://github.com/InfoDesigner/xleda" xr:uid="{BC762127-2189-4B64-9F24-BA19152F0D2B}"/>
  </hyperlinks>
  <pageMargins left="0.7" right="0.7" top="0.75" bottom="0.75" header="0.3" footer="0.3"/>
  <pageSetup orientation="portrait" r:id="rId4"/>
  <drawing r:id="rId5"/>
  <tableParts count="4">
    <tablePart r:id="rId6"/>
    <tablePart r:id="rId7"/>
    <tablePart r:id="rId8"/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2.6640625" customWidth="1"/>
    <col min="2" max="2" width="2.6640625" style="8" customWidth="1"/>
    <col min="3" max="3" width="78.6640625" style="9" customWidth="1"/>
    <col min="4" max="4" width="31.77734375" customWidth="1"/>
  </cols>
  <sheetData>
    <row r="2" spans="2:16" ht="43.2" customHeight="1">
      <c r="C2" s="32" t="s">
        <v>50</v>
      </c>
    </row>
    <row r="3" spans="2:16" ht="4.95" customHeight="1">
      <c r="B3"/>
      <c r="C3" s="10"/>
      <c r="P3" s="7"/>
    </row>
    <row r="4" spans="2:16" ht="19.95" customHeight="1">
      <c r="B4"/>
      <c r="C4" s="10"/>
      <c r="P4" s="33"/>
    </row>
    <row r="5" spans="2:16" ht="4.95" customHeight="1">
      <c r="B5"/>
      <c r="C5" s="10"/>
    </row>
    <row r="6" spans="2:16" ht="34.950000000000003" customHeight="1">
      <c r="B6" s="39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</row>
    <row r="7" spans="2:16" ht="15" customHeight="1">
      <c r="B7"/>
      <c r="C7"/>
    </row>
    <row r="8" spans="2:16" ht="15" customHeight="1">
      <c r="C8" s="34"/>
    </row>
    <row r="9" spans="2:16" ht="19.2" customHeight="1">
      <c r="B9"/>
      <c r="C9" s="10"/>
    </row>
    <row r="16" spans="2:16">
      <c r="C16"/>
    </row>
    <row r="17" spans="2:2" customFormat="1">
      <c r="B17" s="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3" customWidth="1"/>
    <col min="2" max="2" width="2.6640625" style="8" customWidth="1"/>
    <col min="3" max="3" width="53.33203125" style="9" customWidth="1"/>
    <col min="4" max="4" width="27.6640625" customWidth="1"/>
  </cols>
  <sheetData>
    <row r="2" spans="2:16" ht="51.45" customHeight="1">
      <c r="B2" s="5"/>
      <c r="C2" s="32" t="s">
        <v>51</v>
      </c>
    </row>
    <row r="3" spans="2:16" ht="4.95" customHeight="1">
      <c r="B3" s="5"/>
      <c r="C3" s="32"/>
      <c r="D3" s="35"/>
      <c r="P3" s="7"/>
    </row>
    <row r="4" spans="2:16" ht="19.95" customHeight="1">
      <c r="B4" s="5"/>
      <c r="C4" s="32"/>
      <c r="D4" s="35"/>
      <c r="P4" s="33"/>
    </row>
    <row r="5" spans="2:16" ht="4.95" customHeight="1">
      <c r="B5"/>
      <c r="C5" s="10"/>
    </row>
    <row r="6" spans="2:16" ht="30" customHeight="1">
      <c r="B6" s="39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</row>
    <row r="7" spans="2:16" ht="10.199999999999999" customHeight="1">
      <c r="B7"/>
      <c r="C7" s="10"/>
    </row>
    <row r="8" spans="2:16" ht="10.199999999999999" customHeight="1">
      <c r="B8" s="7"/>
      <c r="D8" s="9"/>
    </row>
    <row r="9" spans="2:16" ht="150" customHeight="1">
      <c r="B9" s="36"/>
      <c r="C9" s="37"/>
    </row>
    <row r="10" spans="2:16" ht="10.199999999999999" customHeight="1">
      <c r="B10" s="38"/>
    </row>
    <row r="11" spans="2:16" collapsed="1"/>
    <row r="13" spans="2:16">
      <c r="C13"/>
    </row>
    <row r="14" spans="2:16">
      <c r="C14"/>
    </row>
    <row r="15" spans="2:16">
      <c r="C15"/>
    </row>
    <row r="16" spans="2:16">
      <c r="C16"/>
    </row>
    <row r="19" spans="3:3">
      <c r="C19"/>
    </row>
    <row r="20" spans="3:3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2026-06-09T23:06:39Z</dcterms:modified>
</cp:coreProperties>
</file>