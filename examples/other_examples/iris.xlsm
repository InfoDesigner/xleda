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FE4699C2-3CAD-4E40-B228-3E420FF8407F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Iris | Field Analysis" sheetId="25" r:id="rId2"/>
    <sheet name="Iris | Overview" sheetId="27" r:id="rId3"/>
    <sheet name="Iris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'Iris | Field Analysis'!$D$69:$D$78</definedName>
    <definedName name="Composition" localSheetId="1">'Iris | Field Analysis'!$D$23:$D$33</definedName>
    <definedName name="CompositionTable" localSheetId="1">'Iris | Field Analysis'!$E$32</definedName>
    <definedName name="Config" localSheetId="0">debug!$C$6:$C$24</definedName>
    <definedName name="DarkHeader" localSheetId="1">'Iris | Field Analysis'!$E$79</definedName>
    <definedName name="Data_Description" localSheetId="1">'Iris | Field Analysis'!$D$7:$D$18</definedName>
    <definedName name="debug_metadata" localSheetId="0">debug!$D$28</definedName>
    <definedName name="DefaultWarn" localSheetId="3">'Iris | Pivot'!$C$8</definedName>
    <definedName name="Definitions" localSheetId="1">'Iris | Field Analysis'!$E$15:$I$15</definedName>
    <definedName name="Description" localSheetId="1">'Iris | Field Analysis'!$E$7</definedName>
    <definedName name="Dimensions" localSheetId="1">'Iris | Field Analysis'!$E$9</definedName>
    <definedName name="Field_Analysis" localSheetId="1">'Iris | Field Analysis'!$E$20:$E$78</definedName>
    <definedName name="Field_Lists" localSheetId="1">'Iris | Field Analysis'!$D$58:$D$66</definedName>
    <definedName name="FieldList1" localSheetId="1">'Iris | Field Analysis'!$E$58:$I$58</definedName>
    <definedName name="FieldList1" localSheetId="5">#REF!</definedName>
    <definedName name="FieldList1" localSheetId="4">#REF!</definedName>
    <definedName name="FieldList2" localSheetId="1">'Iris | Field Analysis'!$E$59:$I$59</definedName>
    <definedName name="FieldList2" localSheetId="5">#REF!</definedName>
    <definedName name="FieldList2" localSheetId="4">#REF!</definedName>
    <definedName name="FieldList3" localSheetId="1">'Iris | Field Analysis'!$E$60:$I$60</definedName>
    <definedName name="FieldList3" localSheetId="5">#REF!</definedName>
    <definedName name="FieldList3" localSheetId="4">#REF!</definedName>
    <definedName name="FieldList4" localSheetId="1">'Iris | Field Analysis'!$E$61:$I$61</definedName>
    <definedName name="FieldList4" localSheetId="5">#REF!</definedName>
    <definedName name="FieldList4" localSheetId="4">#REF!</definedName>
    <definedName name="FieldList5" localSheetId="1">'Iris | Field Analysis'!$E$62:$I$62</definedName>
    <definedName name="FieldList5" localSheetId="5">#REF!</definedName>
    <definedName name="FieldList5" localSheetId="4">#REF!</definedName>
    <definedName name="FieldList6" localSheetId="1">'Iris | Field Analysis'!$E$63:$I$63</definedName>
    <definedName name="FieldList6" localSheetId="5">#REF!</definedName>
    <definedName name="FieldList6" localSheetId="4">#REF!</definedName>
    <definedName name="FieldList7" localSheetId="1">'Iris | Field Analysis'!$E$64:$I$64</definedName>
    <definedName name="FieldList7" localSheetId="5">#REF!</definedName>
    <definedName name="FieldList7" localSheetId="4">#REF!</definedName>
    <definedName name="FieldList8" localSheetId="1">'Iris | Field Analysis'!$E$65:$I$65</definedName>
    <definedName name="FieldList8" localSheetId="5">#REF!</definedName>
    <definedName name="FieldList8" localSheetId="4">#REF!</definedName>
    <definedName name="FieldLists" localSheetId="1">'Iris | Field Analysis'!$D$58:$I$65</definedName>
    <definedName name="FieldRange" localSheetId="1">'Iris | Field Analysis'!$E$79:$I$79</definedName>
    <definedName name="FieldRange" localSheetId="5">#REF!</definedName>
    <definedName name="FieldRange" localSheetId="4">#REF!</definedName>
    <definedName name="FormatRange" localSheetId="1">'Iris | Field Analysis'!$G:$G</definedName>
    <definedName name="Headers" localSheetId="1">'Iris | Field Analysis'!$E$19:$I$19</definedName>
    <definedName name="Headers_Start" localSheetId="1">'Iris | Field Analysis'!$E$19</definedName>
    <definedName name="Histogram" localSheetId="1">'Iris | Field Analysis'!$E$42</definedName>
    <definedName name="LightHeader" localSheetId="1">'Iris | Field Analysis'!$D$79</definedName>
    <definedName name="LightHeader" localSheetId="5">#REF!</definedName>
    <definedName name="LightHeader" localSheetId="4">#REF!</definedName>
    <definedName name="Metadata">'Iris | Overview'!$C$5:$C$9</definedName>
    <definedName name="MultiplePlots" localSheetId="5">MultiplePlots!$D$9</definedName>
    <definedName name="MultiplePlotsTitle" localSheetId="5">MultiplePlots!$C$2</definedName>
    <definedName name="Name" localSheetId="1">'Iris | Field Analysis'!$C$3</definedName>
    <definedName name="Name" localSheetId="2">'Iris | Overview'!$B$3</definedName>
    <definedName name="Name" localSheetId="3">'Iris | Pivot'!$C$3</definedName>
    <definedName name="Name" localSheetId="5">#REF!</definedName>
    <definedName name="Name" localSheetId="4">#REF!</definedName>
    <definedName name="Notes" localSheetId="1">'Iris | Field Analysis'!$E$17:$I$17</definedName>
    <definedName name="Percentiles" localSheetId="1">'Iris | Field Analysis'!$D$46:$D$55</definedName>
    <definedName name="SerializedLists" localSheetId="1">'Iris | Field Analysis'!$E$69:$E$78</definedName>
    <definedName name="SinglePlot" localSheetId="4">SinglePlot!$C$8</definedName>
    <definedName name="SinglePlotTitle" localSheetId="4">SinglePlot!$C$2</definedName>
    <definedName name="Summary_Stats" localSheetId="1">'Iris | Field Analysis'!$D$36:$D$43</definedName>
    <definedName name="Theme" localSheetId="1">'Iris | Field Analysis'!$C$19:$I$19</definedName>
    <definedName name="Theme" localSheetId="2">'Iris | Overview'!$B$11:$AA$11</definedName>
    <definedName name="Theme" localSheetId="3">'Iris | Pivot'!$B$5:$Q$5</definedName>
    <definedName name="Theme" localSheetId="5">MultiplePlots!$B$6:$P$6</definedName>
    <definedName name="Theme" localSheetId="4">SinglePlot!$B$6:$P$6</definedName>
    <definedName name="Toggles" localSheetId="1">'Iris | Field Analysis'!$C$5,'Iris | Field Analysis'!$C$21,'Iris | Field Analysis'!$C$34,'Iris | Field Analysis'!$C$44,'Iris | Field Analysis'!$C$56,'Iris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'Iris | Field Analysis'!$B$3</definedName>
    <definedName name="Warning" localSheetId="1">'Iris | Field Analysis'!$D$1</definedName>
    <definedName name="Warning" localSheetId="2">'Iris | Overview'!$B$1</definedName>
    <definedName name="Warning" localSheetId="3">'Iris | Pivot'!$B$1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<sst xmlns="http://schemas.openxmlformats.org/spreadsheetml/2006/main" count="424" uniqueCount="143">
  <si>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</si>
  <si>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</si>
  <si>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</si>
  <si>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</si>
  <si>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</si>
  <si>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</si>
  <si>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</si>
  <si>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</si>
  <si>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</si>
  <si>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</si>
  <si>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</si>
  <si>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</si>
  <si>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</si>
  <si>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</si>
  <si>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</si>
  <si>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</si>
  <si>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</si>
  <si>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</si>
  <si>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</si>
  <si>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</si>
  <si>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</si>
  <si>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</si>
  <si>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</si>
  <si>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</si>
  <si>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</si>
  <si>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</si>
  <si>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</si>
  <si>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</si>
  <si>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</si>
  <si>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</si>
  <si>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</si>
  <si>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</si>
  <si>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</si>
  <si>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</si>
  <si>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</si>
  <si>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</si>
  <si>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</si>
  <si>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</si>
  <si>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</si>
  <si>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</si>
  <si>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</si>
  <si>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</si>
  <si>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</si>
  <si>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</si>
  <si>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</si>
  <si>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</si>
  <si>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</si>
  <si>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</si>
  <si>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</si>
  <si>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</si>
  <si>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</si>
  <si>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</si>
  <si>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</si>
  <si>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</si>
  <si>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</si>
  <si>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</si>
  <si>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</si>
  <si>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</si>
  <si>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</si>
  <si>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</si>
  <si>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</si>
  <si>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</si>
  <si>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</si>
  <si>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</si>
  <si>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</si>
  <si>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</si>
  <si>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</si>
  <si>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</si>
  <si>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</si>
  <si>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</si>
  <si>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</si>
  <si>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</si>
  <si>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</si>
  <si>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</si>
  <si>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</si>
  <si>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</si>
  <si>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</si>
  <si>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</si>
  <si>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</si>
  <si>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</si>
  <si>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</si>
  <si>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</si>
  <si>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</si>
  <si>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Iris</t>
  </si>
  <si>
    <t>sepal_length</t>
  </si>
  <si>
    <t>sepal_width</t>
  </si>
  <si>
    <t>petal_length</t>
  </si>
  <si>
    <t>petal_width</t>
  </si>
  <si>
    <t>species</t>
  </si>
  <si>
    <t>index</t>
  </si>
  <si>
    <t>Record Hash</t>
  </si>
  <si>
    <t>7,382 bytes</t>
  </si>
  <si>
    <t>float64</t>
  </si>
  <si>
    <t>str</t>
  </si>
  <si>
    <t>setosa</t>
  </si>
  <si>
    <t>versicolor</t>
  </si>
  <si>
    <t>virginica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</si>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</sst>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AD5047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72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AD504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71"/>
      <tableStyleElement type="headerRow" dxfId="170"/>
      <tableStyleElement type="totalRow" dxfId="169"/>
    </tableStyle>
    <tableStyle name="DarkTable" pivot="0" count="2" xr9:uid="{97C242D2-6F6D-4549-9428-17456D609B35}">
      <tableStyleElement type="wholeTable" dxfId="168"/>
      <tableStyleElement type="headerRow" dxfId="167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epal_length">
          <a:extLst>
            <a:ext uri="{FF2B5EF4-FFF2-40B4-BE49-F238E27FC236}">
              <a16:creationId xmlns:a16="http://schemas.microsoft.com/office/drawing/2014/main" id="{35411C5F-E87A-BAB1-6DCA-84323AFA11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sepal_length">
          <a:extLst>
            <a:ext uri="{FF2B5EF4-FFF2-40B4-BE49-F238E27FC236}">
              <a16:creationId xmlns:a16="http://schemas.microsoft.com/office/drawing/2014/main" id="{9E97505E-D624-D933-23BD-863BD50E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sepal_width">
          <a:extLst>
            <a:ext uri="{FF2B5EF4-FFF2-40B4-BE49-F238E27FC236}">
              <a16:creationId xmlns:a16="http://schemas.microsoft.com/office/drawing/2014/main" id="{D290668C-EFFA-DAAE-47A3-B8A062E33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sepal_width">
          <a:extLst>
            <a:ext uri="{FF2B5EF4-FFF2-40B4-BE49-F238E27FC236}">
              <a16:creationId xmlns:a16="http://schemas.microsoft.com/office/drawing/2014/main" id="{C552B2E6-DE0C-7BFE-AB02-CA2BB578F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petal_length">
          <a:extLst>
            <a:ext uri="{FF2B5EF4-FFF2-40B4-BE49-F238E27FC236}">
              <a16:creationId xmlns:a16="http://schemas.microsoft.com/office/drawing/2014/main" id="{A4D575D1-F833-E4AC-5329-A7D4C8C3A7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petal_length">
          <a:extLst>
            <a:ext uri="{FF2B5EF4-FFF2-40B4-BE49-F238E27FC236}">
              <a16:creationId xmlns:a16="http://schemas.microsoft.com/office/drawing/2014/main" id="{51FBC1CD-C496-9377-7F87-7F6E7FC3E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petal_width">
          <a:extLst>
            <a:ext uri="{FF2B5EF4-FFF2-40B4-BE49-F238E27FC236}">
              <a16:creationId xmlns:a16="http://schemas.microsoft.com/office/drawing/2014/main" id="{FE5F3CF5-9989-D514-F950-F02F0CB2B7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petal_width">
          <a:extLst>
            <a:ext uri="{FF2B5EF4-FFF2-40B4-BE49-F238E27FC236}">
              <a16:creationId xmlns:a16="http://schemas.microsoft.com/office/drawing/2014/main" id="{1D356A9E-65D4-70F6-56FF-122803CCFF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species">
          <a:extLst>
            <a:ext uri="{FF2B5EF4-FFF2-40B4-BE49-F238E27FC236}">
              <a16:creationId xmlns:a16="http://schemas.microsoft.com/office/drawing/2014/main" id="{A66ABDED-E210-A84D-E39F-47CF8E2AE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15780439814" createdVersion="8" refreshedVersion="8" minRefreshableVersion="3" recordCount="150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sepal_length" numFmtId="0">
      <sharedItems containsSemiMixedTypes="0" containsString="0" containsNumber="1" minValue="4.3" maxValue="7.9" count="35">
        <n v="5.0999999999999996"/>
        <n v="4.9000000000000004"/>
        <n v="4.7"/>
        <n v="4.5999999999999996"/>
        <n v="5"/>
        <n v="5.4"/>
        <n v="4.4000000000000004"/>
        <n v="4.8"/>
        <n v="4.3"/>
        <n v="5.8"/>
        <n v="5.7"/>
        <n v="5.2"/>
        <n v="5.5"/>
        <n v="4.5"/>
        <n v="5.3"/>
        <n v="7"/>
        <n v="6.4"/>
        <n v="6.9"/>
        <n v="6.5"/>
        <n v="6.3"/>
        <n v="6.6"/>
        <n v="5.9"/>
        <n v="6"/>
        <n v="6.1"/>
        <n v="5.6"/>
        <n v="6.7"/>
        <n v="6.2"/>
        <n v="6.8"/>
        <n v="7.1"/>
        <n v="7.6"/>
        <n v="7.3"/>
        <n v="7.2"/>
        <n v="7.7"/>
        <n v="7.4"/>
        <n v="7.9"/>
      </sharedItems>
    </cacheField>
    <cacheField name="sepal_width" numFmtId="0">
      <sharedItems containsSemiMixedTypes="0" containsString="0" containsNumber="1" minValue="2" maxValue="4.4000000000000004" count="23">
        <n v="3.5"/>
        <n v="3"/>
        <n v="3.2"/>
        <n v="3.1"/>
        <n v="3.6"/>
        <n v="3.9"/>
        <n v="3.4"/>
        <n v="2.9"/>
        <n v="3.7"/>
        <n v="4"/>
        <n v="4.4000000000000004"/>
        <n v="3.8"/>
        <n v="3.3"/>
        <n v="4.0999999999999996"/>
        <n v="4.2"/>
        <n v="2.2999999999999998"/>
        <n v="2.8"/>
        <n v="2.4"/>
        <n v="2.7"/>
        <n v="2"/>
        <n v="2.2000000000000002"/>
        <n v="2.5"/>
        <n v="2.6"/>
      </sharedItems>
    </cacheField>
    <cacheField name="petal_length" numFmtId="0">
      <sharedItems containsSemiMixedTypes="0" containsString="0" containsNumber="1" minValue="1" maxValue="6.9" count="43">
        <n v="1.4"/>
        <n v="1.3"/>
        <n v="1.5"/>
        <n v="1.7"/>
        <n v="1.6"/>
        <n v="1.1000000000000001"/>
        <n v="1.2"/>
        <n v="1"/>
        <n v="1.9"/>
        <n v="4.7"/>
        <n v="4.5"/>
        <n v="4.9000000000000004"/>
        <n v="4"/>
        <n v="4.5999999999999996"/>
        <n v="3.3"/>
        <n v="3.9"/>
        <n v="3.5"/>
        <n v="4.2"/>
        <n v="3.6"/>
        <n v="4.4000000000000004"/>
        <n v="4.0999999999999996"/>
        <n v="4.8"/>
        <n v="4.3"/>
        <n v="5"/>
        <n v="3.8"/>
        <n v="3.7"/>
        <n v="5.0999999999999996"/>
        <n v="3"/>
        <n v="6"/>
        <n v="5.9"/>
        <n v="5.6"/>
        <n v="5.8"/>
        <n v="6.6"/>
        <n v="6.3"/>
        <n v="6.1"/>
        <n v="5.3"/>
        <n v="5.5"/>
        <n v="6.7"/>
        <n v="6.9"/>
        <n v="5.7"/>
        <n v="6.4"/>
        <n v="5.4"/>
        <n v="5.2"/>
      </sharedItems>
    </cacheField>
    <cacheField name="petal_width" numFmtId="0">
      <sharedItems containsSemiMixedTypes="0" containsString="0" containsNumber="1" minValue="0.1" maxValue="2.5" count="22">
        <n v="0.2"/>
        <n v="0.4"/>
        <n v="0.3"/>
        <n v="0.1"/>
        <n v="0.5"/>
        <n v="0.6"/>
        <n v="1.4"/>
        <n v="1.5"/>
        <n v="1.3"/>
        <n v="1.6"/>
        <n v="1"/>
        <n v="1.1000000000000001"/>
        <n v="1.8"/>
        <n v="1.2"/>
        <n v="1.7"/>
        <n v="2.5"/>
        <n v="1.9"/>
        <n v="2.1"/>
        <n v="2.2000000000000002"/>
        <n v="2"/>
        <n v="2.4"/>
        <n v="2.2999999999999998"/>
      </sharedItems>
    </cacheField>
    <cacheField name="species" numFmtId="0">
      <sharedItems count="3">
        <s v="setosa"/>
        <s v="versicolor"/>
        <s v="virginica"/>
      </sharedItems>
    </cacheField>
    <cacheField name="index" numFmtId="0">
      <sharedItems containsSemiMixedTypes="0" containsString="0" containsNumber="1" containsInteger="1" minValue="0" maxValue="14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1235705938440666E+17" maxValue="1.827875691947821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b v="0"/>
    <x v="0"/>
    <x v="0"/>
    <x v="0"/>
    <x v="0"/>
    <x v="0"/>
    <n v="0"/>
    <n v="0"/>
    <n v="6.4448666609208627E+18"/>
  </r>
  <r>
    <b v="0"/>
    <x v="1"/>
    <x v="1"/>
    <x v="0"/>
    <x v="0"/>
    <x v="0"/>
    <n v="1"/>
    <n v="0"/>
    <n v="1.1765950511506811E+19"/>
  </r>
  <r>
    <b v="0"/>
    <x v="2"/>
    <x v="2"/>
    <x v="1"/>
    <x v="0"/>
    <x v="0"/>
    <n v="2"/>
    <n v="0"/>
    <n v="1.3476958561087588E+18"/>
  </r>
  <r>
    <b v="0"/>
    <x v="3"/>
    <x v="3"/>
    <x v="2"/>
    <x v="0"/>
    <x v="0"/>
    <n v="3"/>
    <n v="0"/>
    <n v="9.8632584464446505E+18"/>
  </r>
  <r>
    <b v="0"/>
    <x v="4"/>
    <x v="4"/>
    <x v="0"/>
    <x v="0"/>
    <x v="0"/>
    <n v="4"/>
    <n v="0"/>
    <n v="4.9599550204549448E+18"/>
  </r>
  <r>
    <b v="0"/>
    <x v="5"/>
    <x v="5"/>
    <x v="3"/>
    <x v="1"/>
    <x v="0"/>
    <n v="5"/>
    <n v="0"/>
    <n v="8.2824582833243269E+18"/>
  </r>
  <r>
    <b v="0"/>
    <x v="3"/>
    <x v="6"/>
    <x v="0"/>
    <x v="2"/>
    <x v="0"/>
    <n v="6"/>
    <n v="0"/>
    <n v="1.2585122330970276E+19"/>
  </r>
  <r>
    <b v="0"/>
    <x v="4"/>
    <x v="6"/>
    <x v="2"/>
    <x v="0"/>
    <x v="0"/>
    <n v="7"/>
    <n v="0"/>
    <n v="9.5268664734738084E+18"/>
  </r>
  <r>
    <b v="0"/>
    <x v="6"/>
    <x v="7"/>
    <x v="0"/>
    <x v="0"/>
    <x v="0"/>
    <n v="8"/>
    <n v="0"/>
    <n v="1.8278756919478217E+19"/>
  </r>
  <r>
    <b v="0"/>
    <x v="1"/>
    <x v="3"/>
    <x v="2"/>
    <x v="3"/>
    <x v="0"/>
    <n v="9"/>
    <n v="0"/>
    <n v="6.2217627561516278E+18"/>
  </r>
  <r>
    <b v="0"/>
    <x v="5"/>
    <x v="8"/>
    <x v="2"/>
    <x v="0"/>
    <x v="0"/>
    <n v="10"/>
    <n v="0"/>
    <n v="1.809564264768621E+19"/>
  </r>
  <r>
    <b v="0"/>
    <x v="7"/>
    <x v="6"/>
    <x v="4"/>
    <x v="0"/>
    <x v="0"/>
    <n v="11"/>
    <n v="0"/>
    <n v="1.7295182601082767E+19"/>
  </r>
  <r>
    <b v="0"/>
    <x v="7"/>
    <x v="1"/>
    <x v="0"/>
    <x v="3"/>
    <x v="0"/>
    <n v="12"/>
    <n v="0"/>
    <n v="1.1954364157087431E+19"/>
  </r>
  <r>
    <b v="0"/>
    <x v="8"/>
    <x v="1"/>
    <x v="5"/>
    <x v="3"/>
    <x v="0"/>
    <n v="13"/>
    <n v="0"/>
    <n v="1.3137923434489776E+19"/>
  </r>
  <r>
    <b v="0"/>
    <x v="9"/>
    <x v="9"/>
    <x v="6"/>
    <x v="0"/>
    <x v="0"/>
    <n v="14"/>
    <n v="0"/>
    <n v="1.5078422819717117E+18"/>
  </r>
  <r>
    <b v="0"/>
    <x v="10"/>
    <x v="10"/>
    <x v="2"/>
    <x v="1"/>
    <x v="0"/>
    <n v="15"/>
    <n v="0"/>
    <n v="1.0380433547721755E+19"/>
  </r>
  <r>
    <b v="0"/>
    <x v="5"/>
    <x v="5"/>
    <x v="1"/>
    <x v="1"/>
    <x v="0"/>
    <n v="16"/>
    <n v="0"/>
    <n v="6.4804569507077151E+18"/>
  </r>
  <r>
    <b v="0"/>
    <x v="0"/>
    <x v="0"/>
    <x v="0"/>
    <x v="2"/>
    <x v="0"/>
    <n v="17"/>
    <n v="0"/>
    <n v="8.7572958502563748E+18"/>
  </r>
  <r>
    <b v="0"/>
    <x v="10"/>
    <x v="11"/>
    <x v="3"/>
    <x v="2"/>
    <x v="0"/>
    <n v="18"/>
    <n v="0"/>
    <n v="5.5499262735159337E+18"/>
  </r>
  <r>
    <b v="0"/>
    <x v="0"/>
    <x v="11"/>
    <x v="2"/>
    <x v="2"/>
    <x v="0"/>
    <n v="19"/>
    <n v="0"/>
    <n v="9.1238412826087506E+18"/>
  </r>
  <r>
    <b v="0"/>
    <x v="5"/>
    <x v="6"/>
    <x v="3"/>
    <x v="0"/>
    <x v="0"/>
    <n v="20"/>
    <n v="0"/>
    <n v="8.1562463633962711E+18"/>
  </r>
  <r>
    <b v="0"/>
    <x v="0"/>
    <x v="8"/>
    <x v="2"/>
    <x v="1"/>
    <x v="0"/>
    <n v="21"/>
    <n v="0"/>
    <n v="1.219304228768903E+19"/>
  </r>
  <r>
    <b v="0"/>
    <x v="3"/>
    <x v="4"/>
    <x v="7"/>
    <x v="0"/>
    <x v="0"/>
    <n v="22"/>
    <n v="0"/>
    <n v="1.2729945240330525E+19"/>
  </r>
  <r>
    <b v="0"/>
    <x v="0"/>
    <x v="12"/>
    <x v="3"/>
    <x v="4"/>
    <x v="0"/>
    <n v="23"/>
    <n v="0"/>
    <n v="1.3386028016539337E+19"/>
  </r>
  <r>
    <b v="0"/>
    <x v="7"/>
    <x v="6"/>
    <x v="8"/>
    <x v="0"/>
    <x v="0"/>
    <n v="24"/>
    <n v="0"/>
    <n v="3.3717141123169172E+18"/>
  </r>
  <r>
    <b v="0"/>
    <x v="4"/>
    <x v="1"/>
    <x v="4"/>
    <x v="0"/>
    <x v="0"/>
    <n v="25"/>
    <n v="0"/>
    <n v="8.9367336597410785E+18"/>
  </r>
  <r>
    <b v="0"/>
    <x v="4"/>
    <x v="6"/>
    <x v="4"/>
    <x v="1"/>
    <x v="0"/>
    <n v="26"/>
    <n v="0"/>
    <n v="1.1960505437452044E+19"/>
  </r>
  <r>
    <b v="0"/>
    <x v="11"/>
    <x v="0"/>
    <x v="2"/>
    <x v="0"/>
    <x v="0"/>
    <n v="27"/>
    <n v="0"/>
    <n v="1.1427294169686817E+19"/>
  </r>
  <r>
    <b v="0"/>
    <x v="11"/>
    <x v="6"/>
    <x v="0"/>
    <x v="0"/>
    <x v="0"/>
    <n v="28"/>
    <n v="0"/>
    <n v="4.7614653504626975E+18"/>
  </r>
  <r>
    <b v="0"/>
    <x v="2"/>
    <x v="2"/>
    <x v="4"/>
    <x v="0"/>
    <x v="0"/>
    <n v="29"/>
    <n v="0"/>
    <n v="1.5296815825036657E+18"/>
  </r>
  <r>
    <b v="0"/>
    <x v="7"/>
    <x v="3"/>
    <x v="4"/>
    <x v="0"/>
    <x v="0"/>
    <n v="30"/>
    <n v="0"/>
    <n v="3.3175030558532239E+18"/>
  </r>
  <r>
    <b v="0"/>
    <x v="5"/>
    <x v="6"/>
    <x v="2"/>
    <x v="1"/>
    <x v="0"/>
    <n v="31"/>
    <n v="0"/>
    <n v="3.9799591967695053E+18"/>
  </r>
  <r>
    <b v="0"/>
    <x v="11"/>
    <x v="13"/>
    <x v="2"/>
    <x v="3"/>
    <x v="0"/>
    <n v="32"/>
    <n v="0"/>
    <n v="1.1635697364610214E+19"/>
  </r>
  <r>
    <b v="0"/>
    <x v="12"/>
    <x v="14"/>
    <x v="0"/>
    <x v="0"/>
    <x v="0"/>
    <n v="33"/>
    <n v="0"/>
    <n v="4.6390572657532692E+18"/>
  </r>
  <r>
    <b v="0"/>
    <x v="1"/>
    <x v="3"/>
    <x v="2"/>
    <x v="0"/>
    <x v="0"/>
    <n v="34"/>
    <n v="0"/>
    <n v="1.995213811135307E+18"/>
  </r>
  <r>
    <b v="0"/>
    <x v="4"/>
    <x v="2"/>
    <x v="6"/>
    <x v="0"/>
    <x v="0"/>
    <n v="35"/>
    <n v="0"/>
    <n v="4.018630984705239E+18"/>
  </r>
  <r>
    <b v="0"/>
    <x v="12"/>
    <x v="0"/>
    <x v="1"/>
    <x v="0"/>
    <x v="0"/>
    <n v="36"/>
    <n v="0"/>
    <n v="1.5370085888951402E+19"/>
  </r>
  <r>
    <b v="0"/>
    <x v="1"/>
    <x v="4"/>
    <x v="0"/>
    <x v="3"/>
    <x v="0"/>
    <n v="37"/>
    <n v="0"/>
    <n v="1.7156896572053051E+19"/>
  </r>
  <r>
    <b v="0"/>
    <x v="6"/>
    <x v="1"/>
    <x v="1"/>
    <x v="0"/>
    <x v="0"/>
    <n v="38"/>
    <n v="0"/>
    <n v="1.020528570919253E+19"/>
  </r>
  <r>
    <b v="0"/>
    <x v="0"/>
    <x v="6"/>
    <x v="2"/>
    <x v="0"/>
    <x v="0"/>
    <n v="39"/>
    <n v="0"/>
    <n v="2.1634255767322908E+18"/>
  </r>
  <r>
    <b v="0"/>
    <x v="4"/>
    <x v="0"/>
    <x v="1"/>
    <x v="2"/>
    <x v="0"/>
    <n v="40"/>
    <n v="0"/>
    <n v="1.679848527953074E+19"/>
  </r>
  <r>
    <b v="0"/>
    <x v="13"/>
    <x v="15"/>
    <x v="1"/>
    <x v="2"/>
    <x v="0"/>
    <n v="41"/>
    <n v="0"/>
    <n v="1.5520161900601383E+19"/>
  </r>
  <r>
    <b v="0"/>
    <x v="6"/>
    <x v="2"/>
    <x v="1"/>
    <x v="0"/>
    <x v="0"/>
    <n v="42"/>
    <n v="0"/>
    <n v="3.2268179729470423E+18"/>
  </r>
  <r>
    <b v="0"/>
    <x v="4"/>
    <x v="0"/>
    <x v="4"/>
    <x v="5"/>
    <x v="0"/>
    <n v="43"/>
    <n v="0"/>
    <n v="3.9136373843561861E+18"/>
  </r>
  <r>
    <b v="0"/>
    <x v="0"/>
    <x v="11"/>
    <x v="8"/>
    <x v="1"/>
    <x v="0"/>
    <n v="44"/>
    <n v="0"/>
    <n v="1.4968172240411933E+19"/>
  </r>
  <r>
    <b v="0"/>
    <x v="7"/>
    <x v="1"/>
    <x v="0"/>
    <x v="2"/>
    <x v="0"/>
    <n v="45"/>
    <n v="0"/>
    <n v="1.2566585250160728E+19"/>
  </r>
  <r>
    <b v="0"/>
    <x v="0"/>
    <x v="11"/>
    <x v="4"/>
    <x v="0"/>
    <x v="0"/>
    <n v="46"/>
    <n v="0"/>
    <n v="4.5548070738326036E+18"/>
  </r>
  <r>
    <b v="0"/>
    <x v="3"/>
    <x v="2"/>
    <x v="0"/>
    <x v="0"/>
    <x v="0"/>
    <n v="47"/>
    <n v="0"/>
    <n v="1.7817447200180894E+19"/>
  </r>
  <r>
    <b v="0"/>
    <x v="14"/>
    <x v="8"/>
    <x v="2"/>
    <x v="0"/>
    <x v="0"/>
    <n v="48"/>
    <n v="0"/>
    <n v="1.1986732279928522E+18"/>
  </r>
  <r>
    <b v="0"/>
    <x v="4"/>
    <x v="12"/>
    <x v="0"/>
    <x v="0"/>
    <x v="0"/>
    <n v="49"/>
    <n v="0"/>
    <n v="2.4355230406145684E+18"/>
  </r>
  <r>
    <b v="0"/>
    <x v="15"/>
    <x v="2"/>
    <x v="9"/>
    <x v="6"/>
    <x v="1"/>
    <n v="50"/>
    <n v="0"/>
    <n v="1.0423124718859586E+19"/>
  </r>
  <r>
    <b v="0"/>
    <x v="16"/>
    <x v="2"/>
    <x v="10"/>
    <x v="7"/>
    <x v="1"/>
    <n v="51"/>
    <n v="0"/>
    <n v="3.2352998234123704E+18"/>
  </r>
  <r>
    <b v="0"/>
    <x v="17"/>
    <x v="3"/>
    <x v="11"/>
    <x v="7"/>
    <x v="1"/>
    <n v="52"/>
    <n v="0"/>
    <n v="1.6593635303938908E+19"/>
  </r>
  <r>
    <b v="0"/>
    <x v="12"/>
    <x v="15"/>
    <x v="12"/>
    <x v="8"/>
    <x v="1"/>
    <n v="53"/>
    <n v="0"/>
    <n v="1.2233681647916762E+18"/>
  </r>
  <r>
    <b v="0"/>
    <x v="18"/>
    <x v="16"/>
    <x v="13"/>
    <x v="7"/>
    <x v="1"/>
    <n v="54"/>
    <n v="0"/>
    <n v="6.641050044743893E+18"/>
  </r>
  <r>
    <b v="0"/>
    <x v="10"/>
    <x v="16"/>
    <x v="10"/>
    <x v="8"/>
    <x v="1"/>
    <n v="55"/>
    <n v="0"/>
    <n v="4.2912822691686369E+18"/>
  </r>
  <r>
    <b v="0"/>
    <x v="19"/>
    <x v="12"/>
    <x v="9"/>
    <x v="9"/>
    <x v="1"/>
    <n v="56"/>
    <n v="0"/>
    <n v="1.3273360126559947E+19"/>
  </r>
  <r>
    <b v="0"/>
    <x v="1"/>
    <x v="17"/>
    <x v="14"/>
    <x v="10"/>
    <x v="1"/>
    <n v="57"/>
    <n v="0"/>
    <n v="9.6180284014358262E+18"/>
  </r>
  <r>
    <b v="0"/>
    <x v="20"/>
    <x v="7"/>
    <x v="13"/>
    <x v="8"/>
    <x v="1"/>
    <n v="58"/>
    <n v="0"/>
    <n v="1.5768095422296039E+19"/>
  </r>
  <r>
    <b v="0"/>
    <x v="11"/>
    <x v="18"/>
    <x v="15"/>
    <x v="6"/>
    <x v="1"/>
    <n v="59"/>
    <n v="0"/>
    <n v="9.3682325366463017E+18"/>
  </r>
  <r>
    <b v="0"/>
    <x v="4"/>
    <x v="19"/>
    <x v="16"/>
    <x v="10"/>
    <x v="1"/>
    <n v="60"/>
    <n v="0"/>
    <n v="1.2051564147977056E+19"/>
  </r>
  <r>
    <b v="0"/>
    <x v="21"/>
    <x v="1"/>
    <x v="17"/>
    <x v="7"/>
    <x v="1"/>
    <n v="61"/>
    <n v="0"/>
    <n v="1.4610418044430911E+19"/>
  </r>
  <r>
    <b v="0"/>
    <x v="22"/>
    <x v="20"/>
    <x v="12"/>
    <x v="10"/>
    <x v="1"/>
    <n v="62"/>
    <n v="0"/>
    <n v="3.7732250748945705E+18"/>
  </r>
  <r>
    <b v="0"/>
    <x v="23"/>
    <x v="7"/>
    <x v="9"/>
    <x v="6"/>
    <x v="1"/>
    <n v="63"/>
    <n v="0"/>
    <n v="5.8398365394636524E+18"/>
  </r>
  <r>
    <b v="0"/>
    <x v="24"/>
    <x v="7"/>
    <x v="18"/>
    <x v="8"/>
    <x v="1"/>
    <n v="64"/>
    <n v="0"/>
    <n v="4.2010700375225656E+18"/>
  </r>
  <r>
    <b v="0"/>
    <x v="25"/>
    <x v="3"/>
    <x v="19"/>
    <x v="6"/>
    <x v="1"/>
    <n v="65"/>
    <n v="0"/>
    <n v="1.78808357886419E+18"/>
  </r>
  <r>
    <b v="0"/>
    <x v="24"/>
    <x v="1"/>
    <x v="10"/>
    <x v="7"/>
    <x v="1"/>
    <n v="66"/>
    <n v="0"/>
    <n v="1.0902696337067614E+19"/>
  </r>
  <r>
    <b v="0"/>
    <x v="9"/>
    <x v="18"/>
    <x v="20"/>
    <x v="10"/>
    <x v="1"/>
    <n v="67"/>
    <n v="0"/>
    <n v="1.5547426505110215E+19"/>
  </r>
  <r>
    <b v="0"/>
    <x v="26"/>
    <x v="20"/>
    <x v="10"/>
    <x v="7"/>
    <x v="1"/>
    <n v="68"/>
    <n v="0"/>
    <n v="3.7004950818582636E+18"/>
  </r>
  <r>
    <b v="0"/>
    <x v="24"/>
    <x v="21"/>
    <x v="15"/>
    <x v="11"/>
    <x v="1"/>
    <n v="69"/>
    <n v="0"/>
    <n v="1.5112415636504257E+19"/>
  </r>
  <r>
    <b v="0"/>
    <x v="21"/>
    <x v="2"/>
    <x v="21"/>
    <x v="12"/>
    <x v="1"/>
    <n v="70"/>
    <n v="0"/>
    <n v="1.1255259566354018E+19"/>
  </r>
  <r>
    <b v="0"/>
    <x v="23"/>
    <x v="16"/>
    <x v="12"/>
    <x v="8"/>
    <x v="1"/>
    <n v="71"/>
    <n v="0"/>
    <n v="1.7605334322855268E+19"/>
  </r>
  <r>
    <b v="0"/>
    <x v="19"/>
    <x v="21"/>
    <x v="11"/>
    <x v="7"/>
    <x v="1"/>
    <n v="72"/>
    <n v="0"/>
    <n v="1.0523813909130883E+19"/>
  </r>
  <r>
    <b v="0"/>
    <x v="23"/>
    <x v="16"/>
    <x v="9"/>
    <x v="13"/>
    <x v="1"/>
    <n v="73"/>
    <n v="0"/>
    <n v="5.1235705938440666E+17"/>
  </r>
  <r>
    <b v="0"/>
    <x v="16"/>
    <x v="7"/>
    <x v="22"/>
    <x v="8"/>
    <x v="1"/>
    <n v="74"/>
    <n v="0"/>
    <n v="1.133932121902054E+19"/>
  </r>
  <r>
    <b v="0"/>
    <x v="20"/>
    <x v="1"/>
    <x v="19"/>
    <x v="6"/>
    <x v="1"/>
    <n v="75"/>
    <n v="0"/>
    <n v="7.0701655697019341E+18"/>
  </r>
  <r>
    <b v="0"/>
    <x v="27"/>
    <x v="16"/>
    <x v="21"/>
    <x v="6"/>
    <x v="1"/>
    <n v="76"/>
    <n v="0"/>
    <n v="1.3803466023888347E+19"/>
  </r>
  <r>
    <b v="0"/>
    <x v="25"/>
    <x v="1"/>
    <x v="23"/>
    <x v="14"/>
    <x v="1"/>
    <n v="77"/>
    <n v="0"/>
    <n v="1.1511555446809463E+19"/>
  </r>
  <r>
    <b v="0"/>
    <x v="22"/>
    <x v="7"/>
    <x v="10"/>
    <x v="7"/>
    <x v="1"/>
    <n v="78"/>
    <n v="0"/>
    <n v="8.2829802820390769E+18"/>
  </r>
  <r>
    <b v="0"/>
    <x v="10"/>
    <x v="22"/>
    <x v="16"/>
    <x v="10"/>
    <x v="1"/>
    <n v="79"/>
    <n v="0"/>
    <n v="1.2504457130975019E+19"/>
  </r>
  <r>
    <b v="0"/>
    <x v="12"/>
    <x v="17"/>
    <x v="24"/>
    <x v="11"/>
    <x v="1"/>
    <n v="80"/>
    <n v="0"/>
    <n v="9.2426963401680445E+18"/>
  </r>
  <r>
    <b v="0"/>
    <x v="12"/>
    <x v="17"/>
    <x v="25"/>
    <x v="10"/>
    <x v="1"/>
    <n v="81"/>
    <n v="0"/>
    <n v="3.7673697286487834E+18"/>
  </r>
  <r>
    <b v="0"/>
    <x v="9"/>
    <x v="18"/>
    <x v="15"/>
    <x v="13"/>
    <x v="1"/>
    <n v="82"/>
    <n v="0"/>
    <n v="1.1102941048120582E+19"/>
  </r>
  <r>
    <b v="0"/>
    <x v="22"/>
    <x v="18"/>
    <x v="26"/>
    <x v="9"/>
    <x v="1"/>
    <n v="83"/>
    <n v="0"/>
    <n v="1.7901890681252143E+19"/>
  </r>
  <r>
    <b v="0"/>
    <x v="5"/>
    <x v="1"/>
    <x v="10"/>
    <x v="7"/>
    <x v="1"/>
    <n v="84"/>
    <n v="0"/>
    <n v="9.9781076211486904E+18"/>
  </r>
  <r>
    <b v="0"/>
    <x v="22"/>
    <x v="6"/>
    <x v="10"/>
    <x v="9"/>
    <x v="1"/>
    <n v="85"/>
    <n v="0"/>
    <n v="1.2234942937784275E+19"/>
  </r>
  <r>
    <b v="0"/>
    <x v="25"/>
    <x v="3"/>
    <x v="9"/>
    <x v="7"/>
    <x v="1"/>
    <n v="86"/>
    <n v="0"/>
    <n v="3.3323443719447291E+18"/>
  </r>
  <r>
    <b v="0"/>
    <x v="19"/>
    <x v="15"/>
    <x v="19"/>
    <x v="8"/>
    <x v="1"/>
    <n v="87"/>
    <n v="0"/>
    <n v="8.6288323794848934E+17"/>
  </r>
  <r>
    <b v="0"/>
    <x v="24"/>
    <x v="1"/>
    <x v="20"/>
    <x v="8"/>
    <x v="1"/>
    <n v="88"/>
    <n v="0"/>
    <n v="1.5039143939036846E+19"/>
  </r>
  <r>
    <b v="0"/>
    <x v="12"/>
    <x v="21"/>
    <x v="12"/>
    <x v="8"/>
    <x v="1"/>
    <n v="89"/>
    <n v="0"/>
    <n v="1.454510707773652E+19"/>
  </r>
  <r>
    <b v="0"/>
    <x v="12"/>
    <x v="22"/>
    <x v="19"/>
    <x v="13"/>
    <x v="1"/>
    <n v="90"/>
    <n v="0"/>
    <n v="7.3130414845581322E+18"/>
  </r>
  <r>
    <b v="0"/>
    <x v="23"/>
    <x v="1"/>
    <x v="13"/>
    <x v="6"/>
    <x v="1"/>
    <n v="91"/>
    <n v="0"/>
    <n v="8.5534190925570458E+18"/>
  </r>
  <r>
    <b v="0"/>
    <x v="9"/>
    <x v="22"/>
    <x v="12"/>
    <x v="13"/>
    <x v="1"/>
    <n v="92"/>
    <n v="0"/>
    <n v="8.7279567037088399E+18"/>
  </r>
  <r>
    <b v="0"/>
    <x v="4"/>
    <x v="15"/>
    <x v="14"/>
    <x v="10"/>
    <x v="1"/>
    <n v="93"/>
    <n v="0"/>
    <n v="1.4218499347646587E+19"/>
  </r>
  <r>
    <b v="0"/>
    <x v="24"/>
    <x v="18"/>
    <x v="17"/>
    <x v="8"/>
    <x v="1"/>
    <n v="94"/>
    <n v="0"/>
    <n v="9.2968221332873626E+18"/>
  </r>
  <r>
    <b v="0"/>
    <x v="10"/>
    <x v="1"/>
    <x v="17"/>
    <x v="13"/>
    <x v="1"/>
    <n v="95"/>
    <n v="0"/>
    <n v="5.9794286069000479E+18"/>
  </r>
  <r>
    <b v="0"/>
    <x v="10"/>
    <x v="7"/>
    <x v="17"/>
    <x v="8"/>
    <x v="1"/>
    <n v="96"/>
    <n v="0"/>
    <n v="1.178879019878468E+19"/>
  </r>
  <r>
    <b v="0"/>
    <x v="26"/>
    <x v="7"/>
    <x v="22"/>
    <x v="8"/>
    <x v="1"/>
    <n v="97"/>
    <n v="0"/>
    <n v="1.3456973498786234E+19"/>
  </r>
  <r>
    <b v="0"/>
    <x v="0"/>
    <x v="21"/>
    <x v="27"/>
    <x v="11"/>
    <x v="1"/>
    <n v="98"/>
    <n v="0"/>
    <n v="1.3844196578987289E+19"/>
  </r>
  <r>
    <b v="0"/>
    <x v="10"/>
    <x v="16"/>
    <x v="20"/>
    <x v="8"/>
    <x v="1"/>
    <n v="99"/>
    <n v="0"/>
    <n v="6.9030615249463429E+18"/>
  </r>
  <r>
    <b v="0"/>
    <x v="19"/>
    <x v="12"/>
    <x v="28"/>
    <x v="15"/>
    <x v="2"/>
    <n v="100"/>
    <n v="0"/>
    <n v="1.3322492984875905E+19"/>
  </r>
  <r>
    <b v="0"/>
    <x v="9"/>
    <x v="18"/>
    <x v="26"/>
    <x v="16"/>
    <x v="2"/>
    <n v="101"/>
    <n v="0"/>
    <n v="1.6847191365316028E+19"/>
  </r>
  <r>
    <b v="0"/>
    <x v="28"/>
    <x v="1"/>
    <x v="29"/>
    <x v="17"/>
    <x v="2"/>
    <n v="102"/>
    <n v="0"/>
    <n v="6.619305597041856E+17"/>
  </r>
  <r>
    <b v="0"/>
    <x v="19"/>
    <x v="7"/>
    <x v="30"/>
    <x v="12"/>
    <x v="2"/>
    <n v="103"/>
    <n v="0"/>
    <n v="5.2647569643387556E+18"/>
  </r>
  <r>
    <b v="0"/>
    <x v="18"/>
    <x v="1"/>
    <x v="31"/>
    <x v="18"/>
    <x v="2"/>
    <n v="104"/>
    <n v="0"/>
    <n v="1.6764457351407761E+19"/>
  </r>
  <r>
    <b v="0"/>
    <x v="29"/>
    <x v="1"/>
    <x v="32"/>
    <x v="17"/>
    <x v="2"/>
    <n v="105"/>
    <n v="0"/>
    <n v="1.5733561967147774E+19"/>
  </r>
  <r>
    <b v="0"/>
    <x v="1"/>
    <x v="21"/>
    <x v="10"/>
    <x v="14"/>
    <x v="2"/>
    <n v="106"/>
    <n v="0"/>
    <n v="2.3807511055195018E+18"/>
  </r>
  <r>
    <b v="0"/>
    <x v="30"/>
    <x v="7"/>
    <x v="33"/>
    <x v="12"/>
    <x v="2"/>
    <n v="107"/>
    <n v="0"/>
    <n v="5.0223796161511854E+18"/>
  </r>
  <r>
    <b v="0"/>
    <x v="25"/>
    <x v="21"/>
    <x v="31"/>
    <x v="12"/>
    <x v="2"/>
    <n v="108"/>
    <n v="0"/>
    <n v="1.7843031752550984E+19"/>
  </r>
  <r>
    <b v="0"/>
    <x v="31"/>
    <x v="4"/>
    <x v="34"/>
    <x v="15"/>
    <x v="2"/>
    <n v="109"/>
    <n v="0"/>
    <n v="1.8326831417744182E+18"/>
  </r>
  <r>
    <b v="0"/>
    <x v="18"/>
    <x v="2"/>
    <x v="26"/>
    <x v="19"/>
    <x v="2"/>
    <n v="110"/>
    <n v="0"/>
    <n v="7.5636318112243674E+17"/>
  </r>
  <r>
    <b v="0"/>
    <x v="16"/>
    <x v="18"/>
    <x v="35"/>
    <x v="16"/>
    <x v="2"/>
    <n v="111"/>
    <n v="0"/>
    <n v="1.5447016102866418E+19"/>
  </r>
  <r>
    <b v="0"/>
    <x v="27"/>
    <x v="1"/>
    <x v="36"/>
    <x v="17"/>
    <x v="2"/>
    <n v="112"/>
    <n v="0"/>
    <n v="6.2199898934266419E+18"/>
  </r>
  <r>
    <b v="0"/>
    <x v="10"/>
    <x v="21"/>
    <x v="23"/>
    <x v="19"/>
    <x v="2"/>
    <n v="113"/>
    <n v="0"/>
    <n v="9.7998716501114778E+18"/>
  </r>
  <r>
    <b v="0"/>
    <x v="9"/>
    <x v="16"/>
    <x v="26"/>
    <x v="20"/>
    <x v="2"/>
    <n v="114"/>
    <n v="0"/>
    <n v="1.5350650311171017E+19"/>
  </r>
  <r>
    <b v="0"/>
    <x v="16"/>
    <x v="2"/>
    <x v="35"/>
    <x v="21"/>
    <x v="2"/>
    <n v="115"/>
    <n v="0"/>
    <n v="1.1612241941344451E+19"/>
  </r>
  <r>
    <b v="0"/>
    <x v="18"/>
    <x v="1"/>
    <x v="36"/>
    <x v="12"/>
    <x v="2"/>
    <n v="116"/>
    <n v="0"/>
    <n v="1.7700240966600022E+19"/>
  </r>
  <r>
    <b v="0"/>
    <x v="32"/>
    <x v="11"/>
    <x v="37"/>
    <x v="18"/>
    <x v="2"/>
    <n v="117"/>
    <n v="0"/>
    <n v="1.003135703940055E+19"/>
  </r>
  <r>
    <b v="0"/>
    <x v="32"/>
    <x v="22"/>
    <x v="38"/>
    <x v="21"/>
    <x v="2"/>
    <n v="118"/>
    <n v="0"/>
    <n v="1.078474114561179E+19"/>
  </r>
  <r>
    <b v="0"/>
    <x v="22"/>
    <x v="20"/>
    <x v="23"/>
    <x v="7"/>
    <x v="2"/>
    <n v="119"/>
    <n v="0"/>
    <n v="1.6778510600435028E+18"/>
  </r>
  <r>
    <b v="0"/>
    <x v="17"/>
    <x v="2"/>
    <x v="39"/>
    <x v="21"/>
    <x v="2"/>
    <n v="120"/>
    <n v="0"/>
    <n v="1.4029279620395567E+19"/>
  </r>
  <r>
    <b v="0"/>
    <x v="24"/>
    <x v="16"/>
    <x v="11"/>
    <x v="19"/>
    <x v="2"/>
    <n v="121"/>
    <n v="0"/>
    <n v="2.0157982038516291E+18"/>
  </r>
  <r>
    <b v="0"/>
    <x v="32"/>
    <x v="16"/>
    <x v="37"/>
    <x v="19"/>
    <x v="2"/>
    <n v="122"/>
    <n v="0"/>
    <n v="9.6470233210183967E+18"/>
  </r>
  <r>
    <b v="0"/>
    <x v="19"/>
    <x v="18"/>
    <x v="11"/>
    <x v="12"/>
    <x v="2"/>
    <n v="123"/>
    <n v="0"/>
    <n v="1.436710728194055E+19"/>
  </r>
  <r>
    <b v="0"/>
    <x v="25"/>
    <x v="12"/>
    <x v="39"/>
    <x v="17"/>
    <x v="2"/>
    <n v="124"/>
    <n v="0"/>
    <n v="1.9947037052924444E+18"/>
  </r>
  <r>
    <b v="0"/>
    <x v="31"/>
    <x v="2"/>
    <x v="28"/>
    <x v="12"/>
    <x v="2"/>
    <n v="125"/>
    <n v="0"/>
    <n v="1.6950079442253183E+19"/>
  </r>
  <r>
    <b v="0"/>
    <x v="26"/>
    <x v="16"/>
    <x v="21"/>
    <x v="12"/>
    <x v="2"/>
    <n v="126"/>
    <n v="0"/>
    <n v="7.8198669874935368E+18"/>
  </r>
  <r>
    <b v="0"/>
    <x v="23"/>
    <x v="1"/>
    <x v="11"/>
    <x v="12"/>
    <x v="2"/>
    <n v="127"/>
    <n v="0"/>
    <n v="6.4973518044154317E+18"/>
  </r>
  <r>
    <b v="0"/>
    <x v="16"/>
    <x v="16"/>
    <x v="30"/>
    <x v="17"/>
    <x v="2"/>
    <n v="128"/>
    <n v="0"/>
    <n v="9.4259442193246044E+18"/>
  </r>
  <r>
    <b v="0"/>
    <x v="31"/>
    <x v="1"/>
    <x v="31"/>
    <x v="9"/>
    <x v="2"/>
    <n v="129"/>
    <n v="0"/>
    <n v="3.8864912405288878E+18"/>
  </r>
  <r>
    <b v="0"/>
    <x v="33"/>
    <x v="16"/>
    <x v="34"/>
    <x v="16"/>
    <x v="2"/>
    <n v="130"/>
    <n v="0"/>
    <n v="9.7509943860251156E+18"/>
  </r>
  <r>
    <b v="0"/>
    <x v="34"/>
    <x v="11"/>
    <x v="40"/>
    <x v="19"/>
    <x v="2"/>
    <n v="131"/>
    <n v="0"/>
    <n v="1.1849397895214377E+19"/>
  </r>
  <r>
    <b v="0"/>
    <x v="16"/>
    <x v="16"/>
    <x v="30"/>
    <x v="18"/>
    <x v="2"/>
    <n v="132"/>
    <n v="0"/>
    <n v="1.6739151969869965E+19"/>
  </r>
  <r>
    <b v="0"/>
    <x v="19"/>
    <x v="16"/>
    <x v="26"/>
    <x v="7"/>
    <x v="2"/>
    <n v="133"/>
    <n v="0"/>
    <n v="6.6135384057675328E+17"/>
  </r>
  <r>
    <b v="0"/>
    <x v="23"/>
    <x v="22"/>
    <x v="30"/>
    <x v="6"/>
    <x v="2"/>
    <n v="134"/>
    <n v="0"/>
    <n v="1.1001634725678713E+19"/>
  </r>
  <r>
    <b v="0"/>
    <x v="32"/>
    <x v="1"/>
    <x v="34"/>
    <x v="21"/>
    <x v="2"/>
    <n v="135"/>
    <n v="0"/>
    <n v="1.7475480586561292E+19"/>
  </r>
  <r>
    <b v="0"/>
    <x v="19"/>
    <x v="6"/>
    <x v="30"/>
    <x v="20"/>
    <x v="2"/>
    <n v="136"/>
    <n v="0"/>
    <n v="1.2229712659248746E+19"/>
  </r>
  <r>
    <b v="0"/>
    <x v="16"/>
    <x v="3"/>
    <x v="36"/>
    <x v="12"/>
    <x v="2"/>
    <n v="137"/>
    <n v="0"/>
    <n v="1.406293020579362E+19"/>
  </r>
  <r>
    <b v="0"/>
    <x v="22"/>
    <x v="1"/>
    <x v="21"/>
    <x v="12"/>
    <x v="2"/>
    <n v="138"/>
    <n v="0"/>
    <n v="1.6137646621662306E+19"/>
  </r>
  <r>
    <b v="0"/>
    <x v="17"/>
    <x v="3"/>
    <x v="41"/>
    <x v="17"/>
    <x v="2"/>
    <n v="139"/>
    <n v="0"/>
    <n v="2.9097514045485901E+18"/>
  </r>
  <r>
    <b v="0"/>
    <x v="25"/>
    <x v="3"/>
    <x v="30"/>
    <x v="20"/>
    <x v="2"/>
    <n v="140"/>
    <n v="0"/>
    <n v="1.6300255540475365E+19"/>
  </r>
  <r>
    <b v="0"/>
    <x v="17"/>
    <x v="3"/>
    <x v="26"/>
    <x v="21"/>
    <x v="2"/>
    <n v="141"/>
    <n v="0"/>
    <n v="1.0790540504564882E+18"/>
  </r>
  <r>
    <b v="0"/>
    <x v="9"/>
    <x v="18"/>
    <x v="26"/>
    <x v="16"/>
    <x v="2"/>
    <n v="142"/>
    <n v="0"/>
    <n v="3.976374000417663E+18"/>
  </r>
  <r>
    <b v="0"/>
    <x v="27"/>
    <x v="2"/>
    <x v="29"/>
    <x v="21"/>
    <x v="2"/>
    <n v="143"/>
    <n v="0"/>
    <n v="9.3184987252360069E+18"/>
  </r>
  <r>
    <b v="0"/>
    <x v="25"/>
    <x v="12"/>
    <x v="39"/>
    <x v="15"/>
    <x v="2"/>
    <n v="144"/>
    <n v="0"/>
    <n v="1.0551176296097987E+19"/>
  </r>
  <r>
    <b v="0"/>
    <x v="25"/>
    <x v="1"/>
    <x v="42"/>
    <x v="21"/>
    <x v="2"/>
    <n v="145"/>
    <n v="0"/>
    <n v="2.5537808874847677E+18"/>
  </r>
  <r>
    <b v="0"/>
    <x v="19"/>
    <x v="21"/>
    <x v="23"/>
    <x v="16"/>
    <x v="2"/>
    <n v="146"/>
    <n v="0"/>
    <n v="1.3252718261715847E+19"/>
  </r>
  <r>
    <b v="0"/>
    <x v="18"/>
    <x v="1"/>
    <x v="42"/>
    <x v="19"/>
    <x v="2"/>
    <n v="147"/>
    <n v="0"/>
    <n v="1.7012061598749592E+19"/>
  </r>
  <r>
    <b v="0"/>
    <x v="26"/>
    <x v="6"/>
    <x v="41"/>
    <x v="21"/>
    <x v="2"/>
    <n v="148"/>
    <n v="0"/>
    <n v="1.0846658131170545E+18"/>
  </r>
  <r>
    <b v="0"/>
    <x v="21"/>
    <x v="1"/>
    <x v="26"/>
    <x v="12"/>
    <x v="2"/>
    <n v="149"/>
    <n v="0"/>
    <n v="3.136869761845034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45" firstHeaderRow="0" firstDataRow="1" firstDataCol="5"/>
  <pivotFields count="9">
    <pivotField compact="0" outline="0" showAll="0"/>
    <pivotField axis="axisRow" compact="0" outline="0" showAll="0" defaultSubtotal="0">
      <items count="35">
        <item sd="0" x="8"/>
        <item sd="0" x="6"/>
        <item sd="0" x="13"/>
        <item sd="0" x="3"/>
        <item sd="0" x="2"/>
        <item sd="0" x="7"/>
        <item sd="0" x="1"/>
        <item sd="0" x="4"/>
        <item sd="0" x="0"/>
        <item sd="0" x="11"/>
        <item sd="0" x="14"/>
        <item sd="0" x="5"/>
        <item sd="0" x="12"/>
        <item sd="0" x="24"/>
        <item sd="0" x="10"/>
        <item sd="0" x="9"/>
        <item sd="0" x="21"/>
        <item sd="0" x="22"/>
        <item sd="0" x="23"/>
        <item sd="0" x="26"/>
        <item sd="0" x="19"/>
        <item sd="0" x="16"/>
        <item sd="0" x="18"/>
        <item sd="0" x="20"/>
        <item sd="0" x="25"/>
        <item sd="0" x="27"/>
        <item sd="0" x="17"/>
        <item sd="0" x="15"/>
        <item sd="0" x="28"/>
        <item sd="0" x="31"/>
        <item sd="0" x="30"/>
        <item sd="0" x="33"/>
        <item sd="0" x="29"/>
        <item sd="0" x="32"/>
        <item sd="0" x="34"/>
      </items>
    </pivotField>
    <pivotField axis="axisRow" compact="0" outline="0" showAll="0" defaultSubtotal="0">
      <items count="23">
        <item sd="0" x="19"/>
        <item sd="0" x="20"/>
        <item sd="0" x="15"/>
        <item sd="0" x="17"/>
        <item sd="0" x="21"/>
        <item sd="0" x="22"/>
        <item sd="0" x="18"/>
        <item sd="0" x="16"/>
        <item sd="0" x="7"/>
        <item sd="0" x="1"/>
        <item sd="0" x="3"/>
        <item sd="0" x="2"/>
        <item sd="0" x="12"/>
        <item sd="0" x="6"/>
        <item sd="0" x="0"/>
        <item sd="0" x="4"/>
        <item sd="0" x="8"/>
        <item sd="0" x="11"/>
        <item sd="0" x="5"/>
        <item sd="0" x="9"/>
        <item sd="0" x="13"/>
        <item sd="0" x="14"/>
        <item sd="0" x="10"/>
      </items>
    </pivotField>
    <pivotField axis="axisRow" compact="0" outline="0" showAll="0" defaultSubtotal="0">
      <items count="43">
        <item sd="0" x="7"/>
        <item sd="0" x="5"/>
        <item sd="0" x="6"/>
        <item sd="0" x="1"/>
        <item sd="0" x="0"/>
        <item sd="0" x="2"/>
        <item sd="0" x="4"/>
        <item sd="0" x="3"/>
        <item sd="0" x="8"/>
        <item sd="0" x="27"/>
        <item sd="0" x="14"/>
        <item sd="0" x="16"/>
        <item sd="0" x="18"/>
        <item sd="0" x="25"/>
        <item sd="0" x="24"/>
        <item sd="0" x="15"/>
        <item sd="0" x="12"/>
        <item sd="0" x="20"/>
        <item sd="0" x="17"/>
        <item sd="0" x="22"/>
        <item sd="0" x="19"/>
        <item sd="0" x="10"/>
        <item sd="0" x="13"/>
        <item sd="0" x="9"/>
        <item sd="0" x="21"/>
        <item sd="0" x="11"/>
        <item sd="0" x="23"/>
        <item sd="0" x="26"/>
        <item sd="0" x="42"/>
        <item sd="0" x="35"/>
        <item sd="0" x="41"/>
        <item sd="0" x="36"/>
        <item sd="0" x="30"/>
        <item sd="0" x="39"/>
        <item sd="0" x="31"/>
        <item sd="0" x="29"/>
        <item sd="0" x="28"/>
        <item sd="0" x="34"/>
        <item sd="0" x="33"/>
        <item sd="0" x="40"/>
        <item sd="0" x="32"/>
        <item sd="0" x="37"/>
        <item sd="0" x="38"/>
      </items>
    </pivotField>
    <pivotField axis="axisRow" compact="0" outline="0" showAll="0" defaultSubtotal="0">
      <items count="22">
        <item sd="0" x="3"/>
        <item sd="0" x="0"/>
        <item sd="0" x="2"/>
        <item sd="0" x="1"/>
        <item sd="0" x="4"/>
        <item sd="0" x="5"/>
        <item sd="0" x="10"/>
        <item sd="0" x="11"/>
        <item sd="0" x="13"/>
        <item sd="0" x="8"/>
        <item sd="0" x="6"/>
        <item sd="0" x="7"/>
        <item sd="0" x="9"/>
        <item sd="0" x="14"/>
        <item sd="0" x="12"/>
        <item sd="0" x="16"/>
        <item sd="0" x="19"/>
        <item sd="0" x="17"/>
        <item sd="0" x="18"/>
        <item sd="0" x="21"/>
        <item sd="0" x="20"/>
        <item sd="0" x="15"/>
      </items>
    </pivotField>
    <pivotField axis="axisRow" compact="0" outline="0" showAll="0" defaultSubtotal="0">
      <items count="3">
        <item x="0"/>
        <item x="1"/>
        <item x="2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81">
    <format dxfId="96">
      <pivotArea type="all" dataOnly="0" outline="0" fieldPosition="0"/>
    </format>
    <format dxfId="95">
      <pivotArea outline="0" collapsedLevelsAreSubtotals="1" fieldPosition="0"/>
    </format>
    <format dxfId="94">
      <pivotArea dataOnly="0" labelOnly="1" grandRow="1" outline="0" fieldPosition="0"/>
    </format>
    <format dxfId="9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2">
      <pivotArea type="all" dataOnly="0" outline="0" fieldPosition="0"/>
    </format>
    <format dxfId="91">
      <pivotArea dataOnly="0" outline="0" fieldPosition="0">
        <references count="1">
          <reference field="4294967294" count="1">
            <x v="0"/>
          </reference>
        </references>
      </pivotArea>
    </format>
    <format dxfId="90">
      <pivotArea outline="0" fieldPosition="0">
        <references count="1">
          <reference field="4294967294" count="1">
            <x v="0"/>
          </reference>
        </references>
      </pivotArea>
    </format>
    <format dxfId="89">
      <pivotArea outline="0" fieldPosition="0">
        <references count="1">
          <reference field="4294967294" count="1">
            <x v="1"/>
          </reference>
        </references>
      </pivotArea>
    </format>
    <format dxfId="88">
      <pivotArea type="all" dataOnly="0" outline="0" fieldPosition="0"/>
    </format>
    <format dxfId="87">
      <pivotArea outline="0" collapsedLevelsAreSubtotals="1" fieldPosition="0"/>
    </format>
    <format dxfId="8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5">
      <pivotArea outline="0" fieldPosition="0">
        <references count="1">
          <reference field="4294967294" count="1" selected="0">
            <x v="1"/>
          </reference>
        </references>
      </pivotArea>
    </format>
    <format dxfId="84">
      <pivotArea dataOnly="0" outline="0" fieldPosition="0">
        <references count="1">
          <reference field="4294967294" count="1">
            <x v="1"/>
          </reference>
        </references>
      </pivotArea>
    </format>
    <format dxfId="83">
      <pivotArea type="all" dataOnly="0" outline="0" fieldPosition="0"/>
    </format>
    <format dxfId="82">
      <pivotArea type="all" dataOnly="0" outline="0" fieldPosition="0"/>
    </format>
    <format dxfId="81">
      <pivotArea outline="0" fieldPosition="0">
        <references count="1">
          <reference field="4294967294" count="1">
            <x v="2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dataOnly="0" labelOnly="1" outline="0" fieldPosition="0">
        <references count="1">
          <reference field="1" count="0"/>
        </references>
      </pivotArea>
    </format>
    <format dxfId="61">
      <pivotArea outline="0" collapsedLevelsAreSubtotals="1" fieldPosition="0"/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field="1" type="button" dataOnly="0" labelOnly="1" outline="0" axis="axisRow" fieldPosition="0"/>
    </format>
    <format dxfId="48">
      <pivotArea field="2" type="button" dataOnly="0" labelOnly="1" outline="0" axis="axisRow" fieldPosition="1"/>
    </format>
    <format dxfId="47">
      <pivotArea field="3" type="button" dataOnly="0" labelOnly="1" outline="0" axis="axisRow" fieldPosition="2"/>
    </format>
    <format dxfId="46">
      <pivotArea field="4" type="button" dataOnly="0" labelOnly="1" outline="0" axis="axisRow" fieldPosition="3"/>
    </format>
    <format dxfId="45">
      <pivotArea field="5" type="button" dataOnly="0" labelOnly="1" outline="0" axis="axisRow" fieldPosition="4"/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field="2" type="button" dataOnly="0" labelOnly="1" outline="0" axis="axisRow" fieldPosition="1"/>
    </format>
    <format dxfId="42">
      <pivotArea field="3" type="button" dataOnly="0" labelOnly="1" outline="0" axis="axisRow" fieldPosition="2"/>
    </format>
    <format dxfId="41">
      <pivotArea field="4" type="button" dataOnly="0" labelOnly="1" outline="0" axis="axisRow" fieldPosition="3"/>
    </format>
    <format dxfId="40">
      <pivotArea field="5" type="button" dataOnly="0" labelOnly="1" outline="0" axis="axisRow" fieldPosition="4"/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field="1" type="button" dataOnly="0" labelOnly="1" outline="0" axis="axisRow" fieldPosition="0"/>
    </format>
    <format dxfId="37">
      <pivotArea dataOnly="0" labelOnly="1" outline="0" fieldPosition="0">
        <references count="1">
          <reference field="1" count="1">
            <x v="0"/>
          </reference>
        </references>
      </pivotArea>
    </format>
    <format dxfId="36">
      <pivotArea dataOnly="0" labelOnly="1" outline="0" fieldPosition="0">
        <references count="1">
          <reference field="1" count="1">
            <x v="1"/>
          </reference>
        </references>
      </pivotArea>
    </format>
    <format dxfId="35">
      <pivotArea dataOnly="0" labelOnly="1" outline="0" fieldPosition="0">
        <references count="1">
          <reference field="1" count="1">
            <x v="2"/>
          </reference>
        </references>
      </pivotArea>
    </format>
    <format dxfId="34">
      <pivotArea dataOnly="0" labelOnly="1" outline="0" fieldPosition="0">
        <references count="1">
          <reference field="1" count="1">
            <x v="3"/>
          </reference>
        </references>
      </pivotArea>
    </format>
    <format dxfId="33">
      <pivotArea dataOnly="0" labelOnly="1" outline="0" fieldPosition="0">
        <references count="1">
          <reference field="1" count="1">
            <x v="4"/>
          </reference>
        </references>
      </pivotArea>
    </format>
    <format dxfId="32">
      <pivotArea dataOnly="0" labelOnly="1" outline="0" fieldPosition="0">
        <references count="1">
          <reference field="1" count="1">
            <x v="5"/>
          </reference>
        </references>
      </pivotArea>
    </format>
    <format dxfId="31">
      <pivotArea dataOnly="0" labelOnly="1" outline="0" fieldPosition="0">
        <references count="1">
          <reference field="1" count="1">
            <x v="6"/>
          </reference>
        </references>
      </pivotArea>
    </format>
    <format dxfId="30">
      <pivotArea dataOnly="0" labelOnly="1" outline="0" fieldPosition="0">
        <references count="1">
          <reference field="1" count="1">
            <x v="7"/>
          </reference>
        </references>
      </pivotArea>
    </format>
    <format dxfId="29">
      <pivotArea dataOnly="0" labelOnly="1" outline="0" fieldPosition="0">
        <references count="1">
          <reference field="1" count="1">
            <x v="8"/>
          </reference>
        </references>
      </pivotArea>
    </format>
    <format dxfId="28">
      <pivotArea dataOnly="0" labelOnly="1" outline="0" fieldPosition="0">
        <references count="1">
          <reference field="1" count="1">
            <x v="9"/>
          </reference>
        </references>
      </pivotArea>
    </format>
    <format dxfId="27">
      <pivotArea dataOnly="0" labelOnly="1" outline="0" fieldPosition="0">
        <references count="1">
          <reference field="1" count="1">
            <x v="10"/>
          </reference>
        </references>
      </pivotArea>
    </format>
    <format dxfId="26">
      <pivotArea dataOnly="0" labelOnly="1" outline="0" fieldPosition="0">
        <references count="1">
          <reference field="1" count="1">
            <x v="11"/>
          </reference>
        </references>
      </pivotArea>
    </format>
    <format dxfId="25">
      <pivotArea dataOnly="0" labelOnly="1" outline="0" fieldPosition="0">
        <references count="1">
          <reference field="1" count="1">
            <x v="12"/>
          </reference>
        </references>
      </pivotArea>
    </format>
    <format dxfId="24">
      <pivotArea dataOnly="0" labelOnly="1" outline="0" fieldPosition="0">
        <references count="1">
          <reference field="1" count="1">
            <x v="13"/>
          </reference>
        </references>
      </pivotArea>
    </format>
    <format dxfId="23">
      <pivotArea dataOnly="0" labelOnly="1" outline="0" fieldPosition="0">
        <references count="1">
          <reference field="1" count="1">
            <x v="14"/>
          </reference>
        </references>
      </pivotArea>
    </format>
    <format dxfId="22">
      <pivotArea dataOnly="0" labelOnly="1" outline="0" fieldPosition="0">
        <references count="1">
          <reference field="1" count="1">
            <x v="15"/>
          </reference>
        </references>
      </pivotArea>
    </format>
    <format dxfId="21">
      <pivotArea dataOnly="0" labelOnly="1" outline="0" fieldPosition="0">
        <references count="1">
          <reference field="1" count="1">
            <x v="16"/>
          </reference>
        </references>
      </pivotArea>
    </format>
    <format dxfId="20">
      <pivotArea dataOnly="0" labelOnly="1" outline="0" fieldPosition="0">
        <references count="1">
          <reference field="1" count="1">
            <x v="17"/>
          </reference>
        </references>
      </pivotArea>
    </format>
    <format dxfId="19">
      <pivotArea dataOnly="0" labelOnly="1" outline="0" fieldPosition="0">
        <references count="1">
          <reference field="1" count="1">
            <x v="18"/>
          </reference>
        </references>
      </pivotArea>
    </format>
    <format dxfId="18">
      <pivotArea dataOnly="0" labelOnly="1" outline="0" fieldPosition="0">
        <references count="1">
          <reference field="1" count="1">
            <x v="19"/>
          </reference>
        </references>
      </pivotArea>
    </format>
    <format dxfId="17">
      <pivotArea dataOnly="0" labelOnly="1" outline="0" fieldPosition="0">
        <references count="1">
          <reference field="1" count="1">
            <x v="20"/>
          </reference>
        </references>
      </pivotArea>
    </format>
    <format dxfId="16">
      <pivotArea dataOnly="0" labelOnly="1" outline="0" fieldPosition="0">
        <references count="1">
          <reference field="1" count="1">
            <x v="21"/>
          </reference>
        </references>
      </pivotArea>
    </format>
    <format dxfId="15">
      <pivotArea dataOnly="0" labelOnly="1" outline="0" fieldPosition="0">
        <references count="1">
          <reference field="1" count="1">
            <x v="22"/>
          </reference>
        </references>
      </pivotArea>
    </format>
    <format dxfId="14">
      <pivotArea dataOnly="0" labelOnly="1" outline="0" fieldPosition="0">
        <references count="1">
          <reference field="1" count="1">
            <x v="23"/>
          </reference>
        </references>
      </pivotArea>
    </format>
    <format dxfId="13">
      <pivotArea dataOnly="0" labelOnly="1" outline="0" fieldPosition="0">
        <references count="1">
          <reference field="1" count="1">
            <x v="24"/>
          </reference>
        </references>
      </pivotArea>
    </format>
    <format dxfId="12">
      <pivotArea dataOnly="0" labelOnly="1" outline="0" fieldPosition="0">
        <references count="1">
          <reference field="1" count="1">
            <x v="25"/>
          </reference>
        </references>
      </pivotArea>
    </format>
    <format dxfId="11">
      <pivotArea dataOnly="0" labelOnly="1" outline="0" fieldPosition="0">
        <references count="1">
          <reference field="1" count="1">
            <x v="26"/>
          </reference>
        </references>
      </pivotArea>
    </format>
    <format dxfId="10">
      <pivotArea dataOnly="0" labelOnly="1" outline="0" fieldPosition="0">
        <references count="1">
          <reference field="1" count="1">
            <x v="27"/>
          </reference>
        </references>
      </pivotArea>
    </format>
    <format dxfId="9">
      <pivotArea dataOnly="0" labelOnly="1" outline="0" fieldPosition="0">
        <references count="1">
          <reference field="1" count="1">
            <x v="28"/>
          </reference>
        </references>
      </pivotArea>
    </format>
    <format dxfId="8">
      <pivotArea dataOnly="0" labelOnly="1" outline="0" fieldPosition="0">
        <references count="1">
          <reference field="1" count="1">
            <x v="29"/>
          </reference>
        </references>
      </pivotArea>
    </format>
    <format dxfId="7">
      <pivotArea dataOnly="0" labelOnly="1" outline="0" fieldPosition="0">
        <references count="1">
          <reference field="1" count="1">
            <x v="30"/>
          </reference>
        </references>
      </pivotArea>
    </format>
    <format dxfId="6">
      <pivotArea dataOnly="0" labelOnly="1" outline="0" fieldPosition="0">
        <references count="1">
          <reference field="1" count="1">
            <x v="31"/>
          </reference>
        </references>
      </pivotArea>
    </format>
    <format dxfId="5">
      <pivotArea dataOnly="0" labelOnly="1" outline="0" fieldPosition="0">
        <references count="1">
          <reference field="1" count="1">
            <x v="32"/>
          </reference>
        </references>
      </pivotArea>
    </format>
    <format dxfId="4">
      <pivotArea dataOnly="0" labelOnly="1" outline="0" fieldPosition="0">
        <references count="1">
          <reference field="1" count="1">
            <x v="33"/>
          </reference>
        </references>
      </pivotArea>
    </format>
    <format dxfId="3">
      <pivotArea dataOnly="0" labelOnly="1" outline="0" fieldPosition="0">
        <references count="1">
          <reference field="1" count="1">
            <x v="34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9" totalsRowShown="0" headerRowDxfId="166" dataDxfId="164" headerRowBorderDxfId="165" tableBorderDxfId="163" totalsRowBorderDxfId="162" headerRowCellStyle="DarkHeader">
  <autoFilter ref="C45:J59" xr:uid="{DD504193-DD3B-4BC5-B491-CD13C900E1D0}"/>
  <tableColumns count="8">
    <tableColumn id="1" xr3:uid="{428A065A-E650-48CD-82D8-DCD52C6ADF49}" name="Dataset" dataDxfId="161"/>
    <tableColumn id="2" xr3:uid="{59A978F6-B8DD-476D-83D1-DF4156BF2B65}" name="Field" dataDxfId="160"/>
    <tableColumn id="4" xr3:uid="{F13FAD31-2DAD-46F1-87AA-89BB89F55C7D}" name="Activity" dataDxfId="159"/>
    <tableColumn id="3" xr3:uid="{EEC05A6B-8FC2-4E70-83F0-CD177B8B3640}" name="Rows" dataDxfId="158"/>
    <tableColumn id="5" xr3:uid="{393C3242-A398-4640-8F14-23E67E5E58DD}" name="Columns" dataDxfId="157" dataCellStyle="Comma"/>
    <tableColumn id="6" xr3:uid="{FD0E5439-87A1-4303-9EA2-539C332536D5}" name="Datatype" dataDxfId="156"/>
    <tableColumn id="7" xr3:uid="{8B1A0719-0FD5-40F2-A5A8-CFCFA32E014A}" name="Production Time in Seconds" dataDxfId="155"/>
    <tableColumn id="8" xr3:uid="{B5BE7F10-5FBA-44EF-8324-B95D2ABA2298}" name="% of Production Time" dataDxfId="154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53" dataDxfId="151" headerRowBorderDxfId="152" tableBorderDxfId="150" totalsRowBorderDxfId="149">
  <tableColumns count="3">
    <tableColumn id="1" xr3:uid="{FFACC0FF-000E-4785-9C1A-22F01E7C2644}" name="Production Section" dataDxfId="148" dataCellStyle="DarkHeader"/>
    <tableColumn id="2" xr3:uid="{6A06C42D-D4AD-45CE-A81D-0918B410EAA9}" name="Production Time in Seconds" dataDxfId="147"/>
    <tableColumn id="3" xr3:uid="{2643AF23-A2E5-4438-810D-7531CB2D2E4E}" name="% of Production Time" dataDxfId="146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45" dataDxfId="143" headerRowBorderDxfId="144" tableBorderDxfId="142">
  <tableColumns count="2">
    <tableColumn id="1" xr3:uid="{9623C5AE-E7C2-4493-9B72-08667C9B2C60}" name="Environment Variable" dataDxfId="141" dataCellStyle="DarkHeader"/>
    <tableColumn id="2" xr3:uid="{E5E357AA-48FB-47EA-928A-80845B0CD7C9}" name="Value" dataDxfId="140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39" tableBorderDxfId="138" totalsRowBorderDxfId="137">
  <autoFilter ref="F9:G20" xr:uid="{A6117933-3C15-4FC8-ADF4-0EC66304DEE1}"/>
  <tableColumns count="2">
    <tableColumn id="1" xr3:uid="{EC70458D-5C3D-497C-AA06-AFCBD688FBDA}" name="Input Argument" dataDxfId="136" dataCellStyle="DarkHeader"/>
    <tableColumn id="2" xr3:uid="{FCA8AE27-3D46-4152-9A03-0F3EFBA2366A}" name="Value" dataDxfId="135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34" tableBorderDxfId="133" totalsRowBorderDxfId="132">
  <autoFilter ref="I9:J10" xr:uid="{6AF89CD0-DF40-4046-87D4-2BF660DDE636}"/>
  <tableColumns count="2">
    <tableColumn id="1" xr3:uid="{27FA7240-202E-4FAB-AD4A-DC169AFD6F56}" name="Error Type" dataDxfId="131" dataCellStyle="DarkHeader"/>
    <tableColumn id="2" xr3:uid="{C21354E4-3682-4AA0-B73A-2E689C89258C}" name="Value" dataDxfId="13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229" totalsRowShown="0" headerRowDxfId="71" dataDxfId="70" headerRowCellStyle="DarkHeader" dataCellStyle="Normal">
  <autoFilter ref="D79:L229" xr:uid="{DB1D1E60-5E37-456A-AD85-0649D531840E}"/>
  <tableColumns count="9">
    <tableColumn id="1" xr3:uid="{57EDF41E-F06D-4819-BADE-3D62DE46F06C}" name="Record List" dataDxfId="68" dataCellStyle="Normal"/>
    <tableColumn id="2" xr3:uid="{CF70C9CE-83FE-40FA-8089-C68B39CF665A}" name="sepal_length" dataDxfId="69" dataCellStyle="Normal"/>
    <tableColumn id="3" xr3:uid="{B8654690-502A-4FAF-9205-0118DABCB954}" name="sepal_width" dataDxfId="74" dataCellStyle="Normal"/>
    <tableColumn id="4" xr3:uid="{5A5BA001-2F93-4E62-880C-C4E8BDB17EEB}" name="petal_length" dataDxfId="73" dataCellStyle="Normal"/>
    <tableColumn id="5" xr3:uid="{7DFF2014-9374-4A02-AF6E-CBCFD1F51B4E}" name="petal_width" dataDxfId="72" dataCellStyle="Normal"/>
    <tableColumn id="6" xr3:uid="{0D0576B0-57AB-4F61-B69C-73E0F1BF9430}" name="species" dataDxfId="67" dataCellStyle="Normal"/>
    <tableColumn id="7" xr3:uid="{1EE58447-73C4-4459-A8D0-F97C6B3B0C53}" name="index" dataDxfId="66" dataCellStyle="Normal"/>
    <tableColumn id="8" xr3:uid="{3C95620B-9F6F-4299-B1E3-6399E9E7E80A}" name="HasBlank" dataDxfId="65" dataCellStyle="Normal"/>
    <tableColumn id="9" xr3:uid="{7F556D79-3A66-4411-BC9D-5D99149D9F06}" name="Record Hash" dataDxfId="64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77" dataDxfId="121" headerRowBorderDxfId="122">
  <autoFilter ref="B11:AA16" xr:uid="{034D1C74-BE18-490E-B396-097D407DA97D}"/>
  <tableColumns count="26">
    <tableColumn id="1" xr3:uid="{010A8E62-502A-4B19-B37A-BF59E03A068A}" name="Field" dataDxfId="120"/>
    <tableColumn id="2" xr3:uid="{AD236665-EC7C-404F-8915-AD7CD5510D0F}" name="Definition" dataDxfId="76">
      <calculatedColumnFormula>IF(INDEX('Iris | Field Analysis'!Definitions,1,MATCH(tbl_Overview[[#This Row],[Field]],'Iris | Field Analysis'!Headers,0))="Definition","",INDEX('Iris | Field Analysis'!Definitions,1,MATCH(tbl_Overview[[#This Row],[Field]],'Iris | Field Analysis'!Headers,0)))</calculatedColumnFormula>
    </tableColumn>
    <tableColumn id="3" xr3:uid="{B78AB378-5727-433E-AB9C-BB970FC42B31}" name="Field Notes" dataDxfId="75">
      <calculatedColumnFormula>IF(INDEX('Iris | Field Analysis'!Notes,1,MATCH(tbl_Overview[[#This Row],[Field]],'Iris | Field Analysis'!Headers,0))="Note","",INDEX('Iris | Field Analysis'!Notes,1,MATCH(tbl_Overview[[#This Row],[Field]],'Iris | Field Analysis'!Headers,0)))</calculatedColumnFormula>
    </tableColumn>
    <tableColumn id="4" xr3:uid="{EF15AE67-FE31-471E-840E-8104B878A3E8}" name="Data type" dataDxfId="119"/>
    <tableColumn id="5" xr3:uid="{5006D683-9D12-4B97-9EF2-6D41AF6E0B35}" name="Distinct %" dataDxfId="118"/>
    <tableColumn id="6" xr3:uid="{3AFB42F8-9976-44FF-9239-74914D5BE035}" name="Missing %" dataDxfId="117"/>
    <tableColumn id="7" xr3:uid="{4BA41102-DB06-4180-9754-C88722FE82BD}" name="Memory Usage %" dataDxfId="116"/>
    <tableColumn id="8" xr3:uid="{D22319BD-3A80-40F3-84FC-A6D1627B2F29}" name="Memory Usage" dataDxfId="115"/>
    <tableColumn id="9" xr3:uid="{77FAEE19-B6C7-4056-8EF3-5EB877C820C4}" name="Distinct" dataDxfId="114"/>
    <tableColumn id="10" xr3:uid="{54FF47BF-594E-417B-9028-64A4DFE4D389}" name="Count" dataDxfId="113"/>
    <tableColumn id="11" xr3:uid="{54E587FE-36DC-4522-91DC-8B81B386217B}" name="Count %" dataDxfId="112"/>
    <tableColumn id="12" xr3:uid="{0DE21D83-93B1-480C-BE9C-379DA0E532C7}" name="Missing" dataDxfId="111"/>
    <tableColumn id="13" xr3:uid="{C4B407B9-B7FB-4DFC-A6B3-885C816BAF99}" name="Mean" dataDxfId="110"/>
    <tableColumn id="14" xr3:uid="{9796FD8E-D568-43E1-AC6E-BFAE7C7B7017}" name="Median" dataDxfId="109"/>
    <tableColumn id="15" xr3:uid="{A6A7BCED-DD2F-4B41-A84C-2F2674A38A53}" name="Mode" dataDxfId="108"/>
    <tableColumn id="16" xr3:uid="{46607FA5-244C-49C2-997C-B64EB2E94FDE}" name="Standard Deviation" dataDxfId="107"/>
    <tableColumn id="17" xr3:uid="{80BA1782-4C46-45CE-B3FB-40B70BA09AF9}" name="Variance" dataDxfId="106"/>
    <tableColumn id="18" xr3:uid="{EC3C5A76-EF95-419C-87A8-D8885B542521}" name="Min" dataDxfId="105"/>
    <tableColumn id="19" xr3:uid="{BFE545F8-810C-4F0A-A0B2-FF0AB9764A07}" name="5%" dataDxfId="104"/>
    <tableColumn id="20" xr3:uid="{77D31A9B-57B1-4422-8EF9-6320F00E0DB9}" name="25%" dataDxfId="103"/>
    <tableColumn id="21" xr3:uid="{7A350787-F0EA-4E65-B596-5D7253E75CD6}" name="50%" dataDxfId="102"/>
    <tableColumn id="22" xr3:uid="{FB4C260E-A19F-4908-9DBF-DB4AC630982A}" name="75%" dataDxfId="101"/>
    <tableColumn id="23" xr3:uid="{FBECC9F1-5BC8-4774-9475-EB2D6D28F1E2}" name="95%" dataDxfId="100"/>
    <tableColumn id="24" xr3:uid="{839CD532-ED80-4544-A8C8-E9E036764A84}" name="Max" dataDxfId="99"/>
    <tableColumn id="25" xr3:uid="{9DDA1FD6-82B1-4FBE-8BBD-B40C331930D2}" name="Range" dataDxfId="98"/>
    <tableColumn id="26" xr3:uid="{902A027A-FD65-44D4-B3D0-5B3883ACFA39}" name="IQR" dataDxfId="97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98</v>
      </c>
      <c r="D10" s="95" t="s">
        <v>99</v>
      </c>
      <c r="F10" s="110" t="s">
        <v>121</v>
      </c>
      <c r="G10" s="123" t="s">
        <v>83</v>
      </c>
      <c r="I10" s="115" t="s">
        <v>134</v>
      </c>
      <c r="J10" s="116" t="s">
        <v>135</v>
      </c>
      <c r="L10" s="78"/>
    </row>
    <row r="11" spans="2:12" ht="15" hidden="1" customHeight="1" outlineLevel="1">
      <c r="C11" s="94" t="s">
        <v>100</v>
      </c>
      <c r="D11" s="95" t="s">
        <v>101</v>
      </c>
      <c r="F11" s="111" t="s">
        <v>122</v>
      </c>
      <c r="G11" s="124" t="s">
        <v>123</v>
      </c>
      <c r="I11" s="115"/>
      <c r="J11" s="116"/>
    </row>
    <row r="12" spans="2:12" ht="15" hidden="1" customHeight="1" outlineLevel="1">
      <c r="C12" s="94" t="s">
        <v>102</v>
      </c>
      <c r="D12" s="95">
        <v>16</v>
      </c>
      <c r="F12" s="111" t="s">
        <v>124</v>
      </c>
      <c r="G12" s="124" t="s">
        <v>125</v>
      </c>
      <c r="H12"/>
      <c r="I12"/>
      <c r="J12"/>
      <c r="K12"/>
    </row>
    <row r="13" spans="2:12" ht="15" hidden="1" customHeight="1" outlineLevel="1">
      <c r="C13" s="94" t="s">
        <v>103</v>
      </c>
      <c r="D13" s="95" t="b">
        <v>0</v>
      </c>
      <c r="F13" s="111" t="s">
        <v>126</v>
      </c>
      <c r="G13" s="124" t="s">
        <v>125</v>
      </c>
      <c r="H13"/>
      <c r="I13"/>
      <c r="J13"/>
      <c r="K13"/>
    </row>
    <row r="14" spans="2:12" ht="15" hidden="1" customHeight="1" outlineLevel="1">
      <c r="C14" s="94" t="s">
        <v>104</v>
      </c>
      <c r="D14" s="95" t="b">
        <v>1</v>
      </c>
      <c r="F14" s="111" t="s">
        <v>127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105</v>
      </c>
      <c r="D15" s="95" t="s">
        <v>106</v>
      </c>
      <c r="F15" s="111" t="s">
        <v>128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107</v>
      </c>
      <c r="D16" s="95">
        <v>46176</v>
      </c>
      <c r="F16" s="111" t="s">
        <v>129</v>
      </c>
      <c r="G16" s="124" t="s">
        <v>130</v>
      </c>
      <c r="H16"/>
      <c r="I16"/>
      <c r="J16"/>
      <c r="K16"/>
    </row>
    <row r="17" spans="2:25" ht="15" hidden="1" customHeight="1" outlineLevel="1">
      <c r="C17" s="94" t="s">
        <v>108</v>
      </c>
      <c r="D17" s="95">
        <v>11</v>
      </c>
      <c r="F17" s="111" t="s">
        <v>131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109</v>
      </c>
      <c r="D18" s="95" t="s">
        <v>110</v>
      </c>
      <c r="F18" s="111" t="s">
        <v>132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111</v>
      </c>
      <c r="D19" s="95" t="s">
        <v>112</v>
      </c>
      <c r="F19" s="111" t="s">
        <v>133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113</v>
      </c>
      <c r="D20" s="95" t="s">
        <v>114</v>
      </c>
      <c r="F20" s="125" t="s">
        <v>103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115</v>
      </c>
      <c r="D21" s="95" t="s">
        <v>116</v>
      </c>
      <c r="F21"/>
      <c r="G21"/>
      <c r="H21"/>
      <c r="I21"/>
      <c r="J21"/>
      <c r="K21"/>
    </row>
    <row r="22" spans="2:25" ht="15" hidden="1" customHeight="1" outlineLevel="1">
      <c r="C22" s="94" t="s">
        <v>117</v>
      </c>
      <c r="D22" s="95" t="s">
        <v>118</v>
      </c>
      <c r="F22"/>
      <c r="G22"/>
      <c r="H22"/>
      <c r="I22"/>
      <c r="J22"/>
      <c r="K22"/>
    </row>
    <row r="23" spans="2:25" ht="15" hidden="1" customHeight="1" outlineLevel="1">
      <c r="C23" s="94" t="s">
        <v>119</v>
      </c>
      <c r="D23" s="95">
        <v>132</v>
      </c>
      <c r="F23"/>
      <c r="G23"/>
      <c r="H23"/>
      <c r="I23"/>
      <c r="J23"/>
    </row>
    <row r="24" spans="2:25" ht="15" hidden="1" customHeight="1" outlineLevel="1">
      <c r="C24" s="125" t="s">
        <v>120</v>
      </c>
      <c r="D24" s="126">
        <v>12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9</v>
      </c>
      <c r="E29" s="97"/>
      <c r="X29" s="83"/>
      <c r="Y29" s="78"/>
    </row>
    <row r="30" spans="2:25" ht="15" customHeight="1">
      <c r="C30" s="99" t="s">
        <v>68</v>
      </c>
      <c r="D30" s="85">
        <v>5</v>
      </c>
      <c r="E30" s="97"/>
      <c r="X30" s="83"/>
    </row>
    <row r="31" spans="2:25" ht="15" customHeight="1">
      <c r="C31" s="99" t="s">
        <v>69</v>
      </c>
      <c r="D31" s="85">
        <v>150</v>
      </c>
      <c r="E31" s="97"/>
      <c r="K31" s="100"/>
      <c r="X31" s="83"/>
    </row>
    <row r="32" spans="2:25" ht="15" customHeight="1">
      <c r="C32" s="99" t="s">
        <v>70</v>
      </c>
      <c r="D32" s="86">
        <v>7.0294172763824463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2.8138072490692139</v>
      </c>
      <c r="E35" s="127">
        <v>0.400289537568149</v>
      </c>
    </row>
    <row r="36" spans="2:24" ht="15" customHeight="1">
      <c r="C36" s="104" t="s">
        <v>136</v>
      </c>
      <c r="D36" s="129">
        <v>3.3458240032196045</v>
      </c>
      <c r="E36" s="127">
        <v>0.47597373397776915</v>
      </c>
      <c r="K36" s="100"/>
    </row>
    <row r="37" spans="2:24" ht="15" customHeight="1">
      <c r="C37" s="104" t="s">
        <v>137</v>
      </c>
      <c r="D37" s="129">
        <v>0.2490534782409668</v>
      </c>
      <c r="E37" s="127">
        <v>3.5430110455431339E-2</v>
      </c>
      <c r="K37" s="100"/>
    </row>
    <row r="38" spans="2:24" ht="15" customHeight="1">
      <c r="C38" s="104" t="s">
        <v>138</v>
      </c>
      <c r="D38" s="129">
        <v>0.20998096466064453</v>
      </c>
      <c r="E38" s="127">
        <v>2.9871691911351566E-2</v>
      </c>
      <c r="K38" s="100"/>
    </row>
    <row r="39" spans="2:24" ht="15" customHeight="1">
      <c r="C39" s="104" t="s">
        <v>75</v>
      </c>
      <c r="D39" s="129">
        <v>2.0360579490661621</v>
      </c>
      <c r="E39" s="127">
        <v>0.28964766337966036</v>
      </c>
      <c r="N39" s="79"/>
    </row>
    <row r="40" spans="2:24" ht="15" customHeight="1">
      <c r="C40" s="104" t="s">
        <v>76</v>
      </c>
      <c r="D40" s="129">
        <v>0.93869900703430176</v>
      </c>
      <c r="E40" s="127">
        <v>0.13353842611846883</v>
      </c>
    </row>
    <row r="41" spans="2:24" ht="15" customHeight="1">
      <c r="C41" s="105" t="s">
        <v>139</v>
      </c>
      <c r="D41" s="130">
        <v>0.22476911544799805</v>
      </c>
      <c r="E41" s="128">
        <v>3.1975440148589898E-2</v>
      </c>
    </row>
    <row r="42" spans="2:24" ht="15" customHeight="1">
      <c r="C42" s="169" t="s">
        <v>77</v>
      </c>
      <c r="D42" s="130">
        <v>2.5022745132446289E-2</v>
      </c>
      <c r="E42" s="128">
        <v>3.5597118747440525E-3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140</v>
      </c>
      <c r="F46" s="113">
        <v>150</v>
      </c>
      <c r="G46" s="109">
        <v>5</v>
      </c>
      <c r="H46" s="108" t="s">
        <v>92</v>
      </c>
      <c r="I46" s="131">
        <v>2.6040792465209961E-2</v>
      </c>
      <c r="J46" s="127">
        <v>3.7045383180582701E-3</v>
      </c>
    </row>
    <row r="47" spans="2:24" ht="15" customHeight="1">
      <c r="C47" s="117" t="s">
        <v>83</v>
      </c>
      <c r="D47" s="118" t="s">
        <v>85</v>
      </c>
      <c r="E47" s="118" t="s">
        <v>140</v>
      </c>
      <c r="F47" s="113">
        <v>150</v>
      </c>
      <c r="G47" s="109">
        <v>5</v>
      </c>
      <c r="H47" s="108" t="s">
        <v>92</v>
      </c>
      <c r="I47" s="131">
        <v>3.9979696273803711E-2</v>
      </c>
      <c r="J47" s="127">
        <v>5.6874734894686758E-3</v>
      </c>
    </row>
    <row r="48" spans="2:24" ht="15" customHeight="1">
      <c r="C48" s="117" t="s">
        <v>83</v>
      </c>
      <c r="D48" s="118" t="s">
        <v>86</v>
      </c>
      <c r="E48" s="118" t="s">
        <v>140</v>
      </c>
      <c r="F48" s="113">
        <v>150</v>
      </c>
      <c r="G48" s="109">
        <v>5</v>
      </c>
      <c r="H48" s="108" t="s">
        <v>92</v>
      </c>
      <c r="I48" s="131">
        <v>4.2668342590332031E-2</v>
      </c>
      <c r="J48" s="127">
        <v>6.069957752057536E-3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140</v>
      </c>
      <c r="F49" s="171">
        <v>150</v>
      </c>
      <c r="G49" s="109">
        <v>5</v>
      </c>
      <c r="H49" s="113" t="s">
        <v>92</v>
      </c>
      <c r="I49" s="131">
        <v>4.076075553894043E-2</v>
      </c>
      <c r="J49" s="172">
        <v>5.7985862361425349E-3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140</v>
      </c>
      <c r="F50" s="171">
        <v>150</v>
      </c>
      <c r="G50" s="109">
        <v>5</v>
      </c>
      <c r="H50" s="113" t="s">
        <v>93</v>
      </c>
      <c r="I50" s="131">
        <v>4.0106534957885742E-2</v>
      </c>
      <c r="J50" s="172">
        <v>5.7055174397832335E-3</v>
      </c>
      <c r="K50"/>
    </row>
    <row r="51" spans="1:11" ht="15" customHeight="1">
      <c r="A51"/>
      <c r="B51"/>
      <c r="C51" s="170" t="s">
        <v>83</v>
      </c>
      <c r="D51" s="170" t="s">
        <v>84</v>
      </c>
      <c r="E51" s="117" t="s">
        <v>141</v>
      </c>
      <c r="F51" s="171">
        <v>150</v>
      </c>
      <c r="G51" s="109">
        <v>5</v>
      </c>
      <c r="H51" s="113" t="s">
        <v>92</v>
      </c>
      <c r="I51" s="131">
        <v>9.5440387725830078E-2</v>
      </c>
      <c r="J51" s="172">
        <v>1.3577258598908966E-2</v>
      </c>
      <c r="K51"/>
    </row>
    <row r="52" spans="1:11" ht="15" customHeight="1">
      <c r="A52"/>
      <c r="B52"/>
      <c r="C52" s="170" t="s">
        <v>83</v>
      </c>
      <c r="D52" s="170" t="s">
        <v>84</v>
      </c>
      <c r="E52" s="117" t="s">
        <v>142</v>
      </c>
      <c r="F52" s="171">
        <v>150</v>
      </c>
      <c r="G52" s="109">
        <v>5</v>
      </c>
      <c r="H52" s="113" t="s">
        <v>92</v>
      </c>
      <c r="I52" s="131">
        <v>0.12707948684692383</v>
      </c>
      <c r="J52" s="172">
        <v>1.8078206686396075E-2</v>
      </c>
      <c r="K52"/>
    </row>
    <row r="53" spans="1:11" ht="15" customHeight="1">
      <c r="A53"/>
      <c r="B53"/>
      <c r="C53" s="170" t="s">
        <v>83</v>
      </c>
      <c r="D53" s="170" t="s">
        <v>85</v>
      </c>
      <c r="E53" s="117" t="s">
        <v>141</v>
      </c>
      <c r="F53" s="171">
        <v>150</v>
      </c>
      <c r="G53" s="109">
        <v>5</v>
      </c>
      <c r="H53" s="113" t="s">
        <v>92</v>
      </c>
      <c r="I53" s="131">
        <v>0.11501860618591309</v>
      </c>
      <c r="J53" s="172">
        <v>1.6362437298120588E-2</v>
      </c>
      <c r="K53"/>
    </row>
    <row r="54" spans="1:11" ht="15" customHeight="1">
      <c r="A54"/>
      <c r="B54"/>
      <c r="C54" s="170" t="s">
        <v>83</v>
      </c>
      <c r="D54" s="170" t="s">
        <v>85</v>
      </c>
      <c r="E54" s="117" t="s">
        <v>142</v>
      </c>
      <c r="F54" s="171">
        <v>150</v>
      </c>
      <c r="G54" s="109">
        <v>5</v>
      </c>
      <c r="H54" s="113" t="s">
        <v>92</v>
      </c>
      <c r="I54" s="131">
        <v>7.8940629959106445E-2</v>
      </c>
      <c r="J54" s="172">
        <v>1.1230018784023615E-2</v>
      </c>
      <c r="K54"/>
    </row>
    <row r="55" spans="1:11" ht="15" customHeight="1">
      <c r="A55"/>
      <c r="B55"/>
      <c r="C55" s="170" t="s">
        <v>83</v>
      </c>
      <c r="D55" s="170" t="s">
        <v>86</v>
      </c>
      <c r="E55" s="117" t="s">
        <v>141</v>
      </c>
      <c r="F55" s="171">
        <v>150</v>
      </c>
      <c r="G55" s="109">
        <v>5</v>
      </c>
      <c r="H55" s="113" t="s">
        <v>92</v>
      </c>
      <c r="I55" s="131">
        <v>0.11146759986877441</v>
      </c>
      <c r="J55" s="172">
        <v>1.5857274523712633E-2</v>
      </c>
      <c r="K55"/>
    </row>
    <row r="56" spans="1:11" ht="15" customHeight="1">
      <c r="A56"/>
      <c r="B56"/>
      <c r="C56" s="170" t="s">
        <v>83</v>
      </c>
      <c r="D56" s="170" t="s">
        <v>86</v>
      </c>
      <c r="E56" s="117" t="s">
        <v>142</v>
      </c>
      <c r="F56" s="171">
        <v>150</v>
      </c>
      <c r="G56" s="109">
        <v>5</v>
      </c>
      <c r="H56" s="113" t="s">
        <v>92</v>
      </c>
      <c r="I56" s="131">
        <v>7.8615665435791016E-2</v>
      </c>
      <c r="J56" s="172">
        <v>1.1183789640642519E-2</v>
      </c>
      <c r="K56"/>
    </row>
    <row r="57" spans="1:11" ht="15" customHeight="1">
      <c r="A57"/>
      <c r="B57"/>
      <c r="C57" s="170" t="s">
        <v>83</v>
      </c>
      <c r="D57" s="170" t="s">
        <v>87</v>
      </c>
      <c r="E57" s="117" t="s">
        <v>141</v>
      </c>
      <c r="F57" s="171">
        <v>150</v>
      </c>
      <c r="G57" s="109">
        <v>5</v>
      </c>
      <c r="H57" s="113" t="s">
        <v>92</v>
      </c>
      <c r="I57" s="131">
        <v>0.1215825080871582</v>
      </c>
      <c r="J57" s="172">
        <v>1.7296211726898977E-2</v>
      </c>
      <c r="K57"/>
    </row>
    <row r="58" spans="1:11">
      <c r="A58"/>
      <c r="B58"/>
      <c r="C58" s="170" t="s">
        <v>83</v>
      </c>
      <c r="D58" s="170" t="s">
        <v>87</v>
      </c>
      <c r="E58" s="117" t="s">
        <v>142</v>
      </c>
      <c r="F58" s="171">
        <v>150</v>
      </c>
      <c r="G58" s="109">
        <v>5</v>
      </c>
      <c r="H58" s="113" t="s">
        <v>92</v>
      </c>
      <c r="I58" s="131">
        <v>7.8961610794067383E-2</v>
      </c>
      <c r="J58" s="172">
        <v>1.1233003497609481E-2</v>
      </c>
      <c r="K58"/>
    </row>
    <row r="59" spans="1:11">
      <c r="A59"/>
      <c r="B59"/>
      <c r="C59" s="173" t="s">
        <v>83</v>
      </c>
      <c r="D59" s="173" t="s">
        <v>88</v>
      </c>
      <c r="E59" s="174" t="s">
        <v>141</v>
      </c>
      <c r="F59" s="175">
        <v>150</v>
      </c>
      <c r="G59" s="176">
        <v>5</v>
      </c>
      <c r="H59" s="177" t="s">
        <v>93</v>
      </c>
      <c r="I59" s="178">
        <v>0.10249948501586914</v>
      </c>
      <c r="J59" s="179">
        <v>1.458147905175378E-2</v>
      </c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9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229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150</v>
      </c>
    </row>
    <row r="10" spans="1:23" ht="15" hidden="1" customHeight="1" outlineLevel="1">
      <c r="B10" s="32"/>
      <c r="C10" s="32"/>
      <c r="D10" s="69" t="s">
        <v>54</v>
      </c>
      <c r="E10" s="37">
        <v>5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91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0.99333333333333329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</row>
    <row r="16" spans="1:23" ht="10.199999999999999" hidden="1" customHeight="1" outlineLevel="1">
      <c r="B16" s="32"/>
      <c r="C16" s="32"/>
    </row>
    <row r="17" spans="1:1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</row>
    <row r="18" spans="1:12" ht="10.199999999999999" hidden="1" customHeight="1" outlineLevel="1"/>
    <row r="19" spans="1:1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35" t="s">
        <v>89</v>
      </c>
      <c r="K19" s="35" t="s">
        <v>39</v>
      </c>
      <c r="L19" s="35" t="s">
        <v>90</v>
      </c>
    </row>
    <row r="20" spans="1:12" ht="10.199999999999999" customHeight="1"/>
    <row r="21" spans="1:12" ht="14.4" outlineLevel="1">
      <c r="B21" s="32"/>
      <c r="C21" s="70" t="s">
        <v>1</v>
      </c>
      <c r="D21" s="2" t="s">
        <v>8</v>
      </c>
    </row>
    <row r="22" spans="1:12" ht="10.199999999999999" customHeight="1" outlineLevel="1">
      <c r="B22" s="32"/>
      <c r="C22" s="32"/>
    </row>
    <row r="23" spans="1:12" ht="15" hidden="1" customHeight="1" outlineLevel="2">
      <c r="B23" s="32"/>
      <c r="C23" s="32"/>
      <c r="D23" s="28" t="s">
        <v>9</v>
      </c>
      <c r="E23" s="18" t="s">
        <v>92</v>
      </c>
      <c r="F23" s="18" t="s">
        <v>92</v>
      </c>
      <c r="G23" s="18" t="s">
        <v>92</v>
      </c>
      <c r="H23" s="18" t="s">
        <v>92</v>
      </c>
      <c r="I23" s="18" t="s">
        <v>93</v>
      </c>
    </row>
    <row r="24" spans="1:12" ht="15" hidden="1" customHeight="1" outlineLevel="2">
      <c r="B24" s="32"/>
      <c r="C24" s="32"/>
      <c r="D24" s="3" t="s">
        <v>10</v>
      </c>
      <c r="E24" s="19">
        <v>0.233333333333333</v>
      </c>
      <c r="F24" s="19">
        <v>0.15333333333333299</v>
      </c>
      <c r="G24" s="19">
        <v>0.28666666666666601</v>
      </c>
      <c r="H24" s="19">
        <v>0.146666666666666</v>
      </c>
      <c r="I24" s="19">
        <v>0.02</v>
      </c>
    </row>
    <row r="25" spans="1:1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</row>
    <row r="26" spans="1:12" ht="15" hidden="1" customHeight="1" outlineLevel="2">
      <c r="B26" s="32"/>
      <c r="C26" s="32"/>
      <c r="D26" s="27" t="s">
        <v>12</v>
      </c>
      <c r="E26" s="19">
        <v>0.141693234148069</v>
      </c>
      <c r="F26" s="19">
        <v>0.141693234148069</v>
      </c>
      <c r="G26" s="19">
        <v>0.141693234148069</v>
      </c>
      <c r="H26" s="19">
        <v>0.141693234148069</v>
      </c>
      <c r="I26" s="19">
        <v>0.29153382925965199</v>
      </c>
    </row>
    <row r="27" spans="1:12" ht="15" hidden="1" customHeight="1" outlineLevel="2">
      <c r="B27" s="32"/>
      <c r="C27" s="32"/>
      <c r="D27" s="27" t="s">
        <v>13</v>
      </c>
      <c r="E27" s="20">
        <v>1200</v>
      </c>
      <c r="F27" s="20">
        <v>1200</v>
      </c>
      <c r="G27" s="20">
        <v>1200</v>
      </c>
      <c r="H27" s="20">
        <v>1200</v>
      </c>
      <c r="I27" s="20">
        <v>2469</v>
      </c>
    </row>
    <row r="28" spans="1:12" ht="15" hidden="1" customHeight="1" outlineLevel="2">
      <c r="B28" s="32"/>
      <c r="C28" s="32"/>
      <c r="D28" s="27" t="s">
        <v>14</v>
      </c>
      <c r="E28" s="20">
        <v>35</v>
      </c>
      <c r="F28" s="20">
        <v>23</v>
      </c>
      <c r="G28" s="20">
        <v>43</v>
      </c>
      <c r="H28" s="20">
        <v>22</v>
      </c>
      <c r="I28" s="20">
        <v>3</v>
      </c>
    </row>
    <row r="29" spans="1:12" ht="15" hidden="1" customHeight="1" outlineLevel="2">
      <c r="B29" s="32"/>
      <c r="C29" s="32"/>
      <c r="D29" s="28" t="s">
        <v>15</v>
      </c>
      <c r="E29" s="20">
        <v>150</v>
      </c>
      <c r="F29" s="20">
        <v>150</v>
      </c>
      <c r="G29" s="20">
        <v>150</v>
      </c>
      <c r="H29" s="20">
        <v>150</v>
      </c>
      <c r="I29" s="20">
        <v>150</v>
      </c>
    </row>
    <row r="30" spans="1:1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</row>
    <row r="31" spans="1:12" ht="10.199999999999999" hidden="1" customHeight="1" outlineLevel="2">
      <c r="B31" s="32"/>
      <c r="C31" s="32"/>
    </row>
    <row r="32" spans="1:12" ht="150" hidden="1" customHeight="1" outlineLevel="2"/>
    <row r="33" spans="2:9" ht="10.199999999999999" hidden="1" customHeight="1" outlineLevel="2"/>
    <row r="34" spans="2:9" ht="14.4" outlineLevel="1" collapsed="1">
      <c r="B34" s="32"/>
      <c r="C34" s="70" t="s">
        <v>1</v>
      </c>
      <c r="D34" s="2" t="s">
        <v>17</v>
      </c>
    </row>
    <row r="35" spans="2:9" ht="10.199999999999999" customHeight="1" outlineLevel="1">
      <c r="B35" s="32"/>
      <c r="C35" s="32"/>
    </row>
    <row r="36" spans="2:9" ht="15" hidden="1" customHeight="1" outlineLevel="2">
      <c r="B36" s="32"/>
      <c r="C36" s="32"/>
      <c r="D36" s="3" t="s">
        <v>18</v>
      </c>
      <c r="E36" s="21">
        <v>5.8433333333333302</v>
      </c>
      <c r="F36" s="21">
        <v>3.0573333333333301</v>
      </c>
      <c r="G36" s="21">
        <v>3.758</v>
      </c>
      <c r="H36" s="21">
        <v>1.19933333333333</v>
      </c>
      <c r="I36" s="21"/>
    </row>
    <row r="37" spans="2:9" ht="15" hidden="1" customHeight="1" outlineLevel="2">
      <c r="B37" s="32"/>
      <c r="C37" s="32"/>
      <c r="D37" s="27" t="s">
        <v>19</v>
      </c>
      <c r="E37" s="21">
        <v>5.8</v>
      </c>
      <c r="F37" s="21">
        <v>3</v>
      </c>
      <c r="G37" s="21">
        <v>4.3499999999999996</v>
      </c>
      <c r="H37" s="21">
        <v>1.3</v>
      </c>
      <c r="I37" s="21"/>
    </row>
    <row r="38" spans="2:9" ht="15" hidden="1" customHeight="1" outlineLevel="2">
      <c r="B38" s="32"/>
      <c r="C38" s="32"/>
      <c r="D38" s="27" t="s">
        <v>20</v>
      </c>
      <c r="E38" s="21">
        <v>5</v>
      </c>
      <c r="F38" s="21">
        <v>3</v>
      </c>
      <c r="G38" s="21">
        <v>1.4</v>
      </c>
      <c r="H38" s="21">
        <v>0.2</v>
      </c>
      <c r="I38" s="21" t="s">
        <v>94</v>
      </c>
    </row>
    <row r="39" spans="2:9" ht="15" hidden="1" customHeight="1" outlineLevel="2">
      <c r="B39" s="32"/>
      <c r="C39" s="32"/>
      <c r="D39" s="3" t="s">
        <v>21</v>
      </c>
      <c r="E39" s="21">
        <v>0.82806612797786305</v>
      </c>
      <c r="F39" s="21">
        <v>0.43586628493669799</v>
      </c>
      <c r="G39" s="21">
        <v>1.76529823325946</v>
      </c>
      <c r="H39" s="21">
        <v>0.76223766896034595</v>
      </c>
      <c r="I39" s="21"/>
    </row>
    <row r="40" spans="2:9" ht="15" hidden="1" customHeight="1" outlineLevel="2">
      <c r="B40" s="32"/>
      <c r="C40" s="32"/>
      <c r="D40" s="29" t="s">
        <v>22</v>
      </c>
      <c r="E40" s="21">
        <v>0.68569351230425002</v>
      </c>
      <c r="F40" s="21">
        <v>0.18997941834451901</v>
      </c>
      <c r="G40" s="21">
        <v>3.1162778523489898</v>
      </c>
      <c r="H40" s="21">
        <v>0.58100626398210198</v>
      </c>
      <c r="I40" s="21"/>
    </row>
    <row r="41" spans="2:9" ht="10.199999999999999" hidden="1" customHeight="1" outlineLevel="2">
      <c r="B41" s="32"/>
      <c r="C41" s="32"/>
    </row>
    <row r="42" spans="2:9" ht="150" hidden="1" customHeight="1" outlineLevel="2"/>
    <row r="43" spans="2:9" ht="10.199999999999999" hidden="1" customHeight="1" outlineLevel="2"/>
    <row r="44" spans="2:9" ht="14.4" outlineLevel="1" collapsed="1">
      <c r="B44" s="32"/>
      <c r="C44" s="70" t="s">
        <v>1</v>
      </c>
      <c r="D44" s="2" t="s">
        <v>23</v>
      </c>
    </row>
    <row r="45" spans="2:9" ht="9.9" customHeight="1" outlineLevel="1">
      <c r="B45" s="32"/>
      <c r="C45" s="32"/>
    </row>
    <row r="46" spans="2:9" ht="15" hidden="1" customHeight="1" outlineLevel="2">
      <c r="B46" s="32"/>
      <c r="C46" s="32"/>
      <c r="D46" s="3" t="s">
        <v>24</v>
      </c>
      <c r="E46" s="21">
        <v>4.3</v>
      </c>
      <c r="F46" s="21">
        <v>2</v>
      </c>
      <c r="G46" s="21">
        <v>1</v>
      </c>
      <c r="H46" s="21">
        <v>0.1</v>
      </c>
      <c r="I46" s="21"/>
    </row>
    <row r="47" spans="2:9" ht="15" hidden="1" customHeight="1" outlineLevel="2">
      <c r="B47" s="32"/>
      <c r="C47" s="32"/>
      <c r="D47" s="27">
        <v>0.05</v>
      </c>
      <c r="E47" s="21">
        <v>4.5999999999999996</v>
      </c>
      <c r="F47" s="21">
        <v>2.34499999999999</v>
      </c>
      <c r="G47" s="21">
        <v>1.3</v>
      </c>
      <c r="H47" s="21">
        <v>0.2</v>
      </c>
      <c r="I47" s="21"/>
    </row>
    <row r="48" spans="2:9" ht="15" hidden="1" customHeight="1" outlineLevel="2">
      <c r="B48" s="32"/>
      <c r="C48" s="32"/>
      <c r="D48" s="28">
        <v>0.25</v>
      </c>
      <c r="E48" s="21">
        <v>5.0999999999999996</v>
      </c>
      <c r="F48" s="21">
        <v>2.8</v>
      </c>
      <c r="G48" s="21">
        <v>1.6</v>
      </c>
      <c r="H48" s="21">
        <v>0.3</v>
      </c>
      <c r="I48" s="21"/>
    </row>
    <row r="49" spans="1:9" ht="15" hidden="1" customHeight="1" outlineLevel="2">
      <c r="B49" s="32"/>
      <c r="C49" s="32"/>
      <c r="D49" s="3">
        <v>0.5</v>
      </c>
      <c r="E49" s="21">
        <v>5.8</v>
      </c>
      <c r="F49" s="21">
        <v>3</v>
      </c>
      <c r="G49" s="21">
        <v>4.3499999999999996</v>
      </c>
      <c r="H49" s="21">
        <v>1.3</v>
      </c>
      <c r="I49" s="21"/>
    </row>
    <row r="50" spans="1:9" ht="15" hidden="1" customHeight="1" outlineLevel="2">
      <c r="B50" s="32"/>
      <c r="C50" s="32"/>
      <c r="D50" s="27">
        <v>0.75</v>
      </c>
      <c r="E50" s="21">
        <v>6.4</v>
      </c>
      <c r="F50" s="21">
        <v>3.3</v>
      </c>
      <c r="G50" s="21">
        <v>5.0999999999999996</v>
      </c>
      <c r="H50" s="21">
        <v>1.8</v>
      </c>
      <c r="I50" s="21"/>
    </row>
    <row r="51" spans="1:9" ht="15" hidden="1" customHeight="1" outlineLevel="2">
      <c r="B51" s="32"/>
      <c r="C51" s="32"/>
      <c r="D51" s="27">
        <v>0.95</v>
      </c>
      <c r="E51" s="21">
        <v>7.2549999999999901</v>
      </c>
      <c r="F51" s="21">
        <v>3.8</v>
      </c>
      <c r="G51" s="21">
        <v>6.1</v>
      </c>
      <c r="H51" s="21">
        <v>2.2999999999999998</v>
      </c>
      <c r="I51" s="21"/>
    </row>
    <row r="52" spans="1:9" ht="15" hidden="1" customHeight="1" outlineLevel="2">
      <c r="B52" s="32"/>
      <c r="C52" s="32"/>
      <c r="D52" s="3" t="s">
        <v>25</v>
      </c>
      <c r="E52" s="21">
        <v>7.9</v>
      </c>
      <c r="F52" s="21">
        <v>4.4000000000000004</v>
      </c>
      <c r="G52" s="21">
        <v>6.9</v>
      </c>
      <c r="H52" s="21">
        <v>2.5</v>
      </c>
      <c r="I52" s="21"/>
    </row>
    <row r="53" spans="1:9" ht="15" hidden="1" customHeight="1" outlineLevel="2">
      <c r="B53" s="32"/>
      <c r="C53" s="32"/>
      <c r="D53" s="27" t="s">
        <v>26</v>
      </c>
      <c r="E53" s="21">
        <v>3.6</v>
      </c>
      <c r="F53" s="21">
        <v>2.4</v>
      </c>
      <c r="G53" s="21">
        <v>5.9</v>
      </c>
      <c r="H53" s="21">
        <v>2.4</v>
      </c>
      <c r="I53" s="21"/>
    </row>
    <row r="54" spans="1:9" ht="15" hidden="1" customHeight="1" outlineLevel="2">
      <c r="D54" s="3" t="s">
        <v>27</v>
      </c>
      <c r="E54" s="21">
        <v>1.3</v>
      </c>
      <c r="F54" s="21">
        <v>0.5</v>
      </c>
      <c r="G54" s="21">
        <v>3.4999999999999898</v>
      </c>
      <c r="H54" s="21">
        <v>1.5</v>
      </c>
      <c r="I54" s="21"/>
    </row>
    <row r="55" spans="1:9" ht="10.199999999999999" hidden="1" customHeight="1" outlineLevel="2"/>
    <row r="56" spans="1:9" ht="14.4" outlineLevel="1" collapsed="1">
      <c r="A56" s="32"/>
      <c r="B56" s="32"/>
      <c r="C56" s="70" t="s">
        <v>1</v>
      </c>
      <c r="D56" s="2" t="s">
        <v>28</v>
      </c>
    </row>
    <row r="57" spans="1:9" ht="9.9" customHeight="1" outlineLevel="1">
      <c r="A57" s="32"/>
      <c r="B57" s="32"/>
      <c r="C57" s="32"/>
    </row>
    <row r="58" spans="1: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</row>
    <row r="59" spans="1: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</row>
    <row r="60" spans="1: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</row>
    <row r="61" spans="1: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</row>
    <row r="62" spans="1: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</row>
    <row r="63" spans="1: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</row>
    <row r="64" spans="1: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</row>
    <row r="65" spans="1:1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</row>
    <row r="66" spans="1:12" ht="10.199999999999999" hidden="1" customHeight="1" outlineLevel="2"/>
    <row r="67" spans="1:12" ht="14.4" outlineLevel="1" collapsed="1">
      <c r="A67" s="32"/>
      <c r="B67" s="32"/>
      <c r="C67" s="70" t="s">
        <v>1</v>
      </c>
      <c r="D67" s="2" t="s">
        <v>37</v>
      </c>
    </row>
    <row r="68" spans="1:12" ht="9.9" customHeight="1" outlineLevel="1">
      <c r="A68" s="32"/>
      <c r="B68" s="32"/>
    </row>
    <row r="69" spans="1:1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2" ht="10.199999999999999" hidden="1" customHeight="1" outlineLevel="1" collapsed="1"/>
    <row r="79" spans="1:1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6" t="s">
        <v>89</v>
      </c>
      <c r="K79" s="156" t="s">
        <v>39</v>
      </c>
      <c r="L79" s="156" t="s">
        <v>90</v>
      </c>
    </row>
    <row r="80" spans="1:12" ht="15" customHeight="1">
      <c r="D80" s="157" t="b">
        <v>0</v>
      </c>
      <c r="E80" s="151">
        <v>5.0999999999999996</v>
      </c>
      <c r="F80" s="151">
        <v>3.5</v>
      </c>
      <c r="G80" s="151">
        <v>1.4</v>
      </c>
      <c r="H80" s="152">
        <v>0.2</v>
      </c>
      <c r="I80" s="152" t="s">
        <v>94</v>
      </c>
      <c r="J80" s="160">
        <v>0</v>
      </c>
      <c r="K80" s="160">
        <v>0</v>
      </c>
      <c r="L80" s="160">
        <v>6.4448666609208627E+18</v>
      </c>
    </row>
    <row r="81" spans="4:12" ht="15" customHeight="1">
      <c r="D81" s="157" t="b">
        <v>0</v>
      </c>
      <c r="E81" s="151">
        <v>4.9000000000000004</v>
      </c>
      <c r="F81" s="151">
        <v>3</v>
      </c>
      <c r="G81" s="151">
        <v>1.4</v>
      </c>
      <c r="H81" s="152">
        <v>0.2</v>
      </c>
      <c r="I81" s="152" t="s">
        <v>94</v>
      </c>
      <c r="J81" s="160">
        <v>1</v>
      </c>
      <c r="K81" s="160">
        <v>0</v>
      </c>
      <c r="L81" s="160">
        <v>1.1765950511506811E+19</v>
      </c>
    </row>
    <row r="82" spans="4:12" ht="15" customHeight="1">
      <c r="D82" s="158" t="b">
        <v>0</v>
      </c>
      <c r="E82" s="153">
        <v>4.7</v>
      </c>
      <c r="F82" s="151">
        <v>3.2</v>
      </c>
      <c r="G82" s="151">
        <v>1.3</v>
      </c>
      <c r="H82" s="152">
        <v>0.2</v>
      </c>
      <c r="I82" s="152" t="s">
        <v>94</v>
      </c>
      <c r="J82" s="160">
        <v>2</v>
      </c>
      <c r="K82" s="160">
        <v>0</v>
      </c>
      <c r="L82" s="160">
        <v>1.3476958561087588E+18</v>
      </c>
    </row>
    <row r="83" spans="4:12" ht="15" customHeight="1">
      <c r="D83" s="158" t="b">
        <v>0</v>
      </c>
      <c r="E83" s="153">
        <v>4.5999999999999996</v>
      </c>
      <c r="F83" s="151">
        <v>3.1</v>
      </c>
      <c r="G83" s="151">
        <v>1.5</v>
      </c>
      <c r="H83" s="152">
        <v>0.2</v>
      </c>
      <c r="I83" s="152" t="s">
        <v>94</v>
      </c>
      <c r="J83" s="160">
        <v>3</v>
      </c>
      <c r="K83" s="160">
        <v>0</v>
      </c>
      <c r="L83" s="160">
        <v>9.8632584464446505E+18</v>
      </c>
    </row>
    <row r="84" spans="4:12" ht="15" customHeight="1">
      <c r="D84" s="158" t="b">
        <v>0</v>
      </c>
      <c r="E84" s="153">
        <v>5</v>
      </c>
      <c r="F84" s="151">
        <v>3.6</v>
      </c>
      <c r="G84" s="151">
        <v>1.4</v>
      </c>
      <c r="H84" s="152">
        <v>0.2</v>
      </c>
      <c r="I84" s="152" t="s">
        <v>94</v>
      </c>
      <c r="J84" s="160">
        <v>4</v>
      </c>
      <c r="K84" s="160">
        <v>0</v>
      </c>
      <c r="L84" s="160">
        <v>4.9599550204549448E+18</v>
      </c>
    </row>
    <row r="85" spans="4:12" ht="15" customHeight="1">
      <c r="D85" s="158" t="b">
        <v>0</v>
      </c>
      <c r="E85" s="153">
        <v>5.4</v>
      </c>
      <c r="F85" s="151">
        <v>3.9</v>
      </c>
      <c r="G85" s="151">
        <v>1.7</v>
      </c>
      <c r="H85" s="152">
        <v>0.4</v>
      </c>
      <c r="I85" s="152" t="s">
        <v>94</v>
      </c>
      <c r="J85" s="160">
        <v>5</v>
      </c>
      <c r="K85" s="160">
        <v>0</v>
      </c>
      <c r="L85" s="160">
        <v>8.2824582833243269E+18</v>
      </c>
    </row>
    <row r="86" spans="4:12" ht="15" customHeight="1">
      <c r="D86" s="158" t="b">
        <v>0</v>
      </c>
      <c r="E86" s="153">
        <v>4.5999999999999996</v>
      </c>
      <c r="F86" s="151">
        <v>3.4</v>
      </c>
      <c r="G86" s="151">
        <v>1.4</v>
      </c>
      <c r="H86" s="152">
        <v>0.3</v>
      </c>
      <c r="I86" s="152" t="s">
        <v>94</v>
      </c>
      <c r="J86" s="160">
        <v>6</v>
      </c>
      <c r="K86" s="160">
        <v>0</v>
      </c>
      <c r="L86" s="160">
        <v>1.2585122330970276E+19</v>
      </c>
    </row>
    <row r="87" spans="4:12" ht="15" customHeight="1">
      <c r="D87" s="158" t="b">
        <v>0</v>
      </c>
      <c r="E87" s="153">
        <v>5</v>
      </c>
      <c r="F87" s="151">
        <v>3.4</v>
      </c>
      <c r="G87" s="151">
        <v>1.5</v>
      </c>
      <c r="H87" s="152">
        <v>0.2</v>
      </c>
      <c r="I87" s="152" t="s">
        <v>94</v>
      </c>
      <c r="J87" s="160">
        <v>7</v>
      </c>
      <c r="K87" s="160">
        <v>0</v>
      </c>
      <c r="L87" s="160">
        <v>9.5268664734738084E+18</v>
      </c>
    </row>
    <row r="88" spans="4:12" ht="15" customHeight="1">
      <c r="D88" s="158" t="b">
        <v>0</v>
      </c>
      <c r="E88" s="153">
        <v>4.4000000000000004</v>
      </c>
      <c r="F88" s="151">
        <v>2.9</v>
      </c>
      <c r="G88" s="151">
        <v>1.4</v>
      </c>
      <c r="H88" s="152">
        <v>0.2</v>
      </c>
      <c r="I88" s="152" t="s">
        <v>94</v>
      </c>
      <c r="J88" s="160">
        <v>8</v>
      </c>
      <c r="K88" s="160">
        <v>0</v>
      </c>
      <c r="L88" s="160">
        <v>1.8278756919478217E+19</v>
      </c>
    </row>
    <row r="89" spans="4:12" ht="15" customHeight="1">
      <c r="D89" s="158" t="b">
        <v>0</v>
      </c>
      <c r="E89" s="153">
        <v>4.9000000000000004</v>
      </c>
      <c r="F89" s="151">
        <v>3.1</v>
      </c>
      <c r="G89" s="151">
        <v>1.5</v>
      </c>
      <c r="H89" s="152">
        <v>0.1</v>
      </c>
      <c r="I89" s="152" t="s">
        <v>94</v>
      </c>
      <c r="J89" s="160">
        <v>9</v>
      </c>
      <c r="K89" s="160">
        <v>0</v>
      </c>
      <c r="L89" s="160">
        <v>6.2217627561516278E+18</v>
      </c>
    </row>
    <row r="90" spans="4:12" ht="15" customHeight="1">
      <c r="D90" s="158" t="b">
        <v>0</v>
      </c>
      <c r="E90" s="153">
        <v>5.4</v>
      </c>
      <c r="F90" s="151">
        <v>3.7</v>
      </c>
      <c r="G90" s="151">
        <v>1.5</v>
      </c>
      <c r="H90" s="152">
        <v>0.2</v>
      </c>
      <c r="I90" s="152" t="s">
        <v>94</v>
      </c>
      <c r="J90" s="160">
        <v>10</v>
      </c>
      <c r="K90" s="160">
        <v>0</v>
      </c>
      <c r="L90" s="160">
        <v>1.809564264768621E+19</v>
      </c>
    </row>
    <row r="91" spans="4:12" ht="15" customHeight="1">
      <c r="D91" s="158" t="b">
        <v>0</v>
      </c>
      <c r="E91" s="153">
        <v>4.8</v>
      </c>
      <c r="F91" s="151">
        <v>3.4</v>
      </c>
      <c r="G91" s="151">
        <v>1.6</v>
      </c>
      <c r="H91" s="152">
        <v>0.2</v>
      </c>
      <c r="I91" s="152" t="s">
        <v>94</v>
      </c>
      <c r="J91" s="160">
        <v>11</v>
      </c>
      <c r="K91" s="160">
        <v>0</v>
      </c>
      <c r="L91" s="160">
        <v>1.7295182601082767E+19</v>
      </c>
    </row>
    <row r="92" spans="4:12" ht="15" customHeight="1">
      <c r="D92" s="158" t="b">
        <v>0</v>
      </c>
      <c r="E92" s="153">
        <v>4.8</v>
      </c>
      <c r="F92" s="151">
        <v>3</v>
      </c>
      <c r="G92" s="151">
        <v>1.4</v>
      </c>
      <c r="H92" s="152">
        <v>0.1</v>
      </c>
      <c r="I92" s="152" t="s">
        <v>94</v>
      </c>
      <c r="J92" s="160">
        <v>12</v>
      </c>
      <c r="K92" s="160">
        <v>0</v>
      </c>
      <c r="L92" s="160">
        <v>1.1954364157087431E+19</v>
      </c>
    </row>
    <row r="93" spans="4:12" ht="15" customHeight="1">
      <c r="D93" s="158" t="b">
        <v>0</v>
      </c>
      <c r="E93" s="153">
        <v>4.3</v>
      </c>
      <c r="F93" s="151">
        <v>3</v>
      </c>
      <c r="G93" s="151">
        <v>1.1000000000000001</v>
      </c>
      <c r="H93" s="152">
        <v>0.1</v>
      </c>
      <c r="I93" s="152" t="s">
        <v>94</v>
      </c>
      <c r="J93" s="160">
        <v>13</v>
      </c>
      <c r="K93" s="160">
        <v>0</v>
      </c>
      <c r="L93" s="160">
        <v>1.3137923434489776E+19</v>
      </c>
    </row>
    <row r="94" spans="4:12" ht="15" customHeight="1">
      <c r="D94" s="158" t="b">
        <v>0</v>
      </c>
      <c r="E94" s="153">
        <v>5.8</v>
      </c>
      <c r="F94" s="151">
        <v>4</v>
      </c>
      <c r="G94" s="151">
        <v>1.2</v>
      </c>
      <c r="H94" s="152">
        <v>0.2</v>
      </c>
      <c r="I94" s="152" t="s">
        <v>94</v>
      </c>
      <c r="J94" s="160">
        <v>14</v>
      </c>
      <c r="K94" s="160">
        <v>0</v>
      </c>
      <c r="L94" s="160">
        <v>1.5078422819717117E+18</v>
      </c>
    </row>
    <row r="95" spans="4:12" ht="15" customHeight="1">
      <c r="D95" s="158" t="b">
        <v>0</v>
      </c>
      <c r="E95" s="153">
        <v>5.7</v>
      </c>
      <c r="F95" s="151">
        <v>4.4000000000000004</v>
      </c>
      <c r="G95" s="151">
        <v>1.5</v>
      </c>
      <c r="H95" s="152">
        <v>0.4</v>
      </c>
      <c r="I95" s="152" t="s">
        <v>94</v>
      </c>
      <c r="J95" s="160">
        <v>15</v>
      </c>
      <c r="K95" s="160">
        <v>0</v>
      </c>
      <c r="L95" s="160">
        <v>1.0380433547721755E+19</v>
      </c>
    </row>
    <row r="96" spans="4:12" ht="15" customHeight="1">
      <c r="D96" s="158" t="b">
        <v>0</v>
      </c>
      <c r="E96" s="153">
        <v>5.4</v>
      </c>
      <c r="F96" s="151">
        <v>3.9</v>
      </c>
      <c r="G96" s="151">
        <v>1.3</v>
      </c>
      <c r="H96" s="152">
        <v>0.4</v>
      </c>
      <c r="I96" s="152" t="s">
        <v>94</v>
      </c>
      <c r="J96" s="160">
        <v>16</v>
      </c>
      <c r="K96" s="160">
        <v>0</v>
      </c>
      <c r="L96" s="160">
        <v>6.4804569507077151E+18</v>
      </c>
    </row>
    <row r="97" spans="4:12" ht="15" customHeight="1">
      <c r="D97" s="158" t="b">
        <v>0</v>
      </c>
      <c r="E97" s="153">
        <v>5.0999999999999996</v>
      </c>
      <c r="F97" s="151">
        <v>3.5</v>
      </c>
      <c r="G97" s="151">
        <v>1.4</v>
      </c>
      <c r="H97" s="152">
        <v>0.3</v>
      </c>
      <c r="I97" s="152" t="s">
        <v>94</v>
      </c>
      <c r="J97" s="160">
        <v>17</v>
      </c>
      <c r="K97" s="160">
        <v>0</v>
      </c>
      <c r="L97" s="160">
        <v>8.7572958502563748E+18</v>
      </c>
    </row>
    <row r="98" spans="4:12" ht="15" customHeight="1">
      <c r="D98" s="158" t="b">
        <v>0</v>
      </c>
      <c r="E98" s="153">
        <v>5.7</v>
      </c>
      <c r="F98" s="151">
        <v>3.8</v>
      </c>
      <c r="G98" s="151">
        <v>1.7</v>
      </c>
      <c r="H98" s="152">
        <v>0.3</v>
      </c>
      <c r="I98" s="152" t="s">
        <v>94</v>
      </c>
      <c r="J98" s="160">
        <v>18</v>
      </c>
      <c r="K98" s="160">
        <v>0</v>
      </c>
      <c r="L98" s="160">
        <v>5.5499262735159337E+18</v>
      </c>
    </row>
    <row r="99" spans="4:12" ht="15" customHeight="1">
      <c r="D99" s="158" t="b">
        <v>0</v>
      </c>
      <c r="E99" s="153">
        <v>5.0999999999999996</v>
      </c>
      <c r="F99" s="151">
        <v>3.8</v>
      </c>
      <c r="G99" s="151">
        <v>1.5</v>
      </c>
      <c r="H99" s="152">
        <v>0.3</v>
      </c>
      <c r="I99" s="152" t="s">
        <v>94</v>
      </c>
      <c r="J99" s="160">
        <v>19</v>
      </c>
      <c r="K99" s="160">
        <v>0</v>
      </c>
      <c r="L99" s="160">
        <v>9.1238412826087506E+18</v>
      </c>
    </row>
    <row r="100" spans="4:12" ht="15" customHeight="1">
      <c r="D100" s="158" t="b">
        <v>0</v>
      </c>
      <c r="E100" s="153">
        <v>5.4</v>
      </c>
      <c r="F100" s="151">
        <v>3.4</v>
      </c>
      <c r="G100" s="151">
        <v>1.7</v>
      </c>
      <c r="H100" s="152">
        <v>0.2</v>
      </c>
      <c r="I100" s="152" t="s">
        <v>94</v>
      </c>
      <c r="J100" s="160">
        <v>20</v>
      </c>
      <c r="K100" s="160">
        <v>0</v>
      </c>
      <c r="L100" s="160">
        <v>8.1562463633962711E+18</v>
      </c>
    </row>
    <row r="101" spans="4:12" ht="15" customHeight="1">
      <c r="D101" s="158" t="b">
        <v>0</v>
      </c>
      <c r="E101" s="153">
        <v>5.0999999999999996</v>
      </c>
      <c r="F101" s="151">
        <v>3.7</v>
      </c>
      <c r="G101" s="151">
        <v>1.5</v>
      </c>
      <c r="H101" s="152">
        <v>0.4</v>
      </c>
      <c r="I101" s="152" t="s">
        <v>94</v>
      </c>
      <c r="J101" s="160">
        <v>21</v>
      </c>
      <c r="K101" s="160">
        <v>0</v>
      </c>
      <c r="L101" s="160">
        <v>1.219304228768903E+19</v>
      </c>
    </row>
    <row r="102" spans="4:12" ht="15" customHeight="1">
      <c r="D102" s="158" t="b">
        <v>0</v>
      </c>
      <c r="E102" s="153">
        <v>4.5999999999999996</v>
      </c>
      <c r="F102" s="151">
        <v>3.6</v>
      </c>
      <c r="G102" s="151">
        <v>1</v>
      </c>
      <c r="H102" s="152">
        <v>0.2</v>
      </c>
      <c r="I102" s="152" t="s">
        <v>94</v>
      </c>
      <c r="J102" s="160">
        <v>22</v>
      </c>
      <c r="K102" s="160">
        <v>0</v>
      </c>
      <c r="L102" s="160">
        <v>1.2729945240330525E+19</v>
      </c>
    </row>
    <row r="103" spans="4:12" ht="15" customHeight="1">
      <c r="D103" s="158" t="b">
        <v>0</v>
      </c>
      <c r="E103" s="153">
        <v>5.0999999999999996</v>
      </c>
      <c r="F103" s="151">
        <v>3.3</v>
      </c>
      <c r="G103" s="151">
        <v>1.7</v>
      </c>
      <c r="H103" s="152">
        <v>0.5</v>
      </c>
      <c r="I103" s="152" t="s">
        <v>94</v>
      </c>
      <c r="J103" s="160">
        <v>23</v>
      </c>
      <c r="K103" s="160">
        <v>0</v>
      </c>
      <c r="L103" s="160">
        <v>1.3386028016539337E+19</v>
      </c>
    </row>
    <row r="104" spans="4:12" ht="15" customHeight="1">
      <c r="D104" s="158" t="b">
        <v>0</v>
      </c>
      <c r="E104" s="153">
        <v>4.8</v>
      </c>
      <c r="F104" s="151">
        <v>3.4</v>
      </c>
      <c r="G104" s="151">
        <v>1.9</v>
      </c>
      <c r="H104" s="152">
        <v>0.2</v>
      </c>
      <c r="I104" s="152" t="s">
        <v>94</v>
      </c>
      <c r="J104" s="160">
        <v>24</v>
      </c>
      <c r="K104" s="160">
        <v>0</v>
      </c>
      <c r="L104" s="160">
        <v>3.3717141123169172E+18</v>
      </c>
    </row>
    <row r="105" spans="4:12" ht="15" customHeight="1">
      <c r="D105" s="158" t="b">
        <v>0</v>
      </c>
      <c r="E105" s="153">
        <v>5</v>
      </c>
      <c r="F105" s="151">
        <v>3</v>
      </c>
      <c r="G105" s="151">
        <v>1.6</v>
      </c>
      <c r="H105" s="152">
        <v>0.2</v>
      </c>
      <c r="I105" s="152" t="s">
        <v>94</v>
      </c>
      <c r="J105" s="160">
        <v>25</v>
      </c>
      <c r="K105" s="160">
        <v>0</v>
      </c>
      <c r="L105" s="160">
        <v>8.9367336597410785E+18</v>
      </c>
    </row>
    <row r="106" spans="4:12" ht="15" customHeight="1">
      <c r="D106" s="158" t="b">
        <v>0</v>
      </c>
      <c r="E106" s="153">
        <v>5</v>
      </c>
      <c r="F106" s="151">
        <v>3.4</v>
      </c>
      <c r="G106" s="151">
        <v>1.6</v>
      </c>
      <c r="H106" s="152">
        <v>0.4</v>
      </c>
      <c r="I106" s="152" t="s">
        <v>94</v>
      </c>
      <c r="J106" s="160">
        <v>26</v>
      </c>
      <c r="K106" s="160">
        <v>0</v>
      </c>
      <c r="L106" s="160">
        <v>1.1960505437452044E+19</v>
      </c>
    </row>
    <row r="107" spans="4:12" ht="15" customHeight="1">
      <c r="D107" s="158" t="b">
        <v>0</v>
      </c>
      <c r="E107" s="153">
        <v>5.2</v>
      </c>
      <c r="F107" s="151">
        <v>3.5</v>
      </c>
      <c r="G107" s="151">
        <v>1.5</v>
      </c>
      <c r="H107" s="152">
        <v>0.2</v>
      </c>
      <c r="I107" s="152" t="s">
        <v>94</v>
      </c>
      <c r="J107" s="160">
        <v>27</v>
      </c>
      <c r="K107" s="160">
        <v>0</v>
      </c>
      <c r="L107" s="160">
        <v>1.1427294169686817E+19</v>
      </c>
    </row>
    <row r="108" spans="4:12" ht="15" customHeight="1">
      <c r="D108" s="158" t="b">
        <v>0</v>
      </c>
      <c r="E108" s="153">
        <v>5.2</v>
      </c>
      <c r="F108" s="151">
        <v>3.4</v>
      </c>
      <c r="G108" s="151">
        <v>1.4</v>
      </c>
      <c r="H108" s="152">
        <v>0.2</v>
      </c>
      <c r="I108" s="152" t="s">
        <v>94</v>
      </c>
      <c r="J108" s="160">
        <v>28</v>
      </c>
      <c r="K108" s="160">
        <v>0</v>
      </c>
      <c r="L108" s="160">
        <v>4.7614653504626975E+18</v>
      </c>
    </row>
    <row r="109" spans="4:12" ht="15" customHeight="1">
      <c r="D109" s="158" t="b">
        <v>0</v>
      </c>
      <c r="E109" s="153">
        <v>4.7</v>
      </c>
      <c r="F109" s="151">
        <v>3.2</v>
      </c>
      <c r="G109" s="151">
        <v>1.6</v>
      </c>
      <c r="H109" s="152">
        <v>0.2</v>
      </c>
      <c r="I109" s="152" t="s">
        <v>94</v>
      </c>
      <c r="J109" s="160">
        <v>29</v>
      </c>
      <c r="K109" s="160">
        <v>0</v>
      </c>
      <c r="L109" s="160">
        <v>1.5296815825036657E+18</v>
      </c>
    </row>
    <row r="110" spans="4:12" ht="15" customHeight="1">
      <c r="D110" s="158" t="b">
        <v>0</v>
      </c>
      <c r="E110" s="153">
        <v>4.8</v>
      </c>
      <c r="F110" s="151">
        <v>3.1</v>
      </c>
      <c r="G110" s="151">
        <v>1.6</v>
      </c>
      <c r="H110" s="152">
        <v>0.2</v>
      </c>
      <c r="I110" s="152" t="s">
        <v>94</v>
      </c>
      <c r="J110" s="160">
        <v>30</v>
      </c>
      <c r="K110" s="160">
        <v>0</v>
      </c>
      <c r="L110" s="160">
        <v>3.3175030558532239E+18</v>
      </c>
    </row>
    <row r="111" spans="4:12" ht="15" customHeight="1">
      <c r="D111" s="158" t="b">
        <v>0</v>
      </c>
      <c r="E111" s="153">
        <v>5.4</v>
      </c>
      <c r="F111" s="151">
        <v>3.4</v>
      </c>
      <c r="G111" s="151">
        <v>1.5</v>
      </c>
      <c r="H111" s="152">
        <v>0.4</v>
      </c>
      <c r="I111" s="152" t="s">
        <v>94</v>
      </c>
      <c r="J111" s="160">
        <v>31</v>
      </c>
      <c r="K111" s="160">
        <v>0</v>
      </c>
      <c r="L111" s="160">
        <v>3.9799591967695053E+18</v>
      </c>
    </row>
    <row r="112" spans="4:12" ht="15" customHeight="1">
      <c r="D112" s="158" t="b">
        <v>0</v>
      </c>
      <c r="E112" s="153">
        <v>5.2</v>
      </c>
      <c r="F112" s="151">
        <v>4.0999999999999996</v>
      </c>
      <c r="G112" s="151">
        <v>1.5</v>
      </c>
      <c r="H112" s="152">
        <v>0.1</v>
      </c>
      <c r="I112" s="152" t="s">
        <v>94</v>
      </c>
      <c r="J112" s="160">
        <v>32</v>
      </c>
      <c r="K112" s="160">
        <v>0</v>
      </c>
      <c r="L112" s="160">
        <v>1.1635697364610214E+19</v>
      </c>
    </row>
    <row r="113" spans="4:12" ht="15" customHeight="1">
      <c r="D113" s="158" t="b">
        <v>0</v>
      </c>
      <c r="E113" s="153">
        <v>5.5</v>
      </c>
      <c r="F113" s="151">
        <v>4.2</v>
      </c>
      <c r="G113" s="151">
        <v>1.4</v>
      </c>
      <c r="H113" s="152">
        <v>0.2</v>
      </c>
      <c r="I113" s="152" t="s">
        <v>94</v>
      </c>
      <c r="J113" s="160">
        <v>33</v>
      </c>
      <c r="K113" s="160">
        <v>0</v>
      </c>
      <c r="L113" s="160">
        <v>4.6390572657532692E+18</v>
      </c>
    </row>
    <row r="114" spans="4:12" ht="15" customHeight="1">
      <c r="D114" s="158" t="b">
        <v>0</v>
      </c>
      <c r="E114" s="153">
        <v>4.9000000000000004</v>
      </c>
      <c r="F114" s="151">
        <v>3.1</v>
      </c>
      <c r="G114" s="151">
        <v>1.5</v>
      </c>
      <c r="H114" s="152">
        <v>0.2</v>
      </c>
      <c r="I114" s="152" t="s">
        <v>94</v>
      </c>
      <c r="J114" s="160">
        <v>34</v>
      </c>
      <c r="K114" s="160">
        <v>0</v>
      </c>
      <c r="L114" s="160">
        <v>1.995213811135307E+18</v>
      </c>
    </row>
    <row r="115" spans="4:12" ht="15" customHeight="1">
      <c r="D115" s="158" t="b">
        <v>0</v>
      </c>
      <c r="E115" s="153">
        <v>5</v>
      </c>
      <c r="F115" s="151">
        <v>3.2</v>
      </c>
      <c r="G115" s="151">
        <v>1.2</v>
      </c>
      <c r="H115" s="152">
        <v>0.2</v>
      </c>
      <c r="I115" s="152" t="s">
        <v>94</v>
      </c>
      <c r="J115" s="160">
        <v>35</v>
      </c>
      <c r="K115" s="160">
        <v>0</v>
      </c>
      <c r="L115" s="160">
        <v>4.018630984705239E+18</v>
      </c>
    </row>
    <row r="116" spans="4:12" ht="15" customHeight="1">
      <c r="D116" s="158" t="b">
        <v>0</v>
      </c>
      <c r="E116" s="153">
        <v>5.5</v>
      </c>
      <c r="F116" s="151">
        <v>3.5</v>
      </c>
      <c r="G116" s="151">
        <v>1.3</v>
      </c>
      <c r="H116" s="152">
        <v>0.2</v>
      </c>
      <c r="I116" s="152" t="s">
        <v>94</v>
      </c>
      <c r="J116" s="160">
        <v>36</v>
      </c>
      <c r="K116" s="160">
        <v>0</v>
      </c>
      <c r="L116" s="160">
        <v>1.5370085888951402E+19</v>
      </c>
    </row>
    <row r="117" spans="4:12" ht="15" customHeight="1">
      <c r="D117" s="158" t="b">
        <v>0</v>
      </c>
      <c r="E117" s="153">
        <v>4.9000000000000004</v>
      </c>
      <c r="F117" s="151">
        <v>3.6</v>
      </c>
      <c r="G117" s="151">
        <v>1.4</v>
      </c>
      <c r="H117" s="152">
        <v>0.1</v>
      </c>
      <c r="I117" s="152" t="s">
        <v>94</v>
      </c>
      <c r="J117" s="160">
        <v>37</v>
      </c>
      <c r="K117" s="160">
        <v>0</v>
      </c>
      <c r="L117" s="160">
        <v>1.7156896572053051E+19</v>
      </c>
    </row>
    <row r="118" spans="4:12" ht="15" customHeight="1">
      <c r="D118" s="158" t="b">
        <v>0</v>
      </c>
      <c r="E118" s="153">
        <v>4.4000000000000004</v>
      </c>
      <c r="F118" s="151">
        <v>3</v>
      </c>
      <c r="G118" s="151">
        <v>1.3</v>
      </c>
      <c r="H118" s="152">
        <v>0.2</v>
      </c>
      <c r="I118" s="152" t="s">
        <v>94</v>
      </c>
      <c r="J118" s="160">
        <v>38</v>
      </c>
      <c r="K118" s="160">
        <v>0</v>
      </c>
      <c r="L118" s="160">
        <v>1.020528570919253E+19</v>
      </c>
    </row>
    <row r="119" spans="4:12" ht="15" customHeight="1">
      <c r="D119" s="158" t="b">
        <v>0</v>
      </c>
      <c r="E119" s="153">
        <v>5.0999999999999996</v>
      </c>
      <c r="F119" s="151">
        <v>3.4</v>
      </c>
      <c r="G119" s="151">
        <v>1.5</v>
      </c>
      <c r="H119" s="152">
        <v>0.2</v>
      </c>
      <c r="I119" s="152" t="s">
        <v>94</v>
      </c>
      <c r="J119" s="160">
        <v>39</v>
      </c>
      <c r="K119" s="160">
        <v>0</v>
      </c>
      <c r="L119" s="160">
        <v>2.1634255767322908E+18</v>
      </c>
    </row>
    <row r="120" spans="4:12" ht="15" customHeight="1">
      <c r="D120" s="158" t="b">
        <v>0</v>
      </c>
      <c r="E120" s="153">
        <v>5</v>
      </c>
      <c r="F120" s="151">
        <v>3.5</v>
      </c>
      <c r="G120" s="151">
        <v>1.3</v>
      </c>
      <c r="H120" s="152">
        <v>0.3</v>
      </c>
      <c r="I120" s="152" t="s">
        <v>94</v>
      </c>
      <c r="J120" s="160">
        <v>40</v>
      </c>
      <c r="K120" s="160">
        <v>0</v>
      </c>
      <c r="L120" s="160">
        <v>1.679848527953074E+19</v>
      </c>
    </row>
    <row r="121" spans="4:12" ht="15" customHeight="1">
      <c r="D121" s="158" t="b">
        <v>0</v>
      </c>
      <c r="E121" s="153">
        <v>4.5</v>
      </c>
      <c r="F121" s="151">
        <v>2.2999999999999998</v>
      </c>
      <c r="G121" s="151">
        <v>1.3</v>
      </c>
      <c r="H121" s="152">
        <v>0.3</v>
      </c>
      <c r="I121" s="152" t="s">
        <v>94</v>
      </c>
      <c r="J121" s="160">
        <v>41</v>
      </c>
      <c r="K121" s="160">
        <v>0</v>
      </c>
      <c r="L121" s="160">
        <v>1.5520161900601383E+19</v>
      </c>
    </row>
    <row r="122" spans="4:12" ht="15" customHeight="1">
      <c r="D122" s="158" t="b">
        <v>0</v>
      </c>
      <c r="E122" s="153">
        <v>4.4000000000000004</v>
      </c>
      <c r="F122" s="151">
        <v>3.2</v>
      </c>
      <c r="G122" s="151">
        <v>1.3</v>
      </c>
      <c r="H122" s="152">
        <v>0.2</v>
      </c>
      <c r="I122" s="152" t="s">
        <v>94</v>
      </c>
      <c r="J122" s="160">
        <v>42</v>
      </c>
      <c r="K122" s="160">
        <v>0</v>
      </c>
      <c r="L122" s="160">
        <v>3.2268179729470423E+18</v>
      </c>
    </row>
    <row r="123" spans="4:12" ht="15" customHeight="1">
      <c r="D123" s="158" t="b">
        <v>0</v>
      </c>
      <c r="E123" s="153">
        <v>5</v>
      </c>
      <c r="F123" s="151">
        <v>3.5</v>
      </c>
      <c r="G123" s="151">
        <v>1.6</v>
      </c>
      <c r="H123" s="152">
        <v>0.6</v>
      </c>
      <c r="I123" s="152" t="s">
        <v>94</v>
      </c>
      <c r="J123" s="160">
        <v>43</v>
      </c>
      <c r="K123" s="160">
        <v>0</v>
      </c>
      <c r="L123" s="160">
        <v>3.9136373843561861E+18</v>
      </c>
    </row>
    <row r="124" spans="4:12" ht="15" customHeight="1">
      <c r="D124" s="158" t="b">
        <v>0</v>
      </c>
      <c r="E124" s="153">
        <v>5.0999999999999996</v>
      </c>
      <c r="F124" s="151">
        <v>3.8</v>
      </c>
      <c r="G124" s="151">
        <v>1.9</v>
      </c>
      <c r="H124" s="152">
        <v>0.4</v>
      </c>
      <c r="I124" s="152" t="s">
        <v>94</v>
      </c>
      <c r="J124" s="160">
        <v>44</v>
      </c>
      <c r="K124" s="160">
        <v>0</v>
      </c>
      <c r="L124" s="160">
        <v>1.4968172240411933E+19</v>
      </c>
    </row>
    <row r="125" spans="4:12" ht="15" customHeight="1">
      <c r="D125" s="158" t="b">
        <v>0</v>
      </c>
      <c r="E125" s="153">
        <v>4.8</v>
      </c>
      <c r="F125" s="151">
        <v>3</v>
      </c>
      <c r="G125" s="151">
        <v>1.4</v>
      </c>
      <c r="H125" s="152">
        <v>0.3</v>
      </c>
      <c r="I125" s="152" t="s">
        <v>94</v>
      </c>
      <c r="J125" s="160">
        <v>45</v>
      </c>
      <c r="K125" s="160">
        <v>0</v>
      </c>
      <c r="L125" s="160">
        <v>1.2566585250160728E+19</v>
      </c>
    </row>
    <row r="126" spans="4:12" ht="15" customHeight="1">
      <c r="D126" s="158" t="b">
        <v>0</v>
      </c>
      <c r="E126" s="153">
        <v>5.0999999999999996</v>
      </c>
      <c r="F126" s="151">
        <v>3.8</v>
      </c>
      <c r="G126" s="151">
        <v>1.6</v>
      </c>
      <c r="H126" s="152">
        <v>0.2</v>
      </c>
      <c r="I126" s="152" t="s">
        <v>94</v>
      </c>
      <c r="J126" s="160">
        <v>46</v>
      </c>
      <c r="K126" s="160">
        <v>0</v>
      </c>
      <c r="L126" s="160">
        <v>4.5548070738326036E+18</v>
      </c>
    </row>
    <row r="127" spans="4:12" ht="15" customHeight="1">
      <c r="D127" s="158" t="b">
        <v>0</v>
      </c>
      <c r="E127" s="153">
        <v>4.5999999999999996</v>
      </c>
      <c r="F127" s="151">
        <v>3.2</v>
      </c>
      <c r="G127" s="151">
        <v>1.4</v>
      </c>
      <c r="H127" s="152">
        <v>0.2</v>
      </c>
      <c r="I127" s="152" t="s">
        <v>94</v>
      </c>
      <c r="J127" s="160">
        <v>47</v>
      </c>
      <c r="K127" s="160">
        <v>0</v>
      </c>
      <c r="L127" s="160">
        <v>1.7817447200180894E+19</v>
      </c>
    </row>
    <row r="128" spans="4:12" ht="15" customHeight="1">
      <c r="D128" s="158" t="b">
        <v>0</v>
      </c>
      <c r="E128" s="153">
        <v>5.3</v>
      </c>
      <c r="F128" s="151">
        <v>3.7</v>
      </c>
      <c r="G128" s="151">
        <v>1.5</v>
      </c>
      <c r="H128" s="152">
        <v>0.2</v>
      </c>
      <c r="I128" s="152" t="s">
        <v>94</v>
      </c>
      <c r="J128" s="160">
        <v>48</v>
      </c>
      <c r="K128" s="160">
        <v>0</v>
      </c>
      <c r="L128" s="160">
        <v>1.1986732279928522E+18</v>
      </c>
    </row>
    <row r="129" spans="4:12" ht="15" customHeight="1">
      <c r="D129" s="158" t="b">
        <v>0</v>
      </c>
      <c r="E129" s="153">
        <v>5</v>
      </c>
      <c r="F129" s="151">
        <v>3.3</v>
      </c>
      <c r="G129" s="151">
        <v>1.4</v>
      </c>
      <c r="H129" s="152">
        <v>0.2</v>
      </c>
      <c r="I129" s="152" t="s">
        <v>94</v>
      </c>
      <c r="J129" s="160">
        <v>49</v>
      </c>
      <c r="K129" s="160">
        <v>0</v>
      </c>
      <c r="L129" s="160">
        <v>2.4355230406145684E+18</v>
      </c>
    </row>
    <row r="130" spans="4:12" ht="15" customHeight="1">
      <c r="D130" s="158" t="b">
        <v>0</v>
      </c>
      <c r="E130" s="153">
        <v>7</v>
      </c>
      <c r="F130" s="151">
        <v>3.2</v>
      </c>
      <c r="G130" s="151">
        <v>4.7</v>
      </c>
      <c r="H130" s="152">
        <v>1.4</v>
      </c>
      <c r="I130" s="152" t="s">
        <v>95</v>
      </c>
      <c r="J130" s="160">
        <v>50</v>
      </c>
      <c r="K130" s="160">
        <v>0</v>
      </c>
      <c r="L130" s="160">
        <v>1.0423124718859586E+19</v>
      </c>
    </row>
    <row r="131" spans="4:12" ht="15" customHeight="1">
      <c r="D131" s="158" t="b">
        <v>0</v>
      </c>
      <c r="E131" s="153">
        <v>6.4</v>
      </c>
      <c r="F131" s="151">
        <v>3.2</v>
      </c>
      <c r="G131" s="151">
        <v>4.5</v>
      </c>
      <c r="H131" s="152">
        <v>1.5</v>
      </c>
      <c r="I131" s="152" t="s">
        <v>95</v>
      </c>
      <c r="J131" s="160">
        <v>51</v>
      </c>
      <c r="K131" s="160">
        <v>0</v>
      </c>
      <c r="L131" s="160">
        <v>3.2352998234123704E+18</v>
      </c>
    </row>
    <row r="132" spans="4:12" ht="15" customHeight="1">
      <c r="D132" s="158" t="b">
        <v>0</v>
      </c>
      <c r="E132" s="153">
        <v>6.9</v>
      </c>
      <c r="F132" s="151">
        <v>3.1</v>
      </c>
      <c r="G132" s="151">
        <v>4.9000000000000004</v>
      </c>
      <c r="H132" s="152">
        <v>1.5</v>
      </c>
      <c r="I132" s="152" t="s">
        <v>95</v>
      </c>
      <c r="J132" s="160">
        <v>52</v>
      </c>
      <c r="K132" s="160">
        <v>0</v>
      </c>
      <c r="L132" s="160">
        <v>1.6593635303938908E+19</v>
      </c>
    </row>
    <row r="133" spans="4:12" ht="15" customHeight="1">
      <c r="D133" s="158" t="b">
        <v>0</v>
      </c>
      <c r="E133" s="153">
        <v>5.5</v>
      </c>
      <c r="F133" s="151">
        <v>2.2999999999999998</v>
      </c>
      <c r="G133" s="151">
        <v>4</v>
      </c>
      <c r="H133" s="152">
        <v>1.3</v>
      </c>
      <c r="I133" s="152" t="s">
        <v>95</v>
      </c>
      <c r="J133" s="160">
        <v>53</v>
      </c>
      <c r="K133" s="160">
        <v>0</v>
      </c>
      <c r="L133" s="160">
        <v>1.2233681647916762E+18</v>
      </c>
    </row>
    <row r="134" spans="4:12" ht="15" customHeight="1">
      <c r="D134" s="158" t="b">
        <v>0</v>
      </c>
      <c r="E134" s="153">
        <v>6.5</v>
      </c>
      <c r="F134" s="151">
        <v>2.8</v>
      </c>
      <c r="G134" s="151">
        <v>4.5999999999999996</v>
      </c>
      <c r="H134" s="152">
        <v>1.5</v>
      </c>
      <c r="I134" s="152" t="s">
        <v>95</v>
      </c>
      <c r="J134" s="160">
        <v>54</v>
      </c>
      <c r="K134" s="160">
        <v>0</v>
      </c>
      <c r="L134" s="160">
        <v>6.641050044743893E+18</v>
      </c>
    </row>
    <row r="135" spans="4:12" ht="15" customHeight="1">
      <c r="D135" s="158" t="b">
        <v>0</v>
      </c>
      <c r="E135" s="153">
        <v>5.7</v>
      </c>
      <c r="F135" s="151">
        <v>2.8</v>
      </c>
      <c r="G135" s="151">
        <v>4.5</v>
      </c>
      <c r="H135" s="152">
        <v>1.3</v>
      </c>
      <c r="I135" s="152" t="s">
        <v>95</v>
      </c>
      <c r="J135" s="160">
        <v>55</v>
      </c>
      <c r="K135" s="160">
        <v>0</v>
      </c>
      <c r="L135" s="160">
        <v>4.2912822691686369E+18</v>
      </c>
    </row>
    <row r="136" spans="4:12" ht="15" customHeight="1">
      <c r="D136" s="158" t="b">
        <v>0</v>
      </c>
      <c r="E136" s="153">
        <v>6.3</v>
      </c>
      <c r="F136" s="151">
        <v>3.3</v>
      </c>
      <c r="G136" s="151">
        <v>4.7</v>
      </c>
      <c r="H136" s="152">
        <v>1.6</v>
      </c>
      <c r="I136" s="152" t="s">
        <v>95</v>
      </c>
      <c r="J136" s="160">
        <v>56</v>
      </c>
      <c r="K136" s="160">
        <v>0</v>
      </c>
      <c r="L136" s="160">
        <v>1.3273360126559947E+19</v>
      </c>
    </row>
    <row r="137" spans="4:12" ht="15" customHeight="1">
      <c r="D137" s="158" t="b">
        <v>0</v>
      </c>
      <c r="E137" s="153">
        <v>4.9000000000000004</v>
      </c>
      <c r="F137" s="151">
        <v>2.4</v>
      </c>
      <c r="G137" s="151">
        <v>3.3</v>
      </c>
      <c r="H137" s="152">
        <v>1</v>
      </c>
      <c r="I137" s="152" t="s">
        <v>95</v>
      </c>
      <c r="J137" s="160">
        <v>57</v>
      </c>
      <c r="K137" s="160">
        <v>0</v>
      </c>
      <c r="L137" s="160">
        <v>9.6180284014358262E+18</v>
      </c>
    </row>
    <row r="138" spans="4:12" ht="15" customHeight="1">
      <c r="D138" s="158" t="b">
        <v>0</v>
      </c>
      <c r="E138" s="153">
        <v>6.6</v>
      </c>
      <c r="F138" s="151">
        <v>2.9</v>
      </c>
      <c r="G138" s="151">
        <v>4.5999999999999996</v>
      </c>
      <c r="H138" s="152">
        <v>1.3</v>
      </c>
      <c r="I138" s="152" t="s">
        <v>95</v>
      </c>
      <c r="J138" s="160">
        <v>58</v>
      </c>
      <c r="K138" s="160">
        <v>0</v>
      </c>
      <c r="L138" s="160">
        <v>1.5768095422296039E+19</v>
      </c>
    </row>
    <row r="139" spans="4:12" ht="15" customHeight="1">
      <c r="D139" s="158" t="b">
        <v>0</v>
      </c>
      <c r="E139" s="153">
        <v>5.2</v>
      </c>
      <c r="F139" s="151">
        <v>2.7</v>
      </c>
      <c r="G139" s="151">
        <v>3.9</v>
      </c>
      <c r="H139" s="152">
        <v>1.4</v>
      </c>
      <c r="I139" s="152" t="s">
        <v>95</v>
      </c>
      <c r="J139" s="160">
        <v>59</v>
      </c>
      <c r="K139" s="160">
        <v>0</v>
      </c>
      <c r="L139" s="160">
        <v>9.3682325366463017E+18</v>
      </c>
    </row>
    <row r="140" spans="4:12" ht="15" customHeight="1">
      <c r="D140" s="158" t="b">
        <v>0</v>
      </c>
      <c r="E140" s="153">
        <v>5</v>
      </c>
      <c r="F140" s="151">
        <v>2</v>
      </c>
      <c r="G140" s="151">
        <v>3.5</v>
      </c>
      <c r="H140" s="152">
        <v>1</v>
      </c>
      <c r="I140" s="152" t="s">
        <v>95</v>
      </c>
      <c r="J140" s="160">
        <v>60</v>
      </c>
      <c r="K140" s="160">
        <v>0</v>
      </c>
      <c r="L140" s="160">
        <v>1.2051564147977056E+19</v>
      </c>
    </row>
    <row r="141" spans="4:12" ht="15" customHeight="1">
      <c r="D141" s="158" t="b">
        <v>0</v>
      </c>
      <c r="E141" s="153">
        <v>5.9</v>
      </c>
      <c r="F141" s="151">
        <v>3</v>
      </c>
      <c r="G141" s="151">
        <v>4.2</v>
      </c>
      <c r="H141" s="152">
        <v>1.5</v>
      </c>
      <c r="I141" s="152" t="s">
        <v>95</v>
      </c>
      <c r="J141" s="160">
        <v>61</v>
      </c>
      <c r="K141" s="160">
        <v>0</v>
      </c>
      <c r="L141" s="160">
        <v>1.4610418044430911E+19</v>
      </c>
    </row>
    <row r="142" spans="4:12" ht="15" customHeight="1">
      <c r="D142" s="158" t="b">
        <v>0</v>
      </c>
      <c r="E142" s="153">
        <v>6</v>
      </c>
      <c r="F142" s="151">
        <v>2.2000000000000002</v>
      </c>
      <c r="G142" s="151">
        <v>4</v>
      </c>
      <c r="H142" s="152">
        <v>1</v>
      </c>
      <c r="I142" s="152" t="s">
        <v>95</v>
      </c>
      <c r="J142" s="160">
        <v>62</v>
      </c>
      <c r="K142" s="160">
        <v>0</v>
      </c>
      <c r="L142" s="160">
        <v>3.7732250748945705E+18</v>
      </c>
    </row>
    <row r="143" spans="4:12" ht="15" customHeight="1">
      <c r="D143" s="158" t="b">
        <v>0</v>
      </c>
      <c r="E143" s="153">
        <v>6.1</v>
      </c>
      <c r="F143" s="151">
        <v>2.9</v>
      </c>
      <c r="G143" s="151">
        <v>4.7</v>
      </c>
      <c r="H143" s="152">
        <v>1.4</v>
      </c>
      <c r="I143" s="152" t="s">
        <v>95</v>
      </c>
      <c r="J143" s="160">
        <v>63</v>
      </c>
      <c r="K143" s="160">
        <v>0</v>
      </c>
      <c r="L143" s="160">
        <v>5.8398365394636524E+18</v>
      </c>
    </row>
    <row r="144" spans="4:12" ht="15" customHeight="1">
      <c r="D144" s="158" t="b">
        <v>0</v>
      </c>
      <c r="E144" s="153">
        <v>5.6</v>
      </c>
      <c r="F144" s="151">
        <v>2.9</v>
      </c>
      <c r="G144" s="151">
        <v>3.6</v>
      </c>
      <c r="H144" s="152">
        <v>1.3</v>
      </c>
      <c r="I144" s="152" t="s">
        <v>95</v>
      </c>
      <c r="J144" s="160">
        <v>64</v>
      </c>
      <c r="K144" s="160">
        <v>0</v>
      </c>
      <c r="L144" s="160">
        <v>4.2010700375225656E+18</v>
      </c>
    </row>
    <row r="145" spans="4:12" ht="15" customHeight="1">
      <c r="D145" s="158" t="b">
        <v>0</v>
      </c>
      <c r="E145" s="153">
        <v>6.7</v>
      </c>
      <c r="F145" s="151">
        <v>3.1</v>
      </c>
      <c r="G145" s="151">
        <v>4.4000000000000004</v>
      </c>
      <c r="H145" s="152">
        <v>1.4</v>
      </c>
      <c r="I145" s="152" t="s">
        <v>95</v>
      </c>
      <c r="J145" s="160">
        <v>65</v>
      </c>
      <c r="K145" s="160">
        <v>0</v>
      </c>
      <c r="L145" s="160">
        <v>1.78808357886419E+18</v>
      </c>
    </row>
    <row r="146" spans="4:12" ht="15" customHeight="1">
      <c r="D146" s="158" t="b">
        <v>0</v>
      </c>
      <c r="E146" s="153">
        <v>5.6</v>
      </c>
      <c r="F146" s="151">
        <v>3</v>
      </c>
      <c r="G146" s="151">
        <v>4.5</v>
      </c>
      <c r="H146" s="152">
        <v>1.5</v>
      </c>
      <c r="I146" s="152" t="s">
        <v>95</v>
      </c>
      <c r="J146" s="160">
        <v>66</v>
      </c>
      <c r="K146" s="160">
        <v>0</v>
      </c>
      <c r="L146" s="160">
        <v>1.0902696337067614E+19</v>
      </c>
    </row>
    <row r="147" spans="4:12" ht="15" customHeight="1">
      <c r="D147" s="158" t="b">
        <v>0</v>
      </c>
      <c r="E147" s="153">
        <v>5.8</v>
      </c>
      <c r="F147" s="151">
        <v>2.7</v>
      </c>
      <c r="G147" s="151">
        <v>4.0999999999999996</v>
      </c>
      <c r="H147" s="152">
        <v>1</v>
      </c>
      <c r="I147" s="152" t="s">
        <v>95</v>
      </c>
      <c r="J147" s="160">
        <v>67</v>
      </c>
      <c r="K147" s="160">
        <v>0</v>
      </c>
      <c r="L147" s="160">
        <v>1.5547426505110215E+19</v>
      </c>
    </row>
    <row r="148" spans="4:12" ht="15" customHeight="1">
      <c r="D148" s="158" t="b">
        <v>0</v>
      </c>
      <c r="E148" s="153">
        <v>6.2</v>
      </c>
      <c r="F148" s="151">
        <v>2.2000000000000002</v>
      </c>
      <c r="G148" s="151">
        <v>4.5</v>
      </c>
      <c r="H148" s="152">
        <v>1.5</v>
      </c>
      <c r="I148" s="152" t="s">
        <v>95</v>
      </c>
      <c r="J148" s="160">
        <v>68</v>
      </c>
      <c r="K148" s="160">
        <v>0</v>
      </c>
      <c r="L148" s="160">
        <v>3.7004950818582636E+18</v>
      </c>
    </row>
    <row r="149" spans="4:12" ht="15" customHeight="1">
      <c r="D149" s="158" t="b">
        <v>0</v>
      </c>
      <c r="E149" s="153">
        <v>5.6</v>
      </c>
      <c r="F149" s="151">
        <v>2.5</v>
      </c>
      <c r="G149" s="151">
        <v>3.9</v>
      </c>
      <c r="H149" s="152">
        <v>1.1000000000000001</v>
      </c>
      <c r="I149" s="152" t="s">
        <v>95</v>
      </c>
      <c r="J149" s="160">
        <v>69</v>
      </c>
      <c r="K149" s="160">
        <v>0</v>
      </c>
      <c r="L149" s="160">
        <v>1.5112415636504257E+19</v>
      </c>
    </row>
    <row r="150" spans="4:12" ht="15" customHeight="1">
      <c r="D150" s="158" t="b">
        <v>0</v>
      </c>
      <c r="E150" s="153">
        <v>5.9</v>
      </c>
      <c r="F150" s="151">
        <v>3.2</v>
      </c>
      <c r="G150" s="151">
        <v>4.8</v>
      </c>
      <c r="H150" s="152">
        <v>1.8</v>
      </c>
      <c r="I150" s="152" t="s">
        <v>95</v>
      </c>
      <c r="J150" s="160">
        <v>70</v>
      </c>
      <c r="K150" s="160">
        <v>0</v>
      </c>
      <c r="L150" s="160">
        <v>1.1255259566354018E+19</v>
      </c>
    </row>
    <row r="151" spans="4:12" ht="15" customHeight="1">
      <c r="D151" s="158" t="b">
        <v>0</v>
      </c>
      <c r="E151" s="153">
        <v>6.1</v>
      </c>
      <c r="F151" s="151">
        <v>2.8</v>
      </c>
      <c r="G151" s="151">
        <v>4</v>
      </c>
      <c r="H151" s="152">
        <v>1.3</v>
      </c>
      <c r="I151" s="152" t="s">
        <v>95</v>
      </c>
      <c r="J151" s="160">
        <v>71</v>
      </c>
      <c r="K151" s="160">
        <v>0</v>
      </c>
      <c r="L151" s="160">
        <v>1.7605334322855268E+19</v>
      </c>
    </row>
    <row r="152" spans="4:12" ht="15" customHeight="1">
      <c r="D152" s="158" t="b">
        <v>0</v>
      </c>
      <c r="E152" s="153">
        <v>6.3</v>
      </c>
      <c r="F152" s="151">
        <v>2.5</v>
      </c>
      <c r="G152" s="151">
        <v>4.9000000000000004</v>
      </c>
      <c r="H152" s="152">
        <v>1.5</v>
      </c>
      <c r="I152" s="152" t="s">
        <v>95</v>
      </c>
      <c r="J152" s="160">
        <v>72</v>
      </c>
      <c r="K152" s="160">
        <v>0</v>
      </c>
      <c r="L152" s="160">
        <v>1.0523813909130883E+19</v>
      </c>
    </row>
    <row r="153" spans="4:12" ht="15" customHeight="1">
      <c r="D153" s="158" t="b">
        <v>0</v>
      </c>
      <c r="E153" s="153">
        <v>6.1</v>
      </c>
      <c r="F153" s="151">
        <v>2.8</v>
      </c>
      <c r="G153" s="151">
        <v>4.7</v>
      </c>
      <c r="H153" s="152">
        <v>1.2</v>
      </c>
      <c r="I153" s="152" t="s">
        <v>95</v>
      </c>
      <c r="J153" s="160">
        <v>73</v>
      </c>
      <c r="K153" s="160">
        <v>0</v>
      </c>
      <c r="L153" s="160">
        <v>5.1235705938440666E+17</v>
      </c>
    </row>
    <row r="154" spans="4:12" ht="15" customHeight="1">
      <c r="D154" s="158" t="b">
        <v>0</v>
      </c>
      <c r="E154" s="153">
        <v>6.4</v>
      </c>
      <c r="F154" s="151">
        <v>2.9</v>
      </c>
      <c r="G154" s="151">
        <v>4.3</v>
      </c>
      <c r="H154" s="152">
        <v>1.3</v>
      </c>
      <c r="I154" s="152" t="s">
        <v>95</v>
      </c>
      <c r="J154" s="160">
        <v>74</v>
      </c>
      <c r="K154" s="160">
        <v>0</v>
      </c>
      <c r="L154" s="160">
        <v>1.133932121902054E+19</v>
      </c>
    </row>
    <row r="155" spans="4:12" ht="15" customHeight="1">
      <c r="D155" s="158" t="b">
        <v>0</v>
      </c>
      <c r="E155" s="153">
        <v>6.6</v>
      </c>
      <c r="F155" s="151">
        <v>3</v>
      </c>
      <c r="G155" s="151">
        <v>4.4000000000000004</v>
      </c>
      <c r="H155" s="152">
        <v>1.4</v>
      </c>
      <c r="I155" s="152" t="s">
        <v>95</v>
      </c>
      <c r="J155" s="160">
        <v>75</v>
      </c>
      <c r="K155" s="160">
        <v>0</v>
      </c>
      <c r="L155" s="160">
        <v>7.0701655697019341E+18</v>
      </c>
    </row>
    <row r="156" spans="4:12" ht="15" customHeight="1">
      <c r="D156" s="158" t="b">
        <v>0</v>
      </c>
      <c r="E156" s="153">
        <v>6.8</v>
      </c>
      <c r="F156" s="151">
        <v>2.8</v>
      </c>
      <c r="G156" s="151">
        <v>4.8</v>
      </c>
      <c r="H156" s="152">
        <v>1.4</v>
      </c>
      <c r="I156" s="152" t="s">
        <v>95</v>
      </c>
      <c r="J156" s="160">
        <v>76</v>
      </c>
      <c r="K156" s="160">
        <v>0</v>
      </c>
      <c r="L156" s="160">
        <v>1.3803466023888347E+19</v>
      </c>
    </row>
    <row r="157" spans="4:12" ht="15" customHeight="1">
      <c r="D157" s="158" t="b">
        <v>0</v>
      </c>
      <c r="E157" s="153">
        <v>6.7</v>
      </c>
      <c r="F157" s="151">
        <v>3</v>
      </c>
      <c r="G157" s="151">
        <v>5</v>
      </c>
      <c r="H157" s="152">
        <v>1.7</v>
      </c>
      <c r="I157" s="152" t="s">
        <v>95</v>
      </c>
      <c r="J157" s="160">
        <v>77</v>
      </c>
      <c r="K157" s="160">
        <v>0</v>
      </c>
      <c r="L157" s="160">
        <v>1.1511555446809463E+19</v>
      </c>
    </row>
    <row r="158" spans="4:12" ht="15" customHeight="1">
      <c r="D158" s="158" t="b">
        <v>0</v>
      </c>
      <c r="E158" s="153">
        <v>6</v>
      </c>
      <c r="F158" s="151">
        <v>2.9</v>
      </c>
      <c r="G158" s="151">
        <v>4.5</v>
      </c>
      <c r="H158" s="152">
        <v>1.5</v>
      </c>
      <c r="I158" s="152" t="s">
        <v>95</v>
      </c>
      <c r="J158" s="160">
        <v>78</v>
      </c>
      <c r="K158" s="160">
        <v>0</v>
      </c>
      <c r="L158" s="160">
        <v>8.2829802820390769E+18</v>
      </c>
    </row>
    <row r="159" spans="4:12" ht="15" customHeight="1">
      <c r="D159" s="158" t="b">
        <v>0</v>
      </c>
      <c r="E159" s="153">
        <v>5.7</v>
      </c>
      <c r="F159" s="151">
        <v>2.6</v>
      </c>
      <c r="G159" s="151">
        <v>3.5</v>
      </c>
      <c r="H159" s="152">
        <v>1</v>
      </c>
      <c r="I159" s="152" t="s">
        <v>95</v>
      </c>
      <c r="J159" s="160">
        <v>79</v>
      </c>
      <c r="K159" s="160">
        <v>0</v>
      </c>
      <c r="L159" s="160">
        <v>1.2504457130975019E+19</v>
      </c>
    </row>
    <row r="160" spans="4:12" ht="15" customHeight="1">
      <c r="D160" s="158" t="b">
        <v>0</v>
      </c>
      <c r="E160" s="153">
        <v>5.5</v>
      </c>
      <c r="F160" s="151">
        <v>2.4</v>
      </c>
      <c r="G160" s="151">
        <v>3.8</v>
      </c>
      <c r="H160" s="152">
        <v>1.1000000000000001</v>
      </c>
      <c r="I160" s="152" t="s">
        <v>95</v>
      </c>
      <c r="J160" s="160">
        <v>80</v>
      </c>
      <c r="K160" s="160">
        <v>0</v>
      </c>
      <c r="L160" s="160">
        <v>9.2426963401680445E+18</v>
      </c>
    </row>
    <row r="161" spans="4:12" ht="15" customHeight="1">
      <c r="D161" s="158" t="b">
        <v>0</v>
      </c>
      <c r="E161" s="153">
        <v>5.5</v>
      </c>
      <c r="F161" s="151">
        <v>2.4</v>
      </c>
      <c r="G161" s="151">
        <v>3.7</v>
      </c>
      <c r="H161" s="152">
        <v>1</v>
      </c>
      <c r="I161" s="152" t="s">
        <v>95</v>
      </c>
      <c r="J161" s="160">
        <v>81</v>
      </c>
      <c r="K161" s="160">
        <v>0</v>
      </c>
      <c r="L161" s="160">
        <v>3.7673697286487834E+18</v>
      </c>
    </row>
    <row r="162" spans="4:12" ht="15" customHeight="1">
      <c r="D162" s="158" t="b">
        <v>0</v>
      </c>
      <c r="E162" s="153">
        <v>5.8</v>
      </c>
      <c r="F162" s="151">
        <v>2.7</v>
      </c>
      <c r="G162" s="151">
        <v>3.9</v>
      </c>
      <c r="H162" s="152">
        <v>1.2</v>
      </c>
      <c r="I162" s="152" t="s">
        <v>95</v>
      </c>
      <c r="J162" s="160">
        <v>82</v>
      </c>
      <c r="K162" s="160">
        <v>0</v>
      </c>
      <c r="L162" s="160">
        <v>1.1102941048120582E+19</v>
      </c>
    </row>
    <row r="163" spans="4:12" ht="15" customHeight="1">
      <c r="D163" s="158" t="b">
        <v>0</v>
      </c>
      <c r="E163" s="153">
        <v>6</v>
      </c>
      <c r="F163" s="151">
        <v>2.7</v>
      </c>
      <c r="G163" s="151">
        <v>5.0999999999999996</v>
      </c>
      <c r="H163" s="152">
        <v>1.6</v>
      </c>
      <c r="I163" s="152" t="s">
        <v>95</v>
      </c>
      <c r="J163" s="160">
        <v>83</v>
      </c>
      <c r="K163" s="160">
        <v>0</v>
      </c>
      <c r="L163" s="160">
        <v>1.7901890681252143E+19</v>
      </c>
    </row>
    <row r="164" spans="4:12" ht="15" customHeight="1">
      <c r="D164" s="158" t="b">
        <v>0</v>
      </c>
      <c r="E164" s="153">
        <v>5.4</v>
      </c>
      <c r="F164" s="151">
        <v>3</v>
      </c>
      <c r="G164" s="151">
        <v>4.5</v>
      </c>
      <c r="H164" s="152">
        <v>1.5</v>
      </c>
      <c r="I164" s="152" t="s">
        <v>95</v>
      </c>
      <c r="J164" s="160">
        <v>84</v>
      </c>
      <c r="K164" s="160">
        <v>0</v>
      </c>
      <c r="L164" s="160">
        <v>9.9781076211486904E+18</v>
      </c>
    </row>
    <row r="165" spans="4:12" ht="15" customHeight="1">
      <c r="D165" s="158" t="b">
        <v>0</v>
      </c>
      <c r="E165" s="153">
        <v>6</v>
      </c>
      <c r="F165" s="151">
        <v>3.4</v>
      </c>
      <c r="G165" s="151">
        <v>4.5</v>
      </c>
      <c r="H165" s="152">
        <v>1.6</v>
      </c>
      <c r="I165" s="152" t="s">
        <v>95</v>
      </c>
      <c r="J165" s="160">
        <v>85</v>
      </c>
      <c r="K165" s="160">
        <v>0</v>
      </c>
      <c r="L165" s="160">
        <v>1.2234942937784275E+19</v>
      </c>
    </row>
    <row r="166" spans="4:12" ht="15" customHeight="1">
      <c r="D166" s="158" t="b">
        <v>0</v>
      </c>
      <c r="E166" s="153">
        <v>6.7</v>
      </c>
      <c r="F166" s="151">
        <v>3.1</v>
      </c>
      <c r="G166" s="151">
        <v>4.7</v>
      </c>
      <c r="H166" s="152">
        <v>1.5</v>
      </c>
      <c r="I166" s="152" t="s">
        <v>95</v>
      </c>
      <c r="J166" s="160">
        <v>86</v>
      </c>
      <c r="K166" s="160">
        <v>0</v>
      </c>
      <c r="L166" s="160">
        <v>3.3323443719447291E+18</v>
      </c>
    </row>
    <row r="167" spans="4:12" ht="15" customHeight="1">
      <c r="D167" s="158" t="b">
        <v>0</v>
      </c>
      <c r="E167" s="153">
        <v>6.3</v>
      </c>
      <c r="F167" s="151">
        <v>2.2999999999999998</v>
      </c>
      <c r="G167" s="151">
        <v>4.4000000000000004</v>
      </c>
      <c r="H167" s="152">
        <v>1.3</v>
      </c>
      <c r="I167" s="152" t="s">
        <v>95</v>
      </c>
      <c r="J167" s="160">
        <v>87</v>
      </c>
      <c r="K167" s="160">
        <v>0</v>
      </c>
      <c r="L167" s="160">
        <v>8.6288323794848934E+17</v>
      </c>
    </row>
    <row r="168" spans="4:12" ht="15" customHeight="1">
      <c r="D168" s="158" t="b">
        <v>0</v>
      </c>
      <c r="E168" s="153">
        <v>5.6</v>
      </c>
      <c r="F168" s="151">
        <v>3</v>
      </c>
      <c r="G168" s="151">
        <v>4.0999999999999996</v>
      </c>
      <c r="H168" s="152">
        <v>1.3</v>
      </c>
      <c r="I168" s="152" t="s">
        <v>95</v>
      </c>
      <c r="J168" s="160">
        <v>88</v>
      </c>
      <c r="K168" s="160">
        <v>0</v>
      </c>
      <c r="L168" s="160">
        <v>1.5039143939036846E+19</v>
      </c>
    </row>
    <row r="169" spans="4:12" ht="15" customHeight="1">
      <c r="D169" s="158" t="b">
        <v>0</v>
      </c>
      <c r="E169" s="153">
        <v>5.5</v>
      </c>
      <c r="F169" s="151">
        <v>2.5</v>
      </c>
      <c r="G169" s="151">
        <v>4</v>
      </c>
      <c r="H169" s="152">
        <v>1.3</v>
      </c>
      <c r="I169" s="152" t="s">
        <v>95</v>
      </c>
      <c r="J169" s="160">
        <v>89</v>
      </c>
      <c r="K169" s="160">
        <v>0</v>
      </c>
      <c r="L169" s="160">
        <v>1.454510707773652E+19</v>
      </c>
    </row>
    <row r="170" spans="4:12" ht="15" customHeight="1">
      <c r="D170" s="158" t="b">
        <v>0</v>
      </c>
      <c r="E170" s="153">
        <v>5.5</v>
      </c>
      <c r="F170" s="151">
        <v>2.6</v>
      </c>
      <c r="G170" s="151">
        <v>4.4000000000000004</v>
      </c>
      <c r="H170" s="152">
        <v>1.2</v>
      </c>
      <c r="I170" s="152" t="s">
        <v>95</v>
      </c>
      <c r="J170" s="160">
        <v>90</v>
      </c>
      <c r="K170" s="160">
        <v>0</v>
      </c>
      <c r="L170" s="160">
        <v>7.3130414845581322E+18</v>
      </c>
    </row>
    <row r="171" spans="4:12" ht="15" customHeight="1">
      <c r="D171" s="158" t="b">
        <v>0</v>
      </c>
      <c r="E171" s="153">
        <v>6.1</v>
      </c>
      <c r="F171" s="151">
        <v>3</v>
      </c>
      <c r="G171" s="151">
        <v>4.5999999999999996</v>
      </c>
      <c r="H171" s="152">
        <v>1.4</v>
      </c>
      <c r="I171" s="152" t="s">
        <v>95</v>
      </c>
      <c r="J171" s="160">
        <v>91</v>
      </c>
      <c r="K171" s="160">
        <v>0</v>
      </c>
      <c r="L171" s="160">
        <v>8.5534190925570458E+18</v>
      </c>
    </row>
    <row r="172" spans="4:12" ht="15" customHeight="1">
      <c r="D172" s="158" t="b">
        <v>0</v>
      </c>
      <c r="E172" s="153">
        <v>5.8</v>
      </c>
      <c r="F172" s="151">
        <v>2.6</v>
      </c>
      <c r="G172" s="151">
        <v>4</v>
      </c>
      <c r="H172" s="152">
        <v>1.2</v>
      </c>
      <c r="I172" s="152" t="s">
        <v>95</v>
      </c>
      <c r="J172" s="160">
        <v>92</v>
      </c>
      <c r="K172" s="160">
        <v>0</v>
      </c>
      <c r="L172" s="160">
        <v>8.7279567037088399E+18</v>
      </c>
    </row>
    <row r="173" spans="4:12" ht="15" customHeight="1">
      <c r="D173" s="158" t="b">
        <v>0</v>
      </c>
      <c r="E173" s="153">
        <v>5</v>
      </c>
      <c r="F173" s="151">
        <v>2.2999999999999998</v>
      </c>
      <c r="G173" s="151">
        <v>3.3</v>
      </c>
      <c r="H173" s="152">
        <v>1</v>
      </c>
      <c r="I173" s="152" t="s">
        <v>95</v>
      </c>
      <c r="J173" s="160">
        <v>93</v>
      </c>
      <c r="K173" s="160">
        <v>0</v>
      </c>
      <c r="L173" s="160">
        <v>1.4218499347646587E+19</v>
      </c>
    </row>
    <row r="174" spans="4:12" ht="15" customHeight="1">
      <c r="D174" s="158" t="b">
        <v>0</v>
      </c>
      <c r="E174" s="153">
        <v>5.6</v>
      </c>
      <c r="F174" s="151">
        <v>2.7</v>
      </c>
      <c r="G174" s="151">
        <v>4.2</v>
      </c>
      <c r="H174" s="152">
        <v>1.3</v>
      </c>
      <c r="I174" s="152" t="s">
        <v>95</v>
      </c>
      <c r="J174" s="160">
        <v>94</v>
      </c>
      <c r="K174" s="160">
        <v>0</v>
      </c>
      <c r="L174" s="160">
        <v>9.2968221332873626E+18</v>
      </c>
    </row>
    <row r="175" spans="4:12" ht="15" customHeight="1">
      <c r="D175" s="158" t="b">
        <v>0</v>
      </c>
      <c r="E175" s="153">
        <v>5.7</v>
      </c>
      <c r="F175" s="151">
        <v>3</v>
      </c>
      <c r="G175" s="151">
        <v>4.2</v>
      </c>
      <c r="H175" s="152">
        <v>1.2</v>
      </c>
      <c r="I175" s="152" t="s">
        <v>95</v>
      </c>
      <c r="J175" s="160">
        <v>95</v>
      </c>
      <c r="K175" s="160">
        <v>0</v>
      </c>
      <c r="L175" s="160">
        <v>5.9794286069000479E+18</v>
      </c>
    </row>
    <row r="176" spans="4:12" ht="15" customHeight="1">
      <c r="D176" s="158" t="b">
        <v>0</v>
      </c>
      <c r="E176" s="153">
        <v>5.7</v>
      </c>
      <c r="F176" s="151">
        <v>2.9</v>
      </c>
      <c r="G176" s="151">
        <v>4.2</v>
      </c>
      <c r="H176" s="152">
        <v>1.3</v>
      </c>
      <c r="I176" s="152" t="s">
        <v>95</v>
      </c>
      <c r="J176" s="160">
        <v>96</v>
      </c>
      <c r="K176" s="160">
        <v>0</v>
      </c>
      <c r="L176" s="160">
        <v>1.178879019878468E+19</v>
      </c>
    </row>
    <row r="177" spans="4:12" ht="15" customHeight="1">
      <c r="D177" s="158" t="b">
        <v>0</v>
      </c>
      <c r="E177" s="153">
        <v>6.2</v>
      </c>
      <c r="F177" s="151">
        <v>2.9</v>
      </c>
      <c r="G177" s="151">
        <v>4.3</v>
      </c>
      <c r="H177" s="152">
        <v>1.3</v>
      </c>
      <c r="I177" s="152" t="s">
        <v>95</v>
      </c>
      <c r="J177" s="160">
        <v>97</v>
      </c>
      <c r="K177" s="160">
        <v>0</v>
      </c>
      <c r="L177" s="160">
        <v>1.3456973498786234E+19</v>
      </c>
    </row>
    <row r="178" spans="4:12" ht="15" customHeight="1">
      <c r="D178" s="158" t="b">
        <v>0</v>
      </c>
      <c r="E178" s="153">
        <v>5.0999999999999996</v>
      </c>
      <c r="F178" s="151">
        <v>2.5</v>
      </c>
      <c r="G178" s="151">
        <v>3</v>
      </c>
      <c r="H178" s="152">
        <v>1.1000000000000001</v>
      </c>
      <c r="I178" s="152" t="s">
        <v>95</v>
      </c>
      <c r="J178" s="160">
        <v>98</v>
      </c>
      <c r="K178" s="160">
        <v>0</v>
      </c>
      <c r="L178" s="160">
        <v>1.3844196578987289E+19</v>
      </c>
    </row>
    <row r="179" spans="4:12" ht="15" customHeight="1">
      <c r="D179" s="158" t="b">
        <v>0</v>
      </c>
      <c r="E179" s="153">
        <v>5.7</v>
      </c>
      <c r="F179" s="151">
        <v>2.8</v>
      </c>
      <c r="G179" s="151">
        <v>4.0999999999999996</v>
      </c>
      <c r="H179" s="152">
        <v>1.3</v>
      </c>
      <c r="I179" s="152" t="s">
        <v>95</v>
      </c>
      <c r="J179" s="160">
        <v>99</v>
      </c>
      <c r="K179" s="160">
        <v>0</v>
      </c>
      <c r="L179" s="160">
        <v>6.9030615249463429E+18</v>
      </c>
    </row>
    <row r="180" spans="4:12" ht="15" customHeight="1">
      <c r="D180" s="158" t="b">
        <v>0</v>
      </c>
      <c r="E180" s="153">
        <v>6.3</v>
      </c>
      <c r="F180" s="151">
        <v>3.3</v>
      </c>
      <c r="G180" s="151">
        <v>6</v>
      </c>
      <c r="H180" s="152">
        <v>2.5</v>
      </c>
      <c r="I180" s="152" t="s">
        <v>96</v>
      </c>
      <c r="J180" s="160">
        <v>100</v>
      </c>
      <c r="K180" s="160">
        <v>0</v>
      </c>
      <c r="L180" s="160">
        <v>1.3322492984875905E+19</v>
      </c>
    </row>
    <row r="181" spans="4:12" ht="15" customHeight="1">
      <c r="D181" s="158" t="b">
        <v>0</v>
      </c>
      <c r="E181" s="153">
        <v>5.8</v>
      </c>
      <c r="F181" s="151">
        <v>2.7</v>
      </c>
      <c r="G181" s="151">
        <v>5.0999999999999996</v>
      </c>
      <c r="H181" s="152">
        <v>1.9</v>
      </c>
      <c r="I181" s="152" t="s">
        <v>96</v>
      </c>
      <c r="J181" s="160">
        <v>101</v>
      </c>
      <c r="K181" s="160">
        <v>0</v>
      </c>
      <c r="L181" s="160">
        <v>1.6847191365316028E+19</v>
      </c>
    </row>
    <row r="182" spans="4:12" ht="15" customHeight="1">
      <c r="D182" s="158" t="b">
        <v>0</v>
      </c>
      <c r="E182" s="153">
        <v>7.1</v>
      </c>
      <c r="F182" s="151">
        <v>3</v>
      </c>
      <c r="G182" s="151">
        <v>5.9</v>
      </c>
      <c r="H182" s="152">
        <v>2.1</v>
      </c>
      <c r="I182" s="152" t="s">
        <v>96</v>
      </c>
      <c r="J182" s="160">
        <v>102</v>
      </c>
      <c r="K182" s="160">
        <v>0</v>
      </c>
      <c r="L182" s="160">
        <v>6.619305597041856E+17</v>
      </c>
    </row>
    <row r="183" spans="4:12" ht="15" customHeight="1">
      <c r="D183" s="158" t="b">
        <v>0</v>
      </c>
      <c r="E183" s="153">
        <v>6.3</v>
      </c>
      <c r="F183" s="151">
        <v>2.9</v>
      </c>
      <c r="G183" s="151">
        <v>5.6</v>
      </c>
      <c r="H183" s="152">
        <v>1.8</v>
      </c>
      <c r="I183" s="152" t="s">
        <v>96</v>
      </c>
      <c r="J183" s="160">
        <v>103</v>
      </c>
      <c r="K183" s="160">
        <v>0</v>
      </c>
      <c r="L183" s="160">
        <v>5.2647569643387556E+18</v>
      </c>
    </row>
    <row r="184" spans="4:12" ht="15" customHeight="1">
      <c r="D184" s="158" t="b">
        <v>0</v>
      </c>
      <c r="E184" s="153">
        <v>6.5</v>
      </c>
      <c r="F184" s="151">
        <v>3</v>
      </c>
      <c r="G184" s="151">
        <v>5.8</v>
      </c>
      <c r="H184" s="152">
        <v>2.2000000000000002</v>
      </c>
      <c r="I184" s="152" t="s">
        <v>96</v>
      </c>
      <c r="J184" s="160">
        <v>104</v>
      </c>
      <c r="K184" s="160">
        <v>0</v>
      </c>
      <c r="L184" s="160">
        <v>1.6764457351407761E+19</v>
      </c>
    </row>
    <row r="185" spans="4:12" ht="15" customHeight="1">
      <c r="D185" s="158" t="b">
        <v>0</v>
      </c>
      <c r="E185" s="153">
        <v>7.6</v>
      </c>
      <c r="F185" s="151">
        <v>3</v>
      </c>
      <c r="G185" s="151">
        <v>6.6</v>
      </c>
      <c r="H185" s="152">
        <v>2.1</v>
      </c>
      <c r="I185" s="152" t="s">
        <v>96</v>
      </c>
      <c r="J185" s="160">
        <v>105</v>
      </c>
      <c r="K185" s="160">
        <v>0</v>
      </c>
      <c r="L185" s="160">
        <v>1.5733561967147774E+19</v>
      </c>
    </row>
    <row r="186" spans="4:12" ht="15" customHeight="1">
      <c r="D186" s="158" t="b">
        <v>0</v>
      </c>
      <c r="E186" s="153">
        <v>4.9000000000000004</v>
      </c>
      <c r="F186" s="151">
        <v>2.5</v>
      </c>
      <c r="G186" s="151">
        <v>4.5</v>
      </c>
      <c r="H186" s="152">
        <v>1.7</v>
      </c>
      <c r="I186" s="152" t="s">
        <v>96</v>
      </c>
      <c r="J186" s="160">
        <v>106</v>
      </c>
      <c r="K186" s="160">
        <v>0</v>
      </c>
      <c r="L186" s="160">
        <v>2.3807511055195018E+18</v>
      </c>
    </row>
    <row r="187" spans="4:12" ht="15" customHeight="1">
      <c r="D187" s="158" t="b">
        <v>0</v>
      </c>
      <c r="E187" s="153">
        <v>7.3</v>
      </c>
      <c r="F187" s="151">
        <v>2.9</v>
      </c>
      <c r="G187" s="151">
        <v>6.3</v>
      </c>
      <c r="H187" s="152">
        <v>1.8</v>
      </c>
      <c r="I187" s="152" t="s">
        <v>96</v>
      </c>
      <c r="J187" s="160">
        <v>107</v>
      </c>
      <c r="K187" s="160">
        <v>0</v>
      </c>
      <c r="L187" s="160">
        <v>5.0223796161511854E+18</v>
      </c>
    </row>
    <row r="188" spans="4:12" ht="15" customHeight="1">
      <c r="D188" s="158" t="b">
        <v>0</v>
      </c>
      <c r="E188" s="153">
        <v>6.7</v>
      </c>
      <c r="F188" s="151">
        <v>2.5</v>
      </c>
      <c r="G188" s="151">
        <v>5.8</v>
      </c>
      <c r="H188" s="152">
        <v>1.8</v>
      </c>
      <c r="I188" s="152" t="s">
        <v>96</v>
      </c>
      <c r="J188" s="160">
        <v>108</v>
      </c>
      <c r="K188" s="160">
        <v>0</v>
      </c>
      <c r="L188" s="160">
        <v>1.7843031752550984E+19</v>
      </c>
    </row>
    <row r="189" spans="4:12" ht="15" customHeight="1">
      <c r="D189" s="158" t="b">
        <v>0</v>
      </c>
      <c r="E189" s="153">
        <v>7.2</v>
      </c>
      <c r="F189" s="151">
        <v>3.6</v>
      </c>
      <c r="G189" s="151">
        <v>6.1</v>
      </c>
      <c r="H189" s="152">
        <v>2.5</v>
      </c>
      <c r="I189" s="152" t="s">
        <v>96</v>
      </c>
      <c r="J189" s="160">
        <v>109</v>
      </c>
      <c r="K189" s="160">
        <v>0</v>
      </c>
      <c r="L189" s="160">
        <v>1.8326831417744182E+18</v>
      </c>
    </row>
    <row r="190" spans="4:12" ht="15" customHeight="1">
      <c r="D190" s="158" t="b">
        <v>0</v>
      </c>
      <c r="E190" s="153">
        <v>6.5</v>
      </c>
      <c r="F190" s="151">
        <v>3.2</v>
      </c>
      <c r="G190" s="151">
        <v>5.0999999999999996</v>
      </c>
      <c r="H190" s="152">
        <v>2</v>
      </c>
      <c r="I190" s="152" t="s">
        <v>96</v>
      </c>
      <c r="J190" s="160">
        <v>110</v>
      </c>
      <c r="K190" s="160">
        <v>0</v>
      </c>
      <c r="L190" s="160">
        <v>7.5636318112243674E+17</v>
      </c>
    </row>
    <row r="191" spans="4:12" ht="15" customHeight="1">
      <c r="D191" s="158" t="b">
        <v>0</v>
      </c>
      <c r="E191" s="153">
        <v>6.4</v>
      </c>
      <c r="F191" s="151">
        <v>2.7</v>
      </c>
      <c r="G191" s="151">
        <v>5.3</v>
      </c>
      <c r="H191" s="152">
        <v>1.9</v>
      </c>
      <c r="I191" s="152" t="s">
        <v>96</v>
      </c>
      <c r="J191" s="160">
        <v>111</v>
      </c>
      <c r="K191" s="160">
        <v>0</v>
      </c>
      <c r="L191" s="160">
        <v>1.5447016102866418E+19</v>
      </c>
    </row>
    <row r="192" spans="4:12" ht="15" customHeight="1">
      <c r="D192" s="158" t="b">
        <v>0</v>
      </c>
      <c r="E192" s="153">
        <v>6.8</v>
      </c>
      <c r="F192" s="151">
        <v>3</v>
      </c>
      <c r="G192" s="151">
        <v>5.5</v>
      </c>
      <c r="H192" s="152">
        <v>2.1</v>
      </c>
      <c r="I192" s="152" t="s">
        <v>96</v>
      </c>
      <c r="J192" s="160">
        <v>112</v>
      </c>
      <c r="K192" s="160">
        <v>0</v>
      </c>
      <c r="L192" s="160">
        <v>6.2199898934266419E+18</v>
      </c>
    </row>
    <row r="193" spans="4:12" ht="15" customHeight="1">
      <c r="D193" s="158" t="b">
        <v>0</v>
      </c>
      <c r="E193" s="153">
        <v>5.7</v>
      </c>
      <c r="F193" s="151">
        <v>2.5</v>
      </c>
      <c r="G193" s="151">
        <v>5</v>
      </c>
      <c r="H193" s="152">
        <v>2</v>
      </c>
      <c r="I193" s="152" t="s">
        <v>96</v>
      </c>
      <c r="J193" s="160">
        <v>113</v>
      </c>
      <c r="K193" s="160">
        <v>0</v>
      </c>
      <c r="L193" s="160">
        <v>9.7998716501114778E+18</v>
      </c>
    </row>
    <row r="194" spans="4:12" ht="15" customHeight="1">
      <c r="D194" s="158" t="b">
        <v>0</v>
      </c>
      <c r="E194" s="153">
        <v>5.8</v>
      </c>
      <c r="F194" s="151">
        <v>2.8</v>
      </c>
      <c r="G194" s="151">
        <v>5.0999999999999996</v>
      </c>
      <c r="H194" s="152">
        <v>2.4</v>
      </c>
      <c r="I194" s="152" t="s">
        <v>96</v>
      </c>
      <c r="J194" s="160">
        <v>114</v>
      </c>
      <c r="K194" s="160">
        <v>0</v>
      </c>
      <c r="L194" s="160">
        <v>1.5350650311171017E+19</v>
      </c>
    </row>
    <row r="195" spans="4:12" ht="15" customHeight="1">
      <c r="D195" s="158" t="b">
        <v>0</v>
      </c>
      <c r="E195" s="153">
        <v>6.4</v>
      </c>
      <c r="F195" s="151">
        <v>3.2</v>
      </c>
      <c r="G195" s="151">
        <v>5.3</v>
      </c>
      <c r="H195" s="152">
        <v>2.2999999999999998</v>
      </c>
      <c r="I195" s="152" t="s">
        <v>96</v>
      </c>
      <c r="J195" s="160">
        <v>115</v>
      </c>
      <c r="K195" s="160">
        <v>0</v>
      </c>
      <c r="L195" s="160">
        <v>1.1612241941344451E+19</v>
      </c>
    </row>
    <row r="196" spans="4:12" ht="15" customHeight="1">
      <c r="D196" s="158" t="b">
        <v>0</v>
      </c>
      <c r="E196" s="153">
        <v>6.5</v>
      </c>
      <c r="F196" s="151">
        <v>3</v>
      </c>
      <c r="G196" s="151">
        <v>5.5</v>
      </c>
      <c r="H196" s="152">
        <v>1.8</v>
      </c>
      <c r="I196" s="152" t="s">
        <v>96</v>
      </c>
      <c r="J196" s="160">
        <v>116</v>
      </c>
      <c r="K196" s="160">
        <v>0</v>
      </c>
      <c r="L196" s="160">
        <v>1.7700240966600022E+19</v>
      </c>
    </row>
    <row r="197" spans="4:12" ht="15" customHeight="1">
      <c r="D197" s="158" t="b">
        <v>0</v>
      </c>
      <c r="E197" s="153">
        <v>7.7</v>
      </c>
      <c r="F197" s="151">
        <v>3.8</v>
      </c>
      <c r="G197" s="151">
        <v>6.7</v>
      </c>
      <c r="H197" s="152">
        <v>2.2000000000000002</v>
      </c>
      <c r="I197" s="152" t="s">
        <v>96</v>
      </c>
      <c r="J197" s="160">
        <v>117</v>
      </c>
      <c r="K197" s="160">
        <v>0</v>
      </c>
      <c r="L197" s="160">
        <v>1.003135703940055E+19</v>
      </c>
    </row>
    <row r="198" spans="4:12" ht="15" customHeight="1">
      <c r="D198" s="158" t="b">
        <v>0</v>
      </c>
      <c r="E198" s="153">
        <v>7.7</v>
      </c>
      <c r="F198" s="151">
        <v>2.6</v>
      </c>
      <c r="G198" s="151">
        <v>6.9</v>
      </c>
      <c r="H198" s="152">
        <v>2.2999999999999998</v>
      </c>
      <c r="I198" s="152" t="s">
        <v>96</v>
      </c>
      <c r="J198" s="160">
        <v>118</v>
      </c>
      <c r="K198" s="160">
        <v>0</v>
      </c>
      <c r="L198" s="160">
        <v>1.078474114561179E+19</v>
      </c>
    </row>
    <row r="199" spans="4:12" ht="15" customHeight="1">
      <c r="D199" s="158" t="b">
        <v>0</v>
      </c>
      <c r="E199" s="153">
        <v>6</v>
      </c>
      <c r="F199" s="151">
        <v>2.2000000000000002</v>
      </c>
      <c r="G199" s="151">
        <v>5</v>
      </c>
      <c r="H199" s="152">
        <v>1.5</v>
      </c>
      <c r="I199" s="152" t="s">
        <v>96</v>
      </c>
      <c r="J199" s="160">
        <v>119</v>
      </c>
      <c r="K199" s="160">
        <v>0</v>
      </c>
      <c r="L199" s="160">
        <v>1.6778510600435028E+18</v>
      </c>
    </row>
    <row r="200" spans="4:12" ht="15" customHeight="1">
      <c r="D200" s="158" t="b">
        <v>0</v>
      </c>
      <c r="E200" s="153">
        <v>6.9</v>
      </c>
      <c r="F200" s="151">
        <v>3.2</v>
      </c>
      <c r="G200" s="151">
        <v>5.7</v>
      </c>
      <c r="H200" s="152">
        <v>2.2999999999999998</v>
      </c>
      <c r="I200" s="152" t="s">
        <v>96</v>
      </c>
      <c r="J200" s="160">
        <v>120</v>
      </c>
      <c r="K200" s="160">
        <v>0</v>
      </c>
      <c r="L200" s="160">
        <v>1.4029279620395567E+19</v>
      </c>
    </row>
    <row r="201" spans="4:12" ht="15" customHeight="1">
      <c r="D201" s="158" t="b">
        <v>0</v>
      </c>
      <c r="E201" s="153">
        <v>5.6</v>
      </c>
      <c r="F201" s="151">
        <v>2.8</v>
      </c>
      <c r="G201" s="151">
        <v>4.9000000000000004</v>
      </c>
      <c r="H201" s="152">
        <v>2</v>
      </c>
      <c r="I201" s="152" t="s">
        <v>96</v>
      </c>
      <c r="J201" s="160">
        <v>121</v>
      </c>
      <c r="K201" s="160">
        <v>0</v>
      </c>
      <c r="L201" s="160">
        <v>2.0157982038516291E+18</v>
      </c>
    </row>
    <row r="202" spans="4:12" ht="15" customHeight="1">
      <c r="D202" s="158" t="b">
        <v>0</v>
      </c>
      <c r="E202" s="153">
        <v>7.7</v>
      </c>
      <c r="F202" s="151">
        <v>2.8</v>
      </c>
      <c r="G202" s="151">
        <v>6.7</v>
      </c>
      <c r="H202" s="152">
        <v>2</v>
      </c>
      <c r="I202" s="152" t="s">
        <v>96</v>
      </c>
      <c r="J202" s="160">
        <v>122</v>
      </c>
      <c r="K202" s="160">
        <v>0</v>
      </c>
      <c r="L202" s="160">
        <v>9.6470233210183967E+18</v>
      </c>
    </row>
    <row r="203" spans="4:12" ht="15" customHeight="1">
      <c r="D203" s="158" t="b">
        <v>0</v>
      </c>
      <c r="E203" s="153">
        <v>6.3</v>
      </c>
      <c r="F203" s="151">
        <v>2.7</v>
      </c>
      <c r="G203" s="151">
        <v>4.9000000000000004</v>
      </c>
      <c r="H203" s="152">
        <v>1.8</v>
      </c>
      <c r="I203" s="152" t="s">
        <v>96</v>
      </c>
      <c r="J203" s="160">
        <v>123</v>
      </c>
      <c r="K203" s="160">
        <v>0</v>
      </c>
      <c r="L203" s="160">
        <v>1.436710728194055E+19</v>
      </c>
    </row>
    <row r="204" spans="4:12" ht="15" customHeight="1">
      <c r="D204" s="158" t="b">
        <v>0</v>
      </c>
      <c r="E204" s="153">
        <v>6.7</v>
      </c>
      <c r="F204" s="151">
        <v>3.3</v>
      </c>
      <c r="G204" s="151">
        <v>5.7</v>
      </c>
      <c r="H204" s="152">
        <v>2.1</v>
      </c>
      <c r="I204" s="152" t="s">
        <v>96</v>
      </c>
      <c r="J204" s="160">
        <v>124</v>
      </c>
      <c r="K204" s="160">
        <v>0</v>
      </c>
      <c r="L204" s="160">
        <v>1.9947037052924444E+18</v>
      </c>
    </row>
    <row r="205" spans="4:12" ht="15" customHeight="1">
      <c r="D205" s="158" t="b">
        <v>0</v>
      </c>
      <c r="E205" s="153">
        <v>7.2</v>
      </c>
      <c r="F205" s="151">
        <v>3.2</v>
      </c>
      <c r="G205" s="151">
        <v>6</v>
      </c>
      <c r="H205" s="152">
        <v>1.8</v>
      </c>
      <c r="I205" s="152" t="s">
        <v>96</v>
      </c>
      <c r="J205" s="160">
        <v>125</v>
      </c>
      <c r="K205" s="160">
        <v>0</v>
      </c>
      <c r="L205" s="160">
        <v>1.6950079442253183E+19</v>
      </c>
    </row>
    <row r="206" spans="4:12" ht="15" customHeight="1">
      <c r="D206" s="158" t="b">
        <v>0</v>
      </c>
      <c r="E206" s="153">
        <v>6.2</v>
      </c>
      <c r="F206" s="151">
        <v>2.8</v>
      </c>
      <c r="G206" s="151">
        <v>4.8</v>
      </c>
      <c r="H206" s="152">
        <v>1.8</v>
      </c>
      <c r="I206" s="152" t="s">
        <v>96</v>
      </c>
      <c r="J206" s="160">
        <v>126</v>
      </c>
      <c r="K206" s="160">
        <v>0</v>
      </c>
      <c r="L206" s="160">
        <v>7.8198669874935368E+18</v>
      </c>
    </row>
    <row r="207" spans="4:12" ht="15" customHeight="1">
      <c r="D207" s="158" t="b">
        <v>0</v>
      </c>
      <c r="E207" s="153">
        <v>6.1</v>
      </c>
      <c r="F207" s="151">
        <v>3</v>
      </c>
      <c r="G207" s="151">
        <v>4.9000000000000004</v>
      </c>
      <c r="H207" s="152">
        <v>1.8</v>
      </c>
      <c r="I207" s="152" t="s">
        <v>96</v>
      </c>
      <c r="J207" s="160">
        <v>127</v>
      </c>
      <c r="K207" s="160">
        <v>0</v>
      </c>
      <c r="L207" s="160">
        <v>6.4973518044154317E+18</v>
      </c>
    </row>
    <row r="208" spans="4:12" ht="15" customHeight="1">
      <c r="D208" s="158" t="b">
        <v>0</v>
      </c>
      <c r="E208" s="153">
        <v>6.4</v>
      </c>
      <c r="F208" s="151">
        <v>2.8</v>
      </c>
      <c r="G208" s="151">
        <v>5.6</v>
      </c>
      <c r="H208" s="152">
        <v>2.1</v>
      </c>
      <c r="I208" s="152" t="s">
        <v>96</v>
      </c>
      <c r="J208" s="160">
        <v>128</v>
      </c>
      <c r="K208" s="160">
        <v>0</v>
      </c>
      <c r="L208" s="160">
        <v>9.4259442193246044E+18</v>
      </c>
    </row>
    <row r="209" spans="4:12" ht="15" customHeight="1">
      <c r="D209" s="158" t="b">
        <v>0</v>
      </c>
      <c r="E209" s="153">
        <v>7.2</v>
      </c>
      <c r="F209" s="151">
        <v>3</v>
      </c>
      <c r="G209" s="151">
        <v>5.8</v>
      </c>
      <c r="H209" s="152">
        <v>1.6</v>
      </c>
      <c r="I209" s="152" t="s">
        <v>96</v>
      </c>
      <c r="J209" s="160">
        <v>129</v>
      </c>
      <c r="K209" s="160">
        <v>0</v>
      </c>
      <c r="L209" s="160">
        <v>3.8864912405288878E+18</v>
      </c>
    </row>
    <row r="210" spans="4:12" ht="15" customHeight="1">
      <c r="D210" s="158" t="b">
        <v>0</v>
      </c>
      <c r="E210" s="153">
        <v>7.4</v>
      </c>
      <c r="F210" s="151">
        <v>2.8</v>
      </c>
      <c r="G210" s="151">
        <v>6.1</v>
      </c>
      <c r="H210" s="152">
        <v>1.9</v>
      </c>
      <c r="I210" s="152" t="s">
        <v>96</v>
      </c>
      <c r="J210" s="160">
        <v>130</v>
      </c>
      <c r="K210" s="160">
        <v>0</v>
      </c>
      <c r="L210" s="160">
        <v>9.7509943860251156E+18</v>
      </c>
    </row>
    <row r="211" spans="4:12" ht="15" customHeight="1">
      <c r="D211" s="158" t="b">
        <v>0</v>
      </c>
      <c r="E211" s="153">
        <v>7.9</v>
      </c>
      <c r="F211" s="151">
        <v>3.8</v>
      </c>
      <c r="G211" s="151">
        <v>6.4</v>
      </c>
      <c r="H211" s="152">
        <v>2</v>
      </c>
      <c r="I211" s="152" t="s">
        <v>96</v>
      </c>
      <c r="J211" s="160">
        <v>131</v>
      </c>
      <c r="K211" s="160">
        <v>0</v>
      </c>
      <c r="L211" s="160">
        <v>1.1849397895214377E+19</v>
      </c>
    </row>
    <row r="212" spans="4:12" ht="15" customHeight="1">
      <c r="D212" s="158" t="b">
        <v>0</v>
      </c>
      <c r="E212" s="153">
        <v>6.4</v>
      </c>
      <c r="F212" s="151">
        <v>2.8</v>
      </c>
      <c r="G212" s="151">
        <v>5.6</v>
      </c>
      <c r="H212" s="152">
        <v>2.2000000000000002</v>
      </c>
      <c r="I212" s="152" t="s">
        <v>96</v>
      </c>
      <c r="J212" s="160">
        <v>132</v>
      </c>
      <c r="K212" s="160">
        <v>0</v>
      </c>
      <c r="L212" s="160">
        <v>1.6739151969869965E+19</v>
      </c>
    </row>
    <row r="213" spans="4:12" ht="15" customHeight="1">
      <c r="D213" s="158" t="b">
        <v>0</v>
      </c>
      <c r="E213" s="153">
        <v>6.3</v>
      </c>
      <c r="F213" s="151">
        <v>2.8</v>
      </c>
      <c r="G213" s="151">
        <v>5.0999999999999996</v>
      </c>
      <c r="H213" s="152">
        <v>1.5</v>
      </c>
      <c r="I213" s="152" t="s">
        <v>96</v>
      </c>
      <c r="J213" s="160">
        <v>133</v>
      </c>
      <c r="K213" s="160">
        <v>0</v>
      </c>
      <c r="L213" s="160">
        <v>6.6135384057675328E+17</v>
      </c>
    </row>
    <row r="214" spans="4:12" ht="15" customHeight="1">
      <c r="D214" s="158" t="b">
        <v>0</v>
      </c>
      <c r="E214" s="153">
        <v>6.1</v>
      </c>
      <c r="F214" s="151">
        <v>2.6</v>
      </c>
      <c r="G214" s="151">
        <v>5.6</v>
      </c>
      <c r="H214" s="152">
        <v>1.4</v>
      </c>
      <c r="I214" s="152" t="s">
        <v>96</v>
      </c>
      <c r="J214" s="160">
        <v>134</v>
      </c>
      <c r="K214" s="160">
        <v>0</v>
      </c>
      <c r="L214" s="160">
        <v>1.1001634725678713E+19</v>
      </c>
    </row>
    <row r="215" spans="4:12" ht="15" customHeight="1">
      <c r="D215" s="158" t="b">
        <v>0</v>
      </c>
      <c r="E215" s="153">
        <v>7.7</v>
      </c>
      <c r="F215" s="151">
        <v>3</v>
      </c>
      <c r="G215" s="151">
        <v>6.1</v>
      </c>
      <c r="H215" s="152">
        <v>2.2999999999999998</v>
      </c>
      <c r="I215" s="152" t="s">
        <v>96</v>
      </c>
      <c r="J215" s="160">
        <v>135</v>
      </c>
      <c r="K215" s="160">
        <v>0</v>
      </c>
      <c r="L215" s="160">
        <v>1.7475480586561292E+19</v>
      </c>
    </row>
    <row r="216" spans="4:12" ht="15" customHeight="1">
      <c r="D216" s="158" t="b">
        <v>0</v>
      </c>
      <c r="E216" s="153">
        <v>6.3</v>
      </c>
      <c r="F216" s="151">
        <v>3.4</v>
      </c>
      <c r="G216" s="151">
        <v>5.6</v>
      </c>
      <c r="H216" s="152">
        <v>2.4</v>
      </c>
      <c r="I216" s="152" t="s">
        <v>96</v>
      </c>
      <c r="J216" s="160">
        <v>136</v>
      </c>
      <c r="K216" s="160">
        <v>0</v>
      </c>
      <c r="L216" s="160">
        <v>1.2229712659248746E+19</v>
      </c>
    </row>
    <row r="217" spans="4:12" ht="15" customHeight="1">
      <c r="D217" s="158" t="b">
        <v>0</v>
      </c>
      <c r="E217" s="153">
        <v>6.4</v>
      </c>
      <c r="F217" s="151">
        <v>3.1</v>
      </c>
      <c r="G217" s="151">
        <v>5.5</v>
      </c>
      <c r="H217" s="152">
        <v>1.8</v>
      </c>
      <c r="I217" s="152" t="s">
        <v>96</v>
      </c>
      <c r="J217" s="160">
        <v>137</v>
      </c>
      <c r="K217" s="160">
        <v>0</v>
      </c>
      <c r="L217" s="160">
        <v>1.406293020579362E+19</v>
      </c>
    </row>
    <row r="218" spans="4:12" ht="15" customHeight="1">
      <c r="D218" s="158" t="b">
        <v>0</v>
      </c>
      <c r="E218" s="153">
        <v>6</v>
      </c>
      <c r="F218" s="151">
        <v>3</v>
      </c>
      <c r="G218" s="151">
        <v>4.8</v>
      </c>
      <c r="H218" s="152">
        <v>1.8</v>
      </c>
      <c r="I218" s="152" t="s">
        <v>96</v>
      </c>
      <c r="J218" s="160">
        <v>138</v>
      </c>
      <c r="K218" s="160">
        <v>0</v>
      </c>
      <c r="L218" s="160">
        <v>1.6137646621662306E+19</v>
      </c>
    </row>
    <row r="219" spans="4:12" ht="15" customHeight="1">
      <c r="D219" s="158" t="b">
        <v>0</v>
      </c>
      <c r="E219" s="153">
        <v>6.9</v>
      </c>
      <c r="F219" s="151">
        <v>3.1</v>
      </c>
      <c r="G219" s="151">
        <v>5.4</v>
      </c>
      <c r="H219" s="152">
        <v>2.1</v>
      </c>
      <c r="I219" s="152" t="s">
        <v>96</v>
      </c>
      <c r="J219" s="160">
        <v>139</v>
      </c>
      <c r="K219" s="160">
        <v>0</v>
      </c>
      <c r="L219" s="160">
        <v>2.9097514045485901E+18</v>
      </c>
    </row>
    <row r="220" spans="4:12" ht="15" customHeight="1">
      <c r="D220" s="158" t="b">
        <v>0</v>
      </c>
      <c r="E220" s="153">
        <v>6.7</v>
      </c>
      <c r="F220" s="151">
        <v>3.1</v>
      </c>
      <c r="G220" s="151">
        <v>5.6</v>
      </c>
      <c r="H220" s="152">
        <v>2.4</v>
      </c>
      <c r="I220" s="152" t="s">
        <v>96</v>
      </c>
      <c r="J220" s="160">
        <v>140</v>
      </c>
      <c r="K220" s="160">
        <v>0</v>
      </c>
      <c r="L220" s="160">
        <v>1.6300255540475365E+19</v>
      </c>
    </row>
    <row r="221" spans="4:12" ht="15" customHeight="1">
      <c r="D221" s="158" t="b">
        <v>0</v>
      </c>
      <c r="E221" s="153">
        <v>6.9</v>
      </c>
      <c r="F221" s="151">
        <v>3.1</v>
      </c>
      <c r="G221" s="151">
        <v>5.0999999999999996</v>
      </c>
      <c r="H221" s="152">
        <v>2.2999999999999998</v>
      </c>
      <c r="I221" s="152" t="s">
        <v>96</v>
      </c>
      <c r="J221" s="160">
        <v>141</v>
      </c>
      <c r="K221" s="160">
        <v>0</v>
      </c>
      <c r="L221" s="160">
        <v>1.0790540504564882E+18</v>
      </c>
    </row>
    <row r="222" spans="4:12" ht="15" customHeight="1">
      <c r="D222" s="158" t="b">
        <v>0</v>
      </c>
      <c r="E222" s="153">
        <v>5.8</v>
      </c>
      <c r="F222" s="151">
        <v>2.7</v>
      </c>
      <c r="G222" s="151">
        <v>5.0999999999999996</v>
      </c>
      <c r="H222" s="152">
        <v>1.9</v>
      </c>
      <c r="I222" s="152" t="s">
        <v>96</v>
      </c>
      <c r="J222" s="160">
        <v>142</v>
      </c>
      <c r="K222" s="160">
        <v>0</v>
      </c>
      <c r="L222" s="160">
        <v>3.976374000417663E+18</v>
      </c>
    </row>
    <row r="223" spans="4:12" ht="15" customHeight="1">
      <c r="D223" s="158" t="b">
        <v>0</v>
      </c>
      <c r="E223" s="153">
        <v>6.8</v>
      </c>
      <c r="F223" s="151">
        <v>3.2</v>
      </c>
      <c r="G223" s="151">
        <v>5.9</v>
      </c>
      <c r="H223" s="152">
        <v>2.2999999999999998</v>
      </c>
      <c r="I223" s="152" t="s">
        <v>96</v>
      </c>
      <c r="J223" s="160">
        <v>143</v>
      </c>
      <c r="K223" s="160">
        <v>0</v>
      </c>
      <c r="L223" s="160">
        <v>9.3184987252360069E+18</v>
      </c>
    </row>
    <row r="224" spans="4:12" ht="15" customHeight="1">
      <c r="D224" s="158" t="b">
        <v>0</v>
      </c>
      <c r="E224" s="153">
        <v>6.7</v>
      </c>
      <c r="F224" s="151">
        <v>3.3</v>
      </c>
      <c r="G224" s="151">
        <v>5.7</v>
      </c>
      <c r="H224" s="152">
        <v>2.5</v>
      </c>
      <c r="I224" s="152" t="s">
        <v>96</v>
      </c>
      <c r="J224" s="160">
        <v>144</v>
      </c>
      <c r="K224" s="160">
        <v>0</v>
      </c>
      <c r="L224" s="160">
        <v>1.0551176296097987E+19</v>
      </c>
    </row>
    <row r="225" spans="4:12" ht="15" customHeight="1">
      <c r="D225" s="158" t="b">
        <v>0</v>
      </c>
      <c r="E225" s="153">
        <v>6.7</v>
      </c>
      <c r="F225" s="151">
        <v>3</v>
      </c>
      <c r="G225" s="151">
        <v>5.2</v>
      </c>
      <c r="H225" s="152">
        <v>2.2999999999999998</v>
      </c>
      <c r="I225" s="152" t="s">
        <v>96</v>
      </c>
      <c r="J225" s="160">
        <v>145</v>
      </c>
      <c r="K225" s="160">
        <v>0</v>
      </c>
      <c r="L225" s="160">
        <v>2.5537808874847677E+18</v>
      </c>
    </row>
    <row r="226" spans="4:12" ht="15" customHeight="1">
      <c r="D226" s="158" t="b">
        <v>0</v>
      </c>
      <c r="E226" s="153">
        <v>6.3</v>
      </c>
      <c r="F226" s="151">
        <v>2.5</v>
      </c>
      <c r="G226" s="151">
        <v>5</v>
      </c>
      <c r="H226" s="152">
        <v>1.9</v>
      </c>
      <c r="I226" s="152" t="s">
        <v>96</v>
      </c>
      <c r="J226" s="160">
        <v>146</v>
      </c>
      <c r="K226" s="160">
        <v>0</v>
      </c>
      <c r="L226" s="160">
        <v>1.3252718261715847E+19</v>
      </c>
    </row>
    <row r="227" spans="4:12" ht="15" customHeight="1">
      <c r="D227" s="158" t="b">
        <v>0</v>
      </c>
      <c r="E227" s="153">
        <v>6.5</v>
      </c>
      <c r="F227" s="151">
        <v>3</v>
      </c>
      <c r="G227" s="151">
        <v>5.2</v>
      </c>
      <c r="H227" s="152">
        <v>2</v>
      </c>
      <c r="I227" s="152" t="s">
        <v>96</v>
      </c>
      <c r="J227" s="160">
        <v>147</v>
      </c>
      <c r="K227" s="160">
        <v>0</v>
      </c>
      <c r="L227" s="160">
        <v>1.7012061598749592E+19</v>
      </c>
    </row>
    <row r="228" spans="4:12" ht="15" customHeight="1">
      <c r="D228" s="158" t="b">
        <v>0</v>
      </c>
      <c r="E228" s="153">
        <v>6.2</v>
      </c>
      <c r="F228" s="151">
        <v>3.4</v>
      </c>
      <c r="G228" s="151">
        <v>5.4</v>
      </c>
      <c r="H228" s="152">
        <v>2.2999999999999998</v>
      </c>
      <c r="I228" s="152" t="s">
        <v>96</v>
      </c>
      <c r="J228" s="160">
        <v>148</v>
      </c>
      <c r="K228" s="160">
        <v>0</v>
      </c>
      <c r="L228" s="160">
        <v>1.0846658131170545E+18</v>
      </c>
    </row>
    <row r="229" spans="4:12" ht="15" customHeight="1">
      <c r="D229" s="159" t="b">
        <v>0</v>
      </c>
      <c r="E229" s="154">
        <v>5.9</v>
      </c>
      <c r="F229" s="155">
        <v>3</v>
      </c>
      <c r="G229" s="155">
        <v>5.0999999999999996</v>
      </c>
      <c r="H229" s="152">
        <v>1.8</v>
      </c>
      <c r="I229" s="152" t="s">
        <v>96</v>
      </c>
      <c r="J229" s="160">
        <v>149</v>
      </c>
      <c r="K229" s="160">
        <v>0</v>
      </c>
      <c r="L229" s="160">
        <v>3.136869761845034E+18</v>
      </c>
    </row>
  </sheetData>
  <mergeCells count="1">
    <mergeCell ref="E7:F7"/>
  </mergeCells>
  <phoneticPr fontId="32" type="noConversion"/>
  <conditionalFormatting sqref="E23:G30 E36:G40 E46:G54">
    <cfRule type="cellIs" dxfId="129" priority="22" operator="equal">
      <formula>0</formula>
    </cfRule>
  </conditionalFormatting>
  <conditionalFormatting sqref="D80:D229">
    <cfRule type="cellIs" dxfId="128" priority="21" operator="notEqual">
      <formula>FALSE</formula>
    </cfRule>
  </conditionalFormatting>
  <conditionalFormatting sqref="E17:I17">
    <cfRule type="cellIs" dxfId="12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26" priority="16"/>
  </conditionalFormatting>
  <conditionalFormatting sqref="E15:I15">
    <cfRule type="cellIs" dxfId="125" priority="14" operator="notEqual">
      <formula>"Definition"</formula>
    </cfRule>
  </conditionalFormatting>
  <conditionalFormatting sqref="E7">
    <cfRule type="cellIs" dxfId="124" priority="13" operator="notEqual">
      <formula>"Dataset Description"</formula>
    </cfRule>
  </conditionalFormatting>
  <conditionalFormatting sqref="E58:G65">
    <cfRule type="cellIs" dxfId="12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79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7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150</v>
      </c>
      <c r="AA5" s="9"/>
    </row>
    <row r="6" spans="1:27" ht="15" customHeight="1">
      <c r="B6" s="38" t="s">
        <v>54</v>
      </c>
      <c r="C6" s="37">
        <v>5</v>
      </c>
      <c r="AA6" s="4"/>
    </row>
    <row r="7" spans="1:27" ht="15" customHeight="1">
      <c r="B7" s="38" t="s">
        <v>13</v>
      </c>
      <c r="C7" s="37" t="s">
        <v>91</v>
      </c>
      <c r="AA7" s="4"/>
    </row>
    <row r="8" spans="1:27" ht="15" customHeight="1">
      <c r="B8" s="38" t="s">
        <v>55</v>
      </c>
      <c r="C8" s="65">
        <v>0.99333333333333329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IF(INDEX('Iris | Field Analysis'!Definitions,1,MATCH(tbl_Overview[[#This Row],[Field]],'Iris | Field Analysis'!Headers,0))="Definition","",INDEX('Iris | Field Analysis'!Definitions,1,MATCH(tbl_Overview[[#This Row],[Field]],'Iris | Field Analysis'!Headers,0)))</f>
        <v/>
      </c>
      <c r="D12" s="68" t="str">
        <f>IF(INDEX('Iris | Field Analysis'!Notes,1,MATCH(tbl_Overview[[#This Row],[Field]],'Iris | Field Analysis'!Headers,0))="Note","",INDEX('Iris | Field Analysis'!Notes,1,MATCH(tbl_Overview[[#This Row],[Field]],'Iris | Field Analysis'!Headers,0)))</f>
        <v/>
      </c>
      <c r="E12" s="60" t="s">
        <v>92</v>
      </c>
      <c r="F12" s="64">
        <v>0.233333333333333</v>
      </c>
      <c r="G12" s="64">
        <v>0</v>
      </c>
      <c r="H12" s="64">
        <v>0.141693234148069</v>
      </c>
      <c r="I12" s="61">
        <v>1200</v>
      </c>
      <c r="J12" s="61">
        <v>35</v>
      </c>
      <c r="K12" s="61">
        <v>150</v>
      </c>
      <c r="L12" s="62">
        <v>1</v>
      </c>
      <c r="M12" s="61">
        <v>0</v>
      </c>
      <c r="N12" s="63">
        <v>5.8433333333333302</v>
      </c>
      <c r="O12" s="63">
        <v>5.8</v>
      </c>
      <c r="P12" s="63">
        <v>5</v>
      </c>
      <c r="Q12" s="63">
        <v>0.82806612797786305</v>
      </c>
      <c r="R12" s="63">
        <v>0.68569351230425002</v>
      </c>
      <c r="S12" s="63">
        <v>4.3</v>
      </c>
      <c r="T12" s="63">
        <v>4.5999999999999996</v>
      </c>
      <c r="U12" s="63">
        <v>5.0999999999999996</v>
      </c>
      <c r="V12" s="63">
        <v>5.8</v>
      </c>
      <c r="W12" s="63">
        <v>6.4</v>
      </c>
      <c r="X12" s="63">
        <v>7.2549999999999901</v>
      </c>
      <c r="Y12" s="63">
        <v>7.9</v>
      </c>
      <c r="Z12" s="63">
        <v>3.6</v>
      </c>
      <c r="AA12" s="63">
        <v>1.3</v>
      </c>
    </row>
    <row r="13" spans="1:27" ht="15" customHeight="1">
      <c r="B13" s="59" t="s">
        <v>85</v>
      </c>
      <c r="C13" s="68" t="str">
        <f>IF(INDEX('Iris | Field Analysis'!Definitions,1,MATCH(tbl_Overview[[#This Row],[Field]],'Iris | Field Analysis'!Headers,0))="Definition","",INDEX('Iris | Field Analysis'!Definitions,1,MATCH(tbl_Overview[[#This Row],[Field]],'Iris | Field Analysis'!Headers,0)))</f>
        <v/>
      </c>
      <c r="D13" s="68" t="str">
        <f>IF(INDEX('Iris | Field Analysis'!Notes,1,MATCH(tbl_Overview[[#This Row],[Field]],'Iris | Field Analysis'!Headers,0))="Note","",INDEX('Iris | Field Analysis'!Notes,1,MATCH(tbl_Overview[[#This Row],[Field]],'Iris | Field Analysis'!Headers,0)))</f>
        <v/>
      </c>
      <c r="E13" s="60" t="s">
        <v>92</v>
      </c>
      <c r="F13" s="140">
        <v>0.15333333333333299</v>
      </c>
      <c r="G13" s="140">
        <v>0</v>
      </c>
      <c r="H13" s="140">
        <v>0.141693234148069</v>
      </c>
      <c r="I13" s="61">
        <v>1200</v>
      </c>
      <c r="J13" s="61">
        <v>23</v>
      </c>
      <c r="K13" s="61">
        <v>150</v>
      </c>
      <c r="L13" s="62">
        <v>1</v>
      </c>
      <c r="M13" s="61">
        <v>0</v>
      </c>
      <c r="N13" s="63">
        <v>3.0573333333333301</v>
      </c>
      <c r="O13" s="63">
        <v>3</v>
      </c>
      <c r="P13" s="63">
        <v>3</v>
      </c>
      <c r="Q13" s="63">
        <v>0.43586628493669799</v>
      </c>
      <c r="R13" s="63">
        <v>0.18997941834451901</v>
      </c>
      <c r="S13" s="63">
        <v>2</v>
      </c>
      <c r="T13" s="63">
        <v>2.34499999999999</v>
      </c>
      <c r="U13" s="63">
        <v>2.8</v>
      </c>
      <c r="V13" s="63">
        <v>3</v>
      </c>
      <c r="W13" s="63">
        <v>3.3</v>
      </c>
      <c r="X13" s="63">
        <v>3.8</v>
      </c>
      <c r="Y13" s="63">
        <v>4.4000000000000004</v>
      </c>
      <c r="Z13" s="63">
        <v>2.4</v>
      </c>
      <c r="AA13" s="63">
        <v>0.5</v>
      </c>
    </row>
    <row r="14" spans="1:27" ht="15" customHeight="1">
      <c r="B14" s="59" t="s">
        <v>86</v>
      </c>
      <c r="C14" s="68" t="str">
        <f>IF(INDEX('Iris | Field Analysis'!Definitions,1,MATCH(tbl_Overview[[#This Row],[Field]],'Iris | Field Analysis'!Headers,0))="Definition","",INDEX('Iris | Field Analysis'!Definitions,1,MATCH(tbl_Overview[[#This Row],[Field]],'Iris | Field Analysis'!Headers,0)))</f>
        <v/>
      </c>
      <c r="D14" s="68" t="str">
        <f>IF(INDEX('Iris | Field Analysis'!Notes,1,MATCH(tbl_Overview[[#This Row],[Field]],'Iris | Field Analysis'!Headers,0))="Note","",INDEX('Iris | Field Analysis'!Notes,1,MATCH(tbl_Overview[[#This Row],[Field]],'Iris | Field Analysis'!Headers,0)))</f>
        <v/>
      </c>
      <c r="E14" s="60" t="s">
        <v>92</v>
      </c>
      <c r="F14" s="140">
        <v>0.28666666666666601</v>
      </c>
      <c r="G14" s="140">
        <v>0</v>
      </c>
      <c r="H14" s="140">
        <v>0.141693234148069</v>
      </c>
      <c r="I14" s="61">
        <v>1200</v>
      </c>
      <c r="J14" s="61">
        <v>43</v>
      </c>
      <c r="K14" s="61">
        <v>150</v>
      </c>
      <c r="L14" s="62">
        <v>1</v>
      </c>
      <c r="M14" s="61">
        <v>0</v>
      </c>
      <c r="N14" s="63">
        <v>3.758</v>
      </c>
      <c r="O14" s="63">
        <v>4.3499999999999996</v>
      </c>
      <c r="P14" s="63">
        <v>1.4</v>
      </c>
      <c r="Q14" s="63">
        <v>1.76529823325946</v>
      </c>
      <c r="R14" s="63">
        <v>3.1162778523489898</v>
      </c>
      <c r="S14" s="63">
        <v>1</v>
      </c>
      <c r="T14" s="63">
        <v>1.3</v>
      </c>
      <c r="U14" s="63">
        <v>1.6</v>
      </c>
      <c r="V14" s="63">
        <v>4.3499999999999996</v>
      </c>
      <c r="W14" s="63">
        <v>5.0999999999999996</v>
      </c>
      <c r="X14" s="63">
        <v>6.1</v>
      </c>
      <c r="Y14" s="63">
        <v>6.9</v>
      </c>
      <c r="Z14" s="63">
        <v>5.9</v>
      </c>
      <c r="AA14" s="63">
        <v>3.4999999999999898</v>
      </c>
    </row>
    <row r="15" spans="1:27" ht="15" customHeight="1">
      <c r="B15" s="59" t="s">
        <v>87</v>
      </c>
      <c r="C15" s="68" t="str">
        <f>IF(INDEX('Iris | Field Analysis'!Definitions,1,MATCH(tbl_Overview[[#This Row],[Field]],'Iris | Field Analysis'!Headers,0))="Definition","",INDEX('Iris | Field Analysis'!Definitions,1,MATCH(tbl_Overview[[#This Row],[Field]],'Iris | Field Analysis'!Headers,0)))</f>
        <v/>
      </c>
      <c r="D15" s="68" t="str">
        <f>IF(INDEX('Iris | Field Analysis'!Notes,1,MATCH(tbl_Overview[[#This Row],[Field]],'Iris | Field Analysis'!Headers,0))="Note","",INDEX('Iris | Field Analysis'!Notes,1,MATCH(tbl_Overview[[#This Row],[Field]],'Iris | Field Analysis'!Headers,0)))</f>
        <v/>
      </c>
      <c r="E15" s="60" t="s">
        <v>92</v>
      </c>
      <c r="F15" s="140">
        <v>0.146666666666666</v>
      </c>
      <c r="G15" s="140">
        <v>0</v>
      </c>
      <c r="H15" s="140">
        <v>0.141693234148069</v>
      </c>
      <c r="I15" s="61">
        <v>1200</v>
      </c>
      <c r="J15" s="61">
        <v>22</v>
      </c>
      <c r="K15" s="61">
        <v>150</v>
      </c>
      <c r="L15" s="62">
        <v>1</v>
      </c>
      <c r="M15" s="61">
        <v>0</v>
      </c>
      <c r="N15" s="63">
        <v>1.19933333333333</v>
      </c>
      <c r="O15" s="63">
        <v>1.3</v>
      </c>
      <c r="P15" s="63">
        <v>0.2</v>
      </c>
      <c r="Q15" s="63">
        <v>0.76223766896034595</v>
      </c>
      <c r="R15" s="63">
        <v>0.58100626398210198</v>
      </c>
      <c r="S15" s="63">
        <v>0.1</v>
      </c>
      <c r="T15" s="63">
        <v>0.2</v>
      </c>
      <c r="U15" s="63">
        <v>0.3</v>
      </c>
      <c r="V15" s="63">
        <v>1.3</v>
      </c>
      <c r="W15" s="63">
        <v>1.8</v>
      </c>
      <c r="X15" s="63">
        <v>2.2999999999999998</v>
      </c>
      <c r="Y15" s="63">
        <v>2.5</v>
      </c>
      <c r="Z15" s="63">
        <v>2.4</v>
      </c>
      <c r="AA15" s="63">
        <v>1.5</v>
      </c>
    </row>
    <row r="16" spans="1:27" ht="15" customHeight="1">
      <c r="B16" s="141" t="s">
        <v>88</v>
      </c>
      <c r="C16" s="142" t="str">
        <f>IF(INDEX('Iris | Field Analysis'!Definitions,1,MATCH(tbl_Overview[[#This Row],[Field]],'Iris | Field Analysis'!Headers,0))="Definition","",INDEX('Iris | Field Analysis'!Definitions,1,MATCH(tbl_Overview[[#This Row],[Field]],'Iris | Field Analysis'!Headers,0)))</f>
        <v/>
      </c>
      <c r="D16" s="142" t="str">
        <f>IF(INDEX('Iris | Field Analysis'!Notes,1,MATCH(tbl_Overview[[#This Row],[Field]],'Iris | Field Analysis'!Headers,0))="Note","",INDEX('Iris | Field Analysis'!Notes,1,MATCH(tbl_Overview[[#This Row],[Field]],'Iris | Field Analysis'!Headers,0)))</f>
        <v/>
      </c>
      <c r="E16" s="143" t="s">
        <v>93</v>
      </c>
      <c r="F16" s="144">
        <v>0.02</v>
      </c>
      <c r="G16" s="144">
        <v>0</v>
      </c>
      <c r="H16" s="144">
        <v>0.29153382925965199</v>
      </c>
      <c r="I16" s="145">
        <v>2469</v>
      </c>
      <c r="J16" s="145">
        <v>3</v>
      </c>
      <c r="K16" s="145">
        <v>150</v>
      </c>
      <c r="L16" s="146">
        <v>1</v>
      </c>
      <c r="M16" s="145">
        <v>0</v>
      </c>
      <c r="N16" s="147"/>
      <c r="O16" s="147"/>
      <c r="P16" s="147" t="s">
        <v>94</v>
      </c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27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4.88671875" style="12" bestFit="1" customWidth="1"/>
    <col min="4" max="4" width="17" style="12" bestFit="1" customWidth="1"/>
    <col min="5" max="5" width="17.44140625" style="12" bestFit="1" customWidth="1"/>
    <col min="6" max="6" width="17" style="12" bestFit="1" customWidth="1"/>
    <col min="7" max="7" width="12.4414062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'Iris | Field Analysis'!Name</f>
        <v>Iris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4" t="s">
        <v>48</v>
      </c>
      <c r="I9" s="164" t="s">
        <v>49</v>
      </c>
      <c r="J9" s="164" t="s">
        <v>53</v>
      </c>
    </row>
    <row r="10" spans="1:17" ht="15" customHeight="1">
      <c r="C10" s="161">
        <v>4.3</v>
      </c>
      <c r="D10" s="50"/>
      <c r="E10" s="50"/>
      <c r="F10" s="50"/>
      <c r="G10" s="50"/>
      <c r="H10" s="165">
        <v>0</v>
      </c>
      <c r="I10" s="166"/>
      <c r="J10" s="167">
        <v>6.6666666666666671E-3</v>
      </c>
    </row>
    <row r="11" spans="1:17" ht="15" customHeight="1">
      <c r="C11" s="161">
        <v>4.4000000000000004</v>
      </c>
      <c r="D11" s="50"/>
      <c r="E11" s="50"/>
      <c r="F11" s="50"/>
      <c r="G11" s="50"/>
      <c r="H11" s="165">
        <v>0</v>
      </c>
      <c r="I11" s="166"/>
      <c r="J11" s="167">
        <v>0.02</v>
      </c>
    </row>
    <row r="12" spans="1:17" ht="15" customHeight="1">
      <c r="C12" s="161">
        <v>4.5</v>
      </c>
      <c r="D12" s="50"/>
      <c r="E12" s="50"/>
      <c r="F12" s="50"/>
      <c r="G12" s="50"/>
      <c r="H12" s="165">
        <v>0</v>
      </c>
      <c r="I12" s="166"/>
      <c r="J12" s="167">
        <v>6.6666666666666671E-3</v>
      </c>
    </row>
    <row r="13" spans="1:17" ht="15" customHeight="1">
      <c r="C13" s="161">
        <v>4.5999999999999996</v>
      </c>
      <c r="D13" s="50"/>
      <c r="E13" s="50"/>
      <c r="F13" s="50"/>
      <c r="G13" s="50"/>
      <c r="H13" s="165">
        <v>0</v>
      </c>
      <c r="I13" s="166"/>
      <c r="J13" s="167">
        <v>2.6666666666666668E-2</v>
      </c>
    </row>
    <row r="14" spans="1:17" ht="15" customHeight="1">
      <c r="C14" s="161">
        <v>4.7</v>
      </c>
      <c r="D14" s="50"/>
      <c r="E14" s="50"/>
      <c r="F14" s="50"/>
      <c r="G14" s="50"/>
      <c r="H14" s="165">
        <v>0</v>
      </c>
      <c r="I14" s="166"/>
      <c r="J14" s="167">
        <v>1.3333333333333334E-2</v>
      </c>
    </row>
    <row r="15" spans="1:17" ht="15" customHeight="1">
      <c r="C15" s="161">
        <v>4.8</v>
      </c>
      <c r="D15" s="50"/>
      <c r="E15" s="50"/>
      <c r="F15" s="50"/>
      <c r="G15" s="50"/>
      <c r="H15" s="165">
        <v>0</v>
      </c>
      <c r="I15" s="166"/>
      <c r="J15" s="167">
        <v>3.3333333333333333E-2</v>
      </c>
    </row>
    <row r="16" spans="1:17" ht="15" customHeight="1">
      <c r="C16" s="161">
        <v>4.9000000000000004</v>
      </c>
      <c r="D16" s="50"/>
      <c r="E16" s="50"/>
      <c r="F16" s="50"/>
      <c r="G16" s="50"/>
      <c r="H16" s="165">
        <v>0</v>
      </c>
      <c r="I16" s="166"/>
      <c r="J16" s="167">
        <v>0.04</v>
      </c>
    </row>
    <row r="17" spans="3:10" ht="15" customHeight="1">
      <c r="C17" s="161">
        <v>5</v>
      </c>
      <c r="D17" s="50"/>
      <c r="E17" s="50"/>
      <c r="F17" s="50"/>
      <c r="G17" s="50"/>
      <c r="H17" s="165">
        <v>0</v>
      </c>
      <c r="I17" s="166"/>
      <c r="J17" s="167">
        <v>6.6666666666666666E-2</v>
      </c>
    </row>
    <row r="18" spans="3:10" ht="15" customHeight="1">
      <c r="C18" s="161">
        <v>5.0999999999999996</v>
      </c>
      <c r="D18" s="50"/>
      <c r="E18" s="50"/>
      <c r="F18" s="50"/>
      <c r="G18" s="50"/>
      <c r="H18" s="165">
        <v>0</v>
      </c>
      <c r="I18" s="166"/>
      <c r="J18" s="167">
        <v>0.06</v>
      </c>
    </row>
    <row r="19" spans="3:10" ht="15" customHeight="1">
      <c r="C19" s="161">
        <v>5.2</v>
      </c>
      <c r="D19" s="50"/>
      <c r="E19" s="50"/>
      <c r="F19" s="50"/>
      <c r="G19" s="50"/>
      <c r="H19" s="165">
        <v>0</v>
      </c>
      <c r="I19" s="166"/>
      <c r="J19" s="167">
        <v>2.6666666666666668E-2</v>
      </c>
    </row>
    <row r="20" spans="3:10" ht="15" customHeight="1">
      <c r="C20" s="161">
        <v>5.3</v>
      </c>
      <c r="D20" s="50"/>
      <c r="E20" s="50"/>
      <c r="F20" s="50"/>
      <c r="G20" s="50"/>
      <c r="H20" s="165">
        <v>0</v>
      </c>
      <c r="I20" s="166"/>
      <c r="J20" s="167">
        <v>6.6666666666666671E-3</v>
      </c>
    </row>
    <row r="21" spans="3:10" ht="15" customHeight="1">
      <c r="C21" s="161">
        <v>5.4</v>
      </c>
      <c r="D21" s="50"/>
      <c r="E21" s="50"/>
      <c r="F21" s="50"/>
      <c r="G21" s="50"/>
      <c r="H21" s="165">
        <v>0</v>
      </c>
      <c r="I21" s="166"/>
      <c r="J21" s="167">
        <v>0.04</v>
      </c>
    </row>
    <row r="22" spans="3:10" ht="15" customHeight="1">
      <c r="C22" s="161">
        <v>5.5</v>
      </c>
      <c r="D22" s="50"/>
      <c r="E22" s="50"/>
      <c r="F22" s="50"/>
      <c r="G22" s="50"/>
      <c r="H22" s="165">
        <v>0</v>
      </c>
      <c r="I22" s="166"/>
      <c r="J22" s="167">
        <v>4.6666666666666669E-2</v>
      </c>
    </row>
    <row r="23" spans="3:10" ht="15" customHeight="1">
      <c r="C23" s="161">
        <v>5.6</v>
      </c>
      <c r="D23" s="50"/>
      <c r="E23" s="50"/>
      <c r="F23" s="50"/>
      <c r="G23" s="50"/>
      <c r="H23" s="165">
        <v>0</v>
      </c>
      <c r="I23" s="166"/>
      <c r="J23" s="167">
        <v>0.04</v>
      </c>
    </row>
    <row r="24" spans="3:10" ht="15" customHeight="1">
      <c r="C24" s="161">
        <v>5.7</v>
      </c>
      <c r="D24" s="50"/>
      <c r="E24" s="50"/>
      <c r="F24" s="50"/>
      <c r="G24" s="50"/>
      <c r="H24" s="165">
        <v>0</v>
      </c>
      <c r="I24" s="166"/>
      <c r="J24" s="167">
        <v>5.3333333333333337E-2</v>
      </c>
    </row>
    <row r="25" spans="3:10" ht="15" customHeight="1">
      <c r="C25" s="161">
        <v>5.8</v>
      </c>
      <c r="D25" s="50"/>
      <c r="E25" s="50"/>
      <c r="F25" s="50"/>
      <c r="G25" s="50"/>
      <c r="H25" s="165">
        <v>0</v>
      </c>
      <c r="I25" s="166"/>
      <c r="J25" s="167">
        <v>4.6666666666666669E-2</v>
      </c>
    </row>
    <row r="26" spans="3:10" ht="15" customHeight="1">
      <c r="C26" s="161">
        <v>5.9</v>
      </c>
      <c r="D26" s="50"/>
      <c r="E26" s="50"/>
      <c r="F26" s="50"/>
      <c r="G26" s="50"/>
      <c r="H26" s="165">
        <v>0</v>
      </c>
      <c r="I26" s="166"/>
      <c r="J26" s="167">
        <v>0.02</v>
      </c>
    </row>
    <row r="27" spans="3:10" ht="15" customHeight="1">
      <c r="C27" s="161">
        <v>6</v>
      </c>
      <c r="D27" s="50"/>
      <c r="E27" s="50"/>
      <c r="F27" s="50"/>
      <c r="G27" s="50"/>
      <c r="H27" s="165">
        <v>0</v>
      </c>
      <c r="I27" s="166"/>
      <c r="J27" s="167">
        <v>0.04</v>
      </c>
    </row>
    <row r="28" spans="3:10" ht="15" customHeight="1">
      <c r="C28" s="161">
        <v>6.1</v>
      </c>
      <c r="D28" s="50"/>
      <c r="E28" s="50"/>
      <c r="F28" s="50"/>
      <c r="G28" s="50"/>
      <c r="H28" s="165">
        <v>0</v>
      </c>
      <c r="I28" s="166"/>
      <c r="J28" s="167">
        <v>0.04</v>
      </c>
    </row>
    <row r="29" spans="3:10" ht="15" customHeight="1">
      <c r="C29" s="161">
        <v>6.2</v>
      </c>
      <c r="D29" s="50"/>
      <c r="E29" s="50"/>
      <c r="F29" s="50"/>
      <c r="G29" s="50"/>
      <c r="H29" s="165">
        <v>0</v>
      </c>
      <c r="I29" s="166"/>
      <c r="J29" s="167">
        <v>2.6666666666666668E-2</v>
      </c>
    </row>
    <row r="30" spans="3:10" ht="15" customHeight="1">
      <c r="C30" s="161">
        <v>6.3</v>
      </c>
      <c r="D30" s="50"/>
      <c r="E30" s="50"/>
      <c r="F30" s="50"/>
      <c r="G30" s="50"/>
      <c r="H30" s="165">
        <v>0</v>
      </c>
      <c r="I30" s="166"/>
      <c r="J30" s="167">
        <v>0.06</v>
      </c>
    </row>
    <row r="31" spans="3:10" ht="15" customHeight="1">
      <c r="C31" s="161">
        <v>6.4</v>
      </c>
      <c r="D31" s="50"/>
      <c r="E31" s="50"/>
      <c r="F31" s="50"/>
      <c r="G31" s="50"/>
      <c r="H31" s="165">
        <v>0</v>
      </c>
      <c r="I31" s="166"/>
      <c r="J31" s="167">
        <v>4.6666666666666669E-2</v>
      </c>
    </row>
    <row r="32" spans="3:10" ht="15" customHeight="1">
      <c r="C32" s="161">
        <v>6.5</v>
      </c>
      <c r="D32" s="50"/>
      <c r="E32" s="50"/>
      <c r="F32" s="50"/>
      <c r="G32" s="50"/>
      <c r="H32" s="165">
        <v>0</v>
      </c>
      <c r="I32" s="166"/>
      <c r="J32" s="167">
        <v>3.3333333333333333E-2</v>
      </c>
    </row>
    <row r="33" spans="3:10" ht="15" customHeight="1">
      <c r="C33" s="161">
        <v>6.6</v>
      </c>
      <c r="D33" s="50"/>
      <c r="E33" s="50"/>
      <c r="F33" s="50"/>
      <c r="G33" s="50"/>
      <c r="H33" s="165">
        <v>0</v>
      </c>
      <c r="I33" s="166"/>
      <c r="J33" s="167">
        <v>1.3333333333333334E-2</v>
      </c>
    </row>
    <row r="34" spans="3:10" ht="15" customHeight="1">
      <c r="C34" s="161">
        <v>6.7</v>
      </c>
      <c r="D34" s="50"/>
      <c r="E34" s="50"/>
      <c r="F34" s="50"/>
      <c r="G34" s="50"/>
      <c r="H34" s="165">
        <v>0</v>
      </c>
      <c r="I34" s="166"/>
      <c r="J34" s="167">
        <v>5.3333333333333337E-2</v>
      </c>
    </row>
    <row r="35" spans="3:10" ht="15" customHeight="1">
      <c r="C35" s="161">
        <v>6.8</v>
      </c>
      <c r="D35" s="50"/>
      <c r="E35" s="50"/>
      <c r="F35" s="50"/>
      <c r="G35" s="50"/>
      <c r="H35" s="165">
        <v>0</v>
      </c>
      <c r="I35" s="166"/>
      <c r="J35" s="167">
        <v>0.02</v>
      </c>
    </row>
    <row r="36" spans="3:10" ht="15" customHeight="1">
      <c r="C36" s="161">
        <v>6.9</v>
      </c>
      <c r="D36" s="50"/>
      <c r="E36" s="50"/>
      <c r="F36" s="50"/>
      <c r="G36" s="50"/>
      <c r="H36" s="165">
        <v>0</v>
      </c>
      <c r="I36" s="166"/>
      <c r="J36" s="167">
        <v>2.6666666666666668E-2</v>
      </c>
    </row>
    <row r="37" spans="3:10" ht="15" customHeight="1">
      <c r="C37" s="161">
        <v>7</v>
      </c>
      <c r="D37" s="50"/>
      <c r="E37" s="50"/>
      <c r="F37" s="50"/>
      <c r="G37" s="50"/>
      <c r="H37" s="165">
        <v>0</v>
      </c>
      <c r="I37" s="166"/>
      <c r="J37" s="167">
        <v>6.6666666666666671E-3</v>
      </c>
    </row>
    <row r="38" spans="3:10" ht="15" customHeight="1">
      <c r="C38" s="161">
        <v>7.1</v>
      </c>
      <c r="D38" s="50"/>
      <c r="E38" s="50"/>
      <c r="F38" s="50"/>
      <c r="G38" s="50"/>
      <c r="H38" s="165">
        <v>0</v>
      </c>
      <c r="I38" s="166"/>
      <c r="J38" s="167">
        <v>6.6666666666666671E-3</v>
      </c>
    </row>
    <row r="39" spans="3:10" ht="15" customHeight="1">
      <c r="C39" s="161">
        <v>7.2</v>
      </c>
      <c r="D39" s="50"/>
      <c r="E39" s="50"/>
      <c r="F39" s="50"/>
      <c r="G39" s="50"/>
      <c r="H39" s="165">
        <v>0</v>
      </c>
      <c r="I39" s="166"/>
      <c r="J39" s="167">
        <v>0.02</v>
      </c>
    </row>
    <row r="40" spans="3:10" ht="15" customHeight="1">
      <c r="C40" s="161">
        <v>7.3</v>
      </c>
      <c r="D40" s="50"/>
      <c r="E40" s="50"/>
      <c r="F40" s="50"/>
      <c r="G40" s="50"/>
      <c r="H40" s="165">
        <v>0</v>
      </c>
      <c r="I40" s="166"/>
      <c r="J40" s="167">
        <v>6.6666666666666671E-3</v>
      </c>
    </row>
    <row r="41" spans="3:10" ht="15" customHeight="1">
      <c r="C41" s="161">
        <v>7.4</v>
      </c>
      <c r="D41" s="50"/>
      <c r="E41" s="50"/>
      <c r="F41" s="50"/>
      <c r="G41" s="50"/>
      <c r="H41" s="165">
        <v>0</v>
      </c>
      <c r="I41" s="166"/>
      <c r="J41" s="167">
        <v>6.6666666666666671E-3</v>
      </c>
    </row>
    <row r="42" spans="3:10" ht="15" customHeight="1">
      <c r="C42" s="161">
        <v>7.6</v>
      </c>
      <c r="D42" s="50"/>
      <c r="E42" s="50"/>
      <c r="F42" s="50"/>
      <c r="G42" s="50"/>
      <c r="H42" s="165">
        <v>0</v>
      </c>
      <c r="I42" s="166"/>
      <c r="J42" s="167">
        <v>6.6666666666666671E-3</v>
      </c>
    </row>
    <row r="43" spans="3:10" ht="15" customHeight="1">
      <c r="C43" s="161">
        <v>7.7</v>
      </c>
      <c r="D43" s="50"/>
      <c r="E43" s="50"/>
      <c r="F43" s="50"/>
      <c r="G43" s="50"/>
      <c r="H43" s="165">
        <v>0</v>
      </c>
      <c r="I43" s="166"/>
      <c r="J43" s="167">
        <v>2.6666666666666668E-2</v>
      </c>
    </row>
    <row r="44" spans="3:10" ht="15" customHeight="1">
      <c r="C44" s="161">
        <v>7.9</v>
      </c>
      <c r="D44" s="50"/>
      <c r="E44" s="50"/>
      <c r="F44" s="50"/>
      <c r="G44" s="50"/>
      <c r="H44" s="165">
        <v>0</v>
      </c>
      <c r="I44" s="166"/>
      <c r="J44" s="167">
        <v>6.6666666666666671E-3</v>
      </c>
    </row>
    <row r="45" spans="3:10" ht="15" customHeight="1">
      <c r="C45" s="161" t="s">
        <v>97</v>
      </c>
      <c r="D45" s="161"/>
      <c r="E45" s="161"/>
      <c r="F45" s="161"/>
      <c r="G45" s="161"/>
      <c r="H45" s="165">
        <v>0</v>
      </c>
      <c r="I45" s="166"/>
      <c r="J45" s="167">
        <v>1</v>
      </c>
    </row>
    <row r="46" spans="3:10" ht="15" customHeight="1">
      <c r="C46"/>
      <c r="D46"/>
      <c r="E46"/>
      <c r="F46"/>
      <c r="G46"/>
    </row>
    <row r="47" spans="3:10" ht="15" customHeight="1">
      <c r="C47"/>
      <c r="D47"/>
      <c r="E47"/>
      <c r="F47"/>
      <c r="G47"/>
    </row>
    <row r="48" spans="3:10" ht="15" customHeight="1">
      <c r="C48"/>
      <c r="D48"/>
      <c r="E48"/>
      <c r="F48"/>
      <c r="G48"/>
    </row>
    <row r="49" spans="3:7" ht="15" customHeight="1">
      <c r="C49"/>
      <c r="D49"/>
      <c r="E49"/>
      <c r="F49"/>
      <c r="G49"/>
    </row>
    <row r="50" spans="3:7" ht="15" customHeight="1">
      <c r="C50"/>
      <c r="D50"/>
      <c r="E50"/>
      <c r="F50"/>
      <c r="G50"/>
    </row>
    <row r="51" spans="3:7" ht="15" customHeight="1">
      <c r="C51"/>
      <c r="D51"/>
      <c r="E51"/>
      <c r="F51"/>
      <c r="G51"/>
    </row>
    <row r="52" spans="3:7" ht="15" customHeight="1">
      <c r="C52"/>
      <c r="D52"/>
      <c r="E52"/>
      <c r="F52"/>
      <c r="G52"/>
    </row>
    <row r="53" spans="3:7" ht="15" customHeight="1">
      <c r="C53"/>
      <c r="D53"/>
      <c r="E53"/>
      <c r="F53"/>
      <c r="G53"/>
    </row>
    <row r="54" spans="3:7" ht="15" customHeight="1">
      <c r="C54"/>
      <c r="D54"/>
      <c r="E54"/>
      <c r="F54"/>
      <c r="G54"/>
    </row>
    <row r="55" spans="3:7" ht="15" customHeight="1">
      <c r="C55"/>
      <c r="D55"/>
      <c r="E55"/>
      <c r="F55"/>
      <c r="G55"/>
    </row>
    <row r="56" spans="3:7" ht="15" customHeight="1">
      <c r="C56"/>
      <c r="D56"/>
      <c r="E56"/>
      <c r="F56"/>
      <c r="G56"/>
    </row>
    <row r="57" spans="3:7" ht="15" customHeight="1">
      <c r="C57"/>
      <c r="D57"/>
      <c r="E57"/>
      <c r="F57"/>
      <c r="G57"/>
    </row>
    <row r="58" spans="3:7" ht="15" customHeight="1">
      <c r="C58"/>
      <c r="D58"/>
      <c r="E58"/>
      <c r="F58"/>
      <c r="G58"/>
    </row>
    <row r="59" spans="3:7" ht="15" customHeight="1">
      <c r="C59"/>
      <c r="D59"/>
      <c r="E59"/>
      <c r="F59"/>
      <c r="G59"/>
    </row>
    <row r="60" spans="3:7" ht="15" customHeight="1">
      <c r="C60"/>
      <c r="D60"/>
      <c r="E60"/>
      <c r="F60"/>
      <c r="G60"/>
    </row>
    <row r="61" spans="3:7" ht="15" customHeight="1">
      <c r="C61"/>
      <c r="D61"/>
      <c r="E61"/>
      <c r="F61"/>
      <c r="G61"/>
    </row>
    <row r="62" spans="3:7" ht="15" customHeight="1">
      <c r="C62"/>
      <c r="D62"/>
      <c r="E62"/>
      <c r="F62"/>
      <c r="G62"/>
    </row>
    <row r="63" spans="3:7" ht="15" customHeight="1">
      <c r="C63"/>
      <c r="D63"/>
      <c r="E63"/>
      <c r="F63"/>
      <c r="G63"/>
    </row>
    <row r="64" spans="3:7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  <row r="84" spans="3:7" ht="15" customHeight="1">
      <c r="C84"/>
      <c r="D84"/>
      <c r="E84"/>
      <c r="F84"/>
      <c r="G84"/>
    </row>
    <row r="85" spans="3:7" ht="15" customHeight="1">
      <c r="C85"/>
      <c r="D85"/>
      <c r="E85"/>
      <c r="F85"/>
      <c r="G85"/>
    </row>
    <row r="86" spans="3:7" ht="15" customHeight="1">
      <c r="C86"/>
      <c r="D86"/>
      <c r="E86"/>
      <c r="F86"/>
      <c r="G86"/>
    </row>
    <row r="87" spans="3:7" ht="15" customHeight="1">
      <c r="C87"/>
      <c r="D87"/>
      <c r="E87"/>
      <c r="F87"/>
      <c r="G87"/>
    </row>
    <row r="88" spans="3:7" ht="15" customHeight="1">
      <c r="C88"/>
      <c r="D88"/>
      <c r="E88"/>
      <c r="F88"/>
      <c r="G88"/>
    </row>
    <row r="89" spans="3:7" ht="15" customHeight="1">
      <c r="C89"/>
      <c r="D89"/>
      <c r="E89"/>
      <c r="F89"/>
      <c r="G89"/>
    </row>
    <row r="90" spans="3:7" ht="15" customHeight="1">
      <c r="C90"/>
      <c r="D90"/>
      <c r="E90"/>
      <c r="F90"/>
      <c r="G90"/>
    </row>
    <row r="91" spans="3:7" ht="15" customHeight="1">
      <c r="C91"/>
      <c r="D91"/>
      <c r="E91"/>
      <c r="F91"/>
      <c r="G91"/>
    </row>
    <row r="92" spans="3:7" ht="15" customHeight="1">
      <c r="C92"/>
      <c r="D92"/>
      <c r="E92"/>
      <c r="F92"/>
      <c r="G92"/>
    </row>
    <row r="93" spans="3:7" ht="15" customHeight="1">
      <c r="C93"/>
      <c r="D93"/>
      <c r="E93"/>
      <c r="F93"/>
      <c r="G93"/>
    </row>
    <row r="94" spans="3:7" ht="15" customHeight="1">
      <c r="C94"/>
      <c r="D94"/>
      <c r="E94"/>
      <c r="F94"/>
      <c r="G94"/>
    </row>
    <row r="95" spans="3:7" ht="15" customHeight="1">
      <c r="C95"/>
      <c r="D95"/>
      <c r="E95"/>
      <c r="F95"/>
      <c r="G95"/>
    </row>
    <row r="96" spans="3:7" ht="15" customHeight="1">
      <c r="C96"/>
      <c r="D96"/>
      <c r="E96"/>
      <c r="F96"/>
      <c r="G96"/>
    </row>
    <row r="97" spans="3:7" ht="15" customHeight="1">
      <c r="C97"/>
      <c r="D97"/>
      <c r="E97"/>
      <c r="F97"/>
      <c r="G97"/>
    </row>
    <row r="98" spans="3:7" ht="15" customHeight="1">
      <c r="C98"/>
      <c r="D98"/>
      <c r="E98"/>
      <c r="F98"/>
      <c r="G98"/>
    </row>
    <row r="99" spans="3:7" ht="15" customHeight="1">
      <c r="C99"/>
      <c r="D99"/>
      <c r="E99"/>
      <c r="F99"/>
      <c r="G99"/>
    </row>
    <row r="100" spans="3:7" ht="15" customHeight="1">
      <c r="C100"/>
      <c r="D100"/>
      <c r="E100"/>
      <c r="F100"/>
      <c r="G100"/>
    </row>
    <row r="101" spans="3:7" ht="15" customHeight="1">
      <c r="C101"/>
      <c r="D101"/>
      <c r="E101"/>
      <c r="F101"/>
      <c r="G101"/>
    </row>
    <row r="102" spans="3:7" ht="15" customHeight="1">
      <c r="C102"/>
      <c r="D102"/>
      <c r="E102"/>
      <c r="F102"/>
      <c r="G102"/>
    </row>
    <row r="103" spans="3:7" ht="15" customHeight="1">
      <c r="C103"/>
      <c r="D103"/>
      <c r="E103"/>
      <c r="F103"/>
      <c r="G103"/>
    </row>
    <row r="104" spans="3:7" ht="15" customHeight="1">
      <c r="C104"/>
      <c r="D104"/>
      <c r="E104"/>
      <c r="F104"/>
      <c r="G104"/>
    </row>
    <row r="105" spans="3:7" ht="15" customHeight="1">
      <c r="C105"/>
      <c r="D105"/>
      <c r="E105"/>
      <c r="F105"/>
      <c r="G105"/>
    </row>
    <row r="106" spans="3:7" ht="15" customHeight="1">
      <c r="C106"/>
      <c r="D106"/>
      <c r="E106"/>
      <c r="F106"/>
      <c r="G106"/>
    </row>
    <row r="107" spans="3:7" ht="15" customHeight="1">
      <c r="C107"/>
      <c r="D107"/>
      <c r="E107"/>
      <c r="F107"/>
      <c r="G107"/>
    </row>
    <row r="108" spans="3:7" ht="15" customHeight="1">
      <c r="C108"/>
      <c r="D108"/>
      <c r="E108"/>
      <c r="F108"/>
      <c r="G108"/>
    </row>
    <row r="109" spans="3:7" ht="15" customHeight="1">
      <c r="C109"/>
      <c r="D109"/>
      <c r="E109"/>
      <c r="F109"/>
      <c r="G109"/>
    </row>
    <row r="110" spans="3:7" ht="15" customHeight="1">
      <c r="C110"/>
      <c r="D110"/>
      <c r="E110"/>
      <c r="F110"/>
      <c r="G110"/>
    </row>
    <row r="111" spans="3:7" ht="15" customHeight="1">
      <c r="C111"/>
      <c r="D111"/>
      <c r="E111"/>
      <c r="F111"/>
      <c r="G111"/>
    </row>
    <row r="112" spans="3:7" ht="15" customHeight="1">
      <c r="C112"/>
      <c r="D112"/>
      <c r="E112"/>
      <c r="F112"/>
      <c r="G112"/>
    </row>
    <row r="113" spans="3:7" ht="15" customHeight="1">
      <c r="C113"/>
      <c r="D113"/>
      <c r="E113"/>
      <c r="F113"/>
      <c r="G113"/>
    </row>
    <row r="114" spans="3:7" ht="15" customHeight="1">
      <c r="C114"/>
      <c r="D114"/>
      <c r="E114"/>
      <c r="F114"/>
      <c r="G114"/>
    </row>
    <row r="115" spans="3:7" ht="15" customHeight="1">
      <c r="C115"/>
      <c r="D115"/>
      <c r="E115"/>
      <c r="F115"/>
      <c r="G115"/>
    </row>
    <row r="116" spans="3:7" ht="15" customHeight="1">
      <c r="C116"/>
      <c r="D116"/>
      <c r="E116"/>
      <c r="F116"/>
      <c r="G116"/>
    </row>
    <row r="117" spans="3:7" ht="15" customHeight="1">
      <c r="C117"/>
      <c r="D117"/>
      <c r="E117"/>
      <c r="F117"/>
      <c r="G117"/>
    </row>
    <row r="118" spans="3:7" ht="15" customHeight="1">
      <c r="C118"/>
      <c r="D118"/>
      <c r="E118"/>
      <c r="F118"/>
      <c r="G118"/>
    </row>
    <row r="119" spans="3:7" ht="15" customHeight="1">
      <c r="C119"/>
      <c r="D119"/>
      <c r="E119"/>
      <c r="F119"/>
      <c r="G119"/>
    </row>
    <row r="120" spans="3:7" ht="15" customHeight="1">
      <c r="C120"/>
      <c r="D120"/>
      <c r="E120"/>
      <c r="F120"/>
      <c r="G120"/>
    </row>
    <row r="121" spans="3:7" ht="15" customHeight="1">
      <c r="C121"/>
      <c r="D121"/>
      <c r="E121"/>
      <c r="F121"/>
      <c r="G121"/>
    </row>
    <row r="122" spans="3:7" ht="15" customHeight="1">
      <c r="C122"/>
      <c r="D122"/>
      <c r="E122"/>
      <c r="F122"/>
      <c r="G122"/>
    </row>
    <row r="123" spans="3:7" ht="15" customHeight="1">
      <c r="C123"/>
      <c r="D123"/>
      <c r="E123"/>
      <c r="F123"/>
      <c r="G123"/>
    </row>
    <row r="124" spans="3:7" ht="15" customHeight="1">
      <c r="C124"/>
      <c r="D124"/>
      <c r="E124"/>
      <c r="F124"/>
      <c r="G124"/>
    </row>
    <row r="125" spans="3:7" ht="15" customHeight="1">
      <c r="C125"/>
      <c r="D125"/>
      <c r="E125"/>
      <c r="F125"/>
      <c r="G125"/>
    </row>
    <row r="126" spans="3:7" ht="15" customHeight="1">
      <c r="C126"/>
      <c r="D126"/>
      <c r="E126"/>
      <c r="F126"/>
      <c r="G126"/>
    </row>
    <row r="127" spans="3:7" ht="15" customHeight="1">
      <c r="C127"/>
      <c r="D127"/>
      <c r="E127"/>
      <c r="F127"/>
      <c r="G127"/>
    </row>
  </sheetData>
  <conditionalFormatting pivot="1" sqref="H10:H45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45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Iris | Field Analysis</vt:lpstr>
      <vt:lpstr>Iris | Overview</vt:lpstr>
      <vt:lpstr>Iris | Pivot</vt:lpstr>
      <vt:lpstr>SinglePlot</vt:lpstr>
      <vt:lpstr>MultiplePlots</vt:lpstr>
      <vt:lpstr>'Iris | Field Analysis'!Compiled_Lists</vt:lpstr>
      <vt:lpstr>'Iris | Field Analysis'!Composition</vt:lpstr>
      <vt:lpstr>'Iris | Field Analysis'!CompositionTable</vt:lpstr>
      <vt:lpstr>debug!Config</vt:lpstr>
      <vt:lpstr>'Iris | Field Analysis'!DarkHeader</vt:lpstr>
      <vt:lpstr>'Iris | Field Analysis'!Data_Description</vt:lpstr>
      <vt:lpstr>debug!debug_metadata</vt:lpstr>
      <vt:lpstr>'Iris | Pivot'!DefaultWarn</vt:lpstr>
      <vt:lpstr>'Iris | Field Analysis'!Definitions</vt:lpstr>
      <vt:lpstr>'Iris | Field Analysis'!Description</vt:lpstr>
      <vt:lpstr>'Iris | Field Analysis'!Dimensions</vt:lpstr>
      <vt:lpstr>'Iris | Field Analysis'!Field_Analysis</vt:lpstr>
      <vt:lpstr>'Iris | Field Analysis'!Field_Lists</vt:lpstr>
      <vt:lpstr>'Iris | Field Analysis'!FieldList1</vt:lpstr>
      <vt:lpstr>'Iris | Field Analysis'!FieldList2</vt:lpstr>
      <vt:lpstr>'Iris | Field Analysis'!FieldList3</vt:lpstr>
      <vt:lpstr>'Iris | Field Analysis'!FieldList4</vt:lpstr>
      <vt:lpstr>'Iris | Field Analysis'!FieldList5</vt:lpstr>
      <vt:lpstr>'Iris | Field Analysis'!FieldList6</vt:lpstr>
      <vt:lpstr>'Iris | Field Analysis'!FieldList7</vt:lpstr>
      <vt:lpstr>'Iris | Field Analysis'!FieldList8</vt:lpstr>
      <vt:lpstr>'Iris | Field Analysis'!FieldLists</vt:lpstr>
      <vt:lpstr>'Iris | Field Analysis'!FieldRange</vt:lpstr>
      <vt:lpstr>'Iris | Field Analysis'!FormatRange</vt:lpstr>
      <vt:lpstr>'Iris | Field Analysis'!Headers</vt:lpstr>
      <vt:lpstr>'Iris | Field Analysis'!Headers_Start</vt:lpstr>
      <vt:lpstr>'Iris | Field Analysis'!Histogram</vt:lpstr>
      <vt:lpstr>'Iris | Field Analysis'!LightHeader</vt:lpstr>
      <vt:lpstr>Metadata</vt:lpstr>
      <vt:lpstr>MultiplePlots!MultiplePlots</vt:lpstr>
      <vt:lpstr>MultiplePlots!MultiplePlotsTitle</vt:lpstr>
      <vt:lpstr>'Iris | Field Analysis'!Name</vt:lpstr>
      <vt:lpstr>'Iris | Overview'!Name</vt:lpstr>
      <vt:lpstr>'Iris | Pivot'!Name</vt:lpstr>
      <vt:lpstr>'Iris | Field Analysis'!Notes</vt:lpstr>
      <vt:lpstr>'Iris | Field Analysis'!Percentiles</vt:lpstr>
      <vt:lpstr>'Iris | Field Analysis'!SerializedLists</vt:lpstr>
      <vt:lpstr>SinglePlot!SinglePlot</vt:lpstr>
      <vt:lpstr>SinglePlot!SinglePlotTitle</vt:lpstr>
      <vt:lpstr>'Iris | Field Analysis'!Summary_Stats</vt:lpstr>
      <vt:lpstr>'Iris | Field Analysis'!Theme</vt:lpstr>
      <vt:lpstr>'Iris | Overview'!Theme</vt:lpstr>
      <vt:lpstr>'Iris | Pivot'!Theme</vt:lpstr>
      <vt:lpstr>MultiplePlots!Theme</vt:lpstr>
      <vt:lpstr>SinglePlot!Theme</vt:lpstr>
      <vt:lpstr>'Iris | Field Analysis'!Toggles</vt:lpstr>
      <vt:lpstr>'Iris | Field Analysis'!TopToggle</vt:lpstr>
      <vt:lpstr>'Iris | Field Analysis'!Warning</vt:lpstr>
      <vt:lpstr>'Iris | Overview'!Warning</vt:lpstr>
      <vt:lpstr>'Iris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2026-06-04T02:34:44Z</dcterms:modified>
</cp:coreProperties>
</file>