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B6BE36EB-0AD2-4F6F-9024-966A205465FE}" xr6:coauthVersionLast="47" xr6:coauthVersionMax="47" xr10:uidLastSave="{00000000-0000-0000-0000-000000000000}"/>
  <bookViews>
    <workbookView xWindow="2724" yWindow="240" windowWidth="17280" windowHeight="8880" activeTab="1" xr2:uid="{040F3586-419E-4585-8ACE-6588AD7C95BD}"/>
  </bookViews>
  <sheets>
    <sheet name="Overview" sheetId="27" r:id="rId1"/>
    <sheet name="Field Analysis" sheetId="25" r:id="rId2"/>
    <sheet name="Pivot" sheetId="28" r:id="rId3"/>
    <sheet name="SinglePlot" sheetId="30" state="hidden" r:id="rId4"/>
    <sheet name="MultiplePlots" sheetId="31" state="hidden" r:id="rId5"/>
  </sheets>
  <functionGroups builtInGroupCount="19">
    <functionGroup name="Python Helper Functions"/>
  </functionGroups>
  <definedNames>
    <definedName name="Compiled_Lists">'Field Analysis'!$D$71:$D$80</definedName>
    <definedName name="Composition">'Field Analysis'!$D$25:$D$35</definedName>
    <definedName name="CompositionTable">'Field Analysis'!$E$34</definedName>
    <definedName name="DarkHeader">'Field Analysis'!$E$81</definedName>
    <definedName name="Data_Description">'Field Analysis'!$D$15:$D$22</definedName>
    <definedName name="DefaultWarn" localSheetId="2">Pivot!$C$7</definedName>
    <definedName name="Definitions">'Field Analysis'!$E$7:$I$7</definedName>
    <definedName name="Description">'Field Analysis'!$E$15</definedName>
    <definedName name="Dimensions">'Field Analysis'!$E$17</definedName>
    <definedName name="Field_Analysis">'Field Analysis'!$E$12:$E$80</definedName>
    <definedName name="Field_Lists">'Field Analysis'!$D$60:$D$68</definedName>
    <definedName name="Field_Notes">'Field Analysis'!$D$7:$D$10</definedName>
    <definedName name="FieldList1" localSheetId="4">#REF!</definedName>
    <definedName name="FieldList1" localSheetId="3">#REF!</definedName>
    <definedName name="FieldList1">'Field Analysis'!$E$60:$I$60</definedName>
    <definedName name="FieldList2" localSheetId="4">#REF!</definedName>
    <definedName name="FieldList2" localSheetId="3">#REF!</definedName>
    <definedName name="FieldList2">'Field Analysis'!$E$61:$I$61</definedName>
    <definedName name="FieldList3" localSheetId="4">#REF!</definedName>
    <definedName name="FieldList3" localSheetId="3">#REF!</definedName>
    <definedName name="FieldList3">'Field Analysis'!$E$62:$I$62</definedName>
    <definedName name="FieldList4" localSheetId="4">#REF!</definedName>
    <definedName name="FieldList4" localSheetId="3">#REF!</definedName>
    <definedName name="FieldList4">'Field Analysis'!$E$63:$I$63</definedName>
    <definedName name="FieldList5" localSheetId="4">#REF!</definedName>
    <definedName name="FieldList5" localSheetId="3">#REF!</definedName>
    <definedName name="FieldList5">'Field Analysis'!$E$64:$I$64</definedName>
    <definedName name="FieldList6" localSheetId="4">#REF!</definedName>
    <definedName name="FieldList6" localSheetId="3">#REF!</definedName>
    <definedName name="FieldList6">'Field Analysis'!$E$65:$I$65</definedName>
    <definedName name="FieldList7" localSheetId="4">#REF!</definedName>
    <definedName name="FieldList7" localSheetId="3">#REF!</definedName>
    <definedName name="FieldList7">'Field Analysis'!$E$66:$I$66</definedName>
    <definedName name="FieldList8" localSheetId="4">#REF!</definedName>
    <definedName name="FieldList8" localSheetId="3">#REF!</definedName>
    <definedName name="FieldList8">'Field Analysis'!$E$67:$I$67</definedName>
    <definedName name="FieldLists">'Field Analysis'!$D$60:$J$67</definedName>
    <definedName name="FieldRange" localSheetId="4">#REF!</definedName>
    <definedName name="FieldRange" localSheetId="3">#REF!</definedName>
    <definedName name="FieldRange">'Field Analysis'!$E$81:$I$81</definedName>
    <definedName name="FormatRange">'Field Analysis'!$G:$G</definedName>
    <definedName name="Headers">'Field Analysis'!$E$11:$I$11</definedName>
    <definedName name="Headers_Start">'Field Analysis'!$E$11</definedName>
    <definedName name="Histogram">'Field Analysis'!$E$44</definedName>
    <definedName name="LightHeader" localSheetId="4">#REF!</definedName>
    <definedName name="LightHeader" localSheetId="3">#REF!</definedName>
    <definedName name="LightHeader">'Field Analysis'!$D$81</definedName>
    <definedName name="Metadata">Overview!$C$4:$C$8</definedName>
    <definedName name="MultiplePlots" localSheetId="4">MultiplePlots!$D$9</definedName>
    <definedName name="MultiplePlotsTitle" localSheetId="4">MultiplePlots!$C$2</definedName>
    <definedName name="Name" localSheetId="4">#REF!</definedName>
    <definedName name="Name" localSheetId="3">#REF!</definedName>
    <definedName name="Name">'Field Analysis'!$C$3</definedName>
    <definedName name="Notes">'Field Analysis'!$E$9:$I$9</definedName>
    <definedName name="Percentiles">'Field Analysis'!$D$48:$D$57</definedName>
    <definedName name="RecordHashes">'Field Analysis'!$L$82:$L$231</definedName>
    <definedName name="SerializedLists">'Field Analysis'!$E$71:$E$80</definedName>
    <definedName name="SinglePlot" localSheetId="3">SinglePlot!$C$8</definedName>
    <definedName name="SinglePlotTitle" localSheetId="3">SinglePlot!$C$2</definedName>
    <definedName name="Summary_Stats">'Field Analysis'!$D$38:$D$45</definedName>
    <definedName name="Theme" localSheetId="1">'Field Analysis'!$C$11:$H$11</definedName>
    <definedName name="Theme" localSheetId="4">MultiplePlots!$B$6:$P$6</definedName>
    <definedName name="Theme" localSheetId="0">Overview!$B$10:$AA$10</definedName>
    <definedName name="Theme" localSheetId="2">Pivot!$B$4:$Q$4</definedName>
    <definedName name="Theme" localSheetId="3">SinglePlot!$B$6:$P$6</definedName>
    <definedName name="Toggles" localSheetId="4">#REF!,#REF!,#REF!,#REF!,#REF!,#REF!,#REF!</definedName>
    <definedName name="Toggles" localSheetId="3">#REF!,#REF!,#REF!,#REF!,#REF!,#REF!,#REF!</definedName>
    <definedName name="Toggles">'Field Analysis'!$C$5,'Field Analysis'!$C$13,'Field Analysis'!$C$23,'Field Analysis'!$C$36,'Field Analysis'!$C$46,'Field Analysis'!$C$58,'Field Analysis'!$C$69</definedName>
    <definedName name="TopToggle">'Field Analysis'!$B$3</definedName>
    <definedName name="Warning">'Field Analysis'!$D$1</definedName>
  </definedNames>
  <calcPr calcId="191029" iterateDelta="1E-4"/>
  <pivotCaches>
    <pivotCache cacheId="8" r:id="rId6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1" i="27" l="1"/>
  <c r="D12" i="27"/>
  <c r="D13" i="27"/>
  <c r="D14" i="27"/>
  <c r="D15" i="27"/>
  <c r="C11" i="27"/>
  <c r="C12" i="27"/>
  <c r="C13" i="27"/>
  <c r="C14" i="27"/>
  <c r="C15" i="27"/>
  <c r="E79" i="25" a="1"/>
  <c r="E79" i="25" s="1"/>
  <c r="D79" i="25"/>
  <c r="C2" i="28" l="1"/>
  <c r="B2" i="27"/>
  <c r="E78" i="25" a="1"/>
  <c r="E78" i="25" s="1"/>
  <c r="D78" i="25"/>
  <c r="E77" i="25" a="1"/>
  <c r="E77" i="25" s="1"/>
  <c r="D77" i="25"/>
  <c r="E76" i="25"/>
  <c r="D76" i="25"/>
  <c r="E75" i="25"/>
  <c r="D75" i="25"/>
  <c r="E74" i="25"/>
  <c r="D74" i="25"/>
  <c r="E73" i="25"/>
  <c r="D73" i="25"/>
  <c r="E72" i="25"/>
  <c r="D72" i="25"/>
  <c r="E71" i="25"/>
  <c r="D71" i="2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<sst xmlns="http://schemas.openxmlformats.org/spreadsheetml/2006/main" count="289" uniqueCount="73">
  <si>
    <t>Warning</t>
  </si>
  <si>
    <t>▶</t>
  </si>
  <si>
    <t>Field Notes</t>
  </si>
  <si>
    <t>Definitions</t>
  </si>
  <si>
    <t>Notes</t>
  </si>
  <si>
    <t xml:space="preserve"> </t>
  </si>
  <si>
    <t>Data Description</t>
  </si>
  <si>
    <t>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</si>
  <si>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</si>
  <si>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</si>
  <si>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</si>
  <si>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</si>
  <si>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</si>
  <si>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</si>
  <si>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</si>
  <si>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</si>
  <si>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</si>
  <si>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</si>
  <si>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</si>
  <si>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</si>
  <si>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</si>
  <si>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</si>
  <si>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</si>
  <si>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</si>
  <si>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</si>
  <si>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</si>
  <si>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</si>
  <si>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</si>
  <si>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</si>
  <si>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</si>
  <si>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</si>
  <si>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</si>
  <si>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</si>
  <si>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</si>
  <si>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</si>
  <si>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</si>
  <si>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</si>
  <si>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</si>
  <si>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</si>
  <si>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</si>
  <si>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</si>
  <si>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</si>
  <si>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</si>
  <si>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</si>
  <si>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</si>
  <si>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</si>
  <si>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</si>
  <si>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</si>
  <si>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</si>
  <si>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</si>
  <si>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</si>
  <si>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</si>
  <si>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</si>
  <si>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</si>
  <si>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</si>
  <si>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</si>
  <si>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</si>
  <si>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</si>
  <si>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Iris</t>
  </si>
  <si>
    <t>7,382 bytes</t>
  </si>
  <si>
    <t>sepal_length</t>
  </si>
  <si>
    <t>sepal_width</t>
  </si>
  <si>
    <t>petal_length</t>
  </si>
  <si>
    <t>petal_width</t>
  </si>
  <si>
    <t>species</t>
  </si>
  <si>
    <t>index</t>
  </si>
  <si>
    <t>Record Hash</t>
  </si>
  <si>
    <t>float64</t>
  </si>
  <si>
    <t>str</t>
  </si>
  <si>
    <t>setosa</t>
  </si>
  <si>
    <t>versicolor</t>
  </si>
  <si>
    <t>virginica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</si>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</sst>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.0%"/>
  </numFmts>
  <fonts count="28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8FD562"/>
        <bgColor indexed="64"/>
      </patternFill>
    </fill>
    <fill>
      <patternFill patternType="solid">
        <fgColor rgb="FF262626"/>
        <bgColor theme="1" tint="0.249977111117893"/>
      </patternFill>
    </fill>
  </fills>
  <borders count="20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</borders>
  <cellStyleXfs count="8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</cellStyleXfs>
  <cellXfs count="109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Fill="1"/>
    <xf numFmtId="0" fontId="0" fillId="2" borderId="0" xfId="0"/>
    <xf numFmtId="0" fontId="9" fillId="4" borderId="0" xfId="0" applyFont="1" applyFill="1" applyAlignment="1">
      <alignment horizontal="right" wrapText="1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6" fillId="2" borderId="0" xfId="0" applyFont="1" applyBorder="1" applyAlignment="1">
      <alignment horizontal="left" vertical="center"/>
    </xf>
    <xf numFmtId="0" fontId="0" fillId="2" borderId="0" xfId="0" applyFill="1" applyBorder="1" applyAlignment="1">
      <alignment horizontal="right"/>
    </xf>
    <xf numFmtId="0" fontId="0" fillId="2" borderId="0" xfId="0"/>
    <xf numFmtId="0" fontId="0" fillId="2" borderId="0" xfId="0" applyAlignment="1">
      <alignment textRotation="180"/>
    </xf>
    <xf numFmtId="0" fontId="8" fillId="2" borderId="0" xfId="0" applyFont="1"/>
    <xf numFmtId="0" fontId="6" fillId="2" borderId="0" xfId="0" applyFont="1" applyAlignment="1">
      <alignment horizontal="left" vertical="center"/>
    </xf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0" fillId="2" borderId="0" xfId="0" applyAlignment="1"/>
    <xf numFmtId="0" fontId="2" fillId="2" borderId="0" xfId="3" applyAlignment="1">
      <alignment horizontal="left" vertical="center"/>
    </xf>
    <xf numFmtId="0" fontId="2" fillId="2" borderId="9" xfId="4" applyBorder="1" applyAlignment="1">
      <alignment horizontal="right"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 applyBorder="1">
      <alignment horizontal="right" vertical="center"/>
    </xf>
    <xf numFmtId="0" fontId="2" fillId="2" borderId="12" xfId="4" applyBorder="1">
      <alignment horizontal="right" vertical="center"/>
    </xf>
    <xf numFmtId="0" fontId="0" fillId="2" borderId="0" xfId="0" applyBorder="1"/>
    <xf numFmtId="0" fontId="2" fillId="2" borderId="13" xfId="4" applyBorder="1">
      <alignment horizontal="right" vertical="center"/>
    </xf>
    <xf numFmtId="0" fontId="3" fillId="2" borderId="0" xfId="5" applyFill="1" applyBorder="1">
      <alignment horizontal="center" vertical="center"/>
    </xf>
    <xf numFmtId="0" fontId="3" fillId="2" borderId="10" xfId="5" applyFill="1" applyBorder="1">
      <alignment horizontal="center" vertical="center"/>
    </xf>
    <xf numFmtId="0" fontId="11" fillId="2" borderId="9" xfId="5" applyFont="1" applyBorder="1">
      <alignment horizontal="center" vertical="center"/>
    </xf>
    <xf numFmtId="0" fontId="11" fillId="2" borderId="0" xfId="5" applyFont="1" applyBorder="1">
      <alignment horizontal="center" vertical="center"/>
    </xf>
    <xf numFmtId="0" fontId="11" fillId="2" borderId="10" xfId="5" applyFont="1" applyBorder="1">
      <alignment horizontal="center" vertical="center"/>
    </xf>
    <xf numFmtId="0" fontId="12" fillId="2" borderId="0" xfId="0" applyFont="1" applyBorder="1" applyAlignment="1">
      <alignment horizontal="left" vertical="center"/>
    </xf>
    <xf numFmtId="0" fontId="0" fillId="2" borderId="0" xfId="0"/>
    <xf numFmtId="0" fontId="0" fillId="2" borderId="0" xfId="0" applyAlignment="1">
      <alignment textRotation="180"/>
    </xf>
    <xf numFmtId="0" fontId="5" fillId="2" borderId="0" xfId="0" applyFont="1" applyAlignment="1">
      <alignment horizontal="right" vertical="center" indent="7"/>
    </xf>
    <xf numFmtId="0" fontId="0" fillId="2" borderId="0" xfId="0" applyAlignment="1">
      <alignment horizontal="right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8" fillId="2" borderId="0" xfId="0" applyFont="1"/>
    <xf numFmtId="0" fontId="0" fillId="2" borderId="0" xfId="0" applyAlignment="1">
      <alignment horizontal="center" vertical="center"/>
    </xf>
    <xf numFmtId="0" fontId="12" fillId="2" borderId="0" xfId="0" applyFont="1" applyAlignment="1">
      <alignment horizontal="left" vertical="center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7" borderId="0" xfId="0" applyFont="1" applyFill="1" applyAlignment="1">
      <alignment wrapText="1"/>
    </xf>
    <xf numFmtId="0" fontId="14" fillId="7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Border="1" applyAlignment="1">
      <alignment horizontal="center" vertical="center" wrapText="1"/>
    </xf>
    <xf numFmtId="0" fontId="0" fillId="2" borderId="0" xfId="0" applyBorder="1" applyAlignment="1"/>
    <xf numFmtId="0" fontId="19" fillId="7" borderId="14" xfId="0" applyFont="1" applyFill="1" applyBorder="1" applyAlignment="1">
      <alignment horizontal="left" indent="1"/>
    </xf>
    <xf numFmtId="0" fontId="2" fillId="2" borderId="0" xfId="4" applyBorder="1" applyAlignment="1">
      <alignment horizontal="right" vertical="center"/>
    </xf>
    <xf numFmtId="0" fontId="20" fillId="2" borderId="0" xfId="0" applyFont="1" applyAlignment="1">
      <alignment horizontal="right" vertical="center"/>
    </xf>
    <xf numFmtId="0" fontId="3" fillId="2" borderId="1" xfId="5">
      <alignment horizontal="center" vertical="center"/>
    </xf>
    <xf numFmtId="0" fontId="21" fillId="8" borderId="0" xfId="0" applyFont="1" applyFill="1"/>
    <xf numFmtId="0" fontId="22" fillId="8" borderId="0" xfId="0" applyFont="1" applyFill="1" applyAlignment="1">
      <alignment horizontal="center" vertical="center"/>
    </xf>
    <xf numFmtId="0" fontId="21" fillId="8" borderId="16" xfId="0" applyFont="1" applyFill="1" applyBorder="1" applyAlignment="1">
      <alignment horizontal="left" vertical="center" indent="1"/>
    </xf>
    <xf numFmtId="0" fontId="21" fillId="8" borderId="16" xfId="0" applyFont="1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0" fontId="0" fillId="2" borderId="17" xfId="0" applyFill="1" applyBorder="1" applyAlignment="1">
      <alignment horizontal="left" indent="1"/>
    </xf>
    <xf numFmtId="0" fontId="19" fillId="7" borderId="17" xfId="0" applyFont="1" applyFill="1" applyBorder="1" applyAlignment="1">
      <alignment horizontal="left" indent="1"/>
    </xf>
    <xf numFmtId="0" fontId="0" fillId="2" borderId="17" xfId="0" applyFill="1" applyBorder="1" applyAlignment="1">
      <alignment horizontal="center" vertical="center" wrapText="1"/>
    </xf>
    <xf numFmtId="164" fontId="8" fillId="3" borderId="17" xfId="0" applyNumberFormat="1" applyFont="1" applyFill="1" applyBorder="1" applyAlignment="1">
      <alignment horizontal="center" vertical="top" wrapText="1"/>
    </xf>
    <xf numFmtId="3" fontId="0" fillId="2" borderId="17" xfId="0" applyNumberFormat="1" applyFill="1" applyBorder="1" applyAlignment="1">
      <alignment horizontal="center" vertical="center" wrapText="1"/>
    </xf>
    <xf numFmtId="164" fontId="0" fillId="2" borderId="17" xfId="0" applyNumberFormat="1" applyFill="1" applyBorder="1" applyAlignment="1">
      <alignment horizontal="center" vertical="center" wrapText="1"/>
    </xf>
    <xf numFmtId="4" fontId="0" fillId="2" borderId="17" xfId="0" applyNumberFormat="1" applyFill="1" applyBorder="1" applyAlignment="1">
      <alignment horizontal="center" vertical="center" wrapText="1"/>
    </xf>
    <xf numFmtId="9" fontId="21" fillId="8" borderId="16" xfId="0" applyNumberFormat="1" applyFont="1" applyFill="1" applyBorder="1" applyAlignment="1">
      <alignment horizontal="center" vertical="center" wrapText="1"/>
    </xf>
    <xf numFmtId="0" fontId="4" fillId="6" borderId="0" xfId="7" applyFill="1" applyAlignment="1">
      <alignment horizontal="center" vertical="center" wrapText="1"/>
    </xf>
    <xf numFmtId="0" fontId="4" fillId="2" borderId="0" xfId="7" applyAlignment="1">
      <alignment horizontal="center" vertical="center" wrapText="1"/>
    </xf>
    <xf numFmtId="0" fontId="0" fillId="2" borderId="14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18" xfId="0" applyFill="1" applyBorder="1" applyAlignment="1">
      <alignment horizontal="center"/>
    </xf>
    <xf numFmtId="0" fontId="0" fillId="2" borderId="19" xfId="0" applyFill="1" applyBorder="1" applyAlignment="1">
      <alignment horizontal="center"/>
    </xf>
    <xf numFmtId="0" fontId="0" fillId="2" borderId="17" xfId="0" applyFill="1" applyBorder="1" applyAlignment="1">
      <alignment horizontal="center"/>
    </xf>
    <xf numFmtId="0" fontId="24" fillId="7" borderId="0" xfId="7" applyFont="1" applyFill="1" applyAlignment="1">
      <alignment horizontal="center" vertical="center" wrapText="1"/>
    </xf>
    <xf numFmtId="0" fontId="25" fillId="7" borderId="15" xfId="0" applyFont="1" applyFill="1" applyBorder="1" applyAlignment="1">
      <alignment horizontal="center"/>
    </xf>
    <xf numFmtId="0" fontId="25" fillId="7" borderId="2" xfId="0" applyFont="1" applyFill="1" applyBorder="1" applyAlignment="1">
      <alignment horizontal="center"/>
    </xf>
    <xf numFmtId="0" fontId="25" fillId="7" borderId="16" xfId="0" applyFont="1" applyFill="1" applyBorder="1" applyAlignment="1">
      <alignment horizontal="center"/>
    </xf>
    <xf numFmtId="0" fontId="26" fillId="7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26" fillId="7" borderId="0" xfId="0" applyFont="1" applyFill="1" applyAlignment="1">
      <alignment horizontal="center" vertical="center" wrapText="1"/>
    </xf>
    <xf numFmtId="164" fontId="26" fillId="7" borderId="0" xfId="0" applyNumberFormat="1" applyFont="1" applyFill="1" applyAlignment="1">
      <alignment horizontal="center" vertical="center"/>
    </xf>
    <xf numFmtId="164" fontId="27" fillId="9" borderId="0" xfId="0" applyNumberFormat="1" applyFont="1" applyFill="1" applyAlignment="1">
      <alignment horizontal="center" vertical="center" wrapText="1"/>
    </xf>
    <xf numFmtId="10" fontId="26" fillId="7" borderId="0" xfId="0" applyNumberFormat="1" applyFont="1" applyFill="1" applyAlignment="1">
      <alignment horizontal="center" vertical="center"/>
    </xf>
  </cellXfs>
  <cellStyles count="8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SubItem" xfId="4" xr:uid="{D21B07FD-5F6D-4154-8AB7-63D035214F3C}"/>
    <cellStyle name="SubSectionTItle" xfId="3" xr:uid="{8B04109E-AD21-4C71-8EF5-077A68DD2476}"/>
  </cellStyles>
  <dxfs count="118">
    <dxf>
      <font>
        <color rgb="FF898989"/>
      </font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000000"/>
      </font>
      <fill>
        <patternFill patternType="solid">
          <fgColor indexed="64"/>
          <bgColor rgb="FF8FD56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5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117"/>
      <tableStyleElement type="headerRow" dxfId="116"/>
      <tableStyleElement type="totalRow" dxfId="115"/>
    </tableStyle>
    <tableStyle name="DarkTable" pivot="0" count="2" xr9:uid="{97C242D2-6F6D-4549-9428-17456D609B35}">
      <tableStyleElement type="wholeTable" dxfId="114"/>
      <tableStyleElement type="headerRow" dxfId="113"/>
    </tableStyle>
  </tableStyles>
  <colors>
    <mruColors>
      <color rgb="FF262626"/>
      <color rgb="FF1EAC1D"/>
      <color rgb="FF000000"/>
      <color rgb="FF060606"/>
      <color rgb="FF565656"/>
      <color rgb="FFCCCC00"/>
      <color rgb="FFFFFFCC"/>
      <color rgb="FFFFFF99"/>
      <color rgb="FFE6E63E"/>
      <color rgb="FFE617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22</xdr:row>
      <xdr:rowOff>11430</xdr:rowOff>
    </xdr:from>
    <xdr:to>
      <xdr:col>3</xdr:col>
      <xdr:colOff>1679448</xdr:colOff>
      <xdr:row>22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35</xdr:row>
      <xdr:rowOff>11430</xdr:rowOff>
    </xdr:from>
    <xdr:to>
      <xdr:col>3</xdr:col>
      <xdr:colOff>1679448</xdr:colOff>
      <xdr:row>35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45</xdr:row>
      <xdr:rowOff>11430</xdr:rowOff>
    </xdr:from>
    <xdr:to>
      <xdr:col>3</xdr:col>
      <xdr:colOff>1679448</xdr:colOff>
      <xdr:row>45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57</xdr:row>
      <xdr:rowOff>11430</xdr:rowOff>
    </xdr:from>
    <xdr:to>
      <xdr:col>3</xdr:col>
      <xdr:colOff>1679448</xdr:colOff>
      <xdr:row>57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68</xdr:row>
      <xdr:rowOff>11430</xdr:rowOff>
    </xdr:from>
    <xdr:to>
      <xdr:col>3</xdr:col>
      <xdr:colOff>1679448</xdr:colOff>
      <xdr:row>68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209FA15D-AE98-440E-9A73-7E38DC139601}"/>
            </a:ext>
          </a:extLst>
        </xdr:cNvPr>
        <xdr:cNvSpPr>
          <a:spLocks/>
        </xdr:cNvSpPr>
      </xdr:nvSpPr>
      <xdr:spPr>
        <a:xfrm>
          <a:off x="484632" y="7200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12</xdr:row>
      <xdr:rowOff>11430</xdr:rowOff>
    </xdr:from>
    <xdr:to>
      <xdr:col>3</xdr:col>
      <xdr:colOff>1679448</xdr:colOff>
      <xdr:row>12</xdr:row>
      <xdr:rowOff>240030</xdr:rowOff>
    </xdr:to>
    <xdr:sp macro="[0]!ToggleSection" textlink="">
      <xdr:nvSpPr>
        <xdr:cNvPr id="9" name="Data Description">
          <a:extLst>
            <a:ext uri="{FF2B5EF4-FFF2-40B4-BE49-F238E27FC236}">
              <a16:creationId xmlns:a16="http://schemas.microsoft.com/office/drawing/2014/main" id="{1A2B53F1-B9E0-4590-9F49-D00E6827E2D0}"/>
            </a:ext>
          </a:extLst>
        </xdr:cNvPr>
        <xdr:cNvSpPr>
          <a:spLocks/>
        </xdr:cNvSpPr>
      </xdr:nvSpPr>
      <xdr:spPr>
        <a:xfrm>
          <a:off x="484632" y="267843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95250</xdr:colOff>
      <xdr:row>33</xdr:row>
      <xdr:rowOff>95250</xdr:rowOff>
    </xdr:from>
    <xdr:to>
      <xdr:col>4</xdr:col>
      <xdr:colOff>1809750</xdr:colOff>
      <xdr:row>33</xdr:row>
      <xdr:rowOff>1809750</xdr:rowOff>
    </xdr:to>
    <xdr:pic>
      <xdr:nvPicPr>
        <xdr:cNvPr id="11" name="composition_sepal_length">
          <a:extLst>
            <a:ext uri="{FF2B5EF4-FFF2-40B4-BE49-F238E27FC236}">
              <a16:creationId xmlns:a16="http://schemas.microsoft.com/office/drawing/2014/main" id="{9F70D12A-91E7-3188-46FD-09417DCD1C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20290" y="222123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43</xdr:row>
      <xdr:rowOff>95250</xdr:rowOff>
    </xdr:from>
    <xdr:to>
      <xdr:col>4</xdr:col>
      <xdr:colOff>1809750</xdr:colOff>
      <xdr:row>43</xdr:row>
      <xdr:rowOff>1809750</xdr:rowOff>
    </xdr:to>
    <xdr:pic>
      <xdr:nvPicPr>
        <xdr:cNvPr id="13" name="histogram_sepal_length">
          <a:extLst>
            <a:ext uri="{FF2B5EF4-FFF2-40B4-BE49-F238E27FC236}">
              <a16:creationId xmlns:a16="http://schemas.microsoft.com/office/drawing/2014/main" id="{2B1906E0-AE42-6C59-2B99-D7C3E900DF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20290" y="443103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33</xdr:row>
      <xdr:rowOff>95250</xdr:rowOff>
    </xdr:from>
    <xdr:to>
      <xdr:col>5</xdr:col>
      <xdr:colOff>1809750</xdr:colOff>
      <xdr:row>33</xdr:row>
      <xdr:rowOff>1809750</xdr:rowOff>
    </xdr:to>
    <xdr:pic>
      <xdr:nvPicPr>
        <xdr:cNvPr id="15" name="composition_sepal_width">
          <a:extLst>
            <a:ext uri="{FF2B5EF4-FFF2-40B4-BE49-F238E27FC236}">
              <a16:creationId xmlns:a16="http://schemas.microsoft.com/office/drawing/2014/main" id="{20B70607-98C5-0E0E-4B9C-7A505CD43B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25290" y="222123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43</xdr:row>
      <xdr:rowOff>95250</xdr:rowOff>
    </xdr:from>
    <xdr:to>
      <xdr:col>5</xdr:col>
      <xdr:colOff>1809750</xdr:colOff>
      <xdr:row>43</xdr:row>
      <xdr:rowOff>1809750</xdr:rowOff>
    </xdr:to>
    <xdr:pic>
      <xdr:nvPicPr>
        <xdr:cNvPr id="17" name="histogram_sepal_width">
          <a:extLst>
            <a:ext uri="{FF2B5EF4-FFF2-40B4-BE49-F238E27FC236}">
              <a16:creationId xmlns:a16="http://schemas.microsoft.com/office/drawing/2014/main" id="{EF321536-617A-A28D-CB5A-BB8786AF0D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25290" y="443103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33</xdr:row>
      <xdr:rowOff>95250</xdr:rowOff>
    </xdr:from>
    <xdr:to>
      <xdr:col>6</xdr:col>
      <xdr:colOff>1809750</xdr:colOff>
      <xdr:row>33</xdr:row>
      <xdr:rowOff>1809750</xdr:rowOff>
    </xdr:to>
    <xdr:pic>
      <xdr:nvPicPr>
        <xdr:cNvPr id="19" name="composition_petal_length">
          <a:extLst>
            <a:ext uri="{FF2B5EF4-FFF2-40B4-BE49-F238E27FC236}">
              <a16:creationId xmlns:a16="http://schemas.microsoft.com/office/drawing/2014/main" id="{087984AF-5775-78DA-985E-19764AE728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0290" y="222123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43</xdr:row>
      <xdr:rowOff>95250</xdr:rowOff>
    </xdr:from>
    <xdr:to>
      <xdr:col>6</xdr:col>
      <xdr:colOff>1809750</xdr:colOff>
      <xdr:row>43</xdr:row>
      <xdr:rowOff>1809750</xdr:rowOff>
    </xdr:to>
    <xdr:pic>
      <xdr:nvPicPr>
        <xdr:cNvPr id="21" name="histogram_petal_length">
          <a:extLst>
            <a:ext uri="{FF2B5EF4-FFF2-40B4-BE49-F238E27FC236}">
              <a16:creationId xmlns:a16="http://schemas.microsoft.com/office/drawing/2014/main" id="{F84525D9-9224-F732-8582-C246449BD9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0290" y="443103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33</xdr:row>
      <xdr:rowOff>95250</xdr:rowOff>
    </xdr:from>
    <xdr:to>
      <xdr:col>7</xdr:col>
      <xdr:colOff>1809750</xdr:colOff>
      <xdr:row>33</xdr:row>
      <xdr:rowOff>1809750</xdr:rowOff>
    </xdr:to>
    <xdr:pic>
      <xdr:nvPicPr>
        <xdr:cNvPr id="23" name="composition_petal_width">
          <a:extLst>
            <a:ext uri="{FF2B5EF4-FFF2-40B4-BE49-F238E27FC236}">
              <a16:creationId xmlns:a16="http://schemas.microsoft.com/office/drawing/2014/main" id="{33C0EA74-69C1-814C-B0CF-132173DC86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35290" y="222123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43</xdr:row>
      <xdr:rowOff>95250</xdr:rowOff>
    </xdr:from>
    <xdr:to>
      <xdr:col>7</xdr:col>
      <xdr:colOff>1809750</xdr:colOff>
      <xdr:row>43</xdr:row>
      <xdr:rowOff>1809750</xdr:rowOff>
    </xdr:to>
    <xdr:pic>
      <xdr:nvPicPr>
        <xdr:cNvPr id="25" name="histogram_petal_width">
          <a:extLst>
            <a:ext uri="{FF2B5EF4-FFF2-40B4-BE49-F238E27FC236}">
              <a16:creationId xmlns:a16="http://schemas.microsoft.com/office/drawing/2014/main" id="{CE670E1A-4520-6477-7FB6-577314DB00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35290" y="443103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33</xdr:row>
      <xdr:rowOff>95250</xdr:rowOff>
    </xdr:from>
    <xdr:to>
      <xdr:col>8</xdr:col>
      <xdr:colOff>1809750</xdr:colOff>
      <xdr:row>33</xdr:row>
      <xdr:rowOff>1809750</xdr:rowOff>
    </xdr:to>
    <xdr:pic>
      <xdr:nvPicPr>
        <xdr:cNvPr id="27" name="composition_species">
          <a:extLst>
            <a:ext uri="{FF2B5EF4-FFF2-40B4-BE49-F238E27FC236}">
              <a16:creationId xmlns:a16="http://schemas.microsoft.com/office/drawing/2014/main" id="{55CFC42F-BFBA-FACB-201A-4E6B1196AA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40290" y="2221230"/>
          <a:ext cx="1714500" cy="171450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71.897508680559" createdVersion="8" refreshedVersion="8" minRefreshableVersion="3" recordCount="150" xr:uid="{00DEDBB6-1F4A-4C10-B2D2-FF41FE7983D3}">
  <cacheSource type="worksheet">
    <worksheetSource name="tbl_SourceData"/>
  </cacheSource>
  <cacheFields count="9">
    <cacheField name="Record List" numFmtId="0">
      <sharedItems/>
    </cacheField>
    <cacheField name="sepal_length" numFmtId="0">
      <sharedItems containsSemiMixedTypes="0" containsString="0" containsNumber="1" minValue="4.3" maxValue="7.9" count="35">
        <n v="5.0999999999999996"/>
        <n v="4.9000000000000004"/>
        <n v="4.7"/>
        <n v="4.5999999999999996"/>
        <n v="5"/>
        <n v="5.4"/>
        <n v="4.4000000000000004"/>
        <n v="4.8"/>
        <n v="4.3"/>
        <n v="5.8"/>
        <n v="5.7"/>
        <n v="5.2"/>
        <n v="5.5"/>
        <n v="4.5"/>
        <n v="5.3"/>
        <n v="7"/>
        <n v="6.4"/>
        <n v="6.9"/>
        <n v="6.5"/>
        <n v="6.3"/>
        <n v="6.6"/>
        <n v="5.9"/>
        <n v="6"/>
        <n v="6.1"/>
        <n v="5.6"/>
        <n v="6.7"/>
        <n v="6.2"/>
        <n v="6.8"/>
        <n v="7.1"/>
        <n v="7.6"/>
        <n v="7.3"/>
        <n v="7.2"/>
        <n v="7.7"/>
        <n v="7.4"/>
        <n v="7.9"/>
      </sharedItems>
    </cacheField>
    <cacheField name="sepal_width" numFmtId="0">
      <sharedItems containsSemiMixedTypes="0" containsString="0" containsNumber="1" minValue="2" maxValue="4.4000000000000004" count="23">
        <n v="3.5"/>
        <n v="3"/>
        <n v="3.2"/>
        <n v="3.1"/>
        <n v="3.6"/>
        <n v="3.9"/>
        <n v="3.4"/>
        <n v="2.9"/>
        <n v="3.7"/>
        <n v="4"/>
        <n v="4.4000000000000004"/>
        <n v="3.8"/>
        <n v="3.3"/>
        <n v="4.0999999999999996"/>
        <n v="4.2"/>
        <n v="2.2999999999999998"/>
        <n v="2.8"/>
        <n v="2.4"/>
        <n v="2.7"/>
        <n v="2"/>
        <n v="2.2000000000000002"/>
        <n v="2.5"/>
        <n v="2.6"/>
      </sharedItems>
    </cacheField>
    <cacheField name="petal_length" numFmtId="0">
      <sharedItems containsSemiMixedTypes="0" containsString="0" containsNumber="1" minValue="1" maxValue="6.9" count="43">
        <n v="1.4"/>
        <n v="1.3"/>
        <n v="1.5"/>
        <n v="1.7"/>
        <n v="1.6"/>
        <n v="1.1000000000000001"/>
        <n v="1.2"/>
        <n v="1"/>
        <n v="1.9"/>
        <n v="4.7"/>
        <n v="4.5"/>
        <n v="4.9000000000000004"/>
        <n v="4"/>
        <n v="4.5999999999999996"/>
        <n v="3.3"/>
        <n v="3.9"/>
        <n v="3.5"/>
        <n v="4.2"/>
        <n v="3.6"/>
        <n v="4.4000000000000004"/>
        <n v="4.0999999999999996"/>
        <n v="4.8"/>
        <n v="4.3"/>
        <n v="5"/>
        <n v="3.8"/>
        <n v="3.7"/>
        <n v="5.0999999999999996"/>
        <n v="3"/>
        <n v="6"/>
        <n v="5.9"/>
        <n v="5.6"/>
        <n v="5.8"/>
        <n v="6.6"/>
        <n v="6.3"/>
        <n v="6.1"/>
        <n v="5.3"/>
        <n v="5.5"/>
        <n v="6.7"/>
        <n v="6.9"/>
        <n v="5.7"/>
        <n v="6.4"/>
        <n v="5.4"/>
        <n v="5.2"/>
      </sharedItems>
    </cacheField>
    <cacheField name="petal_width" numFmtId="0">
      <sharedItems containsSemiMixedTypes="0" containsString="0" containsNumber="1" minValue="0.1" maxValue="2.5" count="22">
        <n v="0.2"/>
        <n v="0.4"/>
        <n v="0.3"/>
        <n v="0.1"/>
        <n v="0.5"/>
        <n v="0.6"/>
        <n v="1.4"/>
        <n v="1.5"/>
        <n v="1.3"/>
        <n v="1.6"/>
        <n v="1"/>
        <n v="1.1000000000000001"/>
        <n v="1.8"/>
        <n v="1.2"/>
        <n v="1.7"/>
        <n v="2.5"/>
        <n v="1.9"/>
        <n v="2.1"/>
        <n v="2.2000000000000002"/>
        <n v="2"/>
        <n v="2.4"/>
        <n v="2.2999999999999998"/>
      </sharedItems>
    </cacheField>
    <cacheField name="species" numFmtId="0">
      <sharedItems count="3">
        <s v="setosa"/>
        <s v="versicolor"/>
        <s v="virginica"/>
      </sharedItems>
    </cacheField>
    <cacheField name="index" numFmtId="0">
      <sharedItems containsSemiMixedTypes="0" containsString="0" containsNumber="1" containsInteger="1" minValue="0" maxValue="149"/>
    </cacheField>
    <cacheField name="HasBlank" numFmtId="0">
      <sharedItems containsSemiMixedTypes="0" containsString="0" containsNumber="1" containsInteger="1" minValue="0" maxValue="0"/>
    </cacheField>
    <cacheField name="Record Hash" numFmtId="0">
      <sharedItems containsSemiMixedTypes="0" containsString="0" containsNumber="1" containsInteger="1" minValue="5.1235705938440666E+17" maxValue="1.8278756919478217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0">
  <r>
    <b v="0"/>
    <x v="0"/>
    <x v="0"/>
    <x v="0"/>
    <x v="0"/>
    <x v="0"/>
    <n v="0"/>
    <n v="0"/>
    <n v="6.4448666609208627E+18"/>
  </r>
  <r>
    <b v="0"/>
    <x v="1"/>
    <x v="1"/>
    <x v="0"/>
    <x v="0"/>
    <x v="0"/>
    <n v="1"/>
    <n v="0"/>
    <n v="1.1765950511506811E+19"/>
  </r>
  <r>
    <b v="0"/>
    <x v="2"/>
    <x v="2"/>
    <x v="1"/>
    <x v="0"/>
    <x v="0"/>
    <n v="2"/>
    <n v="0"/>
    <n v="1.3476958561087588E+18"/>
  </r>
  <r>
    <b v="0"/>
    <x v="3"/>
    <x v="3"/>
    <x v="2"/>
    <x v="0"/>
    <x v="0"/>
    <n v="3"/>
    <n v="0"/>
    <n v="9.8632584464446505E+18"/>
  </r>
  <r>
    <b v="0"/>
    <x v="4"/>
    <x v="4"/>
    <x v="0"/>
    <x v="0"/>
    <x v="0"/>
    <n v="4"/>
    <n v="0"/>
    <n v="4.9599550204549448E+18"/>
  </r>
  <r>
    <b v="0"/>
    <x v="5"/>
    <x v="5"/>
    <x v="3"/>
    <x v="1"/>
    <x v="0"/>
    <n v="5"/>
    <n v="0"/>
    <n v="8.2824582833243269E+18"/>
  </r>
  <r>
    <b v="0"/>
    <x v="3"/>
    <x v="6"/>
    <x v="0"/>
    <x v="2"/>
    <x v="0"/>
    <n v="6"/>
    <n v="0"/>
    <n v="1.2585122330970276E+19"/>
  </r>
  <r>
    <b v="0"/>
    <x v="4"/>
    <x v="6"/>
    <x v="2"/>
    <x v="0"/>
    <x v="0"/>
    <n v="7"/>
    <n v="0"/>
    <n v="9.5268664734738084E+18"/>
  </r>
  <r>
    <b v="0"/>
    <x v="6"/>
    <x v="7"/>
    <x v="0"/>
    <x v="0"/>
    <x v="0"/>
    <n v="8"/>
    <n v="0"/>
    <n v="1.8278756919478217E+19"/>
  </r>
  <r>
    <b v="0"/>
    <x v="1"/>
    <x v="3"/>
    <x v="2"/>
    <x v="3"/>
    <x v="0"/>
    <n v="9"/>
    <n v="0"/>
    <n v="6.2217627561516278E+18"/>
  </r>
  <r>
    <b v="0"/>
    <x v="5"/>
    <x v="8"/>
    <x v="2"/>
    <x v="0"/>
    <x v="0"/>
    <n v="10"/>
    <n v="0"/>
    <n v="1.809564264768621E+19"/>
  </r>
  <r>
    <b v="0"/>
    <x v="7"/>
    <x v="6"/>
    <x v="4"/>
    <x v="0"/>
    <x v="0"/>
    <n v="11"/>
    <n v="0"/>
    <n v="1.7295182601082767E+19"/>
  </r>
  <r>
    <b v="0"/>
    <x v="7"/>
    <x v="1"/>
    <x v="0"/>
    <x v="3"/>
    <x v="0"/>
    <n v="12"/>
    <n v="0"/>
    <n v="1.1954364157087431E+19"/>
  </r>
  <r>
    <b v="0"/>
    <x v="8"/>
    <x v="1"/>
    <x v="5"/>
    <x v="3"/>
    <x v="0"/>
    <n v="13"/>
    <n v="0"/>
    <n v="1.3137923434489776E+19"/>
  </r>
  <r>
    <b v="0"/>
    <x v="9"/>
    <x v="9"/>
    <x v="6"/>
    <x v="0"/>
    <x v="0"/>
    <n v="14"/>
    <n v="0"/>
    <n v="1.5078422819717117E+18"/>
  </r>
  <r>
    <b v="0"/>
    <x v="10"/>
    <x v="10"/>
    <x v="2"/>
    <x v="1"/>
    <x v="0"/>
    <n v="15"/>
    <n v="0"/>
    <n v="1.0380433547721755E+19"/>
  </r>
  <r>
    <b v="0"/>
    <x v="5"/>
    <x v="5"/>
    <x v="1"/>
    <x v="1"/>
    <x v="0"/>
    <n v="16"/>
    <n v="0"/>
    <n v="6.4804569507077151E+18"/>
  </r>
  <r>
    <b v="0"/>
    <x v="0"/>
    <x v="0"/>
    <x v="0"/>
    <x v="2"/>
    <x v="0"/>
    <n v="17"/>
    <n v="0"/>
    <n v="8.7572958502563748E+18"/>
  </r>
  <r>
    <b v="0"/>
    <x v="10"/>
    <x v="11"/>
    <x v="3"/>
    <x v="2"/>
    <x v="0"/>
    <n v="18"/>
    <n v="0"/>
    <n v="5.5499262735159337E+18"/>
  </r>
  <r>
    <b v="0"/>
    <x v="0"/>
    <x v="11"/>
    <x v="2"/>
    <x v="2"/>
    <x v="0"/>
    <n v="19"/>
    <n v="0"/>
    <n v="9.1238412826087506E+18"/>
  </r>
  <r>
    <b v="0"/>
    <x v="5"/>
    <x v="6"/>
    <x v="3"/>
    <x v="0"/>
    <x v="0"/>
    <n v="20"/>
    <n v="0"/>
    <n v="8.1562463633962711E+18"/>
  </r>
  <r>
    <b v="0"/>
    <x v="0"/>
    <x v="8"/>
    <x v="2"/>
    <x v="1"/>
    <x v="0"/>
    <n v="21"/>
    <n v="0"/>
    <n v="1.219304228768903E+19"/>
  </r>
  <r>
    <b v="0"/>
    <x v="3"/>
    <x v="4"/>
    <x v="7"/>
    <x v="0"/>
    <x v="0"/>
    <n v="22"/>
    <n v="0"/>
    <n v="1.2729945240330525E+19"/>
  </r>
  <r>
    <b v="0"/>
    <x v="0"/>
    <x v="12"/>
    <x v="3"/>
    <x v="4"/>
    <x v="0"/>
    <n v="23"/>
    <n v="0"/>
    <n v="1.3386028016539337E+19"/>
  </r>
  <r>
    <b v="0"/>
    <x v="7"/>
    <x v="6"/>
    <x v="8"/>
    <x v="0"/>
    <x v="0"/>
    <n v="24"/>
    <n v="0"/>
    <n v="3.3717141123169172E+18"/>
  </r>
  <r>
    <b v="0"/>
    <x v="4"/>
    <x v="1"/>
    <x v="4"/>
    <x v="0"/>
    <x v="0"/>
    <n v="25"/>
    <n v="0"/>
    <n v="8.9367336597410785E+18"/>
  </r>
  <r>
    <b v="0"/>
    <x v="4"/>
    <x v="6"/>
    <x v="4"/>
    <x v="1"/>
    <x v="0"/>
    <n v="26"/>
    <n v="0"/>
    <n v="1.1960505437452044E+19"/>
  </r>
  <r>
    <b v="0"/>
    <x v="11"/>
    <x v="0"/>
    <x v="2"/>
    <x v="0"/>
    <x v="0"/>
    <n v="27"/>
    <n v="0"/>
    <n v="1.1427294169686817E+19"/>
  </r>
  <r>
    <b v="0"/>
    <x v="11"/>
    <x v="6"/>
    <x v="0"/>
    <x v="0"/>
    <x v="0"/>
    <n v="28"/>
    <n v="0"/>
    <n v="4.7614653504626975E+18"/>
  </r>
  <r>
    <b v="0"/>
    <x v="2"/>
    <x v="2"/>
    <x v="4"/>
    <x v="0"/>
    <x v="0"/>
    <n v="29"/>
    <n v="0"/>
    <n v="1.5296815825036657E+18"/>
  </r>
  <r>
    <b v="0"/>
    <x v="7"/>
    <x v="3"/>
    <x v="4"/>
    <x v="0"/>
    <x v="0"/>
    <n v="30"/>
    <n v="0"/>
    <n v="3.3175030558532239E+18"/>
  </r>
  <r>
    <b v="0"/>
    <x v="5"/>
    <x v="6"/>
    <x v="2"/>
    <x v="1"/>
    <x v="0"/>
    <n v="31"/>
    <n v="0"/>
    <n v="3.9799591967695053E+18"/>
  </r>
  <r>
    <b v="0"/>
    <x v="11"/>
    <x v="13"/>
    <x v="2"/>
    <x v="3"/>
    <x v="0"/>
    <n v="32"/>
    <n v="0"/>
    <n v="1.1635697364610214E+19"/>
  </r>
  <r>
    <b v="0"/>
    <x v="12"/>
    <x v="14"/>
    <x v="0"/>
    <x v="0"/>
    <x v="0"/>
    <n v="33"/>
    <n v="0"/>
    <n v="4.6390572657532692E+18"/>
  </r>
  <r>
    <b v="0"/>
    <x v="1"/>
    <x v="3"/>
    <x v="2"/>
    <x v="0"/>
    <x v="0"/>
    <n v="34"/>
    <n v="0"/>
    <n v="1.995213811135307E+18"/>
  </r>
  <r>
    <b v="0"/>
    <x v="4"/>
    <x v="2"/>
    <x v="6"/>
    <x v="0"/>
    <x v="0"/>
    <n v="35"/>
    <n v="0"/>
    <n v="4.018630984705239E+18"/>
  </r>
  <r>
    <b v="0"/>
    <x v="12"/>
    <x v="0"/>
    <x v="1"/>
    <x v="0"/>
    <x v="0"/>
    <n v="36"/>
    <n v="0"/>
    <n v="1.5370085888951402E+19"/>
  </r>
  <r>
    <b v="0"/>
    <x v="1"/>
    <x v="4"/>
    <x v="0"/>
    <x v="3"/>
    <x v="0"/>
    <n v="37"/>
    <n v="0"/>
    <n v="1.7156896572053051E+19"/>
  </r>
  <r>
    <b v="0"/>
    <x v="6"/>
    <x v="1"/>
    <x v="1"/>
    <x v="0"/>
    <x v="0"/>
    <n v="38"/>
    <n v="0"/>
    <n v="1.020528570919253E+19"/>
  </r>
  <r>
    <b v="0"/>
    <x v="0"/>
    <x v="6"/>
    <x v="2"/>
    <x v="0"/>
    <x v="0"/>
    <n v="39"/>
    <n v="0"/>
    <n v="2.1634255767322908E+18"/>
  </r>
  <r>
    <b v="0"/>
    <x v="4"/>
    <x v="0"/>
    <x v="1"/>
    <x v="2"/>
    <x v="0"/>
    <n v="40"/>
    <n v="0"/>
    <n v="1.679848527953074E+19"/>
  </r>
  <r>
    <b v="0"/>
    <x v="13"/>
    <x v="15"/>
    <x v="1"/>
    <x v="2"/>
    <x v="0"/>
    <n v="41"/>
    <n v="0"/>
    <n v="1.5520161900601383E+19"/>
  </r>
  <r>
    <b v="0"/>
    <x v="6"/>
    <x v="2"/>
    <x v="1"/>
    <x v="0"/>
    <x v="0"/>
    <n v="42"/>
    <n v="0"/>
    <n v="3.2268179729470423E+18"/>
  </r>
  <r>
    <b v="0"/>
    <x v="4"/>
    <x v="0"/>
    <x v="4"/>
    <x v="5"/>
    <x v="0"/>
    <n v="43"/>
    <n v="0"/>
    <n v="3.9136373843561861E+18"/>
  </r>
  <r>
    <b v="0"/>
    <x v="0"/>
    <x v="11"/>
    <x v="8"/>
    <x v="1"/>
    <x v="0"/>
    <n v="44"/>
    <n v="0"/>
    <n v="1.4968172240411933E+19"/>
  </r>
  <r>
    <b v="0"/>
    <x v="7"/>
    <x v="1"/>
    <x v="0"/>
    <x v="2"/>
    <x v="0"/>
    <n v="45"/>
    <n v="0"/>
    <n v="1.2566585250160728E+19"/>
  </r>
  <r>
    <b v="0"/>
    <x v="0"/>
    <x v="11"/>
    <x v="4"/>
    <x v="0"/>
    <x v="0"/>
    <n v="46"/>
    <n v="0"/>
    <n v="4.5548070738326036E+18"/>
  </r>
  <r>
    <b v="0"/>
    <x v="3"/>
    <x v="2"/>
    <x v="0"/>
    <x v="0"/>
    <x v="0"/>
    <n v="47"/>
    <n v="0"/>
    <n v="1.7817447200180894E+19"/>
  </r>
  <r>
    <b v="0"/>
    <x v="14"/>
    <x v="8"/>
    <x v="2"/>
    <x v="0"/>
    <x v="0"/>
    <n v="48"/>
    <n v="0"/>
    <n v="1.1986732279928522E+18"/>
  </r>
  <r>
    <b v="0"/>
    <x v="4"/>
    <x v="12"/>
    <x v="0"/>
    <x v="0"/>
    <x v="0"/>
    <n v="49"/>
    <n v="0"/>
    <n v="2.4355230406145684E+18"/>
  </r>
  <r>
    <b v="0"/>
    <x v="15"/>
    <x v="2"/>
    <x v="9"/>
    <x v="6"/>
    <x v="1"/>
    <n v="50"/>
    <n v="0"/>
    <n v="1.0423124718859586E+19"/>
  </r>
  <r>
    <b v="0"/>
    <x v="16"/>
    <x v="2"/>
    <x v="10"/>
    <x v="7"/>
    <x v="1"/>
    <n v="51"/>
    <n v="0"/>
    <n v="3.2352998234123704E+18"/>
  </r>
  <r>
    <b v="0"/>
    <x v="17"/>
    <x v="3"/>
    <x v="11"/>
    <x v="7"/>
    <x v="1"/>
    <n v="52"/>
    <n v="0"/>
    <n v="1.6593635303938908E+19"/>
  </r>
  <r>
    <b v="0"/>
    <x v="12"/>
    <x v="15"/>
    <x v="12"/>
    <x v="8"/>
    <x v="1"/>
    <n v="53"/>
    <n v="0"/>
    <n v="1.2233681647916762E+18"/>
  </r>
  <r>
    <b v="0"/>
    <x v="18"/>
    <x v="16"/>
    <x v="13"/>
    <x v="7"/>
    <x v="1"/>
    <n v="54"/>
    <n v="0"/>
    <n v="6.641050044743893E+18"/>
  </r>
  <r>
    <b v="0"/>
    <x v="10"/>
    <x v="16"/>
    <x v="10"/>
    <x v="8"/>
    <x v="1"/>
    <n v="55"/>
    <n v="0"/>
    <n v="4.2912822691686369E+18"/>
  </r>
  <r>
    <b v="0"/>
    <x v="19"/>
    <x v="12"/>
    <x v="9"/>
    <x v="9"/>
    <x v="1"/>
    <n v="56"/>
    <n v="0"/>
    <n v="1.3273360126559947E+19"/>
  </r>
  <r>
    <b v="0"/>
    <x v="1"/>
    <x v="17"/>
    <x v="14"/>
    <x v="10"/>
    <x v="1"/>
    <n v="57"/>
    <n v="0"/>
    <n v="9.6180284014358262E+18"/>
  </r>
  <r>
    <b v="0"/>
    <x v="20"/>
    <x v="7"/>
    <x v="13"/>
    <x v="8"/>
    <x v="1"/>
    <n v="58"/>
    <n v="0"/>
    <n v="1.5768095422296039E+19"/>
  </r>
  <r>
    <b v="0"/>
    <x v="11"/>
    <x v="18"/>
    <x v="15"/>
    <x v="6"/>
    <x v="1"/>
    <n v="59"/>
    <n v="0"/>
    <n v="9.3682325366463017E+18"/>
  </r>
  <r>
    <b v="0"/>
    <x v="4"/>
    <x v="19"/>
    <x v="16"/>
    <x v="10"/>
    <x v="1"/>
    <n v="60"/>
    <n v="0"/>
    <n v="1.2051564147977056E+19"/>
  </r>
  <r>
    <b v="0"/>
    <x v="21"/>
    <x v="1"/>
    <x v="17"/>
    <x v="7"/>
    <x v="1"/>
    <n v="61"/>
    <n v="0"/>
    <n v="1.4610418044430911E+19"/>
  </r>
  <r>
    <b v="0"/>
    <x v="22"/>
    <x v="20"/>
    <x v="12"/>
    <x v="10"/>
    <x v="1"/>
    <n v="62"/>
    <n v="0"/>
    <n v="3.7732250748945705E+18"/>
  </r>
  <r>
    <b v="0"/>
    <x v="23"/>
    <x v="7"/>
    <x v="9"/>
    <x v="6"/>
    <x v="1"/>
    <n v="63"/>
    <n v="0"/>
    <n v="5.8398365394636524E+18"/>
  </r>
  <r>
    <b v="0"/>
    <x v="24"/>
    <x v="7"/>
    <x v="18"/>
    <x v="8"/>
    <x v="1"/>
    <n v="64"/>
    <n v="0"/>
    <n v="4.2010700375225656E+18"/>
  </r>
  <r>
    <b v="0"/>
    <x v="25"/>
    <x v="3"/>
    <x v="19"/>
    <x v="6"/>
    <x v="1"/>
    <n v="65"/>
    <n v="0"/>
    <n v="1.78808357886419E+18"/>
  </r>
  <r>
    <b v="0"/>
    <x v="24"/>
    <x v="1"/>
    <x v="10"/>
    <x v="7"/>
    <x v="1"/>
    <n v="66"/>
    <n v="0"/>
    <n v="1.0902696337067614E+19"/>
  </r>
  <r>
    <b v="0"/>
    <x v="9"/>
    <x v="18"/>
    <x v="20"/>
    <x v="10"/>
    <x v="1"/>
    <n v="67"/>
    <n v="0"/>
    <n v="1.5547426505110215E+19"/>
  </r>
  <r>
    <b v="0"/>
    <x v="26"/>
    <x v="20"/>
    <x v="10"/>
    <x v="7"/>
    <x v="1"/>
    <n v="68"/>
    <n v="0"/>
    <n v="3.7004950818582636E+18"/>
  </r>
  <r>
    <b v="0"/>
    <x v="24"/>
    <x v="21"/>
    <x v="15"/>
    <x v="11"/>
    <x v="1"/>
    <n v="69"/>
    <n v="0"/>
    <n v="1.5112415636504257E+19"/>
  </r>
  <r>
    <b v="0"/>
    <x v="21"/>
    <x v="2"/>
    <x v="21"/>
    <x v="12"/>
    <x v="1"/>
    <n v="70"/>
    <n v="0"/>
    <n v="1.1255259566354018E+19"/>
  </r>
  <r>
    <b v="0"/>
    <x v="23"/>
    <x v="16"/>
    <x v="12"/>
    <x v="8"/>
    <x v="1"/>
    <n v="71"/>
    <n v="0"/>
    <n v="1.7605334322855268E+19"/>
  </r>
  <r>
    <b v="0"/>
    <x v="19"/>
    <x v="21"/>
    <x v="11"/>
    <x v="7"/>
    <x v="1"/>
    <n v="72"/>
    <n v="0"/>
    <n v="1.0523813909130883E+19"/>
  </r>
  <r>
    <b v="0"/>
    <x v="23"/>
    <x v="16"/>
    <x v="9"/>
    <x v="13"/>
    <x v="1"/>
    <n v="73"/>
    <n v="0"/>
    <n v="5.1235705938440666E+17"/>
  </r>
  <r>
    <b v="0"/>
    <x v="16"/>
    <x v="7"/>
    <x v="22"/>
    <x v="8"/>
    <x v="1"/>
    <n v="74"/>
    <n v="0"/>
    <n v="1.133932121902054E+19"/>
  </r>
  <r>
    <b v="0"/>
    <x v="20"/>
    <x v="1"/>
    <x v="19"/>
    <x v="6"/>
    <x v="1"/>
    <n v="75"/>
    <n v="0"/>
    <n v="7.0701655697019341E+18"/>
  </r>
  <r>
    <b v="0"/>
    <x v="27"/>
    <x v="16"/>
    <x v="21"/>
    <x v="6"/>
    <x v="1"/>
    <n v="76"/>
    <n v="0"/>
    <n v="1.3803466023888347E+19"/>
  </r>
  <r>
    <b v="0"/>
    <x v="25"/>
    <x v="1"/>
    <x v="23"/>
    <x v="14"/>
    <x v="1"/>
    <n v="77"/>
    <n v="0"/>
    <n v="1.1511555446809463E+19"/>
  </r>
  <r>
    <b v="0"/>
    <x v="22"/>
    <x v="7"/>
    <x v="10"/>
    <x v="7"/>
    <x v="1"/>
    <n v="78"/>
    <n v="0"/>
    <n v="8.2829802820390769E+18"/>
  </r>
  <r>
    <b v="0"/>
    <x v="10"/>
    <x v="22"/>
    <x v="16"/>
    <x v="10"/>
    <x v="1"/>
    <n v="79"/>
    <n v="0"/>
    <n v="1.2504457130975019E+19"/>
  </r>
  <r>
    <b v="0"/>
    <x v="12"/>
    <x v="17"/>
    <x v="24"/>
    <x v="11"/>
    <x v="1"/>
    <n v="80"/>
    <n v="0"/>
    <n v="9.2426963401680445E+18"/>
  </r>
  <r>
    <b v="0"/>
    <x v="12"/>
    <x v="17"/>
    <x v="25"/>
    <x v="10"/>
    <x v="1"/>
    <n v="81"/>
    <n v="0"/>
    <n v="3.7673697286487834E+18"/>
  </r>
  <r>
    <b v="0"/>
    <x v="9"/>
    <x v="18"/>
    <x v="15"/>
    <x v="13"/>
    <x v="1"/>
    <n v="82"/>
    <n v="0"/>
    <n v="1.1102941048120582E+19"/>
  </r>
  <r>
    <b v="0"/>
    <x v="22"/>
    <x v="18"/>
    <x v="26"/>
    <x v="9"/>
    <x v="1"/>
    <n v="83"/>
    <n v="0"/>
    <n v="1.7901890681252143E+19"/>
  </r>
  <r>
    <b v="0"/>
    <x v="5"/>
    <x v="1"/>
    <x v="10"/>
    <x v="7"/>
    <x v="1"/>
    <n v="84"/>
    <n v="0"/>
    <n v="9.9781076211486904E+18"/>
  </r>
  <r>
    <b v="0"/>
    <x v="22"/>
    <x v="6"/>
    <x v="10"/>
    <x v="9"/>
    <x v="1"/>
    <n v="85"/>
    <n v="0"/>
    <n v="1.2234942937784275E+19"/>
  </r>
  <r>
    <b v="0"/>
    <x v="25"/>
    <x v="3"/>
    <x v="9"/>
    <x v="7"/>
    <x v="1"/>
    <n v="86"/>
    <n v="0"/>
    <n v="3.3323443719447291E+18"/>
  </r>
  <r>
    <b v="0"/>
    <x v="19"/>
    <x v="15"/>
    <x v="19"/>
    <x v="8"/>
    <x v="1"/>
    <n v="87"/>
    <n v="0"/>
    <n v="8.6288323794848934E+17"/>
  </r>
  <r>
    <b v="0"/>
    <x v="24"/>
    <x v="1"/>
    <x v="20"/>
    <x v="8"/>
    <x v="1"/>
    <n v="88"/>
    <n v="0"/>
    <n v="1.5039143939036846E+19"/>
  </r>
  <r>
    <b v="0"/>
    <x v="12"/>
    <x v="21"/>
    <x v="12"/>
    <x v="8"/>
    <x v="1"/>
    <n v="89"/>
    <n v="0"/>
    <n v="1.454510707773652E+19"/>
  </r>
  <r>
    <b v="0"/>
    <x v="12"/>
    <x v="22"/>
    <x v="19"/>
    <x v="13"/>
    <x v="1"/>
    <n v="90"/>
    <n v="0"/>
    <n v="7.3130414845581322E+18"/>
  </r>
  <r>
    <b v="0"/>
    <x v="23"/>
    <x v="1"/>
    <x v="13"/>
    <x v="6"/>
    <x v="1"/>
    <n v="91"/>
    <n v="0"/>
    <n v="8.5534190925570458E+18"/>
  </r>
  <r>
    <b v="0"/>
    <x v="9"/>
    <x v="22"/>
    <x v="12"/>
    <x v="13"/>
    <x v="1"/>
    <n v="92"/>
    <n v="0"/>
    <n v="8.7279567037088399E+18"/>
  </r>
  <r>
    <b v="0"/>
    <x v="4"/>
    <x v="15"/>
    <x v="14"/>
    <x v="10"/>
    <x v="1"/>
    <n v="93"/>
    <n v="0"/>
    <n v="1.4218499347646587E+19"/>
  </r>
  <r>
    <b v="0"/>
    <x v="24"/>
    <x v="18"/>
    <x v="17"/>
    <x v="8"/>
    <x v="1"/>
    <n v="94"/>
    <n v="0"/>
    <n v="9.2968221332873626E+18"/>
  </r>
  <r>
    <b v="0"/>
    <x v="10"/>
    <x v="1"/>
    <x v="17"/>
    <x v="13"/>
    <x v="1"/>
    <n v="95"/>
    <n v="0"/>
    <n v="5.9794286069000479E+18"/>
  </r>
  <r>
    <b v="0"/>
    <x v="10"/>
    <x v="7"/>
    <x v="17"/>
    <x v="8"/>
    <x v="1"/>
    <n v="96"/>
    <n v="0"/>
    <n v="1.178879019878468E+19"/>
  </r>
  <r>
    <b v="0"/>
    <x v="26"/>
    <x v="7"/>
    <x v="22"/>
    <x v="8"/>
    <x v="1"/>
    <n v="97"/>
    <n v="0"/>
    <n v="1.3456973498786234E+19"/>
  </r>
  <r>
    <b v="0"/>
    <x v="0"/>
    <x v="21"/>
    <x v="27"/>
    <x v="11"/>
    <x v="1"/>
    <n v="98"/>
    <n v="0"/>
    <n v="1.3844196578987289E+19"/>
  </r>
  <r>
    <b v="0"/>
    <x v="10"/>
    <x v="16"/>
    <x v="20"/>
    <x v="8"/>
    <x v="1"/>
    <n v="99"/>
    <n v="0"/>
    <n v="6.9030615249463429E+18"/>
  </r>
  <r>
    <b v="0"/>
    <x v="19"/>
    <x v="12"/>
    <x v="28"/>
    <x v="15"/>
    <x v="2"/>
    <n v="100"/>
    <n v="0"/>
    <n v="1.3322492984875905E+19"/>
  </r>
  <r>
    <b v="0"/>
    <x v="9"/>
    <x v="18"/>
    <x v="26"/>
    <x v="16"/>
    <x v="2"/>
    <n v="101"/>
    <n v="0"/>
    <n v="1.6847191365316028E+19"/>
  </r>
  <r>
    <b v="0"/>
    <x v="28"/>
    <x v="1"/>
    <x v="29"/>
    <x v="17"/>
    <x v="2"/>
    <n v="102"/>
    <n v="0"/>
    <n v="6.619305597041856E+17"/>
  </r>
  <r>
    <b v="0"/>
    <x v="19"/>
    <x v="7"/>
    <x v="30"/>
    <x v="12"/>
    <x v="2"/>
    <n v="103"/>
    <n v="0"/>
    <n v="5.2647569643387556E+18"/>
  </r>
  <r>
    <b v="0"/>
    <x v="18"/>
    <x v="1"/>
    <x v="31"/>
    <x v="18"/>
    <x v="2"/>
    <n v="104"/>
    <n v="0"/>
    <n v="1.6764457351407761E+19"/>
  </r>
  <r>
    <b v="0"/>
    <x v="29"/>
    <x v="1"/>
    <x v="32"/>
    <x v="17"/>
    <x v="2"/>
    <n v="105"/>
    <n v="0"/>
    <n v="1.5733561967147774E+19"/>
  </r>
  <r>
    <b v="0"/>
    <x v="1"/>
    <x v="21"/>
    <x v="10"/>
    <x v="14"/>
    <x v="2"/>
    <n v="106"/>
    <n v="0"/>
    <n v="2.3807511055195018E+18"/>
  </r>
  <r>
    <b v="0"/>
    <x v="30"/>
    <x v="7"/>
    <x v="33"/>
    <x v="12"/>
    <x v="2"/>
    <n v="107"/>
    <n v="0"/>
    <n v="5.0223796161511854E+18"/>
  </r>
  <r>
    <b v="0"/>
    <x v="25"/>
    <x v="21"/>
    <x v="31"/>
    <x v="12"/>
    <x v="2"/>
    <n v="108"/>
    <n v="0"/>
    <n v="1.7843031752550984E+19"/>
  </r>
  <r>
    <b v="0"/>
    <x v="31"/>
    <x v="4"/>
    <x v="34"/>
    <x v="15"/>
    <x v="2"/>
    <n v="109"/>
    <n v="0"/>
    <n v="1.8326831417744182E+18"/>
  </r>
  <r>
    <b v="0"/>
    <x v="18"/>
    <x v="2"/>
    <x v="26"/>
    <x v="19"/>
    <x v="2"/>
    <n v="110"/>
    <n v="0"/>
    <n v="7.5636318112243674E+17"/>
  </r>
  <r>
    <b v="0"/>
    <x v="16"/>
    <x v="18"/>
    <x v="35"/>
    <x v="16"/>
    <x v="2"/>
    <n v="111"/>
    <n v="0"/>
    <n v="1.5447016102866418E+19"/>
  </r>
  <r>
    <b v="0"/>
    <x v="27"/>
    <x v="1"/>
    <x v="36"/>
    <x v="17"/>
    <x v="2"/>
    <n v="112"/>
    <n v="0"/>
    <n v="6.2199898934266419E+18"/>
  </r>
  <r>
    <b v="0"/>
    <x v="10"/>
    <x v="21"/>
    <x v="23"/>
    <x v="19"/>
    <x v="2"/>
    <n v="113"/>
    <n v="0"/>
    <n v="9.7998716501114778E+18"/>
  </r>
  <r>
    <b v="0"/>
    <x v="9"/>
    <x v="16"/>
    <x v="26"/>
    <x v="20"/>
    <x v="2"/>
    <n v="114"/>
    <n v="0"/>
    <n v="1.5350650311171017E+19"/>
  </r>
  <r>
    <b v="0"/>
    <x v="16"/>
    <x v="2"/>
    <x v="35"/>
    <x v="21"/>
    <x v="2"/>
    <n v="115"/>
    <n v="0"/>
    <n v="1.1612241941344451E+19"/>
  </r>
  <r>
    <b v="0"/>
    <x v="18"/>
    <x v="1"/>
    <x v="36"/>
    <x v="12"/>
    <x v="2"/>
    <n v="116"/>
    <n v="0"/>
    <n v="1.7700240966600022E+19"/>
  </r>
  <r>
    <b v="0"/>
    <x v="32"/>
    <x v="11"/>
    <x v="37"/>
    <x v="18"/>
    <x v="2"/>
    <n v="117"/>
    <n v="0"/>
    <n v="1.003135703940055E+19"/>
  </r>
  <r>
    <b v="0"/>
    <x v="32"/>
    <x v="22"/>
    <x v="38"/>
    <x v="21"/>
    <x v="2"/>
    <n v="118"/>
    <n v="0"/>
    <n v="1.078474114561179E+19"/>
  </r>
  <r>
    <b v="0"/>
    <x v="22"/>
    <x v="20"/>
    <x v="23"/>
    <x v="7"/>
    <x v="2"/>
    <n v="119"/>
    <n v="0"/>
    <n v="1.6778510600435028E+18"/>
  </r>
  <r>
    <b v="0"/>
    <x v="17"/>
    <x v="2"/>
    <x v="39"/>
    <x v="21"/>
    <x v="2"/>
    <n v="120"/>
    <n v="0"/>
    <n v="1.4029279620395567E+19"/>
  </r>
  <r>
    <b v="0"/>
    <x v="24"/>
    <x v="16"/>
    <x v="11"/>
    <x v="19"/>
    <x v="2"/>
    <n v="121"/>
    <n v="0"/>
    <n v="2.0157982038516291E+18"/>
  </r>
  <r>
    <b v="0"/>
    <x v="32"/>
    <x v="16"/>
    <x v="37"/>
    <x v="19"/>
    <x v="2"/>
    <n v="122"/>
    <n v="0"/>
    <n v="9.6470233210183967E+18"/>
  </r>
  <r>
    <b v="0"/>
    <x v="19"/>
    <x v="18"/>
    <x v="11"/>
    <x v="12"/>
    <x v="2"/>
    <n v="123"/>
    <n v="0"/>
    <n v="1.436710728194055E+19"/>
  </r>
  <r>
    <b v="0"/>
    <x v="25"/>
    <x v="12"/>
    <x v="39"/>
    <x v="17"/>
    <x v="2"/>
    <n v="124"/>
    <n v="0"/>
    <n v="1.9947037052924444E+18"/>
  </r>
  <r>
    <b v="0"/>
    <x v="31"/>
    <x v="2"/>
    <x v="28"/>
    <x v="12"/>
    <x v="2"/>
    <n v="125"/>
    <n v="0"/>
    <n v="1.6950079442253183E+19"/>
  </r>
  <r>
    <b v="0"/>
    <x v="26"/>
    <x v="16"/>
    <x v="21"/>
    <x v="12"/>
    <x v="2"/>
    <n v="126"/>
    <n v="0"/>
    <n v="7.8198669874935368E+18"/>
  </r>
  <r>
    <b v="0"/>
    <x v="23"/>
    <x v="1"/>
    <x v="11"/>
    <x v="12"/>
    <x v="2"/>
    <n v="127"/>
    <n v="0"/>
    <n v="6.4973518044154317E+18"/>
  </r>
  <r>
    <b v="0"/>
    <x v="16"/>
    <x v="16"/>
    <x v="30"/>
    <x v="17"/>
    <x v="2"/>
    <n v="128"/>
    <n v="0"/>
    <n v="9.4259442193246044E+18"/>
  </r>
  <r>
    <b v="0"/>
    <x v="31"/>
    <x v="1"/>
    <x v="31"/>
    <x v="9"/>
    <x v="2"/>
    <n v="129"/>
    <n v="0"/>
    <n v="3.8864912405288878E+18"/>
  </r>
  <r>
    <b v="0"/>
    <x v="33"/>
    <x v="16"/>
    <x v="34"/>
    <x v="16"/>
    <x v="2"/>
    <n v="130"/>
    <n v="0"/>
    <n v="9.7509943860251156E+18"/>
  </r>
  <r>
    <b v="0"/>
    <x v="34"/>
    <x v="11"/>
    <x v="40"/>
    <x v="19"/>
    <x v="2"/>
    <n v="131"/>
    <n v="0"/>
    <n v="1.1849397895214377E+19"/>
  </r>
  <r>
    <b v="0"/>
    <x v="16"/>
    <x v="16"/>
    <x v="30"/>
    <x v="18"/>
    <x v="2"/>
    <n v="132"/>
    <n v="0"/>
    <n v="1.6739151969869965E+19"/>
  </r>
  <r>
    <b v="0"/>
    <x v="19"/>
    <x v="16"/>
    <x v="26"/>
    <x v="7"/>
    <x v="2"/>
    <n v="133"/>
    <n v="0"/>
    <n v="6.6135384057675328E+17"/>
  </r>
  <r>
    <b v="0"/>
    <x v="23"/>
    <x v="22"/>
    <x v="30"/>
    <x v="6"/>
    <x v="2"/>
    <n v="134"/>
    <n v="0"/>
    <n v="1.1001634725678713E+19"/>
  </r>
  <r>
    <b v="0"/>
    <x v="32"/>
    <x v="1"/>
    <x v="34"/>
    <x v="21"/>
    <x v="2"/>
    <n v="135"/>
    <n v="0"/>
    <n v="1.7475480586561292E+19"/>
  </r>
  <r>
    <b v="0"/>
    <x v="19"/>
    <x v="6"/>
    <x v="30"/>
    <x v="20"/>
    <x v="2"/>
    <n v="136"/>
    <n v="0"/>
    <n v="1.2229712659248746E+19"/>
  </r>
  <r>
    <b v="0"/>
    <x v="16"/>
    <x v="3"/>
    <x v="36"/>
    <x v="12"/>
    <x v="2"/>
    <n v="137"/>
    <n v="0"/>
    <n v="1.406293020579362E+19"/>
  </r>
  <r>
    <b v="0"/>
    <x v="22"/>
    <x v="1"/>
    <x v="21"/>
    <x v="12"/>
    <x v="2"/>
    <n v="138"/>
    <n v="0"/>
    <n v="1.6137646621662306E+19"/>
  </r>
  <r>
    <b v="0"/>
    <x v="17"/>
    <x v="3"/>
    <x v="41"/>
    <x v="17"/>
    <x v="2"/>
    <n v="139"/>
    <n v="0"/>
    <n v="2.9097514045485901E+18"/>
  </r>
  <r>
    <b v="0"/>
    <x v="25"/>
    <x v="3"/>
    <x v="30"/>
    <x v="20"/>
    <x v="2"/>
    <n v="140"/>
    <n v="0"/>
    <n v="1.6300255540475365E+19"/>
  </r>
  <r>
    <b v="0"/>
    <x v="17"/>
    <x v="3"/>
    <x v="26"/>
    <x v="21"/>
    <x v="2"/>
    <n v="141"/>
    <n v="0"/>
    <n v="1.0790540504564882E+18"/>
  </r>
  <r>
    <b v="0"/>
    <x v="9"/>
    <x v="18"/>
    <x v="26"/>
    <x v="16"/>
    <x v="2"/>
    <n v="142"/>
    <n v="0"/>
    <n v="3.976374000417663E+18"/>
  </r>
  <r>
    <b v="0"/>
    <x v="27"/>
    <x v="2"/>
    <x v="29"/>
    <x v="21"/>
    <x v="2"/>
    <n v="143"/>
    <n v="0"/>
    <n v="9.3184987252360069E+18"/>
  </r>
  <r>
    <b v="0"/>
    <x v="25"/>
    <x v="12"/>
    <x v="39"/>
    <x v="15"/>
    <x v="2"/>
    <n v="144"/>
    <n v="0"/>
    <n v="1.0551176296097987E+19"/>
  </r>
  <r>
    <b v="0"/>
    <x v="25"/>
    <x v="1"/>
    <x v="42"/>
    <x v="21"/>
    <x v="2"/>
    <n v="145"/>
    <n v="0"/>
    <n v="2.5537808874847677E+18"/>
  </r>
  <r>
    <b v="0"/>
    <x v="19"/>
    <x v="21"/>
    <x v="23"/>
    <x v="16"/>
    <x v="2"/>
    <n v="146"/>
    <n v="0"/>
    <n v="1.3252718261715847E+19"/>
  </r>
  <r>
    <b v="0"/>
    <x v="18"/>
    <x v="1"/>
    <x v="42"/>
    <x v="19"/>
    <x v="2"/>
    <n v="147"/>
    <n v="0"/>
    <n v="1.7012061598749592E+19"/>
  </r>
  <r>
    <b v="0"/>
    <x v="26"/>
    <x v="6"/>
    <x v="41"/>
    <x v="21"/>
    <x v="2"/>
    <n v="148"/>
    <n v="0"/>
    <n v="1.0846658131170545E+18"/>
  </r>
  <r>
    <b v="0"/>
    <x v="21"/>
    <x v="1"/>
    <x v="26"/>
    <x v="12"/>
    <x v="2"/>
    <n v="149"/>
    <n v="0"/>
    <n v="3.136869761845034E+1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8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8:J44" firstHeaderRow="0" firstDataRow="1" firstDataCol="5"/>
  <pivotFields count="9">
    <pivotField compact="0" outline="0" showAll="0"/>
    <pivotField axis="axisRow" compact="0" outline="0" showAll="0" defaultSubtotal="0">
      <items count="35">
        <item sd="0" x="8"/>
        <item sd="0" x="6"/>
        <item sd="0" x="13"/>
        <item sd="0" x="3"/>
        <item sd="0" x="2"/>
        <item sd="0" x="7"/>
        <item sd="0" x="1"/>
        <item sd="0" x="4"/>
        <item sd="0" x="0"/>
        <item sd="0" x="11"/>
        <item sd="0" x="14"/>
        <item sd="0" x="5"/>
        <item sd="0" x="12"/>
        <item sd="0" x="24"/>
        <item sd="0" x="10"/>
        <item sd="0" x="9"/>
        <item sd="0" x="21"/>
        <item sd="0" x="22"/>
        <item sd="0" x="23"/>
        <item sd="0" x="26"/>
        <item sd="0" x="19"/>
        <item sd="0" x="16"/>
        <item sd="0" x="18"/>
        <item sd="0" x="20"/>
        <item sd="0" x="25"/>
        <item sd="0" x="27"/>
        <item sd="0" x="17"/>
        <item sd="0" x="15"/>
        <item sd="0" x="28"/>
        <item sd="0" x="31"/>
        <item sd="0" x="30"/>
        <item sd="0" x="33"/>
        <item sd="0" x="29"/>
        <item sd="0" x="32"/>
        <item sd="0" x="34"/>
      </items>
    </pivotField>
    <pivotField axis="axisRow" compact="0" outline="0" showAll="0" defaultSubtotal="0">
      <items count="23">
        <item sd="0" x="19"/>
        <item sd="0" x="20"/>
        <item sd="0" x="15"/>
        <item sd="0" x="17"/>
        <item sd="0" x="21"/>
        <item sd="0" x="22"/>
        <item sd="0" x="18"/>
        <item sd="0" x="16"/>
        <item sd="0" x="7"/>
        <item sd="0" x="1"/>
        <item sd="0" x="3"/>
        <item sd="0" x="2"/>
        <item sd="0" x="12"/>
        <item sd="0" x="6"/>
        <item sd="0" x="0"/>
        <item sd="0" x="4"/>
        <item sd="0" x="8"/>
        <item sd="0" x="11"/>
        <item sd="0" x="5"/>
        <item sd="0" x="9"/>
        <item sd="0" x="13"/>
        <item sd="0" x="14"/>
        <item sd="0" x="10"/>
      </items>
    </pivotField>
    <pivotField axis="axisRow" compact="0" outline="0" showAll="0" defaultSubtotal="0">
      <items count="43">
        <item sd="0" x="7"/>
        <item sd="0" x="5"/>
        <item sd="0" x="6"/>
        <item sd="0" x="1"/>
        <item sd="0" x="0"/>
        <item sd="0" x="2"/>
        <item sd="0" x="4"/>
        <item sd="0" x="3"/>
        <item sd="0" x="8"/>
        <item sd="0" x="27"/>
        <item sd="0" x="14"/>
        <item sd="0" x="16"/>
        <item sd="0" x="18"/>
        <item sd="0" x="25"/>
        <item sd="0" x="24"/>
        <item sd="0" x="15"/>
        <item sd="0" x="12"/>
        <item sd="0" x="20"/>
        <item sd="0" x="17"/>
        <item sd="0" x="22"/>
        <item sd="0" x="19"/>
        <item sd="0" x="10"/>
        <item sd="0" x="13"/>
        <item sd="0" x="9"/>
        <item sd="0" x="21"/>
        <item sd="0" x="11"/>
        <item sd="0" x="23"/>
        <item sd="0" x="26"/>
        <item sd="0" x="42"/>
        <item sd="0" x="35"/>
        <item sd="0" x="41"/>
        <item sd="0" x="36"/>
        <item sd="0" x="30"/>
        <item sd="0" x="39"/>
        <item sd="0" x="31"/>
        <item sd="0" x="29"/>
        <item sd="0" x="28"/>
        <item sd="0" x="34"/>
        <item sd="0" x="33"/>
        <item sd="0" x="40"/>
        <item sd="0" x="32"/>
        <item sd="0" x="37"/>
        <item sd="0" x="38"/>
      </items>
    </pivotField>
    <pivotField axis="axisRow" compact="0" outline="0" showAll="0" defaultSubtotal="0">
      <items count="22">
        <item sd="0" x="3"/>
        <item sd="0" x="0"/>
        <item sd="0" x="2"/>
        <item sd="0" x="1"/>
        <item sd="0" x="4"/>
        <item sd="0" x="5"/>
        <item sd="0" x="10"/>
        <item sd="0" x="11"/>
        <item sd="0" x="13"/>
        <item sd="0" x="8"/>
        <item sd="0" x="6"/>
        <item sd="0" x="7"/>
        <item sd="0" x="9"/>
        <item sd="0" x="14"/>
        <item sd="0" x="12"/>
        <item sd="0" x="16"/>
        <item sd="0" x="19"/>
        <item sd="0" x="17"/>
        <item sd="0" x="18"/>
        <item sd="0" x="21"/>
        <item sd="0" x="20"/>
        <item sd="0" x="15"/>
      </items>
    </pivotField>
    <pivotField axis="axisRow" compact="0" outline="0" showAll="0" defaultSubtotal="0">
      <items count="3">
        <item x="0"/>
        <item x="1"/>
        <item x="2"/>
      </items>
    </pivotField>
    <pivotField compact="0" outline="0" showAll="0"/>
    <pivotField dataField="1" compact="0" outline="0" showAll="0"/>
    <pivotField compact="0" outline="0" showAll="0"/>
  </pivotFields>
  <rowFields count="5">
    <field x="1"/>
    <field x="2"/>
    <field x="3"/>
    <field x="4"/>
    <field x="5"/>
  </rowFields>
  <rowItems count="3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7" subtotal="average" baseField="0" baseItem="1" numFmtId="164"/>
    <dataField name="% of Total Blanks" fld="7" showDataAs="percentOfTotal" baseField="0" baseItem="1" numFmtId="164"/>
    <dataField name="% of Records" fld="7" subtotal="count" showDataAs="percentOfTotal" baseField="0" baseItem="2" numFmtId="10"/>
  </dataFields>
  <formats count="64">
    <format dxfId="79">
      <pivotArea type="all" dataOnly="0" outline="0" fieldPosition="0"/>
    </format>
    <format dxfId="78">
      <pivotArea outline="0" collapsedLevelsAreSubtotals="1" fieldPosition="0"/>
    </format>
    <format dxfId="77">
      <pivotArea dataOnly="0" labelOnly="1" grandRow="1" outline="0" fieldPosition="0"/>
    </format>
    <format dxfId="76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75">
      <pivotArea type="all" dataOnly="0" outline="0" fieldPosition="0"/>
    </format>
    <format dxfId="74">
      <pivotArea dataOnly="0" outline="0" fieldPosition="0">
        <references count="1">
          <reference field="4294967294" count="1">
            <x v="0"/>
          </reference>
        </references>
      </pivotArea>
    </format>
    <format dxfId="73">
      <pivotArea outline="0" fieldPosition="0">
        <references count="1">
          <reference field="4294967294" count="1">
            <x v="0"/>
          </reference>
        </references>
      </pivotArea>
    </format>
    <format dxfId="72">
      <pivotArea outline="0" fieldPosition="0">
        <references count="1">
          <reference field="4294967294" count="1">
            <x v="1"/>
          </reference>
        </references>
      </pivotArea>
    </format>
    <format dxfId="71">
      <pivotArea type="all" dataOnly="0" outline="0" fieldPosition="0"/>
    </format>
    <format dxfId="70">
      <pivotArea outline="0" collapsedLevelsAreSubtotals="1" fieldPosition="0"/>
    </format>
    <format dxfId="69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68">
      <pivotArea outline="0" fieldPosition="0">
        <references count="1">
          <reference field="4294967294" count="1" selected="0">
            <x v="1"/>
          </reference>
        </references>
      </pivotArea>
    </format>
    <format dxfId="67">
      <pivotArea dataOnly="0" outline="0" fieldPosition="0">
        <references count="1">
          <reference field="4294967294" count="1">
            <x v="1"/>
          </reference>
        </references>
      </pivotArea>
    </format>
    <format dxfId="66">
      <pivotArea type="all" dataOnly="0" outline="0" fieldPosition="0"/>
    </format>
    <format dxfId="65">
      <pivotArea type="all" dataOnly="0" outline="0" fieldPosition="0"/>
    </format>
    <format dxfId="64">
      <pivotArea outline="0" fieldPosition="0">
        <references count="1">
          <reference field="4294967294" count="1">
            <x v="2"/>
          </reference>
        </references>
      </pivotArea>
    </format>
    <format dxfId="6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6">
      <pivotArea field="1" type="button" dataOnly="0" labelOnly="1" outline="0" axis="axisRow" fieldPosition="0"/>
    </format>
    <format dxfId="45">
      <pivotArea field="2" type="button" dataOnly="0" labelOnly="1" outline="0" axis="axisRow" fieldPosition="1"/>
    </format>
    <format dxfId="44">
      <pivotArea field="3" type="button" dataOnly="0" labelOnly="1" outline="0" axis="axisRow" fieldPosition="2"/>
    </format>
    <format dxfId="43">
      <pivotArea field="4" type="button" dataOnly="0" labelOnly="1" outline="0" axis="axisRow" fieldPosition="3"/>
    </format>
    <format dxfId="42">
      <pivotArea field="5" type="button" dataOnly="0" labelOnly="1" outline="0" axis="axisRow" fieldPosition="4"/>
    </format>
    <format dxfId="4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0">
      <pivotArea field="1" type="button" dataOnly="0" labelOnly="1" outline="0" axis="axisRow" fieldPosition="0"/>
    </format>
    <format dxfId="39">
      <pivotArea dataOnly="0" labelOnly="1" outline="0" fieldPosition="0">
        <references count="1">
          <reference field="1" count="1">
            <x v="0"/>
          </reference>
        </references>
      </pivotArea>
    </format>
    <format dxfId="38">
      <pivotArea dataOnly="0" labelOnly="1" outline="0" fieldPosition="0">
        <references count="1">
          <reference field="1" count="1">
            <x v="1"/>
          </reference>
        </references>
      </pivotArea>
    </format>
    <format dxfId="37">
      <pivotArea dataOnly="0" labelOnly="1" outline="0" fieldPosition="0">
        <references count="1">
          <reference field="1" count="1">
            <x v="2"/>
          </reference>
        </references>
      </pivotArea>
    </format>
    <format dxfId="36">
      <pivotArea dataOnly="0" labelOnly="1" outline="0" fieldPosition="0">
        <references count="1">
          <reference field="1" count="1">
            <x v="3"/>
          </reference>
        </references>
      </pivotArea>
    </format>
    <format dxfId="35">
      <pivotArea dataOnly="0" labelOnly="1" outline="0" fieldPosition="0">
        <references count="1">
          <reference field="1" count="1">
            <x v="4"/>
          </reference>
        </references>
      </pivotArea>
    </format>
    <format dxfId="34">
      <pivotArea dataOnly="0" labelOnly="1" outline="0" fieldPosition="0">
        <references count="1">
          <reference field="1" count="1">
            <x v="5"/>
          </reference>
        </references>
      </pivotArea>
    </format>
    <format dxfId="33">
      <pivotArea dataOnly="0" labelOnly="1" outline="0" fieldPosition="0">
        <references count="1">
          <reference field="1" count="1">
            <x v="6"/>
          </reference>
        </references>
      </pivotArea>
    </format>
    <format dxfId="32">
      <pivotArea dataOnly="0" labelOnly="1" outline="0" fieldPosition="0">
        <references count="1">
          <reference field="1" count="1">
            <x v="7"/>
          </reference>
        </references>
      </pivotArea>
    </format>
    <format dxfId="31">
      <pivotArea dataOnly="0" labelOnly="1" outline="0" fieldPosition="0">
        <references count="1">
          <reference field="1" count="1">
            <x v="8"/>
          </reference>
        </references>
      </pivotArea>
    </format>
    <format dxfId="30">
      <pivotArea dataOnly="0" labelOnly="1" outline="0" fieldPosition="0">
        <references count="1">
          <reference field="1" count="1">
            <x v="9"/>
          </reference>
        </references>
      </pivotArea>
    </format>
    <format dxfId="29">
      <pivotArea dataOnly="0" labelOnly="1" outline="0" fieldPosition="0">
        <references count="1">
          <reference field="1" count="1">
            <x v="10"/>
          </reference>
        </references>
      </pivotArea>
    </format>
    <format dxfId="28">
      <pivotArea dataOnly="0" labelOnly="1" outline="0" fieldPosition="0">
        <references count="1">
          <reference field="1" count="1">
            <x v="11"/>
          </reference>
        </references>
      </pivotArea>
    </format>
    <format dxfId="27">
      <pivotArea dataOnly="0" labelOnly="1" outline="0" fieldPosition="0">
        <references count="1">
          <reference field="1" count="1">
            <x v="12"/>
          </reference>
        </references>
      </pivotArea>
    </format>
    <format dxfId="26">
      <pivotArea dataOnly="0" labelOnly="1" outline="0" fieldPosition="0">
        <references count="1">
          <reference field="1" count="1">
            <x v="13"/>
          </reference>
        </references>
      </pivotArea>
    </format>
    <format dxfId="25">
      <pivotArea dataOnly="0" labelOnly="1" outline="0" fieldPosition="0">
        <references count="1">
          <reference field="1" count="1">
            <x v="14"/>
          </reference>
        </references>
      </pivotArea>
    </format>
    <format dxfId="24">
      <pivotArea dataOnly="0" labelOnly="1" outline="0" fieldPosition="0">
        <references count="1">
          <reference field="1" count="1">
            <x v="15"/>
          </reference>
        </references>
      </pivotArea>
    </format>
    <format dxfId="23">
      <pivotArea dataOnly="0" labelOnly="1" outline="0" fieldPosition="0">
        <references count="1">
          <reference field="1" count="1">
            <x v="16"/>
          </reference>
        </references>
      </pivotArea>
    </format>
    <format dxfId="22">
      <pivotArea dataOnly="0" labelOnly="1" outline="0" fieldPosition="0">
        <references count="1">
          <reference field="1" count="1">
            <x v="17"/>
          </reference>
        </references>
      </pivotArea>
    </format>
    <format dxfId="21">
      <pivotArea dataOnly="0" labelOnly="1" outline="0" fieldPosition="0">
        <references count="1">
          <reference field="1" count="1">
            <x v="18"/>
          </reference>
        </references>
      </pivotArea>
    </format>
    <format dxfId="20">
      <pivotArea dataOnly="0" labelOnly="1" outline="0" fieldPosition="0">
        <references count="1">
          <reference field="1" count="1">
            <x v="19"/>
          </reference>
        </references>
      </pivotArea>
    </format>
    <format dxfId="19">
      <pivotArea dataOnly="0" labelOnly="1" outline="0" fieldPosition="0">
        <references count="1">
          <reference field="1" count="1">
            <x v="20"/>
          </reference>
        </references>
      </pivotArea>
    </format>
    <format dxfId="18">
      <pivotArea dataOnly="0" labelOnly="1" outline="0" fieldPosition="0">
        <references count="1">
          <reference field="1" count="1">
            <x v="21"/>
          </reference>
        </references>
      </pivotArea>
    </format>
    <format dxfId="17">
      <pivotArea dataOnly="0" labelOnly="1" outline="0" fieldPosition="0">
        <references count="1">
          <reference field="1" count="1">
            <x v="22"/>
          </reference>
        </references>
      </pivotArea>
    </format>
    <format dxfId="16">
      <pivotArea dataOnly="0" labelOnly="1" outline="0" fieldPosition="0">
        <references count="1">
          <reference field="1" count="1">
            <x v="23"/>
          </reference>
        </references>
      </pivotArea>
    </format>
    <format dxfId="15">
      <pivotArea dataOnly="0" labelOnly="1" outline="0" fieldPosition="0">
        <references count="1">
          <reference field="1" count="1">
            <x v="24"/>
          </reference>
        </references>
      </pivotArea>
    </format>
    <format dxfId="14">
      <pivotArea dataOnly="0" labelOnly="1" outline="0" fieldPosition="0">
        <references count="1">
          <reference field="1" count="1">
            <x v="25"/>
          </reference>
        </references>
      </pivotArea>
    </format>
    <format dxfId="13">
      <pivotArea dataOnly="0" labelOnly="1" outline="0" fieldPosition="0">
        <references count="1">
          <reference field="1" count="1">
            <x v="26"/>
          </reference>
        </references>
      </pivotArea>
    </format>
    <format dxfId="12">
      <pivotArea dataOnly="0" labelOnly="1" outline="0" fieldPosition="0">
        <references count="1">
          <reference field="1" count="1">
            <x v="27"/>
          </reference>
        </references>
      </pivotArea>
    </format>
    <format dxfId="11">
      <pivotArea dataOnly="0" labelOnly="1" outline="0" fieldPosition="0">
        <references count="1">
          <reference field="1" count="1">
            <x v="28"/>
          </reference>
        </references>
      </pivotArea>
    </format>
    <format dxfId="10">
      <pivotArea dataOnly="0" labelOnly="1" outline="0" fieldPosition="0">
        <references count="1">
          <reference field="1" count="1">
            <x v="29"/>
          </reference>
        </references>
      </pivotArea>
    </format>
    <format dxfId="9">
      <pivotArea dataOnly="0" labelOnly="1" outline="0" fieldPosition="0">
        <references count="1">
          <reference field="1" count="1">
            <x v="30"/>
          </reference>
        </references>
      </pivotArea>
    </format>
    <format dxfId="8">
      <pivotArea dataOnly="0" labelOnly="1" outline="0" fieldPosition="0">
        <references count="1">
          <reference field="1" count="1">
            <x v="31"/>
          </reference>
        </references>
      </pivotArea>
    </format>
    <format dxfId="7">
      <pivotArea dataOnly="0" labelOnly="1" outline="0" fieldPosition="0">
        <references count="1">
          <reference field="1" count="1">
            <x v="32"/>
          </reference>
        </references>
      </pivotArea>
    </format>
    <format dxfId="6">
      <pivotArea dataOnly="0" labelOnly="1" outline="0" fieldPosition="0">
        <references count="1">
          <reference field="1" count="1">
            <x v="33"/>
          </reference>
        </references>
      </pivotArea>
    </format>
    <format dxfId="5">
      <pivotArea dataOnly="0" labelOnly="1" outline="0" fieldPosition="0">
        <references count="1">
          <reference field="1" count="1">
            <x v="34"/>
          </reference>
        </references>
      </pivotArea>
    </format>
    <format dxfId="4">
      <pivotArea dataOnly="0" labelOnly="1" grandRow="1" outline="0" fieldPosition="0"/>
    </format>
    <format dxfId="3">
      <pivotArea outline="0" collapsedLevelsAreSubtotals="1" fieldPosition="0"/>
    </format>
    <format dxfId="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0:AA15" totalsRowShown="0" headerRowDxfId="60" dataDxfId="111" headerRowBorderDxfId="112">
  <autoFilter ref="B10:AA15" xr:uid="{034D1C74-BE18-490E-B396-097D407DA97D}"/>
  <tableColumns count="26">
    <tableColumn id="1" xr3:uid="{010A8E62-502A-4B19-B37A-BF59E03A068A}" name="Field" dataDxfId="110"/>
    <tableColumn id="2" xr3:uid="{AD236665-EC7C-404F-8915-AD7CD5510D0F}" name="Definition" dataDxfId="59">
      <calculatedColumnFormula>IF(INDEX(Definitions,1,MATCH(tbl_Overview[[#This Row],[Field]],Headers,0))="Definition","",INDEX(Definitions,1,MATCH(tbl_Overview[[#This Row],[Field]],Headers,0)))</calculatedColumnFormula>
    </tableColumn>
    <tableColumn id="3" xr3:uid="{B78AB378-5727-433E-AB9C-BB970FC42B31}" name="Field Notes" dataDxfId="58">
      <calculatedColumnFormula>IF(INDEX(Notes,1,MATCH(tbl_Overview[[#This Row],[Field]],Headers,0))="Note","",INDEX(Notes,1,MATCH(tbl_Overview[[#This Row],[Field]],Headers,0)))</calculatedColumnFormula>
    </tableColumn>
    <tableColumn id="4" xr3:uid="{EF15AE67-FE31-471E-840E-8104B878A3E8}" name="Data type" dataDxfId="109"/>
    <tableColumn id="5" xr3:uid="{5006D683-9D12-4B97-9EF2-6D41AF6E0B35}" name="Distinct %" dataDxfId="108"/>
    <tableColumn id="6" xr3:uid="{3AFB42F8-9976-44FF-9239-74914D5BE035}" name="Missing %" dataDxfId="107"/>
    <tableColumn id="7" xr3:uid="{4BA41102-DB06-4180-9754-C88722FE82BD}" name="Memory Usage %" dataDxfId="106"/>
    <tableColumn id="8" xr3:uid="{D22319BD-3A80-40F3-84FC-A6D1627B2F29}" name="Memory Usage" dataDxfId="105"/>
    <tableColumn id="9" xr3:uid="{77FAEE19-B6C7-4056-8EF3-5EB877C820C4}" name="Distinct" dataDxfId="104"/>
    <tableColumn id="10" xr3:uid="{54FF47BF-594E-417B-9028-64A4DFE4D389}" name="Count" dataDxfId="103"/>
    <tableColumn id="11" xr3:uid="{54E587FE-36DC-4522-91DC-8B81B386217B}" name="Count %" dataDxfId="102"/>
    <tableColumn id="12" xr3:uid="{0DE21D83-93B1-480C-BE9C-379DA0E532C7}" name="Missing" dataDxfId="101"/>
    <tableColumn id="13" xr3:uid="{C4B407B9-B7FB-4DFC-A6B3-885C816BAF99}" name="Mean" dataDxfId="100"/>
    <tableColumn id="14" xr3:uid="{9796FD8E-D568-43E1-AC6E-BFAE7C7B7017}" name="Median" dataDxfId="99"/>
    <tableColumn id="15" xr3:uid="{A6A7BCED-DD2F-4B41-A84C-2F2674A38A53}" name="Mode" dataDxfId="98"/>
    <tableColumn id="16" xr3:uid="{46607FA5-244C-49C2-997C-B64EB2E94FDE}" name="Standard Deviation" dataDxfId="97"/>
    <tableColumn id="17" xr3:uid="{80BA1782-4C46-45CE-B3FB-40B70BA09AF9}" name="Variance" dataDxfId="96"/>
    <tableColumn id="18" xr3:uid="{EC3C5A76-EF95-419C-87A8-D8885B542521}" name="Min" dataDxfId="95"/>
    <tableColumn id="19" xr3:uid="{BFE545F8-810C-4F0A-A0B2-FF0AB9764A07}" name="5%" dataDxfId="94"/>
    <tableColumn id="20" xr3:uid="{77D31A9B-57B1-4422-8EF9-6320F00E0DB9}" name="25%" dataDxfId="93"/>
    <tableColumn id="21" xr3:uid="{7A350787-F0EA-4E65-B596-5D7253E75CD6}" name="50%" dataDxfId="92"/>
    <tableColumn id="22" xr3:uid="{FB4C260E-A19F-4908-9DBF-DB4AC630982A}" name="75%" dataDxfId="91"/>
    <tableColumn id="23" xr3:uid="{FBECC9F1-5BC8-4774-9475-EB2D6D28F1E2}" name="95%" dataDxfId="90"/>
    <tableColumn id="24" xr3:uid="{839CD532-ED80-4544-A8C8-E9E036764A84}" name="Max" dataDxfId="89"/>
    <tableColumn id="25" xr3:uid="{9DDA1FD6-82B1-4FBE-8BBD-B40C331930D2}" name="Range" dataDxfId="88"/>
    <tableColumn id="26" xr3:uid="{902A027A-FD65-44D4-B3D0-5B3883ACFA39}" name="IQR" dataDxfId="87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81:L231" totalsRowShown="0" headerRowDxfId="54" dataDxfId="53" headerRowCellStyle="DarkHeader" dataCellStyle="Normal">
  <autoFilter ref="D81:L231" xr:uid="{DB1D1E60-5E37-456A-AD85-0649D531840E}"/>
  <tableColumns count="9">
    <tableColumn id="1" xr3:uid="{57EDF41E-F06D-4819-BADE-3D62DE46F06C}" name="Record List" dataDxfId="51" dataCellStyle="Normal"/>
    <tableColumn id="2" xr3:uid="{CF70C9CE-83FE-40FA-8089-C68B39CF665A}" name="sepal_length" dataDxfId="52" dataCellStyle="Normal"/>
    <tableColumn id="3" xr3:uid="{B8654690-502A-4FAF-9205-0118DABCB954}" name="sepal_width" dataDxfId="57" dataCellStyle="Normal"/>
    <tableColumn id="4" xr3:uid="{5A5BA001-2F93-4E62-880C-C4E8BDB17EEB}" name="petal_length" dataDxfId="56" dataCellStyle="Normal"/>
    <tableColumn id="5" xr3:uid="{CD0179D1-BBAD-4405-BEBE-71FB869D4965}" name="petal_width" dataDxfId="55" dataCellStyle="Normal"/>
    <tableColumn id="6" xr3:uid="{85FB4358-A686-4972-90C3-F7E4646FD6A5}" name="species" dataDxfId="50" dataCellStyle="Normal"/>
    <tableColumn id="7" xr3:uid="{226D74D5-581F-42A6-A75D-FC25406CBD1B}" name="index" dataDxfId="49" dataCellStyle="Normal"/>
    <tableColumn id="8" xr3:uid="{6F78AA40-F9AF-44CE-8E11-579F884E1CDA}" name="HasBlank" dataDxfId="48" dataCellStyle="Normal"/>
    <tableColumn id="9" xr3:uid="{BE9BC9D8-3B92-418F-BD22-E2222DF0856C}" name="Record Hash" dataDxfId="47" dataCellStyle="Normal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/>
  <dimension ref="B1:AA15"/>
  <sheetViews>
    <sheetView zoomScale="85" zoomScaleNormal="85" workbookViewId="0">
      <selection activeCell="B10" sqref="B10"/>
    </sheetView>
  </sheetViews>
  <sheetFormatPr defaultRowHeight="15" customHeight="1"/>
  <cols>
    <col min="1" max="1" width="2.77734375" style="5" customWidth="1"/>
    <col min="2" max="2" width="32" style="5" customWidth="1"/>
    <col min="3" max="3" width="42.33203125" style="5" customWidth="1"/>
    <col min="4" max="4" width="45.5546875" style="5" customWidth="1"/>
    <col min="5" max="5" width="17.6640625" style="5" customWidth="1"/>
    <col min="6" max="7" width="15.88671875" style="5" customWidth="1"/>
    <col min="8" max="8" width="17.6640625" style="5" customWidth="1"/>
    <col min="9" max="9" width="15.6640625" style="5" customWidth="1"/>
    <col min="10" max="16" width="13.5546875" style="5" customWidth="1"/>
    <col min="17" max="17" width="19" style="5" customWidth="1"/>
    <col min="18" max="27" width="13.5546875" style="5" customWidth="1"/>
    <col min="28" max="16384" width="8.88671875" style="5"/>
  </cols>
  <sheetData>
    <row r="1" spans="2:27" ht="14.4">
      <c r="AA1" s="4"/>
    </row>
    <row r="2" spans="2:27" ht="36.6" customHeight="1">
      <c r="B2" s="10" t="str">
        <f>Name</f>
        <v>Iris</v>
      </c>
      <c r="AA2" s="7"/>
    </row>
    <row r="3" spans="2:27" ht="10.050000000000001" customHeight="1">
      <c r="B3" s="40"/>
      <c r="AA3" s="8"/>
    </row>
    <row r="4" spans="2:27" ht="15" customHeight="1">
      <c r="B4" s="39" t="s">
        <v>8</v>
      </c>
      <c r="C4" s="36">
        <v>150</v>
      </c>
      <c r="AA4" s="9"/>
    </row>
    <row r="5" spans="2:27" ht="15" customHeight="1">
      <c r="B5" s="38" t="s">
        <v>55</v>
      </c>
      <c r="C5" s="37">
        <v>5</v>
      </c>
      <c r="AA5" s="4"/>
    </row>
    <row r="6" spans="2:27" ht="15" customHeight="1">
      <c r="B6" s="38" t="s">
        <v>14</v>
      </c>
      <c r="C6" s="37" t="s">
        <v>59</v>
      </c>
      <c r="AA6" s="4"/>
    </row>
    <row r="7" spans="2:27" ht="15" customHeight="1">
      <c r="B7" s="38" t="s">
        <v>56</v>
      </c>
      <c r="C7" s="70">
        <v>0.99333333333333329</v>
      </c>
      <c r="D7" s="4"/>
    </row>
    <row r="8" spans="2:27" ht="15" customHeight="1">
      <c r="B8" s="41" t="s">
        <v>57</v>
      </c>
      <c r="C8" s="71">
        <v>0</v>
      </c>
      <c r="D8" s="6"/>
    </row>
    <row r="9" spans="2:27" ht="24" customHeight="1"/>
    <row r="10" spans="2:27" ht="40.049999999999997" customHeight="1">
      <c r="B10" s="79" t="s">
        <v>41</v>
      </c>
      <c r="C10" s="79" t="s">
        <v>42</v>
      </c>
      <c r="D10" s="79" t="s">
        <v>2</v>
      </c>
      <c r="E10" s="80" t="s">
        <v>10</v>
      </c>
      <c r="F10" s="80" t="s">
        <v>11</v>
      </c>
      <c r="G10" s="80" t="s">
        <v>12</v>
      </c>
      <c r="H10" s="80" t="s">
        <v>13</v>
      </c>
      <c r="I10" s="80" t="s">
        <v>14</v>
      </c>
      <c r="J10" s="80" t="s">
        <v>15</v>
      </c>
      <c r="K10" s="80" t="s">
        <v>16</v>
      </c>
      <c r="L10" s="80" t="s">
        <v>43</v>
      </c>
      <c r="M10" s="80" t="s">
        <v>17</v>
      </c>
      <c r="N10" s="80" t="s">
        <v>19</v>
      </c>
      <c r="O10" s="80" t="s">
        <v>20</v>
      </c>
      <c r="P10" s="80" t="s">
        <v>21</v>
      </c>
      <c r="Q10" s="80" t="s">
        <v>22</v>
      </c>
      <c r="R10" s="80" t="s">
        <v>23</v>
      </c>
      <c r="S10" s="80" t="s">
        <v>25</v>
      </c>
      <c r="T10" s="89" t="s">
        <v>44</v>
      </c>
      <c r="U10" s="89" t="s">
        <v>45</v>
      </c>
      <c r="V10" s="89" t="s">
        <v>46</v>
      </c>
      <c r="W10" s="89" t="s">
        <v>47</v>
      </c>
      <c r="X10" s="89" t="s">
        <v>48</v>
      </c>
      <c r="Y10" s="80" t="s">
        <v>26</v>
      </c>
      <c r="Z10" s="80" t="s">
        <v>27</v>
      </c>
      <c r="AA10" s="80" t="s">
        <v>28</v>
      </c>
    </row>
    <row r="11" spans="2:27" ht="15" customHeight="1">
      <c r="B11" s="64" t="s">
        <v>60</v>
      </c>
      <c r="C11" s="73" t="str">
        <f>IF(INDEX(Definitions,1,MATCH(tbl_Overview[[#This Row],[Field]],Headers,0))="Definition","",INDEX(Definitions,1,MATCH(tbl_Overview[[#This Row],[Field]],Headers,0)))</f>
        <v/>
      </c>
      <c r="D11" s="73" t="str">
        <f>IF(INDEX(Notes,1,MATCH(tbl_Overview[[#This Row],[Field]],Headers,0))="Note","",INDEX(Notes,1,MATCH(tbl_Overview[[#This Row],[Field]],Headers,0)))</f>
        <v/>
      </c>
      <c r="E11" s="65" t="s">
        <v>67</v>
      </c>
      <c r="F11" s="69">
        <v>0.233333333333333</v>
      </c>
      <c r="G11" s="69">
        <v>0</v>
      </c>
      <c r="H11" s="69">
        <v>0.141693234148069</v>
      </c>
      <c r="I11" s="66">
        <v>1200</v>
      </c>
      <c r="J11" s="66">
        <v>35</v>
      </c>
      <c r="K11" s="66">
        <v>150</v>
      </c>
      <c r="L11" s="67">
        <v>1</v>
      </c>
      <c r="M11" s="66">
        <v>0</v>
      </c>
      <c r="N11" s="68">
        <v>5.8433333333333302</v>
      </c>
      <c r="O11" s="68">
        <v>5.8</v>
      </c>
      <c r="P11" s="68">
        <v>5</v>
      </c>
      <c r="Q11" s="68">
        <v>0.82806612797786305</v>
      </c>
      <c r="R11" s="68">
        <v>0.68569351230425002</v>
      </c>
      <c r="S11" s="68">
        <v>4.3</v>
      </c>
      <c r="T11" s="68">
        <v>4.5999999999999996</v>
      </c>
      <c r="U11" s="68">
        <v>5.0999999999999996</v>
      </c>
      <c r="V11" s="68">
        <v>5.8</v>
      </c>
      <c r="W11" s="68">
        <v>6.4</v>
      </c>
      <c r="X11" s="68">
        <v>7.2549999999999901</v>
      </c>
      <c r="Y11" s="68">
        <v>7.9</v>
      </c>
      <c r="Z11" s="68">
        <v>3.6</v>
      </c>
      <c r="AA11" s="68">
        <v>1.3</v>
      </c>
    </row>
    <row r="12" spans="2:27" ht="15" customHeight="1">
      <c r="B12" s="64" t="s">
        <v>61</v>
      </c>
      <c r="C12" s="73" t="str">
        <f>IF(INDEX(Definitions,1,MATCH(tbl_Overview[[#This Row],[Field]],Headers,0))="Definition","",INDEX(Definitions,1,MATCH(tbl_Overview[[#This Row],[Field]],Headers,0)))</f>
        <v/>
      </c>
      <c r="D12" s="73" t="str">
        <f>IF(INDEX(Notes,1,MATCH(tbl_Overview[[#This Row],[Field]],Headers,0))="Note","",INDEX(Notes,1,MATCH(tbl_Overview[[#This Row],[Field]],Headers,0)))</f>
        <v/>
      </c>
      <c r="E12" s="65" t="s">
        <v>67</v>
      </c>
      <c r="F12" s="81">
        <v>0.15333333333333299</v>
      </c>
      <c r="G12" s="81">
        <v>0</v>
      </c>
      <c r="H12" s="81">
        <v>0.141693234148069</v>
      </c>
      <c r="I12" s="66">
        <v>1200</v>
      </c>
      <c r="J12" s="66">
        <v>23</v>
      </c>
      <c r="K12" s="66">
        <v>150</v>
      </c>
      <c r="L12" s="67">
        <v>1</v>
      </c>
      <c r="M12" s="66">
        <v>0</v>
      </c>
      <c r="N12" s="68">
        <v>3.0573333333333301</v>
      </c>
      <c r="O12" s="68">
        <v>3</v>
      </c>
      <c r="P12" s="68">
        <v>3</v>
      </c>
      <c r="Q12" s="68">
        <v>0.43586628493669799</v>
      </c>
      <c r="R12" s="68">
        <v>0.18997941834451901</v>
      </c>
      <c r="S12" s="68">
        <v>2</v>
      </c>
      <c r="T12" s="68">
        <v>2.34499999999999</v>
      </c>
      <c r="U12" s="68">
        <v>2.8</v>
      </c>
      <c r="V12" s="68">
        <v>3</v>
      </c>
      <c r="W12" s="68">
        <v>3.3</v>
      </c>
      <c r="X12" s="68">
        <v>3.8</v>
      </c>
      <c r="Y12" s="68">
        <v>4.4000000000000004</v>
      </c>
      <c r="Z12" s="68">
        <v>2.4</v>
      </c>
      <c r="AA12" s="68">
        <v>0.5</v>
      </c>
    </row>
    <row r="13" spans="2:27" ht="15" customHeight="1">
      <c r="B13" s="64" t="s">
        <v>62</v>
      </c>
      <c r="C13" s="73" t="str">
        <f>IF(INDEX(Definitions,1,MATCH(tbl_Overview[[#This Row],[Field]],Headers,0))="Definition","",INDEX(Definitions,1,MATCH(tbl_Overview[[#This Row],[Field]],Headers,0)))</f>
        <v/>
      </c>
      <c r="D13" s="73" t="str">
        <f>IF(INDEX(Notes,1,MATCH(tbl_Overview[[#This Row],[Field]],Headers,0))="Note","",INDEX(Notes,1,MATCH(tbl_Overview[[#This Row],[Field]],Headers,0)))</f>
        <v/>
      </c>
      <c r="E13" s="65" t="s">
        <v>67</v>
      </c>
      <c r="F13" s="81">
        <v>0.28666666666666601</v>
      </c>
      <c r="G13" s="81">
        <v>0</v>
      </c>
      <c r="H13" s="81">
        <v>0.141693234148069</v>
      </c>
      <c r="I13" s="66">
        <v>1200</v>
      </c>
      <c r="J13" s="66">
        <v>43</v>
      </c>
      <c r="K13" s="66">
        <v>150</v>
      </c>
      <c r="L13" s="67">
        <v>1</v>
      </c>
      <c r="M13" s="66">
        <v>0</v>
      </c>
      <c r="N13" s="68">
        <v>3.758</v>
      </c>
      <c r="O13" s="68">
        <v>4.3499999999999996</v>
      </c>
      <c r="P13" s="68">
        <v>1.4</v>
      </c>
      <c r="Q13" s="68">
        <v>1.76529823325946</v>
      </c>
      <c r="R13" s="68">
        <v>3.1162778523489898</v>
      </c>
      <c r="S13" s="68">
        <v>1</v>
      </c>
      <c r="T13" s="68">
        <v>1.3</v>
      </c>
      <c r="U13" s="68">
        <v>1.6</v>
      </c>
      <c r="V13" s="68">
        <v>4.3499999999999996</v>
      </c>
      <c r="W13" s="68">
        <v>5.0999999999999996</v>
      </c>
      <c r="X13" s="68">
        <v>6.1</v>
      </c>
      <c r="Y13" s="68">
        <v>6.9</v>
      </c>
      <c r="Z13" s="68">
        <v>5.9</v>
      </c>
      <c r="AA13" s="68">
        <v>3.4999999999999898</v>
      </c>
    </row>
    <row r="14" spans="2:27" ht="15" customHeight="1">
      <c r="B14" s="64" t="s">
        <v>63</v>
      </c>
      <c r="C14" s="73" t="str">
        <f>IF(INDEX(Definitions,1,MATCH(tbl_Overview[[#This Row],[Field]],Headers,0))="Definition","",INDEX(Definitions,1,MATCH(tbl_Overview[[#This Row],[Field]],Headers,0)))</f>
        <v/>
      </c>
      <c r="D14" s="73" t="str">
        <f>IF(INDEX(Notes,1,MATCH(tbl_Overview[[#This Row],[Field]],Headers,0))="Note","",INDEX(Notes,1,MATCH(tbl_Overview[[#This Row],[Field]],Headers,0)))</f>
        <v/>
      </c>
      <c r="E14" s="65" t="s">
        <v>67</v>
      </c>
      <c r="F14" s="81">
        <v>0.146666666666666</v>
      </c>
      <c r="G14" s="81">
        <v>0</v>
      </c>
      <c r="H14" s="81">
        <v>0.141693234148069</v>
      </c>
      <c r="I14" s="66">
        <v>1200</v>
      </c>
      <c r="J14" s="66">
        <v>22</v>
      </c>
      <c r="K14" s="66">
        <v>150</v>
      </c>
      <c r="L14" s="67">
        <v>1</v>
      </c>
      <c r="M14" s="66">
        <v>0</v>
      </c>
      <c r="N14" s="68">
        <v>1.19933333333333</v>
      </c>
      <c r="O14" s="68">
        <v>1.3</v>
      </c>
      <c r="P14" s="68">
        <v>0.2</v>
      </c>
      <c r="Q14" s="68">
        <v>0.76223766896034595</v>
      </c>
      <c r="R14" s="68">
        <v>0.58100626398210198</v>
      </c>
      <c r="S14" s="68">
        <v>0.1</v>
      </c>
      <c r="T14" s="68">
        <v>0.2</v>
      </c>
      <c r="U14" s="68">
        <v>0.3</v>
      </c>
      <c r="V14" s="68">
        <v>1.3</v>
      </c>
      <c r="W14" s="68">
        <v>1.8</v>
      </c>
      <c r="X14" s="68">
        <v>2.2999999999999998</v>
      </c>
      <c r="Y14" s="68">
        <v>2.5</v>
      </c>
      <c r="Z14" s="68">
        <v>2.4</v>
      </c>
      <c r="AA14" s="68">
        <v>1.5</v>
      </c>
    </row>
    <row r="15" spans="2:27" ht="15" customHeight="1">
      <c r="B15" s="82" t="s">
        <v>64</v>
      </c>
      <c r="C15" s="83" t="str">
        <f>IF(INDEX(Definitions,1,MATCH(tbl_Overview[[#This Row],[Field]],Headers,0))="Definition","",INDEX(Definitions,1,MATCH(tbl_Overview[[#This Row],[Field]],Headers,0)))</f>
        <v/>
      </c>
      <c r="D15" s="83" t="str">
        <f>IF(INDEX(Notes,1,MATCH(tbl_Overview[[#This Row],[Field]],Headers,0))="Note","",INDEX(Notes,1,MATCH(tbl_Overview[[#This Row],[Field]],Headers,0)))</f>
        <v/>
      </c>
      <c r="E15" s="84" t="s">
        <v>68</v>
      </c>
      <c r="F15" s="85">
        <v>0.02</v>
      </c>
      <c r="G15" s="85">
        <v>0</v>
      </c>
      <c r="H15" s="85">
        <v>0.29153382925965199</v>
      </c>
      <c r="I15" s="86">
        <v>2469</v>
      </c>
      <c r="J15" s="86">
        <v>3</v>
      </c>
      <c r="K15" s="86">
        <v>150</v>
      </c>
      <c r="L15" s="87">
        <v>1</v>
      </c>
      <c r="M15" s="86">
        <v>0</v>
      </c>
      <c r="N15" s="88"/>
      <c r="O15" s="88"/>
      <c r="P15" s="88" t="s">
        <v>69</v>
      </c>
      <c r="Q15" s="88"/>
      <c r="R15" s="88"/>
      <c r="S15" s="88"/>
      <c r="T15" s="88"/>
      <c r="U15" s="88"/>
      <c r="V15" s="88"/>
      <c r="W15" s="88"/>
      <c r="X15" s="88"/>
      <c r="Y15" s="88"/>
      <c r="Z15" s="88"/>
      <c r="AA15" s="88"/>
    </row>
  </sheetData>
  <conditionalFormatting sqref="C7:C8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1:H15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/>
  <dimension ref="A1:L231"/>
  <sheetViews>
    <sheetView tabSelected="1" zoomScale="85" zoomScaleNormal="85" workbookViewId="0">
      <pane xSplit="4" ySplit="11" topLeftCell="E12" activePane="bottomRight" state="frozen"/>
      <selection activeCell="A2" sqref="A2"/>
      <selection pane="topRight" activeCell="D2" sqref="D2"/>
      <selection pane="bottomLeft" activeCell="A12" sqref="A12"/>
      <selection pane="bottomRight" activeCell="E11" sqref="E11"/>
    </sheetView>
  </sheetViews>
  <sheetFormatPr defaultColWidth="15.77734375" defaultRowHeight="15" customHeight="1" outlineLevelRow="2"/>
  <cols>
    <col min="1" max="1" width="0.88671875" customWidth="1"/>
    <col min="2" max="2" width="3" style="48" customWidth="1"/>
    <col min="3" max="3" width="2.77734375" customWidth="1"/>
    <col min="4" max="4" width="25.77734375" customWidth="1"/>
    <col min="5" max="7" width="27.77734375" customWidth="1"/>
    <col min="8" max="9" width="27.77734375" style="48" customWidth="1"/>
  </cols>
  <sheetData>
    <row r="1" spans="1:12" ht="19.95" hidden="1" customHeight="1">
      <c r="A1" s="22"/>
      <c r="B1" s="22"/>
      <c r="C1" s="23"/>
      <c r="D1" s="23" t="s">
        <v>0</v>
      </c>
      <c r="E1" s="23"/>
      <c r="F1" s="23"/>
      <c r="G1" s="23"/>
      <c r="H1" s="23"/>
      <c r="I1" s="23"/>
    </row>
    <row r="2" spans="1:12" ht="10.050000000000001" customHeight="1"/>
    <row r="3" spans="1:12" ht="36.6">
      <c r="B3" s="1" t="s">
        <v>1</v>
      </c>
      <c r="C3" s="31" t="s">
        <v>58</v>
      </c>
      <c r="D3" s="31"/>
    </row>
    <row r="4" spans="1:12" ht="10.050000000000001" customHeight="1"/>
    <row r="5" spans="1:12" ht="14.4">
      <c r="B5" s="32"/>
      <c r="C5" s="75" t="s">
        <v>1</v>
      </c>
      <c r="D5" s="2" t="s">
        <v>2</v>
      </c>
    </row>
    <row r="6" spans="1:12" ht="10.050000000000001" customHeight="1">
      <c r="B6" s="32"/>
      <c r="C6" s="32"/>
    </row>
    <row r="7" spans="1:12" ht="34.950000000000003" hidden="1" customHeight="1" outlineLevel="1">
      <c r="B7" s="32"/>
      <c r="C7" s="32"/>
      <c r="D7" s="30" t="s">
        <v>3</v>
      </c>
      <c r="E7" s="42" t="s">
        <v>42</v>
      </c>
      <c r="F7" s="43" t="s">
        <v>42</v>
      </c>
      <c r="G7" s="43" t="s">
        <v>42</v>
      </c>
      <c r="H7" s="43" t="s">
        <v>42</v>
      </c>
      <c r="I7" s="43" t="s">
        <v>42</v>
      </c>
    </row>
    <row r="8" spans="1:12" ht="10.050000000000001" hidden="1" customHeight="1" outlineLevel="1">
      <c r="B8" s="32"/>
      <c r="C8" s="32"/>
    </row>
    <row r="9" spans="1:12" ht="34.950000000000003" hidden="1" customHeight="1" outlineLevel="1">
      <c r="D9" s="30" t="s">
        <v>4</v>
      </c>
      <c r="E9" s="44" t="s">
        <v>51</v>
      </c>
      <c r="F9" s="45" t="s">
        <v>51</v>
      </c>
      <c r="G9" s="46" t="s">
        <v>51</v>
      </c>
      <c r="H9" s="46" t="s">
        <v>51</v>
      </c>
      <c r="I9" s="46" t="s">
        <v>51</v>
      </c>
    </row>
    <row r="10" spans="1:12" ht="10.050000000000001" hidden="1" customHeight="1" outlineLevel="1"/>
    <row r="11" spans="1:12" s="35" customFormat="1" ht="30" customHeight="1" collapsed="1">
      <c r="A11"/>
      <c r="B11" s="48"/>
      <c r="C11" s="77"/>
      <c r="D11" s="77" t="s">
        <v>5</v>
      </c>
      <c r="E11" s="78" t="s">
        <v>60</v>
      </c>
      <c r="F11" s="78" t="s">
        <v>61</v>
      </c>
      <c r="G11" s="78" t="s">
        <v>62</v>
      </c>
      <c r="H11" s="78" t="s">
        <v>63</v>
      </c>
      <c r="I11" s="78" t="s">
        <v>64</v>
      </c>
      <c r="J11" s="35" t="s">
        <v>65</v>
      </c>
      <c r="K11" s="35" t="s">
        <v>40</v>
      </c>
      <c r="L11" s="35" t="s">
        <v>66</v>
      </c>
    </row>
    <row r="12" spans="1:12" ht="10.050000000000001" customHeight="1"/>
    <row r="13" spans="1:12" ht="14.4" outlineLevel="1">
      <c r="B13" s="32"/>
      <c r="C13" s="75" t="s">
        <v>1</v>
      </c>
      <c r="D13" s="33" t="s">
        <v>6</v>
      </c>
    </row>
    <row r="14" spans="1:12" ht="10.050000000000001" customHeight="1" outlineLevel="1">
      <c r="B14" s="32"/>
      <c r="C14" s="32"/>
      <c r="D14" s="32"/>
    </row>
    <row r="15" spans="1:12" ht="34.950000000000003" hidden="1" customHeight="1" outlineLevel="2">
      <c r="B15" s="32"/>
      <c r="C15" s="32"/>
      <c r="D15" s="72"/>
      <c r="E15" s="76" t="s">
        <v>7</v>
      </c>
      <c r="F15" s="76"/>
      <c r="G15" s="40"/>
      <c r="H15" s="40"/>
      <c r="I15" s="40"/>
    </row>
    <row r="16" spans="1:12" ht="14.4" hidden="1" outlineLevel="2">
      <c r="B16" s="32"/>
      <c r="C16" s="32"/>
      <c r="D16" s="32"/>
    </row>
    <row r="17" spans="2:9" ht="15" hidden="1" customHeight="1" outlineLevel="2">
      <c r="B17" s="32"/>
      <c r="C17" s="32"/>
      <c r="D17" s="34" t="s">
        <v>8</v>
      </c>
      <c r="E17" s="36">
        <v>150</v>
      </c>
    </row>
    <row r="18" spans="2:9" ht="15" hidden="1" customHeight="1" outlineLevel="2">
      <c r="B18" s="32"/>
      <c r="C18" s="32"/>
      <c r="D18" s="74" t="s">
        <v>55</v>
      </c>
      <c r="E18" s="37">
        <v>5</v>
      </c>
    </row>
    <row r="19" spans="2:9" s="48" customFormat="1" ht="15" hidden="1" customHeight="1" outlineLevel="2">
      <c r="B19" s="32"/>
      <c r="C19" s="32"/>
      <c r="D19" s="74" t="s">
        <v>14</v>
      </c>
      <c r="E19" s="37" t="s">
        <v>59</v>
      </c>
    </row>
    <row r="20" spans="2:9" s="48" customFormat="1" ht="15" hidden="1" customHeight="1" outlineLevel="2">
      <c r="B20" s="32"/>
      <c r="C20" s="32"/>
      <c r="D20" s="74" t="s">
        <v>56</v>
      </c>
      <c r="E20" s="70">
        <v>0.99333333333333329</v>
      </c>
    </row>
    <row r="21" spans="2:9" s="48" customFormat="1" ht="15" hidden="1" customHeight="1" outlineLevel="2">
      <c r="D21" s="3" t="s">
        <v>57</v>
      </c>
      <c r="E21" s="71">
        <v>0</v>
      </c>
    </row>
    <row r="22" spans="2:9" ht="10.050000000000001" hidden="1" customHeight="1" outlineLevel="2"/>
    <row r="23" spans="2:9" ht="14.4" outlineLevel="1" collapsed="1">
      <c r="B23" s="32"/>
      <c r="C23" s="75" t="s">
        <v>1</v>
      </c>
      <c r="D23" s="2" t="s">
        <v>9</v>
      </c>
    </row>
    <row r="24" spans="2:9" ht="10.050000000000001" customHeight="1" outlineLevel="1">
      <c r="B24" s="32"/>
      <c r="C24" s="32"/>
    </row>
    <row r="25" spans="2:9" ht="15" hidden="1" customHeight="1" outlineLevel="2">
      <c r="B25" s="32"/>
      <c r="C25" s="32"/>
      <c r="D25" s="28" t="s">
        <v>10</v>
      </c>
      <c r="E25" s="18" t="s">
        <v>67</v>
      </c>
      <c r="F25" s="18" t="s">
        <v>67</v>
      </c>
      <c r="G25" s="18" t="s">
        <v>67</v>
      </c>
      <c r="H25" s="18" t="s">
        <v>67</v>
      </c>
      <c r="I25" s="18" t="s">
        <v>68</v>
      </c>
    </row>
    <row r="26" spans="2:9" ht="15" hidden="1" customHeight="1" outlineLevel="2">
      <c r="B26" s="32"/>
      <c r="C26" s="32"/>
      <c r="D26" s="3" t="s">
        <v>11</v>
      </c>
      <c r="E26" s="19">
        <v>0.233333333333333</v>
      </c>
      <c r="F26" s="19">
        <v>0.15333333333333299</v>
      </c>
      <c r="G26" s="19">
        <v>0.28666666666666601</v>
      </c>
      <c r="H26" s="19">
        <v>0.146666666666666</v>
      </c>
      <c r="I26" s="19">
        <v>0.02</v>
      </c>
    </row>
    <row r="27" spans="2:9" ht="15" hidden="1" customHeight="1" outlineLevel="2">
      <c r="B27" s="32"/>
      <c r="C27" s="32"/>
      <c r="D27" s="27" t="s">
        <v>12</v>
      </c>
      <c r="E27" s="19">
        <v>0</v>
      </c>
      <c r="F27" s="19">
        <v>0</v>
      </c>
      <c r="G27" s="19">
        <v>0</v>
      </c>
      <c r="H27" s="19">
        <v>0</v>
      </c>
      <c r="I27" s="19">
        <v>0</v>
      </c>
    </row>
    <row r="28" spans="2:9" ht="15" hidden="1" customHeight="1" outlineLevel="2">
      <c r="B28" s="32"/>
      <c r="C28" s="32"/>
      <c r="D28" s="27" t="s">
        <v>13</v>
      </c>
      <c r="E28" s="19">
        <v>0.141693234148069</v>
      </c>
      <c r="F28" s="19">
        <v>0.141693234148069</v>
      </c>
      <c r="G28" s="19">
        <v>0.141693234148069</v>
      </c>
      <c r="H28" s="19">
        <v>0.141693234148069</v>
      </c>
      <c r="I28" s="19">
        <v>0.29153382925965199</v>
      </c>
    </row>
    <row r="29" spans="2:9" ht="15" hidden="1" customHeight="1" outlineLevel="2">
      <c r="B29" s="32"/>
      <c r="C29" s="32"/>
      <c r="D29" s="27" t="s">
        <v>14</v>
      </c>
      <c r="E29" s="20">
        <v>1200</v>
      </c>
      <c r="F29" s="20">
        <v>1200</v>
      </c>
      <c r="G29" s="20">
        <v>1200</v>
      </c>
      <c r="H29" s="20">
        <v>1200</v>
      </c>
      <c r="I29" s="20">
        <v>2469</v>
      </c>
    </row>
    <row r="30" spans="2:9" ht="15" hidden="1" customHeight="1" outlineLevel="2">
      <c r="B30" s="32"/>
      <c r="C30" s="32"/>
      <c r="D30" s="27" t="s">
        <v>15</v>
      </c>
      <c r="E30" s="20">
        <v>35</v>
      </c>
      <c r="F30" s="20">
        <v>23</v>
      </c>
      <c r="G30" s="20">
        <v>43</v>
      </c>
      <c r="H30" s="20">
        <v>22</v>
      </c>
      <c r="I30" s="20">
        <v>3</v>
      </c>
    </row>
    <row r="31" spans="2:9" ht="15" hidden="1" customHeight="1" outlineLevel="2">
      <c r="B31" s="32"/>
      <c r="C31" s="32"/>
      <c r="D31" s="28" t="s">
        <v>16</v>
      </c>
      <c r="E31" s="20">
        <v>150</v>
      </c>
      <c r="F31" s="20">
        <v>150</v>
      </c>
      <c r="G31" s="20">
        <v>150</v>
      </c>
      <c r="H31" s="20">
        <v>150</v>
      </c>
      <c r="I31" s="20">
        <v>150</v>
      </c>
    </row>
    <row r="32" spans="2:9" ht="15" hidden="1" customHeight="1" outlineLevel="2">
      <c r="B32" s="32"/>
      <c r="C32" s="32"/>
      <c r="D32" s="3" t="s">
        <v>17</v>
      </c>
      <c r="E32" s="20">
        <v>0</v>
      </c>
      <c r="F32" s="20">
        <v>0</v>
      </c>
      <c r="G32" s="20">
        <v>0</v>
      </c>
      <c r="H32" s="20">
        <v>0</v>
      </c>
      <c r="I32" s="20">
        <v>0</v>
      </c>
    </row>
    <row r="33" spans="2:9" ht="10.050000000000001" hidden="1" customHeight="1" outlineLevel="2">
      <c r="B33" s="32"/>
      <c r="C33" s="32"/>
    </row>
    <row r="34" spans="2:9" ht="150" hidden="1" customHeight="1" outlineLevel="2"/>
    <row r="35" spans="2:9" ht="10.050000000000001" hidden="1" customHeight="1" outlineLevel="2"/>
    <row r="36" spans="2:9" ht="14.4" outlineLevel="1" collapsed="1">
      <c r="B36" s="32"/>
      <c r="C36" s="75" t="s">
        <v>1</v>
      </c>
      <c r="D36" s="2" t="s">
        <v>18</v>
      </c>
    </row>
    <row r="37" spans="2:9" ht="10.050000000000001" customHeight="1" outlineLevel="1">
      <c r="B37" s="32"/>
      <c r="C37" s="32"/>
    </row>
    <row r="38" spans="2:9" ht="15" hidden="1" customHeight="1" outlineLevel="2">
      <c r="B38" s="32"/>
      <c r="C38" s="32"/>
      <c r="D38" s="3" t="s">
        <v>19</v>
      </c>
      <c r="E38" s="21">
        <v>5.8433333333333302</v>
      </c>
      <c r="F38" s="21">
        <v>3.0573333333333301</v>
      </c>
      <c r="G38" s="21">
        <v>3.758</v>
      </c>
      <c r="H38" s="21">
        <v>1.19933333333333</v>
      </c>
      <c r="I38" s="21"/>
    </row>
    <row r="39" spans="2:9" ht="15" hidden="1" customHeight="1" outlineLevel="2">
      <c r="B39" s="32"/>
      <c r="C39" s="32"/>
      <c r="D39" s="27" t="s">
        <v>20</v>
      </c>
      <c r="E39" s="21">
        <v>5.8</v>
      </c>
      <c r="F39" s="21">
        <v>3</v>
      </c>
      <c r="G39" s="21">
        <v>4.3499999999999996</v>
      </c>
      <c r="H39" s="21">
        <v>1.3</v>
      </c>
      <c r="I39" s="21"/>
    </row>
    <row r="40" spans="2:9" ht="15" hidden="1" customHeight="1" outlineLevel="2">
      <c r="B40" s="32"/>
      <c r="C40" s="32"/>
      <c r="D40" s="27" t="s">
        <v>21</v>
      </c>
      <c r="E40" s="21">
        <v>5</v>
      </c>
      <c r="F40" s="21">
        <v>3</v>
      </c>
      <c r="G40" s="21">
        <v>1.4</v>
      </c>
      <c r="H40" s="21">
        <v>0.2</v>
      </c>
      <c r="I40" s="21" t="s">
        <v>69</v>
      </c>
    </row>
    <row r="41" spans="2:9" ht="15" hidden="1" customHeight="1" outlineLevel="2">
      <c r="B41" s="32"/>
      <c r="C41" s="32"/>
      <c r="D41" s="3" t="s">
        <v>22</v>
      </c>
      <c r="E41" s="21">
        <v>0.82806612797786305</v>
      </c>
      <c r="F41" s="21">
        <v>0.43586628493669799</v>
      </c>
      <c r="G41" s="21">
        <v>1.76529823325946</v>
      </c>
      <c r="H41" s="21">
        <v>0.76223766896034595</v>
      </c>
      <c r="I41" s="21"/>
    </row>
    <row r="42" spans="2:9" ht="15" hidden="1" customHeight="1" outlineLevel="2">
      <c r="B42" s="32"/>
      <c r="C42" s="32"/>
      <c r="D42" s="29" t="s">
        <v>23</v>
      </c>
      <c r="E42" s="21">
        <v>0.68569351230425002</v>
      </c>
      <c r="F42" s="21">
        <v>0.18997941834451901</v>
      </c>
      <c r="G42" s="21">
        <v>3.1162778523489898</v>
      </c>
      <c r="H42" s="21">
        <v>0.58100626398210198</v>
      </c>
      <c r="I42" s="21"/>
    </row>
    <row r="43" spans="2:9" ht="10.050000000000001" hidden="1" customHeight="1" outlineLevel="2">
      <c r="B43" s="32"/>
      <c r="C43" s="32"/>
    </row>
    <row r="44" spans="2:9" ht="150" hidden="1" customHeight="1" outlineLevel="2"/>
    <row r="45" spans="2:9" ht="10.050000000000001" hidden="1" customHeight="1" outlineLevel="2"/>
    <row r="46" spans="2:9" ht="14.4" outlineLevel="1" collapsed="1">
      <c r="B46" s="32"/>
      <c r="C46" s="75" t="s">
        <v>1</v>
      </c>
      <c r="D46" s="2" t="s">
        <v>24</v>
      </c>
    </row>
    <row r="47" spans="2:9" ht="10.050000000000001" customHeight="1" outlineLevel="1">
      <c r="B47" s="32"/>
      <c r="C47" s="32"/>
    </row>
    <row r="48" spans="2:9" ht="15" hidden="1" customHeight="1" outlineLevel="2">
      <c r="B48" s="32"/>
      <c r="C48" s="32"/>
      <c r="D48" s="3" t="s">
        <v>25</v>
      </c>
      <c r="E48" s="21">
        <v>4.3</v>
      </c>
      <c r="F48" s="21">
        <v>2</v>
      </c>
      <c r="G48" s="21">
        <v>1</v>
      </c>
      <c r="H48" s="21">
        <v>0.1</v>
      </c>
      <c r="I48" s="21"/>
    </row>
    <row r="49" spans="1:9" ht="15" hidden="1" customHeight="1" outlineLevel="2">
      <c r="B49" s="32"/>
      <c r="C49" s="32"/>
      <c r="D49" s="27">
        <v>0.05</v>
      </c>
      <c r="E49" s="21">
        <v>4.5999999999999996</v>
      </c>
      <c r="F49" s="21">
        <v>2.34499999999999</v>
      </c>
      <c r="G49" s="21">
        <v>1.3</v>
      </c>
      <c r="H49" s="21">
        <v>0.2</v>
      </c>
      <c r="I49" s="21"/>
    </row>
    <row r="50" spans="1:9" ht="15" hidden="1" customHeight="1" outlineLevel="2">
      <c r="B50" s="32"/>
      <c r="C50" s="32"/>
      <c r="D50" s="28">
        <v>0.25</v>
      </c>
      <c r="E50" s="21">
        <v>5.0999999999999996</v>
      </c>
      <c r="F50" s="21">
        <v>2.8</v>
      </c>
      <c r="G50" s="21">
        <v>1.6</v>
      </c>
      <c r="H50" s="21">
        <v>0.3</v>
      </c>
      <c r="I50" s="21"/>
    </row>
    <row r="51" spans="1:9" ht="15" hidden="1" customHeight="1" outlineLevel="2">
      <c r="B51" s="32"/>
      <c r="C51" s="32"/>
      <c r="D51" s="3">
        <v>0.5</v>
      </c>
      <c r="E51" s="21">
        <v>5.8</v>
      </c>
      <c r="F51" s="21">
        <v>3</v>
      </c>
      <c r="G51" s="21">
        <v>4.3499999999999996</v>
      </c>
      <c r="H51" s="21">
        <v>1.3</v>
      </c>
      <c r="I51" s="21"/>
    </row>
    <row r="52" spans="1:9" ht="15" hidden="1" customHeight="1" outlineLevel="2">
      <c r="B52" s="32"/>
      <c r="C52" s="32"/>
      <c r="D52" s="27">
        <v>0.75</v>
      </c>
      <c r="E52" s="21">
        <v>6.4</v>
      </c>
      <c r="F52" s="21">
        <v>3.3</v>
      </c>
      <c r="G52" s="21">
        <v>5.0999999999999996</v>
      </c>
      <c r="H52" s="21">
        <v>1.8</v>
      </c>
      <c r="I52" s="21"/>
    </row>
    <row r="53" spans="1:9" ht="15" hidden="1" customHeight="1" outlineLevel="2">
      <c r="B53" s="32"/>
      <c r="C53" s="32"/>
      <c r="D53" s="27">
        <v>0.95</v>
      </c>
      <c r="E53" s="21">
        <v>7.2549999999999901</v>
      </c>
      <c r="F53" s="21">
        <v>3.8</v>
      </c>
      <c r="G53" s="21">
        <v>6.1</v>
      </c>
      <c r="H53" s="21">
        <v>2.2999999999999998</v>
      </c>
      <c r="I53" s="21"/>
    </row>
    <row r="54" spans="1:9" ht="15" hidden="1" customHeight="1" outlineLevel="2">
      <c r="B54" s="32"/>
      <c r="C54" s="32"/>
      <c r="D54" s="3" t="s">
        <v>26</v>
      </c>
      <c r="E54" s="21">
        <v>7.9</v>
      </c>
      <c r="F54" s="21">
        <v>4.4000000000000004</v>
      </c>
      <c r="G54" s="21">
        <v>6.9</v>
      </c>
      <c r="H54" s="21">
        <v>2.5</v>
      </c>
      <c r="I54" s="21"/>
    </row>
    <row r="55" spans="1:9" ht="15" hidden="1" customHeight="1" outlineLevel="2">
      <c r="B55" s="32"/>
      <c r="C55" s="32"/>
      <c r="D55" s="27" t="s">
        <v>27</v>
      </c>
      <c r="E55" s="21">
        <v>3.6</v>
      </c>
      <c r="F55" s="21">
        <v>2.4</v>
      </c>
      <c r="G55" s="21">
        <v>5.9</v>
      </c>
      <c r="H55" s="21">
        <v>2.4</v>
      </c>
      <c r="I55" s="21"/>
    </row>
    <row r="56" spans="1:9" ht="15" hidden="1" customHeight="1" outlineLevel="2">
      <c r="D56" s="3" t="s">
        <v>28</v>
      </c>
      <c r="E56" s="21">
        <v>1.3</v>
      </c>
      <c r="F56" s="21">
        <v>0.5</v>
      </c>
      <c r="G56" s="21">
        <v>3.4999999999999898</v>
      </c>
      <c r="H56" s="21">
        <v>1.5</v>
      </c>
      <c r="I56" s="21"/>
    </row>
    <row r="57" spans="1:9" ht="10.050000000000001" hidden="1" customHeight="1" outlineLevel="2"/>
    <row r="58" spans="1:9" ht="14.4" outlineLevel="1" collapsed="1">
      <c r="A58" s="32"/>
      <c r="B58" s="32"/>
      <c r="C58" s="75" t="s">
        <v>1</v>
      </c>
      <c r="D58" s="2" t="s">
        <v>29</v>
      </c>
    </row>
    <row r="59" spans="1:9" ht="10.050000000000001" customHeight="1" outlineLevel="1">
      <c r="A59" s="32"/>
      <c r="B59" s="32"/>
      <c r="C59" s="32"/>
    </row>
    <row r="60" spans="1:9" ht="15" hidden="1" customHeight="1" outlineLevel="2">
      <c r="A60" s="32"/>
      <c r="B60" s="32"/>
      <c r="C60" s="32"/>
      <c r="D60" s="3" t="s">
        <v>30</v>
      </c>
      <c r="E60" s="63" t="b">
        <v>0</v>
      </c>
      <c r="F60" s="63" t="b">
        <v>0</v>
      </c>
      <c r="G60" s="63" t="b">
        <v>0</v>
      </c>
      <c r="H60" s="63" t="b">
        <v>0</v>
      </c>
      <c r="I60" s="63" t="b">
        <v>0</v>
      </c>
    </row>
    <row r="61" spans="1:9" ht="15" hidden="1" customHeight="1" outlineLevel="2">
      <c r="A61" s="32"/>
      <c r="B61" s="32"/>
      <c r="C61" s="32"/>
      <c r="D61" s="27" t="s">
        <v>31</v>
      </c>
      <c r="E61" s="63" t="b">
        <v>0</v>
      </c>
      <c r="F61" s="63" t="b">
        <v>0</v>
      </c>
      <c r="G61" s="63" t="b">
        <v>0</v>
      </c>
      <c r="H61" s="63" t="b">
        <v>0</v>
      </c>
      <c r="I61" s="63" t="b">
        <v>0</v>
      </c>
    </row>
    <row r="62" spans="1:9" ht="15" hidden="1" customHeight="1" outlineLevel="2">
      <c r="A62" s="32"/>
      <c r="B62" s="32"/>
      <c r="C62" s="32"/>
      <c r="D62" s="27" t="s">
        <v>32</v>
      </c>
      <c r="E62" s="63" t="b">
        <v>0</v>
      </c>
      <c r="F62" s="63" t="b">
        <v>0</v>
      </c>
      <c r="G62" s="63" t="b">
        <v>0</v>
      </c>
      <c r="H62" s="63" t="b">
        <v>0</v>
      </c>
      <c r="I62" s="63" t="b">
        <v>0</v>
      </c>
    </row>
    <row r="63" spans="1:9" ht="15" hidden="1" customHeight="1" outlineLevel="2">
      <c r="A63" s="32"/>
      <c r="B63" s="32"/>
      <c r="C63" s="32"/>
      <c r="D63" s="27" t="s">
        <v>33</v>
      </c>
      <c r="E63" s="63" t="b">
        <v>0</v>
      </c>
      <c r="F63" s="63" t="b">
        <v>0</v>
      </c>
      <c r="G63" s="63" t="b">
        <v>0</v>
      </c>
      <c r="H63" s="63" t="b">
        <v>0</v>
      </c>
      <c r="I63" s="63" t="b">
        <v>0</v>
      </c>
    </row>
    <row r="64" spans="1:9" ht="15" hidden="1" customHeight="1" outlineLevel="2">
      <c r="A64" s="32"/>
      <c r="B64" s="32"/>
      <c r="C64" s="32"/>
      <c r="D64" s="3" t="s">
        <v>34</v>
      </c>
      <c r="E64" s="63" t="b">
        <v>0</v>
      </c>
      <c r="F64" s="63" t="b">
        <v>0</v>
      </c>
      <c r="G64" s="63" t="b">
        <v>0</v>
      </c>
      <c r="H64" s="63" t="b">
        <v>0</v>
      </c>
      <c r="I64" s="63" t="b">
        <v>0</v>
      </c>
    </row>
    <row r="65" spans="1:9" ht="15" hidden="1" customHeight="1" outlineLevel="2">
      <c r="A65" s="32"/>
      <c r="B65" s="32"/>
      <c r="C65" s="32"/>
      <c r="D65" s="27" t="s">
        <v>35</v>
      </c>
      <c r="E65" s="63" t="b">
        <v>0</v>
      </c>
      <c r="F65" s="63" t="b">
        <v>0</v>
      </c>
      <c r="G65" s="63" t="b">
        <v>0</v>
      </c>
      <c r="H65" s="63" t="b">
        <v>0</v>
      </c>
      <c r="I65" s="63" t="b">
        <v>0</v>
      </c>
    </row>
    <row r="66" spans="1:9" ht="15" hidden="1" customHeight="1" outlineLevel="2">
      <c r="A66" s="32"/>
      <c r="B66" s="32"/>
      <c r="C66" s="32"/>
      <c r="D66" s="27" t="s">
        <v>36</v>
      </c>
      <c r="E66" s="63" t="b">
        <v>0</v>
      </c>
      <c r="F66" s="63" t="b">
        <v>0</v>
      </c>
      <c r="G66" s="63" t="b">
        <v>0</v>
      </c>
      <c r="H66" s="63" t="b">
        <v>0</v>
      </c>
      <c r="I66" s="63" t="b">
        <v>0</v>
      </c>
    </row>
    <row r="67" spans="1:9" ht="15" hidden="1" customHeight="1" outlineLevel="2">
      <c r="D67" s="3" t="s">
        <v>37</v>
      </c>
      <c r="E67" s="63" t="b">
        <v>0</v>
      </c>
      <c r="F67" s="63" t="b">
        <v>0</v>
      </c>
      <c r="G67" s="63" t="b">
        <v>0</v>
      </c>
      <c r="H67" s="63" t="b">
        <v>0</v>
      </c>
      <c r="I67" s="63" t="b">
        <v>0</v>
      </c>
    </row>
    <row r="68" spans="1:9" ht="10.050000000000001" hidden="1" customHeight="1" outlineLevel="2"/>
    <row r="69" spans="1:9" ht="14.4" outlineLevel="1" collapsed="1">
      <c r="A69" s="32"/>
      <c r="B69" s="32"/>
      <c r="C69" s="75" t="s">
        <v>1</v>
      </c>
      <c r="D69" s="2" t="s">
        <v>38</v>
      </c>
    </row>
    <row r="70" spans="1:9" ht="15" customHeight="1" outlineLevel="1">
      <c r="A70" s="32"/>
      <c r="B70" s="32"/>
    </row>
    <row r="71" spans="1:9" ht="15" hidden="1" customHeight="1" outlineLevel="1">
      <c r="A71" s="32"/>
      <c r="B71" s="32"/>
      <c r="D71" s="3" t="str">
        <f>IF(COUNTIF(FieldList1, "&lt;&gt;FALSE") = 0,"",SUBSTITUTE(LOWER(D60)," ","_") &amp;" = ")</f>
        <v/>
      </c>
      <c r="E71" t="str">
        <f>IF(COUNTIF(FieldList1, "&lt;&gt;FALSE") = 0,"","['"&amp;_xlfn.TEXTJOIN("', '", TRUE, _xlfn._xlws.FILTER(FieldRange,FieldList1&lt;&gt; FALSE, ""))&amp;"']")</f>
        <v/>
      </c>
    </row>
    <row r="72" spans="1:9" ht="15" hidden="1" customHeight="1" outlineLevel="2">
      <c r="A72" s="32"/>
      <c r="B72" s="32"/>
      <c r="D72" s="26" t="str">
        <f>IF(COUNTIF(FieldList2, "&lt;&gt;FALSE") = 0,"",SUBSTITUTE(LOWER(D61)," ","_")&amp;" = ")</f>
        <v/>
      </c>
      <c r="E72" t="str">
        <f>IF(COUNTIF(FieldList2, "&lt;&gt;FALSE") = 0,"","['"&amp;_xlfn.TEXTJOIN("', '", TRUE, _xlfn._xlws.FILTER(FieldRange,FieldList2&lt;&gt; FALSE, ""))&amp;"']")</f>
        <v/>
      </c>
    </row>
    <row r="73" spans="1:9" ht="15" hidden="1" customHeight="1" outlineLevel="2">
      <c r="A73" s="32"/>
      <c r="B73" s="32"/>
      <c r="D73" s="26" t="str">
        <f>IF(COUNTIF(FieldList3, "&lt;&gt;FALSE") = 0,"",SUBSTITUTE(LOWER(D62)," ","_")&amp;" = ")</f>
        <v/>
      </c>
      <c r="E73" t="str">
        <f>IF(COUNTIF(FieldList3, "&lt;&gt;FALSE") = 0,"","['"&amp;_xlfn.TEXTJOIN("', '", TRUE, _xlfn._xlws.FILTER(FieldRange,FieldList3&lt;&gt; FALSE, ""))&amp;"']")</f>
        <v/>
      </c>
    </row>
    <row r="74" spans="1:9" ht="15" hidden="1" customHeight="1" outlineLevel="2">
      <c r="A74" s="32"/>
      <c r="B74" s="32"/>
      <c r="D74" s="26" t="str">
        <f>IF(COUNTIF(FieldList4, "&lt;&gt;FALSE") = 0,"",SUBSTITUTE(LOWER(D63)," ","_")&amp;" = ")</f>
        <v/>
      </c>
      <c r="E74" t="str">
        <f>IF(COUNTIF(FieldList4, "&lt;&gt;FALSE") = 0,"","['"&amp;_xlfn.TEXTJOIN("', '", TRUE, _xlfn._xlws.FILTER(FieldRange,FieldList4&lt;&gt; FALSE, ""))&amp;"']")</f>
        <v/>
      </c>
    </row>
    <row r="75" spans="1:9" ht="15" hidden="1" customHeight="1" outlineLevel="2">
      <c r="A75" s="32"/>
      <c r="B75" s="32"/>
      <c r="D75" s="26" t="str">
        <f>IF(COUNTIF(FieldList5, "&lt;&gt;FALSE") = 0,"",SUBSTITUTE(LOWER(D64)," ","_")&amp;" = ")</f>
        <v/>
      </c>
      <c r="E75" t="str">
        <f>IF(COUNTIF(FieldList5, "&lt;&gt;FALSE") = 0,"","['"&amp;_xlfn.TEXTJOIN("', '", TRUE, _xlfn._xlws.FILTER(FieldRange,FieldList5&lt;&gt; FALSE, ""))&amp;"']")</f>
        <v/>
      </c>
    </row>
    <row r="76" spans="1:9" ht="15" hidden="1" customHeight="1" outlineLevel="2">
      <c r="A76" s="32"/>
      <c r="B76" s="32"/>
      <c r="D76" s="26" t="str">
        <f>IF(COUNTIF(FieldList6, "&lt;&gt;FALSE") = 0,"",SUBSTITUTE(LOWER(D65)," ","_")&amp;" = ")</f>
        <v/>
      </c>
      <c r="E76" t="str">
        <f>IF(COUNTIF(FieldList6, "&lt;&gt;FALSE") = 0,"","['"&amp;_xlfn.TEXTJOIN("', '", TRUE, _xlfn._xlws.FILTER(FieldRange,FieldList6&lt;&gt; FALSE, ""))&amp;"']")</f>
        <v/>
      </c>
    </row>
    <row r="77" spans="1:9" ht="15" hidden="1" customHeight="1" outlineLevel="2">
      <c r="A77" s="32"/>
      <c r="B77" s="32"/>
      <c r="D77" s="25" t="str">
        <f>IF(COUNTIF(FieldList7, "&lt;&gt;FALSE") = 0,"",SUBSTITUTE(LOWER(D66)," ","_")&amp;" = ")</f>
        <v/>
      </c>
      <c r="E77" t="str" cm="1">
        <f t="array" ref="E77">IF(COUNTIF(FieldList7, "&lt;&gt;FALSE") = 0,"","['"&amp;_xlfn.TEXTJOIN("', '", TRUE, _xlfn._xlws.FILTER(FieldRange,FieldList7&lt;&gt; FALSE, ""))&amp;"']")</f>
        <v/>
      </c>
    </row>
    <row r="78" spans="1:9" ht="15" hidden="1" customHeight="1" outlineLevel="2">
      <c r="A78" s="32"/>
      <c r="B78" s="32"/>
      <c r="D78" s="3" t="str">
        <f>IF(COUNTIF(FieldList8, "&lt;&gt;FALSE") = 0,"",SUBSTITUTE(LOWER(D67)," ","_")&amp;" = ")</f>
        <v/>
      </c>
      <c r="E78" t="str" cm="1">
        <f t="array" ref="E78">IF(COUNTIF(FieldList8, "&lt;&gt;FALSE") = 0,"","['"&amp;_xlfn.TEXTJOIN("', '", TRUE, _xlfn._xlws.FILTER(FieldRange,FieldList8&lt;&gt; FALSE, ""))&amp;"']")</f>
        <v/>
      </c>
    </row>
    <row r="79" spans="1:9" ht="15" hidden="1" customHeight="1" outlineLevel="2">
      <c r="D79" s="24" t="str">
        <f>IF(COUNTIF(tbl_SourceData[Record List], "&lt;&gt;FALSE") = 0,"",SUBSTITUTE(LOWER(LightHeader)," ", "_") &amp;" = ")</f>
        <v/>
      </c>
      <c r="E79" t="str" cm="1">
        <f t="array" ref="E79">IF(COUNTIF(tbl_SourceData[Record List], "&lt;&gt;FALSE") = 0,"","['"&amp;_xlfn.TEXTJOIN("', '", TRUE, _xlfn._xlws.FILTER(_xlfn.TAKE(tbl_SourceData[],,-1), tbl_SourceData[Record List] &lt;&gt; FALSE, ""))&amp;"']")</f>
        <v/>
      </c>
    </row>
    <row r="80" spans="1:9" ht="10.050000000000001" hidden="1" customHeight="1" outlineLevel="1" collapsed="1"/>
    <row r="81" spans="4:12" ht="30" customHeight="1">
      <c r="D81" s="97" t="s">
        <v>39</v>
      </c>
      <c r="E81" s="90" t="s">
        <v>60</v>
      </c>
      <c r="F81" s="90" t="s">
        <v>61</v>
      </c>
      <c r="G81" s="90" t="s">
        <v>62</v>
      </c>
      <c r="H81" s="91" t="s">
        <v>63</v>
      </c>
      <c r="I81" s="91" t="s">
        <v>64</v>
      </c>
      <c r="J81" s="97" t="s">
        <v>65</v>
      </c>
      <c r="K81" s="97" t="s">
        <v>40</v>
      </c>
      <c r="L81" s="97" t="s">
        <v>66</v>
      </c>
    </row>
    <row r="82" spans="4:12" ht="15" customHeight="1">
      <c r="D82" s="98" t="b">
        <v>0</v>
      </c>
      <c r="E82" s="92">
        <v>5.0999999999999996</v>
      </c>
      <c r="F82" s="92">
        <v>3.5</v>
      </c>
      <c r="G82" s="92">
        <v>1.4</v>
      </c>
      <c r="H82" s="93">
        <v>0.2</v>
      </c>
      <c r="I82" s="93" t="s">
        <v>69</v>
      </c>
      <c r="J82" s="101">
        <v>0</v>
      </c>
      <c r="K82" s="101">
        <v>0</v>
      </c>
      <c r="L82" s="101">
        <v>6.4448666609208627E+18</v>
      </c>
    </row>
    <row r="83" spans="4:12" ht="15" customHeight="1">
      <c r="D83" s="98" t="b">
        <v>0</v>
      </c>
      <c r="E83" s="92">
        <v>4.9000000000000004</v>
      </c>
      <c r="F83" s="92">
        <v>3</v>
      </c>
      <c r="G83" s="92">
        <v>1.4</v>
      </c>
      <c r="H83" s="93">
        <v>0.2</v>
      </c>
      <c r="I83" s="93" t="s">
        <v>69</v>
      </c>
      <c r="J83" s="101">
        <v>1</v>
      </c>
      <c r="K83" s="101">
        <v>0</v>
      </c>
      <c r="L83" s="101">
        <v>1.1765950511506811E+19</v>
      </c>
    </row>
    <row r="84" spans="4:12" ht="15" customHeight="1">
      <c r="D84" s="99" t="b">
        <v>0</v>
      </c>
      <c r="E84" s="94">
        <v>4.7</v>
      </c>
      <c r="F84" s="92">
        <v>3.2</v>
      </c>
      <c r="G84" s="92">
        <v>1.3</v>
      </c>
      <c r="H84" s="93">
        <v>0.2</v>
      </c>
      <c r="I84" s="93" t="s">
        <v>69</v>
      </c>
      <c r="J84" s="101">
        <v>2</v>
      </c>
      <c r="K84" s="101">
        <v>0</v>
      </c>
      <c r="L84" s="101">
        <v>1.3476958561087588E+18</v>
      </c>
    </row>
    <row r="85" spans="4:12" ht="15" customHeight="1">
      <c r="D85" s="99" t="b">
        <v>0</v>
      </c>
      <c r="E85" s="94">
        <v>4.5999999999999996</v>
      </c>
      <c r="F85" s="92">
        <v>3.1</v>
      </c>
      <c r="G85" s="92">
        <v>1.5</v>
      </c>
      <c r="H85" s="93">
        <v>0.2</v>
      </c>
      <c r="I85" s="93" t="s">
        <v>69</v>
      </c>
      <c r="J85" s="101">
        <v>3</v>
      </c>
      <c r="K85" s="101">
        <v>0</v>
      </c>
      <c r="L85" s="101">
        <v>9.8632584464446505E+18</v>
      </c>
    </row>
    <row r="86" spans="4:12" ht="15" customHeight="1">
      <c r="D86" s="99" t="b">
        <v>0</v>
      </c>
      <c r="E86" s="94">
        <v>5</v>
      </c>
      <c r="F86" s="92">
        <v>3.6</v>
      </c>
      <c r="G86" s="92">
        <v>1.4</v>
      </c>
      <c r="H86" s="93">
        <v>0.2</v>
      </c>
      <c r="I86" s="93" t="s">
        <v>69</v>
      </c>
      <c r="J86" s="101">
        <v>4</v>
      </c>
      <c r="K86" s="101">
        <v>0</v>
      </c>
      <c r="L86" s="101">
        <v>4.9599550204549448E+18</v>
      </c>
    </row>
    <row r="87" spans="4:12" ht="15" customHeight="1">
      <c r="D87" s="99" t="b">
        <v>0</v>
      </c>
      <c r="E87" s="94">
        <v>5.4</v>
      </c>
      <c r="F87" s="92">
        <v>3.9</v>
      </c>
      <c r="G87" s="92">
        <v>1.7</v>
      </c>
      <c r="H87" s="93">
        <v>0.4</v>
      </c>
      <c r="I87" s="93" t="s">
        <v>69</v>
      </c>
      <c r="J87" s="101">
        <v>5</v>
      </c>
      <c r="K87" s="101">
        <v>0</v>
      </c>
      <c r="L87" s="101">
        <v>8.2824582833243269E+18</v>
      </c>
    </row>
    <row r="88" spans="4:12" ht="15" customHeight="1">
      <c r="D88" s="99" t="b">
        <v>0</v>
      </c>
      <c r="E88" s="94">
        <v>4.5999999999999996</v>
      </c>
      <c r="F88" s="92">
        <v>3.4</v>
      </c>
      <c r="G88" s="92">
        <v>1.4</v>
      </c>
      <c r="H88" s="93">
        <v>0.3</v>
      </c>
      <c r="I88" s="93" t="s">
        <v>69</v>
      </c>
      <c r="J88" s="101">
        <v>6</v>
      </c>
      <c r="K88" s="101">
        <v>0</v>
      </c>
      <c r="L88" s="101">
        <v>1.2585122330970276E+19</v>
      </c>
    </row>
    <row r="89" spans="4:12" ht="15" customHeight="1">
      <c r="D89" s="99" t="b">
        <v>0</v>
      </c>
      <c r="E89" s="94">
        <v>5</v>
      </c>
      <c r="F89" s="92">
        <v>3.4</v>
      </c>
      <c r="G89" s="92">
        <v>1.5</v>
      </c>
      <c r="H89" s="93">
        <v>0.2</v>
      </c>
      <c r="I89" s="93" t="s">
        <v>69</v>
      </c>
      <c r="J89" s="101">
        <v>7</v>
      </c>
      <c r="K89" s="101">
        <v>0</v>
      </c>
      <c r="L89" s="101">
        <v>9.5268664734738084E+18</v>
      </c>
    </row>
    <row r="90" spans="4:12" ht="15" customHeight="1">
      <c r="D90" s="99" t="b">
        <v>0</v>
      </c>
      <c r="E90" s="94">
        <v>4.4000000000000004</v>
      </c>
      <c r="F90" s="92">
        <v>2.9</v>
      </c>
      <c r="G90" s="92">
        <v>1.4</v>
      </c>
      <c r="H90" s="93">
        <v>0.2</v>
      </c>
      <c r="I90" s="93" t="s">
        <v>69</v>
      </c>
      <c r="J90" s="101">
        <v>8</v>
      </c>
      <c r="K90" s="101">
        <v>0</v>
      </c>
      <c r="L90" s="101">
        <v>1.8278756919478217E+19</v>
      </c>
    </row>
    <row r="91" spans="4:12" ht="15" customHeight="1">
      <c r="D91" s="99" t="b">
        <v>0</v>
      </c>
      <c r="E91" s="94">
        <v>4.9000000000000004</v>
      </c>
      <c r="F91" s="92">
        <v>3.1</v>
      </c>
      <c r="G91" s="92">
        <v>1.5</v>
      </c>
      <c r="H91" s="93">
        <v>0.1</v>
      </c>
      <c r="I91" s="93" t="s">
        <v>69</v>
      </c>
      <c r="J91" s="101">
        <v>9</v>
      </c>
      <c r="K91" s="101">
        <v>0</v>
      </c>
      <c r="L91" s="101">
        <v>6.2217627561516278E+18</v>
      </c>
    </row>
    <row r="92" spans="4:12" ht="15" customHeight="1">
      <c r="D92" s="99" t="b">
        <v>0</v>
      </c>
      <c r="E92" s="94">
        <v>5.4</v>
      </c>
      <c r="F92" s="92">
        <v>3.7</v>
      </c>
      <c r="G92" s="92">
        <v>1.5</v>
      </c>
      <c r="H92" s="93">
        <v>0.2</v>
      </c>
      <c r="I92" s="93" t="s">
        <v>69</v>
      </c>
      <c r="J92" s="101">
        <v>10</v>
      </c>
      <c r="K92" s="101">
        <v>0</v>
      </c>
      <c r="L92" s="101">
        <v>1.809564264768621E+19</v>
      </c>
    </row>
    <row r="93" spans="4:12" ht="15" customHeight="1">
      <c r="D93" s="99" t="b">
        <v>0</v>
      </c>
      <c r="E93" s="94">
        <v>4.8</v>
      </c>
      <c r="F93" s="92">
        <v>3.4</v>
      </c>
      <c r="G93" s="92">
        <v>1.6</v>
      </c>
      <c r="H93" s="93">
        <v>0.2</v>
      </c>
      <c r="I93" s="93" t="s">
        <v>69</v>
      </c>
      <c r="J93" s="101">
        <v>11</v>
      </c>
      <c r="K93" s="101">
        <v>0</v>
      </c>
      <c r="L93" s="101">
        <v>1.7295182601082767E+19</v>
      </c>
    </row>
    <row r="94" spans="4:12" ht="15" customHeight="1">
      <c r="D94" s="99" t="b">
        <v>0</v>
      </c>
      <c r="E94" s="94">
        <v>4.8</v>
      </c>
      <c r="F94" s="92">
        <v>3</v>
      </c>
      <c r="G94" s="92">
        <v>1.4</v>
      </c>
      <c r="H94" s="93">
        <v>0.1</v>
      </c>
      <c r="I94" s="93" t="s">
        <v>69</v>
      </c>
      <c r="J94" s="101">
        <v>12</v>
      </c>
      <c r="K94" s="101">
        <v>0</v>
      </c>
      <c r="L94" s="101">
        <v>1.1954364157087431E+19</v>
      </c>
    </row>
    <row r="95" spans="4:12" ht="15" customHeight="1">
      <c r="D95" s="99" t="b">
        <v>0</v>
      </c>
      <c r="E95" s="94">
        <v>4.3</v>
      </c>
      <c r="F95" s="92">
        <v>3</v>
      </c>
      <c r="G95" s="92">
        <v>1.1000000000000001</v>
      </c>
      <c r="H95" s="93">
        <v>0.1</v>
      </c>
      <c r="I95" s="93" t="s">
        <v>69</v>
      </c>
      <c r="J95" s="101">
        <v>13</v>
      </c>
      <c r="K95" s="101">
        <v>0</v>
      </c>
      <c r="L95" s="101">
        <v>1.3137923434489776E+19</v>
      </c>
    </row>
    <row r="96" spans="4:12" ht="15" customHeight="1">
      <c r="D96" s="99" t="b">
        <v>0</v>
      </c>
      <c r="E96" s="94">
        <v>5.8</v>
      </c>
      <c r="F96" s="92">
        <v>4</v>
      </c>
      <c r="G96" s="92">
        <v>1.2</v>
      </c>
      <c r="H96" s="93">
        <v>0.2</v>
      </c>
      <c r="I96" s="93" t="s">
        <v>69</v>
      </c>
      <c r="J96" s="101">
        <v>14</v>
      </c>
      <c r="K96" s="101">
        <v>0</v>
      </c>
      <c r="L96" s="101">
        <v>1.5078422819717117E+18</v>
      </c>
    </row>
    <row r="97" spans="4:12" ht="15" customHeight="1">
      <c r="D97" s="99" t="b">
        <v>0</v>
      </c>
      <c r="E97" s="94">
        <v>5.7</v>
      </c>
      <c r="F97" s="92">
        <v>4.4000000000000004</v>
      </c>
      <c r="G97" s="92">
        <v>1.5</v>
      </c>
      <c r="H97" s="93">
        <v>0.4</v>
      </c>
      <c r="I97" s="93" t="s">
        <v>69</v>
      </c>
      <c r="J97" s="101">
        <v>15</v>
      </c>
      <c r="K97" s="101">
        <v>0</v>
      </c>
      <c r="L97" s="101">
        <v>1.0380433547721755E+19</v>
      </c>
    </row>
    <row r="98" spans="4:12" ht="15" customHeight="1">
      <c r="D98" s="99" t="b">
        <v>0</v>
      </c>
      <c r="E98" s="94">
        <v>5.4</v>
      </c>
      <c r="F98" s="92">
        <v>3.9</v>
      </c>
      <c r="G98" s="92">
        <v>1.3</v>
      </c>
      <c r="H98" s="93">
        <v>0.4</v>
      </c>
      <c r="I98" s="93" t="s">
        <v>69</v>
      </c>
      <c r="J98" s="101">
        <v>16</v>
      </c>
      <c r="K98" s="101">
        <v>0</v>
      </c>
      <c r="L98" s="101">
        <v>6.4804569507077151E+18</v>
      </c>
    </row>
    <row r="99" spans="4:12" ht="15" customHeight="1">
      <c r="D99" s="99" t="b">
        <v>0</v>
      </c>
      <c r="E99" s="94">
        <v>5.0999999999999996</v>
      </c>
      <c r="F99" s="92">
        <v>3.5</v>
      </c>
      <c r="G99" s="92">
        <v>1.4</v>
      </c>
      <c r="H99" s="93">
        <v>0.3</v>
      </c>
      <c r="I99" s="93" t="s">
        <v>69</v>
      </c>
      <c r="J99" s="101">
        <v>17</v>
      </c>
      <c r="K99" s="101">
        <v>0</v>
      </c>
      <c r="L99" s="101">
        <v>8.7572958502563748E+18</v>
      </c>
    </row>
    <row r="100" spans="4:12" ht="15" customHeight="1">
      <c r="D100" s="99" t="b">
        <v>0</v>
      </c>
      <c r="E100" s="94">
        <v>5.7</v>
      </c>
      <c r="F100" s="92">
        <v>3.8</v>
      </c>
      <c r="G100" s="92">
        <v>1.7</v>
      </c>
      <c r="H100" s="93">
        <v>0.3</v>
      </c>
      <c r="I100" s="93" t="s">
        <v>69</v>
      </c>
      <c r="J100" s="101">
        <v>18</v>
      </c>
      <c r="K100" s="101">
        <v>0</v>
      </c>
      <c r="L100" s="101">
        <v>5.5499262735159337E+18</v>
      </c>
    </row>
    <row r="101" spans="4:12" ht="15" customHeight="1">
      <c r="D101" s="99" t="b">
        <v>0</v>
      </c>
      <c r="E101" s="94">
        <v>5.0999999999999996</v>
      </c>
      <c r="F101" s="92">
        <v>3.8</v>
      </c>
      <c r="G101" s="92">
        <v>1.5</v>
      </c>
      <c r="H101" s="93">
        <v>0.3</v>
      </c>
      <c r="I101" s="93" t="s">
        <v>69</v>
      </c>
      <c r="J101" s="101">
        <v>19</v>
      </c>
      <c r="K101" s="101">
        <v>0</v>
      </c>
      <c r="L101" s="101">
        <v>9.1238412826087506E+18</v>
      </c>
    </row>
    <row r="102" spans="4:12" ht="15" customHeight="1">
      <c r="D102" s="99" t="b">
        <v>0</v>
      </c>
      <c r="E102" s="94">
        <v>5.4</v>
      </c>
      <c r="F102" s="92">
        <v>3.4</v>
      </c>
      <c r="G102" s="92">
        <v>1.7</v>
      </c>
      <c r="H102" s="93">
        <v>0.2</v>
      </c>
      <c r="I102" s="93" t="s">
        <v>69</v>
      </c>
      <c r="J102" s="101">
        <v>20</v>
      </c>
      <c r="K102" s="101">
        <v>0</v>
      </c>
      <c r="L102" s="101">
        <v>8.1562463633962711E+18</v>
      </c>
    </row>
    <row r="103" spans="4:12" ht="15" customHeight="1">
      <c r="D103" s="99" t="b">
        <v>0</v>
      </c>
      <c r="E103" s="94">
        <v>5.0999999999999996</v>
      </c>
      <c r="F103" s="92">
        <v>3.7</v>
      </c>
      <c r="G103" s="92">
        <v>1.5</v>
      </c>
      <c r="H103" s="93">
        <v>0.4</v>
      </c>
      <c r="I103" s="93" t="s">
        <v>69</v>
      </c>
      <c r="J103" s="101">
        <v>21</v>
      </c>
      <c r="K103" s="101">
        <v>0</v>
      </c>
      <c r="L103" s="101">
        <v>1.219304228768903E+19</v>
      </c>
    </row>
    <row r="104" spans="4:12" ht="15" customHeight="1">
      <c r="D104" s="99" t="b">
        <v>0</v>
      </c>
      <c r="E104" s="94">
        <v>4.5999999999999996</v>
      </c>
      <c r="F104" s="92">
        <v>3.6</v>
      </c>
      <c r="G104" s="92">
        <v>1</v>
      </c>
      <c r="H104" s="93">
        <v>0.2</v>
      </c>
      <c r="I104" s="93" t="s">
        <v>69</v>
      </c>
      <c r="J104" s="101">
        <v>22</v>
      </c>
      <c r="K104" s="101">
        <v>0</v>
      </c>
      <c r="L104" s="101">
        <v>1.2729945240330525E+19</v>
      </c>
    </row>
    <row r="105" spans="4:12" ht="15" customHeight="1">
      <c r="D105" s="99" t="b">
        <v>0</v>
      </c>
      <c r="E105" s="94">
        <v>5.0999999999999996</v>
      </c>
      <c r="F105" s="92">
        <v>3.3</v>
      </c>
      <c r="G105" s="92">
        <v>1.7</v>
      </c>
      <c r="H105" s="93">
        <v>0.5</v>
      </c>
      <c r="I105" s="93" t="s">
        <v>69</v>
      </c>
      <c r="J105" s="101">
        <v>23</v>
      </c>
      <c r="K105" s="101">
        <v>0</v>
      </c>
      <c r="L105" s="101">
        <v>1.3386028016539337E+19</v>
      </c>
    </row>
    <row r="106" spans="4:12" ht="15" customHeight="1">
      <c r="D106" s="99" t="b">
        <v>0</v>
      </c>
      <c r="E106" s="94">
        <v>4.8</v>
      </c>
      <c r="F106" s="92">
        <v>3.4</v>
      </c>
      <c r="G106" s="92">
        <v>1.9</v>
      </c>
      <c r="H106" s="93">
        <v>0.2</v>
      </c>
      <c r="I106" s="93" t="s">
        <v>69</v>
      </c>
      <c r="J106" s="101">
        <v>24</v>
      </c>
      <c r="K106" s="101">
        <v>0</v>
      </c>
      <c r="L106" s="101">
        <v>3.3717141123169172E+18</v>
      </c>
    </row>
    <row r="107" spans="4:12" ht="15" customHeight="1">
      <c r="D107" s="99" t="b">
        <v>0</v>
      </c>
      <c r="E107" s="94">
        <v>5</v>
      </c>
      <c r="F107" s="92">
        <v>3</v>
      </c>
      <c r="G107" s="92">
        <v>1.6</v>
      </c>
      <c r="H107" s="93">
        <v>0.2</v>
      </c>
      <c r="I107" s="93" t="s">
        <v>69</v>
      </c>
      <c r="J107" s="101">
        <v>25</v>
      </c>
      <c r="K107" s="101">
        <v>0</v>
      </c>
      <c r="L107" s="101">
        <v>8.9367336597410785E+18</v>
      </c>
    </row>
    <row r="108" spans="4:12" ht="15" customHeight="1">
      <c r="D108" s="99" t="b">
        <v>0</v>
      </c>
      <c r="E108" s="94">
        <v>5</v>
      </c>
      <c r="F108" s="92">
        <v>3.4</v>
      </c>
      <c r="G108" s="92">
        <v>1.6</v>
      </c>
      <c r="H108" s="93">
        <v>0.4</v>
      </c>
      <c r="I108" s="93" t="s">
        <v>69</v>
      </c>
      <c r="J108" s="101">
        <v>26</v>
      </c>
      <c r="K108" s="101">
        <v>0</v>
      </c>
      <c r="L108" s="101">
        <v>1.1960505437452044E+19</v>
      </c>
    </row>
    <row r="109" spans="4:12" ht="15" customHeight="1">
      <c r="D109" s="99" t="b">
        <v>0</v>
      </c>
      <c r="E109" s="94">
        <v>5.2</v>
      </c>
      <c r="F109" s="92">
        <v>3.5</v>
      </c>
      <c r="G109" s="92">
        <v>1.5</v>
      </c>
      <c r="H109" s="93">
        <v>0.2</v>
      </c>
      <c r="I109" s="93" t="s">
        <v>69</v>
      </c>
      <c r="J109" s="101">
        <v>27</v>
      </c>
      <c r="K109" s="101">
        <v>0</v>
      </c>
      <c r="L109" s="101">
        <v>1.1427294169686817E+19</v>
      </c>
    </row>
    <row r="110" spans="4:12" ht="15" customHeight="1">
      <c r="D110" s="99" t="b">
        <v>0</v>
      </c>
      <c r="E110" s="94">
        <v>5.2</v>
      </c>
      <c r="F110" s="92">
        <v>3.4</v>
      </c>
      <c r="G110" s="92">
        <v>1.4</v>
      </c>
      <c r="H110" s="93">
        <v>0.2</v>
      </c>
      <c r="I110" s="93" t="s">
        <v>69</v>
      </c>
      <c r="J110" s="101">
        <v>28</v>
      </c>
      <c r="K110" s="101">
        <v>0</v>
      </c>
      <c r="L110" s="101">
        <v>4.7614653504626975E+18</v>
      </c>
    </row>
    <row r="111" spans="4:12" ht="15" customHeight="1">
      <c r="D111" s="99" t="b">
        <v>0</v>
      </c>
      <c r="E111" s="94">
        <v>4.7</v>
      </c>
      <c r="F111" s="92">
        <v>3.2</v>
      </c>
      <c r="G111" s="92">
        <v>1.6</v>
      </c>
      <c r="H111" s="93">
        <v>0.2</v>
      </c>
      <c r="I111" s="93" t="s">
        <v>69</v>
      </c>
      <c r="J111" s="101">
        <v>29</v>
      </c>
      <c r="K111" s="101">
        <v>0</v>
      </c>
      <c r="L111" s="101">
        <v>1.5296815825036657E+18</v>
      </c>
    </row>
    <row r="112" spans="4:12" ht="15" customHeight="1">
      <c r="D112" s="99" t="b">
        <v>0</v>
      </c>
      <c r="E112" s="94">
        <v>4.8</v>
      </c>
      <c r="F112" s="92">
        <v>3.1</v>
      </c>
      <c r="G112" s="92">
        <v>1.6</v>
      </c>
      <c r="H112" s="93">
        <v>0.2</v>
      </c>
      <c r="I112" s="93" t="s">
        <v>69</v>
      </c>
      <c r="J112" s="101">
        <v>30</v>
      </c>
      <c r="K112" s="101">
        <v>0</v>
      </c>
      <c r="L112" s="101">
        <v>3.3175030558532239E+18</v>
      </c>
    </row>
    <row r="113" spans="4:12" ht="15" customHeight="1">
      <c r="D113" s="99" t="b">
        <v>0</v>
      </c>
      <c r="E113" s="94">
        <v>5.4</v>
      </c>
      <c r="F113" s="92">
        <v>3.4</v>
      </c>
      <c r="G113" s="92">
        <v>1.5</v>
      </c>
      <c r="H113" s="93">
        <v>0.4</v>
      </c>
      <c r="I113" s="93" t="s">
        <v>69</v>
      </c>
      <c r="J113" s="101">
        <v>31</v>
      </c>
      <c r="K113" s="101">
        <v>0</v>
      </c>
      <c r="L113" s="101">
        <v>3.9799591967695053E+18</v>
      </c>
    </row>
    <row r="114" spans="4:12" ht="15" customHeight="1">
      <c r="D114" s="99" t="b">
        <v>0</v>
      </c>
      <c r="E114" s="94">
        <v>5.2</v>
      </c>
      <c r="F114" s="92">
        <v>4.0999999999999996</v>
      </c>
      <c r="G114" s="92">
        <v>1.5</v>
      </c>
      <c r="H114" s="93">
        <v>0.1</v>
      </c>
      <c r="I114" s="93" t="s">
        <v>69</v>
      </c>
      <c r="J114" s="101">
        <v>32</v>
      </c>
      <c r="K114" s="101">
        <v>0</v>
      </c>
      <c r="L114" s="101">
        <v>1.1635697364610214E+19</v>
      </c>
    </row>
    <row r="115" spans="4:12" ht="15" customHeight="1">
      <c r="D115" s="99" t="b">
        <v>0</v>
      </c>
      <c r="E115" s="94">
        <v>5.5</v>
      </c>
      <c r="F115" s="92">
        <v>4.2</v>
      </c>
      <c r="G115" s="92">
        <v>1.4</v>
      </c>
      <c r="H115" s="93">
        <v>0.2</v>
      </c>
      <c r="I115" s="93" t="s">
        <v>69</v>
      </c>
      <c r="J115" s="101">
        <v>33</v>
      </c>
      <c r="K115" s="101">
        <v>0</v>
      </c>
      <c r="L115" s="101">
        <v>4.6390572657532692E+18</v>
      </c>
    </row>
    <row r="116" spans="4:12" ht="15" customHeight="1">
      <c r="D116" s="99" t="b">
        <v>0</v>
      </c>
      <c r="E116" s="94">
        <v>4.9000000000000004</v>
      </c>
      <c r="F116" s="92">
        <v>3.1</v>
      </c>
      <c r="G116" s="92">
        <v>1.5</v>
      </c>
      <c r="H116" s="93">
        <v>0.2</v>
      </c>
      <c r="I116" s="93" t="s">
        <v>69</v>
      </c>
      <c r="J116" s="101">
        <v>34</v>
      </c>
      <c r="K116" s="101">
        <v>0</v>
      </c>
      <c r="L116" s="101">
        <v>1.995213811135307E+18</v>
      </c>
    </row>
    <row r="117" spans="4:12" ht="15" customHeight="1">
      <c r="D117" s="99" t="b">
        <v>0</v>
      </c>
      <c r="E117" s="94">
        <v>5</v>
      </c>
      <c r="F117" s="92">
        <v>3.2</v>
      </c>
      <c r="G117" s="92">
        <v>1.2</v>
      </c>
      <c r="H117" s="93">
        <v>0.2</v>
      </c>
      <c r="I117" s="93" t="s">
        <v>69</v>
      </c>
      <c r="J117" s="101">
        <v>35</v>
      </c>
      <c r="K117" s="101">
        <v>0</v>
      </c>
      <c r="L117" s="101">
        <v>4.018630984705239E+18</v>
      </c>
    </row>
    <row r="118" spans="4:12" ht="15" customHeight="1">
      <c r="D118" s="99" t="b">
        <v>0</v>
      </c>
      <c r="E118" s="94">
        <v>5.5</v>
      </c>
      <c r="F118" s="92">
        <v>3.5</v>
      </c>
      <c r="G118" s="92">
        <v>1.3</v>
      </c>
      <c r="H118" s="93">
        <v>0.2</v>
      </c>
      <c r="I118" s="93" t="s">
        <v>69</v>
      </c>
      <c r="J118" s="101">
        <v>36</v>
      </c>
      <c r="K118" s="101">
        <v>0</v>
      </c>
      <c r="L118" s="101">
        <v>1.5370085888951402E+19</v>
      </c>
    </row>
    <row r="119" spans="4:12" ht="15" customHeight="1">
      <c r="D119" s="99" t="b">
        <v>0</v>
      </c>
      <c r="E119" s="94">
        <v>4.9000000000000004</v>
      </c>
      <c r="F119" s="92">
        <v>3.6</v>
      </c>
      <c r="G119" s="92">
        <v>1.4</v>
      </c>
      <c r="H119" s="93">
        <v>0.1</v>
      </c>
      <c r="I119" s="93" t="s">
        <v>69</v>
      </c>
      <c r="J119" s="101">
        <v>37</v>
      </c>
      <c r="K119" s="101">
        <v>0</v>
      </c>
      <c r="L119" s="101">
        <v>1.7156896572053051E+19</v>
      </c>
    </row>
    <row r="120" spans="4:12" ht="15" customHeight="1">
      <c r="D120" s="99" t="b">
        <v>0</v>
      </c>
      <c r="E120" s="94">
        <v>4.4000000000000004</v>
      </c>
      <c r="F120" s="92">
        <v>3</v>
      </c>
      <c r="G120" s="92">
        <v>1.3</v>
      </c>
      <c r="H120" s="93">
        <v>0.2</v>
      </c>
      <c r="I120" s="93" t="s">
        <v>69</v>
      </c>
      <c r="J120" s="101">
        <v>38</v>
      </c>
      <c r="K120" s="101">
        <v>0</v>
      </c>
      <c r="L120" s="101">
        <v>1.020528570919253E+19</v>
      </c>
    </row>
    <row r="121" spans="4:12" ht="15" customHeight="1">
      <c r="D121" s="99" t="b">
        <v>0</v>
      </c>
      <c r="E121" s="94">
        <v>5.0999999999999996</v>
      </c>
      <c r="F121" s="92">
        <v>3.4</v>
      </c>
      <c r="G121" s="92">
        <v>1.5</v>
      </c>
      <c r="H121" s="93">
        <v>0.2</v>
      </c>
      <c r="I121" s="93" t="s">
        <v>69</v>
      </c>
      <c r="J121" s="101">
        <v>39</v>
      </c>
      <c r="K121" s="101">
        <v>0</v>
      </c>
      <c r="L121" s="101">
        <v>2.1634255767322908E+18</v>
      </c>
    </row>
    <row r="122" spans="4:12" ht="15" customHeight="1">
      <c r="D122" s="99" t="b">
        <v>0</v>
      </c>
      <c r="E122" s="94">
        <v>5</v>
      </c>
      <c r="F122" s="92">
        <v>3.5</v>
      </c>
      <c r="G122" s="92">
        <v>1.3</v>
      </c>
      <c r="H122" s="93">
        <v>0.3</v>
      </c>
      <c r="I122" s="93" t="s">
        <v>69</v>
      </c>
      <c r="J122" s="101">
        <v>40</v>
      </c>
      <c r="K122" s="101">
        <v>0</v>
      </c>
      <c r="L122" s="101">
        <v>1.679848527953074E+19</v>
      </c>
    </row>
    <row r="123" spans="4:12" ht="15" customHeight="1">
      <c r="D123" s="99" t="b">
        <v>0</v>
      </c>
      <c r="E123" s="94">
        <v>4.5</v>
      </c>
      <c r="F123" s="92">
        <v>2.2999999999999998</v>
      </c>
      <c r="G123" s="92">
        <v>1.3</v>
      </c>
      <c r="H123" s="93">
        <v>0.3</v>
      </c>
      <c r="I123" s="93" t="s">
        <v>69</v>
      </c>
      <c r="J123" s="101">
        <v>41</v>
      </c>
      <c r="K123" s="101">
        <v>0</v>
      </c>
      <c r="L123" s="101">
        <v>1.5520161900601383E+19</v>
      </c>
    </row>
    <row r="124" spans="4:12" ht="15" customHeight="1">
      <c r="D124" s="99" t="b">
        <v>0</v>
      </c>
      <c r="E124" s="94">
        <v>4.4000000000000004</v>
      </c>
      <c r="F124" s="92">
        <v>3.2</v>
      </c>
      <c r="G124" s="92">
        <v>1.3</v>
      </c>
      <c r="H124" s="93">
        <v>0.2</v>
      </c>
      <c r="I124" s="93" t="s">
        <v>69</v>
      </c>
      <c r="J124" s="101">
        <v>42</v>
      </c>
      <c r="K124" s="101">
        <v>0</v>
      </c>
      <c r="L124" s="101">
        <v>3.2268179729470423E+18</v>
      </c>
    </row>
    <row r="125" spans="4:12" ht="15" customHeight="1">
      <c r="D125" s="99" t="b">
        <v>0</v>
      </c>
      <c r="E125" s="94">
        <v>5</v>
      </c>
      <c r="F125" s="92">
        <v>3.5</v>
      </c>
      <c r="G125" s="92">
        <v>1.6</v>
      </c>
      <c r="H125" s="93">
        <v>0.6</v>
      </c>
      <c r="I125" s="93" t="s">
        <v>69</v>
      </c>
      <c r="J125" s="101">
        <v>43</v>
      </c>
      <c r="K125" s="101">
        <v>0</v>
      </c>
      <c r="L125" s="101">
        <v>3.9136373843561861E+18</v>
      </c>
    </row>
    <row r="126" spans="4:12" ht="15" customHeight="1">
      <c r="D126" s="99" t="b">
        <v>0</v>
      </c>
      <c r="E126" s="94">
        <v>5.0999999999999996</v>
      </c>
      <c r="F126" s="92">
        <v>3.8</v>
      </c>
      <c r="G126" s="92">
        <v>1.9</v>
      </c>
      <c r="H126" s="93">
        <v>0.4</v>
      </c>
      <c r="I126" s="93" t="s">
        <v>69</v>
      </c>
      <c r="J126" s="101">
        <v>44</v>
      </c>
      <c r="K126" s="101">
        <v>0</v>
      </c>
      <c r="L126" s="101">
        <v>1.4968172240411933E+19</v>
      </c>
    </row>
    <row r="127" spans="4:12" ht="15" customHeight="1">
      <c r="D127" s="99" t="b">
        <v>0</v>
      </c>
      <c r="E127" s="94">
        <v>4.8</v>
      </c>
      <c r="F127" s="92">
        <v>3</v>
      </c>
      <c r="G127" s="92">
        <v>1.4</v>
      </c>
      <c r="H127" s="93">
        <v>0.3</v>
      </c>
      <c r="I127" s="93" t="s">
        <v>69</v>
      </c>
      <c r="J127" s="101">
        <v>45</v>
      </c>
      <c r="K127" s="101">
        <v>0</v>
      </c>
      <c r="L127" s="101">
        <v>1.2566585250160728E+19</v>
      </c>
    </row>
    <row r="128" spans="4:12" ht="15" customHeight="1">
      <c r="D128" s="99" t="b">
        <v>0</v>
      </c>
      <c r="E128" s="94">
        <v>5.0999999999999996</v>
      </c>
      <c r="F128" s="92">
        <v>3.8</v>
      </c>
      <c r="G128" s="92">
        <v>1.6</v>
      </c>
      <c r="H128" s="93">
        <v>0.2</v>
      </c>
      <c r="I128" s="93" t="s">
        <v>69</v>
      </c>
      <c r="J128" s="101">
        <v>46</v>
      </c>
      <c r="K128" s="101">
        <v>0</v>
      </c>
      <c r="L128" s="101">
        <v>4.5548070738326036E+18</v>
      </c>
    </row>
    <row r="129" spans="4:12" ht="15" customHeight="1">
      <c r="D129" s="99" t="b">
        <v>0</v>
      </c>
      <c r="E129" s="94">
        <v>4.5999999999999996</v>
      </c>
      <c r="F129" s="92">
        <v>3.2</v>
      </c>
      <c r="G129" s="92">
        <v>1.4</v>
      </c>
      <c r="H129" s="93">
        <v>0.2</v>
      </c>
      <c r="I129" s="93" t="s">
        <v>69</v>
      </c>
      <c r="J129" s="101">
        <v>47</v>
      </c>
      <c r="K129" s="101">
        <v>0</v>
      </c>
      <c r="L129" s="101">
        <v>1.7817447200180894E+19</v>
      </c>
    </row>
    <row r="130" spans="4:12" ht="15" customHeight="1">
      <c r="D130" s="99" t="b">
        <v>0</v>
      </c>
      <c r="E130" s="94">
        <v>5.3</v>
      </c>
      <c r="F130" s="92">
        <v>3.7</v>
      </c>
      <c r="G130" s="92">
        <v>1.5</v>
      </c>
      <c r="H130" s="93">
        <v>0.2</v>
      </c>
      <c r="I130" s="93" t="s">
        <v>69</v>
      </c>
      <c r="J130" s="101">
        <v>48</v>
      </c>
      <c r="K130" s="101">
        <v>0</v>
      </c>
      <c r="L130" s="101">
        <v>1.1986732279928522E+18</v>
      </c>
    </row>
    <row r="131" spans="4:12" ht="15" customHeight="1">
      <c r="D131" s="99" t="b">
        <v>0</v>
      </c>
      <c r="E131" s="94">
        <v>5</v>
      </c>
      <c r="F131" s="92">
        <v>3.3</v>
      </c>
      <c r="G131" s="92">
        <v>1.4</v>
      </c>
      <c r="H131" s="93">
        <v>0.2</v>
      </c>
      <c r="I131" s="93" t="s">
        <v>69</v>
      </c>
      <c r="J131" s="101">
        <v>49</v>
      </c>
      <c r="K131" s="101">
        <v>0</v>
      </c>
      <c r="L131" s="101">
        <v>2.4355230406145684E+18</v>
      </c>
    </row>
    <row r="132" spans="4:12" ht="15" customHeight="1">
      <c r="D132" s="99" t="b">
        <v>0</v>
      </c>
      <c r="E132" s="94">
        <v>7</v>
      </c>
      <c r="F132" s="92">
        <v>3.2</v>
      </c>
      <c r="G132" s="92">
        <v>4.7</v>
      </c>
      <c r="H132" s="93">
        <v>1.4</v>
      </c>
      <c r="I132" s="93" t="s">
        <v>70</v>
      </c>
      <c r="J132" s="101">
        <v>50</v>
      </c>
      <c r="K132" s="101">
        <v>0</v>
      </c>
      <c r="L132" s="101">
        <v>1.0423124718859586E+19</v>
      </c>
    </row>
    <row r="133" spans="4:12" ht="15" customHeight="1">
      <c r="D133" s="99" t="b">
        <v>0</v>
      </c>
      <c r="E133" s="94">
        <v>6.4</v>
      </c>
      <c r="F133" s="92">
        <v>3.2</v>
      </c>
      <c r="G133" s="92">
        <v>4.5</v>
      </c>
      <c r="H133" s="93">
        <v>1.5</v>
      </c>
      <c r="I133" s="93" t="s">
        <v>70</v>
      </c>
      <c r="J133" s="101">
        <v>51</v>
      </c>
      <c r="K133" s="101">
        <v>0</v>
      </c>
      <c r="L133" s="101">
        <v>3.2352998234123704E+18</v>
      </c>
    </row>
    <row r="134" spans="4:12" ht="15" customHeight="1">
      <c r="D134" s="99" t="b">
        <v>0</v>
      </c>
      <c r="E134" s="94">
        <v>6.9</v>
      </c>
      <c r="F134" s="92">
        <v>3.1</v>
      </c>
      <c r="G134" s="92">
        <v>4.9000000000000004</v>
      </c>
      <c r="H134" s="93">
        <v>1.5</v>
      </c>
      <c r="I134" s="93" t="s">
        <v>70</v>
      </c>
      <c r="J134" s="101">
        <v>52</v>
      </c>
      <c r="K134" s="101">
        <v>0</v>
      </c>
      <c r="L134" s="101">
        <v>1.6593635303938908E+19</v>
      </c>
    </row>
    <row r="135" spans="4:12" ht="15" customHeight="1">
      <c r="D135" s="99" t="b">
        <v>0</v>
      </c>
      <c r="E135" s="94">
        <v>5.5</v>
      </c>
      <c r="F135" s="92">
        <v>2.2999999999999998</v>
      </c>
      <c r="G135" s="92">
        <v>4</v>
      </c>
      <c r="H135" s="93">
        <v>1.3</v>
      </c>
      <c r="I135" s="93" t="s">
        <v>70</v>
      </c>
      <c r="J135" s="101">
        <v>53</v>
      </c>
      <c r="K135" s="101">
        <v>0</v>
      </c>
      <c r="L135" s="101">
        <v>1.2233681647916762E+18</v>
      </c>
    </row>
    <row r="136" spans="4:12" ht="15" customHeight="1">
      <c r="D136" s="99" t="b">
        <v>0</v>
      </c>
      <c r="E136" s="94">
        <v>6.5</v>
      </c>
      <c r="F136" s="92">
        <v>2.8</v>
      </c>
      <c r="G136" s="92">
        <v>4.5999999999999996</v>
      </c>
      <c r="H136" s="93">
        <v>1.5</v>
      </c>
      <c r="I136" s="93" t="s">
        <v>70</v>
      </c>
      <c r="J136" s="101">
        <v>54</v>
      </c>
      <c r="K136" s="101">
        <v>0</v>
      </c>
      <c r="L136" s="101">
        <v>6.641050044743893E+18</v>
      </c>
    </row>
    <row r="137" spans="4:12" ht="15" customHeight="1">
      <c r="D137" s="99" t="b">
        <v>0</v>
      </c>
      <c r="E137" s="94">
        <v>5.7</v>
      </c>
      <c r="F137" s="92">
        <v>2.8</v>
      </c>
      <c r="G137" s="92">
        <v>4.5</v>
      </c>
      <c r="H137" s="93">
        <v>1.3</v>
      </c>
      <c r="I137" s="93" t="s">
        <v>70</v>
      </c>
      <c r="J137" s="101">
        <v>55</v>
      </c>
      <c r="K137" s="101">
        <v>0</v>
      </c>
      <c r="L137" s="101">
        <v>4.2912822691686369E+18</v>
      </c>
    </row>
    <row r="138" spans="4:12" ht="15" customHeight="1">
      <c r="D138" s="99" t="b">
        <v>0</v>
      </c>
      <c r="E138" s="94">
        <v>6.3</v>
      </c>
      <c r="F138" s="92">
        <v>3.3</v>
      </c>
      <c r="G138" s="92">
        <v>4.7</v>
      </c>
      <c r="H138" s="93">
        <v>1.6</v>
      </c>
      <c r="I138" s="93" t="s">
        <v>70</v>
      </c>
      <c r="J138" s="101">
        <v>56</v>
      </c>
      <c r="K138" s="101">
        <v>0</v>
      </c>
      <c r="L138" s="101">
        <v>1.3273360126559947E+19</v>
      </c>
    </row>
    <row r="139" spans="4:12" ht="15" customHeight="1">
      <c r="D139" s="99" t="b">
        <v>0</v>
      </c>
      <c r="E139" s="94">
        <v>4.9000000000000004</v>
      </c>
      <c r="F139" s="92">
        <v>2.4</v>
      </c>
      <c r="G139" s="92">
        <v>3.3</v>
      </c>
      <c r="H139" s="93">
        <v>1</v>
      </c>
      <c r="I139" s="93" t="s">
        <v>70</v>
      </c>
      <c r="J139" s="101">
        <v>57</v>
      </c>
      <c r="K139" s="101">
        <v>0</v>
      </c>
      <c r="L139" s="101">
        <v>9.6180284014358262E+18</v>
      </c>
    </row>
    <row r="140" spans="4:12" ht="15" customHeight="1">
      <c r="D140" s="99" t="b">
        <v>0</v>
      </c>
      <c r="E140" s="94">
        <v>6.6</v>
      </c>
      <c r="F140" s="92">
        <v>2.9</v>
      </c>
      <c r="G140" s="92">
        <v>4.5999999999999996</v>
      </c>
      <c r="H140" s="93">
        <v>1.3</v>
      </c>
      <c r="I140" s="93" t="s">
        <v>70</v>
      </c>
      <c r="J140" s="101">
        <v>58</v>
      </c>
      <c r="K140" s="101">
        <v>0</v>
      </c>
      <c r="L140" s="101">
        <v>1.5768095422296039E+19</v>
      </c>
    </row>
    <row r="141" spans="4:12" ht="15" customHeight="1">
      <c r="D141" s="99" t="b">
        <v>0</v>
      </c>
      <c r="E141" s="94">
        <v>5.2</v>
      </c>
      <c r="F141" s="92">
        <v>2.7</v>
      </c>
      <c r="G141" s="92">
        <v>3.9</v>
      </c>
      <c r="H141" s="93">
        <v>1.4</v>
      </c>
      <c r="I141" s="93" t="s">
        <v>70</v>
      </c>
      <c r="J141" s="101">
        <v>59</v>
      </c>
      <c r="K141" s="101">
        <v>0</v>
      </c>
      <c r="L141" s="101">
        <v>9.3682325366463017E+18</v>
      </c>
    </row>
    <row r="142" spans="4:12" ht="15" customHeight="1">
      <c r="D142" s="99" t="b">
        <v>0</v>
      </c>
      <c r="E142" s="94">
        <v>5</v>
      </c>
      <c r="F142" s="92">
        <v>2</v>
      </c>
      <c r="G142" s="92">
        <v>3.5</v>
      </c>
      <c r="H142" s="93">
        <v>1</v>
      </c>
      <c r="I142" s="93" t="s">
        <v>70</v>
      </c>
      <c r="J142" s="101">
        <v>60</v>
      </c>
      <c r="K142" s="101">
        <v>0</v>
      </c>
      <c r="L142" s="101">
        <v>1.2051564147977056E+19</v>
      </c>
    </row>
    <row r="143" spans="4:12" ht="15" customHeight="1">
      <c r="D143" s="99" t="b">
        <v>0</v>
      </c>
      <c r="E143" s="94">
        <v>5.9</v>
      </c>
      <c r="F143" s="92">
        <v>3</v>
      </c>
      <c r="G143" s="92">
        <v>4.2</v>
      </c>
      <c r="H143" s="93">
        <v>1.5</v>
      </c>
      <c r="I143" s="93" t="s">
        <v>70</v>
      </c>
      <c r="J143" s="101">
        <v>61</v>
      </c>
      <c r="K143" s="101">
        <v>0</v>
      </c>
      <c r="L143" s="101">
        <v>1.4610418044430911E+19</v>
      </c>
    </row>
    <row r="144" spans="4:12" ht="15" customHeight="1">
      <c r="D144" s="99" t="b">
        <v>0</v>
      </c>
      <c r="E144" s="94">
        <v>6</v>
      </c>
      <c r="F144" s="92">
        <v>2.2000000000000002</v>
      </c>
      <c r="G144" s="92">
        <v>4</v>
      </c>
      <c r="H144" s="93">
        <v>1</v>
      </c>
      <c r="I144" s="93" t="s">
        <v>70</v>
      </c>
      <c r="J144" s="101">
        <v>62</v>
      </c>
      <c r="K144" s="101">
        <v>0</v>
      </c>
      <c r="L144" s="101">
        <v>3.7732250748945705E+18</v>
      </c>
    </row>
    <row r="145" spans="4:12" ht="15" customHeight="1">
      <c r="D145" s="99" t="b">
        <v>0</v>
      </c>
      <c r="E145" s="94">
        <v>6.1</v>
      </c>
      <c r="F145" s="92">
        <v>2.9</v>
      </c>
      <c r="G145" s="92">
        <v>4.7</v>
      </c>
      <c r="H145" s="93">
        <v>1.4</v>
      </c>
      <c r="I145" s="93" t="s">
        <v>70</v>
      </c>
      <c r="J145" s="101">
        <v>63</v>
      </c>
      <c r="K145" s="101">
        <v>0</v>
      </c>
      <c r="L145" s="101">
        <v>5.8398365394636524E+18</v>
      </c>
    </row>
    <row r="146" spans="4:12" ht="15" customHeight="1">
      <c r="D146" s="99" t="b">
        <v>0</v>
      </c>
      <c r="E146" s="94">
        <v>5.6</v>
      </c>
      <c r="F146" s="92">
        <v>2.9</v>
      </c>
      <c r="G146" s="92">
        <v>3.6</v>
      </c>
      <c r="H146" s="93">
        <v>1.3</v>
      </c>
      <c r="I146" s="93" t="s">
        <v>70</v>
      </c>
      <c r="J146" s="101">
        <v>64</v>
      </c>
      <c r="K146" s="101">
        <v>0</v>
      </c>
      <c r="L146" s="101">
        <v>4.2010700375225656E+18</v>
      </c>
    </row>
    <row r="147" spans="4:12" ht="15" customHeight="1">
      <c r="D147" s="99" t="b">
        <v>0</v>
      </c>
      <c r="E147" s="94">
        <v>6.7</v>
      </c>
      <c r="F147" s="92">
        <v>3.1</v>
      </c>
      <c r="G147" s="92">
        <v>4.4000000000000004</v>
      </c>
      <c r="H147" s="93">
        <v>1.4</v>
      </c>
      <c r="I147" s="93" t="s">
        <v>70</v>
      </c>
      <c r="J147" s="101">
        <v>65</v>
      </c>
      <c r="K147" s="101">
        <v>0</v>
      </c>
      <c r="L147" s="101">
        <v>1.78808357886419E+18</v>
      </c>
    </row>
    <row r="148" spans="4:12" ht="15" customHeight="1">
      <c r="D148" s="99" t="b">
        <v>0</v>
      </c>
      <c r="E148" s="94">
        <v>5.6</v>
      </c>
      <c r="F148" s="92">
        <v>3</v>
      </c>
      <c r="G148" s="92">
        <v>4.5</v>
      </c>
      <c r="H148" s="93">
        <v>1.5</v>
      </c>
      <c r="I148" s="93" t="s">
        <v>70</v>
      </c>
      <c r="J148" s="101">
        <v>66</v>
      </c>
      <c r="K148" s="101">
        <v>0</v>
      </c>
      <c r="L148" s="101">
        <v>1.0902696337067614E+19</v>
      </c>
    </row>
    <row r="149" spans="4:12" ht="15" customHeight="1">
      <c r="D149" s="99" t="b">
        <v>0</v>
      </c>
      <c r="E149" s="94">
        <v>5.8</v>
      </c>
      <c r="F149" s="92">
        <v>2.7</v>
      </c>
      <c r="G149" s="92">
        <v>4.0999999999999996</v>
      </c>
      <c r="H149" s="93">
        <v>1</v>
      </c>
      <c r="I149" s="93" t="s">
        <v>70</v>
      </c>
      <c r="J149" s="101">
        <v>67</v>
      </c>
      <c r="K149" s="101">
        <v>0</v>
      </c>
      <c r="L149" s="101">
        <v>1.5547426505110215E+19</v>
      </c>
    </row>
    <row r="150" spans="4:12" ht="15" customHeight="1">
      <c r="D150" s="99" t="b">
        <v>0</v>
      </c>
      <c r="E150" s="94">
        <v>6.2</v>
      </c>
      <c r="F150" s="92">
        <v>2.2000000000000002</v>
      </c>
      <c r="G150" s="92">
        <v>4.5</v>
      </c>
      <c r="H150" s="93">
        <v>1.5</v>
      </c>
      <c r="I150" s="93" t="s">
        <v>70</v>
      </c>
      <c r="J150" s="101">
        <v>68</v>
      </c>
      <c r="K150" s="101">
        <v>0</v>
      </c>
      <c r="L150" s="101">
        <v>3.7004950818582636E+18</v>
      </c>
    </row>
    <row r="151" spans="4:12" ht="15" customHeight="1">
      <c r="D151" s="99" t="b">
        <v>0</v>
      </c>
      <c r="E151" s="94">
        <v>5.6</v>
      </c>
      <c r="F151" s="92">
        <v>2.5</v>
      </c>
      <c r="G151" s="92">
        <v>3.9</v>
      </c>
      <c r="H151" s="93">
        <v>1.1000000000000001</v>
      </c>
      <c r="I151" s="93" t="s">
        <v>70</v>
      </c>
      <c r="J151" s="101">
        <v>69</v>
      </c>
      <c r="K151" s="101">
        <v>0</v>
      </c>
      <c r="L151" s="101">
        <v>1.5112415636504257E+19</v>
      </c>
    </row>
    <row r="152" spans="4:12" ht="15" customHeight="1">
      <c r="D152" s="99" t="b">
        <v>0</v>
      </c>
      <c r="E152" s="94">
        <v>5.9</v>
      </c>
      <c r="F152" s="92">
        <v>3.2</v>
      </c>
      <c r="G152" s="92">
        <v>4.8</v>
      </c>
      <c r="H152" s="93">
        <v>1.8</v>
      </c>
      <c r="I152" s="93" t="s">
        <v>70</v>
      </c>
      <c r="J152" s="101">
        <v>70</v>
      </c>
      <c r="K152" s="101">
        <v>0</v>
      </c>
      <c r="L152" s="101">
        <v>1.1255259566354018E+19</v>
      </c>
    </row>
    <row r="153" spans="4:12" ht="15" customHeight="1">
      <c r="D153" s="99" t="b">
        <v>0</v>
      </c>
      <c r="E153" s="94">
        <v>6.1</v>
      </c>
      <c r="F153" s="92">
        <v>2.8</v>
      </c>
      <c r="G153" s="92">
        <v>4</v>
      </c>
      <c r="H153" s="93">
        <v>1.3</v>
      </c>
      <c r="I153" s="93" t="s">
        <v>70</v>
      </c>
      <c r="J153" s="101">
        <v>71</v>
      </c>
      <c r="K153" s="101">
        <v>0</v>
      </c>
      <c r="L153" s="101">
        <v>1.7605334322855268E+19</v>
      </c>
    </row>
    <row r="154" spans="4:12" ht="15" customHeight="1">
      <c r="D154" s="99" t="b">
        <v>0</v>
      </c>
      <c r="E154" s="94">
        <v>6.3</v>
      </c>
      <c r="F154" s="92">
        <v>2.5</v>
      </c>
      <c r="G154" s="92">
        <v>4.9000000000000004</v>
      </c>
      <c r="H154" s="93">
        <v>1.5</v>
      </c>
      <c r="I154" s="93" t="s">
        <v>70</v>
      </c>
      <c r="J154" s="101">
        <v>72</v>
      </c>
      <c r="K154" s="101">
        <v>0</v>
      </c>
      <c r="L154" s="101">
        <v>1.0523813909130883E+19</v>
      </c>
    </row>
    <row r="155" spans="4:12" ht="15" customHeight="1">
      <c r="D155" s="99" t="b">
        <v>0</v>
      </c>
      <c r="E155" s="94">
        <v>6.1</v>
      </c>
      <c r="F155" s="92">
        <v>2.8</v>
      </c>
      <c r="G155" s="92">
        <v>4.7</v>
      </c>
      <c r="H155" s="93">
        <v>1.2</v>
      </c>
      <c r="I155" s="93" t="s">
        <v>70</v>
      </c>
      <c r="J155" s="101">
        <v>73</v>
      </c>
      <c r="K155" s="101">
        <v>0</v>
      </c>
      <c r="L155" s="101">
        <v>5.1235705938440666E+17</v>
      </c>
    </row>
    <row r="156" spans="4:12" ht="15" customHeight="1">
      <c r="D156" s="99" t="b">
        <v>0</v>
      </c>
      <c r="E156" s="94">
        <v>6.4</v>
      </c>
      <c r="F156" s="92">
        <v>2.9</v>
      </c>
      <c r="G156" s="92">
        <v>4.3</v>
      </c>
      <c r="H156" s="93">
        <v>1.3</v>
      </c>
      <c r="I156" s="93" t="s">
        <v>70</v>
      </c>
      <c r="J156" s="101">
        <v>74</v>
      </c>
      <c r="K156" s="101">
        <v>0</v>
      </c>
      <c r="L156" s="101">
        <v>1.133932121902054E+19</v>
      </c>
    </row>
    <row r="157" spans="4:12" ht="15" customHeight="1">
      <c r="D157" s="99" t="b">
        <v>0</v>
      </c>
      <c r="E157" s="94">
        <v>6.6</v>
      </c>
      <c r="F157" s="92">
        <v>3</v>
      </c>
      <c r="G157" s="92">
        <v>4.4000000000000004</v>
      </c>
      <c r="H157" s="93">
        <v>1.4</v>
      </c>
      <c r="I157" s="93" t="s">
        <v>70</v>
      </c>
      <c r="J157" s="101">
        <v>75</v>
      </c>
      <c r="K157" s="101">
        <v>0</v>
      </c>
      <c r="L157" s="101">
        <v>7.0701655697019341E+18</v>
      </c>
    </row>
    <row r="158" spans="4:12" ht="15" customHeight="1">
      <c r="D158" s="99" t="b">
        <v>0</v>
      </c>
      <c r="E158" s="94">
        <v>6.8</v>
      </c>
      <c r="F158" s="92">
        <v>2.8</v>
      </c>
      <c r="G158" s="92">
        <v>4.8</v>
      </c>
      <c r="H158" s="93">
        <v>1.4</v>
      </c>
      <c r="I158" s="93" t="s">
        <v>70</v>
      </c>
      <c r="J158" s="101">
        <v>76</v>
      </c>
      <c r="K158" s="101">
        <v>0</v>
      </c>
      <c r="L158" s="101">
        <v>1.3803466023888347E+19</v>
      </c>
    </row>
    <row r="159" spans="4:12" ht="15" customHeight="1">
      <c r="D159" s="99" t="b">
        <v>0</v>
      </c>
      <c r="E159" s="94">
        <v>6.7</v>
      </c>
      <c r="F159" s="92">
        <v>3</v>
      </c>
      <c r="G159" s="92">
        <v>5</v>
      </c>
      <c r="H159" s="93">
        <v>1.7</v>
      </c>
      <c r="I159" s="93" t="s">
        <v>70</v>
      </c>
      <c r="J159" s="101">
        <v>77</v>
      </c>
      <c r="K159" s="101">
        <v>0</v>
      </c>
      <c r="L159" s="101">
        <v>1.1511555446809463E+19</v>
      </c>
    </row>
    <row r="160" spans="4:12" ht="15" customHeight="1">
      <c r="D160" s="99" t="b">
        <v>0</v>
      </c>
      <c r="E160" s="94">
        <v>6</v>
      </c>
      <c r="F160" s="92">
        <v>2.9</v>
      </c>
      <c r="G160" s="92">
        <v>4.5</v>
      </c>
      <c r="H160" s="93">
        <v>1.5</v>
      </c>
      <c r="I160" s="93" t="s">
        <v>70</v>
      </c>
      <c r="J160" s="101">
        <v>78</v>
      </c>
      <c r="K160" s="101">
        <v>0</v>
      </c>
      <c r="L160" s="101">
        <v>8.2829802820390769E+18</v>
      </c>
    </row>
    <row r="161" spans="4:12" ht="15" customHeight="1">
      <c r="D161" s="99" t="b">
        <v>0</v>
      </c>
      <c r="E161" s="94">
        <v>5.7</v>
      </c>
      <c r="F161" s="92">
        <v>2.6</v>
      </c>
      <c r="G161" s="92">
        <v>3.5</v>
      </c>
      <c r="H161" s="93">
        <v>1</v>
      </c>
      <c r="I161" s="93" t="s">
        <v>70</v>
      </c>
      <c r="J161" s="101">
        <v>79</v>
      </c>
      <c r="K161" s="101">
        <v>0</v>
      </c>
      <c r="L161" s="101">
        <v>1.2504457130975019E+19</v>
      </c>
    </row>
    <row r="162" spans="4:12" ht="15" customHeight="1">
      <c r="D162" s="99" t="b">
        <v>0</v>
      </c>
      <c r="E162" s="94">
        <v>5.5</v>
      </c>
      <c r="F162" s="92">
        <v>2.4</v>
      </c>
      <c r="G162" s="92">
        <v>3.8</v>
      </c>
      <c r="H162" s="93">
        <v>1.1000000000000001</v>
      </c>
      <c r="I162" s="93" t="s">
        <v>70</v>
      </c>
      <c r="J162" s="101">
        <v>80</v>
      </c>
      <c r="K162" s="101">
        <v>0</v>
      </c>
      <c r="L162" s="101">
        <v>9.2426963401680445E+18</v>
      </c>
    </row>
    <row r="163" spans="4:12" ht="15" customHeight="1">
      <c r="D163" s="99" t="b">
        <v>0</v>
      </c>
      <c r="E163" s="94">
        <v>5.5</v>
      </c>
      <c r="F163" s="92">
        <v>2.4</v>
      </c>
      <c r="G163" s="92">
        <v>3.7</v>
      </c>
      <c r="H163" s="93">
        <v>1</v>
      </c>
      <c r="I163" s="93" t="s">
        <v>70</v>
      </c>
      <c r="J163" s="101">
        <v>81</v>
      </c>
      <c r="K163" s="101">
        <v>0</v>
      </c>
      <c r="L163" s="101">
        <v>3.7673697286487834E+18</v>
      </c>
    </row>
    <row r="164" spans="4:12" ht="15" customHeight="1">
      <c r="D164" s="99" t="b">
        <v>0</v>
      </c>
      <c r="E164" s="94">
        <v>5.8</v>
      </c>
      <c r="F164" s="92">
        <v>2.7</v>
      </c>
      <c r="G164" s="92">
        <v>3.9</v>
      </c>
      <c r="H164" s="93">
        <v>1.2</v>
      </c>
      <c r="I164" s="93" t="s">
        <v>70</v>
      </c>
      <c r="J164" s="101">
        <v>82</v>
      </c>
      <c r="K164" s="101">
        <v>0</v>
      </c>
      <c r="L164" s="101">
        <v>1.1102941048120582E+19</v>
      </c>
    </row>
    <row r="165" spans="4:12" ht="15" customHeight="1">
      <c r="D165" s="99" t="b">
        <v>0</v>
      </c>
      <c r="E165" s="94">
        <v>6</v>
      </c>
      <c r="F165" s="92">
        <v>2.7</v>
      </c>
      <c r="G165" s="92">
        <v>5.0999999999999996</v>
      </c>
      <c r="H165" s="93">
        <v>1.6</v>
      </c>
      <c r="I165" s="93" t="s">
        <v>70</v>
      </c>
      <c r="J165" s="101">
        <v>83</v>
      </c>
      <c r="K165" s="101">
        <v>0</v>
      </c>
      <c r="L165" s="101">
        <v>1.7901890681252143E+19</v>
      </c>
    </row>
    <row r="166" spans="4:12" ht="15" customHeight="1">
      <c r="D166" s="99" t="b">
        <v>0</v>
      </c>
      <c r="E166" s="94">
        <v>5.4</v>
      </c>
      <c r="F166" s="92">
        <v>3</v>
      </c>
      <c r="G166" s="92">
        <v>4.5</v>
      </c>
      <c r="H166" s="93">
        <v>1.5</v>
      </c>
      <c r="I166" s="93" t="s">
        <v>70</v>
      </c>
      <c r="J166" s="101">
        <v>84</v>
      </c>
      <c r="K166" s="101">
        <v>0</v>
      </c>
      <c r="L166" s="101">
        <v>9.9781076211486904E+18</v>
      </c>
    </row>
    <row r="167" spans="4:12" ht="15" customHeight="1">
      <c r="D167" s="99" t="b">
        <v>0</v>
      </c>
      <c r="E167" s="94">
        <v>6</v>
      </c>
      <c r="F167" s="92">
        <v>3.4</v>
      </c>
      <c r="G167" s="92">
        <v>4.5</v>
      </c>
      <c r="H167" s="93">
        <v>1.6</v>
      </c>
      <c r="I167" s="93" t="s">
        <v>70</v>
      </c>
      <c r="J167" s="101">
        <v>85</v>
      </c>
      <c r="K167" s="101">
        <v>0</v>
      </c>
      <c r="L167" s="101">
        <v>1.2234942937784275E+19</v>
      </c>
    </row>
    <row r="168" spans="4:12" ht="15" customHeight="1">
      <c r="D168" s="99" t="b">
        <v>0</v>
      </c>
      <c r="E168" s="94">
        <v>6.7</v>
      </c>
      <c r="F168" s="92">
        <v>3.1</v>
      </c>
      <c r="G168" s="92">
        <v>4.7</v>
      </c>
      <c r="H168" s="93">
        <v>1.5</v>
      </c>
      <c r="I168" s="93" t="s">
        <v>70</v>
      </c>
      <c r="J168" s="101">
        <v>86</v>
      </c>
      <c r="K168" s="101">
        <v>0</v>
      </c>
      <c r="L168" s="101">
        <v>3.3323443719447291E+18</v>
      </c>
    </row>
    <row r="169" spans="4:12" ht="15" customHeight="1">
      <c r="D169" s="99" t="b">
        <v>0</v>
      </c>
      <c r="E169" s="94">
        <v>6.3</v>
      </c>
      <c r="F169" s="92">
        <v>2.2999999999999998</v>
      </c>
      <c r="G169" s="92">
        <v>4.4000000000000004</v>
      </c>
      <c r="H169" s="93">
        <v>1.3</v>
      </c>
      <c r="I169" s="93" t="s">
        <v>70</v>
      </c>
      <c r="J169" s="101">
        <v>87</v>
      </c>
      <c r="K169" s="101">
        <v>0</v>
      </c>
      <c r="L169" s="101">
        <v>8.6288323794848934E+17</v>
      </c>
    </row>
    <row r="170" spans="4:12" ht="15" customHeight="1">
      <c r="D170" s="99" t="b">
        <v>0</v>
      </c>
      <c r="E170" s="94">
        <v>5.6</v>
      </c>
      <c r="F170" s="92">
        <v>3</v>
      </c>
      <c r="G170" s="92">
        <v>4.0999999999999996</v>
      </c>
      <c r="H170" s="93">
        <v>1.3</v>
      </c>
      <c r="I170" s="93" t="s">
        <v>70</v>
      </c>
      <c r="J170" s="101">
        <v>88</v>
      </c>
      <c r="K170" s="101">
        <v>0</v>
      </c>
      <c r="L170" s="101">
        <v>1.5039143939036846E+19</v>
      </c>
    </row>
    <row r="171" spans="4:12" ht="15" customHeight="1">
      <c r="D171" s="99" t="b">
        <v>0</v>
      </c>
      <c r="E171" s="94">
        <v>5.5</v>
      </c>
      <c r="F171" s="92">
        <v>2.5</v>
      </c>
      <c r="G171" s="92">
        <v>4</v>
      </c>
      <c r="H171" s="93">
        <v>1.3</v>
      </c>
      <c r="I171" s="93" t="s">
        <v>70</v>
      </c>
      <c r="J171" s="101">
        <v>89</v>
      </c>
      <c r="K171" s="101">
        <v>0</v>
      </c>
      <c r="L171" s="101">
        <v>1.454510707773652E+19</v>
      </c>
    </row>
    <row r="172" spans="4:12" ht="15" customHeight="1">
      <c r="D172" s="99" t="b">
        <v>0</v>
      </c>
      <c r="E172" s="94">
        <v>5.5</v>
      </c>
      <c r="F172" s="92">
        <v>2.6</v>
      </c>
      <c r="G172" s="92">
        <v>4.4000000000000004</v>
      </c>
      <c r="H172" s="93">
        <v>1.2</v>
      </c>
      <c r="I172" s="93" t="s">
        <v>70</v>
      </c>
      <c r="J172" s="101">
        <v>90</v>
      </c>
      <c r="K172" s="101">
        <v>0</v>
      </c>
      <c r="L172" s="101">
        <v>7.3130414845581322E+18</v>
      </c>
    </row>
    <row r="173" spans="4:12" ht="15" customHeight="1">
      <c r="D173" s="99" t="b">
        <v>0</v>
      </c>
      <c r="E173" s="94">
        <v>6.1</v>
      </c>
      <c r="F173" s="92">
        <v>3</v>
      </c>
      <c r="G173" s="92">
        <v>4.5999999999999996</v>
      </c>
      <c r="H173" s="93">
        <v>1.4</v>
      </c>
      <c r="I173" s="93" t="s">
        <v>70</v>
      </c>
      <c r="J173" s="101">
        <v>91</v>
      </c>
      <c r="K173" s="101">
        <v>0</v>
      </c>
      <c r="L173" s="101">
        <v>8.5534190925570458E+18</v>
      </c>
    </row>
    <row r="174" spans="4:12" ht="15" customHeight="1">
      <c r="D174" s="99" t="b">
        <v>0</v>
      </c>
      <c r="E174" s="94">
        <v>5.8</v>
      </c>
      <c r="F174" s="92">
        <v>2.6</v>
      </c>
      <c r="G174" s="92">
        <v>4</v>
      </c>
      <c r="H174" s="93">
        <v>1.2</v>
      </c>
      <c r="I174" s="93" t="s">
        <v>70</v>
      </c>
      <c r="J174" s="101">
        <v>92</v>
      </c>
      <c r="K174" s="101">
        <v>0</v>
      </c>
      <c r="L174" s="101">
        <v>8.7279567037088399E+18</v>
      </c>
    </row>
    <row r="175" spans="4:12" ht="15" customHeight="1">
      <c r="D175" s="99" t="b">
        <v>0</v>
      </c>
      <c r="E175" s="94">
        <v>5</v>
      </c>
      <c r="F175" s="92">
        <v>2.2999999999999998</v>
      </c>
      <c r="G175" s="92">
        <v>3.3</v>
      </c>
      <c r="H175" s="93">
        <v>1</v>
      </c>
      <c r="I175" s="93" t="s">
        <v>70</v>
      </c>
      <c r="J175" s="101">
        <v>93</v>
      </c>
      <c r="K175" s="101">
        <v>0</v>
      </c>
      <c r="L175" s="101">
        <v>1.4218499347646587E+19</v>
      </c>
    </row>
    <row r="176" spans="4:12" ht="15" customHeight="1">
      <c r="D176" s="99" t="b">
        <v>0</v>
      </c>
      <c r="E176" s="94">
        <v>5.6</v>
      </c>
      <c r="F176" s="92">
        <v>2.7</v>
      </c>
      <c r="G176" s="92">
        <v>4.2</v>
      </c>
      <c r="H176" s="93">
        <v>1.3</v>
      </c>
      <c r="I176" s="93" t="s">
        <v>70</v>
      </c>
      <c r="J176" s="101">
        <v>94</v>
      </c>
      <c r="K176" s="101">
        <v>0</v>
      </c>
      <c r="L176" s="101">
        <v>9.2968221332873626E+18</v>
      </c>
    </row>
    <row r="177" spans="4:12" ht="15" customHeight="1">
      <c r="D177" s="99" t="b">
        <v>0</v>
      </c>
      <c r="E177" s="94">
        <v>5.7</v>
      </c>
      <c r="F177" s="92">
        <v>3</v>
      </c>
      <c r="G177" s="92">
        <v>4.2</v>
      </c>
      <c r="H177" s="93">
        <v>1.2</v>
      </c>
      <c r="I177" s="93" t="s">
        <v>70</v>
      </c>
      <c r="J177" s="101">
        <v>95</v>
      </c>
      <c r="K177" s="101">
        <v>0</v>
      </c>
      <c r="L177" s="101">
        <v>5.9794286069000479E+18</v>
      </c>
    </row>
    <row r="178" spans="4:12" ht="15" customHeight="1">
      <c r="D178" s="99" t="b">
        <v>0</v>
      </c>
      <c r="E178" s="94">
        <v>5.7</v>
      </c>
      <c r="F178" s="92">
        <v>2.9</v>
      </c>
      <c r="G178" s="92">
        <v>4.2</v>
      </c>
      <c r="H178" s="93">
        <v>1.3</v>
      </c>
      <c r="I178" s="93" t="s">
        <v>70</v>
      </c>
      <c r="J178" s="101">
        <v>96</v>
      </c>
      <c r="K178" s="101">
        <v>0</v>
      </c>
      <c r="L178" s="101">
        <v>1.178879019878468E+19</v>
      </c>
    </row>
    <row r="179" spans="4:12" ht="15" customHeight="1">
      <c r="D179" s="99" t="b">
        <v>0</v>
      </c>
      <c r="E179" s="94">
        <v>6.2</v>
      </c>
      <c r="F179" s="92">
        <v>2.9</v>
      </c>
      <c r="G179" s="92">
        <v>4.3</v>
      </c>
      <c r="H179" s="93">
        <v>1.3</v>
      </c>
      <c r="I179" s="93" t="s">
        <v>70</v>
      </c>
      <c r="J179" s="101">
        <v>97</v>
      </c>
      <c r="K179" s="101">
        <v>0</v>
      </c>
      <c r="L179" s="101">
        <v>1.3456973498786234E+19</v>
      </c>
    </row>
    <row r="180" spans="4:12" ht="15" customHeight="1">
      <c r="D180" s="99" t="b">
        <v>0</v>
      </c>
      <c r="E180" s="94">
        <v>5.0999999999999996</v>
      </c>
      <c r="F180" s="92">
        <v>2.5</v>
      </c>
      <c r="G180" s="92">
        <v>3</v>
      </c>
      <c r="H180" s="93">
        <v>1.1000000000000001</v>
      </c>
      <c r="I180" s="93" t="s">
        <v>70</v>
      </c>
      <c r="J180" s="101">
        <v>98</v>
      </c>
      <c r="K180" s="101">
        <v>0</v>
      </c>
      <c r="L180" s="101">
        <v>1.3844196578987289E+19</v>
      </c>
    </row>
    <row r="181" spans="4:12" ht="15" customHeight="1">
      <c r="D181" s="99" t="b">
        <v>0</v>
      </c>
      <c r="E181" s="94">
        <v>5.7</v>
      </c>
      <c r="F181" s="92">
        <v>2.8</v>
      </c>
      <c r="G181" s="92">
        <v>4.0999999999999996</v>
      </c>
      <c r="H181" s="93">
        <v>1.3</v>
      </c>
      <c r="I181" s="93" t="s">
        <v>70</v>
      </c>
      <c r="J181" s="101">
        <v>99</v>
      </c>
      <c r="K181" s="101">
        <v>0</v>
      </c>
      <c r="L181" s="101">
        <v>6.9030615249463429E+18</v>
      </c>
    </row>
    <row r="182" spans="4:12" ht="15" customHeight="1">
      <c r="D182" s="99" t="b">
        <v>0</v>
      </c>
      <c r="E182" s="94">
        <v>6.3</v>
      </c>
      <c r="F182" s="92">
        <v>3.3</v>
      </c>
      <c r="G182" s="92">
        <v>6</v>
      </c>
      <c r="H182" s="93">
        <v>2.5</v>
      </c>
      <c r="I182" s="93" t="s">
        <v>71</v>
      </c>
      <c r="J182" s="101">
        <v>100</v>
      </c>
      <c r="K182" s="101">
        <v>0</v>
      </c>
      <c r="L182" s="101">
        <v>1.3322492984875905E+19</v>
      </c>
    </row>
    <row r="183" spans="4:12" ht="15" customHeight="1">
      <c r="D183" s="99" t="b">
        <v>0</v>
      </c>
      <c r="E183" s="94">
        <v>5.8</v>
      </c>
      <c r="F183" s="92">
        <v>2.7</v>
      </c>
      <c r="G183" s="92">
        <v>5.0999999999999996</v>
      </c>
      <c r="H183" s="93">
        <v>1.9</v>
      </c>
      <c r="I183" s="93" t="s">
        <v>71</v>
      </c>
      <c r="J183" s="101">
        <v>101</v>
      </c>
      <c r="K183" s="101">
        <v>0</v>
      </c>
      <c r="L183" s="101">
        <v>1.6847191365316028E+19</v>
      </c>
    </row>
    <row r="184" spans="4:12" ht="15" customHeight="1">
      <c r="D184" s="99" t="b">
        <v>0</v>
      </c>
      <c r="E184" s="94">
        <v>7.1</v>
      </c>
      <c r="F184" s="92">
        <v>3</v>
      </c>
      <c r="G184" s="92">
        <v>5.9</v>
      </c>
      <c r="H184" s="93">
        <v>2.1</v>
      </c>
      <c r="I184" s="93" t="s">
        <v>71</v>
      </c>
      <c r="J184" s="101">
        <v>102</v>
      </c>
      <c r="K184" s="101">
        <v>0</v>
      </c>
      <c r="L184" s="101">
        <v>6.619305597041856E+17</v>
      </c>
    </row>
    <row r="185" spans="4:12" ht="15" customHeight="1">
      <c r="D185" s="99" t="b">
        <v>0</v>
      </c>
      <c r="E185" s="94">
        <v>6.3</v>
      </c>
      <c r="F185" s="92">
        <v>2.9</v>
      </c>
      <c r="G185" s="92">
        <v>5.6</v>
      </c>
      <c r="H185" s="93">
        <v>1.8</v>
      </c>
      <c r="I185" s="93" t="s">
        <v>71</v>
      </c>
      <c r="J185" s="101">
        <v>103</v>
      </c>
      <c r="K185" s="101">
        <v>0</v>
      </c>
      <c r="L185" s="101">
        <v>5.2647569643387556E+18</v>
      </c>
    </row>
    <row r="186" spans="4:12" ht="15" customHeight="1">
      <c r="D186" s="99" t="b">
        <v>0</v>
      </c>
      <c r="E186" s="94">
        <v>6.5</v>
      </c>
      <c r="F186" s="92">
        <v>3</v>
      </c>
      <c r="G186" s="92">
        <v>5.8</v>
      </c>
      <c r="H186" s="93">
        <v>2.2000000000000002</v>
      </c>
      <c r="I186" s="93" t="s">
        <v>71</v>
      </c>
      <c r="J186" s="101">
        <v>104</v>
      </c>
      <c r="K186" s="101">
        <v>0</v>
      </c>
      <c r="L186" s="101">
        <v>1.6764457351407761E+19</v>
      </c>
    </row>
    <row r="187" spans="4:12" ht="15" customHeight="1">
      <c r="D187" s="99" t="b">
        <v>0</v>
      </c>
      <c r="E187" s="94">
        <v>7.6</v>
      </c>
      <c r="F187" s="92">
        <v>3</v>
      </c>
      <c r="G187" s="92">
        <v>6.6</v>
      </c>
      <c r="H187" s="93">
        <v>2.1</v>
      </c>
      <c r="I187" s="93" t="s">
        <v>71</v>
      </c>
      <c r="J187" s="101">
        <v>105</v>
      </c>
      <c r="K187" s="101">
        <v>0</v>
      </c>
      <c r="L187" s="101">
        <v>1.5733561967147774E+19</v>
      </c>
    </row>
    <row r="188" spans="4:12" ht="15" customHeight="1">
      <c r="D188" s="99" t="b">
        <v>0</v>
      </c>
      <c r="E188" s="94">
        <v>4.9000000000000004</v>
      </c>
      <c r="F188" s="92">
        <v>2.5</v>
      </c>
      <c r="G188" s="92">
        <v>4.5</v>
      </c>
      <c r="H188" s="93">
        <v>1.7</v>
      </c>
      <c r="I188" s="93" t="s">
        <v>71</v>
      </c>
      <c r="J188" s="101">
        <v>106</v>
      </c>
      <c r="K188" s="101">
        <v>0</v>
      </c>
      <c r="L188" s="101">
        <v>2.3807511055195018E+18</v>
      </c>
    </row>
    <row r="189" spans="4:12" ht="15" customHeight="1">
      <c r="D189" s="99" t="b">
        <v>0</v>
      </c>
      <c r="E189" s="94">
        <v>7.3</v>
      </c>
      <c r="F189" s="92">
        <v>2.9</v>
      </c>
      <c r="G189" s="92">
        <v>6.3</v>
      </c>
      <c r="H189" s="93">
        <v>1.8</v>
      </c>
      <c r="I189" s="93" t="s">
        <v>71</v>
      </c>
      <c r="J189" s="101">
        <v>107</v>
      </c>
      <c r="K189" s="101">
        <v>0</v>
      </c>
      <c r="L189" s="101">
        <v>5.0223796161511854E+18</v>
      </c>
    </row>
    <row r="190" spans="4:12" ht="15" customHeight="1">
      <c r="D190" s="99" t="b">
        <v>0</v>
      </c>
      <c r="E190" s="94">
        <v>6.7</v>
      </c>
      <c r="F190" s="92">
        <v>2.5</v>
      </c>
      <c r="G190" s="92">
        <v>5.8</v>
      </c>
      <c r="H190" s="93">
        <v>1.8</v>
      </c>
      <c r="I190" s="93" t="s">
        <v>71</v>
      </c>
      <c r="J190" s="101">
        <v>108</v>
      </c>
      <c r="K190" s="101">
        <v>0</v>
      </c>
      <c r="L190" s="101">
        <v>1.7843031752550984E+19</v>
      </c>
    </row>
    <row r="191" spans="4:12" ht="15" customHeight="1">
      <c r="D191" s="99" t="b">
        <v>0</v>
      </c>
      <c r="E191" s="94">
        <v>7.2</v>
      </c>
      <c r="F191" s="92">
        <v>3.6</v>
      </c>
      <c r="G191" s="92">
        <v>6.1</v>
      </c>
      <c r="H191" s="93">
        <v>2.5</v>
      </c>
      <c r="I191" s="93" t="s">
        <v>71</v>
      </c>
      <c r="J191" s="101">
        <v>109</v>
      </c>
      <c r="K191" s="101">
        <v>0</v>
      </c>
      <c r="L191" s="101">
        <v>1.8326831417744182E+18</v>
      </c>
    </row>
    <row r="192" spans="4:12" ht="15" customHeight="1">
      <c r="D192" s="99" t="b">
        <v>0</v>
      </c>
      <c r="E192" s="94">
        <v>6.5</v>
      </c>
      <c r="F192" s="92">
        <v>3.2</v>
      </c>
      <c r="G192" s="92">
        <v>5.0999999999999996</v>
      </c>
      <c r="H192" s="93">
        <v>2</v>
      </c>
      <c r="I192" s="93" t="s">
        <v>71</v>
      </c>
      <c r="J192" s="101">
        <v>110</v>
      </c>
      <c r="K192" s="101">
        <v>0</v>
      </c>
      <c r="L192" s="101">
        <v>7.5636318112243674E+17</v>
      </c>
    </row>
    <row r="193" spans="4:12" ht="15" customHeight="1">
      <c r="D193" s="99" t="b">
        <v>0</v>
      </c>
      <c r="E193" s="94">
        <v>6.4</v>
      </c>
      <c r="F193" s="92">
        <v>2.7</v>
      </c>
      <c r="G193" s="92">
        <v>5.3</v>
      </c>
      <c r="H193" s="93">
        <v>1.9</v>
      </c>
      <c r="I193" s="93" t="s">
        <v>71</v>
      </c>
      <c r="J193" s="101">
        <v>111</v>
      </c>
      <c r="K193" s="101">
        <v>0</v>
      </c>
      <c r="L193" s="101">
        <v>1.5447016102866418E+19</v>
      </c>
    </row>
    <row r="194" spans="4:12" ht="15" customHeight="1">
      <c r="D194" s="99" t="b">
        <v>0</v>
      </c>
      <c r="E194" s="94">
        <v>6.8</v>
      </c>
      <c r="F194" s="92">
        <v>3</v>
      </c>
      <c r="G194" s="92">
        <v>5.5</v>
      </c>
      <c r="H194" s="93">
        <v>2.1</v>
      </c>
      <c r="I194" s="93" t="s">
        <v>71</v>
      </c>
      <c r="J194" s="101">
        <v>112</v>
      </c>
      <c r="K194" s="101">
        <v>0</v>
      </c>
      <c r="L194" s="101">
        <v>6.2199898934266419E+18</v>
      </c>
    </row>
    <row r="195" spans="4:12" ht="15" customHeight="1">
      <c r="D195" s="99" t="b">
        <v>0</v>
      </c>
      <c r="E195" s="94">
        <v>5.7</v>
      </c>
      <c r="F195" s="92">
        <v>2.5</v>
      </c>
      <c r="G195" s="92">
        <v>5</v>
      </c>
      <c r="H195" s="93">
        <v>2</v>
      </c>
      <c r="I195" s="93" t="s">
        <v>71</v>
      </c>
      <c r="J195" s="101">
        <v>113</v>
      </c>
      <c r="K195" s="101">
        <v>0</v>
      </c>
      <c r="L195" s="101">
        <v>9.7998716501114778E+18</v>
      </c>
    </row>
    <row r="196" spans="4:12" ht="15" customHeight="1">
      <c r="D196" s="99" t="b">
        <v>0</v>
      </c>
      <c r="E196" s="94">
        <v>5.8</v>
      </c>
      <c r="F196" s="92">
        <v>2.8</v>
      </c>
      <c r="G196" s="92">
        <v>5.0999999999999996</v>
      </c>
      <c r="H196" s="93">
        <v>2.4</v>
      </c>
      <c r="I196" s="93" t="s">
        <v>71</v>
      </c>
      <c r="J196" s="101">
        <v>114</v>
      </c>
      <c r="K196" s="101">
        <v>0</v>
      </c>
      <c r="L196" s="101">
        <v>1.5350650311171017E+19</v>
      </c>
    </row>
    <row r="197" spans="4:12" ht="15" customHeight="1">
      <c r="D197" s="99" t="b">
        <v>0</v>
      </c>
      <c r="E197" s="94">
        <v>6.4</v>
      </c>
      <c r="F197" s="92">
        <v>3.2</v>
      </c>
      <c r="G197" s="92">
        <v>5.3</v>
      </c>
      <c r="H197" s="93">
        <v>2.2999999999999998</v>
      </c>
      <c r="I197" s="93" t="s">
        <v>71</v>
      </c>
      <c r="J197" s="101">
        <v>115</v>
      </c>
      <c r="K197" s="101">
        <v>0</v>
      </c>
      <c r="L197" s="101">
        <v>1.1612241941344451E+19</v>
      </c>
    </row>
    <row r="198" spans="4:12" ht="15" customHeight="1">
      <c r="D198" s="99" t="b">
        <v>0</v>
      </c>
      <c r="E198" s="94">
        <v>6.5</v>
      </c>
      <c r="F198" s="92">
        <v>3</v>
      </c>
      <c r="G198" s="92">
        <v>5.5</v>
      </c>
      <c r="H198" s="93">
        <v>1.8</v>
      </c>
      <c r="I198" s="93" t="s">
        <v>71</v>
      </c>
      <c r="J198" s="101">
        <v>116</v>
      </c>
      <c r="K198" s="101">
        <v>0</v>
      </c>
      <c r="L198" s="101">
        <v>1.7700240966600022E+19</v>
      </c>
    </row>
    <row r="199" spans="4:12" ht="15" customHeight="1">
      <c r="D199" s="99" t="b">
        <v>0</v>
      </c>
      <c r="E199" s="94">
        <v>7.7</v>
      </c>
      <c r="F199" s="92">
        <v>3.8</v>
      </c>
      <c r="G199" s="92">
        <v>6.7</v>
      </c>
      <c r="H199" s="93">
        <v>2.2000000000000002</v>
      </c>
      <c r="I199" s="93" t="s">
        <v>71</v>
      </c>
      <c r="J199" s="101">
        <v>117</v>
      </c>
      <c r="K199" s="101">
        <v>0</v>
      </c>
      <c r="L199" s="101">
        <v>1.003135703940055E+19</v>
      </c>
    </row>
    <row r="200" spans="4:12" ht="15" customHeight="1">
      <c r="D200" s="99" t="b">
        <v>0</v>
      </c>
      <c r="E200" s="94">
        <v>7.7</v>
      </c>
      <c r="F200" s="92">
        <v>2.6</v>
      </c>
      <c r="G200" s="92">
        <v>6.9</v>
      </c>
      <c r="H200" s="93">
        <v>2.2999999999999998</v>
      </c>
      <c r="I200" s="93" t="s">
        <v>71</v>
      </c>
      <c r="J200" s="101">
        <v>118</v>
      </c>
      <c r="K200" s="101">
        <v>0</v>
      </c>
      <c r="L200" s="101">
        <v>1.078474114561179E+19</v>
      </c>
    </row>
    <row r="201" spans="4:12" ht="15" customHeight="1">
      <c r="D201" s="99" t="b">
        <v>0</v>
      </c>
      <c r="E201" s="94">
        <v>6</v>
      </c>
      <c r="F201" s="92">
        <v>2.2000000000000002</v>
      </c>
      <c r="G201" s="92">
        <v>5</v>
      </c>
      <c r="H201" s="93">
        <v>1.5</v>
      </c>
      <c r="I201" s="93" t="s">
        <v>71</v>
      </c>
      <c r="J201" s="101">
        <v>119</v>
      </c>
      <c r="K201" s="101">
        <v>0</v>
      </c>
      <c r="L201" s="101">
        <v>1.6778510600435028E+18</v>
      </c>
    </row>
    <row r="202" spans="4:12" ht="15" customHeight="1">
      <c r="D202" s="99" t="b">
        <v>0</v>
      </c>
      <c r="E202" s="94">
        <v>6.9</v>
      </c>
      <c r="F202" s="92">
        <v>3.2</v>
      </c>
      <c r="G202" s="92">
        <v>5.7</v>
      </c>
      <c r="H202" s="93">
        <v>2.2999999999999998</v>
      </c>
      <c r="I202" s="93" t="s">
        <v>71</v>
      </c>
      <c r="J202" s="101">
        <v>120</v>
      </c>
      <c r="K202" s="101">
        <v>0</v>
      </c>
      <c r="L202" s="101">
        <v>1.4029279620395567E+19</v>
      </c>
    </row>
    <row r="203" spans="4:12" ht="15" customHeight="1">
      <c r="D203" s="99" t="b">
        <v>0</v>
      </c>
      <c r="E203" s="94">
        <v>5.6</v>
      </c>
      <c r="F203" s="92">
        <v>2.8</v>
      </c>
      <c r="G203" s="92">
        <v>4.9000000000000004</v>
      </c>
      <c r="H203" s="93">
        <v>2</v>
      </c>
      <c r="I203" s="93" t="s">
        <v>71</v>
      </c>
      <c r="J203" s="101">
        <v>121</v>
      </c>
      <c r="K203" s="101">
        <v>0</v>
      </c>
      <c r="L203" s="101">
        <v>2.0157982038516291E+18</v>
      </c>
    </row>
    <row r="204" spans="4:12" ht="15" customHeight="1">
      <c r="D204" s="99" t="b">
        <v>0</v>
      </c>
      <c r="E204" s="94">
        <v>7.7</v>
      </c>
      <c r="F204" s="92">
        <v>2.8</v>
      </c>
      <c r="G204" s="92">
        <v>6.7</v>
      </c>
      <c r="H204" s="93">
        <v>2</v>
      </c>
      <c r="I204" s="93" t="s">
        <v>71</v>
      </c>
      <c r="J204" s="101">
        <v>122</v>
      </c>
      <c r="K204" s="101">
        <v>0</v>
      </c>
      <c r="L204" s="101">
        <v>9.6470233210183967E+18</v>
      </c>
    </row>
    <row r="205" spans="4:12" ht="15" customHeight="1">
      <c r="D205" s="99" t="b">
        <v>0</v>
      </c>
      <c r="E205" s="94">
        <v>6.3</v>
      </c>
      <c r="F205" s="92">
        <v>2.7</v>
      </c>
      <c r="G205" s="92">
        <v>4.9000000000000004</v>
      </c>
      <c r="H205" s="93">
        <v>1.8</v>
      </c>
      <c r="I205" s="93" t="s">
        <v>71</v>
      </c>
      <c r="J205" s="101">
        <v>123</v>
      </c>
      <c r="K205" s="101">
        <v>0</v>
      </c>
      <c r="L205" s="101">
        <v>1.436710728194055E+19</v>
      </c>
    </row>
    <row r="206" spans="4:12" ht="15" customHeight="1">
      <c r="D206" s="99" t="b">
        <v>0</v>
      </c>
      <c r="E206" s="94">
        <v>6.7</v>
      </c>
      <c r="F206" s="92">
        <v>3.3</v>
      </c>
      <c r="G206" s="92">
        <v>5.7</v>
      </c>
      <c r="H206" s="93">
        <v>2.1</v>
      </c>
      <c r="I206" s="93" t="s">
        <v>71</v>
      </c>
      <c r="J206" s="101">
        <v>124</v>
      </c>
      <c r="K206" s="101">
        <v>0</v>
      </c>
      <c r="L206" s="101">
        <v>1.9947037052924444E+18</v>
      </c>
    </row>
    <row r="207" spans="4:12" ht="15" customHeight="1">
      <c r="D207" s="99" t="b">
        <v>0</v>
      </c>
      <c r="E207" s="94">
        <v>7.2</v>
      </c>
      <c r="F207" s="92">
        <v>3.2</v>
      </c>
      <c r="G207" s="92">
        <v>6</v>
      </c>
      <c r="H207" s="93">
        <v>1.8</v>
      </c>
      <c r="I207" s="93" t="s">
        <v>71</v>
      </c>
      <c r="J207" s="101">
        <v>125</v>
      </c>
      <c r="K207" s="101">
        <v>0</v>
      </c>
      <c r="L207" s="101">
        <v>1.6950079442253183E+19</v>
      </c>
    </row>
    <row r="208" spans="4:12" ht="15" customHeight="1">
      <c r="D208" s="99" t="b">
        <v>0</v>
      </c>
      <c r="E208" s="94">
        <v>6.2</v>
      </c>
      <c r="F208" s="92">
        <v>2.8</v>
      </c>
      <c r="G208" s="92">
        <v>4.8</v>
      </c>
      <c r="H208" s="93">
        <v>1.8</v>
      </c>
      <c r="I208" s="93" t="s">
        <v>71</v>
      </c>
      <c r="J208" s="101">
        <v>126</v>
      </c>
      <c r="K208" s="101">
        <v>0</v>
      </c>
      <c r="L208" s="101">
        <v>7.8198669874935368E+18</v>
      </c>
    </row>
    <row r="209" spans="4:12" ht="15" customHeight="1">
      <c r="D209" s="99" t="b">
        <v>0</v>
      </c>
      <c r="E209" s="94">
        <v>6.1</v>
      </c>
      <c r="F209" s="92">
        <v>3</v>
      </c>
      <c r="G209" s="92">
        <v>4.9000000000000004</v>
      </c>
      <c r="H209" s="93">
        <v>1.8</v>
      </c>
      <c r="I209" s="93" t="s">
        <v>71</v>
      </c>
      <c r="J209" s="101">
        <v>127</v>
      </c>
      <c r="K209" s="101">
        <v>0</v>
      </c>
      <c r="L209" s="101">
        <v>6.4973518044154317E+18</v>
      </c>
    </row>
    <row r="210" spans="4:12" ht="15" customHeight="1">
      <c r="D210" s="99" t="b">
        <v>0</v>
      </c>
      <c r="E210" s="94">
        <v>6.4</v>
      </c>
      <c r="F210" s="92">
        <v>2.8</v>
      </c>
      <c r="G210" s="92">
        <v>5.6</v>
      </c>
      <c r="H210" s="93">
        <v>2.1</v>
      </c>
      <c r="I210" s="93" t="s">
        <v>71</v>
      </c>
      <c r="J210" s="101">
        <v>128</v>
      </c>
      <c r="K210" s="101">
        <v>0</v>
      </c>
      <c r="L210" s="101">
        <v>9.4259442193246044E+18</v>
      </c>
    </row>
    <row r="211" spans="4:12" ht="15" customHeight="1">
      <c r="D211" s="99" t="b">
        <v>0</v>
      </c>
      <c r="E211" s="94">
        <v>7.2</v>
      </c>
      <c r="F211" s="92">
        <v>3</v>
      </c>
      <c r="G211" s="92">
        <v>5.8</v>
      </c>
      <c r="H211" s="93">
        <v>1.6</v>
      </c>
      <c r="I211" s="93" t="s">
        <v>71</v>
      </c>
      <c r="J211" s="101">
        <v>129</v>
      </c>
      <c r="K211" s="101">
        <v>0</v>
      </c>
      <c r="L211" s="101">
        <v>3.8864912405288878E+18</v>
      </c>
    </row>
    <row r="212" spans="4:12" ht="15" customHeight="1">
      <c r="D212" s="99" t="b">
        <v>0</v>
      </c>
      <c r="E212" s="94">
        <v>7.4</v>
      </c>
      <c r="F212" s="92">
        <v>2.8</v>
      </c>
      <c r="G212" s="92">
        <v>6.1</v>
      </c>
      <c r="H212" s="93">
        <v>1.9</v>
      </c>
      <c r="I212" s="93" t="s">
        <v>71</v>
      </c>
      <c r="J212" s="101">
        <v>130</v>
      </c>
      <c r="K212" s="101">
        <v>0</v>
      </c>
      <c r="L212" s="101">
        <v>9.7509943860251156E+18</v>
      </c>
    </row>
    <row r="213" spans="4:12" ht="15" customHeight="1">
      <c r="D213" s="99" t="b">
        <v>0</v>
      </c>
      <c r="E213" s="94">
        <v>7.9</v>
      </c>
      <c r="F213" s="92">
        <v>3.8</v>
      </c>
      <c r="G213" s="92">
        <v>6.4</v>
      </c>
      <c r="H213" s="93">
        <v>2</v>
      </c>
      <c r="I213" s="93" t="s">
        <v>71</v>
      </c>
      <c r="J213" s="101">
        <v>131</v>
      </c>
      <c r="K213" s="101">
        <v>0</v>
      </c>
      <c r="L213" s="101">
        <v>1.1849397895214377E+19</v>
      </c>
    </row>
    <row r="214" spans="4:12" ht="15" customHeight="1">
      <c r="D214" s="99" t="b">
        <v>0</v>
      </c>
      <c r="E214" s="94">
        <v>6.4</v>
      </c>
      <c r="F214" s="92">
        <v>2.8</v>
      </c>
      <c r="G214" s="92">
        <v>5.6</v>
      </c>
      <c r="H214" s="93">
        <v>2.2000000000000002</v>
      </c>
      <c r="I214" s="93" t="s">
        <v>71</v>
      </c>
      <c r="J214" s="101">
        <v>132</v>
      </c>
      <c r="K214" s="101">
        <v>0</v>
      </c>
      <c r="L214" s="101">
        <v>1.6739151969869965E+19</v>
      </c>
    </row>
    <row r="215" spans="4:12" ht="15" customHeight="1">
      <c r="D215" s="99" t="b">
        <v>0</v>
      </c>
      <c r="E215" s="94">
        <v>6.3</v>
      </c>
      <c r="F215" s="92">
        <v>2.8</v>
      </c>
      <c r="G215" s="92">
        <v>5.0999999999999996</v>
      </c>
      <c r="H215" s="93">
        <v>1.5</v>
      </c>
      <c r="I215" s="93" t="s">
        <v>71</v>
      </c>
      <c r="J215" s="101">
        <v>133</v>
      </c>
      <c r="K215" s="101">
        <v>0</v>
      </c>
      <c r="L215" s="101">
        <v>6.6135384057675328E+17</v>
      </c>
    </row>
    <row r="216" spans="4:12" ht="15" customHeight="1">
      <c r="D216" s="99" t="b">
        <v>0</v>
      </c>
      <c r="E216" s="94">
        <v>6.1</v>
      </c>
      <c r="F216" s="92">
        <v>2.6</v>
      </c>
      <c r="G216" s="92">
        <v>5.6</v>
      </c>
      <c r="H216" s="93">
        <v>1.4</v>
      </c>
      <c r="I216" s="93" t="s">
        <v>71</v>
      </c>
      <c r="J216" s="101">
        <v>134</v>
      </c>
      <c r="K216" s="101">
        <v>0</v>
      </c>
      <c r="L216" s="101">
        <v>1.1001634725678713E+19</v>
      </c>
    </row>
    <row r="217" spans="4:12" ht="15" customHeight="1">
      <c r="D217" s="99" t="b">
        <v>0</v>
      </c>
      <c r="E217" s="94">
        <v>7.7</v>
      </c>
      <c r="F217" s="92">
        <v>3</v>
      </c>
      <c r="G217" s="92">
        <v>6.1</v>
      </c>
      <c r="H217" s="93">
        <v>2.2999999999999998</v>
      </c>
      <c r="I217" s="93" t="s">
        <v>71</v>
      </c>
      <c r="J217" s="101">
        <v>135</v>
      </c>
      <c r="K217" s="101">
        <v>0</v>
      </c>
      <c r="L217" s="101">
        <v>1.7475480586561292E+19</v>
      </c>
    </row>
    <row r="218" spans="4:12" ht="15" customHeight="1">
      <c r="D218" s="99" t="b">
        <v>0</v>
      </c>
      <c r="E218" s="94">
        <v>6.3</v>
      </c>
      <c r="F218" s="92">
        <v>3.4</v>
      </c>
      <c r="G218" s="92">
        <v>5.6</v>
      </c>
      <c r="H218" s="93">
        <v>2.4</v>
      </c>
      <c r="I218" s="93" t="s">
        <v>71</v>
      </c>
      <c r="J218" s="101">
        <v>136</v>
      </c>
      <c r="K218" s="101">
        <v>0</v>
      </c>
      <c r="L218" s="101">
        <v>1.2229712659248746E+19</v>
      </c>
    </row>
    <row r="219" spans="4:12" ht="15" customHeight="1">
      <c r="D219" s="99" t="b">
        <v>0</v>
      </c>
      <c r="E219" s="94">
        <v>6.4</v>
      </c>
      <c r="F219" s="92">
        <v>3.1</v>
      </c>
      <c r="G219" s="92">
        <v>5.5</v>
      </c>
      <c r="H219" s="93">
        <v>1.8</v>
      </c>
      <c r="I219" s="93" t="s">
        <v>71</v>
      </c>
      <c r="J219" s="101">
        <v>137</v>
      </c>
      <c r="K219" s="101">
        <v>0</v>
      </c>
      <c r="L219" s="101">
        <v>1.406293020579362E+19</v>
      </c>
    </row>
    <row r="220" spans="4:12" ht="15" customHeight="1">
      <c r="D220" s="99" t="b">
        <v>0</v>
      </c>
      <c r="E220" s="94">
        <v>6</v>
      </c>
      <c r="F220" s="92">
        <v>3</v>
      </c>
      <c r="G220" s="92">
        <v>4.8</v>
      </c>
      <c r="H220" s="93">
        <v>1.8</v>
      </c>
      <c r="I220" s="93" t="s">
        <v>71</v>
      </c>
      <c r="J220" s="101">
        <v>138</v>
      </c>
      <c r="K220" s="101">
        <v>0</v>
      </c>
      <c r="L220" s="101">
        <v>1.6137646621662306E+19</v>
      </c>
    </row>
    <row r="221" spans="4:12" ht="15" customHeight="1">
      <c r="D221" s="99" t="b">
        <v>0</v>
      </c>
      <c r="E221" s="94">
        <v>6.9</v>
      </c>
      <c r="F221" s="92">
        <v>3.1</v>
      </c>
      <c r="G221" s="92">
        <v>5.4</v>
      </c>
      <c r="H221" s="93">
        <v>2.1</v>
      </c>
      <c r="I221" s="93" t="s">
        <v>71</v>
      </c>
      <c r="J221" s="101">
        <v>139</v>
      </c>
      <c r="K221" s="101">
        <v>0</v>
      </c>
      <c r="L221" s="101">
        <v>2.9097514045485901E+18</v>
      </c>
    </row>
    <row r="222" spans="4:12" ht="15" customHeight="1">
      <c r="D222" s="99" t="b">
        <v>0</v>
      </c>
      <c r="E222" s="94">
        <v>6.7</v>
      </c>
      <c r="F222" s="92">
        <v>3.1</v>
      </c>
      <c r="G222" s="92">
        <v>5.6</v>
      </c>
      <c r="H222" s="93">
        <v>2.4</v>
      </c>
      <c r="I222" s="93" t="s">
        <v>71</v>
      </c>
      <c r="J222" s="101">
        <v>140</v>
      </c>
      <c r="K222" s="101">
        <v>0</v>
      </c>
      <c r="L222" s="101">
        <v>1.6300255540475365E+19</v>
      </c>
    </row>
    <row r="223" spans="4:12" ht="15" customHeight="1">
      <c r="D223" s="99" t="b">
        <v>0</v>
      </c>
      <c r="E223" s="94">
        <v>6.9</v>
      </c>
      <c r="F223" s="92">
        <v>3.1</v>
      </c>
      <c r="G223" s="92">
        <v>5.0999999999999996</v>
      </c>
      <c r="H223" s="93">
        <v>2.2999999999999998</v>
      </c>
      <c r="I223" s="93" t="s">
        <v>71</v>
      </c>
      <c r="J223" s="101">
        <v>141</v>
      </c>
      <c r="K223" s="101">
        <v>0</v>
      </c>
      <c r="L223" s="101">
        <v>1.0790540504564882E+18</v>
      </c>
    </row>
    <row r="224" spans="4:12" ht="15" customHeight="1">
      <c r="D224" s="99" t="b">
        <v>0</v>
      </c>
      <c r="E224" s="94">
        <v>5.8</v>
      </c>
      <c r="F224" s="92">
        <v>2.7</v>
      </c>
      <c r="G224" s="92">
        <v>5.0999999999999996</v>
      </c>
      <c r="H224" s="93">
        <v>1.9</v>
      </c>
      <c r="I224" s="93" t="s">
        <v>71</v>
      </c>
      <c r="J224" s="101">
        <v>142</v>
      </c>
      <c r="K224" s="101">
        <v>0</v>
      </c>
      <c r="L224" s="101">
        <v>3.976374000417663E+18</v>
      </c>
    </row>
    <row r="225" spans="4:12" ht="15" customHeight="1">
      <c r="D225" s="99" t="b">
        <v>0</v>
      </c>
      <c r="E225" s="94">
        <v>6.8</v>
      </c>
      <c r="F225" s="92">
        <v>3.2</v>
      </c>
      <c r="G225" s="92">
        <v>5.9</v>
      </c>
      <c r="H225" s="93">
        <v>2.2999999999999998</v>
      </c>
      <c r="I225" s="93" t="s">
        <v>71</v>
      </c>
      <c r="J225" s="101">
        <v>143</v>
      </c>
      <c r="K225" s="101">
        <v>0</v>
      </c>
      <c r="L225" s="101">
        <v>9.3184987252360069E+18</v>
      </c>
    </row>
    <row r="226" spans="4:12" ht="15" customHeight="1">
      <c r="D226" s="99" t="b">
        <v>0</v>
      </c>
      <c r="E226" s="94">
        <v>6.7</v>
      </c>
      <c r="F226" s="92">
        <v>3.3</v>
      </c>
      <c r="G226" s="92">
        <v>5.7</v>
      </c>
      <c r="H226" s="93">
        <v>2.5</v>
      </c>
      <c r="I226" s="93" t="s">
        <v>71</v>
      </c>
      <c r="J226" s="101">
        <v>144</v>
      </c>
      <c r="K226" s="101">
        <v>0</v>
      </c>
      <c r="L226" s="101">
        <v>1.0551176296097987E+19</v>
      </c>
    </row>
    <row r="227" spans="4:12" ht="15" customHeight="1">
      <c r="D227" s="99" t="b">
        <v>0</v>
      </c>
      <c r="E227" s="94">
        <v>6.7</v>
      </c>
      <c r="F227" s="92">
        <v>3</v>
      </c>
      <c r="G227" s="92">
        <v>5.2</v>
      </c>
      <c r="H227" s="93">
        <v>2.2999999999999998</v>
      </c>
      <c r="I227" s="93" t="s">
        <v>71</v>
      </c>
      <c r="J227" s="101">
        <v>145</v>
      </c>
      <c r="K227" s="101">
        <v>0</v>
      </c>
      <c r="L227" s="101">
        <v>2.5537808874847677E+18</v>
      </c>
    </row>
    <row r="228" spans="4:12" ht="15" customHeight="1">
      <c r="D228" s="99" t="b">
        <v>0</v>
      </c>
      <c r="E228" s="94">
        <v>6.3</v>
      </c>
      <c r="F228" s="92">
        <v>2.5</v>
      </c>
      <c r="G228" s="92">
        <v>5</v>
      </c>
      <c r="H228" s="93">
        <v>1.9</v>
      </c>
      <c r="I228" s="93" t="s">
        <v>71</v>
      </c>
      <c r="J228" s="101">
        <v>146</v>
      </c>
      <c r="K228" s="101">
        <v>0</v>
      </c>
      <c r="L228" s="101">
        <v>1.3252718261715847E+19</v>
      </c>
    </row>
    <row r="229" spans="4:12" ht="15" customHeight="1">
      <c r="D229" s="99" t="b">
        <v>0</v>
      </c>
      <c r="E229" s="94">
        <v>6.5</v>
      </c>
      <c r="F229" s="92">
        <v>3</v>
      </c>
      <c r="G229" s="92">
        <v>5.2</v>
      </c>
      <c r="H229" s="93">
        <v>2</v>
      </c>
      <c r="I229" s="93" t="s">
        <v>71</v>
      </c>
      <c r="J229" s="101">
        <v>147</v>
      </c>
      <c r="K229" s="101">
        <v>0</v>
      </c>
      <c r="L229" s="101">
        <v>1.7012061598749592E+19</v>
      </c>
    </row>
    <row r="230" spans="4:12" ht="15" customHeight="1">
      <c r="D230" s="99" t="b">
        <v>0</v>
      </c>
      <c r="E230" s="94">
        <v>6.2</v>
      </c>
      <c r="F230" s="92">
        <v>3.4</v>
      </c>
      <c r="G230" s="92">
        <v>5.4</v>
      </c>
      <c r="H230" s="93">
        <v>2.2999999999999998</v>
      </c>
      <c r="I230" s="93" t="s">
        <v>71</v>
      </c>
      <c r="J230" s="101">
        <v>148</v>
      </c>
      <c r="K230" s="101">
        <v>0</v>
      </c>
      <c r="L230" s="101">
        <v>1.0846658131170545E+18</v>
      </c>
    </row>
    <row r="231" spans="4:12" ht="15" customHeight="1">
      <c r="D231" s="100" t="b">
        <v>0</v>
      </c>
      <c r="E231" s="95">
        <v>5.9</v>
      </c>
      <c r="F231" s="96">
        <v>3</v>
      </c>
      <c r="G231" s="96">
        <v>5.0999999999999996</v>
      </c>
      <c r="H231" s="93">
        <v>1.8</v>
      </c>
      <c r="I231" s="93" t="s">
        <v>71</v>
      </c>
      <c r="J231" s="101">
        <v>149</v>
      </c>
      <c r="K231" s="101">
        <v>0</v>
      </c>
      <c r="L231" s="101">
        <v>3.136869761845034E+18</v>
      </c>
    </row>
  </sheetData>
  <mergeCells count="1">
    <mergeCell ref="E15:F15"/>
  </mergeCells>
  <phoneticPr fontId="23" type="noConversion"/>
  <conditionalFormatting sqref="E25:G32 E38:G42 E48:G56">
    <cfRule type="cellIs" dxfId="86" priority="22" operator="equal">
      <formula>0</formula>
    </cfRule>
  </conditionalFormatting>
  <conditionalFormatting sqref="D82:D231">
    <cfRule type="cellIs" dxfId="85" priority="21" operator="notEqual">
      <formula>FALSE</formula>
    </cfRule>
  </conditionalFormatting>
  <conditionalFormatting sqref="E9:I9">
    <cfRule type="cellIs" dxfId="84" priority="15" operator="notEqual">
      <formula>"Note"</formula>
    </cfRule>
  </conditionalFormatting>
  <conditionalFormatting sqref="E26:G28">
    <cfRule type="colorScale" priority="17">
      <colorScale>
        <cfvo type="num" val="0"/>
        <cfvo type="num" val="0.2"/>
        <color rgb="FF000000"/>
        <color rgb="FF7A0000"/>
      </colorScale>
    </cfRule>
  </conditionalFormatting>
  <conditionalFormatting sqref="D81 D60:D67">
    <cfRule type="duplicateValues" dxfId="83" priority="16"/>
  </conditionalFormatting>
  <conditionalFormatting sqref="E7:I7">
    <cfRule type="cellIs" dxfId="82" priority="14" operator="notEqual">
      <formula>"Definition"</formula>
    </cfRule>
  </conditionalFormatting>
  <conditionalFormatting sqref="E15">
    <cfRule type="cellIs" dxfId="81" priority="13" operator="notEqual">
      <formula>"Description"</formula>
    </cfRule>
  </conditionalFormatting>
  <conditionalFormatting sqref="E60:G67">
    <cfRule type="cellIs" dxfId="80" priority="19" operator="notEqual">
      <formula>FALSE</formula>
    </cfRule>
  </conditionalFormatting>
  <conditionalFormatting sqref="E20:E21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5:I32 H38:I42 H48:I56">
    <cfRule type="cellIs" dxfId="62" priority="3" operator="equal">
      <formula>0</formula>
    </cfRule>
  </conditionalFormatting>
  <conditionalFormatting sqref="H26:I28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60:I67">
    <cfRule type="cellIs" dxfId="61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/>
  <dimension ref="B1:Q158"/>
  <sheetViews>
    <sheetView zoomScale="85" zoomScaleNormal="85" workbookViewId="0">
      <selection activeCell="D9" sqref="D9"/>
    </sheetView>
  </sheetViews>
  <sheetFormatPr defaultRowHeight="15" customHeight="1"/>
  <cols>
    <col min="1" max="2" width="2.77734375" style="12" customWidth="1"/>
    <col min="3" max="3" width="14.88671875" style="12" bestFit="1" customWidth="1"/>
    <col min="4" max="4" width="17" style="12" bestFit="1" customWidth="1"/>
    <col min="5" max="5" width="17.44140625" style="12" bestFit="1" customWidth="1"/>
    <col min="6" max="6" width="13.88671875" style="12" bestFit="1" customWidth="1"/>
    <col min="7" max="7" width="12.44140625" style="12" bestFit="1" customWidth="1"/>
    <col min="8" max="10" width="13.77734375" style="12" customWidth="1"/>
    <col min="11" max="16" width="15.44140625" style="12" customWidth="1"/>
    <col min="17" max="16384" width="8.88671875" style="12"/>
  </cols>
  <sheetData>
    <row r="1" spans="2:17" ht="14.4">
      <c r="C1" s="13"/>
      <c r="D1" s="14"/>
    </row>
    <row r="2" spans="2:17" ht="36.6">
      <c r="C2" s="15" t="str">
        <f>Name</f>
        <v>Iris</v>
      </c>
      <c r="P2" s="11"/>
    </row>
    <row r="3" spans="2:17" ht="10.050000000000001" customHeight="1">
      <c r="D3" s="16"/>
    </row>
    <row r="4" spans="2:17" ht="30" customHeight="1">
      <c r="B4" s="77"/>
      <c r="C4" s="77"/>
      <c r="D4" s="77"/>
      <c r="E4" s="77"/>
      <c r="F4" s="77"/>
      <c r="G4" s="77"/>
      <c r="H4" s="77"/>
      <c r="I4" s="77"/>
      <c r="J4" s="77"/>
      <c r="K4" s="77"/>
      <c r="L4" s="77"/>
      <c r="M4" s="77"/>
      <c r="N4" s="77"/>
      <c r="O4" s="77"/>
      <c r="P4" s="77"/>
      <c r="Q4" s="77"/>
    </row>
    <row r="7" spans="2:17" ht="15" customHeight="1">
      <c r="C7" s="17"/>
    </row>
    <row r="8" spans="2:17" ht="36.6" customHeight="1">
      <c r="C8" s="104" t="s">
        <v>60</v>
      </c>
      <c r="D8" s="103" t="s">
        <v>61</v>
      </c>
      <c r="E8" s="103" t="s">
        <v>62</v>
      </c>
      <c r="F8" s="103" t="s">
        <v>63</v>
      </c>
      <c r="G8" s="103" t="s">
        <v>64</v>
      </c>
      <c r="H8" s="105" t="s">
        <v>49</v>
      </c>
      <c r="I8" s="105" t="s">
        <v>50</v>
      </c>
      <c r="J8" s="105" t="s">
        <v>54</v>
      </c>
    </row>
    <row r="9" spans="2:17" ht="15" customHeight="1">
      <c r="C9" s="102">
        <v>4.3</v>
      </c>
      <c r="D9" s="55"/>
      <c r="E9" s="55"/>
      <c r="F9" s="55"/>
      <c r="G9" s="55"/>
      <c r="H9" s="106">
        <v>0</v>
      </c>
      <c r="I9" s="107"/>
      <c r="J9" s="108">
        <v>6.6666666666666671E-3</v>
      </c>
    </row>
    <row r="10" spans="2:17" ht="15" customHeight="1">
      <c r="C10" s="102">
        <v>4.4000000000000004</v>
      </c>
      <c r="D10" s="55"/>
      <c r="E10" s="55"/>
      <c r="F10" s="55"/>
      <c r="G10" s="55"/>
      <c r="H10" s="106">
        <v>0</v>
      </c>
      <c r="I10" s="107"/>
      <c r="J10" s="108">
        <v>0.02</v>
      </c>
    </row>
    <row r="11" spans="2:17" ht="15" customHeight="1">
      <c r="C11" s="102">
        <v>4.5</v>
      </c>
      <c r="D11" s="55"/>
      <c r="E11" s="55"/>
      <c r="F11" s="55"/>
      <c r="G11" s="55"/>
      <c r="H11" s="106">
        <v>0</v>
      </c>
      <c r="I11" s="107"/>
      <c r="J11" s="108">
        <v>6.6666666666666671E-3</v>
      </c>
    </row>
    <row r="12" spans="2:17" ht="15" customHeight="1">
      <c r="C12" s="102">
        <v>4.5999999999999996</v>
      </c>
      <c r="D12" s="55"/>
      <c r="E12" s="55"/>
      <c r="F12" s="55"/>
      <c r="G12" s="55"/>
      <c r="H12" s="106">
        <v>0</v>
      </c>
      <c r="I12" s="107"/>
      <c r="J12" s="108">
        <v>2.6666666666666668E-2</v>
      </c>
    </row>
    <row r="13" spans="2:17" ht="15" customHeight="1">
      <c r="C13" s="102">
        <v>4.7</v>
      </c>
      <c r="D13" s="55"/>
      <c r="E13" s="55"/>
      <c r="F13" s="55"/>
      <c r="G13" s="55"/>
      <c r="H13" s="106">
        <v>0</v>
      </c>
      <c r="I13" s="107"/>
      <c r="J13" s="108">
        <v>1.3333333333333334E-2</v>
      </c>
    </row>
    <row r="14" spans="2:17" ht="15" customHeight="1">
      <c r="C14" s="102">
        <v>4.8</v>
      </c>
      <c r="D14" s="55"/>
      <c r="E14" s="55"/>
      <c r="F14" s="55"/>
      <c r="G14" s="55"/>
      <c r="H14" s="106">
        <v>0</v>
      </c>
      <c r="I14" s="107"/>
      <c r="J14" s="108">
        <v>3.3333333333333333E-2</v>
      </c>
    </row>
    <row r="15" spans="2:17" ht="15" customHeight="1">
      <c r="C15" s="102">
        <v>4.9000000000000004</v>
      </c>
      <c r="D15" s="55"/>
      <c r="E15" s="55"/>
      <c r="F15" s="55"/>
      <c r="G15" s="55"/>
      <c r="H15" s="106">
        <v>0</v>
      </c>
      <c r="I15" s="107"/>
      <c r="J15" s="108">
        <v>0.04</v>
      </c>
    </row>
    <row r="16" spans="2:17" ht="15" customHeight="1">
      <c r="C16" s="102">
        <v>5</v>
      </c>
      <c r="D16" s="55"/>
      <c r="E16" s="55"/>
      <c r="F16" s="55"/>
      <c r="G16" s="55"/>
      <c r="H16" s="106">
        <v>0</v>
      </c>
      <c r="I16" s="107"/>
      <c r="J16" s="108">
        <v>6.6666666666666666E-2</v>
      </c>
    </row>
    <row r="17" spans="3:10" ht="15" customHeight="1">
      <c r="C17" s="102">
        <v>5.0999999999999996</v>
      </c>
      <c r="D17" s="55"/>
      <c r="E17" s="55"/>
      <c r="F17" s="55"/>
      <c r="G17" s="55"/>
      <c r="H17" s="106">
        <v>0</v>
      </c>
      <c r="I17" s="107"/>
      <c r="J17" s="108">
        <v>0.06</v>
      </c>
    </row>
    <row r="18" spans="3:10" ht="15" customHeight="1">
      <c r="C18" s="102">
        <v>5.2</v>
      </c>
      <c r="D18" s="55"/>
      <c r="E18" s="55"/>
      <c r="F18" s="55"/>
      <c r="G18" s="55"/>
      <c r="H18" s="106">
        <v>0</v>
      </c>
      <c r="I18" s="107"/>
      <c r="J18" s="108">
        <v>2.6666666666666668E-2</v>
      </c>
    </row>
    <row r="19" spans="3:10" ht="15" customHeight="1">
      <c r="C19" s="102">
        <v>5.3</v>
      </c>
      <c r="D19" s="55"/>
      <c r="E19" s="55"/>
      <c r="F19" s="55"/>
      <c r="G19" s="55"/>
      <c r="H19" s="106">
        <v>0</v>
      </c>
      <c r="I19" s="107"/>
      <c r="J19" s="108">
        <v>6.6666666666666671E-3</v>
      </c>
    </row>
    <row r="20" spans="3:10" ht="15" customHeight="1">
      <c r="C20" s="102">
        <v>5.4</v>
      </c>
      <c r="D20" s="55"/>
      <c r="E20" s="55"/>
      <c r="F20" s="55"/>
      <c r="G20" s="55"/>
      <c r="H20" s="106">
        <v>0</v>
      </c>
      <c r="I20" s="107"/>
      <c r="J20" s="108">
        <v>0.04</v>
      </c>
    </row>
    <row r="21" spans="3:10" ht="15" customHeight="1">
      <c r="C21" s="102">
        <v>5.5</v>
      </c>
      <c r="D21" s="55"/>
      <c r="E21" s="55"/>
      <c r="F21" s="55"/>
      <c r="G21" s="55"/>
      <c r="H21" s="106">
        <v>0</v>
      </c>
      <c r="I21" s="107"/>
      <c r="J21" s="108">
        <v>4.6666666666666669E-2</v>
      </c>
    </row>
    <row r="22" spans="3:10" ht="15" customHeight="1">
      <c r="C22" s="102">
        <v>5.6</v>
      </c>
      <c r="D22" s="55"/>
      <c r="E22" s="55"/>
      <c r="F22" s="55"/>
      <c r="G22" s="55"/>
      <c r="H22" s="106">
        <v>0</v>
      </c>
      <c r="I22" s="107"/>
      <c r="J22" s="108">
        <v>0.04</v>
      </c>
    </row>
    <row r="23" spans="3:10" ht="15" customHeight="1">
      <c r="C23" s="102">
        <v>5.7</v>
      </c>
      <c r="D23" s="55"/>
      <c r="E23" s="55"/>
      <c r="F23" s="55"/>
      <c r="G23" s="55"/>
      <c r="H23" s="106">
        <v>0</v>
      </c>
      <c r="I23" s="107"/>
      <c r="J23" s="108">
        <v>5.3333333333333337E-2</v>
      </c>
    </row>
    <row r="24" spans="3:10" ht="15" customHeight="1">
      <c r="C24" s="102">
        <v>5.8</v>
      </c>
      <c r="D24" s="55"/>
      <c r="E24" s="55"/>
      <c r="F24" s="55"/>
      <c r="G24" s="55"/>
      <c r="H24" s="106">
        <v>0</v>
      </c>
      <c r="I24" s="107"/>
      <c r="J24" s="108">
        <v>4.6666666666666669E-2</v>
      </c>
    </row>
    <row r="25" spans="3:10" ht="15" customHeight="1">
      <c r="C25" s="102">
        <v>5.9</v>
      </c>
      <c r="D25" s="55"/>
      <c r="E25" s="55"/>
      <c r="F25" s="55"/>
      <c r="G25" s="55"/>
      <c r="H25" s="106">
        <v>0</v>
      </c>
      <c r="I25" s="107"/>
      <c r="J25" s="108">
        <v>0.02</v>
      </c>
    </row>
    <row r="26" spans="3:10" ht="15" customHeight="1">
      <c r="C26" s="102">
        <v>6</v>
      </c>
      <c r="D26" s="55"/>
      <c r="E26" s="55"/>
      <c r="F26" s="55"/>
      <c r="G26" s="55"/>
      <c r="H26" s="106">
        <v>0</v>
      </c>
      <c r="I26" s="107"/>
      <c r="J26" s="108">
        <v>0.04</v>
      </c>
    </row>
    <row r="27" spans="3:10" ht="15" customHeight="1">
      <c r="C27" s="102">
        <v>6.1</v>
      </c>
      <c r="D27" s="55"/>
      <c r="E27" s="55"/>
      <c r="F27" s="55"/>
      <c r="G27" s="55"/>
      <c r="H27" s="106">
        <v>0</v>
      </c>
      <c r="I27" s="107"/>
      <c r="J27" s="108">
        <v>0.04</v>
      </c>
    </row>
    <row r="28" spans="3:10" ht="15" customHeight="1">
      <c r="C28" s="102">
        <v>6.2</v>
      </c>
      <c r="D28" s="55"/>
      <c r="E28" s="55"/>
      <c r="F28" s="55"/>
      <c r="G28" s="55"/>
      <c r="H28" s="106">
        <v>0</v>
      </c>
      <c r="I28" s="107"/>
      <c r="J28" s="108">
        <v>2.6666666666666668E-2</v>
      </c>
    </row>
    <row r="29" spans="3:10" ht="15" customHeight="1">
      <c r="C29" s="102">
        <v>6.3</v>
      </c>
      <c r="D29" s="55"/>
      <c r="E29" s="55"/>
      <c r="F29" s="55"/>
      <c r="G29" s="55"/>
      <c r="H29" s="106">
        <v>0</v>
      </c>
      <c r="I29" s="107"/>
      <c r="J29" s="108">
        <v>0.06</v>
      </c>
    </row>
    <row r="30" spans="3:10" ht="15" customHeight="1">
      <c r="C30" s="102">
        <v>6.4</v>
      </c>
      <c r="D30" s="55"/>
      <c r="E30" s="55"/>
      <c r="F30" s="55"/>
      <c r="G30" s="55"/>
      <c r="H30" s="106">
        <v>0</v>
      </c>
      <c r="I30" s="107"/>
      <c r="J30" s="108">
        <v>4.6666666666666669E-2</v>
      </c>
    </row>
    <row r="31" spans="3:10" ht="15" customHeight="1">
      <c r="C31" s="102">
        <v>6.5</v>
      </c>
      <c r="D31" s="55"/>
      <c r="E31" s="55"/>
      <c r="F31" s="55"/>
      <c r="G31" s="55"/>
      <c r="H31" s="106">
        <v>0</v>
      </c>
      <c r="I31" s="107"/>
      <c r="J31" s="108">
        <v>3.3333333333333333E-2</v>
      </c>
    </row>
    <row r="32" spans="3:10" ht="15" customHeight="1">
      <c r="C32" s="102">
        <v>6.6</v>
      </c>
      <c r="D32" s="55"/>
      <c r="E32" s="55"/>
      <c r="F32" s="55"/>
      <c r="G32" s="55"/>
      <c r="H32" s="106">
        <v>0</v>
      </c>
      <c r="I32" s="107"/>
      <c r="J32" s="108">
        <v>1.3333333333333334E-2</v>
      </c>
    </row>
    <row r="33" spans="3:10" ht="15" customHeight="1">
      <c r="C33" s="102">
        <v>6.7</v>
      </c>
      <c r="D33" s="55"/>
      <c r="E33" s="55"/>
      <c r="F33" s="55"/>
      <c r="G33" s="55"/>
      <c r="H33" s="106">
        <v>0</v>
      </c>
      <c r="I33" s="107"/>
      <c r="J33" s="108">
        <v>5.3333333333333337E-2</v>
      </c>
    </row>
    <row r="34" spans="3:10" ht="15" customHeight="1">
      <c r="C34" s="102">
        <v>6.8</v>
      </c>
      <c r="D34" s="55"/>
      <c r="E34" s="55"/>
      <c r="F34" s="55"/>
      <c r="G34" s="55"/>
      <c r="H34" s="106">
        <v>0</v>
      </c>
      <c r="I34" s="107"/>
      <c r="J34" s="108">
        <v>0.02</v>
      </c>
    </row>
    <row r="35" spans="3:10" ht="15" customHeight="1">
      <c r="C35" s="102">
        <v>6.9</v>
      </c>
      <c r="D35" s="55"/>
      <c r="E35" s="55"/>
      <c r="F35" s="55"/>
      <c r="G35" s="55"/>
      <c r="H35" s="106">
        <v>0</v>
      </c>
      <c r="I35" s="107"/>
      <c r="J35" s="108">
        <v>2.6666666666666668E-2</v>
      </c>
    </row>
    <row r="36" spans="3:10" ht="15" customHeight="1">
      <c r="C36" s="102">
        <v>7</v>
      </c>
      <c r="D36" s="55"/>
      <c r="E36" s="55"/>
      <c r="F36" s="55"/>
      <c r="G36" s="55"/>
      <c r="H36" s="106">
        <v>0</v>
      </c>
      <c r="I36" s="107"/>
      <c r="J36" s="108">
        <v>6.6666666666666671E-3</v>
      </c>
    </row>
    <row r="37" spans="3:10" ht="15" customHeight="1">
      <c r="C37" s="102">
        <v>7.1</v>
      </c>
      <c r="D37" s="55"/>
      <c r="E37" s="55"/>
      <c r="F37" s="55"/>
      <c r="G37" s="55"/>
      <c r="H37" s="106">
        <v>0</v>
      </c>
      <c r="I37" s="107"/>
      <c r="J37" s="108">
        <v>6.6666666666666671E-3</v>
      </c>
    </row>
    <row r="38" spans="3:10" ht="15" customHeight="1">
      <c r="C38" s="102">
        <v>7.2</v>
      </c>
      <c r="D38" s="55"/>
      <c r="E38" s="55"/>
      <c r="F38" s="55"/>
      <c r="G38" s="55"/>
      <c r="H38" s="106">
        <v>0</v>
      </c>
      <c r="I38" s="107"/>
      <c r="J38" s="108">
        <v>0.02</v>
      </c>
    </row>
    <row r="39" spans="3:10" ht="15" customHeight="1">
      <c r="C39" s="102">
        <v>7.3</v>
      </c>
      <c r="D39" s="55"/>
      <c r="E39" s="55"/>
      <c r="F39" s="55"/>
      <c r="G39" s="55"/>
      <c r="H39" s="106">
        <v>0</v>
      </c>
      <c r="I39" s="107"/>
      <c r="J39" s="108">
        <v>6.6666666666666671E-3</v>
      </c>
    </row>
    <row r="40" spans="3:10" ht="15" customHeight="1">
      <c r="C40" s="102">
        <v>7.4</v>
      </c>
      <c r="D40" s="55"/>
      <c r="E40" s="55"/>
      <c r="F40" s="55"/>
      <c r="G40" s="55"/>
      <c r="H40" s="106">
        <v>0</v>
      </c>
      <c r="I40" s="107"/>
      <c r="J40" s="108">
        <v>6.6666666666666671E-3</v>
      </c>
    </row>
    <row r="41" spans="3:10" ht="15" customHeight="1">
      <c r="C41" s="102">
        <v>7.6</v>
      </c>
      <c r="D41" s="55"/>
      <c r="E41" s="55"/>
      <c r="F41" s="55"/>
      <c r="G41" s="55"/>
      <c r="H41" s="106">
        <v>0</v>
      </c>
      <c r="I41" s="107"/>
      <c r="J41" s="108">
        <v>6.6666666666666671E-3</v>
      </c>
    </row>
    <row r="42" spans="3:10" ht="15" customHeight="1">
      <c r="C42" s="102">
        <v>7.7</v>
      </c>
      <c r="D42" s="55"/>
      <c r="E42" s="55"/>
      <c r="F42" s="55"/>
      <c r="G42" s="55"/>
      <c r="H42" s="106">
        <v>0</v>
      </c>
      <c r="I42" s="107"/>
      <c r="J42" s="108">
        <v>2.6666666666666668E-2</v>
      </c>
    </row>
    <row r="43" spans="3:10" ht="15" customHeight="1">
      <c r="C43" s="102">
        <v>7.9</v>
      </c>
      <c r="D43" s="55"/>
      <c r="E43" s="55"/>
      <c r="F43" s="55"/>
      <c r="G43" s="55"/>
      <c r="H43" s="106">
        <v>0</v>
      </c>
      <c r="I43" s="107"/>
      <c r="J43" s="108">
        <v>6.6666666666666671E-3</v>
      </c>
    </row>
    <row r="44" spans="3:10" ht="15" customHeight="1">
      <c r="C44" s="102" t="s">
        <v>72</v>
      </c>
      <c r="D44" s="55"/>
      <c r="E44" s="55"/>
      <c r="F44" s="55"/>
      <c r="G44" s="55"/>
      <c r="H44" s="106">
        <v>0</v>
      </c>
      <c r="I44" s="107"/>
      <c r="J44" s="108">
        <v>1</v>
      </c>
    </row>
    <row r="45" spans="3:10" ht="15" customHeight="1">
      <c r="C45"/>
      <c r="D45"/>
      <c r="E45"/>
      <c r="F45"/>
      <c r="G45"/>
      <c r="H45"/>
      <c r="I45"/>
      <c r="J45"/>
    </row>
    <row r="46" spans="3:10" ht="15" customHeight="1">
      <c r="C46"/>
      <c r="D46"/>
      <c r="E46"/>
      <c r="F46"/>
      <c r="G46"/>
      <c r="H46"/>
      <c r="I46"/>
      <c r="J46"/>
    </row>
    <row r="47" spans="3:10" ht="15" customHeight="1">
      <c r="C47"/>
      <c r="D47"/>
      <c r="E47"/>
      <c r="F47"/>
      <c r="G47"/>
      <c r="H47"/>
      <c r="I47"/>
      <c r="J47"/>
    </row>
    <row r="48" spans="3:10" ht="15" customHeight="1">
      <c r="C48"/>
      <c r="D48"/>
      <c r="E48"/>
      <c r="F48"/>
      <c r="G48"/>
      <c r="H48"/>
      <c r="I48"/>
      <c r="J48"/>
    </row>
    <row r="49" spans="3:10" ht="15" customHeight="1">
      <c r="C49"/>
      <c r="D49"/>
      <c r="E49"/>
      <c r="F49"/>
      <c r="G49"/>
      <c r="H49"/>
      <c r="I49"/>
      <c r="J49"/>
    </row>
    <row r="50" spans="3:10" ht="15" customHeight="1">
      <c r="C50"/>
      <c r="D50"/>
      <c r="E50"/>
      <c r="F50"/>
      <c r="G50"/>
      <c r="H50"/>
      <c r="I50"/>
      <c r="J50"/>
    </row>
    <row r="51" spans="3:10" ht="15" customHeight="1">
      <c r="C51"/>
      <c r="D51"/>
      <c r="E51"/>
      <c r="F51"/>
      <c r="G51"/>
      <c r="H51"/>
      <c r="I51"/>
      <c r="J51"/>
    </row>
    <row r="52" spans="3:10" ht="15" customHeight="1">
      <c r="C52"/>
      <c r="D52"/>
      <c r="E52"/>
      <c r="F52"/>
      <c r="G52"/>
      <c r="H52"/>
      <c r="I52"/>
      <c r="J52"/>
    </row>
    <row r="53" spans="3:10" ht="15" customHeight="1">
      <c r="C53"/>
      <c r="D53"/>
      <c r="E53"/>
      <c r="F53"/>
      <c r="G53"/>
      <c r="H53"/>
      <c r="I53"/>
      <c r="J53"/>
    </row>
    <row r="54" spans="3:10" ht="15" customHeight="1">
      <c r="C54"/>
      <c r="D54"/>
      <c r="E54"/>
      <c r="F54"/>
      <c r="G54"/>
      <c r="H54"/>
      <c r="I54"/>
      <c r="J54"/>
    </row>
    <row r="55" spans="3:10" ht="15" customHeight="1">
      <c r="C55"/>
      <c r="D55"/>
      <c r="E55"/>
      <c r="F55"/>
      <c r="G55"/>
      <c r="H55"/>
      <c r="I55"/>
      <c r="J55"/>
    </row>
    <row r="56" spans="3:10" ht="15" customHeight="1">
      <c r="C56"/>
      <c r="D56"/>
      <c r="E56"/>
      <c r="F56"/>
      <c r="G56"/>
      <c r="H56"/>
      <c r="I56"/>
      <c r="J56"/>
    </row>
    <row r="57" spans="3:10" ht="15" customHeight="1">
      <c r="C57"/>
      <c r="D57"/>
      <c r="E57"/>
      <c r="F57"/>
      <c r="G57"/>
      <c r="H57"/>
      <c r="I57"/>
      <c r="J57"/>
    </row>
    <row r="58" spans="3:10" ht="15" customHeight="1">
      <c r="C58"/>
      <c r="D58"/>
      <c r="E58"/>
      <c r="F58"/>
      <c r="G58"/>
      <c r="H58"/>
      <c r="I58"/>
      <c r="J58"/>
    </row>
    <row r="59" spans="3:10" ht="15" customHeight="1">
      <c r="C59"/>
      <c r="D59"/>
      <c r="E59"/>
      <c r="F59"/>
      <c r="G59"/>
      <c r="H59"/>
      <c r="I59"/>
      <c r="J59"/>
    </row>
    <row r="60" spans="3:10" ht="15" customHeight="1">
      <c r="C60"/>
      <c r="D60"/>
      <c r="E60"/>
      <c r="F60"/>
      <c r="G60"/>
      <c r="H60"/>
      <c r="I60"/>
      <c r="J60"/>
    </row>
    <row r="61" spans="3:10" ht="15" customHeight="1">
      <c r="C61"/>
      <c r="D61"/>
      <c r="E61"/>
      <c r="F61"/>
      <c r="G61"/>
      <c r="H61"/>
      <c r="I61"/>
      <c r="J61"/>
    </row>
    <row r="62" spans="3:10" ht="15" customHeight="1">
      <c r="C62"/>
      <c r="D62"/>
      <c r="E62"/>
      <c r="F62"/>
      <c r="G62"/>
      <c r="H62"/>
      <c r="I62"/>
      <c r="J62"/>
    </row>
    <row r="63" spans="3:10" ht="15" customHeight="1">
      <c r="C63"/>
      <c r="D63"/>
      <c r="E63"/>
      <c r="F63"/>
      <c r="G63"/>
      <c r="H63"/>
      <c r="I63"/>
      <c r="J63"/>
    </row>
    <row r="64" spans="3:10" ht="15" customHeight="1">
      <c r="C64"/>
      <c r="D64"/>
      <c r="E64"/>
      <c r="F64"/>
      <c r="G64"/>
      <c r="H64"/>
      <c r="I64"/>
      <c r="J64"/>
    </row>
    <row r="65" spans="3:10" ht="15" customHeight="1">
      <c r="C65"/>
      <c r="D65"/>
      <c r="E65"/>
      <c r="F65"/>
      <c r="G65"/>
      <c r="H65"/>
      <c r="I65"/>
      <c r="J65"/>
    </row>
    <row r="66" spans="3:10" ht="15" customHeight="1">
      <c r="C66"/>
      <c r="D66"/>
      <c r="E66"/>
      <c r="F66"/>
      <c r="G66"/>
      <c r="H66"/>
      <c r="I66"/>
      <c r="J66"/>
    </row>
    <row r="67" spans="3:10" ht="15" customHeight="1">
      <c r="C67"/>
      <c r="D67"/>
      <c r="E67"/>
      <c r="F67"/>
      <c r="G67"/>
      <c r="H67"/>
      <c r="I67"/>
      <c r="J67"/>
    </row>
    <row r="68" spans="3:10" ht="15" customHeight="1">
      <c r="C68"/>
      <c r="D68"/>
      <c r="E68"/>
      <c r="F68"/>
      <c r="G68"/>
      <c r="H68"/>
      <c r="I68"/>
      <c r="J68"/>
    </row>
    <row r="69" spans="3:10" ht="15" customHeight="1">
      <c r="C69"/>
      <c r="D69"/>
      <c r="E69"/>
      <c r="F69"/>
      <c r="G69"/>
      <c r="H69"/>
      <c r="I69"/>
      <c r="J69"/>
    </row>
    <row r="70" spans="3:10" ht="15" customHeight="1">
      <c r="C70"/>
      <c r="D70"/>
      <c r="E70"/>
      <c r="F70"/>
      <c r="G70"/>
      <c r="H70"/>
      <c r="I70"/>
      <c r="J70"/>
    </row>
    <row r="71" spans="3:10" ht="15" customHeight="1">
      <c r="C71"/>
      <c r="D71"/>
      <c r="E71"/>
      <c r="F71"/>
      <c r="G71"/>
      <c r="H71"/>
      <c r="I71"/>
      <c r="J71"/>
    </row>
    <row r="72" spans="3:10" ht="15" customHeight="1">
      <c r="C72"/>
      <c r="D72"/>
      <c r="E72"/>
      <c r="F72"/>
      <c r="G72"/>
      <c r="H72"/>
      <c r="I72"/>
      <c r="J72"/>
    </row>
    <row r="73" spans="3:10" ht="15" customHeight="1">
      <c r="C73"/>
      <c r="D73"/>
      <c r="E73"/>
      <c r="F73"/>
      <c r="G73"/>
      <c r="H73"/>
      <c r="I73"/>
      <c r="J73"/>
    </row>
    <row r="74" spans="3:10" ht="15" customHeight="1">
      <c r="C74"/>
      <c r="D74"/>
      <c r="E74"/>
      <c r="F74"/>
      <c r="G74"/>
      <c r="H74"/>
      <c r="I74"/>
      <c r="J74"/>
    </row>
    <row r="75" spans="3:10" ht="15" customHeight="1">
      <c r="C75"/>
      <c r="D75"/>
      <c r="E75"/>
      <c r="F75"/>
      <c r="G75"/>
      <c r="H75"/>
      <c r="I75"/>
      <c r="J75"/>
    </row>
    <row r="76" spans="3:10" ht="15" customHeight="1">
      <c r="C76"/>
      <c r="D76"/>
      <c r="E76"/>
      <c r="F76"/>
      <c r="G76"/>
      <c r="H76"/>
      <c r="I76"/>
      <c r="J76"/>
    </row>
    <row r="77" spans="3:10" ht="15" customHeight="1">
      <c r="C77"/>
      <c r="D77"/>
      <c r="E77"/>
      <c r="F77"/>
      <c r="G77"/>
      <c r="H77"/>
      <c r="I77"/>
      <c r="J77"/>
    </row>
    <row r="78" spans="3:10" ht="15" customHeight="1">
      <c r="C78"/>
      <c r="D78"/>
      <c r="E78"/>
      <c r="F78"/>
      <c r="G78"/>
      <c r="H78"/>
      <c r="I78"/>
      <c r="J78"/>
    </row>
    <row r="79" spans="3:10" ht="15" customHeight="1">
      <c r="C79"/>
      <c r="D79"/>
      <c r="E79"/>
      <c r="F79"/>
      <c r="G79"/>
      <c r="H79"/>
      <c r="I79"/>
      <c r="J79"/>
    </row>
    <row r="80" spans="3:10" ht="15" customHeight="1">
      <c r="C80"/>
      <c r="D80"/>
      <c r="E80"/>
      <c r="F80"/>
      <c r="G80"/>
      <c r="H80"/>
      <c r="I80"/>
      <c r="J80"/>
    </row>
    <row r="81" spans="3:10" ht="15" customHeight="1">
      <c r="C81"/>
      <c r="D81"/>
      <c r="E81"/>
      <c r="F81"/>
      <c r="G81"/>
      <c r="H81"/>
      <c r="I81"/>
      <c r="J81"/>
    </row>
    <row r="82" spans="3:10" ht="15" customHeight="1">
      <c r="C82"/>
      <c r="D82"/>
      <c r="E82"/>
      <c r="F82"/>
      <c r="G82"/>
      <c r="H82"/>
      <c r="I82"/>
      <c r="J82"/>
    </row>
    <row r="83" spans="3:10" ht="15" customHeight="1">
      <c r="C83"/>
      <c r="D83"/>
      <c r="E83"/>
      <c r="F83"/>
      <c r="G83"/>
      <c r="H83"/>
      <c r="I83"/>
      <c r="J83"/>
    </row>
    <row r="84" spans="3:10" ht="15" customHeight="1">
      <c r="C84"/>
      <c r="D84"/>
      <c r="E84"/>
      <c r="F84"/>
      <c r="G84"/>
      <c r="H84"/>
      <c r="I84"/>
      <c r="J84"/>
    </row>
    <row r="85" spans="3:10" ht="15" customHeight="1">
      <c r="C85"/>
      <c r="D85"/>
      <c r="E85"/>
      <c r="F85"/>
      <c r="G85"/>
      <c r="H85"/>
      <c r="I85"/>
      <c r="J85"/>
    </row>
    <row r="86" spans="3:10" ht="15" customHeight="1">
      <c r="C86"/>
      <c r="D86"/>
      <c r="E86"/>
      <c r="F86"/>
      <c r="G86"/>
      <c r="H86"/>
      <c r="I86"/>
      <c r="J86"/>
    </row>
    <row r="87" spans="3:10" ht="15" customHeight="1">
      <c r="C87"/>
      <c r="D87"/>
      <c r="E87"/>
      <c r="F87"/>
      <c r="G87"/>
      <c r="H87"/>
      <c r="I87"/>
      <c r="J87"/>
    </row>
    <row r="88" spans="3:10" ht="15" customHeight="1">
      <c r="C88"/>
      <c r="D88"/>
      <c r="E88"/>
      <c r="F88"/>
      <c r="G88"/>
      <c r="H88"/>
      <c r="I88"/>
      <c r="J88"/>
    </row>
    <row r="89" spans="3:10" ht="15" customHeight="1">
      <c r="C89"/>
      <c r="D89"/>
      <c r="E89"/>
      <c r="F89"/>
      <c r="G89"/>
      <c r="H89"/>
      <c r="I89"/>
      <c r="J89"/>
    </row>
    <row r="90" spans="3:10" ht="15" customHeight="1">
      <c r="C90"/>
      <c r="D90"/>
      <c r="E90"/>
      <c r="F90"/>
      <c r="G90"/>
      <c r="H90"/>
      <c r="I90"/>
      <c r="J90"/>
    </row>
    <row r="91" spans="3:10" ht="15" customHeight="1">
      <c r="C91"/>
      <c r="D91"/>
      <c r="E91"/>
      <c r="F91"/>
      <c r="G91"/>
      <c r="H91"/>
      <c r="I91"/>
      <c r="J91"/>
    </row>
    <row r="92" spans="3:10" ht="15" customHeight="1">
      <c r="C92"/>
      <c r="D92"/>
      <c r="E92"/>
      <c r="F92"/>
      <c r="G92"/>
      <c r="H92"/>
      <c r="I92"/>
      <c r="J92"/>
    </row>
    <row r="93" spans="3:10" ht="15" customHeight="1">
      <c r="C93"/>
      <c r="D93"/>
      <c r="E93"/>
      <c r="F93"/>
      <c r="G93"/>
      <c r="H93"/>
      <c r="I93"/>
      <c r="J93"/>
    </row>
    <row r="94" spans="3:10" ht="15" customHeight="1">
      <c r="C94"/>
      <c r="D94"/>
      <c r="E94"/>
      <c r="F94"/>
      <c r="G94"/>
      <c r="H94"/>
      <c r="I94"/>
      <c r="J94"/>
    </row>
    <row r="95" spans="3:10" ht="15" customHeight="1">
      <c r="C95"/>
      <c r="D95"/>
      <c r="E95"/>
      <c r="F95"/>
      <c r="G95"/>
      <c r="H95"/>
      <c r="I95"/>
      <c r="J95"/>
    </row>
    <row r="96" spans="3:10" ht="15" customHeight="1">
      <c r="C96"/>
      <c r="D96"/>
      <c r="E96"/>
      <c r="F96"/>
      <c r="G96"/>
      <c r="H96"/>
      <c r="I96"/>
      <c r="J96"/>
    </row>
    <row r="97" spans="3:10" ht="15" customHeight="1">
      <c r="C97"/>
      <c r="D97"/>
      <c r="E97"/>
      <c r="F97"/>
      <c r="G97"/>
      <c r="H97"/>
      <c r="I97"/>
      <c r="J97"/>
    </row>
    <row r="98" spans="3:10" ht="15" customHeight="1">
      <c r="C98"/>
      <c r="D98"/>
      <c r="E98"/>
      <c r="F98"/>
      <c r="G98"/>
      <c r="H98"/>
      <c r="I98"/>
      <c r="J98"/>
    </row>
    <row r="99" spans="3:10" ht="15" customHeight="1">
      <c r="C99"/>
      <c r="D99"/>
      <c r="E99"/>
      <c r="F99"/>
      <c r="G99"/>
      <c r="H99"/>
      <c r="I99"/>
      <c r="J99"/>
    </row>
    <row r="100" spans="3:10" ht="15" customHeight="1">
      <c r="C100"/>
      <c r="D100"/>
      <c r="E100"/>
      <c r="F100"/>
      <c r="G100"/>
      <c r="H100"/>
      <c r="I100"/>
      <c r="J100"/>
    </row>
    <row r="101" spans="3:10" ht="15" customHeight="1">
      <c r="C101"/>
      <c r="D101"/>
      <c r="E101"/>
      <c r="F101"/>
      <c r="G101"/>
      <c r="H101"/>
      <c r="I101"/>
      <c r="J101"/>
    </row>
    <row r="102" spans="3:10" ht="15" customHeight="1">
      <c r="C102"/>
      <c r="D102"/>
      <c r="E102"/>
      <c r="F102"/>
      <c r="G102"/>
      <c r="H102"/>
      <c r="I102"/>
      <c r="J102"/>
    </row>
    <row r="103" spans="3:10" ht="15" customHeight="1">
      <c r="C103"/>
      <c r="D103"/>
      <c r="E103"/>
      <c r="F103"/>
      <c r="G103"/>
      <c r="H103"/>
      <c r="I103"/>
      <c r="J103"/>
    </row>
    <row r="104" spans="3:10" ht="15" customHeight="1">
      <c r="C104"/>
      <c r="D104"/>
      <c r="E104"/>
      <c r="F104"/>
      <c r="G104"/>
      <c r="H104"/>
      <c r="I104"/>
      <c r="J104"/>
    </row>
    <row r="105" spans="3:10" ht="15" customHeight="1">
      <c r="C105"/>
      <c r="D105"/>
      <c r="E105"/>
      <c r="F105"/>
      <c r="G105"/>
      <c r="H105"/>
      <c r="I105"/>
      <c r="J105"/>
    </row>
    <row r="106" spans="3:10" ht="15" customHeight="1">
      <c r="C106"/>
      <c r="D106"/>
      <c r="E106"/>
      <c r="F106"/>
      <c r="G106"/>
      <c r="H106"/>
      <c r="I106"/>
      <c r="J106"/>
    </row>
    <row r="107" spans="3:10" ht="15" customHeight="1">
      <c r="C107"/>
      <c r="D107"/>
      <c r="E107"/>
      <c r="F107"/>
      <c r="G107"/>
      <c r="H107"/>
      <c r="I107"/>
      <c r="J107"/>
    </row>
    <row r="108" spans="3:10" ht="15" customHeight="1">
      <c r="C108"/>
      <c r="D108"/>
      <c r="E108"/>
      <c r="F108"/>
      <c r="G108"/>
      <c r="H108"/>
      <c r="I108"/>
      <c r="J108"/>
    </row>
    <row r="109" spans="3:10" ht="15" customHeight="1">
      <c r="C109"/>
      <c r="D109"/>
      <c r="E109"/>
      <c r="F109"/>
      <c r="G109"/>
      <c r="H109"/>
      <c r="I109"/>
      <c r="J109"/>
    </row>
    <row r="110" spans="3:10" ht="15" customHeight="1">
      <c r="C110"/>
      <c r="D110"/>
      <c r="E110"/>
      <c r="F110"/>
      <c r="G110"/>
      <c r="H110"/>
      <c r="I110"/>
      <c r="J110"/>
    </row>
    <row r="111" spans="3:10" ht="15" customHeight="1">
      <c r="C111"/>
      <c r="D111"/>
      <c r="E111"/>
      <c r="F111"/>
      <c r="G111"/>
      <c r="H111"/>
      <c r="I111"/>
      <c r="J111"/>
    </row>
    <row r="112" spans="3:10" ht="15" customHeight="1">
      <c r="C112"/>
      <c r="D112"/>
      <c r="E112"/>
      <c r="F112"/>
      <c r="G112"/>
      <c r="H112"/>
      <c r="I112"/>
      <c r="J112"/>
    </row>
    <row r="113" spans="3:10" ht="15" customHeight="1">
      <c r="C113"/>
      <c r="D113"/>
      <c r="E113"/>
      <c r="F113"/>
      <c r="G113"/>
      <c r="H113"/>
      <c r="I113"/>
      <c r="J113"/>
    </row>
    <row r="114" spans="3:10" ht="15" customHeight="1">
      <c r="C114"/>
      <c r="D114"/>
      <c r="E114"/>
      <c r="F114"/>
      <c r="G114"/>
      <c r="H114"/>
      <c r="I114"/>
      <c r="J114"/>
    </row>
    <row r="115" spans="3:10" ht="15" customHeight="1">
      <c r="C115"/>
      <c r="D115"/>
      <c r="E115"/>
      <c r="F115"/>
      <c r="G115"/>
      <c r="H115"/>
      <c r="I115"/>
      <c r="J115"/>
    </row>
    <row r="116" spans="3:10" ht="15" customHeight="1">
      <c r="C116"/>
      <c r="D116"/>
      <c r="E116"/>
      <c r="F116"/>
      <c r="G116"/>
      <c r="H116"/>
      <c r="I116"/>
      <c r="J116"/>
    </row>
    <row r="117" spans="3:10" ht="15" customHeight="1">
      <c r="C117"/>
      <c r="D117"/>
      <c r="E117"/>
      <c r="F117"/>
      <c r="G117"/>
      <c r="H117"/>
      <c r="I117"/>
      <c r="J117"/>
    </row>
    <row r="118" spans="3:10" ht="15" customHeight="1">
      <c r="C118"/>
      <c r="D118"/>
      <c r="E118"/>
      <c r="F118"/>
      <c r="G118"/>
      <c r="H118"/>
      <c r="I118"/>
      <c r="J118"/>
    </row>
    <row r="119" spans="3:10" ht="15" customHeight="1">
      <c r="C119"/>
      <c r="D119"/>
      <c r="E119"/>
      <c r="F119"/>
      <c r="G119"/>
      <c r="H119"/>
      <c r="I119"/>
      <c r="J119"/>
    </row>
    <row r="120" spans="3:10" ht="15" customHeight="1">
      <c r="C120"/>
      <c r="D120"/>
      <c r="E120"/>
      <c r="F120"/>
      <c r="G120"/>
      <c r="H120"/>
      <c r="I120"/>
      <c r="J120"/>
    </row>
    <row r="121" spans="3:10" ht="15" customHeight="1">
      <c r="C121"/>
      <c r="D121"/>
      <c r="E121"/>
      <c r="F121"/>
      <c r="G121"/>
      <c r="H121"/>
      <c r="I121"/>
      <c r="J121"/>
    </row>
    <row r="122" spans="3:10" ht="15" customHeight="1">
      <c r="C122"/>
      <c r="D122"/>
      <c r="E122"/>
      <c r="F122"/>
      <c r="G122"/>
      <c r="H122"/>
      <c r="I122"/>
      <c r="J122"/>
    </row>
    <row r="123" spans="3:10" ht="15" customHeight="1">
      <c r="C123"/>
      <c r="D123"/>
      <c r="E123"/>
      <c r="F123"/>
      <c r="G123"/>
      <c r="H123"/>
      <c r="I123"/>
      <c r="J123"/>
    </row>
    <row r="124" spans="3:10" ht="15" customHeight="1">
      <c r="C124"/>
      <c r="D124"/>
      <c r="E124"/>
      <c r="F124"/>
      <c r="G124"/>
      <c r="H124"/>
      <c r="I124"/>
      <c r="J124"/>
    </row>
    <row r="125" spans="3:10" ht="15" customHeight="1">
      <c r="C125"/>
      <c r="D125"/>
      <c r="E125"/>
      <c r="F125"/>
      <c r="G125"/>
      <c r="H125"/>
      <c r="I125"/>
      <c r="J125"/>
    </row>
    <row r="126" spans="3:10" ht="15" customHeight="1">
      <c r="C126"/>
      <c r="D126"/>
      <c r="E126"/>
      <c r="F126"/>
      <c r="G126"/>
      <c r="H126"/>
      <c r="I126"/>
      <c r="J126"/>
    </row>
    <row r="127" spans="3:10" ht="15" customHeight="1">
      <c r="C127"/>
      <c r="D127"/>
      <c r="E127"/>
      <c r="F127"/>
      <c r="G127"/>
      <c r="H127"/>
      <c r="I127"/>
      <c r="J127"/>
    </row>
    <row r="128" spans="3:10" ht="15" customHeight="1">
      <c r="C128"/>
      <c r="D128"/>
      <c r="E128"/>
      <c r="F128"/>
      <c r="G128"/>
      <c r="H128"/>
      <c r="I128"/>
      <c r="J128"/>
    </row>
    <row r="129" spans="3:10" ht="15" customHeight="1">
      <c r="C129"/>
      <c r="D129"/>
      <c r="E129"/>
      <c r="F129"/>
      <c r="G129"/>
      <c r="H129"/>
      <c r="I129"/>
      <c r="J129"/>
    </row>
    <row r="130" spans="3:10" ht="15" customHeight="1">
      <c r="C130"/>
      <c r="D130"/>
      <c r="E130"/>
      <c r="F130"/>
      <c r="G130"/>
      <c r="H130"/>
      <c r="I130"/>
      <c r="J130"/>
    </row>
    <row r="131" spans="3:10" ht="15" customHeight="1">
      <c r="C131"/>
      <c r="D131"/>
      <c r="E131"/>
      <c r="F131"/>
      <c r="G131"/>
      <c r="H131"/>
      <c r="I131"/>
      <c r="J131"/>
    </row>
    <row r="132" spans="3:10" ht="15" customHeight="1">
      <c r="C132"/>
      <c r="D132"/>
      <c r="E132"/>
      <c r="F132"/>
      <c r="G132"/>
      <c r="H132"/>
      <c r="I132"/>
      <c r="J132"/>
    </row>
    <row r="133" spans="3:10" ht="15" customHeight="1">
      <c r="C133"/>
      <c r="D133"/>
      <c r="E133"/>
      <c r="F133"/>
      <c r="G133"/>
      <c r="H133"/>
      <c r="I133"/>
      <c r="J133"/>
    </row>
    <row r="134" spans="3:10" ht="15" customHeight="1">
      <c r="C134"/>
      <c r="D134"/>
      <c r="E134"/>
      <c r="F134"/>
      <c r="G134"/>
      <c r="H134"/>
      <c r="I134"/>
      <c r="J134"/>
    </row>
    <row r="135" spans="3:10" ht="15" customHeight="1">
      <c r="C135"/>
      <c r="D135"/>
      <c r="E135"/>
      <c r="F135"/>
      <c r="G135"/>
      <c r="H135"/>
      <c r="I135"/>
      <c r="J135"/>
    </row>
    <row r="136" spans="3:10" ht="15" customHeight="1">
      <c r="C136"/>
      <c r="D136"/>
      <c r="E136"/>
      <c r="F136"/>
      <c r="G136"/>
      <c r="H136"/>
      <c r="I136"/>
      <c r="J136"/>
    </row>
    <row r="137" spans="3:10" ht="15" customHeight="1">
      <c r="C137"/>
      <c r="D137"/>
      <c r="E137"/>
      <c r="F137"/>
      <c r="G137"/>
      <c r="H137"/>
      <c r="I137"/>
      <c r="J137"/>
    </row>
    <row r="138" spans="3:10" ht="15" customHeight="1">
      <c r="C138"/>
      <c r="D138"/>
      <c r="E138"/>
      <c r="F138"/>
      <c r="G138"/>
      <c r="H138"/>
      <c r="I138"/>
      <c r="J138"/>
    </row>
    <row r="139" spans="3:10" ht="15" customHeight="1">
      <c r="C139"/>
      <c r="D139"/>
      <c r="E139"/>
      <c r="F139"/>
      <c r="G139"/>
      <c r="H139"/>
      <c r="I139"/>
      <c r="J139"/>
    </row>
    <row r="140" spans="3:10" ht="15" customHeight="1">
      <c r="C140"/>
      <c r="D140"/>
      <c r="E140"/>
      <c r="F140"/>
      <c r="G140"/>
      <c r="H140"/>
      <c r="I140"/>
      <c r="J140"/>
    </row>
    <row r="141" spans="3:10" ht="15" customHeight="1">
      <c r="C141"/>
      <c r="D141"/>
      <c r="E141"/>
      <c r="F141"/>
      <c r="G141"/>
      <c r="H141"/>
      <c r="I141"/>
      <c r="J141"/>
    </row>
    <row r="142" spans="3:10" ht="15" customHeight="1">
      <c r="C142"/>
      <c r="D142"/>
      <c r="E142"/>
      <c r="F142"/>
      <c r="G142"/>
      <c r="H142"/>
      <c r="I142"/>
      <c r="J142"/>
    </row>
    <row r="143" spans="3:10" ht="15" customHeight="1">
      <c r="C143"/>
      <c r="D143"/>
      <c r="E143"/>
      <c r="F143"/>
      <c r="G143"/>
      <c r="H143"/>
      <c r="I143"/>
      <c r="J143"/>
    </row>
    <row r="144" spans="3:10" ht="15" customHeight="1">
      <c r="C144"/>
      <c r="D144"/>
      <c r="E144"/>
      <c r="F144"/>
      <c r="G144"/>
      <c r="H144"/>
      <c r="I144"/>
      <c r="J144"/>
    </row>
    <row r="145" spans="3:10" ht="15" customHeight="1">
      <c r="C145"/>
      <c r="D145"/>
      <c r="E145"/>
      <c r="F145"/>
      <c r="G145"/>
      <c r="H145"/>
      <c r="I145"/>
      <c r="J145"/>
    </row>
    <row r="146" spans="3:10" ht="15" customHeight="1">
      <c r="C146"/>
      <c r="D146"/>
      <c r="E146"/>
      <c r="F146"/>
      <c r="G146"/>
      <c r="H146"/>
      <c r="I146"/>
      <c r="J146"/>
    </row>
    <row r="147" spans="3:10" ht="15" customHeight="1">
      <c r="C147"/>
      <c r="D147"/>
      <c r="E147"/>
      <c r="F147"/>
      <c r="G147"/>
      <c r="H147"/>
      <c r="I147"/>
      <c r="J147"/>
    </row>
    <row r="148" spans="3:10" ht="15" customHeight="1">
      <c r="C148"/>
      <c r="D148"/>
      <c r="E148"/>
      <c r="F148"/>
      <c r="G148"/>
      <c r="H148"/>
      <c r="I148"/>
      <c r="J148"/>
    </row>
    <row r="149" spans="3:10" ht="15" customHeight="1">
      <c r="C149"/>
      <c r="D149"/>
      <c r="E149"/>
      <c r="F149"/>
      <c r="G149"/>
      <c r="H149"/>
      <c r="I149"/>
      <c r="J149"/>
    </row>
    <row r="150" spans="3:10" ht="15" customHeight="1">
      <c r="C150"/>
      <c r="D150"/>
      <c r="E150"/>
      <c r="F150"/>
      <c r="G150"/>
      <c r="H150"/>
      <c r="I150"/>
      <c r="J150"/>
    </row>
    <row r="151" spans="3:10" ht="15" customHeight="1">
      <c r="C151"/>
      <c r="D151"/>
      <c r="E151"/>
      <c r="F151"/>
      <c r="G151"/>
      <c r="H151"/>
      <c r="I151"/>
      <c r="J151"/>
    </row>
    <row r="152" spans="3:10" ht="15" customHeight="1">
      <c r="C152"/>
      <c r="D152"/>
      <c r="E152"/>
      <c r="F152"/>
      <c r="G152"/>
      <c r="H152"/>
      <c r="I152"/>
      <c r="J152"/>
    </row>
    <row r="153" spans="3:10" ht="15" customHeight="1">
      <c r="C153"/>
      <c r="D153"/>
      <c r="E153"/>
      <c r="F153"/>
      <c r="G153"/>
      <c r="H153"/>
      <c r="I153"/>
      <c r="J153"/>
    </row>
    <row r="154" spans="3:10" ht="15" customHeight="1">
      <c r="C154"/>
      <c r="D154"/>
      <c r="E154"/>
      <c r="F154"/>
      <c r="G154"/>
      <c r="H154"/>
      <c r="I154"/>
      <c r="J154"/>
    </row>
    <row r="155" spans="3:10" ht="15" customHeight="1">
      <c r="C155"/>
      <c r="D155"/>
      <c r="E155"/>
      <c r="F155"/>
      <c r="G155"/>
      <c r="H155"/>
      <c r="I155"/>
      <c r="J155"/>
    </row>
    <row r="156" spans="3:10" ht="15" customHeight="1">
      <c r="C156"/>
      <c r="D156"/>
      <c r="E156"/>
      <c r="F156"/>
      <c r="G156"/>
      <c r="H156"/>
      <c r="I156"/>
      <c r="J156"/>
    </row>
    <row r="157" spans="3:10" ht="15" customHeight="1">
      <c r="C157"/>
      <c r="D157"/>
      <c r="E157"/>
      <c r="F157"/>
      <c r="G157"/>
      <c r="H157"/>
      <c r="I157"/>
      <c r="J157"/>
    </row>
    <row r="158" spans="3:10" ht="15" customHeight="1">
      <c r="C158"/>
      <c r="D158"/>
      <c r="E158"/>
      <c r="F158"/>
      <c r="G158"/>
      <c r="H158"/>
      <c r="I158"/>
      <c r="J158"/>
    </row>
  </sheetData>
  <conditionalFormatting pivot="1" sqref="H9:H44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I9:I44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defaultRowHeight="14.4"/>
  <cols>
    <col min="1" max="1" width="2.77734375" style="48" customWidth="1"/>
    <col min="2" max="2" width="2.77734375" style="49" customWidth="1"/>
    <col min="3" max="3" width="78.6640625" style="54" customWidth="1"/>
    <col min="4" max="4" width="31.88671875" style="48" customWidth="1"/>
    <col min="5" max="16384" width="8.88671875" style="48"/>
  </cols>
  <sheetData>
    <row r="2" spans="2:16" ht="43.2" customHeight="1">
      <c r="C2" s="47" t="s">
        <v>52</v>
      </c>
      <c r="P2"/>
    </row>
    <row r="3" spans="2:16" ht="4.95" customHeight="1">
      <c r="B3" s="48"/>
      <c r="C3" s="50"/>
      <c r="P3" s="51"/>
    </row>
    <row r="4" spans="2:16" ht="19.95" customHeight="1">
      <c r="B4" s="48"/>
      <c r="C4" s="50"/>
      <c r="P4" s="52"/>
    </row>
    <row r="5" spans="2:16" ht="4.95" customHeight="1">
      <c r="B5" s="48"/>
      <c r="C5" s="50"/>
    </row>
    <row r="6" spans="2:16" ht="34.950000000000003" customHeight="1">
      <c r="B6" s="61"/>
      <c r="C6" s="62"/>
      <c r="D6" s="62"/>
      <c r="E6" s="62"/>
      <c r="F6" s="62"/>
      <c r="G6" s="62"/>
      <c r="H6" s="62"/>
      <c r="I6" s="62"/>
      <c r="J6" s="62"/>
      <c r="K6" s="62"/>
      <c r="L6" s="62"/>
      <c r="M6" s="62"/>
      <c r="N6" s="62"/>
      <c r="O6" s="62"/>
      <c r="P6" s="62"/>
    </row>
    <row r="7" spans="2:16" ht="15" customHeight="1">
      <c r="B7" s="48"/>
      <c r="C7" s="48"/>
    </row>
    <row r="8" spans="2:16" ht="15" customHeight="1">
      <c r="C8" s="53"/>
    </row>
    <row r="9" spans="2:16" ht="19.2" customHeight="1">
      <c r="B9" s="48"/>
      <c r="C9" s="50"/>
    </row>
    <row r="16" spans="2:16">
      <c r="C16" s="48"/>
    </row>
    <row r="17" spans="2:2" s="48" customFormat="1">
      <c r="B17" s="49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A2:P20"/>
  <sheetViews>
    <sheetView zoomScale="85" zoomScaleNormal="85" workbookViewId="0">
      <selection activeCell="C8" sqref="C8"/>
    </sheetView>
  </sheetViews>
  <sheetFormatPr defaultRowHeight="14.4"/>
  <cols>
    <col min="1" max="1" width="3" style="48" customWidth="1"/>
    <col min="2" max="2" width="2.77734375" style="49" customWidth="1"/>
    <col min="3" max="3" width="53.33203125" style="54" customWidth="1"/>
    <col min="4" max="4" width="27.77734375" style="48" customWidth="1"/>
    <col min="5" max="16" width="8.88671875" style="48"/>
  </cols>
  <sheetData>
    <row r="2" spans="1:16" ht="51.6" customHeight="1">
      <c r="B2" s="55"/>
      <c r="C2" s="47" t="s">
        <v>53</v>
      </c>
      <c r="D2"/>
      <c r="P2"/>
    </row>
    <row r="3" spans="1:16" ht="4.95" customHeight="1">
      <c r="B3" s="55"/>
      <c r="C3" s="56"/>
      <c r="D3" s="57"/>
      <c r="P3" s="51"/>
    </row>
    <row r="4" spans="1:16" ht="19.95" customHeight="1">
      <c r="B4" s="55"/>
      <c r="C4" s="56"/>
      <c r="D4" s="57"/>
      <c r="P4" s="52"/>
    </row>
    <row r="5" spans="1:16" ht="4.95" customHeight="1">
      <c r="B5" s="48"/>
      <c r="C5" s="50"/>
    </row>
    <row r="6" spans="1:16" ht="30" customHeight="1">
      <c r="A6"/>
      <c r="B6" s="61"/>
      <c r="C6" s="62"/>
      <c r="D6" s="62"/>
      <c r="E6" s="62"/>
      <c r="F6" s="62"/>
      <c r="G6" s="62"/>
      <c r="H6" s="62"/>
      <c r="I6" s="62"/>
      <c r="J6" s="62"/>
      <c r="K6" s="62"/>
      <c r="L6" s="62"/>
      <c r="M6" s="62"/>
      <c r="N6" s="62"/>
      <c r="O6" s="62"/>
      <c r="P6" s="62"/>
    </row>
    <row r="7" spans="1:16" ht="10.050000000000001" customHeight="1">
      <c r="B7" s="48"/>
      <c r="C7" s="50"/>
    </row>
    <row r="8" spans="1:16" ht="10.050000000000001" customHeight="1">
      <c r="B8" s="51"/>
      <c r="D8" s="54"/>
    </row>
    <row r="9" spans="1:16" ht="150" customHeight="1">
      <c r="B9" s="58"/>
      <c r="C9" s="59"/>
    </row>
    <row r="10" spans="1:16" ht="10.050000000000001" customHeight="1">
      <c r="B10" s="60"/>
    </row>
    <row r="11" spans="1:16" collapsed="1"/>
    <row r="13" spans="1:16">
      <c r="C13" s="48"/>
    </row>
    <row r="14" spans="1:16">
      <c r="C14" s="48"/>
    </row>
    <row r="15" spans="1:16">
      <c r="C15" s="48"/>
    </row>
    <row r="16" spans="1:16">
      <c r="C16" s="48"/>
    </row>
    <row r="19" spans="3:3">
      <c r="C19" s="48"/>
    </row>
    <row r="20" spans="3:3">
      <c r="C20" s="48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46</vt:i4>
      </vt:variant>
    </vt:vector>
  </HeadingPairs>
  <TitlesOfParts>
    <vt:vector size="51" baseType="lpstr">
      <vt:lpstr>Overview</vt:lpstr>
      <vt:lpstr>Field Analysis</vt:lpstr>
      <vt:lpstr>Pivot</vt:lpstr>
      <vt:lpstr>SinglePlot</vt:lpstr>
      <vt:lpstr>MultiplePlots</vt:lpstr>
      <vt:lpstr>Compiled_Lists</vt:lpstr>
      <vt:lpstr>Composition</vt:lpstr>
      <vt:lpstr>CompositionTable</vt:lpstr>
      <vt:lpstr>DarkHeader</vt:lpstr>
      <vt:lpstr>Data_Description</vt:lpstr>
      <vt:lpstr>Pivot!DefaultWarn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FieldLists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MultiplePlots!MultiplePlots</vt:lpstr>
      <vt:lpstr>MultiplePlots!MultiplePlotsTitle</vt:lpstr>
      <vt:lpstr>Name</vt:lpstr>
      <vt:lpstr>Notes</vt:lpstr>
      <vt:lpstr>Percentiles</vt:lpstr>
      <vt:lpstr>RecordHashes</vt:lpstr>
      <vt:lpstr>SerializedLists</vt:lpstr>
      <vt:lpstr>SinglePlot!SinglePlot</vt:lpstr>
      <vt:lpstr>SinglePlot!SinglePlotTitle</vt:lpstr>
      <vt:lpstr>Summary_Stats</vt:lpstr>
      <vt:lpstr>'Field Analysis'!Theme</vt:lpstr>
      <vt:lpstr>MultiplePlots!Theme</vt:lpstr>
      <vt:lpstr>Overview!Theme</vt:lpstr>
      <vt:lpstr>Pivot!Theme</vt:lpstr>
      <vt:lpstr>SinglePlot!Theme</vt:lpstr>
      <vt:lpstr>Toggles</vt:lpstr>
      <vt:lpstr>TopToggle</vt:lpstr>
      <vt:lpstr>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2026-05-30T04:32:27Z</dcterms:modified>
</cp:coreProperties>
</file>