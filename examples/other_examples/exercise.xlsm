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2D3744A1-0E34-4FBD-99D0-4A7008CEBD69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Analysis'!$D$7:$I$7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Analysis'!$D$57:$I$57</definedName>
    <definedName name="FieldList2">'Field Analysis'!$D$58:$I$58</definedName>
    <definedName name="FieldList3">'Field Analysis'!$D$59:$I$59</definedName>
    <definedName name="FieldList4">'Field Analysis'!$D$60:$I$60</definedName>
    <definedName name="FieldList5">'Field Analysis'!$D$61:$I$61</definedName>
    <definedName name="FieldList6">'Field Analysis'!$D$62:$I$62</definedName>
    <definedName name="FieldList7">'Field Analysis'!$D$63:$I$63</definedName>
    <definedName name="FieldList8">'Field Analysis'!$D$64:$I$64</definedName>
    <definedName name="FieldLists">'Field Analysis'!$C$57:$I$64</definedName>
    <definedName name="FieldRange">'Field Analysis'!$D$78:$I$78</definedName>
    <definedName name="FormatRange">'Field Analysis'!$F:$F</definedName>
    <definedName name="Headers">'Field Analysis'!$D$11:$I$11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Analysis'!$D$9:$I$9</definedName>
    <definedName name="Percentiles">'Field Analysis'!$D$45:$D$54</definedName>
    <definedName name="RecordHashes">'Field Analysis'!$K$79:$K$168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9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C11" i="9"/>
  <c r="C12" i="9"/>
  <c r="C13" i="9"/>
  <c r="C14" i="9"/>
  <c r="C15" i="9"/>
  <c r="C16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<sst xmlns="http://schemas.openxmlformats.org/spreadsheetml/2006/main" count="421" uniqueCount="75">
  <si>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</si>
  <si>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</si>
  <si>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</si>
  <si>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</si>
  <si>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</si>
  <si>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</si>
  <si>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</si>
  <si>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</si>
  <si>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</si>
  <si>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</si>
  <si>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</si>
  <si>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</si>
  <si>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</si>
  <si>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</si>
  <si>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</si>
  <si>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</si>
  <si>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</si>
  <si>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</si>
  <si>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</si>
  <si>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</si>
  <si>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</si>
  <si>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</si>
  <si>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</si>
  <si>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</si>
  <si>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</si>
  <si>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</si>
  <si>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</si>
  <si>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</si>
  <si>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</si>
  <si>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</si>
  <si>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</si>
  <si>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</si>
  <si>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</si>
  <si>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</si>
  <si>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</si>
  <si>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</si>
  <si>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</si>
  <si>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</si>
  <si>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</si>
  <si>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</si>
  <si>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</si>
  <si>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</si>
  <si>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</si>
  <si>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</si>
  <si>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</si>
  <si>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</si>
  <si>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</si>
  <si>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</si>
  <si>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</si>
  <si>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</si>
  <si>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</si>
  <si>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</si>
  <si>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</si>
  <si>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</si>
  <si>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</si>
  <si>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exercise</t>
  </si>
  <si>
    <t>Unnamed: 0</t>
  </si>
  <si>
    <t>id</t>
  </si>
  <si>
    <t>diet</t>
  </si>
  <si>
    <t>pulse</t>
  </si>
  <si>
    <t>time</t>
  </si>
  <si>
    <t>kind</t>
  </si>
  <si>
    <t>Record Hash</t>
  </si>
  <si>
    <t>2,998 bytes</t>
  </si>
  <si>
    <t>int64</t>
  </si>
  <si>
    <t>category</t>
  </si>
  <si>
    <t>no fat</t>
  </si>
  <si>
    <t>1 min</t>
  </si>
  <si>
    <t>rest</t>
  </si>
  <si>
    <t>low fat</t>
  </si>
  <si>
    <t>15 min</t>
  </si>
  <si>
    <t>30 min</t>
  </si>
  <si>
    <t>walking</t>
  </si>
  <si>
    <t>running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</si>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</sst>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0.0%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991B5B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7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4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1" fillId="2" borderId="0" xfId="1" applyFont="1" applyAlignment="1">
      <alignment horizontal="right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4" fontId="6" fillId="5" borderId="3" xfId="1" applyNumberFormat="1" applyFont="1" applyFill="1" applyBorder="1" applyAlignment="1">
      <alignment horizontal="center" wrapText="1"/>
    </xf>
    <xf numFmtId="4" fontId="6" fillId="4" borderId="3" xfId="1" applyNumberFormat="1" applyFont="1" applyFill="1" applyBorder="1" applyAlignment="1">
      <alignment horizontal="center" wrapText="1"/>
    </xf>
    <xf numFmtId="4" fontId="6" fillId="4" borderId="3" xfId="2" applyNumberFormat="1" applyFont="1" applyFill="1" applyBorder="1" applyAlignment="1">
      <alignment horizontal="center" vertical="center" wrapText="1"/>
    </xf>
    <xf numFmtId="0" fontId="2" fillId="2" borderId="0" xfId="1" applyFont="1" applyAlignment="1">
      <alignment horizontal="right" vertical="center" textRotation="180"/>
    </xf>
    <xf numFmtId="4" fontId="0" fillId="2" borderId="0" xfId="0" applyNumberFormat="1" applyAlignment="1">
      <alignment horizontal="center" vertical="top"/>
    </xf>
    <xf numFmtId="3" fontId="6" fillId="4" borderId="3" xfId="2" applyNumberFormat="1" applyFont="1" applyFill="1" applyBorder="1" applyAlignment="1">
      <alignment horizontal="center" vertical="center" wrapText="1"/>
    </xf>
    <xf numFmtId="3" fontId="6" fillId="4" borderId="3" xfId="1" applyNumberFormat="1" applyFont="1" applyFill="1" applyBorder="1" applyAlignment="1">
      <alignment horizontal="center" wrapText="1"/>
    </xf>
    <xf numFmtId="164" fontId="6" fillId="5" borderId="3" xfId="6" applyNumberFormat="1" applyFont="1" applyFill="1" applyBorder="1" applyAlignment="1">
      <alignment horizontal="center" vertical="center" wrapText="1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4" fontId="0" fillId="2" borderId="0" xfId="0" applyNumberFormat="1" applyBorder="1" applyAlignment="1">
      <alignment horizontal="center" vertical="top"/>
    </xf>
    <xf numFmtId="0" fontId="2" fillId="3" borderId="0" xfId="1" applyFill="1" applyAlignment="1">
      <alignment horizontal="center"/>
    </xf>
    <xf numFmtId="0" fontId="2" fillId="3" borderId="0" xfId="1" applyNumberFormat="1" applyFill="1" applyAlignment="1">
      <alignment horizontal="center"/>
    </xf>
    <xf numFmtId="0" fontId="33" fillId="3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7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" xfId="6" builtinId="5"/>
    <cellStyle name="Percent 2" xfId="3" xr:uid="{BB3935E1-BD3F-4484-8C7B-508B241C7FB1}"/>
  </cellStyles>
  <dxfs count="296"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991B5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295"/>
      <tableStyleElement type="headerRow" dxfId="294"/>
      <tableStyleElement type="totalRow" dxfId="293"/>
    </tableStyle>
    <tableStyle name="TableStyleDarker" pivot="0" count="2" xr9:uid="{6808BEA3-E65F-4F4F-A6CC-D0226D87DD56}">
      <tableStyleElement type="wholeTable" dxfId="292"/>
      <tableStyleElement type="headerRow" dxfId="291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Unnamed: 0">
          <a:extLst>
            <a:ext uri="{FF2B5EF4-FFF2-40B4-BE49-F238E27FC236}">
              <a16:creationId xmlns:a16="http://schemas.microsoft.com/office/drawing/2014/main" id="{F27677AC-5092-9D99-5A58-5B188A5416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Unnamed: 0">
          <a:extLst>
            <a:ext uri="{FF2B5EF4-FFF2-40B4-BE49-F238E27FC236}">
              <a16:creationId xmlns:a16="http://schemas.microsoft.com/office/drawing/2014/main" id="{B84EB1E4-E87C-1DAE-572A-2836515FA1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id">
          <a:extLst>
            <a:ext uri="{FF2B5EF4-FFF2-40B4-BE49-F238E27FC236}">
              <a16:creationId xmlns:a16="http://schemas.microsoft.com/office/drawing/2014/main" id="{9E4F8AD9-E2B1-5DDE-BF79-892F420F3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id">
          <a:extLst>
            <a:ext uri="{FF2B5EF4-FFF2-40B4-BE49-F238E27FC236}">
              <a16:creationId xmlns:a16="http://schemas.microsoft.com/office/drawing/2014/main" id="{4FB46F0B-F44E-031B-9F01-74A7DA39E0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diet">
          <a:extLst>
            <a:ext uri="{FF2B5EF4-FFF2-40B4-BE49-F238E27FC236}">
              <a16:creationId xmlns:a16="http://schemas.microsoft.com/office/drawing/2014/main" id="{FBC86240-C129-347E-0741-5C24FA6658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pulse">
          <a:extLst>
            <a:ext uri="{FF2B5EF4-FFF2-40B4-BE49-F238E27FC236}">
              <a16:creationId xmlns:a16="http://schemas.microsoft.com/office/drawing/2014/main" id="{50F93256-D5E9-B174-0C22-441D2A1B7C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pulse">
          <a:extLst>
            <a:ext uri="{FF2B5EF4-FFF2-40B4-BE49-F238E27FC236}">
              <a16:creationId xmlns:a16="http://schemas.microsoft.com/office/drawing/2014/main" id="{143E6AF1-83DA-9A90-E66B-399478A9B1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composition_time">
          <a:extLst>
            <a:ext uri="{FF2B5EF4-FFF2-40B4-BE49-F238E27FC236}">
              <a16:creationId xmlns:a16="http://schemas.microsoft.com/office/drawing/2014/main" id="{EEACE622-98AA-8C36-6711-F1B5947F1D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7" name="composition_kind">
          <a:extLst>
            <a:ext uri="{FF2B5EF4-FFF2-40B4-BE49-F238E27FC236}">
              <a16:creationId xmlns:a16="http://schemas.microsoft.com/office/drawing/2014/main" id="{F0DFF163-FBE2-1C66-93BA-0A7CFF23D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7.712359722223" createdVersion="8" refreshedVersion="8" minRefreshableVersion="3" recordCount="90" xr:uid="{9CA2673A-A870-437E-AB9F-91D8276FD930}">
  <cacheSource type="worksheet">
    <worksheetSource name="tbl_SourceData"/>
  </cacheSource>
  <cacheFields count="9">
    <cacheField name="Record List" numFmtId="0">
      <sharedItems/>
    </cacheField>
    <cacheField name="Unnamed: 0" numFmtId="0">
      <sharedItems containsSemiMixedTypes="0" containsString="0" containsNumber="1" containsInteger="1" minValue="0" maxValue="89" count="9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</sharedItems>
    </cacheField>
    <cacheField name="id" numFmtId="0">
      <sharedItems containsSemiMixedTypes="0" containsString="0" containsNumber="1" containsInteger="1" minValue="1" maxValue="30" count="3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</sharedItems>
    </cacheField>
    <cacheField name="diet" numFmtId="0">
      <sharedItems count="2">
        <s v="low fat"/>
        <s v="no fat"/>
      </sharedItems>
    </cacheField>
    <cacheField name="pulse" numFmtId="0">
      <sharedItems containsSemiMixedTypes="0" containsString="0" containsNumber="1" containsInteger="1" minValue="80" maxValue="150" count="39">
        <n v="85"/>
        <n v="88"/>
        <n v="90"/>
        <n v="92"/>
        <n v="93"/>
        <n v="97"/>
        <n v="94"/>
        <n v="80"/>
        <n v="82"/>
        <n v="83"/>
        <n v="91"/>
        <n v="84"/>
        <n v="87"/>
        <n v="95"/>
        <n v="99"/>
        <n v="96"/>
        <n v="100"/>
        <n v="86"/>
        <n v="103"/>
        <n v="104"/>
        <n v="89"/>
        <n v="109"/>
        <n v="101"/>
        <n v="98"/>
        <n v="102"/>
        <n v="110"/>
        <n v="112"/>
        <n v="105"/>
        <n v="132"/>
        <n v="120"/>
        <n v="116"/>
        <n v="126"/>
        <n v="143"/>
        <n v="140"/>
        <n v="124"/>
        <n v="135"/>
        <n v="130"/>
        <n v="111"/>
        <n v="150"/>
      </sharedItems>
    </cacheField>
    <cacheField name="time" numFmtId="0">
      <sharedItems count="3">
        <s v="1 min"/>
        <s v="15 min"/>
        <s v="30 min"/>
      </sharedItems>
    </cacheField>
    <cacheField name="kind" numFmtId="0">
      <sharedItems count="3">
        <s v="rest"/>
        <s v="walking"/>
        <s v="running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.1382829319186298E+17" maxValue="1.786804747747510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b v="0"/>
    <x v="0"/>
    <x v="0"/>
    <x v="0"/>
    <x v="0"/>
    <x v="0"/>
    <x v="0"/>
    <n v="0"/>
    <n v="2.2965069041845199E+18"/>
  </r>
  <r>
    <b v="0"/>
    <x v="1"/>
    <x v="0"/>
    <x v="0"/>
    <x v="0"/>
    <x v="1"/>
    <x v="0"/>
    <n v="0"/>
    <n v="1.1233525792735199E+19"/>
  </r>
  <r>
    <b v="0"/>
    <x v="2"/>
    <x v="0"/>
    <x v="0"/>
    <x v="1"/>
    <x v="2"/>
    <x v="0"/>
    <n v="0"/>
    <n v="7.26254720869406E+18"/>
  </r>
  <r>
    <b v="0"/>
    <x v="3"/>
    <x v="1"/>
    <x v="0"/>
    <x v="2"/>
    <x v="0"/>
    <x v="0"/>
    <n v="0"/>
    <n v="1.14687745583796E+19"/>
  </r>
  <r>
    <b v="0"/>
    <x v="4"/>
    <x v="1"/>
    <x v="0"/>
    <x v="3"/>
    <x v="1"/>
    <x v="0"/>
    <n v="0"/>
    <n v="1.2645504096028201E+19"/>
  </r>
  <r>
    <b v="0"/>
    <x v="5"/>
    <x v="1"/>
    <x v="0"/>
    <x v="4"/>
    <x v="2"/>
    <x v="0"/>
    <n v="0"/>
    <n v="1.30807245786031E+19"/>
  </r>
  <r>
    <b v="0"/>
    <x v="6"/>
    <x v="2"/>
    <x v="0"/>
    <x v="5"/>
    <x v="0"/>
    <x v="0"/>
    <n v="0"/>
    <n v="9.3085130210013696E+18"/>
  </r>
  <r>
    <b v="0"/>
    <x v="7"/>
    <x v="2"/>
    <x v="0"/>
    <x v="5"/>
    <x v="1"/>
    <x v="0"/>
    <n v="0"/>
    <n v="1.86276803596797E+18"/>
  </r>
  <r>
    <b v="0"/>
    <x v="8"/>
    <x v="2"/>
    <x v="0"/>
    <x v="6"/>
    <x v="2"/>
    <x v="0"/>
    <n v="0"/>
    <n v="4.3614434077717699E+18"/>
  </r>
  <r>
    <b v="0"/>
    <x v="9"/>
    <x v="3"/>
    <x v="0"/>
    <x v="7"/>
    <x v="0"/>
    <x v="0"/>
    <n v="0"/>
    <n v="1.06588757841601E+19"/>
  </r>
  <r>
    <b v="0"/>
    <x v="10"/>
    <x v="3"/>
    <x v="0"/>
    <x v="8"/>
    <x v="1"/>
    <x v="0"/>
    <n v="0"/>
    <n v="1.6625562910173499E+19"/>
  </r>
  <r>
    <b v="0"/>
    <x v="11"/>
    <x v="3"/>
    <x v="0"/>
    <x v="9"/>
    <x v="2"/>
    <x v="0"/>
    <n v="0"/>
    <n v="1.4053801372689199E+19"/>
  </r>
  <r>
    <b v="0"/>
    <x v="12"/>
    <x v="4"/>
    <x v="0"/>
    <x v="10"/>
    <x v="0"/>
    <x v="0"/>
    <n v="0"/>
    <n v="1.5282098731113099E+19"/>
  </r>
  <r>
    <b v="0"/>
    <x v="13"/>
    <x v="4"/>
    <x v="0"/>
    <x v="3"/>
    <x v="1"/>
    <x v="0"/>
    <n v="0"/>
    <n v="9.4085505503207104E+17"/>
  </r>
  <r>
    <b v="0"/>
    <x v="14"/>
    <x v="4"/>
    <x v="0"/>
    <x v="10"/>
    <x v="2"/>
    <x v="0"/>
    <n v="0"/>
    <n v="1.6951913058781901E+19"/>
  </r>
  <r>
    <b v="0"/>
    <x v="15"/>
    <x v="5"/>
    <x v="1"/>
    <x v="9"/>
    <x v="0"/>
    <x v="0"/>
    <n v="0"/>
    <n v="8.6891804883937198E+18"/>
  </r>
  <r>
    <b v="0"/>
    <x v="16"/>
    <x v="5"/>
    <x v="1"/>
    <x v="9"/>
    <x v="1"/>
    <x v="0"/>
    <n v="0"/>
    <n v="1.2284999016408001E+19"/>
  </r>
  <r>
    <b v="0"/>
    <x v="17"/>
    <x v="5"/>
    <x v="1"/>
    <x v="11"/>
    <x v="2"/>
    <x v="0"/>
    <n v="0"/>
    <n v="4.8175013294656696E+18"/>
  </r>
  <r>
    <b v="0"/>
    <x v="18"/>
    <x v="6"/>
    <x v="1"/>
    <x v="12"/>
    <x v="0"/>
    <x v="0"/>
    <n v="0"/>
    <n v="4.79914792237022E+18"/>
  </r>
  <r>
    <b v="0"/>
    <x v="19"/>
    <x v="6"/>
    <x v="1"/>
    <x v="1"/>
    <x v="1"/>
    <x v="0"/>
    <n v="0"/>
    <n v="1.35610446853201E+19"/>
  </r>
  <r>
    <b v="0"/>
    <x v="20"/>
    <x v="6"/>
    <x v="1"/>
    <x v="2"/>
    <x v="2"/>
    <x v="0"/>
    <n v="0"/>
    <n v="4.0732388726738299E+18"/>
  </r>
  <r>
    <b v="0"/>
    <x v="21"/>
    <x v="7"/>
    <x v="1"/>
    <x v="3"/>
    <x v="0"/>
    <x v="0"/>
    <n v="0"/>
    <n v="8.2015083943579197E+18"/>
  </r>
  <r>
    <b v="0"/>
    <x v="22"/>
    <x v="7"/>
    <x v="1"/>
    <x v="6"/>
    <x v="1"/>
    <x v="0"/>
    <n v="0"/>
    <n v="1.094093755617E+19"/>
  </r>
  <r>
    <b v="0"/>
    <x v="23"/>
    <x v="7"/>
    <x v="1"/>
    <x v="13"/>
    <x v="2"/>
    <x v="0"/>
    <n v="0"/>
    <n v="1.50697018200378E+19"/>
  </r>
  <r>
    <b v="0"/>
    <x v="24"/>
    <x v="8"/>
    <x v="1"/>
    <x v="5"/>
    <x v="0"/>
    <x v="0"/>
    <n v="0"/>
    <n v="1.7037071778767301E+19"/>
  </r>
  <r>
    <b v="0"/>
    <x v="25"/>
    <x v="8"/>
    <x v="1"/>
    <x v="14"/>
    <x v="1"/>
    <x v="0"/>
    <n v="0"/>
    <n v="1.26798652939439E+19"/>
  </r>
  <r>
    <b v="0"/>
    <x v="26"/>
    <x v="8"/>
    <x v="1"/>
    <x v="15"/>
    <x v="2"/>
    <x v="0"/>
    <n v="0"/>
    <n v="3.8020969511802798E+18"/>
  </r>
  <r>
    <b v="0"/>
    <x v="27"/>
    <x v="9"/>
    <x v="1"/>
    <x v="16"/>
    <x v="0"/>
    <x v="0"/>
    <n v="0"/>
    <n v="1.3832959091958901E+19"/>
  </r>
  <r>
    <b v="0"/>
    <x v="28"/>
    <x v="9"/>
    <x v="1"/>
    <x v="5"/>
    <x v="1"/>
    <x v="0"/>
    <n v="0"/>
    <n v="1.5169675789218601E+19"/>
  </r>
  <r>
    <b v="0"/>
    <x v="29"/>
    <x v="9"/>
    <x v="1"/>
    <x v="16"/>
    <x v="2"/>
    <x v="0"/>
    <n v="0"/>
    <n v="7.0949420157223404E+18"/>
  </r>
  <r>
    <b v="0"/>
    <x v="30"/>
    <x v="10"/>
    <x v="0"/>
    <x v="17"/>
    <x v="0"/>
    <x v="1"/>
    <n v="0"/>
    <n v="1.9593127602365801E+18"/>
  </r>
  <r>
    <b v="0"/>
    <x v="31"/>
    <x v="10"/>
    <x v="0"/>
    <x v="17"/>
    <x v="1"/>
    <x v="1"/>
    <n v="0"/>
    <n v="3.1534690503928602E+18"/>
  </r>
  <r>
    <b v="0"/>
    <x v="32"/>
    <x v="10"/>
    <x v="0"/>
    <x v="11"/>
    <x v="2"/>
    <x v="1"/>
    <n v="0"/>
    <n v="7.7518348297927598E+18"/>
  </r>
  <r>
    <b v="0"/>
    <x v="33"/>
    <x v="11"/>
    <x v="0"/>
    <x v="4"/>
    <x v="0"/>
    <x v="1"/>
    <n v="0"/>
    <n v="1.1999782712036901E+19"/>
  </r>
  <r>
    <b v="0"/>
    <x v="34"/>
    <x v="11"/>
    <x v="0"/>
    <x v="18"/>
    <x v="1"/>
    <x v="1"/>
    <n v="0"/>
    <n v="3.3245634758637399E+18"/>
  </r>
  <r>
    <b v="0"/>
    <x v="35"/>
    <x v="11"/>
    <x v="0"/>
    <x v="19"/>
    <x v="2"/>
    <x v="1"/>
    <n v="0"/>
    <n v="1.0917960331461501E+19"/>
  </r>
  <r>
    <b v="0"/>
    <x v="36"/>
    <x v="12"/>
    <x v="0"/>
    <x v="2"/>
    <x v="0"/>
    <x v="1"/>
    <n v="0"/>
    <n v="3.5510198857609902E+18"/>
  </r>
  <r>
    <b v="0"/>
    <x v="37"/>
    <x v="12"/>
    <x v="0"/>
    <x v="3"/>
    <x v="1"/>
    <x v="1"/>
    <n v="0"/>
    <n v="1.54116820340438E+19"/>
  </r>
  <r>
    <b v="0"/>
    <x v="38"/>
    <x v="12"/>
    <x v="0"/>
    <x v="4"/>
    <x v="2"/>
    <x v="1"/>
    <n v="0"/>
    <n v="4.8469887142690796E+18"/>
  </r>
  <r>
    <b v="0"/>
    <x v="39"/>
    <x v="13"/>
    <x v="0"/>
    <x v="13"/>
    <x v="0"/>
    <x v="1"/>
    <n v="0"/>
    <n v="1.73139915284851E+19"/>
  </r>
  <r>
    <b v="0"/>
    <x v="40"/>
    <x v="13"/>
    <x v="0"/>
    <x v="15"/>
    <x v="1"/>
    <x v="1"/>
    <n v="0"/>
    <n v="1.7868047477475101E+19"/>
  </r>
  <r>
    <b v="0"/>
    <x v="41"/>
    <x v="13"/>
    <x v="0"/>
    <x v="16"/>
    <x v="2"/>
    <x v="1"/>
    <n v="0"/>
    <n v="8.5445860849222298E+17"/>
  </r>
  <r>
    <b v="0"/>
    <x v="42"/>
    <x v="14"/>
    <x v="0"/>
    <x v="20"/>
    <x v="0"/>
    <x v="1"/>
    <n v="0"/>
    <n v="1.05367680280503E+18"/>
  </r>
  <r>
    <b v="0"/>
    <x v="43"/>
    <x v="14"/>
    <x v="0"/>
    <x v="15"/>
    <x v="1"/>
    <x v="1"/>
    <n v="0"/>
    <n v="1.5034691829788299E+19"/>
  </r>
  <r>
    <b v="0"/>
    <x v="44"/>
    <x v="14"/>
    <x v="0"/>
    <x v="13"/>
    <x v="2"/>
    <x v="1"/>
    <n v="0"/>
    <n v="1.63971791264262E+19"/>
  </r>
  <r>
    <b v="0"/>
    <x v="45"/>
    <x v="15"/>
    <x v="1"/>
    <x v="11"/>
    <x v="0"/>
    <x v="1"/>
    <n v="0"/>
    <n v="1.44441630870366E+19"/>
  </r>
  <r>
    <b v="0"/>
    <x v="46"/>
    <x v="15"/>
    <x v="1"/>
    <x v="17"/>
    <x v="1"/>
    <x v="1"/>
    <n v="0"/>
    <n v="1.45610349687353E+19"/>
  </r>
  <r>
    <b v="0"/>
    <x v="47"/>
    <x v="15"/>
    <x v="1"/>
    <x v="20"/>
    <x v="2"/>
    <x v="1"/>
    <n v="0"/>
    <n v="8.6689952430352701E+18"/>
  </r>
  <r>
    <b v="0"/>
    <x v="48"/>
    <x v="16"/>
    <x v="1"/>
    <x v="18"/>
    <x v="0"/>
    <x v="1"/>
    <n v="0"/>
    <n v="1.3022193342526599E+19"/>
  </r>
  <r>
    <b v="0"/>
    <x v="49"/>
    <x v="16"/>
    <x v="1"/>
    <x v="21"/>
    <x v="1"/>
    <x v="1"/>
    <n v="0"/>
    <n v="9.09432592090978E+18"/>
  </r>
  <r>
    <b v="0"/>
    <x v="50"/>
    <x v="16"/>
    <x v="1"/>
    <x v="2"/>
    <x v="2"/>
    <x v="1"/>
    <n v="0"/>
    <n v="5.9999778229052703E+18"/>
  </r>
  <r>
    <b v="0"/>
    <x v="51"/>
    <x v="17"/>
    <x v="1"/>
    <x v="3"/>
    <x v="0"/>
    <x v="1"/>
    <n v="0"/>
    <n v="1.0953112027996E+19"/>
  </r>
  <r>
    <b v="0"/>
    <x v="52"/>
    <x v="17"/>
    <x v="1"/>
    <x v="15"/>
    <x v="1"/>
    <x v="1"/>
    <n v="0"/>
    <n v="6.0044969656196495E+18"/>
  </r>
  <r>
    <b v="0"/>
    <x v="53"/>
    <x v="17"/>
    <x v="1"/>
    <x v="22"/>
    <x v="2"/>
    <x v="1"/>
    <n v="0"/>
    <n v="4.7126666667465001E+18"/>
  </r>
  <r>
    <b v="0"/>
    <x v="54"/>
    <x v="18"/>
    <x v="1"/>
    <x v="5"/>
    <x v="0"/>
    <x v="1"/>
    <n v="0"/>
    <n v="1.34075356717581E+19"/>
  </r>
  <r>
    <b v="0"/>
    <x v="55"/>
    <x v="18"/>
    <x v="1"/>
    <x v="23"/>
    <x v="1"/>
    <x v="1"/>
    <n v="0"/>
    <n v="1.20522326902132E+19"/>
  </r>
  <r>
    <b v="0"/>
    <x v="56"/>
    <x v="18"/>
    <x v="1"/>
    <x v="16"/>
    <x v="2"/>
    <x v="1"/>
    <n v="0"/>
    <n v="6.1128124737421496E+18"/>
  </r>
  <r>
    <b v="0"/>
    <x v="57"/>
    <x v="19"/>
    <x v="1"/>
    <x v="24"/>
    <x v="0"/>
    <x v="1"/>
    <n v="0"/>
    <n v="1.5208140136092101E+19"/>
  </r>
  <r>
    <b v="0"/>
    <x v="58"/>
    <x v="19"/>
    <x v="1"/>
    <x v="19"/>
    <x v="1"/>
    <x v="1"/>
    <n v="0"/>
    <n v="1.7275099056956E+19"/>
  </r>
  <r>
    <b v="0"/>
    <x v="59"/>
    <x v="19"/>
    <x v="1"/>
    <x v="18"/>
    <x v="2"/>
    <x v="1"/>
    <n v="0"/>
    <n v="8.3457031546170296E+18"/>
  </r>
  <r>
    <b v="0"/>
    <x v="60"/>
    <x v="20"/>
    <x v="0"/>
    <x v="4"/>
    <x v="0"/>
    <x v="2"/>
    <n v="0"/>
    <n v="1.76917343897965E+18"/>
  </r>
  <r>
    <b v="0"/>
    <x v="61"/>
    <x v="20"/>
    <x v="0"/>
    <x v="23"/>
    <x v="1"/>
    <x v="2"/>
    <n v="0"/>
    <n v="9.4836440821548298E+18"/>
  </r>
  <r>
    <b v="0"/>
    <x v="62"/>
    <x v="20"/>
    <x v="0"/>
    <x v="25"/>
    <x v="2"/>
    <x v="2"/>
    <n v="0"/>
    <n v="6.5876212282034002E+18"/>
  </r>
  <r>
    <b v="0"/>
    <x v="63"/>
    <x v="21"/>
    <x v="0"/>
    <x v="23"/>
    <x v="0"/>
    <x v="2"/>
    <n v="0"/>
    <n v="1.6188463329370501E+18"/>
  </r>
  <r>
    <b v="0"/>
    <x v="64"/>
    <x v="21"/>
    <x v="0"/>
    <x v="19"/>
    <x v="1"/>
    <x v="2"/>
    <n v="0"/>
    <n v="3.9957549150933601E+18"/>
  </r>
  <r>
    <b v="0"/>
    <x v="65"/>
    <x v="21"/>
    <x v="0"/>
    <x v="26"/>
    <x v="2"/>
    <x v="2"/>
    <n v="0"/>
    <n v="5.4889407758976499E+17"/>
  </r>
  <r>
    <b v="0"/>
    <x v="66"/>
    <x v="22"/>
    <x v="0"/>
    <x v="23"/>
    <x v="0"/>
    <x v="2"/>
    <n v="0"/>
    <n v="1.2895567833150401E+19"/>
  </r>
  <r>
    <b v="0"/>
    <x v="67"/>
    <x v="22"/>
    <x v="0"/>
    <x v="27"/>
    <x v="1"/>
    <x v="2"/>
    <n v="0"/>
    <n v="4.31889787531149E+18"/>
  </r>
  <r>
    <b v="0"/>
    <x v="68"/>
    <x v="22"/>
    <x v="0"/>
    <x v="14"/>
    <x v="2"/>
    <x v="2"/>
    <n v="0"/>
    <n v="1.5036155676106E+19"/>
  </r>
  <r>
    <b v="0"/>
    <x v="69"/>
    <x v="23"/>
    <x v="0"/>
    <x v="12"/>
    <x v="0"/>
    <x v="2"/>
    <n v="0"/>
    <n v="4.7813830376985897E+18"/>
  </r>
  <r>
    <b v="0"/>
    <x v="70"/>
    <x v="23"/>
    <x v="0"/>
    <x v="28"/>
    <x v="1"/>
    <x v="2"/>
    <n v="0"/>
    <n v="5.8918142050402396E+18"/>
  </r>
  <r>
    <b v="0"/>
    <x v="71"/>
    <x v="23"/>
    <x v="0"/>
    <x v="29"/>
    <x v="2"/>
    <x v="2"/>
    <n v="0"/>
    <n v="2.2766637519833101E+18"/>
  </r>
  <r>
    <b v="0"/>
    <x v="72"/>
    <x v="24"/>
    <x v="0"/>
    <x v="6"/>
    <x v="0"/>
    <x v="2"/>
    <n v="0"/>
    <n v="1.6150423295992001E+19"/>
  </r>
  <r>
    <b v="0"/>
    <x v="73"/>
    <x v="24"/>
    <x v="0"/>
    <x v="25"/>
    <x v="1"/>
    <x v="2"/>
    <n v="0"/>
    <n v="6.8752975105555804E+18"/>
  </r>
  <r>
    <b v="0"/>
    <x v="74"/>
    <x v="24"/>
    <x v="0"/>
    <x v="30"/>
    <x v="2"/>
    <x v="2"/>
    <n v="0"/>
    <n v="3.90461478680973E+18"/>
  </r>
  <r>
    <b v="0"/>
    <x v="75"/>
    <x v="25"/>
    <x v="1"/>
    <x v="13"/>
    <x v="0"/>
    <x v="2"/>
    <n v="0"/>
    <n v="1.3236123937628299E+19"/>
  </r>
  <r>
    <b v="0"/>
    <x v="76"/>
    <x v="25"/>
    <x v="1"/>
    <x v="31"/>
    <x v="1"/>
    <x v="2"/>
    <n v="0"/>
    <n v="1.2046111457912101E+19"/>
  </r>
  <r>
    <b v="0"/>
    <x v="77"/>
    <x v="25"/>
    <x v="1"/>
    <x v="32"/>
    <x v="2"/>
    <x v="2"/>
    <n v="0"/>
    <n v="2.4068895707423698E+18"/>
  </r>
  <r>
    <b v="0"/>
    <x v="78"/>
    <x v="26"/>
    <x v="1"/>
    <x v="16"/>
    <x v="0"/>
    <x v="2"/>
    <n v="0"/>
    <n v="1.6940779947178E+19"/>
  </r>
  <r>
    <b v="0"/>
    <x v="79"/>
    <x v="26"/>
    <x v="1"/>
    <x v="31"/>
    <x v="1"/>
    <x v="2"/>
    <n v="0"/>
    <n v="1.6640060906545101E+19"/>
  </r>
  <r>
    <b v="0"/>
    <x v="80"/>
    <x v="26"/>
    <x v="1"/>
    <x v="33"/>
    <x v="2"/>
    <x v="2"/>
    <n v="0"/>
    <n v="5.7842586491409203E+18"/>
  </r>
  <r>
    <b v="0"/>
    <x v="81"/>
    <x v="27"/>
    <x v="1"/>
    <x v="18"/>
    <x v="0"/>
    <x v="2"/>
    <n v="0"/>
    <n v="6.4873147248230799E+18"/>
  </r>
  <r>
    <b v="0"/>
    <x v="82"/>
    <x v="27"/>
    <x v="1"/>
    <x v="34"/>
    <x v="1"/>
    <x v="2"/>
    <n v="0"/>
    <n v="1.27152432789703E+19"/>
  </r>
  <r>
    <b v="0"/>
    <x v="83"/>
    <x v="27"/>
    <x v="1"/>
    <x v="33"/>
    <x v="2"/>
    <x v="2"/>
    <n v="0"/>
    <n v="1.2861248489878401E+19"/>
  </r>
  <r>
    <b v="0"/>
    <x v="84"/>
    <x v="28"/>
    <x v="1"/>
    <x v="6"/>
    <x v="0"/>
    <x v="2"/>
    <n v="0"/>
    <n v="1.48636873170728E+19"/>
  </r>
  <r>
    <b v="0"/>
    <x v="85"/>
    <x v="28"/>
    <x v="1"/>
    <x v="35"/>
    <x v="1"/>
    <x v="2"/>
    <n v="0"/>
    <n v="1.08465108333614E+19"/>
  </r>
  <r>
    <b v="0"/>
    <x v="86"/>
    <x v="28"/>
    <x v="1"/>
    <x v="36"/>
    <x v="2"/>
    <x v="2"/>
    <n v="0"/>
    <n v="1.6263884940018999E+19"/>
  </r>
  <r>
    <b v="0"/>
    <x v="87"/>
    <x v="29"/>
    <x v="1"/>
    <x v="14"/>
    <x v="0"/>
    <x v="2"/>
    <n v="0"/>
    <n v="5.1382829319186298E+17"/>
  </r>
  <r>
    <b v="0"/>
    <x v="88"/>
    <x v="29"/>
    <x v="1"/>
    <x v="37"/>
    <x v="1"/>
    <x v="2"/>
    <n v="0"/>
    <n v="1.3797299388376101E+19"/>
  </r>
  <r>
    <b v="0"/>
    <x v="89"/>
    <x v="29"/>
    <x v="1"/>
    <x v="38"/>
    <x v="2"/>
    <x v="2"/>
    <n v="0"/>
    <n v="6.2992826328411197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9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J99" firstHeaderRow="0" firstDataRow="1" firstDataCol="6"/>
  <pivotFields count="9">
    <pivotField compact="0" outline="0" showAll="0"/>
    <pivotField axis="axisRow" compact="0" outline="0" showAll="0" defaultSubtotal="0">
      <items count="9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</items>
    </pivotField>
    <pivotField axis="axisRow" compact="0" outline="0" showAll="0" defaultSubtota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9">
        <item sd="0" x="7"/>
        <item sd="0" x="8"/>
        <item sd="0" x="9"/>
        <item sd="0" x="11"/>
        <item sd="0" x="0"/>
        <item sd="0" x="17"/>
        <item sd="0" x="12"/>
        <item sd="0" x="1"/>
        <item sd="0" x="20"/>
        <item sd="0" x="2"/>
        <item sd="0" x="10"/>
        <item sd="0" x="3"/>
        <item sd="0" x="4"/>
        <item sd="0" x="6"/>
        <item sd="0" x="13"/>
        <item sd="0" x="15"/>
        <item sd="0" x="5"/>
        <item sd="0" x="23"/>
        <item sd="0" x="14"/>
        <item sd="0" x="16"/>
        <item sd="0" x="22"/>
        <item sd="0" x="24"/>
        <item sd="0" x="18"/>
        <item sd="0" x="19"/>
        <item sd="0" x="27"/>
        <item sd="0" x="21"/>
        <item sd="0" x="25"/>
        <item sd="0" x="37"/>
        <item sd="0" x="26"/>
        <item sd="0" x="30"/>
        <item sd="0" x="29"/>
        <item sd="0" x="34"/>
        <item sd="0" x="31"/>
        <item sd="0" x="36"/>
        <item sd="0" x="28"/>
        <item sd="0" x="35"/>
        <item sd="0" x="33"/>
        <item sd="0" x="32"/>
        <item sd="0" x="38"/>
      </items>
    </pivotField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3">
        <item x="0"/>
        <item x="2"/>
        <item x="1"/>
      </items>
    </pivotField>
    <pivotField dataField="1"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9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7" subtotal="average" baseField="0" baseItem="1" numFmtId="164"/>
    <dataField name="% of Total Blanks" fld="7" showDataAs="percentOfTotal" baseField="0" baseItem="1" numFmtId="164"/>
  </dataFields>
  <formats count="129">
    <format dxfId="254">
      <pivotArea type="all" dataOnly="0" outline="0" fieldPosition="0"/>
    </format>
    <format dxfId="253">
      <pivotArea type="all" dataOnly="0" outline="0" fieldPosition="0"/>
    </format>
    <format dxfId="252">
      <pivotArea dataOnly="0" outline="0" fieldPosition="0">
        <references count="1">
          <reference field="4294967294" count="1">
            <x v="0"/>
          </reference>
        </references>
      </pivotArea>
    </format>
    <format dxfId="251">
      <pivotArea outline="0" fieldPosition="0">
        <references count="1">
          <reference field="4294967294" count="1">
            <x v="0"/>
          </reference>
        </references>
      </pivotArea>
    </format>
    <format dxfId="250">
      <pivotArea outline="0" fieldPosition="0">
        <references count="1">
          <reference field="4294967294" count="1">
            <x v="1"/>
          </reference>
        </references>
      </pivotArea>
    </format>
    <format dxfId="249">
      <pivotArea type="all" dataOnly="0" outline="0" fieldPosition="0"/>
    </format>
    <format dxfId="24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47">
      <pivotArea outline="0" fieldPosition="0">
        <references count="1">
          <reference field="4294967294" count="1" selected="0">
            <x v="1"/>
          </reference>
        </references>
      </pivotArea>
    </format>
    <format dxfId="121">
      <pivotArea field="1" type="button" dataOnly="0" labelOnly="1" outline="0" axis="axisRow" fieldPosition="0"/>
    </format>
    <format dxfId="120">
      <pivotArea field="2" type="button" dataOnly="0" labelOnly="1" outline="0" axis="axisRow" fieldPosition="1"/>
    </format>
    <format dxfId="119">
      <pivotArea field="3" type="button" dataOnly="0" labelOnly="1" outline="0" axis="axisRow" fieldPosition="2"/>
    </format>
    <format dxfId="118">
      <pivotArea field="4" type="button" dataOnly="0" labelOnly="1" outline="0" axis="axisRow" fieldPosition="3"/>
    </format>
    <format dxfId="117">
      <pivotArea field="5" type="button" dataOnly="0" labelOnly="1" outline="0" axis="axisRow" fieldPosition="4"/>
    </format>
    <format dxfId="116">
      <pivotArea field="6" type="button" dataOnly="0" labelOnly="1" outline="0" axis="axisRow" fieldPosition="5"/>
    </format>
    <format dxfId="11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4">
      <pivotArea type="all" dataOnly="0" outline="0" fieldPosition="0"/>
    </format>
    <format dxfId="113">
      <pivotArea outline="0" collapsedLevelsAreSubtotals="1" fieldPosition="0"/>
    </format>
    <format dxfId="112">
      <pivotArea field="2" type="button" dataOnly="0" labelOnly="1" outline="0" axis="axisRow" fieldPosition="1"/>
    </format>
    <format dxfId="111">
      <pivotArea field="3" type="button" dataOnly="0" labelOnly="1" outline="0" axis="axisRow" fieldPosition="2"/>
    </format>
    <format dxfId="110">
      <pivotArea field="4" type="button" dataOnly="0" labelOnly="1" outline="0" axis="axisRow" fieldPosition="3"/>
    </format>
    <format dxfId="109">
      <pivotArea field="5" type="button" dataOnly="0" labelOnly="1" outline="0" axis="axisRow" fieldPosition="4"/>
    </format>
    <format dxfId="108">
      <pivotArea field="6" type="button" dataOnly="0" labelOnly="1" outline="0" axis="axisRow" fieldPosition="5"/>
    </format>
    <format dxfId="107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06">
      <pivotArea dataOnly="0" labelOnly="1" outline="0" fieldPosition="0">
        <references count="1">
          <reference field="1" count="4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</reference>
        </references>
      </pivotArea>
    </format>
    <format dxfId="10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field="1" type="button" dataOnly="0" labelOnly="1" outline="0" axis="axisRow" fieldPosition="0"/>
    </format>
    <format dxfId="101">
      <pivotArea field="2" type="button" dataOnly="0" labelOnly="1" outline="0" axis="axisRow" fieldPosition="1"/>
    </format>
    <format dxfId="100">
      <pivotArea field="3" type="button" dataOnly="0" labelOnly="1" outline="0" axis="axisRow" fieldPosition="2"/>
    </format>
    <format dxfId="99">
      <pivotArea field="4" type="button" dataOnly="0" labelOnly="1" outline="0" axis="axisRow" fieldPosition="3"/>
    </format>
    <format dxfId="98">
      <pivotArea field="5" type="button" dataOnly="0" labelOnly="1" outline="0" axis="axisRow" fieldPosition="4"/>
    </format>
    <format dxfId="97">
      <pivotArea field="6" type="button" dataOnly="0" labelOnly="1" outline="0" axis="axisRow" fieldPosition="5"/>
    </format>
    <format dxfId="96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95">
      <pivotArea dataOnly="0" labelOnly="1" outline="0" fieldPosition="0">
        <references count="1">
          <reference field="1" count="4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</reference>
        </references>
      </pivotArea>
    </format>
    <format dxfId="94">
      <pivotArea dataOnly="0" labelOnly="1" grandRow="1" outline="0" fieldPosition="0"/>
    </format>
    <format dxfId="9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2">
      <pivotArea field="1" type="button" dataOnly="0" labelOnly="1" outline="0" axis="axisRow" fieldPosition="0"/>
    </format>
    <format dxfId="91">
      <pivotArea dataOnly="0" labelOnly="1" outline="0" fieldPosition="0">
        <references count="1">
          <reference field="1" count="1">
            <x v="0"/>
          </reference>
        </references>
      </pivotArea>
    </format>
    <format dxfId="90">
      <pivotArea dataOnly="0" labelOnly="1" outline="0" fieldPosition="0">
        <references count="1">
          <reference field="1" count="1">
            <x v="1"/>
          </reference>
        </references>
      </pivotArea>
    </format>
    <format dxfId="89">
      <pivotArea dataOnly="0" labelOnly="1" outline="0" fieldPosition="0">
        <references count="1">
          <reference field="1" count="1">
            <x v="2"/>
          </reference>
        </references>
      </pivotArea>
    </format>
    <format dxfId="88">
      <pivotArea dataOnly="0" labelOnly="1" outline="0" fieldPosition="0">
        <references count="1">
          <reference field="1" count="1">
            <x v="3"/>
          </reference>
        </references>
      </pivotArea>
    </format>
    <format dxfId="87">
      <pivotArea dataOnly="0" labelOnly="1" outline="0" fieldPosition="0">
        <references count="1">
          <reference field="1" count="1">
            <x v="4"/>
          </reference>
        </references>
      </pivotArea>
    </format>
    <format dxfId="86">
      <pivotArea dataOnly="0" labelOnly="1" outline="0" fieldPosition="0">
        <references count="1">
          <reference field="1" count="1">
            <x v="5"/>
          </reference>
        </references>
      </pivotArea>
    </format>
    <format dxfId="85">
      <pivotArea dataOnly="0" labelOnly="1" outline="0" fieldPosition="0">
        <references count="1">
          <reference field="1" count="1">
            <x v="6"/>
          </reference>
        </references>
      </pivotArea>
    </format>
    <format dxfId="84">
      <pivotArea dataOnly="0" labelOnly="1" outline="0" fieldPosition="0">
        <references count="1">
          <reference field="1" count="1">
            <x v="7"/>
          </reference>
        </references>
      </pivotArea>
    </format>
    <format dxfId="83">
      <pivotArea dataOnly="0" labelOnly="1" outline="0" fieldPosition="0">
        <references count="1">
          <reference field="1" count="1">
            <x v="8"/>
          </reference>
        </references>
      </pivotArea>
    </format>
    <format dxfId="82">
      <pivotArea dataOnly="0" labelOnly="1" outline="0" fieldPosition="0">
        <references count="1">
          <reference field="1" count="1">
            <x v="9"/>
          </reference>
        </references>
      </pivotArea>
    </format>
    <format dxfId="81">
      <pivotArea dataOnly="0" labelOnly="1" outline="0" fieldPosition="0">
        <references count="1">
          <reference field="1" count="1">
            <x v="10"/>
          </reference>
        </references>
      </pivotArea>
    </format>
    <format dxfId="80">
      <pivotArea dataOnly="0" labelOnly="1" outline="0" fieldPosition="0">
        <references count="1">
          <reference field="1" count="1">
            <x v="11"/>
          </reference>
        </references>
      </pivotArea>
    </format>
    <format dxfId="79">
      <pivotArea dataOnly="0" labelOnly="1" outline="0" fieldPosition="0">
        <references count="1">
          <reference field="1" count="1">
            <x v="12"/>
          </reference>
        </references>
      </pivotArea>
    </format>
    <format dxfId="78">
      <pivotArea dataOnly="0" labelOnly="1" outline="0" fieldPosition="0">
        <references count="1">
          <reference field="1" count="1">
            <x v="13"/>
          </reference>
        </references>
      </pivotArea>
    </format>
    <format dxfId="77">
      <pivotArea dataOnly="0" labelOnly="1" outline="0" fieldPosition="0">
        <references count="1">
          <reference field="1" count="1">
            <x v="14"/>
          </reference>
        </references>
      </pivotArea>
    </format>
    <format dxfId="76">
      <pivotArea dataOnly="0" labelOnly="1" outline="0" fieldPosition="0">
        <references count="1">
          <reference field="1" count="1">
            <x v="15"/>
          </reference>
        </references>
      </pivotArea>
    </format>
    <format dxfId="75">
      <pivotArea dataOnly="0" labelOnly="1" outline="0" fieldPosition="0">
        <references count="1">
          <reference field="1" count="1">
            <x v="16"/>
          </reference>
        </references>
      </pivotArea>
    </format>
    <format dxfId="74">
      <pivotArea dataOnly="0" labelOnly="1" outline="0" fieldPosition="0">
        <references count="1">
          <reference field="1" count="1">
            <x v="17"/>
          </reference>
        </references>
      </pivotArea>
    </format>
    <format dxfId="73">
      <pivotArea dataOnly="0" labelOnly="1" outline="0" fieldPosition="0">
        <references count="1">
          <reference field="1" count="1">
            <x v="18"/>
          </reference>
        </references>
      </pivotArea>
    </format>
    <format dxfId="72">
      <pivotArea dataOnly="0" labelOnly="1" outline="0" fieldPosition="0">
        <references count="1">
          <reference field="1" count="1">
            <x v="19"/>
          </reference>
        </references>
      </pivotArea>
    </format>
    <format dxfId="71">
      <pivotArea dataOnly="0" labelOnly="1" outline="0" fieldPosition="0">
        <references count="1">
          <reference field="1" count="1">
            <x v="20"/>
          </reference>
        </references>
      </pivotArea>
    </format>
    <format dxfId="70">
      <pivotArea dataOnly="0" labelOnly="1" outline="0" fieldPosition="0">
        <references count="1">
          <reference field="1" count="1">
            <x v="21"/>
          </reference>
        </references>
      </pivotArea>
    </format>
    <format dxfId="69">
      <pivotArea dataOnly="0" labelOnly="1" outline="0" fieldPosition="0">
        <references count="1">
          <reference field="1" count="1">
            <x v="22"/>
          </reference>
        </references>
      </pivotArea>
    </format>
    <format dxfId="68">
      <pivotArea dataOnly="0" labelOnly="1" outline="0" fieldPosition="0">
        <references count="1">
          <reference field="1" count="1">
            <x v="23"/>
          </reference>
        </references>
      </pivotArea>
    </format>
    <format dxfId="67">
      <pivotArea dataOnly="0" labelOnly="1" outline="0" fieldPosition="0">
        <references count="1">
          <reference field="1" count="1">
            <x v="24"/>
          </reference>
        </references>
      </pivotArea>
    </format>
    <format dxfId="66">
      <pivotArea dataOnly="0" labelOnly="1" outline="0" fieldPosition="0">
        <references count="1">
          <reference field="1" count="1">
            <x v="25"/>
          </reference>
        </references>
      </pivotArea>
    </format>
    <format dxfId="65">
      <pivotArea dataOnly="0" labelOnly="1" outline="0" fieldPosition="0">
        <references count="1">
          <reference field="1" count="1">
            <x v="26"/>
          </reference>
        </references>
      </pivotArea>
    </format>
    <format dxfId="64">
      <pivotArea dataOnly="0" labelOnly="1" outline="0" fieldPosition="0">
        <references count="1">
          <reference field="1" count="1">
            <x v="27"/>
          </reference>
        </references>
      </pivotArea>
    </format>
    <format dxfId="63">
      <pivotArea dataOnly="0" labelOnly="1" outline="0" fieldPosition="0">
        <references count="1">
          <reference field="1" count="1">
            <x v="28"/>
          </reference>
        </references>
      </pivotArea>
    </format>
    <format dxfId="62">
      <pivotArea dataOnly="0" labelOnly="1" outline="0" fieldPosition="0">
        <references count="1">
          <reference field="1" count="1">
            <x v="29"/>
          </reference>
        </references>
      </pivotArea>
    </format>
    <format dxfId="61">
      <pivotArea dataOnly="0" labelOnly="1" outline="0" fieldPosition="0">
        <references count="1">
          <reference field="1" count="1">
            <x v="30"/>
          </reference>
        </references>
      </pivotArea>
    </format>
    <format dxfId="60">
      <pivotArea dataOnly="0" labelOnly="1" outline="0" fieldPosition="0">
        <references count="1">
          <reference field="1" count="1">
            <x v="31"/>
          </reference>
        </references>
      </pivotArea>
    </format>
    <format dxfId="59">
      <pivotArea dataOnly="0" labelOnly="1" outline="0" fieldPosition="0">
        <references count="1">
          <reference field="1" count="1">
            <x v="32"/>
          </reference>
        </references>
      </pivotArea>
    </format>
    <format dxfId="58">
      <pivotArea dataOnly="0" labelOnly="1" outline="0" fieldPosition="0">
        <references count="1">
          <reference field="1" count="1">
            <x v="33"/>
          </reference>
        </references>
      </pivotArea>
    </format>
    <format dxfId="57">
      <pivotArea dataOnly="0" labelOnly="1" outline="0" fieldPosition="0">
        <references count="1">
          <reference field="1" count="1">
            <x v="34"/>
          </reference>
        </references>
      </pivotArea>
    </format>
    <format dxfId="56">
      <pivotArea dataOnly="0" labelOnly="1" outline="0" fieldPosition="0">
        <references count="1">
          <reference field="1" count="1">
            <x v="35"/>
          </reference>
        </references>
      </pivotArea>
    </format>
    <format dxfId="55">
      <pivotArea dataOnly="0" labelOnly="1" outline="0" fieldPosition="0">
        <references count="1">
          <reference field="1" count="1">
            <x v="36"/>
          </reference>
        </references>
      </pivotArea>
    </format>
    <format dxfId="54">
      <pivotArea dataOnly="0" labelOnly="1" outline="0" fieldPosition="0">
        <references count="1">
          <reference field="1" count="1">
            <x v="37"/>
          </reference>
        </references>
      </pivotArea>
    </format>
    <format dxfId="53">
      <pivotArea dataOnly="0" labelOnly="1" outline="0" fieldPosition="0">
        <references count="1">
          <reference field="1" count="1">
            <x v="38"/>
          </reference>
        </references>
      </pivotArea>
    </format>
    <format dxfId="52">
      <pivotArea dataOnly="0" labelOnly="1" outline="0" fieldPosition="0">
        <references count="1">
          <reference field="1" count="1">
            <x v="39"/>
          </reference>
        </references>
      </pivotArea>
    </format>
    <format dxfId="51">
      <pivotArea dataOnly="0" labelOnly="1" outline="0" fieldPosition="0">
        <references count="1">
          <reference field="1" count="1">
            <x v="40"/>
          </reference>
        </references>
      </pivotArea>
    </format>
    <format dxfId="50">
      <pivotArea dataOnly="0" labelOnly="1" outline="0" fieldPosition="0">
        <references count="1">
          <reference field="1" count="1">
            <x v="41"/>
          </reference>
        </references>
      </pivotArea>
    </format>
    <format dxfId="49">
      <pivotArea dataOnly="0" labelOnly="1" outline="0" fieldPosition="0">
        <references count="1">
          <reference field="1" count="1">
            <x v="42"/>
          </reference>
        </references>
      </pivotArea>
    </format>
    <format dxfId="48">
      <pivotArea dataOnly="0" labelOnly="1" outline="0" fieldPosition="0">
        <references count="1">
          <reference field="1" count="1">
            <x v="43"/>
          </reference>
        </references>
      </pivotArea>
    </format>
    <format dxfId="47">
      <pivotArea dataOnly="0" labelOnly="1" outline="0" fieldPosition="0">
        <references count="1">
          <reference field="1" count="1">
            <x v="44"/>
          </reference>
        </references>
      </pivotArea>
    </format>
    <format dxfId="46">
      <pivotArea dataOnly="0" labelOnly="1" outline="0" fieldPosition="0">
        <references count="1">
          <reference field="1" count="1">
            <x v="45"/>
          </reference>
        </references>
      </pivotArea>
    </format>
    <format dxfId="45">
      <pivotArea dataOnly="0" labelOnly="1" outline="0" fieldPosition="0">
        <references count="1">
          <reference field="1" count="1">
            <x v="46"/>
          </reference>
        </references>
      </pivotArea>
    </format>
    <format dxfId="44">
      <pivotArea dataOnly="0" labelOnly="1" outline="0" fieldPosition="0">
        <references count="1">
          <reference field="1" count="1">
            <x v="47"/>
          </reference>
        </references>
      </pivotArea>
    </format>
    <format dxfId="43">
      <pivotArea dataOnly="0" labelOnly="1" outline="0" fieldPosition="0">
        <references count="1">
          <reference field="1" count="1">
            <x v="48"/>
          </reference>
        </references>
      </pivotArea>
    </format>
    <format dxfId="42">
      <pivotArea dataOnly="0" labelOnly="1" outline="0" fieldPosition="0">
        <references count="1">
          <reference field="1" count="1">
            <x v="49"/>
          </reference>
        </references>
      </pivotArea>
    </format>
    <format dxfId="41">
      <pivotArea dataOnly="0" labelOnly="1" outline="0" fieldPosition="0">
        <references count="1">
          <reference field="1" count="1">
            <x v="50"/>
          </reference>
        </references>
      </pivotArea>
    </format>
    <format dxfId="40">
      <pivotArea dataOnly="0" labelOnly="1" outline="0" fieldPosition="0">
        <references count="1">
          <reference field="1" count="1">
            <x v="51"/>
          </reference>
        </references>
      </pivotArea>
    </format>
    <format dxfId="39">
      <pivotArea dataOnly="0" labelOnly="1" outline="0" fieldPosition="0">
        <references count="1">
          <reference field="1" count="1">
            <x v="52"/>
          </reference>
        </references>
      </pivotArea>
    </format>
    <format dxfId="38">
      <pivotArea dataOnly="0" labelOnly="1" outline="0" fieldPosition="0">
        <references count="1">
          <reference field="1" count="1">
            <x v="53"/>
          </reference>
        </references>
      </pivotArea>
    </format>
    <format dxfId="37">
      <pivotArea dataOnly="0" labelOnly="1" outline="0" fieldPosition="0">
        <references count="1">
          <reference field="1" count="1">
            <x v="54"/>
          </reference>
        </references>
      </pivotArea>
    </format>
    <format dxfId="36">
      <pivotArea dataOnly="0" labelOnly="1" outline="0" fieldPosition="0">
        <references count="1">
          <reference field="1" count="1">
            <x v="55"/>
          </reference>
        </references>
      </pivotArea>
    </format>
    <format dxfId="35">
      <pivotArea dataOnly="0" labelOnly="1" outline="0" fieldPosition="0">
        <references count="1">
          <reference field="1" count="1">
            <x v="56"/>
          </reference>
        </references>
      </pivotArea>
    </format>
    <format dxfId="34">
      <pivotArea dataOnly="0" labelOnly="1" outline="0" fieldPosition="0">
        <references count="1">
          <reference field="1" count="1">
            <x v="57"/>
          </reference>
        </references>
      </pivotArea>
    </format>
    <format dxfId="33">
      <pivotArea dataOnly="0" labelOnly="1" outline="0" fieldPosition="0">
        <references count="1">
          <reference field="1" count="1">
            <x v="58"/>
          </reference>
        </references>
      </pivotArea>
    </format>
    <format dxfId="32">
      <pivotArea dataOnly="0" labelOnly="1" outline="0" fieldPosition="0">
        <references count="1">
          <reference field="1" count="1">
            <x v="59"/>
          </reference>
        </references>
      </pivotArea>
    </format>
    <format dxfId="31">
      <pivotArea dataOnly="0" labelOnly="1" outline="0" fieldPosition="0">
        <references count="1">
          <reference field="1" count="1">
            <x v="60"/>
          </reference>
        </references>
      </pivotArea>
    </format>
    <format dxfId="30">
      <pivotArea dataOnly="0" labelOnly="1" outline="0" fieldPosition="0">
        <references count="1">
          <reference field="1" count="1">
            <x v="61"/>
          </reference>
        </references>
      </pivotArea>
    </format>
    <format dxfId="29">
      <pivotArea dataOnly="0" labelOnly="1" outline="0" fieldPosition="0">
        <references count="1">
          <reference field="1" count="1">
            <x v="62"/>
          </reference>
        </references>
      </pivotArea>
    </format>
    <format dxfId="28">
      <pivotArea dataOnly="0" labelOnly="1" outline="0" fieldPosition="0">
        <references count="1">
          <reference field="1" count="1">
            <x v="63"/>
          </reference>
        </references>
      </pivotArea>
    </format>
    <format dxfId="27">
      <pivotArea dataOnly="0" labelOnly="1" outline="0" fieldPosition="0">
        <references count="1">
          <reference field="1" count="1">
            <x v="64"/>
          </reference>
        </references>
      </pivotArea>
    </format>
    <format dxfId="26">
      <pivotArea dataOnly="0" labelOnly="1" outline="0" fieldPosition="0">
        <references count="1">
          <reference field="1" count="1">
            <x v="65"/>
          </reference>
        </references>
      </pivotArea>
    </format>
    <format dxfId="25">
      <pivotArea dataOnly="0" labelOnly="1" outline="0" fieldPosition="0">
        <references count="1">
          <reference field="1" count="1">
            <x v="66"/>
          </reference>
        </references>
      </pivotArea>
    </format>
    <format dxfId="24">
      <pivotArea dataOnly="0" labelOnly="1" outline="0" fieldPosition="0">
        <references count="1">
          <reference field="1" count="1">
            <x v="67"/>
          </reference>
        </references>
      </pivotArea>
    </format>
    <format dxfId="23">
      <pivotArea dataOnly="0" labelOnly="1" outline="0" fieldPosition="0">
        <references count="1">
          <reference field="1" count="1">
            <x v="68"/>
          </reference>
        </references>
      </pivotArea>
    </format>
    <format dxfId="22">
      <pivotArea dataOnly="0" labelOnly="1" outline="0" fieldPosition="0">
        <references count="1">
          <reference field="1" count="1">
            <x v="69"/>
          </reference>
        </references>
      </pivotArea>
    </format>
    <format dxfId="21">
      <pivotArea dataOnly="0" labelOnly="1" outline="0" fieldPosition="0">
        <references count="1">
          <reference field="1" count="1">
            <x v="70"/>
          </reference>
        </references>
      </pivotArea>
    </format>
    <format dxfId="20">
      <pivotArea dataOnly="0" labelOnly="1" outline="0" fieldPosition="0">
        <references count="1">
          <reference field="1" count="1">
            <x v="71"/>
          </reference>
        </references>
      </pivotArea>
    </format>
    <format dxfId="19">
      <pivotArea dataOnly="0" labelOnly="1" outline="0" fieldPosition="0">
        <references count="1">
          <reference field="1" count="1">
            <x v="72"/>
          </reference>
        </references>
      </pivotArea>
    </format>
    <format dxfId="18">
      <pivotArea dataOnly="0" labelOnly="1" outline="0" fieldPosition="0">
        <references count="1">
          <reference field="1" count="1">
            <x v="73"/>
          </reference>
        </references>
      </pivotArea>
    </format>
    <format dxfId="17">
      <pivotArea dataOnly="0" labelOnly="1" outline="0" fieldPosition="0">
        <references count="1">
          <reference field="1" count="1">
            <x v="74"/>
          </reference>
        </references>
      </pivotArea>
    </format>
    <format dxfId="16">
      <pivotArea dataOnly="0" labelOnly="1" outline="0" fieldPosition="0">
        <references count="1">
          <reference field="1" count="1">
            <x v="75"/>
          </reference>
        </references>
      </pivotArea>
    </format>
    <format dxfId="15">
      <pivotArea dataOnly="0" labelOnly="1" outline="0" fieldPosition="0">
        <references count="1">
          <reference field="1" count="1">
            <x v="76"/>
          </reference>
        </references>
      </pivotArea>
    </format>
    <format dxfId="14">
      <pivotArea dataOnly="0" labelOnly="1" outline="0" fieldPosition="0">
        <references count="1">
          <reference field="1" count="1">
            <x v="77"/>
          </reference>
        </references>
      </pivotArea>
    </format>
    <format dxfId="13">
      <pivotArea dataOnly="0" labelOnly="1" outline="0" fieldPosition="0">
        <references count="1">
          <reference field="1" count="1">
            <x v="78"/>
          </reference>
        </references>
      </pivotArea>
    </format>
    <format dxfId="12">
      <pivotArea dataOnly="0" labelOnly="1" outline="0" fieldPosition="0">
        <references count="1">
          <reference field="1" count="1">
            <x v="79"/>
          </reference>
        </references>
      </pivotArea>
    </format>
    <format dxfId="11">
      <pivotArea dataOnly="0" labelOnly="1" outline="0" fieldPosition="0">
        <references count="1">
          <reference field="1" count="1">
            <x v="80"/>
          </reference>
        </references>
      </pivotArea>
    </format>
    <format dxfId="10">
      <pivotArea dataOnly="0" labelOnly="1" outline="0" fieldPosition="0">
        <references count="1">
          <reference field="1" count="1">
            <x v="81"/>
          </reference>
        </references>
      </pivotArea>
    </format>
    <format dxfId="9">
      <pivotArea dataOnly="0" labelOnly="1" outline="0" fieldPosition="0">
        <references count="1">
          <reference field="1" count="1">
            <x v="82"/>
          </reference>
        </references>
      </pivotArea>
    </format>
    <format dxfId="8">
      <pivotArea dataOnly="0" labelOnly="1" outline="0" fieldPosition="0">
        <references count="1">
          <reference field="1" count="1">
            <x v="83"/>
          </reference>
        </references>
      </pivotArea>
    </format>
    <format dxfId="7">
      <pivotArea dataOnly="0" labelOnly="1" outline="0" fieldPosition="0">
        <references count="1">
          <reference field="1" count="1">
            <x v="84"/>
          </reference>
        </references>
      </pivotArea>
    </format>
    <format dxfId="6">
      <pivotArea dataOnly="0" labelOnly="1" outline="0" fieldPosition="0">
        <references count="1">
          <reference field="1" count="1">
            <x v="85"/>
          </reference>
        </references>
      </pivotArea>
    </format>
    <format dxfId="5">
      <pivotArea dataOnly="0" labelOnly="1" outline="0" fieldPosition="0">
        <references count="1">
          <reference field="1" count="1">
            <x v="86"/>
          </reference>
        </references>
      </pivotArea>
    </format>
    <format dxfId="4">
      <pivotArea dataOnly="0" labelOnly="1" outline="0" fieldPosition="0">
        <references count="1">
          <reference field="1" count="1">
            <x v="87"/>
          </reference>
        </references>
      </pivotArea>
    </format>
    <format dxfId="3">
      <pivotArea dataOnly="0" labelOnly="1" outline="0" fieldPosition="0">
        <references count="1">
          <reference field="1" count="1">
            <x v="88"/>
          </reference>
        </references>
      </pivotArea>
    </format>
    <format dxfId="2">
      <pivotArea dataOnly="0" labelOnly="1" outline="0" fieldPosition="0">
        <references count="1">
          <reference field="1" count="1">
            <x v="89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9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H99" firstHeaderRow="1" firstDataRow="1" firstDataCol="6"/>
  <pivotFields count="9">
    <pivotField compact="0" outline="0" showAll="0"/>
    <pivotField axis="axisRow" compact="0" outline="0" showAll="0" defaultSubtotal="0">
      <items count="9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</items>
    </pivotField>
    <pivotField axis="axisRow" compact="0" outline="0" showAll="0" defaultSubtota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9">
        <item sd="0" x="7"/>
        <item sd="0" x="8"/>
        <item sd="0" x="9"/>
        <item sd="0" x="11"/>
        <item sd="0" x="0"/>
        <item sd="0" x="17"/>
        <item sd="0" x="12"/>
        <item sd="0" x="1"/>
        <item sd="0" x="20"/>
        <item sd="0" x="2"/>
        <item sd="0" x="10"/>
        <item sd="0" x="3"/>
        <item sd="0" x="4"/>
        <item sd="0" x="6"/>
        <item sd="0" x="13"/>
        <item sd="0" x="15"/>
        <item sd="0" x="5"/>
        <item sd="0" x="23"/>
        <item sd="0" x="14"/>
        <item sd="0" x="16"/>
        <item sd="0" x="22"/>
        <item sd="0" x="24"/>
        <item sd="0" x="18"/>
        <item sd="0" x="19"/>
        <item sd="0" x="27"/>
        <item sd="0" x="21"/>
        <item sd="0" x="25"/>
        <item sd="0" x="37"/>
        <item sd="0" x="26"/>
        <item sd="0" x="30"/>
        <item sd="0" x="29"/>
        <item sd="0" x="34"/>
        <item sd="0" x="31"/>
        <item sd="0" x="36"/>
        <item sd="0" x="28"/>
        <item sd="0" x="35"/>
        <item sd="0" x="33"/>
        <item sd="0" x="32"/>
        <item sd="0" x="38"/>
      </items>
    </pivotField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3">
        <item x="0"/>
        <item x="2"/>
        <item x="1"/>
      </items>
    </pivotField>
    <pivotField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9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 t="grand">
      <x/>
    </i>
  </rowItems>
  <colItems count="1">
    <i/>
  </colItems>
  <formats count="109">
    <format dxfId="246">
      <pivotArea type="all" dataOnly="0" outline="0" fieldPosition="0"/>
    </format>
    <format dxfId="245">
      <pivotArea outline="0" collapsedLevelsAreSubtotals="1" fieldPosition="0"/>
    </format>
    <format dxfId="244">
      <pivotArea dataOnly="0" labelOnly="1" grandRow="1" outline="0" fieldPosition="0"/>
    </format>
    <format dxfId="227">
      <pivotArea field="1" type="button" dataOnly="0" labelOnly="1" outline="0" axis="axisRow" fieldPosition="0"/>
    </format>
    <format dxfId="226">
      <pivotArea field="2" type="button" dataOnly="0" labelOnly="1" outline="0" axis="axisRow" fieldPosition="1"/>
    </format>
    <format dxfId="225">
      <pivotArea field="3" type="button" dataOnly="0" labelOnly="1" outline="0" axis="axisRow" fieldPosition="2"/>
    </format>
    <format dxfId="224">
      <pivotArea field="4" type="button" dataOnly="0" labelOnly="1" outline="0" axis="axisRow" fieldPosition="3"/>
    </format>
    <format dxfId="223">
      <pivotArea field="5" type="button" dataOnly="0" labelOnly="1" outline="0" axis="axisRow" fieldPosition="4"/>
    </format>
    <format dxfId="222">
      <pivotArea field="6" type="button" dataOnly="0" labelOnly="1" outline="0" axis="axisRow" fieldPosition="5"/>
    </format>
    <format dxfId="221">
      <pivotArea type="all" dataOnly="0" outline="0" fieldPosition="0"/>
    </format>
    <format dxfId="220">
      <pivotArea field="2" type="button" dataOnly="0" labelOnly="1" outline="0" axis="axisRow" fieldPosition="1"/>
    </format>
    <format dxfId="219">
      <pivotArea field="3" type="button" dataOnly="0" labelOnly="1" outline="0" axis="axisRow" fieldPosition="2"/>
    </format>
    <format dxfId="218">
      <pivotArea field="4" type="button" dataOnly="0" labelOnly="1" outline="0" axis="axisRow" fieldPosition="3"/>
    </format>
    <format dxfId="217">
      <pivotArea field="5" type="button" dataOnly="0" labelOnly="1" outline="0" axis="axisRow" fieldPosition="4"/>
    </format>
    <format dxfId="216">
      <pivotArea field="6" type="button" dataOnly="0" labelOnly="1" outline="0" axis="axisRow" fieldPosition="5"/>
    </format>
    <format dxfId="215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14">
      <pivotArea dataOnly="0" labelOnly="1" outline="0" fieldPosition="0">
        <references count="1">
          <reference field="1" count="4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</reference>
        </references>
      </pivotArea>
    </format>
    <format dxfId="213">
      <pivotArea field="1" type="button" dataOnly="0" labelOnly="1" outline="0" axis="axisRow" fieldPosition="0"/>
    </format>
    <format dxfId="212">
      <pivotArea dataOnly="0" labelOnly="1" outline="0" fieldPosition="0">
        <references count="1">
          <reference field="1" count="1">
            <x v="0"/>
          </reference>
        </references>
      </pivotArea>
    </format>
    <format dxfId="211">
      <pivotArea dataOnly="0" labelOnly="1" outline="0" fieldPosition="0">
        <references count="1">
          <reference field="1" count="1">
            <x v="1"/>
          </reference>
        </references>
      </pivotArea>
    </format>
    <format dxfId="210">
      <pivotArea dataOnly="0" labelOnly="1" outline="0" fieldPosition="0">
        <references count="1">
          <reference field="1" count="1">
            <x v="2"/>
          </reference>
        </references>
      </pivotArea>
    </format>
    <format dxfId="209">
      <pivotArea dataOnly="0" labelOnly="1" outline="0" fieldPosition="0">
        <references count="1">
          <reference field="1" count="1">
            <x v="3"/>
          </reference>
        </references>
      </pivotArea>
    </format>
    <format dxfId="208">
      <pivotArea dataOnly="0" labelOnly="1" outline="0" fieldPosition="0">
        <references count="1">
          <reference field="1" count="1">
            <x v="4"/>
          </reference>
        </references>
      </pivotArea>
    </format>
    <format dxfId="207">
      <pivotArea dataOnly="0" labelOnly="1" outline="0" fieldPosition="0">
        <references count="1">
          <reference field="1" count="1">
            <x v="5"/>
          </reference>
        </references>
      </pivotArea>
    </format>
    <format dxfId="206">
      <pivotArea dataOnly="0" labelOnly="1" outline="0" fieldPosition="0">
        <references count="1">
          <reference field="1" count="1">
            <x v="6"/>
          </reference>
        </references>
      </pivotArea>
    </format>
    <format dxfId="205">
      <pivotArea dataOnly="0" labelOnly="1" outline="0" fieldPosition="0">
        <references count="1">
          <reference field="1" count="1">
            <x v="7"/>
          </reference>
        </references>
      </pivotArea>
    </format>
    <format dxfId="204">
      <pivotArea dataOnly="0" labelOnly="1" outline="0" fieldPosition="0">
        <references count="1">
          <reference field="1" count="1">
            <x v="8"/>
          </reference>
        </references>
      </pivotArea>
    </format>
    <format dxfId="203">
      <pivotArea dataOnly="0" labelOnly="1" outline="0" fieldPosition="0">
        <references count="1">
          <reference field="1" count="1">
            <x v="9"/>
          </reference>
        </references>
      </pivotArea>
    </format>
    <format dxfId="202">
      <pivotArea dataOnly="0" labelOnly="1" outline="0" fieldPosition="0">
        <references count="1">
          <reference field="1" count="1">
            <x v="10"/>
          </reference>
        </references>
      </pivotArea>
    </format>
    <format dxfId="201">
      <pivotArea dataOnly="0" labelOnly="1" outline="0" fieldPosition="0">
        <references count="1">
          <reference field="1" count="1">
            <x v="11"/>
          </reference>
        </references>
      </pivotArea>
    </format>
    <format dxfId="200">
      <pivotArea dataOnly="0" labelOnly="1" outline="0" fieldPosition="0">
        <references count="1">
          <reference field="1" count="1">
            <x v="12"/>
          </reference>
        </references>
      </pivotArea>
    </format>
    <format dxfId="199">
      <pivotArea dataOnly="0" labelOnly="1" outline="0" fieldPosition="0">
        <references count="1">
          <reference field="1" count="1">
            <x v="13"/>
          </reference>
        </references>
      </pivotArea>
    </format>
    <format dxfId="198">
      <pivotArea dataOnly="0" labelOnly="1" outline="0" fieldPosition="0">
        <references count="1">
          <reference field="1" count="1">
            <x v="14"/>
          </reference>
        </references>
      </pivotArea>
    </format>
    <format dxfId="197">
      <pivotArea dataOnly="0" labelOnly="1" outline="0" fieldPosition="0">
        <references count="1">
          <reference field="1" count="1">
            <x v="15"/>
          </reference>
        </references>
      </pivotArea>
    </format>
    <format dxfId="196">
      <pivotArea dataOnly="0" labelOnly="1" outline="0" fieldPosition="0">
        <references count="1">
          <reference field="1" count="1">
            <x v="16"/>
          </reference>
        </references>
      </pivotArea>
    </format>
    <format dxfId="195">
      <pivotArea dataOnly="0" labelOnly="1" outline="0" fieldPosition="0">
        <references count="1">
          <reference field="1" count="1">
            <x v="17"/>
          </reference>
        </references>
      </pivotArea>
    </format>
    <format dxfId="194">
      <pivotArea dataOnly="0" labelOnly="1" outline="0" fieldPosition="0">
        <references count="1">
          <reference field="1" count="1">
            <x v="18"/>
          </reference>
        </references>
      </pivotArea>
    </format>
    <format dxfId="193">
      <pivotArea dataOnly="0" labelOnly="1" outline="0" fieldPosition="0">
        <references count="1">
          <reference field="1" count="1">
            <x v="19"/>
          </reference>
        </references>
      </pivotArea>
    </format>
    <format dxfId="192">
      <pivotArea dataOnly="0" labelOnly="1" outline="0" fieldPosition="0">
        <references count="1">
          <reference field="1" count="1">
            <x v="20"/>
          </reference>
        </references>
      </pivotArea>
    </format>
    <format dxfId="191">
      <pivotArea dataOnly="0" labelOnly="1" outline="0" fieldPosition="0">
        <references count="1">
          <reference field="1" count="1">
            <x v="21"/>
          </reference>
        </references>
      </pivotArea>
    </format>
    <format dxfId="190">
      <pivotArea dataOnly="0" labelOnly="1" outline="0" fieldPosition="0">
        <references count="1">
          <reference field="1" count="1">
            <x v="22"/>
          </reference>
        </references>
      </pivotArea>
    </format>
    <format dxfId="189">
      <pivotArea dataOnly="0" labelOnly="1" outline="0" fieldPosition="0">
        <references count="1">
          <reference field="1" count="1">
            <x v="23"/>
          </reference>
        </references>
      </pivotArea>
    </format>
    <format dxfId="188">
      <pivotArea dataOnly="0" labelOnly="1" outline="0" fieldPosition="0">
        <references count="1">
          <reference field="1" count="1">
            <x v="24"/>
          </reference>
        </references>
      </pivotArea>
    </format>
    <format dxfId="187">
      <pivotArea dataOnly="0" labelOnly="1" outline="0" fieldPosition="0">
        <references count="1">
          <reference field="1" count="1">
            <x v="25"/>
          </reference>
        </references>
      </pivotArea>
    </format>
    <format dxfId="186">
      <pivotArea dataOnly="0" labelOnly="1" outline="0" fieldPosition="0">
        <references count="1">
          <reference field="1" count="1">
            <x v="26"/>
          </reference>
        </references>
      </pivotArea>
    </format>
    <format dxfId="185">
      <pivotArea dataOnly="0" labelOnly="1" outline="0" fieldPosition="0">
        <references count="1">
          <reference field="1" count="1">
            <x v="27"/>
          </reference>
        </references>
      </pivotArea>
    </format>
    <format dxfId="184">
      <pivotArea dataOnly="0" labelOnly="1" outline="0" fieldPosition="0">
        <references count="1">
          <reference field="1" count="1">
            <x v="28"/>
          </reference>
        </references>
      </pivotArea>
    </format>
    <format dxfId="183">
      <pivotArea dataOnly="0" labelOnly="1" outline="0" fieldPosition="0">
        <references count="1">
          <reference field="1" count="1">
            <x v="29"/>
          </reference>
        </references>
      </pivotArea>
    </format>
    <format dxfId="182">
      <pivotArea dataOnly="0" labelOnly="1" outline="0" fieldPosition="0">
        <references count="1">
          <reference field="1" count="1">
            <x v="30"/>
          </reference>
        </references>
      </pivotArea>
    </format>
    <format dxfId="181">
      <pivotArea dataOnly="0" labelOnly="1" outline="0" fieldPosition="0">
        <references count="1">
          <reference field="1" count="1">
            <x v="31"/>
          </reference>
        </references>
      </pivotArea>
    </format>
    <format dxfId="180">
      <pivotArea dataOnly="0" labelOnly="1" outline="0" fieldPosition="0">
        <references count="1">
          <reference field="1" count="1">
            <x v="32"/>
          </reference>
        </references>
      </pivotArea>
    </format>
    <format dxfId="179">
      <pivotArea dataOnly="0" labelOnly="1" outline="0" fieldPosition="0">
        <references count="1">
          <reference field="1" count="1">
            <x v="33"/>
          </reference>
        </references>
      </pivotArea>
    </format>
    <format dxfId="178">
      <pivotArea dataOnly="0" labelOnly="1" outline="0" fieldPosition="0">
        <references count="1">
          <reference field="1" count="1">
            <x v="34"/>
          </reference>
        </references>
      </pivotArea>
    </format>
    <format dxfId="177">
      <pivotArea dataOnly="0" labelOnly="1" outline="0" fieldPosition="0">
        <references count="1">
          <reference field="1" count="1">
            <x v="35"/>
          </reference>
        </references>
      </pivotArea>
    </format>
    <format dxfId="176">
      <pivotArea dataOnly="0" labelOnly="1" outline="0" fieldPosition="0">
        <references count="1">
          <reference field="1" count="1">
            <x v="36"/>
          </reference>
        </references>
      </pivotArea>
    </format>
    <format dxfId="175">
      <pivotArea dataOnly="0" labelOnly="1" outline="0" fieldPosition="0">
        <references count="1">
          <reference field="1" count="1">
            <x v="37"/>
          </reference>
        </references>
      </pivotArea>
    </format>
    <format dxfId="174">
      <pivotArea dataOnly="0" labelOnly="1" outline="0" fieldPosition="0">
        <references count="1">
          <reference field="1" count="1">
            <x v="38"/>
          </reference>
        </references>
      </pivotArea>
    </format>
    <format dxfId="173">
      <pivotArea dataOnly="0" labelOnly="1" outline="0" fieldPosition="0">
        <references count="1">
          <reference field="1" count="1">
            <x v="39"/>
          </reference>
        </references>
      </pivotArea>
    </format>
    <format dxfId="172">
      <pivotArea dataOnly="0" labelOnly="1" outline="0" fieldPosition="0">
        <references count="1">
          <reference field="1" count="1">
            <x v="40"/>
          </reference>
        </references>
      </pivotArea>
    </format>
    <format dxfId="171">
      <pivotArea dataOnly="0" labelOnly="1" outline="0" fieldPosition="0">
        <references count="1">
          <reference field="1" count="1">
            <x v="41"/>
          </reference>
        </references>
      </pivotArea>
    </format>
    <format dxfId="170">
      <pivotArea dataOnly="0" labelOnly="1" outline="0" fieldPosition="0">
        <references count="1">
          <reference field="1" count="1">
            <x v="42"/>
          </reference>
        </references>
      </pivotArea>
    </format>
    <format dxfId="169">
      <pivotArea dataOnly="0" labelOnly="1" outline="0" fieldPosition="0">
        <references count="1">
          <reference field="1" count="1">
            <x v="43"/>
          </reference>
        </references>
      </pivotArea>
    </format>
    <format dxfId="168">
      <pivotArea dataOnly="0" labelOnly="1" outline="0" fieldPosition="0">
        <references count="1">
          <reference field="1" count="1">
            <x v="44"/>
          </reference>
        </references>
      </pivotArea>
    </format>
    <format dxfId="167">
      <pivotArea dataOnly="0" labelOnly="1" outline="0" fieldPosition="0">
        <references count="1">
          <reference field="1" count="1">
            <x v="45"/>
          </reference>
        </references>
      </pivotArea>
    </format>
    <format dxfId="166">
      <pivotArea dataOnly="0" labelOnly="1" outline="0" fieldPosition="0">
        <references count="1">
          <reference field="1" count="1">
            <x v="46"/>
          </reference>
        </references>
      </pivotArea>
    </format>
    <format dxfId="165">
      <pivotArea dataOnly="0" labelOnly="1" outline="0" fieldPosition="0">
        <references count="1">
          <reference field="1" count="1">
            <x v="47"/>
          </reference>
        </references>
      </pivotArea>
    </format>
    <format dxfId="164">
      <pivotArea dataOnly="0" labelOnly="1" outline="0" fieldPosition="0">
        <references count="1">
          <reference field="1" count="1">
            <x v="48"/>
          </reference>
        </references>
      </pivotArea>
    </format>
    <format dxfId="163">
      <pivotArea dataOnly="0" labelOnly="1" outline="0" fieldPosition="0">
        <references count="1">
          <reference field="1" count="1">
            <x v="49"/>
          </reference>
        </references>
      </pivotArea>
    </format>
    <format dxfId="162">
      <pivotArea dataOnly="0" labelOnly="1" outline="0" fieldPosition="0">
        <references count="1">
          <reference field="1" count="1">
            <x v="50"/>
          </reference>
        </references>
      </pivotArea>
    </format>
    <format dxfId="161">
      <pivotArea dataOnly="0" labelOnly="1" outline="0" fieldPosition="0">
        <references count="1">
          <reference field="1" count="1">
            <x v="51"/>
          </reference>
        </references>
      </pivotArea>
    </format>
    <format dxfId="160">
      <pivotArea dataOnly="0" labelOnly="1" outline="0" fieldPosition="0">
        <references count="1">
          <reference field="1" count="1">
            <x v="52"/>
          </reference>
        </references>
      </pivotArea>
    </format>
    <format dxfId="159">
      <pivotArea dataOnly="0" labelOnly="1" outline="0" fieldPosition="0">
        <references count="1">
          <reference field="1" count="1">
            <x v="53"/>
          </reference>
        </references>
      </pivotArea>
    </format>
    <format dxfId="158">
      <pivotArea dataOnly="0" labelOnly="1" outline="0" fieldPosition="0">
        <references count="1">
          <reference field="1" count="1">
            <x v="54"/>
          </reference>
        </references>
      </pivotArea>
    </format>
    <format dxfId="157">
      <pivotArea dataOnly="0" labelOnly="1" outline="0" fieldPosition="0">
        <references count="1">
          <reference field="1" count="1">
            <x v="55"/>
          </reference>
        </references>
      </pivotArea>
    </format>
    <format dxfId="156">
      <pivotArea dataOnly="0" labelOnly="1" outline="0" fieldPosition="0">
        <references count="1">
          <reference field="1" count="1">
            <x v="56"/>
          </reference>
        </references>
      </pivotArea>
    </format>
    <format dxfId="155">
      <pivotArea dataOnly="0" labelOnly="1" outline="0" fieldPosition="0">
        <references count="1">
          <reference field="1" count="1">
            <x v="57"/>
          </reference>
        </references>
      </pivotArea>
    </format>
    <format dxfId="154">
      <pivotArea dataOnly="0" labelOnly="1" outline="0" fieldPosition="0">
        <references count="1">
          <reference field="1" count="1">
            <x v="58"/>
          </reference>
        </references>
      </pivotArea>
    </format>
    <format dxfId="153">
      <pivotArea dataOnly="0" labelOnly="1" outline="0" fieldPosition="0">
        <references count="1">
          <reference field="1" count="1">
            <x v="59"/>
          </reference>
        </references>
      </pivotArea>
    </format>
    <format dxfId="152">
      <pivotArea dataOnly="0" labelOnly="1" outline="0" fieldPosition="0">
        <references count="1">
          <reference field="1" count="1">
            <x v="60"/>
          </reference>
        </references>
      </pivotArea>
    </format>
    <format dxfId="151">
      <pivotArea dataOnly="0" labelOnly="1" outline="0" fieldPosition="0">
        <references count="1">
          <reference field="1" count="1">
            <x v="61"/>
          </reference>
        </references>
      </pivotArea>
    </format>
    <format dxfId="150">
      <pivotArea dataOnly="0" labelOnly="1" outline="0" fieldPosition="0">
        <references count="1">
          <reference field="1" count="1">
            <x v="62"/>
          </reference>
        </references>
      </pivotArea>
    </format>
    <format dxfId="149">
      <pivotArea dataOnly="0" labelOnly="1" outline="0" fieldPosition="0">
        <references count="1">
          <reference field="1" count="1">
            <x v="63"/>
          </reference>
        </references>
      </pivotArea>
    </format>
    <format dxfId="148">
      <pivotArea dataOnly="0" labelOnly="1" outline="0" fieldPosition="0">
        <references count="1">
          <reference field="1" count="1">
            <x v="64"/>
          </reference>
        </references>
      </pivotArea>
    </format>
    <format dxfId="147">
      <pivotArea dataOnly="0" labelOnly="1" outline="0" fieldPosition="0">
        <references count="1">
          <reference field="1" count="1">
            <x v="65"/>
          </reference>
        </references>
      </pivotArea>
    </format>
    <format dxfId="146">
      <pivotArea dataOnly="0" labelOnly="1" outline="0" fieldPosition="0">
        <references count="1">
          <reference field="1" count="1">
            <x v="66"/>
          </reference>
        </references>
      </pivotArea>
    </format>
    <format dxfId="145">
      <pivotArea dataOnly="0" labelOnly="1" outline="0" fieldPosition="0">
        <references count="1">
          <reference field="1" count="1">
            <x v="67"/>
          </reference>
        </references>
      </pivotArea>
    </format>
    <format dxfId="144">
      <pivotArea dataOnly="0" labelOnly="1" outline="0" fieldPosition="0">
        <references count="1">
          <reference field="1" count="1">
            <x v="68"/>
          </reference>
        </references>
      </pivotArea>
    </format>
    <format dxfId="143">
      <pivotArea dataOnly="0" labelOnly="1" outline="0" fieldPosition="0">
        <references count="1">
          <reference field="1" count="1">
            <x v="69"/>
          </reference>
        </references>
      </pivotArea>
    </format>
    <format dxfId="142">
      <pivotArea dataOnly="0" labelOnly="1" outline="0" fieldPosition="0">
        <references count="1">
          <reference field="1" count="1">
            <x v="70"/>
          </reference>
        </references>
      </pivotArea>
    </format>
    <format dxfId="141">
      <pivotArea dataOnly="0" labelOnly="1" outline="0" fieldPosition="0">
        <references count="1">
          <reference field="1" count="1">
            <x v="71"/>
          </reference>
        </references>
      </pivotArea>
    </format>
    <format dxfId="140">
      <pivotArea dataOnly="0" labelOnly="1" outline="0" fieldPosition="0">
        <references count="1">
          <reference field="1" count="1">
            <x v="72"/>
          </reference>
        </references>
      </pivotArea>
    </format>
    <format dxfId="139">
      <pivotArea dataOnly="0" labelOnly="1" outline="0" fieldPosition="0">
        <references count="1">
          <reference field="1" count="1">
            <x v="73"/>
          </reference>
        </references>
      </pivotArea>
    </format>
    <format dxfId="138">
      <pivotArea dataOnly="0" labelOnly="1" outline="0" fieldPosition="0">
        <references count="1">
          <reference field="1" count="1">
            <x v="74"/>
          </reference>
        </references>
      </pivotArea>
    </format>
    <format dxfId="137">
      <pivotArea dataOnly="0" labelOnly="1" outline="0" fieldPosition="0">
        <references count="1">
          <reference field="1" count="1">
            <x v="75"/>
          </reference>
        </references>
      </pivotArea>
    </format>
    <format dxfId="136">
      <pivotArea dataOnly="0" labelOnly="1" outline="0" fieldPosition="0">
        <references count="1">
          <reference field="1" count="1">
            <x v="76"/>
          </reference>
        </references>
      </pivotArea>
    </format>
    <format dxfId="135">
      <pivotArea dataOnly="0" labelOnly="1" outline="0" fieldPosition="0">
        <references count="1">
          <reference field="1" count="1">
            <x v="77"/>
          </reference>
        </references>
      </pivotArea>
    </format>
    <format dxfId="134">
      <pivotArea dataOnly="0" labelOnly="1" outline="0" fieldPosition="0">
        <references count="1">
          <reference field="1" count="1">
            <x v="78"/>
          </reference>
        </references>
      </pivotArea>
    </format>
    <format dxfId="133">
      <pivotArea dataOnly="0" labelOnly="1" outline="0" fieldPosition="0">
        <references count="1">
          <reference field="1" count="1">
            <x v="79"/>
          </reference>
        </references>
      </pivotArea>
    </format>
    <format dxfId="132">
      <pivotArea dataOnly="0" labelOnly="1" outline="0" fieldPosition="0">
        <references count="1">
          <reference field="1" count="1">
            <x v="80"/>
          </reference>
        </references>
      </pivotArea>
    </format>
    <format dxfId="131">
      <pivotArea dataOnly="0" labelOnly="1" outline="0" fieldPosition="0">
        <references count="1">
          <reference field="1" count="1">
            <x v="81"/>
          </reference>
        </references>
      </pivotArea>
    </format>
    <format dxfId="130">
      <pivotArea dataOnly="0" labelOnly="1" outline="0" fieldPosition="0">
        <references count="1">
          <reference field="1" count="1">
            <x v="82"/>
          </reference>
        </references>
      </pivotArea>
    </format>
    <format dxfId="129">
      <pivotArea dataOnly="0" labelOnly="1" outline="0" fieldPosition="0">
        <references count="1">
          <reference field="1" count="1">
            <x v="83"/>
          </reference>
        </references>
      </pivotArea>
    </format>
    <format dxfId="128">
      <pivotArea dataOnly="0" labelOnly="1" outline="0" fieldPosition="0">
        <references count="1">
          <reference field="1" count="1">
            <x v="84"/>
          </reference>
        </references>
      </pivotArea>
    </format>
    <format dxfId="127">
      <pivotArea dataOnly="0" labelOnly="1" outline="0" fieldPosition="0">
        <references count="1">
          <reference field="1" count="1">
            <x v="85"/>
          </reference>
        </references>
      </pivotArea>
    </format>
    <format dxfId="126">
      <pivotArea dataOnly="0" labelOnly="1" outline="0" fieldPosition="0">
        <references count="1">
          <reference field="1" count="1">
            <x v="86"/>
          </reference>
        </references>
      </pivotArea>
    </format>
    <format dxfId="125">
      <pivotArea dataOnly="0" labelOnly="1" outline="0" fieldPosition="0">
        <references count="1">
          <reference field="1" count="1">
            <x v="87"/>
          </reference>
        </references>
      </pivotArea>
    </format>
    <format dxfId="124">
      <pivotArea dataOnly="0" labelOnly="1" outline="0" fieldPosition="0">
        <references count="1">
          <reference field="1" count="1">
            <x v="88"/>
          </reference>
        </references>
      </pivotArea>
    </format>
    <format dxfId="123">
      <pivotArea dataOnly="0" labelOnly="1" outline="0" fieldPosition="0">
        <references count="1">
          <reference field="1" count="1">
            <x v="89"/>
          </reference>
        </references>
      </pivotArea>
    </format>
    <format dxfId="122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6" totalsRowShown="0" headerRowDxfId="243" dataDxfId="289" headerRowBorderDxfId="290" headerRowCellStyle="Normal 2">
  <autoFilter ref="B10:AA16" xr:uid="{7EC467B7-DE9E-48DF-95B5-2995F1F6DE8F}"/>
  <tableColumns count="26">
    <tableColumn id="1" xr3:uid="{CDAE6949-9186-42E8-AEBE-1928381A0155}" name="Field" dataDxfId="288" dataCellStyle="Normal 2"/>
    <tableColumn id="2" xr3:uid="{24D139B7-BFC8-4DD9-8DE4-2245810E04F3}" name="Definition" dataDxfId="239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238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287"/>
    <tableColumn id="8" xr3:uid="{30CDB1E0-924C-48B4-82F4-9B3E3228BE95}" name="Distinct %" dataDxfId="286"/>
    <tableColumn id="12" xr3:uid="{03824906-BEA5-4B63-A981-21F959B6439E}" name="Missing %" dataDxfId="285" dataCellStyle="Percent 2"/>
    <tableColumn id="6" xr3:uid="{8DFFE5A0-8676-4576-AB4D-97E8B31EC097}" name="Memory Usage %" dataDxfId="284" dataCellStyle="Percent 2"/>
    <tableColumn id="5" xr3:uid="{DD50C3DA-F4A8-40F0-AFBD-DBF916650F7E}" name="Memory Usage" dataDxfId="283"/>
    <tableColumn id="7" xr3:uid="{A0CD56D0-07EF-46CA-BC46-D54CD5E746C7}" name="Distinct" dataDxfId="282"/>
    <tableColumn id="9" xr3:uid="{1C848176-6AC1-44A6-9B3B-F1C9E8BC32EA}" name="Count" dataDxfId="281"/>
    <tableColumn id="10" xr3:uid="{6C6E6A37-4969-459F-AC39-2193366810E2}" name="Count %" dataDxfId="280"/>
    <tableColumn id="11" xr3:uid="{CD47252D-0307-4513-AF7C-13CC4AA1FCD9}" name="Missing" dataDxfId="279"/>
    <tableColumn id="13" xr3:uid="{2B45F7F8-CE35-48A6-BB27-9684B5D7936D}" name="Mean" dataDxfId="278"/>
    <tableColumn id="14" xr3:uid="{293386E4-1FA6-4340-9DC6-54CC26209C0A}" name="Median" dataDxfId="277"/>
    <tableColumn id="15" xr3:uid="{29252F5E-4163-4D62-89FC-FF85F6C4755C}" name="Mode" dataDxfId="276"/>
    <tableColumn id="16" xr3:uid="{69FFA3C1-FD1E-4395-AF2E-177FDFCDE62A}" name="Standard Deviation" dataDxfId="275"/>
    <tableColumn id="17" xr3:uid="{2AAB37E9-8AE2-4771-B92B-C04BFABA0B4E}" name="Variance" dataDxfId="274"/>
    <tableColumn id="18" xr3:uid="{07151E41-6633-4A65-A7E1-091F027DEF95}" name="Min" dataDxfId="273"/>
    <tableColumn id="19" xr3:uid="{41A1FD5D-4E5C-45B3-A0C7-1820F89F417F}" name="5%" dataDxfId="272"/>
    <tableColumn id="20" xr3:uid="{50D70984-5A2E-4A19-9F2B-5DA0502339BC}" name="25%" dataDxfId="271"/>
    <tableColumn id="21" xr3:uid="{75FF5489-8FC0-4894-83BC-802076BF1066}" name="50%" dataDxfId="270"/>
    <tableColumn id="22" xr3:uid="{B7FA20A8-EE17-470E-93AD-54011230C113}" name="75%" dataDxfId="269"/>
    <tableColumn id="23" xr3:uid="{378BE758-7A3F-4C04-A75B-FE899B1B0BAD}" name="95%" dataDxfId="268"/>
    <tableColumn id="24" xr3:uid="{818594E7-DC84-4229-81F6-97C1E2E93633}" name="Max" dataDxfId="267"/>
    <tableColumn id="25" xr3:uid="{D8116583-A886-47C1-85E2-D28AD96194AD}" name="Range" dataDxfId="266"/>
    <tableColumn id="26" xr3:uid="{D061AC6A-EAB2-461F-8AB8-E743DC68E666}" name="IQR" dataDxfId="265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K168" totalsRowShown="0" headerRowDxfId="255" dataDxfId="231">
  <autoFilter ref="C78:K168" xr:uid="{DB263373-2B4F-4302-9CF6-5012CE3F1A47}"/>
  <tableColumns count="9">
    <tableColumn id="1" xr3:uid="{B87F6371-B38F-4AA9-8A9B-F1D62600E38F}" name="Record List" dataDxfId="230" dataCellStyle="Normal 2"/>
    <tableColumn id="2" xr3:uid="{55547D6A-0C4F-44F3-8DA7-D9918F9ECA79}" name="Unnamed: 0" dataDxfId="237"/>
    <tableColumn id="8" xr3:uid="{5CEA6B82-08F7-4BBF-BE74-DD211F1E2384}" name="id" dataDxfId="236"/>
    <tableColumn id="3" xr3:uid="{6C0B3232-D5C0-4185-AF99-A47484E561D2}" name="diet" dataDxfId="235"/>
    <tableColumn id="4" xr3:uid="{43A3DE65-07EB-4808-87A8-DD79E8958DAF}" name="pulse" dataDxfId="234"/>
    <tableColumn id="5" xr3:uid="{7E11BD27-FA87-4236-90A4-6DD22B3E366A}" name="time" dataDxfId="233"/>
    <tableColumn id="6" xr3:uid="{AFBD82AD-ECB6-4D16-B3DA-4EB60D3D9950}" name="kind" dataDxfId="232"/>
    <tableColumn id="7" xr3:uid="{DF3AA255-7E4C-4AFA-BD5F-F46922631087}" name="HasBlank" dataDxfId="229"/>
    <tableColumn id="9" xr3:uid="{C0DB435B-56AA-4FD7-B7CA-F3FE02AA25B2}" name="Record Hash" dataDxfId="228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6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66" t="str">
        <f>Name</f>
        <v>exercise</v>
      </c>
      <c r="C2"/>
      <c r="AA2" s="90"/>
    </row>
    <row r="3" spans="2:27" ht="10.050000000000001" customHeight="1">
      <c r="B3"/>
      <c r="C3"/>
      <c r="AA3" s="91"/>
    </row>
    <row r="4" spans="2:27">
      <c r="B4" s="75" t="s">
        <v>25</v>
      </c>
      <c r="C4" s="40">
        <v>90</v>
      </c>
      <c r="AA4" s="92"/>
    </row>
    <row r="5" spans="2:27">
      <c r="B5" s="75" t="s">
        <v>26</v>
      </c>
      <c r="C5" s="41">
        <v>6</v>
      </c>
    </row>
    <row r="6" spans="2:27">
      <c r="B6" s="77" t="s">
        <v>4</v>
      </c>
      <c r="C6" s="41" t="s">
        <v>63</v>
      </c>
      <c r="F6" s="38"/>
    </row>
    <row r="7" spans="2:27">
      <c r="B7" s="73" t="s">
        <v>7</v>
      </c>
      <c r="C7" s="37">
        <v>1</v>
      </c>
    </row>
    <row r="8" spans="2:27">
      <c r="B8" s="77" t="s">
        <v>10</v>
      </c>
      <c r="C8" s="39">
        <v>0</v>
      </c>
      <c r="D8" s="36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0" t="s">
        <v>56</v>
      </c>
      <c r="C11" s="42" t="str">
        <f>IF(INDEX(Definitions,1,MATCH(tbl_Overview[[#This Row],[Field]],Headers,0))="Definition","",INDEX(Definitions,1,MATCH(tbl_Overview[[#This Row],[Field]],Headers,0)))</f>
        <v/>
      </c>
      <c r="D11" s="42" t="str">
        <f>IF(INDEX(Notes,1,MATCH(tbl_Overview[[#This Row],[Field]],Headers,0))="Notes","",INDEX(Notes,1,MATCH(tbl_Overview[[#This Row],[Field]],Headers,0)))</f>
        <v/>
      </c>
      <c r="E11" s="82" t="s">
        <v>64</v>
      </c>
      <c r="F11" s="43">
        <v>1</v>
      </c>
      <c r="G11" s="44">
        <v>0</v>
      </c>
      <c r="H11" s="43">
        <v>0.20078081427774599</v>
      </c>
      <c r="I11" s="45">
        <v>720</v>
      </c>
      <c r="J11" s="45">
        <v>90</v>
      </c>
      <c r="K11" s="45">
        <v>90</v>
      </c>
      <c r="L11" s="46">
        <v>1</v>
      </c>
      <c r="M11" s="45">
        <v>0</v>
      </c>
      <c r="N11" s="107">
        <v>44.5</v>
      </c>
      <c r="O11" s="107">
        <v>44.5</v>
      </c>
      <c r="P11" s="107">
        <v>0</v>
      </c>
      <c r="Q11" s="107">
        <v>26.124700955226199</v>
      </c>
      <c r="R11" s="107">
        <v>682.5</v>
      </c>
      <c r="S11" s="107">
        <v>0</v>
      </c>
      <c r="T11" s="107">
        <v>4.45</v>
      </c>
      <c r="U11" s="107">
        <v>22.25</v>
      </c>
      <c r="V11" s="107">
        <v>44.5</v>
      </c>
      <c r="W11" s="107">
        <v>66.75</v>
      </c>
      <c r="X11" s="107">
        <v>84.55</v>
      </c>
      <c r="Y11" s="107">
        <v>89</v>
      </c>
      <c r="Z11" s="107">
        <v>89</v>
      </c>
      <c r="AA11" s="107">
        <v>44.5</v>
      </c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2" t="s">
        <v>64</v>
      </c>
      <c r="F12" s="46">
        <v>0.33333333333333298</v>
      </c>
      <c r="G12" s="126">
        <v>0</v>
      </c>
      <c r="H12" s="127">
        <v>0.20078081427774599</v>
      </c>
      <c r="I12" s="45">
        <v>720</v>
      </c>
      <c r="J12" s="45">
        <v>30</v>
      </c>
      <c r="K12" s="45">
        <v>90</v>
      </c>
      <c r="L12" s="46">
        <v>1</v>
      </c>
      <c r="M12" s="45">
        <v>0</v>
      </c>
      <c r="N12" s="107">
        <v>15.5</v>
      </c>
      <c r="O12" s="107">
        <v>15.5</v>
      </c>
      <c r="P12" s="107">
        <v>1</v>
      </c>
      <c r="Q12" s="107">
        <v>8.7039316958654993</v>
      </c>
      <c r="R12" s="107">
        <v>75.758426966292106</v>
      </c>
      <c r="S12" s="107">
        <v>1</v>
      </c>
      <c r="T12" s="107">
        <v>2</v>
      </c>
      <c r="U12" s="107">
        <v>8</v>
      </c>
      <c r="V12" s="107">
        <v>15.5</v>
      </c>
      <c r="W12" s="107">
        <v>23</v>
      </c>
      <c r="X12" s="107">
        <v>29</v>
      </c>
      <c r="Y12" s="107">
        <v>30</v>
      </c>
      <c r="Z12" s="107">
        <v>29</v>
      </c>
      <c r="AA12" s="107">
        <v>15</v>
      </c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2" t="s">
        <v>65</v>
      </c>
      <c r="F13" s="46">
        <v>2.2222222222222199E-2</v>
      </c>
      <c r="G13" s="126">
        <v>0</v>
      </c>
      <c r="H13" s="127">
        <v>6.3301728945900707E-2</v>
      </c>
      <c r="I13" s="45">
        <v>227</v>
      </c>
      <c r="J13" s="45">
        <v>2</v>
      </c>
      <c r="K13" s="45">
        <v>90</v>
      </c>
      <c r="L13" s="46">
        <v>1</v>
      </c>
      <c r="M13" s="45">
        <v>0</v>
      </c>
      <c r="N13" s="107"/>
      <c r="O13" s="107"/>
      <c r="P13" s="107" t="s">
        <v>66</v>
      </c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2" t="s">
        <v>64</v>
      </c>
      <c r="F14" s="46">
        <v>0.43333333333333302</v>
      </c>
      <c r="G14" s="126">
        <v>0</v>
      </c>
      <c r="H14" s="127">
        <v>0.20078081427774599</v>
      </c>
      <c r="I14" s="45">
        <v>720</v>
      </c>
      <c r="J14" s="45">
        <v>39</v>
      </c>
      <c r="K14" s="45">
        <v>90</v>
      </c>
      <c r="L14" s="46">
        <v>1</v>
      </c>
      <c r="M14" s="45">
        <v>0</v>
      </c>
      <c r="N14" s="107">
        <v>99.7</v>
      </c>
      <c r="O14" s="107">
        <v>96</v>
      </c>
      <c r="P14" s="107">
        <v>92</v>
      </c>
      <c r="Q14" s="107">
        <v>14.8584708938494</v>
      </c>
      <c r="R14" s="107">
        <v>220.77415730337</v>
      </c>
      <c r="S14" s="107">
        <v>80</v>
      </c>
      <c r="T14" s="107">
        <v>83.45</v>
      </c>
      <c r="U14" s="107">
        <v>90.25</v>
      </c>
      <c r="V14" s="107">
        <v>96</v>
      </c>
      <c r="W14" s="107">
        <v>103</v>
      </c>
      <c r="X14" s="107">
        <v>133.64999999999901</v>
      </c>
      <c r="Y14" s="107">
        <v>150</v>
      </c>
      <c r="Z14" s="107">
        <v>70</v>
      </c>
      <c r="AA14" s="107">
        <v>12.75</v>
      </c>
    </row>
    <row r="15" spans="2:27">
      <c r="B15" s="123" t="s">
        <v>60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82" t="s">
        <v>65</v>
      </c>
      <c r="F15" s="46">
        <v>3.3333333333333298E-2</v>
      </c>
      <c r="G15" s="126">
        <v>0</v>
      </c>
      <c r="H15" s="127">
        <v>6.66480758505298E-2</v>
      </c>
      <c r="I15" s="45">
        <v>239</v>
      </c>
      <c r="J15" s="45">
        <v>3</v>
      </c>
      <c r="K15" s="45">
        <v>90</v>
      </c>
      <c r="L15" s="46">
        <v>1</v>
      </c>
      <c r="M15" s="45">
        <v>0</v>
      </c>
      <c r="N15" s="107"/>
      <c r="O15" s="107"/>
      <c r="P15" s="107" t="s">
        <v>67</v>
      </c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</row>
    <row r="16" spans="2:27">
      <c r="B16" s="128" t="s">
        <v>61</v>
      </c>
      <c r="C16" s="129" t="str">
        <f>IF(INDEX(Definitions,1,MATCH(tbl_Overview[[#This Row],[Field]],Headers,0))="Definition","",INDEX(Definitions,1,MATCH(tbl_Overview[[#This Row],[Field]],Headers,0)))</f>
        <v/>
      </c>
      <c r="D16" s="130" t="str">
        <f>IF(INDEX(Notes,1,MATCH(tbl_Overview[[#This Row],[Field]],Headers,0))="Notes","",INDEX(Notes,1,MATCH(tbl_Overview[[#This Row],[Field]],Headers,0)))</f>
        <v/>
      </c>
      <c r="E16" s="131" t="s">
        <v>65</v>
      </c>
      <c r="F16" s="132">
        <v>3.3333333333333298E-2</v>
      </c>
      <c r="G16" s="133">
        <v>0</v>
      </c>
      <c r="H16" s="134">
        <v>6.6926938092582197E-2</v>
      </c>
      <c r="I16" s="135">
        <v>240</v>
      </c>
      <c r="J16" s="135">
        <v>3</v>
      </c>
      <c r="K16" s="135">
        <v>90</v>
      </c>
      <c r="L16" s="132">
        <v>1</v>
      </c>
      <c r="M16" s="135">
        <v>0</v>
      </c>
      <c r="N16" s="136"/>
      <c r="O16" s="136"/>
      <c r="P16" s="136" t="s">
        <v>68</v>
      </c>
      <c r="Q16" s="136"/>
      <c r="R16" s="136"/>
      <c r="S16" s="136"/>
      <c r="T16" s="136"/>
      <c r="U16" s="136"/>
      <c r="V16" s="136"/>
      <c r="W16" s="136"/>
      <c r="X16" s="136"/>
      <c r="Y16" s="136"/>
      <c r="Z16" s="136"/>
      <c r="AA16" s="136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6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6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95" customWidth="1"/>
    <col min="3" max="3" width="25.77734375" style="6" customWidth="1"/>
    <col min="4" max="9" width="27.77734375" style="1" customWidth="1"/>
    <col min="10" max="11" width="15.77734375" customWidth="1"/>
    <col min="12" max="12" width="7.33203125" customWidth="1"/>
  </cols>
  <sheetData>
    <row r="1" spans="1:14" ht="31.8" hidden="1" customHeight="1">
      <c r="A1" s="32"/>
      <c r="B1" s="32"/>
      <c r="C1" s="33" t="s">
        <v>38</v>
      </c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</row>
    <row r="2" spans="1:14" ht="10.050000000000001" customHeight="1">
      <c r="A2" s="52"/>
      <c r="B2" s="93"/>
      <c r="C2" s="52"/>
      <c r="D2"/>
      <c r="E2"/>
    </row>
    <row r="3" spans="1:14" ht="36.6" customHeight="1">
      <c r="A3" s="54"/>
      <c r="B3" s="106" t="s">
        <v>0</v>
      </c>
      <c r="C3" s="66" t="s">
        <v>55</v>
      </c>
      <c r="D3"/>
      <c r="E3"/>
      <c r="F3" s="85"/>
      <c r="G3" s="85"/>
      <c r="H3" s="85"/>
      <c r="I3" s="85"/>
    </row>
    <row r="4" spans="1:14" ht="4.95" customHeight="1">
      <c r="A4" s="52"/>
      <c r="B4" s="93"/>
      <c r="C4" s="52"/>
      <c r="D4"/>
      <c r="E4"/>
      <c r="F4" s="84"/>
      <c r="G4" s="84"/>
      <c r="H4" s="84"/>
      <c r="I4" s="84"/>
    </row>
    <row r="5" spans="1:14" ht="19.95" customHeight="1">
      <c r="A5" s="54"/>
      <c r="B5" s="65" t="s">
        <v>0</v>
      </c>
      <c r="C5" s="67" t="s">
        <v>29</v>
      </c>
      <c r="D5"/>
      <c r="E5"/>
      <c r="F5" s="86"/>
      <c r="G5" s="86"/>
      <c r="H5" s="86"/>
      <c r="I5" s="86"/>
    </row>
    <row r="6" spans="1:14" ht="4.95" customHeight="1">
      <c r="A6" s="25"/>
      <c r="B6" s="60"/>
      <c r="C6" s="61"/>
      <c r="D6" s="54"/>
      <c r="E6" s="54"/>
      <c r="F6" s="54"/>
      <c r="G6" s="54"/>
      <c r="H6" s="54"/>
      <c r="I6" s="54"/>
    </row>
    <row r="7" spans="1:14" ht="37.799999999999997" hidden="1" customHeight="1" outlineLevel="1">
      <c r="A7" s="25"/>
      <c r="B7" s="60"/>
      <c r="C7" s="62" t="s">
        <v>37</v>
      </c>
      <c r="D7" s="59" t="s">
        <v>28</v>
      </c>
      <c r="E7" s="59" t="s">
        <v>28</v>
      </c>
      <c r="F7" s="59" t="s">
        <v>28</v>
      </c>
      <c r="G7" s="59" t="s">
        <v>28</v>
      </c>
      <c r="H7" s="59" t="s">
        <v>28</v>
      </c>
      <c r="I7" s="59" t="s">
        <v>28</v>
      </c>
    </row>
    <row r="8" spans="1:14" ht="10.050000000000001" hidden="1" customHeight="1" outlineLevel="1">
      <c r="A8" s="51"/>
      <c r="B8" s="63"/>
      <c r="C8" s="51"/>
      <c r="D8" s="52"/>
      <c r="E8" s="52"/>
      <c r="F8" s="52"/>
      <c r="G8" s="52"/>
      <c r="H8" s="52"/>
      <c r="I8" s="52"/>
    </row>
    <row r="9" spans="1:14" ht="37.799999999999997" hidden="1" customHeight="1" outlineLevel="1">
      <c r="A9" s="25"/>
      <c r="B9" s="94"/>
      <c r="C9" s="62" t="s">
        <v>1</v>
      </c>
      <c r="D9" s="59" t="s">
        <v>1</v>
      </c>
      <c r="E9" s="59" t="s">
        <v>1</v>
      </c>
      <c r="F9" s="59" t="s">
        <v>1</v>
      </c>
      <c r="G9" s="59" t="s">
        <v>1</v>
      </c>
      <c r="H9" s="59" t="s">
        <v>1</v>
      </c>
      <c r="I9" s="59" t="s">
        <v>1</v>
      </c>
    </row>
    <row r="10" spans="1:14" ht="4.95" hidden="1" customHeight="1" outlineLevel="1">
      <c r="B10" s="23"/>
      <c r="C10" s="3"/>
      <c r="D10" s="47"/>
      <c r="E10" s="47"/>
      <c r="F10" s="47"/>
      <c r="G10" s="47"/>
      <c r="H10" s="47"/>
      <c r="I10" s="47"/>
    </row>
    <row r="11" spans="1:14" s="81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119" t="s">
        <v>61</v>
      </c>
      <c r="J11" s="81" t="s">
        <v>54</v>
      </c>
      <c r="K11" s="81" t="s">
        <v>62</v>
      </c>
    </row>
    <row r="12" spans="1:14" ht="4.95" customHeight="1">
      <c r="A12"/>
      <c r="C12"/>
      <c r="D12"/>
      <c r="E12"/>
      <c r="F12"/>
      <c r="G12"/>
      <c r="H12"/>
      <c r="I12"/>
    </row>
    <row r="13" spans="1:14" ht="19.95" customHeight="1" outlineLevel="1">
      <c r="A13" s="54"/>
      <c r="B13" s="65" t="s">
        <v>0</v>
      </c>
      <c r="C13" s="67" t="s">
        <v>51</v>
      </c>
      <c r="D13" s="53"/>
      <c r="E13" s="53"/>
      <c r="F13" s="53"/>
      <c r="G13" s="53"/>
      <c r="H13" s="53"/>
      <c r="I13" s="53"/>
    </row>
    <row r="14" spans="1:14" ht="4.95" customHeight="1" outlineLevel="1">
      <c r="A14" s="54"/>
      <c r="B14" s="56"/>
      <c r="C14" s="57"/>
      <c r="D14" s="54"/>
      <c r="E14" s="53"/>
      <c r="F14" s="53"/>
      <c r="G14" s="53"/>
      <c r="H14" s="53"/>
      <c r="I14" s="53"/>
    </row>
    <row r="15" spans="1:14" ht="84.6" hidden="1" customHeight="1" outlineLevel="2">
      <c r="A15" s="54"/>
      <c r="B15" s="56"/>
      <c r="C15" s="64"/>
      <c r="D15" s="111" t="s">
        <v>24</v>
      </c>
      <c r="E15" s="112"/>
      <c r="F15" s="53"/>
      <c r="G15" s="53"/>
      <c r="H15" s="53"/>
      <c r="I15" s="53"/>
    </row>
    <row r="16" spans="1:14" ht="10.050000000000001" hidden="1" customHeight="1" outlineLevel="2">
      <c r="A16" s="54"/>
      <c r="B16" s="56"/>
      <c r="C16" s="58"/>
      <c r="D16" s="55"/>
      <c r="E16" s="54"/>
      <c r="F16" s="54"/>
      <c r="G16" s="54"/>
      <c r="H16" s="54"/>
      <c r="I16" s="54"/>
    </row>
    <row r="17" spans="1:9" hidden="1" outlineLevel="2">
      <c r="A17" s="54"/>
      <c r="B17" s="56"/>
      <c r="C17" s="78" t="s">
        <v>25</v>
      </c>
      <c r="D17" s="80">
        <v>90</v>
      </c>
      <c r="E17" s="38"/>
      <c r="F17" s="38"/>
      <c r="G17" s="38"/>
      <c r="H17" s="38"/>
      <c r="I17" s="38"/>
    </row>
    <row r="18" spans="1:9" hidden="1" outlineLevel="2">
      <c r="A18" s="54"/>
      <c r="B18" s="56"/>
      <c r="C18" s="78" t="s">
        <v>45</v>
      </c>
      <c r="D18" s="80">
        <v>6</v>
      </c>
      <c r="E18" s="38"/>
      <c r="F18" s="38"/>
      <c r="G18" s="38"/>
      <c r="H18" s="38"/>
      <c r="I18" s="38"/>
    </row>
    <row r="19" spans="1:9" ht="4.95" hidden="1" customHeight="1" outlineLevel="2">
      <c r="A19" s="54"/>
      <c r="B19" s="56"/>
      <c r="C19" s="58"/>
      <c r="D19" s="55"/>
      <c r="E19"/>
      <c r="F19"/>
      <c r="G19"/>
      <c r="H19"/>
      <c r="I19"/>
    </row>
    <row r="20" spans="1:9" ht="19.95" customHeight="1" outlineLevel="1" collapsed="1">
      <c r="B20" s="65" t="s">
        <v>0</v>
      </c>
      <c r="C20" s="67" t="s">
        <v>50</v>
      </c>
      <c r="D20" s="79"/>
      <c r="E20"/>
      <c r="F20"/>
      <c r="G20"/>
      <c r="H20"/>
      <c r="I20" s="144"/>
    </row>
    <row r="21" spans="1:9" ht="4.95" customHeight="1" outlineLevel="1">
      <c r="B21" s="9"/>
      <c r="C21" s="28"/>
      <c r="D21" s="28"/>
      <c r="E21" s="28"/>
      <c r="F21" s="28"/>
      <c r="G21" s="28"/>
      <c r="H21" s="28"/>
      <c r="I21" s="28"/>
    </row>
    <row r="22" spans="1:9" ht="14.4" hidden="1" customHeight="1" outlineLevel="2">
      <c r="A22" s="29"/>
      <c r="B22" s="30"/>
      <c r="C22" s="75" t="s">
        <v>3</v>
      </c>
      <c r="D22" s="105" t="s">
        <v>64</v>
      </c>
      <c r="E22" s="105" t="s">
        <v>64</v>
      </c>
      <c r="F22" s="105" t="s">
        <v>65</v>
      </c>
      <c r="G22" s="105" t="s">
        <v>64</v>
      </c>
      <c r="H22" s="105" t="s">
        <v>65</v>
      </c>
      <c r="I22" s="105" t="s">
        <v>65</v>
      </c>
    </row>
    <row r="23" spans="1:9" ht="14.4" hidden="1" customHeight="1" outlineLevel="2">
      <c r="A23" s="29"/>
      <c r="B23" s="31"/>
      <c r="C23" s="73" t="s">
        <v>7</v>
      </c>
      <c r="D23" s="110">
        <v>1</v>
      </c>
      <c r="E23" s="110">
        <v>0.33333333333333298</v>
      </c>
      <c r="F23" s="110">
        <v>2.2222222222222199E-2</v>
      </c>
      <c r="G23" s="110">
        <v>0.43333333333333302</v>
      </c>
      <c r="H23" s="110">
        <v>3.3333333333333298E-2</v>
      </c>
      <c r="I23" s="110">
        <v>3.3333333333333298E-2</v>
      </c>
    </row>
    <row r="24" spans="1:9" ht="14.4" hidden="1" customHeight="1" outlineLevel="2">
      <c r="A24" s="29"/>
      <c r="B24" s="31"/>
      <c r="C24" s="73" t="s">
        <v>10</v>
      </c>
      <c r="D24" s="110">
        <v>0</v>
      </c>
      <c r="E24" s="110">
        <v>0</v>
      </c>
      <c r="F24" s="110">
        <v>0</v>
      </c>
      <c r="G24" s="110">
        <v>0</v>
      </c>
      <c r="H24" s="110">
        <v>0</v>
      </c>
      <c r="I24" s="110">
        <v>0</v>
      </c>
    </row>
    <row r="25" spans="1:9" ht="14.4" hidden="1" customHeight="1" outlineLevel="2">
      <c r="B25" s="11"/>
      <c r="C25" s="77" t="s">
        <v>5</v>
      </c>
      <c r="D25" s="110">
        <v>0.20078081427774599</v>
      </c>
      <c r="E25" s="110">
        <v>0.20078081427774599</v>
      </c>
      <c r="F25" s="110">
        <v>6.3301728945900707E-2</v>
      </c>
      <c r="G25" s="110">
        <v>0.20078081427774599</v>
      </c>
      <c r="H25" s="110">
        <v>6.66480758505298E-2</v>
      </c>
      <c r="I25" s="110">
        <v>6.6926938092582197E-2</v>
      </c>
    </row>
    <row r="26" spans="1:9" ht="14.4" hidden="1" customHeight="1" outlineLevel="2">
      <c r="B26" s="11"/>
      <c r="C26" s="73" t="s">
        <v>4</v>
      </c>
      <c r="D26" s="108">
        <v>720</v>
      </c>
      <c r="E26" s="108">
        <v>720</v>
      </c>
      <c r="F26" s="108">
        <v>227</v>
      </c>
      <c r="G26" s="108">
        <v>720</v>
      </c>
      <c r="H26" s="108">
        <v>239</v>
      </c>
      <c r="I26" s="108">
        <v>240</v>
      </c>
    </row>
    <row r="27" spans="1:9" ht="14.4" hidden="1" customHeight="1" outlineLevel="2">
      <c r="B27" s="11"/>
      <c r="C27" s="73" t="s">
        <v>6</v>
      </c>
      <c r="D27" s="108">
        <v>90</v>
      </c>
      <c r="E27" s="108">
        <v>30</v>
      </c>
      <c r="F27" s="108">
        <v>2</v>
      </c>
      <c r="G27" s="108">
        <v>39</v>
      </c>
      <c r="H27" s="108">
        <v>3</v>
      </c>
      <c r="I27" s="108">
        <v>3</v>
      </c>
    </row>
    <row r="28" spans="1:9" ht="14.4" hidden="1" customHeight="1" outlineLevel="2">
      <c r="B28" s="11"/>
      <c r="C28" s="73" t="s">
        <v>8</v>
      </c>
      <c r="D28" s="108">
        <v>90</v>
      </c>
      <c r="E28" s="108">
        <v>90</v>
      </c>
      <c r="F28" s="108">
        <v>90</v>
      </c>
      <c r="G28" s="108">
        <v>90</v>
      </c>
      <c r="H28" s="108">
        <v>90</v>
      </c>
      <c r="I28" s="108">
        <v>90</v>
      </c>
    </row>
    <row r="29" spans="1:9" ht="14.4" hidden="1" customHeight="1" outlineLevel="2">
      <c r="B29" s="11"/>
      <c r="C29" s="77" t="s">
        <v>9</v>
      </c>
      <c r="D29" s="109">
        <v>0</v>
      </c>
      <c r="E29" s="109">
        <v>0</v>
      </c>
      <c r="F29" s="109">
        <v>0</v>
      </c>
      <c r="G29" s="109">
        <v>0</v>
      </c>
      <c r="H29" s="109">
        <v>0</v>
      </c>
      <c r="I29" s="109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  <c r="I30" s="6"/>
    </row>
    <row r="31" spans="1:9" ht="150" hidden="1" customHeight="1" outlineLevel="2">
      <c r="B31" s="17"/>
      <c r="C31" s="13"/>
      <c r="D31" s="14"/>
      <c r="E31" s="14"/>
      <c r="F31" s="14"/>
      <c r="G31" s="14"/>
      <c r="H31" s="14"/>
      <c r="I31" s="14"/>
    </row>
    <row r="32" spans="1:9" ht="4.95" hidden="1" customHeight="1" outlineLevel="2">
      <c r="B32" s="9"/>
      <c r="D32" s="6"/>
      <c r="E32" s="6"/>
      <c r="F32" s="6"/>
      <c r="G32" s="6"/>
      <c r="H32" s="6"/>
      <c r="I32" s="6"/>
    </row>
    <row r="33" spans="1:9" ht="19.95" customHeight="1" outlineLevel="1" collapsed="1">
      <c r="B33" s="65" t="s">
        <v>0</v>
      </c>
      <c r="C33" s="67" t="s">
        <v>49</v>
      </c>
      <c r="D33" s="6"/>
      <c r="E33" s="6"/>
      <c r="F33" s="6"/>
      <c r="G33" s="6"/>
      <c r="H33" s="6"/>
      <c r="I33" s="6"/>
    </row>
    <row r="34" spans="1:9" ht="4.95" customHeight="1" outlineLevel="1">
      <c r="A34" s="16"/>
      <c r="B34" s="17"/>
      <c r="C34" s="18"/>
      <c r="D34" s="6"/>
      <c r="E34" s="6"/>
      <c r="F34" s="6"/>
      <c r="G34" s="6"/>
      <c r="H34" s="6"/>
      <c r="I34" s="6"/>
    </row>
    <row r="35" spans="1:9" ht="14.4" hidden="1" customHeight="1" outlineLevel="2">
      <c r="B35" s="10"/>
      <c r="C35" s="75" t="s">
        <v>11</v>
      </c>
      <c r="D35" s="104">
        <v>44.5</v>
      </c>
      <c r="E35" s="104">
        <v>15.5</v>
      </c>
      <c r="F35" s="104"/>
      <c r="G35" s="104">
        <v>99.7</v>
      </c>
      <c r="H35" s="104"/>
      <c r="I35" s="104"/>
    </row>
    <row r="36" spans="1:9" ht="14.4" hidden="1" customHeight="1" outlineLevel="2">
      <c r="B36" s="11"/>
      <c r="C36" s="76" t="s">
        <v>12</v>
      </c>
      <c r="D36" s="103">
        <v>44.5</v>
      </c>
      <c r="E36" s="103">
        <v>15.5</v>
      </c>
      <c r="F36" s="103"/>
      <c r="G36" s="103">
        <v>96</v>
      </c>
      <c r="H36" s="103"/>
      <c r="I36" s="103"/>
    </row>
    <row r="37" spans="1:9" ht="14.4" hidden="1" customHeight="1" outlineLevel="2">
      <c r="B37" s="11"/>
      <c r="C37" s="73" t="s">
        <v>13</v>
      </c>
      <c r="D37" s="104">
        <v>0</v>
      </c>
      <c r="E37" s="104">
        <v>1</v>
      </c>
      <c r="F37" s="104" t="s">
        <v>66</v>
      </c>
      <c r="G37" s="104">
        <v>92</v>
      </c>
      <c r="H37" s="104" t="s">
        <v>67</v>
      </c>
      <c r="I37" s="104" t="s">
        <v>68</v>
      </c>
    </row>
    <row r="38" spans="1:9" ht="14.4" hidden="1" customHeight="1" outlineLevel="2">
      <c r="B38" s="11"/>
      <c r="C38" s="76" t="s">
        <v>14</v>
      </c>
      <c r="D38" s="103">
        <v>26.124700955226199</v>
      </c>
      <c r="E38" s="103">
        <v>8.7039316958654993</v>
      </c>
      <c r="F38" s="103"/>
      <c r="G38" s="103">
        <v>14.8584708938494</v>
      </c>
      <c r="H38" s="103"/>
      <c r="I38" s="103"/>
    </row>
    <row r="39" spans="1:9" ht="14.4" hidden="1" customHeight="1" outlineLevel="2">
      <c r="B39" s="11"/>
      <c r="C39" s="77" t="s">
        <v>15</v>
      </c>
      <c r="D39" s="104">
        <v>682.5</v>
      </c>
      <c r="E39" s="104">
        <v>75.758426966292106</v>
      </c>
      <c r="F39" s="104"/>
      <c r="G39" s="104">
        <v>220.77415730337</v>
      </c>
      <c r="H39" s="104"/>
      <c r="I39" s="104"/>
    </row>
    <row r="40" spans="1:9" ht="4.95" hidden="1" customHeight="1" outlineLevel="2">
      <c r="B40" s="9"/>
      <c r="D40" s="6"/>
      <c r="E40" s="6"/>
      <c r="F40" s="6"/>
      <c r="G40" s="6"/>
      <c r="H40" s="6"/>
      <c r="I40" s="6"/>
    </row>
    <row r="41" spans="1:9" ht="150" hidden="1" customHeight="1" outlineLevel="2">
      <c r="A41" s="16"/>
      <c r="B41" s="17"/>
      <c r="C41" s="13"/>
      <c r="D41" s="14"/>
      <c r="E41" s="14"/>
      <c r="F41" s="14"/>
      <c r="G41" s="14"/>
      <c r="H41" s="14"/>
      <c r="I41" s="14"/>
    </row>
    <row r="42" spans="1:9" ht="4.95" hidden="1" customHeight="1" outlineLevel="2">
      <c r="A42" s="16"/>
      <c r="B42" s="17"/>
      <c r="C42" s="19"/>
      <c r="D42" s="6"/>
      <c r="E42" s="6"/>
      <c r="F42" s="6"/>
      <c r="G42" s="6"/>
      <c r="H42" s="6"/>
      <c r="I42" s="6"/>
    </row>
    <row r="43" spans="1:9" ht="19.95" customHeight="1" outlineLevel="1" collapsed="1">
      <c r="B43" s="65" t="s">
        <v>0</v>
      </c>
      <c r="C43" s="67" t="s">
        <v>48</v>
      </c>
      <c r="D43" s="6"/>
      <c r="E43" s="6"/>
      <c r="F43" s="6"/>
      <c r="G43" s="6"/>
      <c r="H43" s="6"/>
      <c r="I43" s="6"/>
    </row>
    <row r="44" spans="1:9" ht="4.95" customHeight="1" outlineLevel="1">
      <c r="A44" s="16"/>
      <c r="B44" s="17"/>
      <c r="C44" s="18"/>
      <c r="D44" s="6"/>
      <c r="E44" s="6"/>
      <c r="F44" s="6"/>
      <c r="G44" s="6"/>
      <c r="H44" s="6"/>
      <c r="I44" s="6"/>
    </row>
    <row r="45" spans="1:9" ht="14.4" hidden="1" customHeight="1" outlineLevel="2">
      <c r="B45" s="10"/>
      <c r="C45" s="70" t="s">
        <v>16</v>
      </c>
      <c r="D45" s="103">
        <v>0</v>
      </c>
      <c r="E45" s="103">
        <v>1</v>
      </c>
      <c r="F45" s="103"/>
      <c r="G45" s="103">
        <v>80</v>
      </c>
      <c r="H45" s="103"/>
      <c r="I45" s="103"/>
    </row>
    <row r="46" spans="1:9" ht="14.4" hidden="1" customHeight="1" outlineLevel="2">
      <c r="B46" s="9"/>
      <c r="C46" s="71">
        <v>0.05</v>
      </c>
      <c r="D46" s="104">
        <v>4.45</v>
      </c>
      <c r="E46" s="104">
        <v>2</v>
      </c>
      <c r="F46" s="104"/>
      <c r="G46" s="104">
        <v>83.45</v>
      </c>
      <c r="H46" s="104"/>
      <c r="I46" s="104"/>
    </row>
    <row r="47" spans="1:9" ht="14.4" hidden="1" customHeight="1" outlineLevel="2">
      <c r="B47" s="9"/>
      <c r="C47" s="72">
        <v>0.25</v>
      </c>
      <c r="D47" s="103">
        <v>22.25</v>
      </c>
      <c r="E47" s="103">
        <v>8</v>
      </c>
      <c r="F47" s="103"/>
      <c r="G47" s="103">
        <v>90.25</v>
      </c>
      <c r="H47" s="103"/>
      <c r="I47" s="103"/>
    </row>
    <row r="48" spans="1:9" ht="14.4" hidden="1" customHeight="1" outlineLevel="2">
      <c r="B48" s="9"/>
      <c r="C48" s="71">
        <v>0.5</v>
      </c>
      <c r="D48" s="104">
        <v>44.5</v>
      </c>
      <c r="E48" s="104">
        <v>15.5</v>
      </c>
      <c r="F48" s="104"/>
      <c r="G48" s="104">
        <v>96</v>
      </c>
      <c r="H48" s="104"/>
      <c r="I48" s="104"/>
    </row>
    <row r="49" spans="1:9" ht="14.4" hidden="1" customHeight="1" outlineLevel="2">
      <c r="B49" s="9"/>
      <c r="C49" s="72">
        <v>0.75</v>
      </c>
      <c r="D49" s="103">
        <v>66.75</v>
      </c>
      <c r="E49" s="103">
        <v>23</v>
      </c>
      <c r="F49" s="103"/>
      <c r="G49" s="103">
        <v>103</v>
      </c>
      <c r="H49" s="103"/>
      <c r="I49" s="103"/>
    </row>
    <row r="50" spans="1:9" ht="14.4" hidden="1" customHeight="1" outlineLevel="2">
      <c r="B50" s="9"/>
      <c r="C50" s="71">
        <v>0.95</v>
      </c>
      <c r="D50" s="104">
        <v>84.55</v>
      </c>
      <c r="E50" s="104">
        <v>29</v>
      </c>
      <c r="F50" s="104"/>
      <c r="G50" s="104">
        <v>133.64999999999901</v>
      </c>
      <c r="H50" s="104"/>
      <c r="I50" s="104"/>
    </row>
    <row r="51" spans="1:9" ht="14.4" hidden="1" customHeight="1" outlineLevel="2">
      <c r="B51" s="9"/>
      <c r="C51" s="72" t="s">
        <v>17</v>
      </c>
      <c r="D51" s="103">
        <v>89</v>
      </c>
      <c r="E51" s="103">
        <v>30</v>
      </c>
      <c r="F51" s="103"/>
      <c r="G51" s="103">
        <v>150</v>
      </c>
      <c r="H51" s="103"/>
      <c r="I51" s="103"/>
    </row>
    <row r="52" spans="1:9" ht="14.4" hidden="1" customHeight="1" outlineLevel="2">
      <c r="B52" s="9"/>
      <c r="C52" s="73" t="s">
        <v>18</v>
      </c>
      <c r="D52" s="104">
        <v>89</v>
      </c>
      <c r="E52" s="104">
        <v>29</v>
      </c>
      <c r="F52" s="104"/>
      <c r="G52" s="104">
        <v>70</v>
      </c>
      <c r="H52" s="104"/>
      <c r="I52" s="104"/>
    </row>
    <row r="53" spans="1:9" ht="14.4" hidden="1" customHeight="1" outlineLevel="2">
      <c r="B53" s="9"/>
      <c r="C53" s="74" t="s">
        <v>19</v>
      </c>
      <c r="D53" s="103">
        <v>44.5</v>
      </c>
      <c r="E53" s="103">
        <v>15</v>
      </c>
      <c r="F53" s="103"/>
      <c r="G53" s="103">
        <v>12.75</v>
      </c>
      <c r="H53" s="103"/>
      <c r="I53" s="103"/>
    </row>
    <row r="54" spans="1:9" ht="4.95" hidden="1" customHeight="1" outlineLevel="2">
      <c r="B54" s="9"/>
      <c r="D54" s="6"/>
      <c r="E54" s="6"/>
      <c r="F54" s="6"/>
      <c r="G54" s="6"/>
      <c r="H54" s="6"/>
      <c r="I54" s="6"/>
    </row>
    <row r="55" spans="1:9" ht="19.95" customHeight="1" outlineLevel="1" collapsed="1">
      <c r="A55" s="23"/>
      <c r="B55" s="65" t="s">
        <v>0</v>
      </c>
      <c r="C55" s="67" t="s">
        <v>47</v>
      </c>
      <c r="D55" s="6"/>
      <c r="E55" s="6"/>
      <c r="F55" s="6"/>
      <c r="G55" s="6"/>
      <c r="H55" s="6"/>
      <c r="I55" s="6"/>
    </row>
    <row r="56" spans="1:9" ht="4.95" customHeight="1" outlineLevel="1">
      <c r="A56" s="23"/>
      <c r="B56" s="17"/>
      <c r="D56" s="6"/>
      <c r="E56" s="6"/>
      <c r="F56" s="6"/>
      <c r="G56" s="6"/>
      <c r="H56" s="6"/>
      <c r="I56" s="6"/>
    </row>
    <row r="57" spans="1:9" ht="14.4" hidden="1" customHeight="1" outlineLevel="2">
      <c r="A57" s="23"/>
      <c r="B57" s="23"/>
      <c r="C57" s="68" t="s">
        <v>39</v>
      </c>
      <c r="D57" s="49" t="b">
        <v>0</v>
      </c>
      <c r="E57" s="49" t="b">
        <v>0</v>
      </c>
      <c r="F57" s="49" t="b">
        <v>0</v>
      </c>
      <c r="G57" s="49" t="b">
        <v>0</v>
      </c>
      <c r="H57" s="49" t="b">
        <v>0</v>
      </c>
      <c r="I57" s="49" t="b">
        <v>0</v>
      </c>
    </row>
    <row r="58" spans="1:9" ht="14.4" hidden="1" customHeight="1" outlineLevel="2">
      <c r="A58" s="23"/>
      <c r="B58" s="23"/>
      <c r="C58" s="68" t="s">
        <v>40</v>
      </c>
      <c r="D58" s="49" t="b">
        <v>0</v>
      </c>
      <c r="E58" s="49" t="b">
        <v>0</v>
      </c>
      <c r="F58" s="49" t="b">
        <v>0</v>
      </c>
      <c r="G58" s="49" t="b">
        <v>0</v>
      </c>
      <c r="H58" s="49" t="b">
        <v>0</v>
      </c>
      <c r="I58" s="49" t="b">
        <v>0</v>
      </c>
    </row>
    <row r="59" spans="1:9" ht="14.4" hidden="1" customHeight="1" outlineLevel="2">
      <c r="A59" s="23"/>
      <c r="B59" s="23"/>
      <c r="C59" s="68" t="s">
        <v>41</v>
      </c>
      <c r="D59" s="49" t="b">
        <v>0</v>
      </c>
      <c r="E59" s="49" t="b">
        <v>0</v>
      </c>
      <c r="F59" s="49" t="b">
        <v>0</v>
      </c>
      <c r="G59" s="49" t="b">
        <v>0</v>
      </c>
      <c r="H59" s="49" t="b">
        <v>0</v>
      </c>
      <c r="I59" s="49" t="b">
        <v>0</v>
      </c>
    </row>
    <row r="60" spans="1:9" ht="14.4" hidden="1" customHeight="1" outlineLevel="2">
      <c r="A60" s="23"/>
      <c r="B60" s="23"/>
      <c r="C60" s="68" t="s">
        <v>42</v>
      </c>
      <c r="D60" s="49" t="b">
        <v>0</v>
      </c>
      <c r="E60" s="49" t="b">
        <v>0</v>
      </c>
      <c r="F60" s="49" t="b">
        <v>0</v>
      </c>
      <c r="G60" s="49" t="b">
        <v>0</v>
      </c>
      <c r="H60" s="49" t="b">
        <v>0</v>
      </c>
      <c r="I60" s="49" t="b">
        <v>0</v>
      </c>
    </row>
    <row r="61" spans="1:9" ht="14.4" hidden="1" customHeight="1" outlineLevel="2">
      <c r="A61" s="23"/>
      <c r="B61" s="23"/>
      <c r="C61" s="68" t="s">
        <v>43</v>
      </c>
      <c r="D61" s="49" t="b">
        <v>0</v>
      </c>
      <c r="E61" s="49" t="b">
        <v>0</v>
      </c>
      <c r="F61" s="49" t="b">
        <v>0</v>
      </c>
      <c r="G61" s="49" t="b">
        <v>0</v>
      </c>
      <c r="H61" s="49" t="b">
        <v>0</v>
      </c>
      <c r="I61" s="49" t="b">
        <v>0</v>
      </c>
    </row>
    <row r="62" spans="1:9" ht="14.4" hidden="1" customHeight="1" outlineLevel="2">
      <c r="A62" s="23"/>
      <c r="B62" s="23"/>
      <c r="C62" s="68" t="s">
        <v>44</v>
      </c>
      <c r="D62" s="49" t="b">
        <v>0</v>
      </c>
      <c r="E62" s="49" t="b">
        <v>0</v>
      </c>
      <c r="F62" s="49" t="b">
        <v>0</v>
      </c>
      <c r="G62" s="49" t="b">
        <v>0</v>
      </c>
      <c r="H62" s="49" t="b">
        <v>0</v>
      </c>
      <c r="I62" s="49" t="b">
        <v>0</v>
      </c>
    </row>
    <row r="63" spans="1:9" ht="14.4" hidden="1" customHeight="1" outlineLevel="2">
      <c r="A63" s="23"/>
      <c r="B63" s="23"/>
      <c r="C63" s="68" t="s">
        <v>21</v>
      </c>
      <c r="D63" s="49" t="b">
        <v>0</v>
      </c>
      <c r="E63" s="49" t="b">
        <v>0</v>
      </c>
      <c r="F63" s="49" t="b">
        <v>0</v>
      </c>
      <c r="G63" s="49" t="b">
        <v>0</v>
      </c>
      <c r="H63" s="49" t="b">
        <v>0</v>
      </c>
      <c r="I63" s="49" t="b">
        <v>0</v>
      </c>
    </row>
    <row r="64" spans="1:9" ht="14.4" hidden="1" customHeight="1" outlineLevel="2">
      <c r="B64" s="23"/>
      <c r="C64" s="69" t="s">
        <v>22</v>
      </c>
      <c r="D64" s="49" t="b">
        <v>0</v>
      </c>
      <c r="E64" s="49" t="b">
        <v>0</v>
      </c>
      <c r="F64" s="49" t="b">
        <v>0</v>
      </c>
      <c r="G64" s="49" t="b">
        <v>0</v>
      </c>
      <c r="H64" s="49" t="b">
        <v>0</v>
      </c>
      <c r="I64" s="49" t="b">
        <v>0</v>
      </c>
    </row>
    <row r="65" spans="1:11" ht="4.95" hidden="1" customHeight="1" outlineLevel="2">
      <c r="B65" s="17"/>
      <c r="D65" s="6"/>
      <c r="E65" s="6"/>
      <c r="F65" s="6"/>
      <c r="G65" s="6"/>
      <c r="H65" s="6"/>
      <c r="I65" s="6"/>
    </row>
    <row r="66" spans="1:11" ht="19.95" customHeight="1" outlineLevel="1" collapsed="1">
      <c r="A66" s="23"/>
      <c r="B66" s="65" t="s">
        <v>0</v>
      </c>
      <c r="C66" s="67" t="s">
        <v>46</v>
      </c>
      <c r="D66" s="6"/>
      <c r="E66" s="6"/>
      <c r="F66" s="6"/>
      <c r="G66" s="6"/>
      <c r="H66" s="6"/>
      <c r="I66" s="6"/>
    </row>
    <row r="67" spans="1:11" ht="4.95" customHeight="1">
      <c r="A67" s="23"/>
      <c r="B67" s="7"/>
      <c r="C67" s="8"/>
      <c r="D67" s="6"/>
      <c r="E67" s="6"/>
      <c r="F67" s="6"/>
      <c r="G67" s="6"/>
      <c r="H67" s="6"/>
      <c r="I67" s="6"/>
    </row>
    <row r="68" spans="1:11" ht="14.4" hidden="1" customHeight="1" outlineLevel="2">
      <c r="A68" s="23"/>
      <c r="B68" s="23"/>
      <c r="C68" s="27" t="str">
        <f>IF(COUNTIF(FieldList1, "&lt;&gt;FALSE") = 0,"",SUBSTITUTE(LOWER(C57)," ","_") &amp;" = ")</f>
        <v/>
      </c>
      <c r="D68" s="26" t="str">
        <f>IF(COUNTIF(FieldList1, "&lt;&gt;FALSE") = 0,"","['"&amp;_xlfn.TEXTJOIN("', '", TRUE, _xlfn._xlws.FILTER(FieldRange,FieldList1&lt;&gt; FALSE, ""))&amp;"']")</f>
        <v/>
      </c>
    </row>
    <row r="69" spans="1:11" ht="14.4" hidden="1" customHeight="1" outlineLevel="2">
      <c r="A69" s="23"/>
      <c r="B69" s="23"/>
      <c r="C69" s="27" t="str">
        <f>IF(COUNTIF(FieldList2, "&lt;&gt;FALSE") = 0,"",SUBSTITUTE(LOWER(C58)," ","_")&amp;" = ")</f>
        <v/>
      </c>
      <c r="D69" s="26" t="str">
        <f>IF(COUNTIF(FieldList2, "&lt;&gt;FALSE") = 0,"","['"&amp;_xlfn.TEXTJOIN("', '", TRUE, _xlfn._xlws.FILTER(FieldRange,FieldList2&lt;&gt; FALSE, ""))&amp;"']")</f>
        <v/>
      </c>
    </row>
    <row r="70" spans="1:11" ht="14.4" hidden="1" customHeight="1" outlineLevel="2">
      <c r="A70" s="23"/>
      <c r="B70" s="23"/>
      <c r="C70" s="27" t="str">
        <f>IF(COUNTIF(FieldList3, "&lt;&gt;FALSE") = 0,"",SUBSTITUTE(LOWER(C59)," ","_")&amp;" = ")</f>
        <v/>
      </c>
      <c r="D70" s="26" t="str">
        <f>IF(COUNTIF(FieldList3, "&lt;&gt;FALSE") = 0,"","['"&amp;_xlfn.TEXTJOIN("', '", TRUE, _xlfn._xlws.FILTER(FieldRange,FieldList3&lt;&gt; FALSE, ""))&amp;"']")</f>
        <v/>
      </c>
    </row>
    <row r="71" spans="1:11" ht="14.4" hidden="1" customHeight="1" outlineLevel="2">
      <c r="A71" s="23"/>
      <c r="B71" s="23"/>
      <c r="C71" s="27" t="str">
        <f>IF(COUNTIF(FieldList4, "&lt;&gt;FALSE") = 0,"",SUBSTITUTE(LOWER(C60)," ","_")&amp;" = ")</f>
        <v/>
      </c>
      <c r="D71" s="26" t="str">
        <f>IF(COUNTIF(FieldList4, "&lt;&gt;FALSE") = 0,"","['"&amp;_xlfn.TEXTJOIN("', '", TRUE, _xlfn._xlws.FILTER(FieldRange,FieldList4&lt;&gt; FALSE, ""))&amp;"']")</f>
        <v/>
      </c>
    </row>
    <row r="72" spans="1:11" ht="14.4" hidden="1" customHeight="1" outlineLevel="2">
      <c r="A72" s="23"/>
      <c r="B72" s="23"/>
      <c r="C72" s="27" t="str">
        <f>IF(COUNTIF(FieldList5, "&lt;&gt;FALSE") = 0,"",SUBSTITUTE(LOWER(C61)," ","_")&amp;" = ")</f>
        <v/>
      </c>
      <c r="D72" s="26" t="str">
        <f>IF(COUNTIF(FieldList5, "&lt;&gt;FALSE") = 0,"","['"&amp;_xlfn.TEXTJOIN("', '", TRUE, _xlfn._xlws.FILTER(FieldRange,FieldList5&lt;&gt; FALSE, ""))&amp;"']")</f>
        <v/>
      </c>
    </row>
    <row r="73" spans="1:11" ht="13.8" hidden="1" customHeight="1" outlineLevel="2">
      <c r="A73" s="23"/>
      <c r="B73" s="23"/>
      <c r="C73" s="27" t="str">
        <f>IF(COUNTIF(FieldList6, "&lt;&gt;FALSE") = 0,"",SUBSTITUTE(LOWER(C62)," ","_")&amp;" = ")</f>
        <v/>
      </c>
      <c r="D73" s="26" t="str">
        <f>IF(COUNTIF(FieldList6, "&lt;&gt;FALSE") = 0,"","['"&amp;_xlfn.TEXTJOIN("', '", TRUE, _xlfn._xlws.FILTER(FieldRange,FieldList6&lt;&gt; FALSE, ""))&amp;"']")</f>
        <v/>
      </c>
    </row>
    <row r="74" spans="1:11" ht="13.8" hidden="1" customHeight="1" outlineLevel="2">
      <c r="A74" s="23"/>
      <c r="B74" s="23"/>
      <c r="C74" s="27" t="str">
        <f>IF(COUNTIF(FieldList7, "&lt;&gt;FALSE") = 0,"",SUBSTITUTE(LOWER(C63)," ","_")&amp;" = ")</f>
        <v/>
      </c>
      <c r="D74" s="26" t="str" cm="1">
        <f t="array" ref="D74">IF(COUNTIF(FieldList7, "&lt;&gt;FALSE") = 0,"","['"&amp;_xlfn.TEXTJOIN("', '", TRUE, _xlfn._xlws.FILTER(FieldRange,FieldList7&lt;&gt; FALSE, ""))&amp;"']")</f>
        <v/>
      </c>
    </row>
    <row r="75" spans="1:11" ht="13.8" hidden="1" customHeight="1" outlineLevel="2">
      <c r="A75" s="23"/>
      <c r="B75" s="23"/>
      <c r="C75" s="27" t="str">
        <f>IF(COUNTIF(FieldList8, "&lt;&gt;FALSE") = 0,"",SUBSTITUTE(LOWER(C64)," ","_")&amp;" = ")</f>
        <v/>
      </c>
      <c r="D75" s="26" t="str" cm="1">
        <f t="array" ref="D75">IF(COUNTIF(FieldList8, "&lt;&gt;FALSE") = 0,"","['"&amp;_xlfn.TEXTJOIN("', '", TRUE, _xlfn._xlws.FILTER(FieldRange,FieldList8&lt;&gt; FALSE, ""))&amp;"']")</f>
        <v/>
      </c>
    </row>
    <row r="76" spans="1:11" ht="14.4" hidden="1" customHeight="1" outlineLevel="2">
      <c r="B76" s="96"/>
      <c r="C76" s="35" t="str">
        <f>IF(COUNTIF(tbl_SourceData[Record List], "&lt;&gt;FALSE") = 0,"",SUBSTITUTE(LOWER(LightHeader)," ", "_") &amp;" = ")</f>
        <v/>
      </c>
      <c r="D76" s="26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1" ht="4.95" hidden="1" customHeight="1" outlineLevel="2">
      <c r="B77" s="17"/>
      <c r="C77" s="20"/>
      <c r="D77" s="21"/>
      <c r="E77" s="21"/>
      <c r="F77" s="21"/>
      <c r="G77" s="21"/>
      <c r="H77" s="21"/>
      <c r="I77" s="21"/>
    </row>
    <row r="78" spans="1:11" ht="30" customHeight="1" collapsed="1">
      <c r="C78" s="120" t="s">
        <v>20</v>
      </c>
      <c r="D78" s="22" t="s">
        <v>56</v>
      </c>
      <c r="E78" s="22" t="s">
        <v>57</v>
      </c>
      <c r="F78" s="22" t="s">
        <v>58</v>
      </c>
      <c r="G78" s="22" t="s">
        <v>59</v>
      </c>
      <c r="H78" s="22" t="s">
        <v>60</v>
      </c>
      <c r="I78" s="22" t="s">
        <v>61</v>
      </c>
      <c r="J78" s="120" t="s">
        <v>54</v>
      </c>
      <c r="K78" s="120" t="s">
        <v>62</v>
      </c>
    </row>
    <row r="79" spans="1:11">
      <c r="C79" s="24" t="b">
        <v>0</v>
      </c>
      <c r="D79" s="137">
        <v>0</v>
      </c>
      <c r="E79" s="137">
        <v>1</v>
      </c>
      <c r="F79" s="137" t="s">
        <v>69</v>
      </c>
      <c r="G79" s="137">
        <v>85</v>
      </c>
      <c r="H79" s="137" t="s">
        <v>67</v>
      </c>
      <c r="I79" s="137" t="s">
        <v>68</v>
      </c>
      <c r="J79" s="139">
        <v>0</v>
      </c>
      <c r="K79" s="139">
        <v>2.2965069041845199E+18</v>
      </c>
    </row>
    <row r="80" spans="1:11">
      <c r="C80" s="24" t="b">
        <v>0</v>
      </c>
      <c r="D80" s="137">
        <v>1</v>
      </c>
      <c r="E80" s="137">
        <v>1</v>
      </c>
      <c r="F80" s="137" t="s">
        <v>69</v>
      </c>
      <c r="G80" s="137">
        <v>85</v>
      </c>
      <c r="H80" s="137" t="s">
        <v>70</v>
      </c>
      <c r="I80" s="137" t="s">
        <v>68</v>
      </c>
      <c r="J80" s="139">
        <v>0</v>
      </c>
      <c r="K80" s="139">
        <v>1.1233525792735199E+19</v>
      </c>
    </row>
    <row r="81" spans="3:11">
      <c r="C81" s="24" t="b">
        <v>0</v>
      </c>
      <c r="D81" s="137">
        <v>2</v>
      </c>
      <c r="E81" s="138">
        <v>1</v>
      </c>
      <c r="F81" s="137" t="s">
        <v>69</v>
      </c>
      <c r="G81" s="137">
        <v>88</v>
      </c>
      <c r="H81" s="137" t="s">
        <v>71</v>
      </c>
      <c r="I81" s="137" t="s">
        <v>68</v>
      </c>
      <c r="J81" s="139">
        <v>0</v>
      </c>
      <c r="K81" s="139">
        <v>7.26254720869406E+18</v>
      </c>
    </row>
    <row r="82" spans="3:11">
      <c r="C82" s="24" t="b">
        <v>0</v>
      </c>
      <c r="D82" s="137">
        <v>3</v>
      </c>
      <c r="E82" s="138">
        <v>2</v>
      </c>
      <c r="F82" s="137" t="s">
        <v>69</v>
      </c>
      <c r="G82" s="137">
        <v>90</v>
      </c>
      <c r="H82" s="137" t="s">
        <v>67</v>
      </c>
      <c r="I82" s="137" t="s">
        <v>68</v>
      </c>
      <c r="J82" s="139">
        <v>0</v>
      </c>
      <c r="K82" s="139">
        <v>1.14687745583796E+19</v>
      </c>
    </row>
    <row r="83" spans="3:11">
      <c r="C83" s="24" t="b">
        <v>0</v>
      </c>
      <c r="D83" s="137">
        <v>4</v>
      </c>
      <c r="E83" s="138">
        <v>2</v>
      </c>
      <c r="F83" s="137" t="s">
        <v>69</v>
      </c>
      <c r="G83" s="137">
        <v>92</v>
      </c>
      <c r="H83" s="137" t="s">
        <v>70</v>
      </c>
      <c r="I83" s="137" t="s">
        <v>68</v>
      </c>
      <c r="J83" s="139">
        <v>0</v>
      </c>
      <c r="K83" s="139">
        <v>1.2645504096028201E+19</v>
      </c>
    </row>
    <row r="84" spans="3:11">
      <c r="C84" s="24" t="b">
        <v>0</v>
      </c>
      <c r="D84" s="137">
        <v>5</v>
      </c>
      <c r="E84" s="138">
        <v>2</v>
      </c>
      <c r="F84" s="137" t="s">
        <v>69</v>
      </c>
      <c r="G84" s="137">
        <v>93</v>
      </c>
      <c r="H84" s="137" t="s">
        <v>71</v>
      </c>
      <c r="I84" s="137" t="s">
        <v>68</v>
      </c>
      <c r="J84" s="139">
        <v>0</v>
      </c>
      <c r="K84" s="139">
        <v>1.30807245786031E+19</v>
      </c>
    </row>
    <row r="85" spans="3:11">
      <c r="C85" s="24" t="b">
        <v>0</v>
      </c>
      <c r="D85" s="137">
        <v>6</v>
      </c>
      <c r="E85" s="138">
        <v>3</v>
      </c>
      <c r="F85" s="137" t="s">
        <v>69</v>
      </c>
      <c r="G85" s="137">
        <v>97</v>
      </c>
      <c r="H85" s="137" t="s">
        <v>67</v>
      </c>
      <c r="I85" s="137" t="s">
        <v>68</v>
      </c>
      <c r="J85" s="139">
        <v>0</v>
      </c>
      <c r="K85" s="139">
        <v>9.3085130210013696E+18</v>
      </c>
    </row>
    <row r="86" spans="3:11">
      <c r="C86" s="24" t="b">
        <v>0</v>
      </c>
      <c r="D86" s="137">
        <v>7</v>
      </c>
      <c r="E86" s="138">
        <v>3</v>
      </c>
      <c r="F86" s="137" t="s">
        <v>69</v>
      </c>
      <c r="G86" s="137">
        <v>97</v>
      </c>
      <c r="H86" s="137" t="s">
        <v>70</v>
      </c>
      <c r="I86" s="137" t="s">
        <v>68</v>
      </c>
      <c r="J86" s="139">
        <v>0</v>
      </c>
      <c r="K86" s="139">
        <v>1.86276803596797E+18</v>
      </c>
    </row>
    <row r="87" spans="3:11">
      <c r="C87" s="24" t="b">
        <v>0</v>
      </c>
      <c r="D87" s="137">
        <v>8</v>
      </c>
      <c r="E87" s="138">
        <v>3</v>
      </c>
      <c r="F87" s="137" t="s">
        <v>69</v>
      </c>
      <c r="G87" s="137">
        <v>94</v>
      </c>
      <c r="H87" s="137" t="s">
        <v>71</v>
      </c>
      <c r="I87" s="137" t="s">
        <v>68</v>
      </c>
      <c r="J87" s="139">
        <v>0</v>
      </c>
      <c r="K87" s="139">
        <v>4.3614434077717699E+18</v>
      </c>
    </row>
    <row r="88" spans="3:11">
      <c r="C88" s="24" t="b">
        <v>0</v>
      </c>
      <c r="D88" s="137">
        <v>9</v>
      </c>
      <c r="E88" s="138">
        <v>4</v>
      </c>
      <c r="F88" s="137" t="s">
        <v>69</v>
      </c>
      <c r="G88" s="137">
        <v>80</v>
      </c>
      <c r="H88" s="137" t="s">
        <v>67</v>
      </c>
      <c r="I88" s="137" t="s">
        <v>68</v>
      </c>
      <c r="J88" s="139">
        <v>0</v>
      </c>
      <c r="K88" s="139">
        <v>1.06588757841601E+19</v>
      </c>
    </row>
    <row r="89" spans="3:11">
      <c r="C89" s="24" t="b">
        <v>0</v>
      </c>
      <c r="D89" s="137">
        <v>10</v>
      </c>
      <c r="E89" s="138">
        <v>4</v>
      </c>
      <c r="F89" s="137" t="s">
        <v>69</v>
      </c>
      <c r="G89" s="137">
        <v>82</v>
      </c>
      <c r="H89" s="137" t="s">
        <v>70</v>
      </c>
      <c r="I89" s="137" t="s">
        <v>68</v>
      </c>
      <c r="J89" s="139">
        <v>0</v>
      </c>
      <c r="K89" s="139">
        <v>1.6625562910173499E+19</v>
      </c>
    </row>
    <row r="90" spans="3:11">
      <c r="C90" s="24" t="b">
        <v>0</v>
      </c>
      <c r="D90" s="137">
        <v>11</v>
      </c>
      <c r="E90" s="138">
        <v>4</v>
      </c>
      <c r="F90" s="137" t="s">
        <v>69</v>
      </c>
      <c r="G90" s="137">
        <v>83</v>
      </c>
      <c r="H90" s="137" t="s">
        <v>71</v>
      </c>
      <c r="I90" s="137" t="s">
        <v>68</v>
      </c>
      <c r="J90" s="139">
        <v>0</v>
      </c>
      <c r="K90" s="139">
        <v>1.4053801372689199E+19</v>
      </c>
    </row>
    <row r="91" spans="3:11">
      <c r="C91" s="24" t="b">
        <v>0</v>
      </c>
      <c r="D91" s="137">
        <v>12</v>
      </c>
      <c r="E91" s="138">
        <v>5</v>
      </c>
      <c r="F91" s="137" t="s">
        <v>69</v>
      </c>
      <c r="G91" s="137">
        <v>91</v>
      </c>
      <c r="H91" s="137" t="s">
        <v>67</v>
      </c>
      <c r="I91" s="137" t="s">
        <v>68</v>
      </c>
      <c r="J91" s="139">
        <v>0</v>
      </c>
      <c r="K91" s="139">
        <v>1.5282098731113099E+19</v>
      </c>
    </row>
    <row r="92" spans="3:11">
      <c r="C92" s="24" t="b">
        <v>0</v>
      </c>
      <c r="D92" s="137">
        <v>13</v>
      </c>
      <c r="E92" s="138">
        <v>5</v>
      </c>
      <c r="F92" s="137" t="s">
        <v>69</v>
      </c>
      <c r="G92" s="137">
        <v>92</v>
      </c>
      <c r="H92" s="137" t="s">
        <v>70</v>
      </c>
      <c r="I92" s="137" t="s">
        <v>68</v>
      </c>
      <c r="J92" s="139">
        <v>0</v>
      </c>
      <c r="K92" s="139">
        <v>9.4085505503207104E+17</v>
      </c>
    </row>
    <row r="93" spans="3:11">
      <c r="C93" s="24" t="b">
        <v>0</v>
      </c>
      <c r="D93" s="137">
        <v>14</v>
      </c>
      <c r="E93" s="138">
        <v>5</v>
      </c>
      <c r="F93" s="137" t="s">
        <v>69</v>
      </c>
      <c r="G93" s="137">
        <v>91</v>
      </c>
      <c r="H93" s="137" t="s">
        <v>71</v>
      </c>
      <c r="I93" s="137" t="s">
        <v>68</v>
      </c>
      <c r="J93" s="139">
        <v>0</v>
      </c>
      <c r="K93" s="139">
        <v>1.6951913058781901E+19</v>
      </c>
    </row>
    <row r="94" spans="3:11">
      <c r="C94" s="24" t="b">
        <v>0</v>
      </c>
      <c r="D94" s="137">
        <v>15</v>
      </c>
      <c r="E94" s="138">
        <v>6</v>
      </c>
      <c r="F94" s="137" t="s">
        <v>66</v>
      </c>
      <c r="G94" s="137">
        <v>83</v>
      </c>
      <c r="H94" s="137" t="s">
        <v>67</v>
      </c>
      <c r="I94" s="137" t="s">
        <v>68</v>
      </c>
      <c r="J94" s="139">
        <v>0</v>
      </c>
      <c r="K94" s="139">
        <v>8.6891804883937198E+18</v>
      </c>
    </row>
    <row r="95" spans="3:11">
      <c r="C95" s="24" t="b">
        <v>0</v>
      </c>
      <c r="D95" s="137">
        <v>16</v>
      </c>
      <c r="E95" s="138">
        <v>6</v>
      </c>
      <c r="F95" s="137" t="s">
        <v>66</v>
      </c>
      <c r="G95" s="137">
        <v>83</v>
      </c>
      <c r="H95" s="137" t="s">
        <v>70</v>
      </c>
      <c r="I95" s="137" t="s">
        <v>68</v>
      </c>
      <c r="J95" s="139">
        <v>0</v>
      </c>
      <c r="K95" s="139">
        <v>1.2284999016408001E+19</v>
      </c>
    </row>
    <row r="96" spans="3:11">
      <c r="C96" s="24" t="b">
        <v>0</v>
      </c>
      <c r="D96" s="137">
        <v>17</v>
      </c>
      <c r="E96" s="138">
        <v>6</v>
      </c>
      <c r="F96" s="137" t="s">
        <v>66</v>
      </c>
      <c r="G96" s="137">
        <v>84</v>
      </c>
      <c r="H96" s="137" t="s">
        <v>71</v>
      </c>
      <c r="I96" s="137" t="s">
        <v>68</v>
      </c>
      <c r="J96" s="139">
        <v>0</v>
      </c>
      <c r="K96" s="139">
        <v>4.8175013294656696E+18</v>
      </c>
    </row>
    <row r="97" spans="3:11">
      <c r="C97" s="24" t="b">
        <v>0</v>
      </c>
      <c r="D97" s="137">
        <v>18</v>
      </c>
      <c r="E97" s="138">
        <v>7</v>
      </c>
      <c r="F97" s="137" t="s">
        <v>66</v>
      </c>
      <c r="G97" s="137">
        <v>87</v>
      </c>
      <c r="H97" s="137" t="s">
        <v>67</v>
      </c>
      <c r="I97" s="137" t="s">
        <v>68</v>
      </c>
      <c r="J97" s="139">
        <v>0</v>
      </c>
      <c r="K97" s="139">
        <v>4.79914792237022E+18</v>
      </c>
    </row>
    <row r="98" spans="3:11">
      <c r="C98" s="24" t="b">
        <v>0</v>
      </c>
      <c r="D98" s="137">
        <v>19</v>
      </c>
      <c r="E98" s="138">
        <v>7</v>
      </c>
      <c r="F98" s="137" t="s">
        <v>66</v>
      </c>
      <c r="G98" s="137">
        <v>88</v>
      </c>
      <c r="H98" s="137" t="s">
        <v>70</v>
      </c>
      <c r="I98" s="137" t="s">
        <v>68</v>
      </c>
      <c r="J98" s="139">
        <v>0</v>
      </c>
      <c r="K98" s="139">
        <v>1.35610446853201E+19</v>
      </c>
    </row>
    <row r="99" spans="3:11">
      <c r="C99" s="24" t="b">
        <v>0</v>
      </c>
      <c r="D99" s="137">
        <v>20</v>
      </c>
      <c r="E99" s="138">
        <v>7</v>
      </c>
      <c r="F99" s="137" t="s">
        <v>66</v>
      </c>
      <c r="G99" s="137">
        <v>90</v>
      </c>
      <c r="H99" s="137" t="s">
        <v>71</v>
      </c>
      <c r="I99" s="137" t="s">
        <v>68</v>
      </c>
      <c r="J99" s="139">
        <v>0</v>
      </c>
      <c r="K99" s="139">
        <v>4.0732388726738299E+18</v>
      </c>
    </row>
    <row r="100" spans="3:11">
      <c r="C100" s="24" t="b">
        <v>0</v>
      </c>
      <c r="D100" s="137">
        <v>21</v>
      </c>
      <c r="E100" s="138">
        <v>8</v>
      </c>
      <c r="F100" s="137" t="s">
        <v>66</v>
      </c>
      <c r="G100" s="137">
        <v>92</v>
      </c>
      <c r="H100" s="137" t="s">
        <v>67</v>
      </c>
      <c r="I100" s="137" t="s">
        <v>68</v>
      </c>
      <c r="J100" s="139">
        <v>0</v>
      </c>
      <c r="K100" s="139">
        <v>8.2015083943579197E+18</v>
      </c>
    </row>
    <row r="101" spans="3:11">
      <c r="C101" s="24" t="b">
        <v>0</v>
      </c>
      <c r="D101" s="137">
        <v>22</v>
      </c>
      <c r="E101" s="138">
        <v>8</v>
      </c>
      <c r="F101" s="137" t="s">
        <v>66</v>
      </c>
      <c r="G101" s="137">
        <v>94</v>
      </c>
      <c r="H101" s="137" t="s">
        <v>70</v>
      </c>
      <c r="I101" s="137" t="s">
        <v>68</v>
      </c>
      <c r="J101" s="139">
        <v>0</v>
      </c>
      <c r="K101" s="139">
        <v>1.094093755617E+19</v>
      </c>
    </row>
    <row r="102" spans="3:11">
      <c r="C102" s="24" t="b">
        <v>0</v>
      </c>
      <c r="D102" s="137">
        <v>23</v>
      </c>
      <c r="E102" s="138">
        <v>8</v>
      </c>
      <c r="F102" s="137" t="s">
        <v>66</v>
      </c>
      <c r="G102" s="137">
        <v>95</v>
      </c>
      <c r="H102" s="137" t="s">
        <v>71</v>
      </c>
      <c r="I102" s="137" t="s">
        <v>68</v>
      </c>
      <c r="J102" s="139">
        <v>0</v>
      </c>
      <c r="K102" s="139">
        <v>1.50697018200378E+19</v>
      </c>
    </row>
    <row r="103" spans="3:11">
      <c r="C103" s="24" t="b">
        <v>0</v>
      </c>
      <c r="D103" s="137">
        <v>24</v>
      </c>
      <c r="E103" s="138">
        <v>9</v>
      </c>
      <c r="F103" s="137" t="s">
        <v>66</v>
      </c>
      <c r="G103" s="137">
        <v>97</v>
      </c>
      <c r="H103" s="137" t="s">
        <v>67</v>
      </c>
      <c r="I103" s="137" t="s">
        <v>68</v>
      </c>
      <c r="J103" s="139">
        <v>0</v>
      </c>
      <c r="K103" s="139">
        <v>1.7037071778767301E+19</v>
      </c>
    </row>
    <row r="104" spans="3:11">
      <c r="C104" s="24" t="b">
        <v>0</v>
      </c>
      <c r="D104" s="137">
        <v>25</v>
      </c>
      <c r="E104" s="138">
        <v>9</v>
      </c>
      <c r="F104" s="137" t="s">
        <v>66</v>
      </c>
      <c r="G104" s="137">
        <v>99</v>
      </c>
      <c r="H104" s="137" t="s">
        <v>70</v>
      </c>
      <c r="I104" s="137" t="s">
        <v>68</v>
      </c>
      <c r="J104" s="139">
        <v>0</v>
      </c>
      <c r="K104" s="139">
        <v>1.26798652939439E+19</v>
      </c>
    </row>
    <row r="105" spans="3:11">
      <c r="C105" s="24" t="b">
        <v>0</v>
      </c>
      <c r="D105" s="137">
        <v>26</v>
      </c>
      <c r="E105" s="138">
        <v>9</v>
      </c>
      <c r="F105" s="137" t="s">
        <v>66</v>
      </c>
      <c r="G105" s="137">
        <v>96</v>
      </c>
      <c r="H105" s="137" t="s">
        <v>71</v>
      </c>
      <c r="I105" s="137" t="s">
        <v>68</v>
      </c>
      <c r="J105" s="139">
        <v>0</v>
      </c>
      <c r="K105" s="139">
        <v>3.8020969511802798E+18</v>
      </c>
    </row>
    <row r="106" spans="3:11">
      <c r="C106" s="24" t="b">
        <v>0</v>
      </c>
      <c r="D106" s="137">
        <v>27</v>
      </c>
      <c r="E106" s="138">
        <v>10</v>
      </c>
      <c r="F106" s="137" t="s">
        <v>66</v>
      </c>
      <c r="G106" s="137">
        <v>100</v>
      </c>
      <c r="H106" s="137" t="s">
        <v>67</v>
      </c>
      <c r="I106" s="137" t="s">
        <v>68</v>
      </c>
      <c r="J106" s="139">
        <v>0</v>
      </c>
      <c r="K106" s="139">
        <v>1.3832959091958901E+19</v>
      </c>
    </row>
    <row r="107" spans="3:11">
      <c r="C107" s="24" t="b">
        <v>0</v>
      </c>
      <c r="D107" s="137">
        <v>28</v>
      </c>
      <c r="E107" s="138">
        <v>10</v>
      </c>
      <c r="F107" s="137" t="s">
        <v>66</v>
      </c>
      <c r="G107" s="137">
        <v>97</v>
      </c>
      <c r="H107" s="137" t="s">
        <v>70</v>
      </c>
      <c r="I107" s="137" t="s">
        <v>68</v>
      </c>
      <c r="J107" s="139">
        <v>0</v>
      </c>
      <c r="K107" s="139">
        <v>1.5169675789218601E+19</v>
      </c>
    </row>
    <row r="108" spans="3:11">
      <c r="C108" s="24" t="b">
        <v>0</v>
      </c>
      <c r="D108" s="137">
        <v>29</v>
      </c>
      <c r="E108" s="138">
        <v>10</v>
      </c>
      <c r="F108" s="137" t="s">
        <v>66</v>
      </c>
      <c r="G108" s="137">
        <v>100</v>
      </c>
      <c r="H108" s="137" t="s">
        <v>71</v>
      </c>
      <c r="I108" s="137" t="s">
        <v>68</v>
      </c>
      <c r="J108" s="139">
        <v>0</v>
      </c>
      <c r="K108" s="139">
        <v>7.0949420157223404E+18</v>
      </c>
    </row>
    <row r="109" spans="3:11">
      <c r="C109" s="24" t="b">
        <v>0</v>
      </c>
      <c r="D109" s="137">
        <v>30</v>
      </c>
      <c r="E109" s="138">
        <v>11</v>
      </c>
      <c r="F109" s="137" t="s">
        <v>69</v>
      </c>
      <c r="G109" s="137">
        <v>86</v>
      </c>
      <c r="H109" s="137" t="s">
        <v>67</v>
      </c>
      <c r="I109" s="137" t="s">
        <v>72</v>
      </c>
      <c r="J109" s="139">
        <v>0</v>
      </c>
      <c r="K109" s="139">
        <v>1.9593127602365801E+18</v>
      </c>
    </row>
    <row r="110" spans="3:11">
      <c r="C110" s="24" t="b">
        <v>0</v>
      </c>
      <c r="D110" s="137">
        <v>31</v>
      </c>
      <c r="E110" s="138">
        <v>11</v>
      </c>
      <c r="F110" s="137" t="s">
        <v>69</v>
      </c>
      <c r="G110" s="137">
        <v>86</v>
      </c>
      <c r="H110" s="137" t="s">
        <v>70</v>
      </c>
      <c r="I110" s="137" t="s">
        <v>72</v>
      </c>
      <c r="J110" s="139">
        <v>0</v>
      </c>
      <c r="K110" s="139">
        <v>3.1534690503928602E+18</v>
      </c>
    </row>
    <row r="111" spans="3:11">
      <c r="C111" s="24" t="b">
        <v>0</v>
      </c>
      <c r="D111" s="137">
        <v>32</v>
      </c>
      <c r="E111" s="138">
        <v>11</v>
      </c>
      <c r="F111" s="137" t="s">
        <v>69</v>
      </c>
      <c r="G111" s="137">
        <v>84</v>
      </c>
      <c r="H111" s="137" t="s">
        <v>71</v>
      </c>
      <c r="I111" s="137" t="s">
        <v>72</v>
      </c>
      <c r="J111" s="139">
        <v>0</v>
      </c>
      <c r="K111" s="139">
        <v>7.7518348297927598E+18</v>
      </c>
    </row>
    <row r="112" spans="3:11">
      <c r="C112" s="24" t="b">
        <v>0</v>
      </c>
      <c r="D112" s="137">
        <v>33</v>
      </c>
      <c r="E112" s="138">
        <v>12</v>
      </c>
      <c r="F112" s="137" t="s">
        <v>69</v>
      </c>
      <c r="G112" s="137">
        <v>93</v>
      </c>
      <c r="H112" s="137" t="s">
        <v>67</v>
      </c>
      <c r="I112" s="137" t="s">
        <v>72</v>
      </c>
      <c r="J112" s="139">
        <v>0</v>
      </c>
      <c r="K112" s="139">
        <v>1.1999782712036901E+19</v>
      </c>
    </row>
    <row r="113" spans="3:11">
      <c r="C113" s="24" t="b">
        <v>0</v>
      </c>
      <c r="D113" s="137">
        <v>34</v>
      </c>
      <c r="E113" s="138">
        <v>12</v>
      </c>
      <c r="F113" s="137" t="s">
        <v>69</v>
      </c>
      <c r="G113" s="137">
        <v>103</v>
      </c>
      <c r="H113" s="137" t="s">
        <v>70</v>
      </c>
      <c r="I113" s="137" t="s">
        <v>72</v>
      </c>
      <c r="J113" s="139">
        <v>0</v>
      </c>
      <c r="K113" s="139">
        <v>3.3245634758637399E+18</v>
      </c>
    </row>
    <row r="114" spans="3:11">
      <c r="C114" s="24" t="b">
        <v>0</v>
      </c>
      <c r="D114" s="137">
        <v>35</v>
      </c>
      <c r="E114" s="138">
        <v>12</v>
      </c>
      <c r="F114" s="137" t="s">
        <v>69</v>
      </c>
      <c r="G114" s="137">
        <v>104</v>
      </c>
      <c r="H114" s="137" t="s">
        <v>71</v>
      </c>
      <c r="I114" s="137" t="s">
        <v>72</v>
      </c>
      <c r="J114" s="139">
        <v>0</v>
      </c>
      <c r="K114" s="139">
        <v>1.0917960331461501E+19</v>
      </c>
    </row>
    <row r="115" spans="3:11">
      <c r="C115" s="24" t="b">
        <v>0</v>
      </c>
      <c r="D115" s="137">
        <v>36</v>
      </c>
      <c r="E115" s="138">
        <v>13</v>
      </c>
      <c r="F115" s="137" t="s">
        <v>69</v>
      </c>
      <c r="G115" s="137">
        <v>90</v>
      </c>
      <c r="H115" s="137" t="s">
        <v>67</v>
      </c>
      <c r="I115" s="137" t="s">
        <v>72</v>
      </c>
      <c r="J115" s="139">
        <v>0</v>
      </c>
      <c r="K115" s="139">
        <v>3.5510198857609902E+18</v>
      </c>
    </row>
    <row r="116" spans="3:11">
      <c r="C116" s="24" t="b">
        <v>0</v>
      </c>
      <c r="D116" s="137">
        <v>37</v>
      </c>
      <c r="E116" s="138">
        <v>13</v>
      </c>
      <c r="F116" s="137" t="s">
        <v>69</v>
      </c>
      <c r="G116" s="137">
        <v>92</v>
      </c>
      <c r="H116" s="137" t="s">
        <v>70</v>
      </c>
      <c r="I116" s="137" t="s">
        <v>72</v>
      </c>
      <c r="J116" s="139">
        <v>0</v>
      </c>
      <c r="K116" s="139">
        <v>1.54116820340438E+19</v>
      </c>
    </row>
    <row r="117" spans="3:11">
      <c r="C117" s="24" t="b">
        <v>0</v>
      </c>
      <c r="D117" s="137">
        <v>38</v>
      </c>
      <c r="E117" s="138">
        <v>13</v>
      </c>
      <c r="F117" s="137" t="s">
        <v>69</v>
      </c>
      <c r="G117" s="137">
        <v>93</v>
      </c>
      <c r="H117" s="137" t="s">
        <v>71</v>
      </c>
      <c r="I117" s="137" t="s">
        <v>72</v>
      </c>
      <c r="J117" s="139">
        <v>0</v>
      </c>
      <c r="K117" s="139">
        <v>4.8469887142690796E+18</v>
      </c>
    </row>
    <row r="118" spans="3:11">
      <c r="C118" s="24" t="b">
        <v>0</v>
      </c>
      <c r="D118" s="137">
        <v>39</v>
      </c>
      <c r="E118" s="138">
        <v>14</v>
      </c>
      <c r="F118" s="137" t="s">
        <v>69</v>
      </c>
      <c r="G118" s="137">
        <v>95</v>
      </c>
      <c r="H118" s="137" t="s">
        <v>67</v>
      </c>
      <c r="I118" s="137" t="s">
        <v>72</v>
      </c>
      <c r="J118" s="139">
        <v>0</v>
      </c>
      <c r="K118" s="139">
        <v>1.73139915284851E+19</v>
      </c>
    </row>
    <row r="119" spans="3:11">
      <c r="C119" s="24" t="b">
        <v>0</v>
      </c>
      <c r="D119" s="137">
        <v>40</v>
      </c>
      <c r="E119" s="138">
        <v>14</v>
      </c>
      <c r="F119" s="137" t="s">
        <v>69</v>
      </c>
      <c r="G119" s="137">
        <v>96</v>
      </c>
      <c r="H119" s="137" t="s">
        <v>70</v>
      </c>
      <c r="I119" s="137" t="s">
        <v>72</v>
      </c>
      <c r="J119" s="139">
        <v>0</v>
      </c>
      <c r="K119" s="139">
        <v>1.7868047477475101E+19</v>
      </c>
    </row>
    <row r="120" spans="3:11">
      <c r="C120" s="24" t="b">
        <v>0</v>
      </c>
      <c r="D120" s="137">
        <v>41</v>
      </c>
      <c r="E120" s="138">
        <v>14</v>
      </c>
      <c r="F120" s="137" t="s">
        <v>69</v>
      </c>
      <c r="G120" s="137">
        <v>100</v>
      </c>
      <c r="H120" s="137" t="s">
        <v>71</v>
      </c>
      <c r="I120" s="137" t="s">
        <v>72</v>
      </c>
      <c r="J120" s="139">
        <v>0</v>
      </c>
      <c r="K120" s="139">
        <v>8.5445860849222298E+17</v>
      </c>
    </row>
    <row r="121" spans="3:11">
      <c r="C121" s="24" t="b">
        <v>0</v>
      </c>
      <c r="D121" s="137">
        <v>42</v>
      </c>
      <c r="E121" s="138">
        <v>15</v>
      </c>
      <c r="F121" s="137" t="s">
        <v>69</v>
      </c>
      <c r="G121" s="137">
        <v>89</v>
      </c>
      <c r="H121" s="137" t="s">
        <v>67</v>
      </c>
      <c r="I121" s="137" t="s">
        <v>72</v>
      </c>
      <c r="J121" s="139">
        <v>0</v>
      </c>
      <c r="K121" s="139">
        <v>1.05367680280503E+18</v>
      </c>
    </row>
    <row r="122" spans="3:11">
      <c r="C122" s="24" t="b">
        <v>0</v>
      </c>
      <c r="D122" s="137">
        <v>43</v>
      </c>
      <c r="E122" s="138">
        <v>15</v>
      </c>
      <c r="F122" s="137" t="s">
        <v>69</v>
      </c>
      <c r="G122" s="137">
        <v>96</v>
      </c>
      <c r="H122" s="137" t="s">
        <v>70</v>
      </c>
      <c r="I122" s="137" t="s">
        <v>72</v>
      </c>
      <c r="J122" s="139">
        <v>0</v>
      </c>
      <c r="K122" s="139">
        <v>1.5034691829788299E+19</v>
      </c>
    </row>
    <row r="123" spans="3:11">
      <c r="C123" s="24" t="b">
        <v>0</v>
      </c>
      <c r="D123" s="137">
        <v>44</v>
      </c>
      <c r="E123" s="138">
        <v>15</v>
      </c>
      <c r="F123" s="137" t="s">
        <v>69</v>
      </c>
      <c r="G123" s="137">
        <v>95</v>
      </c>
      <c r="H123" s="137" t="s">
        <v>71</v>
      </c>
      <c r="I123" s="137" t="s">
        <v>72</v>
      </c>
      <c r="J123" s="139">
        <v>0</v>
      </c>
      <c r="K123" s="139">
        <v>1.63971791264262E+19</v>
      </c>
    </row>
    <row r="124" spans="3:11">
      <c r="C124" s="24" t="b">
        <v>0</v>
      </c>
      <c r="D124" s="137">
        <v>45</v>
      </c>
      <c r="E124" s="138">
        <v>16</v>
      </c>
      <c r="F124" s="137" t="s">
        <v>66</v>
      </c>
      <c r="G124" s="137">
        <v>84</v>
      </c>
      <c r="H124" s="137" t="s">
        <v>67</v>
      </c>
      <c r="I124" s="137" t="s">
        <v>72</v>
      </c>
      <c r="J124" s="139">
        <v>0</v>
      </c>
      <c r="K124" s="139">
        <v>1.44441630870366E+19</v>
      </c>
    </row>
    <row r="125" spans="3:11">
      <c r="C125" s="24" t="b">
        <v>0</v>
      </c>
      <c r="D125" s="137">
        <v>46</v>
      </c>
      <c r="E125" s="138">
        <v>16</v>
      </c>
      <c r="F125" s="137" t="s">
        <v>66</v>
      </c>
      <c r="G125" s="137">
        <v>86</v>
      </c>
      <c r="H125" s="137" t="s">
        <v>70</v>
      </c>
      <c r="I125" s="137" t="s">
        <v>72</v>
      </c>
      <c r="J125" s="139">
        <v>0</v>
      </c>
      <c r="K125" s="139">
        <v>1.45610349687353E+19</v>
      </c>
    </row>
    <row r="126" spans="3:11">
      <c r="C126" s="24" t="b">
        <v>0</v>
      </c>
      <c r="D126" s="137">
        <v>47</v>
      </c>
      <c r="E126" s="138">
        <v>16</v>
      </c>
      <c r="F126" s="137" t="s">
        <v>66</v>
      </c>
      <c r="G126" s="137">
        <v>89</v>
      </c>
      <c r="H126" s="137" t="s">
        <v>71</v>
      </c>
      <c r="I126" s="137" t="s">
        <v>72</v>
      </c>
      <c r="J126" s="139">
        <v>0</v>
      </c>
      <c r="K126" s="139">
        <v>8.6689952430352701E+18</v>
      </c>
    </row>
    <row r="127" spans="3:11">
      <c r="C127" s="24" t="b">
        <v>0</v>
      </c>
      <c r="D127" s="137">
        <v>48</v>
      </c>
      <c r="E127" s="138">
        <v>17</v>
      </c>
      <c r="F127" s="137" t="s">
        <v>66</v>
      </c>
      <c r="G127" s="137">
        <v>103</v>
      </c>
      <c r="H127" s="137" t="s">
        <v>67</v>
      </c>
      <c r="I127" s="137" t="s">
        <v>72</v>
      </c>
      <c r="J127" s="139">
        <v>0</v>
      </c>
      <c r="K127" s="139">
        <v>1.3022193342526599E+19</v>
      </c>
    </row>
    <row r="128" spans="3:11">
      <c r="C128" s="24" t="b">
        <v>0</v>
      </c>
      <c r="D128" s="137">
        <v>49</v>
      </c>
      <c r="E128" s="138">
        <v>17</v>
      </c>
      <c r="F128" s="137" t="s">
        <v>66</v>
      </c>
      <c r="G128" s="137">
        <v>109</v>
      </c>
      <c r="H128" s="137" t="s">
        <v>70</v>
      </c>
      <c r="I128" s="137" t="s">
        <v>72</v>
      </c>
      <c r="J128" s="139">
        <v>0</v>
      </c>
      <c r="K128" s="139">
        <v>9.09432592090978E+18</v>
      </c>
    </row>
    <row r="129" spans="3:11">
      <c r="C129" s="24" t="b">
        <v>0</v>
      </c>
      <c r="D129" s="137">
        <v>50</v>
      </c>
      <c r="E129" s="138">
        <v>17</v>
      </c>
      <c r="F129" s="137" t="s">
        <v>66</v>
      </c>
      <c r="G129" s="137">
        <v>90</v>
      </c>
      <c r="H129" s="137" t="s">
        <v>71</v>
      </c>
      <c r="I129" s="137" t="s">
        <v>72</v>
      </c>
      <c r="J129" s="139">
        <v>0</v>
      </c>
      <c r="K129" s="139">
        <v>5.9999778229052703E+18</v>
      </c>
    </row>
    <row r="130" spans="3:11">
      <c r="C130" s="24" t="b">
        <v>0</v>
      </c>
      <c r="D130" s="137">
        <v>51</v>
      </c>
      <c r="E130" s="138">
        <v>18</v>
      </c>
      <c r="F130" s="137" t="s">
        <v>66</v>
      </c>
      <c r="G130" s="137">
        <v>92</v>
      </c>
      <c r="H130" s="137" t="s">
        <v>67</v>
      </c>
      <c r="I130" s="137" t="s">
        <v>72</v>
      </c>
      <c r="J130" s="139">
        <v>0</v>
      </c>
      <c r="K130" s="139">
        <v>1.0953112027996E+19</v>
      </c>
    </row>
    <row r="131" spans="3:11">
      <c r="C131" s="24" t="b">
        <v>0</v>
      </c>
      <c r="D131" s="137">
        <v>52</v>
      </c>
      <c r="E131" s="138">
        <v>18</v>
      </c>
      <c r="F131" s="137" t="s">
        <v>66</v>
      </c>
      <c r="G131" s="137">
        <v>96</v>
      </c>
      <c r="H131" s="137" t="s">
        <v>70</v>
      </c>
      <c r="I131" s="137" t="s">
        <v>72</v>
      </c>
      <c r="J131" s="139">
        <v>0</v>
      </c>
      <c r="K131" s="139">
        <v>6.0044969656196495E+18</v>
      </c>
    </row>
    <row r="132" spans="3:11">
      <c r="C132" s="24" t="b">
        <v>0</v>
      </c>
      <c r="D132" s="137">
        <v>53</v>
      </c>
      <c r="E132" s="138">
        <v>18</v>
      </c>
      <c r="F132" s="137" t="s">
        <v>66</v>
      </c>
      <c r="G132" s="137">
        <v>101</v>
      </c>
      <c r="H132" s="137" t="s">
        <v>71</v>
      </c>
      <c r="I132" s="137" t="s">
        <v>72</v>
      </c>
      <c r="J132" s="139">
        <v>0</v>
      </c>
      <c r="K132" s="139">
        <v>4.7126666667465001E+18</v>
      </c>
    </row>
    <row r="133" spans="3:11">
      <c r="C133" s="24" t="b">
        <v>0</v>
      </c>
      <c r="D133" s="137">
        <v>54</v>
      </c>
      <c r="E133" s="138">
        <v>19</v>
      </c>
      <c r="F133" s="137" t="s">
        <v>66</v>
      </c>
      <c r="G133" s="137">
        <v>97</v>
      </c>
      <c r="H133" s="137" t="s">
        <v>67</v>
      </c>
      <c r="I133" s="137" t="s">
        <v>72</v>
      </c>
      <c r="J133" s="139">
        <v>0</v>
      </c>
      <c r="K133" s="139">
        <v>1.34075356717581E+19</v>
      </c>
    </row>
    <row r="134" spans="3:11">
      <c r="C134" s="24" t="b">
        <v>0</v>
      </c>
      <c r="D134" s="137">
        <v>55</v>
      </c>
      <c r="E134" s="138">
        <v>19</v>
      </c>
      <c r="F134" s="137" t="s">
        <v>66</v>
      </c>
      <c r="G134" s="137">
        <v>98</v>
      </c>
      <c r="H134" s="137" t="s">
        <v>70</v>
      </c>
      <c r="I134" s="137" t="s">
        <v>72</v>
      </c>
      <c r="J134" s="139">
        <v>0</v>
      </c>
      <c r="K134" s="139">
        <v>1.20522326902132E+19</v>
      </c>
    </row>
    <row r="135" spans="3:11">
      <c r="C135" s="24" t="b">
        <v>0</v>
      </c>
      <c r="D135" s="137">
        <v>56</v>
      </c>
      <c r="E135" s="138">
        <v>19</v>
      </c>
      <c r="F135" s="137" t="s">
        <v>66</v>
      </c>
      <c r="G135" s="137">
        <v>100</v>
      </c>
      <c r="H135" s="137" t="s">
        <v>71</v>
      </c>
      <c r="I135" s="137" t="s">
        <v>72</v>
      </c>
      <c r="J135" s="139">
        <v>0</v>
      </c>
      <c r="K135" s="139">
        <v>6.1128124737421496E+18</v>
      </c>
    </row>
    <row r="136" spans="3:11">
      <c r="C136" s="24" t="b">
        <v>0</v>
      </c>
      <c r="D136" s="137">
        <v>57</v>
      </c>
      <c r="E136" s="138">
        <v>20</v>
      </c>
      <c r="F136" s="137" t="s">
        <v>66</v>
      </c>
      <c r="G136" s="137">
        <v>102</v>
      </c>
      <c r="H136" s="137" t="s">
        <v>67</v>
      </c>
      <c r="I136" s="137" t="s">
        <v>72</v>
      </c>
      <c r="J136" s="139">
        <v>0</v>
      </c>
      <c r="K136" s="139">
        <v>1.5208140136092101E+19</v>
      </c>
    </row>
    <row r="137" spans="3:11">
      <c r="C137" s="24" t="b">
        <v>0</v>
      </c>
      <c r="D137" s="137">
        <v>58</v>
      </c>
      <c r="E137" s="138">
        <v>20</v>
      </c>
      <c r="F137" s="137" t="s">
        <v>66</v>
      </c>
      <c r="G137" s="137">
        <v>104</v>
      </c>
      <c r="H137" s="137" t="s">
        <v>70</v>
      </c>
      <c r="I137" s="137" t="s">
        <v>72</v>
      </c>
      <c r="J137" s="139">
        <v>0</v>
      </c>
      <c r="K137" s="139">
        <v>1.7275099056956E+19</v>
      </c>
    </row>
    <row r="138" spans="3:11">
      <c r="C138" s="24" t="b">
        <v>0</v>
      </c>
      <c r="D138" s="137">
        <v>59</v>
      </c>
      <c r="E138" s="138">
        <v>20</v>
      </c>
      <c r="F138" s="137" t="s">
        <v>66</v>
      </c>
      <c r="G138" s="137">
        <v>103</v>
      </c>
      <c r="H138" s="137" t="s">
        <v>71</v>
      </c>
      <c r="I138" s="137" t="s">
        <v>72</v>
      </c>
      <c r="J138" s="139">
        <v>0</v>
      </c>
      <c r="K138" s="139">
        <v>8.3457031546170296E+18</v>
      </c>
    </row>
    <row r="139" spans="3:11">
      <c r="C139" s="24" t="b">
        <v>0</v>
      </c>
      <c r="D139" s="137">
        <v>60</v>
      </c>
      <c r="E139" s="138">
        <v>21</v>
      </c>
      <c r="F139" s="137" t="s">
        <v>69</v>
      </c>
      <c r="G139" s="137">
        <v>93</v>
      </c>
      <c r="H139" s="137" t="s">
        <v>67</v>
      </c>
      <c r="I139" s="137" t="s">
        <v>73</v>
      </c>
      <c r="J139" s="139">
        <v>0</v>
      </c>
      <c r="K139" s="139">
        <v>1.76917343897965E+18</v>
      </c>
    </row>
    <row r="140" spans="3:11">
      <c r="C140" s="24" t="b">
        <v>0</v>
      </c>
      <c r="D140" s="137">
        <v>61</v>
      </c>
      <c r="E140" s="138">
        <v>21</v>
      </c>
      <c r="F140" s="137" t="s">
        <v>69</v>
      </c>
      <c r="G140" s="137">
        <v>98</v>
      </c>
      <c r="H140" s="137" t="s">
        <v>70</v>
      </c>
      <c r="I140" s="137" t="s">
        <v>73</v>
      </c>
      <c r="J140" s="139">
        <v>0</v>
      </c>
      <c r="K140" s="139">
        <v>9.4836440821548298E+18</v>
      </c>
    </row>
    <row r="141" spans="3:11">
      <c r="C141" s="24" t="b">
        <v>0</v>
      </c>
      <c r="D141" s="137">
        <v>62</v>
      </c>
      <c r="E141" s="138">
        <v>21</v>
      </c>
      <c r="F141" s="137" t="s">
        <v>69</v>
      </c>
      <c r="G141" s="137">
        <v>110</v>
      </c>
      <c r="H141" s="137" t="s">
        <v>71</v>
      </c>
      <c r="I141" s="137" t="s">
        <v>73</v>
      </c>
      <c r="J141" s="139">
        <v>0</v>
      </c>
      <c r="K141" s="139">
        <v>6.5876212282034002E+18</v>
      </c>
    </row>
    <row r="142" spans="3:11">
      <c r="C142" s="24" t="b">
        <v>0</v>
      </c>
      <c r="D142" s="137">
        <v>63</v>
      </c>
      <c r="E142" s="138">
        <v>22</v>
      </c>
      <c r="F142" s="137" t="s">
        <v>69</v>
      </c>
      <c r="G142" s="137">
        <v>98</v>
      </c>
      <c r="H142" s="137" t="s">
        <v>67</v>
      </c>
      <c r="I142" s="137" t="s">
        <v>73</v>
      </c>
      <c r="J142" s="139">
        <v>0</v>
      </c>
      <c r="K142" s="139">
        <v>1.6188463329370501E+18</v>
      </c>
    </row>
    <row r="143" spans="3:11">
      <c r="C143" s="24" t="b">
        <v>0</v>
      </c>
      <c r="D143" s="137">
        <v>64</v>
      </c>
      <c r="E143" s="138">
        <v>22</v>
      </c>
      <c r="F143" s="137" t="s">
        <v>69</v>
      </c>
      <c r="G143" s="137">
        <v>104</v>
      </c>
      <c r="H143" s="137" t="s">
        <v>70</v>
      </c>
      <c r="I143" s="137" t="s">
        <v>73</v>
      </c>
      <c r="J143" s="139">
        <v>0</v>
      </c>
      <c r="K143" s="139">
        <v>3.9957549150933601E+18</v>
      </c>
    </row>
    <row r="144" spans="3:11">
      <c r="C144" s="24" t="b">
        <v>0</v>
      </c>
      <c r="D144" s="137">
        <v>65</v>
      </c>
      <c r="E144" s="138">
        <v>22</v>
      </c>
      <c r="F144" s="137" t="s">
        <v>69</v>
      </c>
      <c r="G144" s="137">
        <v>112</v>
      </c>
      <c r="H144" s="137" t="s">
        <v>71</v>
      </c>
      <c r="I144" s="137" t="s">
        <v>73</v>
      </c>
      <c r="J144" s="139">
        <v>0</v>
      </c>
      <c r="K144" s="139">
        <v>5.4889407758976499E+17</v>
      </c>
    </row>
    <row r="145" spans="3:11">
      <c r="C145" s="24" t="b">
        <v>0</v>
      </c>
      <c r="D145" s="137">
        <v>66</v>
      </c>
      <c r="E145" s="138">
        <v>23</v>
      </c>
      <c r="F145" s="137" t="s">
        <v>69</v>
      </c>
      <c r="G145" s="137">
        <v>98</v>
      </c>
      <c r="H145" s="137" t="s">
        <v>67</v>
      </c>
      <c r="I145" s="137" t="s">
        <v>73</v>
      </c>
      <c r="J145" s="139">
        <v>0</v>
      </c>
      <c r="K145" s="139">
        <v>1.2895567833150401E+19</v>
      </c>
    </row>
    <row r="146" spans="3:11">
      <c r="C146" s="24" t="b">
        <v>0</v>
      </c>
      <c r="D146" s="137">
        <v>67</v>
      </c>
      <c r="E146" s="138">
        <v>23</v>
      </c>
      <c r="F146" s="137" t="s">
        <v>69</v>
      </c>
      <c r="G146" s="137">
        <v>105</v>
      </c>
      <c r="H146" s="137" t="s">
        <v>70</v>
      </c>
      <c r="I146" s="137" t="s">
        <v>73</v>
      </c>
      <c r="J146" s="139">
        <v>0</v>
      </c>
      <c r="K146" s="139">
        <v>4.31889787531149E+18</v>
      </c>
    </row>
    <row r="147" spans="3:11">
      <c r="C147" s="24" t="b">
        <v>0</v>
      </c>
      <c r="D147" s="137">
        <v>68</v>
      </c>
      <c r="E147" s="138">
        <v>23</v>
      </c>
      <c r="F147" s="137" t="s">
        <v>69</v>
      </c>
      <c r="G147" s="137">
        <v>99</v>
      </c>
      <c r="H147" s="137" t="s">
        <v>71</v>
      </c>
      <c r="I147" s="137" t="s">
        <v>73</v>
      </c>
      <c r="J147" s="139">
        <v>0</v>
      </c>
      <c r="K147" s="139">
        <v>1.5036155676106E+19</v>
      </c>
    </row>
    <row r="148" spans="3:11">
      <c r="C148" s="24" t="b">
        <v>0</v>
      </c>
      <c r="D148" s="137">
        <v>69</v>
      </c>
      <c r="E148" s="138">
        <v>24</v>
      </c>
      <c r="F148" s="137" t="s">
        <v>69</v>
      </c>
      <c r="G148" s="137">
        <v>87</v>
      </c>
      <c r="H148" s="137" t="s">
        <v>67</v>
      </c>
      <c r="I148" s="137" t="s">
        <v>73</v>
      </c>
      <c r="J148" s="139">
        <v>0</v>
      </c>
      <c r="K148" s="139">
        <v>4.7813830376985897E+18</v>
      </c>
    </row>
    <row r="149" spans="3:11">
      <c r="C149" s="24" t="b">
        <v>0</v>
      </c>
      <c r="D149" s="137">
        <v>70</v>
      </c>
      <c r="E149" s="138">
        <v>24</v>
      </c>
      <c r="F149" s="137" t="s">
        <v>69</v>
      </c>
      <c r="G149" s="137">
        <v>132</v>
      </c>
      <c r="H149" s="137" t="s">
        <v>70</v>
      </c>
      <c r="I149" s="137" t="s">
        <v>73</v>
      </c>
      <c r="J149" s="139">
        <v>0</v>
      </c>
      <c r="K149" s="139">
        <v>5.8918142050402396E+18</v>
      </c>
    </row>
    <row r="150" spans="3:11">
      <c r="C150" s="24" t="b">
        <v>0</v>
      </c>
      <c r="D150" s="137">
        <v>71</v>
      </c>
      <c r="E150" s="138">
        <v>24</v>
      </c>
      <c r="F150" s="137" t="s">
        <v>69</v>
      </c>
      <c r="G150" s="137">
        <v>120</v>
      </c>
      <c r="H150" s="137" t="s">
        <v>71</v>
      </c>
      <c r="I150" s="137" t="s">
        <v>73</v>
      </c>
      <c r="J150" s="139">
        <v>0</v>
      </c>
      <c r="K150" s="139">
        <v>2.2766637519833101E+18</v>
      </c>
    </row>
    <row r="151" spans="3:11">
      <c r="C151" s="24" t="b">
        <v>0</v>
      </c>
      <c r="D151" s="137">
        <v>72</v>
      </c>
      <c r="E151" s="138">
        <v>25</v>
      </c>
      <c r="F151" s="137" t="s">
        <v>69</v>
      </c>
      <c r="G151" s="137">
        <v>94</v>
      </c>
      <c r="H151" s="137" t="s">
        <v>67</v>
      </c>
      <c r="I151" s="137" t="s">
        <v>73</v>
      </c>
      <c r="J151" s="139">
        <v>0</v>
      </c>
      <c r="K151" s="139">
        <v>1.6150423295992001E+19</v>
      </c>
    </row>
    <row r="152" spans="3:11">
      <c r="C152" s="24" t="b">
        <v>0</v>
      </c>
      <c r="D152" s="137">
        <v>73</v>
      </c>
      <c r="E152" s="138">
        <v>25</v>
      </c>
      <c r="F152" s="137" t="s">
        <v>69</v>
      </c>
      <c r="G152" s="137">
        <v>110</v>
      </c>
      <c r="H152" s="137" t="s">
        <v>70</v>
      </c>
      <c r="I152" s="137" t="s">
        <v>73</v>
      </c>
      <c r="J152" s="139">
        <v>0</v>
      </c>
      <c r="K152" s="139">
        <v>6.8752975105555804E+18</v>
      </c>
    </row>
    <row r="153" spans="3:11">
      <c r="C153" s="24" t="b">
        <v>0</v>
      </c>
      <c r="D153" s="137">
        <v>74</v>
      </c>
      <c r="E153" s="138">
        <v>25</v>
      </c>
      <c r="F153" s="137" t="s">
        <v>69</v>
      </c>
      <c r="G153" s="137">
        <v>116</v>
      </c>
      <c r="H153" s="137" t="s">
        <v>71</v>
      </c>
      <c r="I153" s="137" t="s">
        <v>73</v>
      </c>
      <c r="J153" s="139">
        <v>0</v>
      </c>
      <c r="K153" s="139">
        <v>3.90461478680973E+18</v>
      </c>
    </row>
    <row r="154" spans="3:11">
      <c r="C154" s="24" t="b">
        <v>0</v>
      </c>
      <c r="D154" s="137">
        <v>75</v>
      </c>
      <c r="E154" s="138">
        <v>26</v>
      </c>
      <c r="F154" s="137" t="s">
        <v>66</v>
      </c>
      <c r="G154" s="137">
        <v>95</v>
      </c>
      <c r="H154" s="137" t="s">
        <v>67</v>
      </c>
      <c r="I154" s="137" t="s">
        <v>73</v>
      </c>
      <c r="J154" s="139">
        <v>0</v>
      </c>
      <c r="K154" s="139">
        <v>1.3236123937628299E+19</v>
      </c>
    </row>
    <row r="155" spans="3:11">
      <c r="C155" s="24" t="b">
        <v>0</v>
      </c>
      <c r="D155" s="137">
        <v>76</v>
      </c>
      <c r="E155" s="138">
        <v>26</v>
      </c>
      <c r="F155" s="137" t="s">
        <v>66</v>
      </c>
      <c r="G155" s="137">
        <v>126</v>
      </c>
      <c r="H155" s="137" t="s">
        <v>70</v>
      </c>
      <c r="I155" s="137" t="s">
        <v>73</v>
      </c>
      <c r="J155" s="139">
        <v>0</v>
      </c>
      <c r="K155" s="139">
        <v>1.2046111457912101E+19</v>
      </c>
    </row>
    <row r="156" spans="3:11">
      <c r="C156" s="24" t="b">
        <v>0</v>
      </c>
      <c r="D156" s="137">
        <v>77</v>
      </c>
      <c r="E156" s="138">
        <v>26</v>
      </c>
      <c r="F156" s="137" t="s">
        <v>66</v>
      </c>
      <c r="G156" s="137">
        <v>143</v>
      </c>
      <c r="H156" s="137" t="s">
        <v>71</v>
      </c>
      <c r="I156" s="137" t="s">
        <v>73</v>
      </c>
      <c r="J156" s="139">
        <v>0</v>
      </c>
      <c r="K156" s="139">
        <v>2.4068895707423698E+18</v>
      </c>
    </row>
    <row r="157" spans="3:11">
      <c r="C157" s="24" t="b">
        <v>0</v>
      </c>
      <c r="D157" s="137">
        <v>78</v>
      </c>
      <c r="E157" s="138">
        <v>27</v>
      </c>
      <c r="F157" s="137" t="s">
        <v>66</v>
      </c>
      <c r="G157" s="137">
        <v>100</v>
      </c>
      <c r="H157" s="137" t="s">
        <v>67</v>
      </c>
      <c r="I157" s="137" t="s">
        <v>73</v>
      </c>
      <c r="J157" s="139">
        <v>0</v>
      </c>
      <c r="K157" s="139">
        <v>1.6940779947178E+19</v>
      </c>
    </row>
    <row r="158" spans="3:11">
      <c r="C158" s="24" t="b">
        <v>0</v>
      </c>
      <c r="D158" s="137">
        <v>79</v>
      </c>
      <c r="E158" s="138">
        <v>27</v>
      </c>
      <c r="F158" s="137" t="s">
        <v>66</v>
      </c>
      <c r="G158" s="137">
        <v>126</v>
      </c>
      <c r="H158" s="137" t="s">
        <v>70</v>
      </c>
      <c r="I158" s="137" t="s">
        <v>73</v>
      </c>
      <c r="J158" s="139">
        <v>0</v>
      </c>
      <c r="K158" s="139">
        <v>1.6640060906545101E+19</v>
      </c>
    </row>
    <row r="159" spans="3:11">
      <c r="C159" s="24" t="b">
        <v>0</v>
      </c>
      <c r="D159" s="137">
        <v>80</v>
      </c>
      <c r="E159" s="138">
        <v>27</v>
      </c>
      <c r="F159" s="137" t="s">
        <v>66</v>
      </c>
      <c r="G159" s="137">
        <v>140</v>
      </c>
      <c r="H159" s="137" t="s">
        <v>71</v>
      </c>
      <c r="I159" s="137" t="s">
        <v>73</v>
      </c>
      <c r="J159" s="139">
        <v>0</v>
      </c>
      <c r="K159" s="139">
        <v>5.7842586491409203E+18</v>
      </c>
    </row>
    <row r="160" spans="3:11">
      <c r="C160" s="24" t="b">
        <v>0</v>
      </c>
      <c r="D160" s="137">
        <v>81</v>
      </c>
      <c r="E160" s="138">
        <v>28</v>
      </c>
      <c r="F160" s="137" t="s">
        <v>66</v>
      </c>
      <c r="G160" s="137">
        <v>103</v>
      </c>
      <c r="H160" s="137" t="s">
        <v>67</v>
      </c>
      <c r="I160" s="137" t="s">
        <v>73</v>
      </c>
      <c r="J160" s="139">
        <v>0</v>
      </c>
      <c r="K160" s="139">
        <v>6.4873147248230799E+18</v>
      </c>
    </row>
    <row r="161" spans="3:11">
      <c r="C161" s="24" t="b">
        <v>0</v>
      </c>
      <c r="D161" s="137">
        <v>82</v>
      </c>
      <c r="E161" s="138">
        <v>28</v>
      </c>
      <c r="F161" s="137" t="s">
        <v>66</v>
      </c>
      <c r="G161" s="137">
        <v>124</v>
      </c>
      <c r="H161" s="137" t="s">
        <v>70</v>
      </c>
      <c r="I161" s="137" t="s">
        <v>73</v>
      </c>
      <c r="J161" s="139">
        <v>0</v>
      </c>
      <c r="K161" s="139">
        <v>1.27152432789703E+19</v>
      </c>
    </row>
    <row r="162" spans="3:11">
      <c r="C162" s="24" t="b">
        <v>0</v>
      </c>
      <c r="D162" s="137">
        <v>83</v>
      </c>
      <c r="E162" s="138">
        <v>28</v>
      </c>
      <c r="F162" s="137" t="s">
        <v>66</v>
      </c>
      <c r="G162" s="137">
        <v>140</v>
      </c>
      <c r="H162" s="137" t="s">
        <v>71</v>
      </c>
      <c r="I162" s="137" t="s">
        <v>73</v>
      </c>
      <c r="J162" s="139">
        <v>0</v>
      </c>
      <c r="K162" s="139">
        <v>1.2861248489878401E+19</v>
      </c>
    </row>
    <row r="163" spans="3:11">
      <c r="C163" s="24" t="b">
        <v>0</v>
      </c>
      <c r="D163" s="137">
        <v>84</v>
      </c>
      <c r="E163" s="138">
        <v>29</v>
      </c>
      <c r="F163" s="137" t="s">
        <v>66</v>
      </c>
      <c r="G163" s="137">
        <v>94</v>
      </c>
      <c r="H163" s="137" t="s">
        <v>67</v>
      </c>
      <c r="I163" s="137" t="s">
        <v>73</v>
      </c>
      <c r="J163" s="139">
        <v>0</v>
      </c>
      <c r="K163" s="139">
        <v>1.48636873170728E+19</v>
      </c>
    </row>
    <row r="164" spans="3:11">
      <c r="C164" s="24" t="b">
        <v>0</v>
      </c>
      <c r="D164" s="137">
        <v>85</v>
      </c>
      <c r="E164" s="138">
        <v>29</v>
      </c>
      <c r="F164" s="137" t="s">
        <v>66</v>
      </c>
      <c r="G164" s="137">
        <v>135</v>
      </c>
      <c r="H164" s="137" t="s">
        <v>70</v>
      </c>
      <c r="I164" s="137" t="s">
        <v>73</v>
      </c>
      <c r="J164" s="139">
        <v>0</v>
      </c>
      <c r="K164" s="139">
        <v>1.08465108333614E+19</v>
      </c>
    </row>
    <row r="165" spans="3:11">
      <c r="C165" s="24" t="b">
        <v>0</v>
      </c>
      <c r="D165" s="137">
        <v>86</v>
      </c>
      <c r="E165" s="138">
        <v>29</v>
      </c>
      <c r="F165" s="137" t="s">
        <v>66</v>
      </c>
      <c r="G165" s="137">
        <v>130</v>
      </c>
      <c r="H165" s="137" t="s">
        <v>71</v>
      </c>
      <c r="I165" s="137" t="s">
        <v>73</v>
      </c>
      <c r="J165" s="139">
        <v>0</v>
      </c>
      <c r="K165" s="139">
        <v>1.6263884940018999E+19</v>
      </c>
    </row>
    <row r="166" spans="3:11">
      <c r="C166" s="24" t="b">
        <v>0</v>
      </c>
      <c r="D166" s="137">
        <v>87</v>
      </c>
      <c r="E166" s="138">
        <v>30</v>
      </c>
      <c r="F166" s="137" t="s">
        <v>66</v>
      </c>
      <c r="G166" s="137">
        <v>99</v>
      </c>
      <c r="H166" s="137" t="s">
        <v>67</v>
      </c>
      <c r="I166" s="137" t="s">
        <v>73</v>
      </c>
      <c r="J166" s="139">
        <v>0</v>
      </c>
      <c r="K166" s="139">
        <v>5.1382829319186298E+17</v>
      </c>
    </row>
    <row r="167" spans="3:11">
      <c r="C167" s="24" t="b">
        <v>0</v>
      </c>
      <c r="D167" s="137">
        <v>88</v>
      </c>
      <c r="E167" s="138">
        <v>30</v>
      </c>
      <c r="F167" s="137" t="s">
        <v>66</v>
      </c>
      <c r="G167" s="137">
        <v>111</v>
      </c>
      <c r="H167" s="137" t="s">
        <v>70</v>
      </c>
      <c r="I167" s="137" t="s">
        <v>73</v>
      </c>
      <c r="J167" s="139">
        <v>0</v>
      </c>
      <c r="K167" s="139">
        <v>1.3797299388376101E+19</v>
      </c>
    </row>
    <row r="168" spans="3:11">
      <c r="C168" s="24" t="b">
        <v>0</v>
      </c>
      <c r="D168" s="137">
        <v>89</v>
      </c>
      <c r="E168" s="138">
        <v>30</v>
      </c>
      <c r="F168" s="137" t="s">
        <v>66</v>
      </c>
      <c r="G168" s="137">
        <v>150</v>
      </c>
      <c r="H168" s="137" t="s">
        <v>71</v>
      </c>
      <c r="I168" s="137" t="s">
        <v>73</v>
      </c>
      <c r="J168" s="139">
        <v>0</v>
      </c>
      <c r="K168" s="139">
        <v>6.2992826328411197E+18</v>
      </c>
    </row>
  </sheetData>
  <mergeCells count="1">
    <mergeCell ref="D15:E15"/>
  </mergeCells>
  <phoneticPr fontId="15" type="noConversion"/>
  <conditionalFormatting sqref="D22:F29 D35:F39 D45:F53">
    <cfRule type="cellIs" dxfId="264" priority="58" operator="equal">
      <formula>0</formula>
    </cfRule>
  </conditionalFormatting>
  <conditionalFormatting sqref="C79:C168">
    <cfRule type="cellIs" dxfId="263" priority="54" operator="equal">
      <formula>FALSE</formula>
    </cfRule>
    <cfRule type="cellIs" dxfId="262" priority="55" operator="notEqual">
      <formula>FALSE</formula>
    </cfRule>
  </conditionalFormatting>
  <conditionalFormatting sqref="D9:I9">
    <cfRule type="cellIs" dxfId="261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60" priority="29"/>
  </conditionalFormatting>
  <conditionalFormatting sqref="D7:I7">
    <cfRule type="cellIs" dxfId="259" priority="22" operator="notEqual">
      <formula>"Definition"</formula>
    </cfRule>
  </conditionalFormatting>
  <conditionalFormatting sqref="D15">
    <cfRule type="cellIs" dxfId="258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57" priority="52" operator="equal">
      <formula>FALSE</formula>
    </cfRule>
    <cfRule type="cellIs" dxfId="256" priority="53" operator="notEqual">
      <formula>FALSE</formula>
    </cfRule>
  </conditionalFormatting>
  <conditionalFormatting sqref="G22:I29 G35:I39 G45:I53">
    <cfRule type="cellIs" dxfId="242" priority="5" operator="equal">
      <formula>0</formula>
    </cfRule>
  </conditionalFormatting>
  <conditionalFormatting sqref="G23:I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I64">
    <cfRule type="cellIs" dxfId="241" priority="3" operator="equal">
      <formula>FALSE</formula>
    </cfRule>
    <cfRule type="cellIs" dxfId="240" priority="4" operator="notEqual">
      <formula>FALSE</formula>
    </cfRule>
  </conditionalFormatting>
  <conditionalFormatting sqref="J78:K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99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2.109375" bestFit="1" customWidth="1"/>
    <col min="4" max="4" width="7" bestFit="1" customWidth="1"/>
    <col min="5" max="5" width="8.6640625" bestFit="1" customWidth="1"/>
    <col min="6" max="6" width="9.88671875" bestFit="1" customWidth="1"/>
    <col min="7" max="7" width="9.21875" bestFit="1" customWidth="1"/>
    <col min="8" max="8" width="9.109375" bestFit="1" customWidth="1"/>
    <col min="9" max="10" width="15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exercise</v>
      </c>
      <c r="E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2" t="s">
        <v>56</v>
      </c>
      <c r="D8" s="141" t="s">
        <v>57</v>
      </c>
      <c r="E8" s="141" t="s">
        <v>58</v>
      </c>
      <c r="F8" s="141" t="s">
        <v>59</v>
      </c>
      <c r="G8" s="141" t="s">
        <v>60</v>
      </c>
      <c r="H8" s="141" t="s">
        <v>61</v>
      </c>
      <c r="I8" s="98" t="s">
        <v>52</v>
      </c>
      <c r="J8" s="98" t="s">
        <v>53</v>
      </c>
    </row>
    <row r="9" spans="2:17" ht="15" customHeight="1">
      <c r="C9" s="140">
        <v>0</v>
      </c>
      <c r="D9" s="91"/>
      <c r="E9" s="91"/>
      <c r="F9" s="91"/>
      <c r="G9" s="91"/>
      <c r="H9" s="91"/>
      <c r="I9" s="99">
        <v>0</v>
      </c>
      <c r="J9" s="143"/>
    </row>
    <row r="10" spans="2:17" ht="15" customHeight="1">
      <c r="C10" s="140">
        <v>1</v>
      </c>
      <c r="D10" s="91"/>
      <c r="E10" s="91"/>
      <c r="F10" s="91"/>
      <c r="G10" s="91"/>
      <c r="H10" s="91"/>
      <c r="I10" s="99">
        <v>0</v>
      </c>
      <c r="J10" s="143"/>
    </row>
    <row r="11" spans="2:17" ht="15" customHeight="1">
      <c r="C11" s="140">
        <v>2</v>
      </c>
      <c r="D11" s="91"/>
      <c r="E11" s="91"/>
      <c r="F11" s="91"/>
      <c r="G11" s="91"/>
      <c r="H11" s="91"/>
      <c r="I11" s="99">
        <v>0</v>
      </c>
      <c r="J11" s="143"/>
    </row>
    <row r="12" spans="2:17" ht="15" customHeight="1">
      <c r="C12" s="140">
        <v>3</v>
      </c>
      <c r="D12" s="91"/>
      <c r="E12" s="91"/>
      <c r="F12" s="91"/>
      <c r="G12" s="91"/>
      <c r="H12" s="91"/>
      <c r="I12" s="99">
        <v>0</v>
      </c>
      <c r="J12" s="143"/>
    </row>
    <row r="13" spans="2:17" ht="15" customHeight="1">
      <c r="C13" s="140">
        <v>4</v>
      </c>
      <c r="D13" s="91"/>
      <c r="E13" s="91"/>
      <c r="F13" s="91"/>
      <c r="G13" s="91"/>
      <c r="H13" s="91"/>
      <c r="I13" s="99">
        <v>0</v>
      </c>
      <c r="J13" s="143"/>
    </row>
    <row r="14" spans="2:17">
      <c r="C14" s="140">
        <v>5</v>
      </c>
      <c r="D14" s="91"/>
      <c r="E14" s="91"/>
      <c r="F14" s="91"/>
      <c r="G14" s="91"/>
      <c r="H14" s="91"/>
      <c r="I14" s="99">
        <v>0</v>
      </c>
      <c r="J14" s="143"/>
    </row>
    <row r="15" spans="2:17">
      <c r="C15" s="140">
        <v>6</v>
      </c>
      <c r="D15" s="91"/>
      <c r="E15" s="91"/>
      <c r="F15" s="91"/>
      <c r="G15" s="91"/>
      <c r="H15" s="91"/>
      <c r="I15" s="99">
        <v>0</v>
      </c>
      <c r="J15" s="143"/>
    </row>
    <row r="16" spans="2:17">
      <c r="C16" s="140">
        <v>7</v>
      </c>
      <c r="D16" s="91"/>
      <c r="E16" s="91"/>
      <c r="F16" s="91"/>
      <c r="G16" s="91"/>
      <c r="H16" s="91"/>
      <c r="I16" s="99">
        <v>0</v>
      </c>
      <c r="J16" s="143"/>
    </row>
    <row r="17" spans="3:10">
      <c r="C17" s="140">
        <v>8</v>
      </c>
      <c r="D17" s="91"/>
      <c r="E17" s="91"/>
      <c r="F17" s="91"/>
      <c r="G17" s="91"/>
      <c r="H17" s="91"/>
      <c r="I17" s="99">
        <v>0</v>
      </c>
      <c r="J17" s="143"/>
    </row>
    <row r="18" spans="3:10">
      <c r="C18" s="140">
        <v>9</v>
      </c>
      <c r="D18" s="91"/>
      <c r="E18" s="91"/>
      <c r="F18" s="91"/>
      <c r="G18" s="91"/>
      <c r="H18" s="91"/>
      <c r="I18" s="99">
        <v>0</v>
      </c>
      <c r="J18" s="143"/>
    </row>
    <row r="19" spans="3:10">
      <c r="C19" s="140">
        <v>10</v>
      </c>
      <c r="D19" s="91"/>
      <c r="E19" s="91"/>
      <c r="F19" s="91"/>
      <c r="G19" s="91"/>
      <c r="H19" s="91"/>
      <c r="I19" s="99">
        <v>0</v>
      </c>
      <c r="J19" s="143"/>
    </row>
    <row r="20" spans="3:10">
      <c r="C20" s="140">
        <v>11</v>
      </c>
      <c r="D20" s="91"/>
      <c r="E20" s="91"/>
      <c r="F20" s="91"/>
      <c r="G20" s="91"/>
      <c r="H20" s="91"/>
      <c r="I20" s="99">
        <v>0</v>
      </c>
      <c r="J20" s="143"/>
    </row>
    <row r="21" spans="3:10">
      <c r="C21" s="140">
        <v>12</v>
      </c>
      <c r="D21" s="91"/>
      <c r="E21" s="91"/>
      <c r="F21" s="91"/>
      <c r="G21" s="91"/>
      <c r="H21" s="91"/>
      <c r="I21" s="99">
        <v>0</v>
      </c>
      <c r="J21" s="143"/>
    </row>
    <row r="22" spans="3:10">
      <c r="C22" s="140">
        <v>13</v>
      </c>
      <c r="D22" s="91"/>
      <c r="E22" s="91"/>
      <c r="F22" s="91"/>
      <c r="G22" s="91"/>
      <c r="H22" s="91"/>
      <c r="I22" s="99">
        <v>0</v>
      </c>
      <c r="J22" s="143"/>
    </row>
    <row r="23" spans="3:10">
      <c r="C23" s="140">
        <v>14</v>
      </c>
      <c r="D23" s="91"/>
      <c r="E23" s="91"/>
      <c r="F23" s="91"/>
      <c r="G23" s="91"/>
      <c r="H23" s="91"/>
      <c r="I23" s="99">
        <v>0</v>
      </c>
      <c r="J23" s="143"/>
    </row>
    <row r="24" spans="3:10">
      <c r="C24" s="140">
        <v>15</v>
      </c>
      <c r="D24" s="91"/>
      <c r="E24" s="91"/>
      <c r="F24" s="91"/>
      <c r="G24" s="91"/>
      <c r="H24" s="91"/>
      <c r="I24" s="99">
        <v>0</v>
      </c>
      <c r="J24" s="143"/>
    </row>
    <row r="25" spans="3:10">
      <c r="C25" s="140">
        <v>16</v>
      </c>
      <c r="D25" s="91"/>
      <c r="E25" s="91"/>
      <c r="F25" s="91"/>
      <c r="G25" s="91"/>
      <c r="H25" s="91"/>
      <c r="I25" s="99">
        <v>0</v>
      </c>
      <c r="J25" s="143"/>
    </row>
    <row r="26" spans="3:10">
      <c r="C26" s="140">
        <v>17</v>
      </c>
      <c r="D26" s="91"/>
      <c r="E26" s="91"/>
      <c r="F26" s="91"/>
      <c r="G26" s="91"/>
      <c r="H26" s="91"/>
      <c r="I26" s="99">
        <v>0</v>
      </c>
      <c r="J26" s="143"/>
    </row>
    <row r="27" spans="3:10">
      <c r="C27" s="140">
        <v>18</v>
      </c>
      <c r="D27" s="91"/>
      <c r="E27" s="91"/>
      <c r="F27" s="91"/>
      <c r="G27" s="91"/>
      <c r="H27" s="91"/>
      <c r="I27" s="99">
        <v>0</v>
      </c>
      <c r="J27" s="143"/>
    </row>
    <row r="28" spans="3:10">
      <c r="C28" s="140">
        <v>19</v>
      </c>
      <c r="D28" s="91"/>
      <c r="E28" s="91"/>
      <c r="F28" s="91"/>
      <c r="G28" s="91"/>
      <c r="H28" s="91"/>
      <c r="I28" s="99">
        <v>0</v>
      </c>
      <c r="J28" s="143"/>
    </row>
    <row r="29" spans="3:10">
      <c r="C29" s="140">
        <v>20</v>
      </c>
      <c r="D29" s="91"/>
      <c r="E29" s="91"/>
      <c r="F29" s="91"/>
      <c r="G29" s="91"/>
      <c r="H29" s="91"/>
      <c r="I29" s="99">
        <v>0</v>
      </c>
      <c r="J29" s="143"/>
    </row>
    <row r="30" spans="3:10">
      <c r="C30" s="140">
        <v>21</v>
      </c>
      <c r="D30" s="91"/>
      <c r="E30" s="91"/>
      <c r="F30" s="91"/>
      <c r="G30" s="91"/>
      <c r="H30" s="91"/>
      <c r="I30" s="99">
        <v>0</v>
      </c>
      <c r="J30" s="143"/>
    </row>
    <row r="31" spans="3:10">
      <c r="C31" s="140">
        <v>22</v>
      </c>
      <c r="D31" s="91"/>
      <c r="E31" s="91"/>
      <c r="F31" s="91"/>
      <c r="G31" s="91"/>
      <c r="H31" s="91"/>
      <c r="I31" s="99">
        <v>0</v>
      </c>
      <c r="J31" s="143"/>
    </row>
    <row r="32" spans="3:10">
      <c r="C32" s="140">
        <v>23</v>
      </c>
      <c r="D32" s="91"/>
      <c r="E32" s="91"/>
      <c r="F32" s="91"/>
      <c r="G32" s="91"/>
      <c r="H32" s="91"/>
      <c r="I32" s="99">
        <v>0</v>
      </c>
      <c r="J32" s="143"/>
    </row>
    <row r="33" spans="3:10">
      <c r="C33" s="140">
        <v>24</v>
      </c>
      <c r="D33" s="91"/>
      <c r="E33" s="91"/>
      <c r="F33" s="91"/>
      <c r="G33" s="91"/>
      <c r="H33" s="91"/>
      <c r="I33" s="99">
        <v>0</v>
      </c>
      <c r="J33" s="143"/>
    </row>
    <row r="34" spans="3:10">
      <c r="C34" s="140">
        <v>25</v>
      </c>
      <c r="D34" s="91"/>
      <c r="E34" s="91"/>
      <c r="F34" s="91"/>
      <c r="G34" s="91"/>
      <c r="H34" s="91"/>
      <c r="I34" s="99">
        <v>0</v>
      </c>
      <c r="J34" s="143"/>
    </row>
    <row r="35" spans="3:10">
      <c r="C35" s="140">
        <v>26</v>
      </c>
      <c r="D35" s="91"/>
      <c r="E35" s="91"/>
      <c r="F35" s="91"/>
      <c r="G35" s="91"/>
      <c r="H35" s="91"/>
      <c r="I35" s="99">
        <v>0</v>
      </c>
      <c r="J35" s="143"/>
    </row>
    <row r="36" spans="3:10">
      <c r="C36" s="140">
        <v>27</v>
      </c>
      <c r="D36" s="91"/>
      <c r="E36" s="91"/>
      <c r="F36" s="91"/>
      <c r="G36" s="91"/>
      <c r="H36" s="91"/>
      <c r="I36" s="99">
        <v>0</v>
      </c>
      <c r="J36" s="143"/>
    </row>
    <row r="37" spans="3:10">
      <c r="C37" s="140">
        <v>28</v>
      </c>
      <c r="D37" s="91"/>
      <c r="E37" s="91"/>
      <c r="F37" s="91"/>
      <c r="G37" s="91"/>
      <c r="H37" s="91"/>
      <c r="I37" s="99">
        <v>0</v>
      </c>
      <c r="J37" s="143"/>
    </row>
    <row r="38" spans="3:10">
      <c r="C38" s="140">
        <v>29</v>
      </c>
      <c r="D38" s="91"/>
      <c r="E38" s="91"/>
      <c r="F38" s="91"/>
      <c r="G38" s="91"/>
      <c r="H38" s="91"/>
      <c r="I38" s="99">
        <v>0</v>
      </c>
      <c r="J38" s="143"/>
    </row>
    <row r="39" spans="3:10">
      <c r="C39" s="140">
        <v>30</v>
      </c>
      <c r="D39" s="91"/>
      <c r="E39" s="91"/>
      <c r="F39" s="91"/>
      <c r="G39" s="91"/>
      <c r="H39" s="91"/>
      <c r="I39" s="99">
        <v>0</v>
      </c>
      <c r="J39" s="143"/>
    </row>
    <row r="40" spans="3:10">
      <c r="C40" s="140">
        <v>31</v>
      </c>
      <c r="D40" s="91"/>
      <c r="E40" s="91"/>
      <c r="F40" s="91"/>
      <c r="G40" s="91"/>
      <c r="H40" s="91"/>
      <c r="I40" s="99">
        <v>0</v>
      </c>
      <c r="J40" s="143"/>
    </row>
    <row r="41" spans="3:10">
      <c r="C41" s="140">
        <v>32</v>
      </c>
      <c r="D41" s="91"/>
      <c r="E41" s="91"/>
      <c r="F41" s="91"/>
      <c r="G41" s="91"/>
      <c r="H41" s="91"/>
      <c r="I41" s="99">
        <v>0</v>
      </c>
      <c r="J41" s="143"/>
    </row>
    <row r="42" spans="3:10">
      <c r="C42" s="140">
        <v>33</v>
      </c>
      <c r="D42" s="91"/>
      <c r="E42" s="91"/>
      <c r="F42" s="91"/>
      <c r="G42" s="91"/>
      <c r="H42" s="91"/>
      <c r="I42" s="99">
        <v>0</v>
      </c>
      <c r="J42" s="143"/>
    </row>
    <row r="43" spans="3:10">
      <c r="C43" s="140">
        <v>34</v>
      </c>
      <c r="D43" s="91"/>
      <c r="E43" s="91"/>
      <c r="F43" s="91"/>
      <c r="G43" s="91"/>
      <c r="H43" s="91"/>
      <c r="I43" s="99">
        <v>0</v>
      </c>
      <c r="J43" s="143"/>
    </row>
    <row r="44" spans="3:10">
      <c r="C44" s="140">
        <v>35</v>
      </c>
      <c r="D44" s="91"/>
      <c r="E44" s="91"/>
      <c r="F44" s="91"/>
      <c r="G44" s="91"/>
      <c r="H44" s="91"/>
      <c r="I44" s="99">
        <v>0</v>
      </c>
      <c r="J44" s="143"/>
    </row>
    <row r="45" spans="3:10">
      <c r="C45" s="140">
        <v>36</v>
      </c>
      <c r="D45" s="91"/>
      <c r="E45" s="91"/>
      <c r="F45" s="91"/>
      <c r="G45" s="91"/>
      <c r="H45" s="91"/>
      <c r="I45" s="99">
        <v>0</v>
      </c>
      <c r="J45" s="143"/>
    </row>
    <row r="46" spans="3:10">
      <c r="C46" s="140">
        <v>37</v>
      </c>
      <c r="D46" s="91"/>
      <c r="E46" s="91"/>
      <c r="F46" s="91"/>
      <c r="G46" s="91"/>
      <c r="H46" s="91"/>
      <c r="I46" s="99">
        <v>0</v>
      </c>
      <c r="J46" s="143"/>
    </row>
    <row r="47" spans="3:10">
      <c r="C47" s="140">
        <v>38</v>
      </c>
      <c r="D47" s="91"/>
      <c r="E47" s="91"/>
      <c r="F47" s="91"/>
      <c r="G47" s="91"/>
      <c r="H47" s="91"/>
      <c r="I47" s="99">
        <v>0</v>
      </c>
      <c r="J47" s="143"/>
    </row>
    <row r="48" spans="3:10">
      <c r="C48" s="140">
        <v>39</v>
      </c>
      <c r="D48" s="91"/>
      <c r="E48" s="91"/>
      <c r="F48" s="91"/>
      <c r="G48" s="91"/>
      <c r="H48" s="91"/>
      <c r="I48" s="99">
        <v>0</v>
      </c>
      <c r="J48" s="143"/>
    </row>
    <row r="49" spans="3:10">
      <c r="C49" s="140">
        <v>40</v>
      </c>
      <c r="D49" s="91"/>
      <c r="E49" s="91"/>
      <c r="F49" s="91"/>
      <c r="G49" s="91"/>
      <c r="H49" s="91"/>
      <c r="I49" s="99">
        <v>0</v>
      </c>
      <c r="J49" s="143"/>
    </row>
    <row r="50" spans="3:10">
      <c r="C50" s="140">
        <v>41</v>
      </c>
      <c r="D50" s="91"/>
      <c r="E50" s="91"/>
      <c r="F50" s="91"/>
      <c r="G50" s="91"/>
      <c r="H50" s="91"/>
      <c r="I50" s="99">
        <v>0</v>
      </c>
      <c r="J50" s="143"/>
    </row>
    <row r="51" spans="3:10">
      <c r="C51" s="140">
        <v>42</v>
      </c>
      <c r="D51" s="91"/>
      <c r="E51" s="91"/>
      <c r="F51" s="91"/>
      <c r="G51" s="91"/>
      <c r="H51" s="91"/>
      <c r="I51" s="99">
        <v>0</v>
      </c>
      <c r="J51" s="143"/>
    </row>
    <row r="52" spans="3:10">
      <c r="C52" s="140">
        <v>43</v>
      </c>
      <c r="D52" s="91"/>
      <c r="E52" s="91"/>
      <c r="F52" s="91"/>
      <c r="G52" s="91"/>
      <c r="H52" s="91"/>
      <c r="I52" s="99">
        <v>0</v>
      </c>
      <c r="J52" s="143"/>
    </row>
    <row r="53" spans="3:10">
      <c r="C53" s="140">
        <v>44</v>
      </c>
      <c r="D53" s="91"/>
      <c r="E53" s="91"/>
      <c r="F53" s="91"/>
      <c r="G53" s="91"/>
      <c r="H53" s="91"/>
      <c r="I53" s="99">
        <v>0</v>
      </c>
      <c r="J53" s="143"/>
    </row>
    <row r="54" spans="3:10">
      <c r="C54" s="140">
        <v>45</v>
      </c>
      <c r="D54" s="91"/>
      <c r="E54" s="91"/>
      <c r="F54" s="91"/>
      <c r="G54" s="91"/>
      <c r="H54" s="91"/>
      <c r="I54" s="99">
        <v>0</v>
      </c>
      <c r="J54" s="143"/>
    </row>
    <row r="55" spans="3:10">
      <c r="C55" s="140">
        <v>46</v>
      </c>
      <c r="D55" s="91"/>
      <c r="E55" s="91"/>
      <c r="F55" s="91"/>
      <c r="G55" s="91"/>
      <c r="H55" s="91"/>
      <c r="I55" s="99">
        <v>0</v>
      </c>
      <c r="J55" s="143"/>
    </row>
    <row r="56" spans="3:10">
      <c r="C56" s="140">
        <v>47</v>
      </c>
      <c r="D56" s="91"/>
      <c r="E56" s="91"/>
      <c r="F56" s="91"/>
      <c r="G56" s="91"/>
      <c r="H56" s="91"/>
      <c r="I56" s="99">
        <v>0</v>
      </c>
      <c r="J56" s="143"/>
    </row>
    <row r="57" spans="3:10">
      <c r="C57" s="140">
        <v>48</v>
      </c>
      <c r="D57" s="91"/>
      <c r="E57" s="91"/>
      <c r="F57" s="91"/>
      <c r="G57" s="91"/>
      <c r="H57" s="91"/>
      <c r="I57" s="99">
        <v>0</v>
      </c>
      <c r="J57" s="143"/>
    </row>
    <row r="58" spans="3:10">
      <c r="C58" s="140">
        <v>49</v>
      </c>
      <c r="D58" s="91"/>
      <c r="E58" s="91"/>
      <c r="F58" s="91"/>
      <c r="G58" s="91"/>
      <c r="H58" s="91"/>
      <c r="I58" s="99">
        <v>0</v>
      </c>
      <c r="J58" s="143"/>
    </row>
    <row r="59" spans="3:10">
      <c r="C59" s="140">
        <v>50</v>
      </c>
      <c r="D59" s="91"/>
      <c r="E59" s="91"/>
      <c r="F59" s="91"/>
      <c r="G59" s="91"/>
      <c r="H59" s="91"/>
      <c r="I59" s="99">
        <v>0</v>
      </c>
      <c r="J59" s="143"/>
    </row>
    <row r="60" spans="3:10">
      <c r="C60" s="140">
        <v>51</v>
      </c>
      <c r="D60" s="91"/>
      <c r="E60" s="91"/>
      <c r="F60" s="91"/>
      <c r="G60" s="91"/>
      <c r="H60" s="91"/>
      <c r="I60" s="99">
        <v>0</v>
      </c>
      <c r="J60" s="143"/>
    </row>
    <row r="61" spans="3:10">
      <c r="C61" s="140">
        <v>52</v>
      </c>
      <c r="D61" s="91"/>
      <c r="E61" s="91"/>
      <c r="F61" s="91"/>
      <c r="G61" s="91"/>
      <c r="H61" s="91"/>
      <c r="I61" s="99">
        <v>0</v>
      </c>
      <c r="J61" s="143"/>
    </row>
    <row r="62" spans="3:10">
      <c r="C62" s="140">
        <v>53</v>
      </c>
      <c r="D62" s="91"/>
      <c r="E62" s="91"/>
      <c r="F62" s="91"/>
      <c r="G62" s="91"/>
      <c r="H62" s="91"/>
      <c r="I62" s="99">
        <v>0</v>
      </c>
      <c r="J62" s="143"/>
    </row>
    <row r="63" spans="3:10">
      <c r="C63" s="140">
        <v>54</v>
      </c>
      <c r="D63" s="91"/>
      <c r="E63" s="91"/>
      <c r="F63" s="91"/>
      <c r="G63" s="91"/>
      <c r="H63" s="91"/>
      <c r="I63" s="99">
        <v>0</v>
      </c>
      <c r="J63" s="143"/>
    </row>
    <row r="64" spans="3:10">
      <c r="C64" s="140">
        <v>55</v>
      </c>
      <c r="D64" s="91"/>
      <c r="E64" s="91"/>
      <c r="F64" s="91"/>
      <c r="G64" s="91"/>
      <c r="H64" s="91"/>
      <c r="I64" s="99">
        <v>0</v>
      </c>
      <c r="J64" s="143"/>
    </row>
    <row r="65" spans="3:10">
      <c r="C65" s="140">
        <v>56</v>
      </c>
      <c r="D65" s="91"/>
      <c r="E65" s="91"/>
      <c r="F65" s="91"/>
      <c r="G65" s="91"/>
      <c r="H65" s="91"/>
      <c r="I65" s="99">
        <v>0</v>
      </c>
      <c r="J65" s="143"/>
    </row>
    <row r="66" spans="3:10">
      <c r="C66" s="140">
        <v>57</v>
      </c>
      <c r="D66" s="91"/>
      <c r="E66" s="91"/>
      <c r="F66" s="91"/>
      <c r="G66" s="91"/>
      <c r="H66" s="91"/>
      <c r="I66" s="99">
        <v>0</v>
      </c>
      <c r="J66" s="143"/>
    </row>
    <row r="67" spans="3:10">
      <c r="C67" s="140">
        <v>58</v>
      </c>
      <c r="D67" s="91"/>
      <c r="E67" s="91"/>
      <c r="F67" s="91"/>
      <c r="G67" s="91"/>
      <c r="H67" s="91"/>
      <c r="I67" s="99">
        <v>0</v>
      </c>
      <c r="J67" s="143"/>
    </row>
    <row r="68" spans="3:10">
      <c r="C68" s="140">
        <v>59</v>
      </c>
      <c r="D68" s="91"/>
      <c r="E68" s="91"/>
      <c r="F68" s="91"/>
      <c r="G68" s="91"/>
      <c r="H68" s="91"/>
      <c r="I68" s="99">
        <v>0</v>
      </c>
      <c r="J68" s="143"/>
    </row>
    <row r="69" spans="3:10">
      <c r="C69" s="140">
        <v>60</v>
      </c>
      <c r="D69" s="91"/>
      <c r="E69" s="91"/>
      <c r="F69" s="91"/>
      <c r="G69" s="91"/>
      <c r="H69" s="91"/>
      <c r="I69" s="99">
        <v>0</v>
      </c>
      <c r="J69" s="143"/>
    </row>
    <row r="70" spans="3:10">
      <c r="C70" s="140">
        <v>61</v>
      </c>
      <c r="D70" s="91"/>
      <c r="E70" s="91"/>
      <c r="F70" s="91"/>
      <c r="G70" s="91"/>
      <c r="H70" s="91"/>
      <c r="I70" s="99">
        <v>0</v>
      </c>
      <c r="J70" s="143"/>
    </row>
    <row r="71" spans="3:10">
      <c r="C71" s="140">
        <v>62</v>
      </c>
      <c r="D71" s="91"/>
      <c r="E71" s="91"/>
      <c r="F71" s="91"/>
      <c r="G71" s="91"/>
      <c r="H71" s="91"/>
      <c r="I71" s="99">
        <v>0</v>
      </c>
      <c r="J71" s="143"/>
    </row>
    <row r="72" spans="3:10">
      <c r="C72" s="140">
        <v>63</v>
      </c>
      <c r="D72" s="91"/>
      <c r="E72" s="91"/>
      <c r="F72" s="91"/>
      <c r="G72" s="91"/>
      <c r="H72" s="91"/>
      <c r="I72" s="99">
        <v>0</v>
      </c>
      <c r="J72" s="143"/>
    </row>
    <row r="73" spans="3:10">
      <c r="C73" s="140">
        <v>64</v>
      </c>
      <c r="D73" s="91"/>
      <c r="E73" s="91"/>
      <c r="F73" s="91"/>
      <c r="G73" s="91"/>
      <c r="H73" s="91"/>
      <c r="I73" s="99">
        <v>0</v>
      </c>
      <c r="J73" s="143"/>
    </row>
    <row r="74" spans="3:10">
      <c r="C74" s="140">
        <v>65</v>
      </c>
      <c r="D74" s="91"/>
      <c r="E74" s="91"/>
      <c r="F74" s="91"/>
      <c r="G74" s="91"/>
      <c r="H74" s="91"/>
      <c r="I74" s="99">
        <v>0</v>
      </c>
      <c r="J74" s="143"/>
    </row>
    <row r="75" spans="3:10">
      <c r="C75" s="140">
        <v>66</v>
      </c>
      <c r="D75" s="91"/>
      <c r="E75" s="91"/>
      <c r="F75" s="91"/>
      <c r="G75" s="91"/>
      <c r="H75" s="91"/>
      <c r="I75" s="99">
        <v>0</v>
      </c>
      <c r="J75" s="143"/>
    </row>
    <row r="76" spans="3:10">
      <c r="C76" s="140">
        <v>67</v>
      </c>
      <c r="D76" s="91"/>
      <c r="E76" s="91"/>
      <c r="F76" s="91"/>
      <c r="G76" s="91"/>
      <c r="H76" s="91"/>
      <c r="I76" s="99">
        <v>0</v>
      </c>
      <c r="J76" s="143"/>
    </row>
    <row r="77" spans="3:10">
      <c r="C77" s="140">
        <v>68</v>
      </c>
      <c r="D77" s="91"/>
      <c r="E77" s="91"/>
      <c r="F77" s="91"/>
      <c r="G77" s="91"/>
      <c r="H77" s="91"/>
      <c r="I77" s="99">
        <v>0</v>
      </c>
      <c r="J77" s="143"/>
    </row>
    <row r="78" spans="3:10">
      <c r="C78" s="140">
        <v>69</v>
      </c>
      <c r="D78" s="91"/>
      <c r="E78" s="91"/>
      <c r="F78" s="91"/>
      <c r="G78" s="91"/>
      <c r="H78" s="91"/>
      <c r="I78" s="99">
        <v>0</v>
      </c>
      <c r="J78" s="143"/>
    </row>
    <row r="79" spans="3:10">
      <c r="C79" s="140">
        <v>70</v>
      </c>
      <c r="D79" s="91"/>
      <c r="E79" s="91"/>
      <c r="F79" s="91"/>
      <c r="G79" s="91"/>
      <c r="H79" s="91"/>
      <c r="I79" s="99">
        <v>0</v>
      </c>
      <c r="J79" s="143"/>
    </row>
    <row r="80" spans="3:10">
      <c r="C80" s="140">
        <v>71</v>
      </c>
      <c r="D80" s="91"/>
      <c r="E80" s="91"/>
      <c r="F80" s="91"/>
      <c r="G80" s="91"/>
      <c r="H80" s="91"/>
      <c r="I80" s="99">
        <v>0</v>
      </c>
      <c r="J80" s="143"/>
    </row>
    <row r="81" spans="3:10">
      <c r="C81" s="140">
        <v>72</v>
      </c>
      <c r="D81" s="91"/>
      <c r="E81" s="91"/>
      <c r="F81" s="91"/>
      <c r="G81" s="91"/>
      <c r="H81" s="91"/>
      <c r="I81" s="99">
        <v>0</v>
      </c>
      <c r="J81" s="143"/>
    </row>
    <row r="82" spans="3:10">
      <c r="C82" s="140">
        <v>73</v>
      </c>
      <c r="D82" s="91"/>
      <c r="E82" s="91"/>
      <c r="F82" s="91"/>
      <c r="G82" s="91"/>
      <c r="H82" s="91"/>
      <c r="I82" s="99">
        <v>0</v>
      </c>
      <c r="J82" s="143"/>
    </row>
    <row r="83" spans="3:10">
      <c r="C83" s="140">
        <v>74</v>
      </c>
      <c r="D83" s="91"/>
      <c r="E83" s="91"/>
      <c r="F83" s="91"/>
      <c r="G83" s="91"/>
      <c r="H83" s="91"/>
      <c r="I83" s="99">
        <v>0</v>
      </c>
      <c r="J83" s="143"/>
    </row>
    <row r="84" spans="3:10">
      <c r="C84" s="140">
        <v>75</v>
      </c>
      <c r="D84" s="91"/>
      <c r="E84" s="91"/>
      <c r="F84" s="91"/>
      <c r="G84" s="91"/>
      <c r="H84" s="91"/>
      <c r="I84" s="99">
        <v>0</v>
      </c>
      <c r="J84" s="143"/>
    </row>
    <row r="85" spans="3:10">
      <c r="C85" s="140">
        <v>76</v>
      </c>
      <c r="D85" s="91"/>
      <c r="E85" s="91"/>
      <c r="F85" s="91"/>
      <c r="G85" s="91"/>
      <c r="H85" s="91"/>
      <c r="I85" s="99">
        <v>0</v>
      </c>
      <c r="J85" s="143"/>
    </row>
    <row r="86" spans="3:10">
      <c r="C86" s="140">
        <v>77</v>
      </c>
      <c r="D86" s="91"/>
      <c r="E86" s="91"/>
      <c r="F86" s="91"/>
      <c r="G86" s="91"/>
      <c r="H86" s="91"/>
      <c r="I86" s="99">
        <v>0</v>
      </c>
      <c r="J86" s="143"/>
    </row>
    <row r="87" spans="3:10">
      <c r="C87" s="140">
        <v>78</v>
      </c>
      <c r="D87" s="91"/>
      <c r="E87" s="91"/>
      <c r="F87" s="91"/>
      <c r="G87" s="91"/>
      <c r="H87" s="91"/>
      <c r="I87" s="99">
        <v>0</v>
      </c>
      <c r="J87" s="143"/>
    </row>
    <row r="88" spans="3:10">
      <c r="C88" s="140">
        <v>79</v>
      </c>
      <c r="D88" s="91"/>
      <c r="E88" s="91"/>
      <c r="F88" s="91"/>
      <c r="G88" s="91"/>
      <c r="H88" s="91"/>
      <c r="I88" s="99">
        <v>0</v>
      </c>
      <c r="J88" s="143"/>
    </row>
    <row r="89" spans="3:10">
      <c r="C89" s="140">
        <v>80</v>
      </c>
      <c r="D89" s="91"/>
      <c r="E89" s="91"/>
      <c r="F89" s="91"/>
      <c r="G89" s="91"/>
      <c r="H89" s="91"/>
      <c r="I89" s="99">
        <v>0</v>
      </c>
      <c r="J89" s="143"/>
    </row>
    <row r="90" spans="3:10">
      <c r="C90" s="140">
        <v>81</v>
      </c>
      <c r="D90" s="91"/>
      <c r="E90" s="91"/>
      <c r="F90" s="91"/>
      <c r="G90" s="91"/>
      <c r="H90" s="91"/>
      <c r="I90" s="99">
        <v>0</v>
      </c>
      <c r="J90" s="143"/>
    </row>
    <row r="91" spans="3:10">
      <c r="C91" s="140">
        <v>82</v>
      </c>
      <c r="D91" s="91"/>
      <c r="E91" s="91"/>
      <c r="F91" s="91"/>
      <c r="G91" s="91"/>
      <c r="H91" s="91"/>
      <c r="I91" s="99">
        <v>0</v>
      </c>
      <c r="J91" s="143"/>
    </row>
    <row r="92" spans="3:10">
      <c r="C92" s="140">
        <v>83</v>
      </c>
      <c r="D92" s="91"/>
      <c r="E92" s="91"/>
      <c r="F92" s="91"/>
      <c r="G92" s="91"/>
      <c r="H92" s="91"/>
      <c r="I92" s="99">
        <v>0</v>
      </c>
      <c r="J92" s="143"/>
    </row>
    <row r="93" spans="3:10">
      <c r="C93" s="140">
        <v>84</v>
      </c>
      <c r="D93" s="91"/>
      <c r="E93" s="91"/>
      <c r="F93" s="91"/>
      <c r="G93" s="91"/>
      <c r="H93" s="91"/>
      <c r="I93" s="99">
        <v>0</v>
      </c>
      <c r="J93" s="143"/>
    </row>
    <row r="94" spans="3:10">
      <c r="C94" s="140">
        <v>85</v>
      </c>
      <c r="D94" s="91"/>
      <c r="E94" s="91"/>
      <c r="F94" s="91"/>
      <c r="G94" s="91"/>
      <c r="H94" s="91"/>
      <c r="I94" s="99">
        <v>0</v>
      </c>
      <c r="J94" s="143"/>
    </row>
    <row r="95" spans="3:10">
      <c r="C95" s="140">
        <v>86</v>
      </c>
      <c r="D95" s="91"/>
      <c r="E95" s="91"/>
      <c r="F95" s="91"/>
      <c r="G95" s="91"/>
      <c r="H95" s="91"/>
      <c r="I95" s="99">
        <v>0</v>
      </c>
      <c r="J95" s="143"/>
    </row>
    <row r="96" spans="3:10">
      <c r="C96" s="140">
        <v>87</v>
      </c>
      <c r="D96" s="91"/>
      <c r="E96" s="91"/>
      <c r="F96" s="91"/>
      <c r="G96" s="91"/>
      <c r="H96" s="91"/>
      <c r="I96" s="99">
        <v>0</v>
      </c>
      <c r="J96" s="143"/>
    </row>
    <row r="97" spans="3:10">
      <c r="C97" s="140">
        <v>88</v>
      </c>
      <c r="D97" s="91"/>
      <c r="E97" s="91"/>
      <c r="F97" s="91"/>
      <c r="G97" s="91"/>
      <c r="H97" s="91"/>
      <c r="I97" s="99">
        <v>0</v>
      </c>
      <c r="J97" s="143"/>
    </row>
    <row r="98" spans="3:10">
      <c r="C98" s="140">
        <v>89</v>
      </c>
      <c r="D98" s="91"/>
      <c r="E98" s="91"/>
      <c r="F98" s="91"/>
      <c r="G98" s="91"/>
      <c r="H98" s="91"/>
      <c r="I98" s="99">
        <v>0</v>
      </c>
      <c r="J98" s="143"/>
    </row>
    <row r="99" spans="3:10">
      <c r="C99" s="140" t="s">
        <v>74</v>
      </c>
      <c r="D99" s="91"/>
      <c r="E99" s="91"/>
      <c r="F99" s="91"/>
      <c r="G99" s="91"/>
      <c r="H99" s="91"/>
      <c r="I99" s="99">
        <v>0</v>
      </c>
      <c r="J99" s="143"/>
    </row>
  </sheetData>
  <conditionalFormatting pivot="1" sqref="I9:I99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J9:J99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99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3.5546875" bestFit="1" customWidth="1"/>
    <col min="4" max="4" width="7" bestFit="1" customWidth="1"/>
    <col min="5" max="5" width="8.6640625" bestFit="1" customWidth="1"/>
    <col min="6" max="6" width="9.88671875" bestFit="1" customWidth="1"/>
    <col min="7" max="7" width="9.21875" bestFit="1" customWidth="1"/>
    <col min="8" max="8" width="9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exercise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2" t="s">
        <v>56</v>
      </c>
      <c r="D8" s="141" t="s">
        <v>57</v>
      </c>
      <c r="E8" s="141" t="s">
        <v>58</v>
      </c>
      <c r="F8" s="141" t="s">
        <v>59</v>
      </c>
      <c r="G8" s="141" t="s">
        <v>60</v>
      </c>
      <c r="H8" s="141" t="s">
        <v>61</v>
      </c>
    </row>
    <row r="9" spans="2:17" ht="15" customHeight="1">
      <c r="C9" s="140">
        <v>0</v>
      </c>
      <c r="D9" s="91"/>
      <c r="E9" s="91"/>
      <c r="F9" s="91"/>
      <c r="G9" s="91"/>
      <c r="H9" s="91"/>
    </row>
    <row r="10" spans="2:17" ht="15" customHeight="1">
      <c r="C10" s="140">
        <v>1</v>
      </c>
      <c r="D10" s="91"/>
      <c r="E10" s="91"/>
      <c r="F10" s="91"/>
      <c r="G10" s="91"/>
      <c r="H10" s="91"/>
    </row>
    <row r="11" spans="2:17" ht="15" customHeight="1">
      <c r="C11" s="140">
        <v>2</v>
      </c>
      <c r="D11" s="91"/>
      <c r="E11" s="91"/>
      <c r="F11" s="91"/>
      <c r="G11" s="91"/>
      <c r="H11" s="91"/>
    </row>
    <row r="12" spans="2:17" ht="15" customHeight="1">
      <c r="C12" s="140">
        <v>3</v>
      </c>
      <c r="D12" s="91"/>
      <c r="E12" s="91"/>
      <c r="F12" s="91"/>
      <c r="G12" s="91"/>
      <c r="H12" s="91"/>
    </row>
    <row r="13" spans="2:17" ht="15" customHeight="1">
      <c r="C13" s="140">
        <v>4</v>
      </c>
      <c r="D13" s="91"/>
      <c r="E13" s="91"/>
      <c r="F13" s="91"/>
      <c r="G13" s="91"/>
      <c r="H13" s="91"/>
    </row>
    <row r="14" spans="2:17">
      <c r="C14" s="140">
        <v>5</v>
      </c>
      <c r="D14" s="91"/>
      <c r="E14" s="91"/>
      <c r="F14" s="91"/>
      <c r="G14" s="91"/>
      <c r="H14" s="91"/>
    </row>
    <row r="15" spans="2:17">
      <c r="C15" s="140">
        <v>6</v>
      </c>
      <c r="D15" s="91"/>
      <c r="E15" s="91"/>
      <c r="F15" s="91"/>
      <c r="G15" s="91"/>
      <c r="H15" s="91"/>
    </row>
    <row r="16" spans="2:17">
      <c r="C16" s="140">
        <v>7</v>
      </c>
      <c r="D16" s="91"/>
      <c r="E16" s="91"/>
      <c r="F16" s="91"/>
      <c r="G16" s="91"/>
      <c r="H16" s="91"/>
    </row>
    <row r="17" spans="3:8">
      <c r="C17" s="140">
        <v>8</v>
      </c>
      <c r="D17" s="91"/>
      <c r="E17" s="91"/>
      <c r="F17" s="91"/>
      <c r="G17" s="91"/>
      <c r="H17" s="91"/>
    </row>
    <row r="18" spans="3:8">
      <c r="C18" s="140">
        <v>9</v>
      </c>
      <c r="D18" s="91"/>
      <c r="E18" s="91"/>
      <c r="F18" s="91"/>
      <c r="G18" s="91"/>
      <c r="H18" s="91"/>
    </row>
    <row r="19" spans="3:8">
      <c r="C19" s="140">
        <v>10</v>
      </c>
      <c r="D19" s="91"/>
      <c r="E19" s="91"/>
      <c r="F19" s="91"/>
      <c r="G19" s="91"/>
      <c r="H19" s="91"/>
    </row>
    <row r="20" spans="3:8">
      <c r="C20" s="140">
        <v>11</v>
      </c>
      <c r="D20" s="91"/>
      <c r="E20" s="91"/>
      <c r="F20" s="91"/>
      <c r="G20" s="91"/>
      <c r="H20" s="91"/>
    </row>
    <row r="21" spans="3:8">
      <c r="C21" s="140">
        <v>12</v>
      </c>
      <c r="D21" s="91"/>
      <c r="E21" s="91"/>
      <c r="F21" s="91"/>
      <c r="G21" s="91"/>
      <c r="H21" s="91"/>
    </row>
    <row r="22" spans="3:8">
      <c r="C22" s="140">
        <v>13</v>
      </c>
      <c r="D22" s="91"/>
      <c r="E22" s="91"/>
      <c r="F22" s="91"/>
      <c r="G22" s="91"/>
      <c r="H22" s="91"/>
    </row>
    <row r="23" spans="3:8">
      <c r="C23" s="140">
        <v>14</v>
      </c>
      <c r="D23" s="91"/>
      <c r="E23" s="91"/>
      <c r="F23" s="91"/>
      <c r="G23" s="91"/>
      <c r="H23" s="91"/>
    </row>
    <row r="24" spans="3:8">
      <c r="C24" s="140">
        <v>15</v>
      </c>
      <c r="D24" s="91"/>
      <c r="E24" s="91"/>
      <c r="F24" s="91"/>
      <c r="G24" s="91"/>
      <c r="H24" s="91"/>
    </row>
    <row r="25" spans="3:8">
      <c r="C25" s="140">
        <v>16</v>
      </c>
      <c r="D25" s="91"/>
      <c r="E25" s="91"/>
      <c r="F25" s="91"/>
      <c r="G25" s="91"/>
      <c r="H25" s="91"/>
    </row>
    <row r="26" spans="3:8">
      <c r="C26" s="140">
        <v>17</v>
      </c>
      <c r="D26" s="91"/>
      <c r="E26" s="91"/>
      <c r="F26" s="91"/>
      <c r="G26" s="91"/>
      <c r="H26" s="91"/>
    </row>
    <row r="27" spans="3:8">
      <c r="C27" s="140">
        <v>18</v>
      </c>
      <c r="D27" s="91"/>
      <c r="E27" s="91"/>
      <c r="F27" s="91"/>
      <c r="G27" s="91"/>
      <c r="H27" s="91"/>
    </row>
    <row r="28" spans="3:8">
      <c r="C28" s="140">
        <v>19</v>
      </c>
      <c r="D28" s="91"/>
      <c r="E28" s="91"/>
      <c r="F28" s="91"/>
      <c r="G28" s="91"/>
      <c r="H28" s="91"/>
    </row>
    <row r="29" spans="3:8">
      <c r="C29" s="140">
        <v>20</v>
      </c>
      <c r="D29" s="91"/>
      <c r="E29" s="91"/>
      <c r="F29" s="91"/>
      <c r="G29" s="91"/>
      <c r="H29" s="91"/>
    </row>
    <row r="30" spans="3:8">
      <c r="C30" s="140">
        <v>21</v>
      </c>
      <c r="D30" s="91"/>
      <c r="E30" s="91"/>
      <c r="F30" s="91"/>
      <c r="G30" s="91"/>
      <c r="H30" s="91"/>
    </row>
    <row r="31" spans="3:8">
      <c r="C31" s="140">
        <v>22</v>
      </c>
      <c r="D31" s="91"/>
      <c r="E31" s="91"/>
      <c r="F31" s="91"/>
      <c r="G31" s="91"/>
      <c r="H31" s="91"/>
    </row>
    <row r="32" spans="3:8">
      <c r="C32" s="140">
        <v>23</v>
      </c>
      <c r="D32" s="91"/>
      <c r="E32" s="91"/>
      <c r="F32" s="91"/>
      <c r="G32" s="91"/>
      <c r="H32" s="91"/>
    </row>
    <row r="33" spans="3:8">
      <c r="C33" s="140">
        <v>24</v>
      </c>
      <c r="D33" s="91"/>
      <c r="E33" s="91"/>
      <c r="F33" s="91"/>
      <c r="G33" s="91"/>
      <c r="H33" s="91"/>
    </row>
    <row r="34" spans="3:8">
      <c r="C34" s="140">
        <v>25</v>
      </c>
      <c r="D34" s="91"/>
      <c r="E34" s="91"/>
      <c r="F34" s="91"/>
      <c r="G34" s="91"/>
      <c r="H34" s="91"/>
    </row>
    <row r="35" spans="3:8">
      <c r="C35" s="140">
        <v>26</v>
      </c>
      <c r="D35" s="91"/>
      <c r="E35" s="91"/>
      <c r="F35" s="91"/>
      <c r="G35" s="91"/>
      <c r="H35" s="91"/>
    </row>
    <row r="36" spans="3:8">
      <c r="C36" s="140">
        <v>27</v>
      </c>
      <c r="D36" s="91"/>
      <c r="E36" s="91"/>
      <c r="F36" s="91"/>
      <c r="G36" s="91"/>
      <c r="H36" s="91"/>
    </row>
    <row r="37" spans="3:8">
      <c r="C37" s="140">
        <v>28</v>
      </c>
      <c r="D37" s="91"/>
      <c r="E37" s="91"/>
      <c r="F37" s="91"/>
      <c r="G37" s="91"/>
      <c r="H37" s="91"/>
    </row>
    <row r="38" spans="3:8">
      <c r="C38" s="140">
        <v>29</v>
      </c>
      <c r="D38" s="91"/>
      <c r="E38" s="91"/>
      <c r="F38" s="91"/>
      <c r="G38" s="91"/>
      <c r="H38" s="91"/>
    </row>
    <row r="39" spans="3:8">
      <c r="C39" s="140">
        <v>30</v>
      </c>
      <c r="D39" s="91"/>
      <c r="E39" s="91"/>
      <c r="F39" s="91"/>
      <c r="G39" s="91"/>
      <c r="H39" s="91"/>
    </row>
    <row r="40" spans="3:8">
      <c r="C40" s="140">
        <v>31</v>
      </c>
      <c r="D40" s="91"/>
      <c r="E40" s="91"/>
      <c r="F40" s="91"/>
      <c r="G40" s="91"/>
      <c r="H40" s="91"/>
    </row>
    <row r="41" spans="3:8">
      <c r="C41" s="140">
        <v>32</v>
      </c>
      <c r="D41" s="91"/>
      <c r="E41" s="91"/>
      <c r="F41" s="91"/>
      <c r="G41" s="91"/>
      <c r="H41" s="91"/>
    </row>
    <row r="42" spans="3:8">
      <c r="C42" s="140">
        <v>33</v>
      </c>
      <c r="D42" s="91"/>
      <c r="E42" s="91"/>
      <c r="F42" s="91"/>
      <c r="G42" s="91"/>
      <c r="H42" s="91"/>
    </row>
    <row r="43" spans="3:8">
      <c r="C43" s="140">
        <v>34</v>
      </c>
      <c r="D43" s="91"/>
      <c r="E43" s="91"/>
      <c r="F43" s="91"/>
      <c r="G43" s="91"/>
      <c r="H43" s="91"/>
    </row>
    <row r="44" spans="3:8">
      <c r="C44" s="140">
        <v>35</v>
      </c>
      <c r="D44" s="91"/>
      <c r="E44" s="91"/>
      <c r="F44" s="91"/>
      <c r="G44" s="91"/>
      <c r="H44" s="91"/>
    </row>
    <row r="45" spans="3:8">
      <c r="C45" s="140">
        <v>36</v>
      </c>
      <c r="D45" s="91"/>
      <c r="E45" s="91"/>
      <c r="F45" s="91"/>
      <c r="G45" s="91"/>
      <c r="H45" s="91"/>
    </row>
    <row r="46" spans="3:8">
      <c r="C46" s="140">
        <v>37</v>
      </c>
      <c r="D46" s="91"/>
      <c r="E46" s="91"/>
      <c r="F46" s="91"/>
      <c r="G46" s="91"/>
      <c r="H46" s="91"/>
    </row>
    <row r="47" spans="3:8">
      <c r="C47" s="140">
        <v>38</v>
      </c>
      <c r="D47" s="91"/>
      <c r="E47" s="91"/>
      <c r="F47" s="91"/>
      <c r="G47" s="91"/>
      <c r="H47" s="91"/>
    </row>
    <row r="48" spans="3:8">
      <c r="C48" s="140">
        <v>39</v>
      </c>
      <c r="D48" s="91"/>
      <c r="E48" s="91"/>
      <c r="F48" s="91"/>
      <c r="G48" s="91"/>
      <c r="H48" s="91"/>
    </row>
    <row r="49" spans="3:8">
      <c r="C49" s="140">
        <v>40</v>
      </c>
      <c r="D49" s="91"/>
      <c r="E49" s="91"/>
      <c r="F49" s="91"/>
      <c r="G49" s="91"/>
      <c r="H49" s="91"/>
    </row>
    <row r="50" spans="3:8">
      <c r="C50" s="140">
        <v>41</v>
      </c>
      <c r="D50" s="91"/>
      <c r="E50" s="91"/>
      <c r="F50" s="91"/>
      <c r="G50" s="91"/>
      <c r="H50" s="91"/>
    </row>
    <row r="51" spans="3:8">
      <c r="C51" s="140">
        <v>42</v>
      </c>
      <c r="D51" s="91"/>
      <c r="E51" s="91"/>
      <c r="F51" s="91"/>
      <c r="G51" s="91"/>
      <c r="H51" s="91"/>
    </row>
    <row r="52" spans="3:8">
      <c r="C52" s="140">
        <v>43</v>
      </c>
      <c r="D52" s="91"/>
      <c r="E52" s="91"/>
      <c r="F52" s="91"/>
      <c r="G52" s="91"/>
      <c r="H52" s="91"/>
    </row>
    <row r="53" spans="3:8">
      <c r="C53" s="140">
        <v>44</v>
      </c>
      <c r="D53" s="91"/>
      <c r="E53" s="91"/>
      <c r="F53" s="91"/>
      <c r="G53" s="91"/>
      <c r="H53" s="91"/>
    </row>
    <row r="54" spans="3:8">
      <c r="C54" s="140">
        <v>45</v>
      </c>
      <c r="D54" s="91"/>
      <c r="E54" s="91"/>
      <c r="F54" s="91"/>
      <c r="G54" s="91"/>
      <c r="H54" s="91"/>
    </row>
    <row r="55" spans="3:8">
      <c r="C55" s="140">
        <v>46</v>
      </c>
      <c r="D55" s="91"/>
      <c r="E55" s="91"/>
      <c r="F55" s="91"/>
      <c r="G55" s="91"/>
      <c r="H55" s="91"/>
    </row>
    <row r="56" spans="3:8">
      <c r="C56" s="140">
        <v>47</v>
      </c>
      <c r="D56" s="91"/>
      <c r="E56" s="91"/>
      <c r="F56" s="91"/>
      <c r="G56" s="91"/>
      <c r="H56" s="91"/>
    </row>
    <row r="57" spans="3:8">
      <c r="C57" s="140">
        <v>48</v>
      </c>
      <c r="D57" s="91"/>
      <c r="E57" s="91"/>
      <c r="F57" s="91"/>
      <c r="G57" s="91"/>
      <c r="H57" s="91"/>
    </row>
    <row r="58" spans="3:8">
      <c r="C58" s="140">
        <v>49</v>
      </c>
      <c r="D58" s="91"/>
      <c r="E58" s="91"/>
      <c r="F58" s="91"/>
      <c r="G58" s="91"/>
      <c r="H58" s="91"/>
    </row>
    <row r="59" spans="3:8">
      <c r="C59" s="140">
        <v>50</v>
      </c>
      <c r="D59" s="91"/>
      <c r="E59" s="91"/>
      <c r="F59" s="91"/>
      <c r="G59" s="91"/>
      <c r="H59" s="91"/>
    </row>
    <row r="60" spans="3:8">
      <c r="C60" s="140">
        <v>51</v>
      </c>
      <c r="D60" s="91"/>
      <c r="E60" s="91"/>
      <c r="F60" s="91"/>
      <c r="G60" s="91"/>
      <c r="H60" s="91"/>
    </row>
    <row r="61" spans="3:8">
      <c r="C61" s="140">
        <v>52</v>
      </c>
      <c r="D61" s="91"/>
      <c r="E61" s="91"/>
      <c r="F61" s="91"/>
      <c r="G61" s="91"/>
      <c r="H61" s="91"/>
    </row>
    <row r="62" spans="3:8">
      <c r="C62" s="140">
        <v>53</v>
      </c>
      <c r="D62" s="91"/>
      <c r="E62" s="91"/>
      <c r="F62" s="91"/>
      <c r="G62" s="91"/>
      <c r="H62" s="91"/>
    </row>
    <row r="63" spans="3:8">
      <c r="C63" s="140">
        <v>54</v>
      </c>
      <c r="D63" s="91"/>
      <c r="E63" s="91"/>
      <c r="F63" s="91"/>
      <c r="G63" s="91"/>
      <c r="H63" s="91"/>
    </row>
    <row r="64" spans="3:8">
      <c r="C64" s="140">
        <v>55</v>
      </c>
      <c r="D64" s="91"/>
      <c r="E64" s="91"/>
      <c r="F64" s="91"/>
      <c r="G64" s="91"/>
      <c r="H64" s="91"/>
    </row>
    <row r="65" spans="3:8">
      <c r="C65" s="140">
        <v>56</v>
      </c>
      <c r="D65" s="91"/>
      <c r="E65" s="91"/>
      <c r="F65" s="91"/>
      <c r="G65" s="91"/>
      <c r="H65" s="91"/>
    </row>
    <row r="66" spans="3:8">
      <c r="C66" s="140">
        <v>57</v>
      </c>
      <c r="D66" s="91"/>
      <c r="E66" s="91"/>
      <c r="F66" s="91"/>
      <c r="G66" s="91"/>
      <c r="H66" s="91"/>
    </row>
    <row r="67" spans="3:8">
      <c r="C67" s="140">
        <v>58</v>
      </c>
      <c r="D67" s="91"/>
      <c r="E67" s="91"/>
      <c r="F67" s="91"/>
      <c r="G67" s="91"/>
      <c r="H67" s="91"/>
    </row>
    <row r="68" spans="3:8">
      <c r="C68" s="140">
        <v>59</v>
      </c>
      <c r="D68" s="91"/>
      <c r="E68" s="91"/>
      <c r="F68" s="91"/>
      <c r="G68" s="91"/>
      <c r="H68" s="91"/>
    </row>
    <row r="69" spans="3:8">
      <c r="C69" s="140">
        <v>60</v>
      </c>
      <c r="D69" s="91"/>
      <c r="E69" s="91"/>
      <c r="F69" s="91"/>
      <c r="G69" s="91"/>
      <c r="H69" s="91"/>
    </row>
    <row r="70" spans="3:8">
      <c r="C70" s="140">
        <v>61</v>
      </c>
      <c r="D70" s="91"/>
      <c r="E70" s="91"/>
      <c r="F70" s="91"/>
      <c r="G70" s="91"/>
      <c r="H70" s="91"/>
    </row>
    <row r="71" spans="3:8">
      <c r="C71" s="140">
        <v>62</v>
      </c>
      <c r="D71" s="91"/>
      <c r="E71" s="91"/>
      <c r="F71" s="91"/>
      <c r="G71" s="91"/>
      <c r="H71" s="91"/>
    </row>
    <row r="72" spans="3:8">
      <c r="C72" s="140">
        <v>63</v>
      </c>
      <c r="D72" s="91"/>
      <c r="E72" s="91"/>
      <c r="F72" s="91"/>
      <c r="G72" s="91"/>
      <c r="H72" s="91"/>
    </row>
    <row r="73" spans="3:8">
      <c r="C73" s="140">
        <v>64</v>
      </c>
      <c r="D73" s="91"/>
      <c r="E73" s="91"/>
      <c r="F73" s="91"/>
      <c r="G73" s="91"/>
      <c r="H73" s="91"/>
    </row>
    <row r="74" spans="3:8">
      <c r="C74" s="140">
        <v>65</v>
      </c>
      <c r="D74" s="91"/>
      <c r="E74" s="91"/>
      <c r="F74" s="91"/>
      <c r="G74" s="91"/>
      <c r="H74" s="91"/>
    </row>
    <row r="75" spans="3:8">
      <c r="C75" s="140">
        <v>66</v>
      </c>
      <c r="D75" s="91"/>
      <c r="E75" s="91"/>
      <c r="F75" s="91"/>
      <c r="G75" s="91"/>
      <c r="H75" s="91"/>
    </row>
    <row r="76" spans="3:8">
      <c r="C76" s="140">
        <v>67</v>
      </c>
      <c r="D76" s="91"/>
      <c r="E76" s="91"/>
      <c r="F76" s="91"/>
      <c r="G76" s="91"/>
      <c r="H76" s="91"/>
    </row>
    <row r="77" spans="3:8">
      <c r="C77" s="140">
        <v>68</v>
      </c>
      <c r="D77" s="91"/>
      <c r="E77" s="91"/>
      <c r="F77" s="91"/>
      <c r="G77" s="91"/>
      <c r="H77" s="91"/>
    </row>
    <row r="78" spans="3:8">
      <c r="C78" s="140">
        <v>69</v>
      </c>
      <c r="D78" s="91"/>
      <c r="E78" s="91"/>
      <c r="F78" s="91"/>
      <c r="G78" s="91"/>
      <c r="H78" s="91"/>
    </row>
    <row r="79" spans="3:8">
      <c r="C79" s="140">
        <v>70</v>
      </c>
      <c r="D79" s="91"/>
      <c r="E79" s="91"/>
      <c r="F79" s="91"/>
      <c r="G79" s="91"/>
      <c r="H79" s="91"/>
    </row>
    <row r="80" spans="3:8">
      <c r="C80" s="140">
        <v>71</v>
      </c>
      <c r="D80" s="91"/>
      <c r="E80" s="91"/>
      <c r="F80" s="91"/>
      <c r="G80" s="91"/>
      <c r="H80" s="91"/>
    </row>
    <row r="81" spans="3:8">
      <c r="C81" s="140">
        <v>72</v>
      </c>
      <c r="D81" s="91"/>
      <c r="E81" s="91"/>
      <c r="F81" s="91"/>
      <c r="G81" s="91"/>
      <c r="H81" s="91"/>
    </row>
    <row r="82" spans="3:8">
      <c r="C82" s="140">
        <v>73</v>
      </c>
      <c r="D82" s="91"/>
      <c r="E82" s="91"/>
      <c r="F82" s="91"/>
      <c r="G82" s="91"/>
      <c r="H82" s="91"/>
    </row>
    <row r="83" spans="3:8">
      <c r="C83" s="140">
        <v>74</v>
      </c>
      <c r="D83" s="91"/>
      <c r="E83" s="91"/>
      <c r="F83" s="91"/>
      <c r="G83" s="91"/>
      <c r="H83" s="91"/>
    </row>
    <row r="84" spans="3:8">
      <c r="C84" s="140">
        <v>75</v>
      </c>
      <c r="D84" s="91"/>
      <c r="E84" s="91"/>
      <c r="F84" s="91"/>
      <c r="G84" s="91"/>
      <c r="H84" s="91"/>
    </row>
    <row r="85" spans="3:8">
      <c r="C85" s="140">
        <v>76</v>
      </c>
      <c r="D85" s="91"/>
      <c r="E85" s="91"/>
      <c r="F85" s="91"/>
      <c r="G85" s="91"/>
      <c r="H85" s="91"/>
    </row>
    <row r="86" spans="3:8">
      <c r="C86" s="140">
        <v>77</v>
      </c>
      <c r="D86" s="91"/>
      <c r="E86" s="91"/>
      <c r="F86" s="91"/>
      <c r="G86" s="91"/>
      <c r="H86" s="91"/>
    </row>
    <row r="87" spans="3:8">
      <c r="C87" s="140">
        <v>78</v>
      </c>
      <c r="D87" s="91"/>
      <c r="E87" s="91"/>
      <c r="F87" s="91"/>
      <c r="G87" s="91"/>
      <c r="H87" s="91"/>
    </row>
    <row r="88" spans="3:8">
      <c r="C88" s="140">
        <v>79</v>
      </c>
      <c r="D88" s="91"/>
      <c r="E88" s="91"/>
      <c r="F88" s="91"/>
      <c r="G88" s="91"/>
      <c r="H88" s="91"/>
    </row>
    <row r="89" spans="3:8">
      <c r="C89" s="140">
        <v>80</v>
      </c>
      <c r="D89" s="91"/>
      <c r="E89" s="91"/>
      <c r="F89" s="91"/>
      <c r="G89" s="91"/>
      <c r="H89" s="91"/>
    </row>
    <row r="90" spans="3:8">
      <c r="C90" s="140">
        <v>81</v>
      </c>
      <c r="D90" s="91"/>
      <c r="E90" s="91"/>
      <c r="F90" s="91"/>
      <c r="G90" s="91"/>
      <c r="H90" s="91"/>
    </row>
    <row r="91" spans="3:8">
      <c r="C91" s="140">
        <v>82</v>
      </c>
      <c r="D91" s="91"/>
      <c r="E91" s="91"/>
      <c r="F91" s="91"/>
      <c r="G91" s="91"/>
      <c r="H91" s="91"/>
    </row>
    <row r="92" spans="3:8">
      <c r="C92" s="140">
        <v>83</v>
      </c>
      <c r="D92" s="91"/>
      <c r="E92" s="91"/>
      <c r="F92" s="91"/>
      <c r="G92" s="91"/>
      <c r="H92" s="91"/>
    </row>
    <row r="93" spans="3:8">
      <c r="C93" s="140">
        <v>84</v>
      </c>
      <c r="D93" s="91"/>
      <c r="E93" s="91"/>
      <c r="F93" s="91"/>
      <c r="G93" s="91"/>
      <c r="H93" s="91"/>
    </row>
    <row r="94" spans="3:8">
      <c r="C94" s="140">
        <v>85</v>
      </c>
      <c r="D94" s="91"/>
      <c r="E94" s="91"/>
      <c r="F94" s="91"/>
      <c r="G94" s="91"/>
      <c r="H94" s="91"/>
    </row>
    <row r="95" spans="3:8">
      <c r="C95" s="140">
        <v>86</v>
      </c>
      <c r="D95" s="91"/>
      <c r="E95" s="91"/>
      <c r="F95" s="91"/>
      <c r="G95" s="91"/>
      <c r="H95" s="91"/>
    </row>
    <row r="96" spans="3:8">
      <c r="C96" s="140">
        <v>87</v>
      </c>
      <c r="D96" s="91"/>
      <c r="E96" s="91"/>
      <c r="F96" s="91"/>
      <c r="G96" s="91"/>
      <c r="H96" s="91"/>
    </row>
    <row r="97" spans="3:8">
      <c r="C97" s="140">
        <v>88</v>
      </c>
      <c r="D97" s="91"/>
      <c r="E97" s="91"/>
      <c r="F97" s="91"/>
      <c r="G97" s="91"/>
      <c r="H97" s="91"/>
    </row>
    <row r="98" spans="3:8">
      <c r="C98" s="140">
        <v>89</v>
      </c>
      <c r="D98" s="91"/>
      <c r="E98" s="91"/>
      <c r="F98" s="91"/>
      <c r="G98" s="91"/>
      <c r="H98" s="91"/>
    </row>
    <row r="99" spans="3:8">
      <c r="C99" s="140" t="s">
        <v>74</v>
      </c>
      <c r="D99" s="91"/>
      <c r="E99" s="91"/>
      <c r="F99" s="91"/>
      <c r="G99" s="91"/>
      <c r="H99" s="91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48" t="s">
        <v>23</v>
      </c>
      <c r="P2" s="85"/>
    </row>
    <row r="3" spans="1:16" ht="4.95" customHeight="1">
      <c r="B3" s="1"/>
      <c r="C3" s="4"/>
      <c r="P3" s="84"/>
    </row>
    <row r="4" spans="1:16" ht="19.95" customHeight="1">
      <c r="B4" s="1"/>
      <c r="C4" s="4"/>
      <c r="P4" s="86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19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34"/>
      <c r="C2" s="48" t="s">
        <v>30</v>
      </c>
      <c r="D2" s="89"/>
      <c r="P2" s="85"/>
    </row>
    <row r="3" spans="2:16" ht="4.95" customHeight="1">
      <c r="B3" s="34"/>
      <c r="C3" s="87"/>
      <c r="D3" s="88"/>
      <c r="P3" s="84"/>
    </row>
    <row r="4" spans="2:16" ht="19.95" customHeight="1">
      <c r="B4" s="34"/>
      <c r="C4" s="87"/>
      <c r="D4" s="88"/>
      <c r="P4" s="86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2"/>
      <c r="C9" s="13"/>
      <c r="D9"/>
      <c r="E9"/>
      <c r="F9"/>
      <c r="G9"/>
      <c r="H9"/>
      <c r="I9"/>
    </row>
    <row r="10" spans="2:16" ht="10.050000000000001" customHeight="1">
      <c r="B10" s="15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2026-05-26T00:05:49Z</dcterms:modified>
</cp:coreProperties>
</file>