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D8FFA922-D17F-4C78-93D9-72D6923BBF82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Analysis'!$D$7:$I$7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Analysis'!$D$57:$I$57</definedName>
    <definedName name="FieldList2">'Field Analysis'!$D$58:$I$58</definedName>
    <definedName name="FieldList3">'Field Analysis'!$D$59:$I$59</definedName>
    <definedName name="FieldList4">'Field Analysis'!$D$60:$I$60</definedName>
    <definedName name="FieldList5">'Field Analysis'!$D$61:$I$61</definedName>
    <definedName name="FieldList6">'Field Analysis'!$D$62:$I$62</definedName>
    <definedName name="FieldList7">'Field Analysis'!$D$63:$I$63</definedName>
    <definedName name="FieldList8">'Field Analysis'!$D$64:$I$64</definedName>
    <definedName name="FieldLists">'Field Analysis'!$C$57:$I$64</definedName>
    <definedName name="FieldRange">'Field Analysis'!$D$78:$I$78</definedName>
    <definedName name="FormatRange">'Field Analysis'!$F:$F</definedName>
    <definedName name="Headers">'Field Analysis'!$D$11:$I$11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Analysis'!$D$9:$I$9</definedName>
    <definedName name="Percentiles">'Field Analysis'!$D$45:$D$54</definedName>
    <definedName name="RecordHashes">'Field Analysis'!$J$79:$J$168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C11" i="9"/>
  <c r="C12" i="9"/>
  <c r="C13" i="9"/>
  <c r="C14" i="9"/>
  <c r="C15" i="9"/>
  <c r="C16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<sst xmlns="http://schemas.openxmlformats.org/spreadsheetml/2006/main" count="403" uniqueCount="71">
  <si>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</si>
  <si>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</si>
  <si>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</si>
  <si>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</si>
  <si>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</si>
  <si>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</si>
  <si>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</si>
  <si>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</si>
  <si>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</si>
  <si>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</si>
  <si>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</si>
  <si>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</si>
  <si>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</si>
  <si>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</si>
  <si>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</si>
  <si>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</si>
  <si>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</si>
  <si>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</si>
  <si>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</si>
  <si>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</si>
  <si>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</si>
  <si>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</si>
  <si>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</si>
  <si>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</si>
  <si>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</si>
  <si>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</si>
  <si>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</si>
  <si>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</si>
  <si>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</si>
  <si>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</si>
  <si>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</si>
  <si>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</si>
  <si>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</si>
  <si>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</si>
  <si>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</si>
  <si>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</si>
  <si>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</si>
  <si>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</si>
  <si>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</si>
  <si>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</si>
  <si>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</si>
  <si>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</si>
  <si>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</si>
  <si>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</si>
  <si>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</si>
  <si>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</si>
  <si>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</si>
  <si>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</si>
  <si>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</si>
  <si>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</si>
  <si>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</si>
  <si>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</si>
  <si>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</si>
  <si>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exercise</t>
  </si>
  <si>
    <t>Unnamed: 0</t>
  </si>
  <si>
    <t>id</t>
  </si>
  <si>
    <t>diet</t>
  </si>
  <si>
    <t>pulse</t>
  </si>
  <si>
    <t>time</t>
  </si>
  <si>
    <t>kind</t>
  </si>
  <si>
    <t>2,998 bytes</t>
  </si>
  <si>
    <t>int64</t>
  </si>
  <si>
    <t>category</t>
  </si>
  <si>
    <t>no fat</t>
  </si>
  <si>
    <t>1 min</t>
  </si>
  <si>
    <t>rest</t>
  </si>
  <si>
    <t>low fat</t>
  </si>
  <si>
    <t>15 min</t>
  </si>
  <si>
    <t>30 min</t>
  </si>
  <si>
    <t>walking</t>
  </si>
  <si>
    <t>running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</si>
</sst>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5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5DE7AE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left" vertical="center" wrapText="1" indent="1"/>
    </xf>
    <xf numFmtId="0" fontId="33" fillId="9" borderId="7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center" vertical="center" wrapText="1"/>
    </xf>
    <xf numFmtId="9" fontId="33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4" fillId="9" borderId="0" xfId="1" applyFont="1" applyFill="1" applyBorder="1" applyAlignment="1">
      <alignment horizontal="center" vertical="center" wrapText="1"/>
    </xf>
    <xf numFmtId="0" fontId="34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3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5DE7AE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2"/>
      <tableStyleElement type="headerRow" dxfId="61"/>
      <tableStyleElement type="totalRow" dxfId="60"/>
      <tableStyleElement type="firstColumn" dxfId="59"/>
      <tableStyleElement type="lastColumn" dxfId="58"/>
      <tableStyleElement type="firstRowStripe" dxfId="57"/>
      <tableStyleElement type="secondRowStripe" dxfId="56"/>
      <tableStyleElement type="firstColumnStripe" dxfId="55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Unnamed: 0">
          <a:extLst>
            <a:ext uri="{FF2B5EF4-FFF2-40B4-BE49-F238E27FC236}">
              <a16:creationId xmlns:a16="http://schemas.microsoft.com/office/drawing/2014/main" id="{D1864B93-8872-CD9C-B935-42E54D3B89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Unnamed: 0">
          <a:extLst>
            <a:ext uri="{FF2B5EF4-FFF2-40B4-BE49-F238E27FC236}">
              <a16:creationId xmlns:a16="http://schemas.microsoft.com/office/drawing/2014/main" id="{FCDF92EF-7F96-E75F-12C0-30A512967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id">
          <a:extLst>
            <a:ext uri="{FF2B5EF4-FFF2-40B4-BE49-F238E27FC236}">
              <a16:creationId xmlns:a16="http://schemas.microsoft.com/office/drawing/2014/main" id="{E7E6BC8C-E20C-0AA5-FEA0-87B08079F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histogram_id">
          <a:extLst>
            <a:ext uri="{FF2B5EF4-FFF2-40B4-BE49-F238E27FC236}">
              <a16:creationId xmlns:a16="http://schemas.microsoft.com/office/drawing/2014/main" id="{4D5F8037-58FC-8CC3-8EF4-8249843621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composition_diet">
          <a:extLst>
            <a:ext uri="{FF2B5EF4-FFF2-40B4-BE49-F238E27FC236}">
              <a16:creationId xmlns:a16="http://schemas.microsoft.com/office/drawing/2014/main" id="{E144C792-1405-36AB-6EB1-EF234909EE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composition_pulse">
          <a:extLst>
            <a:ext uri="{FF2B5EF4-FFF2-40B4-BE49-F238E27FC236}">
              <a16:creationId xmlns:a16="http://schemas.microsoft.com/office/drawing/2014/main" id="{444B3C42-212A-1FF0-3D85-5E1E1A9E68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histogram_pulse">
          <a:extLst>
            <a:ext uri="{FF2B5EF4-FFF2-40B4-BE49-F238E27FC236}">
              <a16:creationId xmlns:a16="http://schemas.microsoft.com/office/drawing/2014/main" id="{E2F55835-DE0C-E136-1499-F5625BB18E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5" name="composition_time">
          <a:extLst>
            <a:ext uri="{FF2B5EF4-FFF2-40B4-BE49-F238E27FC236}">
              <a16:creationId xmlns:a16="http://schemas.microsoft.com/office/drawing/2014/main" id="{2B956BD4-6E74-1307-1C7C-2A4D43941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7" name="composition_kind">
          <a:extLst>
            <a:ext uri="{FF2B5EF4-FFF2-40B4-BE49-F238E27FC236}">
              <a16:creationId xmlns:a16="http://schemas.microsoft.com/office/drawing/2014/main" id="{AE079E64-A12F-C794-5F5A-F0CC60874F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6" totalsRowShown="0" headerRowDxfId="11" dataDxfId="53" headerRowBorderDxfId="54" headerRowCellStyle="Normal 2">
  <autoFilter ref="B10:AA16" xr:uid="{7EC467B7-DE9E-48DF-95B5-2995F1F6DE8F}"/>
  <tableColumns count="26">
    <tableColumn id="1" xr3:uid="{CDAE6949-9186-42E8-AEBE-1928381A0155}" name="Field" dataDxfId="52" dataCellStyle="Normal 2"/>
    <tableColumn id="2" xr3:uid="{24D139B7-BFC8-4DD9-8DE4-2245810E04F3}" name="Definition" dataDxfId="7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6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1"/>
    <tableColumn id="8" xr3:uid="{30CDB1E0-924C-48B4-82F4-9B3E3228BE95}" name="Distinct %" dataDxfId="50"/>
    <tableColumn id="12" xr3:uid="{03824906-BEA5-4B63-A981-21F959B6439E}" name="Missing %" dataDxfId="49" dataCellStyle="Percent 2"/>
    <tableColumn id="6" xr3:uid="{8DFFE5A0-8676-4576-AB4D-97E8B31EC097}" name="Memory Usage %" dataDxfId="48" dataCellStyle="Percent 2"/>
    <tableColumn id="5" xr3:uid="{DD50C3DA-F4A8-40F0-AFBD-DBF916650F7E}" name="Memory Usage" dataDxfId="47"/>
    <tableColumn id="7" xr3:uid="{A0CD56D0-07EF-46CA-BC46-D54CD5E746C7}" name="Distinct" dataDxfId="46"/>
    <tableColumn id="9" xr3:uid="{1C848176-6AC1-44A6-9B3B-F1C9E8BC32EA}" name="Count" dataDxfId="45"/>
    <tableColumn id="10" xr3:uid="{6C6E6A37-4969-459F-AC39-2193366810E2}" name="Count %" dataDxfId="44"/>
    <tableColumn id="11" xr3:uid="{CD47252D-0307-4513-AF7C-13CC4AA1FCD9}" name="Missing" dataDxfId="43"/>
    <tableColumn id="13" xr3:uid="{2B45F7F8-CE35-48A6-BB27-9684B5D7936D}" name="Mean" dataDxfId="42"/>
    <tableColumn id="14" xr3:uid="{293386E4-1FA6-4340-9DC6-54CC26209C0A}" name="Median" dataDxfId="41"/>
    <tableColumn id="15" xr3:uid="{29252F5E-4163-4D62-89FC-FF85F6C4755C}" name="Mode" dataDxfId="40"/>
    <tableColumn id="16" xr3:uid="{69FFA3C1-FD1E-4395-AF2E-177FDFCDE62A}" name="Standard Deviation" dataDxfId="39"/>
    <tableColumn id="17" xr3:uid="{2AAB37E9-8AE2-4771-B92B-C04BFABA0B4E}" name="Variance" dataDxfId="38"/>
    <tableColumn id="18" xr3:uid="{07151E41-6633-4A65-A7E1-091F027DEF95}" name="Min" dataDxfId="37"/>
    <tableColumn id="19" xr3:uid="{41A1FD5D-4E5C-45B3-A0C7-1820F89F417F}" name="5%" dataDxfId="36"/>
    <tableColumn id="20" xr3:uid="{50D70984-5A2E-4A19-9F2B-5DA0502339BC}" name="25%" dataDxfId="35"/>
    <tableColumn id="21" xr3:uid="{75FF5489-8FC0-4894-83BC-802076BF1066}" name="50%" dataDxfId="34"/>
    <tableColumn id="22" xr3:uid="{B7FA20A8-EE17-470E-93AD-54011230C113}" name="75%" dataDxfId="33"/>
    <tableColumn id="23" xr3:uid="{378BE758-7A3F-4C04-A75B-FE899B1B0BAD}" name="95%" dataDxfId="32"/>
    <tableColumn id="24" xr3:uid="{818594E7-DC84-4229-81F6-97C1E2E93633}" name="Max" dataDxfId="31"/>
    <tableColumn id="25" xr3:uid="{D8116583-A886-47C1-85E2-D28AD96194AD}" name="Range" dataDxfId="30"/>
    <tableColumn id="26" xr3:uid="{D061AC6A-EAB2-461F-8AB8-E743DC68E666}" name="IQR" dataDxfId="29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J168" totalsRowShown="0" headerRowDxfId="19" dataDxfId="18">
  <autoFilter ref="C78:J168" xr:uid="{DB263373-2B4F-4302-9CF6-5012CE3F1A47}"/>
  <tableColumns count="8">
    <tableColumn id="1" xr3:uid="{B87F6371-B38F-4AA9-8A9B-F1D62600E38F}" name="Record List" dataDxfId="1" dataCellStyle="Normal 2"/>
    <tableColumn id="2" xr3:uid="{55547D6A-0C4F-44F3-8DA7-D9918F9ECA79}" name="Unnamed: 0" dataDxfId="17"/>
    <tableColumn id="8" xr3:uid="{5CEA6B82-08F7-4BBF-BE74-DD211F1E2384}" name="id" dataDxfId="16"/>
    <tableColumn id="3" xr3:uid="{6C0B3232-D5C0-4185-AF99-A47484E561D2}" name="diet" dataDxfId="15"/>
    <tableColumn id="4" xr3:uid="{2B16FC35-C868-40E9-B142-EB17EBF995E8}" name="pulse" dataDxfId="5"/>
    <tableColumn id="5" xr3:uid="{0732BC0E-0A6B-4801-9A2C-0BCD3AB12490}" name="time" dataDxfId="4"/>
    <tableColumn id="6" xr3:uid="{0255CFF0-78A1-411E-A918-97C3E038C2CA}" name="kind" dataDxfId="3"/>
    <tableColumn id="7" xr3:uid="{0B5007D5-932F-4E82-9ED0-C72D99E6AE79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6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exercise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90</v>
      </c>
      <c r="AA4" s="105"/>
    </row>
    <row r="5" spans="2:27">
      <c r="B5" s="88" t="s">
        <v>27</v>
      </c>
      <c r="C5" s="47">
        <v>6</v>
      </c>
    </row>
    <row r="6" spans="2:27">
      <c r="B6" s="90" t="s">
        <v>4</v>
      </c>
      <c r="C6" s="47" t="s">
        <v>60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61</v>
      </c>
      <c r="F11" s="50">
        <v>1</v>
      </c>
      <c r="G11" s="51">
        <v>0</v>
      </c>
      <c r="H11" s="50">
        <v>0.20078081427774599</v>
      </c>
      <c r="I11" s="52">
        <v>720</v>
      </c>
      <c r="J11" s="52">
        <v>90</v>
      </c>
      <c r="K11" s="52">
        <v>90</v>
      </c>
      <c r="L11" s="53">
        <v>1</v>
      </c>
      <c r="M11" s="52">
        <v>0</v>
      </c>
      <c r="N11" s="54">
        <v>44.5</v>
      </c>
      <c r="O11" s="54">
        <v>44.5</v>
      </c>
      <c r="P11" s="54">
        <v>0</v>
      </c>
      <c r="Q11" s="54">
        <v>26.124700955226199</v>
      </c>
      <c r="R11" s="54">
        <v>682.5</v>
      </c>
      <c r="S11" s="54">
        <v>0</v>
      </c>
      <c r="T11" s="54">
        <v>4.45</v>
      </c>
      <c r="U11" s="54">
        <v>22.25</v>
      </c>
      <c r="V11" s="54">
        <v>44.5</v>
      </c>
      <c r="W11" s="54">
        <v>66.75</v>
      </c>
      <c r="X11" s="54">
        <v>84.55</v>
      </c>
      <c r="Y11" s="54">
        <v>89</v>
      </c>
      <c r="Z11" s="54">
        <v>89</v>
      </c>
      <c r="AA11" s="54">
        <v>44.5</v>
      </c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61</v>
      </c>
      <c r="F12" s="53">
        <v>0.33333333333333298</v>
      </c>
      <c r="G12" s="55">
        <v>0</v>
      </c>
      <c r="H12" s="56">
        <v>0.20078081427774599</v>
      </c>
      <c r="I12" s="52">
        <v>720</v>
      </c>
      <c r="J12" s="52">
        <v>30</v>
      </c>
      <c r="K12" s="52">
        <v>90</v>
      </c>
      <c r="L12" s="53">
        <v>1</v>
      </c>
      <c r="M12" s="52">
        <v>0</v>
      </c>
      <c r="N12" s="54">
        <v>15.5</v>
      </c>
      <c r="O12" s="54">
        <v>15.5</v>
      </c>
      <c r="P12" s="54">
        <v>1</v>
      </c>
      <c r="Q12" s="54">
        <v>8.7039316958654993</v>
      </c>
      <c r="R12" s="54">
        <v>75.758426966292106</v>
      </c>
      <c r="S12" s="54">
        <v>1</v>
      </c>
      <c r="T12" s="54">
        <v>2</v>
      </c>
      <c r="U12" s="54">
        <v>8</v>
      </c>
      <c r="V12" s="54">
        <v>15.5</v>
      </c>
      <c r="W12" s="54">
        <v>23</v>
      </c>
      <c r="X12" s="54">
        <v>29</v>
      </c>
      <c r="Y12" s="54">
        <v>30</v>
      </c>
      <c r="Z12" s="54">
        <v>29</v>
      </c>
      <c r="AA12" s="54">
        <v>15</v>
      </c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62</v>
      </c>
      <c r="F13" s="53">
        <v>2.2222222222222199E-2</v>
      </c>
      <c r="G13" s="55">
        <v>0</v>
      </c>
      <c r="H13" s="56">
        <v>6.3301728945900707E-2</v>
      </c>
      <c r="I13" s="52">
        <v>227</v>
      </c>
      <c r="J13" s="52">
        <v>2</v>
      </c>
      <c r="K13" s="52">
        <v>90</v>
      </c>
      <c r="L13" s="53">
        <v>1</v>
      </c>
      <c r="M13" s="52">
        <v>0</v>
      </c>
      <c r="N13" s="54"/>
      <c r="O13" s="54"/>
      <c r="P13" s="54" t="s">
        <v>63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61</v>
      </c>
      <c r="F14" s="53">
        <v>0.43333333333333302</v>
      </c>
      <c r="G14" s="122">
        <v>0</v>
      </c>
      <c r="H14" s="56">
        <v>0.20078081427774599</v>
      </c>
      <c r="I14" s="52">
        <v>720</v>
      </c>
      <c r="J14" s="52">
        <v>39</v>
      </c>
      <c r="K14" s="52">
        <v>90</v>
      </c>
      <c r="L14" s="53">
        <v>1</v>
      </c>
      <c r="M14" s="52">
        <v>0</v>
      </c>
      <c r="N14" s="54">
        <v>99.7</v>
      </c>
      <c r="O14" s="54">
        <v>96</v>
      </c>
      <c r="P14" s="54">
        <v>92</v>
      </c>
      <c r="Q14" s="54">
        <v>14.8584708938494</v>
      </c>
      <c r="R14" s="54">
        <v>220.77415730337</v>
      </c>
      <c r="S14" s="54">
        <v>80</v>
      </c>
      <c r="T14" s="54">
        <v>83.45</v>
      </c>
      <c r="U14" s="54">
        <v>90.25</v>
      </c>
      <c r="V14" s="54">
        <v>96</v>
      </c>
      <c r="W14" s="54">
        <v>103</v>
      </c>
      <c r="X14" s="54">
        <v>133.64999999999901</v>
      </c>
      <c r="Y14" s="54">
        <v>150</v>
      </c>
      <c r="Z14" s="54">
        <v>70</v>
      </c>
      <c r="AA14" s="54">
        <v>12.75</v>
      </c>
    </row>
    <row r="15" spans="2:27">
      <c r="B15" s="61" t="s">
        <v>58</v>
      </c>
      <c r="C15" s="62" t="str">
        <f>IF(INDEX(Definitions,1,MATCH(tbl_Overview[[#This Row],[Field]],Headers,0))="Definition","",INDEX(Definitions,1,MATCH(tbl_Overview[[#This Row],[Field]],Headers,0)))</f>
        <v/>
      </c>
      <c r="D15" s="63" t="str">
        <f>IF(INDEX(Notes,1,MATCH(tbl_Overview[[#This Row],[Field]],Headers,0))="Notes","",INDEX(Notes,1,MATCH(tbl_Overview[[#This Row],[Field]],Headers,0)))</f>
        <v/>
      </c>
      <c r="E15" s="95" t="s">
        <v>62</v>
      </c>
      <c r="F15" s="53">
        <v>3.3333333333333298E-2</v>
      </c>
      <c r="G15" s="122">
        <v>0</v>
      </c>
      <c r="H15" s="56">
        <v>6.66480758505298E-2</v>
      </c>
      <c r="I15" s="52">
        <v>239</v>
      </c>
      <c r="J15" s="52">
        <v>3</v>
      </c>
      <c r="K15" s="52">
        <v>90</v>
      </c>
      <c r="L15" s="53">
        <v>1</v>
      </c>
      <c r="M15" s="52">
        <v>0</v>
      </c>
      <c r="N15" s="54"/>
      <c r="O15" s="54"/>
      <c r="P15" s="54" t="s">
        <v>64</v>
      </c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</row>
    <row r="16" spans="2:27">
      <c r="B16" s="123" t="s">
        <v>59</v>
      </c>
      <c r="C16" s="124" t="str">
        <f>IF(INDEX(Definitions,1,MATCH(tbl_Overview[[#This Row],[Field]],Headers,0))="Definition","",INDEX(Definitions,1,MATCH(tbl_Overview[[#This Row],[Field]],Headers,0)))</f>
        <v/>
      </c>
      <c r="D16" s="125" t="str">
        <f>IF(INDEX(Notes,1,MATCH(tbl_Overview[[#This Row],[Field]],Headers,0))="Notes","",INDEX(Notes,1,MATCH(tbl_Overview[[#This Row],[Field]],Headers,0)))</f>
        <v/>
      </c>
      <c r="E16" s="126" t="s">
        <v>62</v>
      </c>
      <c r="F16" s="127">
        <v>3.3333333333333298E-2</v>
      </c>
      <c r="G16" s="128">
        <v>0</v>
      </c>
      <c r="H16" s="129">
        <v>6.6926938092582197E-2</v>
      </c>
      <c r="I16" s="130">
        <v>240</v>
      </c>
      <c r="J16" s="130">
        <v>3</v>
      </c>
      <c r="K16" s="130">
        <v>90</v>
      </c>
      <c r="L16" s="127">
        <v>1</v>
      </c>
      <c r="M16" s="130">
        <v>0</v>
      </c>
      <c r="N16" s="131"/>
      <c r="O16" s="131"/>
      <c r="P16" s="131" t="s">
        <v>65</v>
      </c>
      <c r="Q16" s="131"/>
      <c r="R16" s="131"/>
      <c r="S16" s="131"/>
      <c r="T16" s="131"/>
      <c r="U16" s="131"/>
      <c r="V16" s="131"/>
      <c r="W16" s="131"/>
      <c r="X16" s="131"/>
      <c r="Y16" s="131"/>
      <c r="Z16" s="131"/>
      <c r="AA16" s="131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6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68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9" width="27.77734375" style="1" customWidth="1"/>
    <col min="10" max="10" width="18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7"/>
      <c r="C2" s="65"/>
      <c r="D2"/>
      <c r="E2"/>
    </row>
    <row r="3" spans="1:14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  <c r="I3" s="98"/>
    </row>
    <row r="4" spans="1:14" ht="4.95" customHeight="1">
      <c r="A4" s="65"/>
      <c r="B4" s="107"/>
      <c r="C4" s="65"/>
      <c r="D4"/>
      <c r="E4"/>
      <c r="F4" s="97"/>
      <c r="G4" s="97"/>
      <c r="H4" s="97"/>
      <c r="I4" s="97"/>
    </row>
    <row r="5" spans="1:14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  <c r="I5" s="99"/>
    </row>
    <row r="6" spans="1:14" ht="4.95" customHeight="1">
      <c r="A6" s="30"/>
      <c r="B6" s="73"/>
      <c r="C6" s="74"/>
      <c r="D6" s="67"/>
      <c r="E6" s="67"/>
      <c r="F6" s="67"/>
      <c r="G6" s="67"/>
      <c r="H6" s="67"/>
      <c r="I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  <c r="I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  <c r="H8" s="65"/>
      <c r="I8" s="65"/>
    </row>
    <row r="9" spans="1:14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  <c r="I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  <c r="H10" s="57"/>
      <c r="I10" s="57"/>
    </row>
    <row r="11" spans="1:14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119" t="s">
        <v>59</v>
      </c>
      <c r="J11" s="94" t="s">
        <v>20</v>
      </c>
    </row>
    <row r="12" spans="1:14" ht="4.95" customHeight="1">
      <c r="A12"/>
      <c r="C12"/>
      <c r="D12"/>
      <c r="E12"/>
      <c r="F12"/>
      <c r="G12"/>
      <c r="H12"/>
      <c r="I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  <c r="I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  <c r="H14" s="66"/>
      <c r="I14" s="66"/>
    </row>
    <row r="15" spans="1:14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  <c r="I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  <c r="I16" s="67"/>
    </row>
    <row r="17" spans="1:9" hidden="1" outlineLevel="2">
      <c r="A17" s="67"/>
      <c r="B17" s="69"/>
      <c r="C17" s="91" t="s">
        <v>26</v>
      </c>
      <c r="D17" s="93">
        <v>90</v>
      </c>
      <c r="E17" s="44"/>
      <c r="F17" s="44"/>
      <c r="G17" s="44"/>
      <c r="H17" s="44"/>
      <c r="I17" s="44"/>
    </row>
    <row r="18" spans="1:9" hidden="1" outlineLevel="2">
      <c r="A18" s="67"/>
      <c r="B18" s="69"/>
      <c r="C18" s="91" t="s">
        <v>46</v>
      </c>
      <c r="D18" s="93">
        <v>6</v>
      </c>
      <c r="E18" s="44"/>
      <c r="F18" s="44"/>
      <c r="G18" s="44"/>
      <c r="H18" s="44"/>
      <c r="I18" s="44"/>
    </row>
    <row r="19" spans="1:9" ht="4.95" hidden="1" customHeight="1" outlineLevel="2">
      <c r="A19" s="67"/>
      <c r="B19" s="69"/>
      <c r="C19" s="71"/>
      <c r="D19" s="68"/>
      <c r="E19"/>
      <c r="F19"/>
      <c r="G19"/>
      <c r="H19"/>
      <c r="I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</row>
    <row r="21" spans="1:9" ht="4.95" customHeight="1" outlineLevel="1">
      <c r="B21" s="9"/>
      <c r="C21" s="33"/>
      <c r="D21" s="33"/>
      <c r="E21" s="33"/>
      <c r="F21" s="33"/>
      <c r="G21" s="33"/>
      <c r="H21" s="33"/>
      <c r="I21" s="33"/>
    </row>
    <row r="22" spans="1:9" ht="14.4" hidden="1" customHeight="1" outlineLevel="2">
      <c r="A22" s="34"/>
      <c r="B22" s="35"/>
      <c r="C22" s="88" t="s">
        <v>3</v>
      </c>
      <c r="D22" s="11" t="s">
        <v>61</v>
      </c>
      <c r="E22" s="11" t="s">
        <v>61</v>
      </c>
      <c r="F22" s="11" t="s">
        <v>62</v>
      </c>
      <c r="G22" s="11" t="s">
        <v>61</v>
      </c>
      <c r="H22" s="11" t="s">
        <v>62</v>
      </c>
      <c r="I22" s="11" t="s">
        <v>62</v>
      </c>
    </row>
    <row r="23" spans="1:9" ht="14.4" hidden="1" customHeight="1" outlineLevel="2">
      <c r="A23" s="34"/>
      <c r="B23" s="36"/>
      <c r="C23" s="86" t="s">
        <v>7</v>
      </c>
      <c r="D23" s="37">
        <v>1</v>
      </c>
      <c r="E23" s="37">
        <v>0.33333333333333298</v>
      </c>
      <c r="F23" s="37">
        <v>2.2222222222222199E-2</v>
      </c>
      <c r="G23" s="37">
        <v>0.43333333333333302</v>
      </c>
      <c r="H23" s="37">
        <v>3.3333333333333298E-2</v>
      </c>
      <c r="I23" s="37">
        <v>3.3333333333333298E-2</v>
      </c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  <c r="I24" s="37">
        <v>0</v>
      </c>
    </row>
    <row r="25" spans="1:9" ht="14.4" hidden="1" customHeight="1" outlineLevel="2">
      <c r="B25" s="12"/>
      <c r="C25" s="90" t="s">
        <v>5</v>
      </c>
      <c r="D25" s="37">
        <v>0.20078081427774599</v>
      </c>
      <c r="E25" s="37">
        <v>0.20078081427774599</v>
      </c>
      <c r="F25" s="37">
        <v>6.3301728945900707E-2</v>
      </c>
      <c r="G25" s="37">
        <v>0.20078081427774599</v>
      </c>
      <c r="H25" s="37">
        <v>6.66480758505298E-2</v>
      </c>
      <c r="I25" s="37">
        <v>6.6926938092582197E-2</v>
      </c>
    </row>
    <row r="26" spans="1:9" ht="14.4" hidden="1" customHeight="1" outlineLevel="2">
      <c r="B26" s="12"/>
      <c r="C26" s="86" t="s">
        <v>4</v>
      </c>
      <c r="D26" s="11">
        <v>720</v>
      </c>
      <c r="E26" s="11">
        <v>720</v>
      </c>
      <c r="F26" s="11">
        <v>227</v>
      </c>
      <c r="G26" s="11">
        <v>720</v>
      </c>
      <c r="H26" s="11">
        <v>239</v>
      </c>
      <c r="I26" s="11">
        <v>240</v>
      </c>
    </row>
    <row r="27" spans="1:9" ht="14.4" hidden="1" customHeight="1" outlineLevel="2">
      <c r="B27" s="12"/>
      <c r="C27" s="86" t="s">
        <v>6</v>
      </c>
      <c r="D27" s="11">
        <v>90</v>
      </c>
      <c r="E27" s="11">
        <v>30</v>
      </c>
      <c r="F27" s="11">
        <v>2</v>
      </c>
      <c r="G27" s="11">
        <v>39</v>
      </c>
      <c r="H27" s="11">
        <v>3</v>
      </c>
      <c r="I27" s="11">
        <v>3</v>
      </c>
    </row>
    <row r="28" spans="1:9" ht="14.4" hidden="1" customHeight="1" outlineLevel="2">
      <c r="B28" s="12"/>
      <c r="C28" s="86" t="s">
        <v>8</v>
      </c>
      <c r="D28" s="11">
        <v>90</v>
      </c>
      <c r="E28" s="11">
        <v>90</v>
      </c>
      <c r="F28" s="11">
        <v>90</v>
      </c>
      <c r="G28" s="11">
        <v>90</v>
      </c>
      <c r="H28" s="11">
        <v>90</v>
      </c>
      <c r="I28" s="11">
        <v>90</v>
      </c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  <c r="I30" s="6"/>
    </row>
    <row r="31" spans="1:9" ht="150" hidden="1" customHeight="1" outlineLevel="2">
      <c r="B31" s="19"/>
      <c r="C31" s="15"/>
      <c r="D31" s="16"/>
      <c r="E31" s="16"/>
      <c r="F31" s="16"/>
      <c r="G31" s="16"/>
      <c r="H31" s="16"/>
      <c r="I31" s="16"/>
    </row>
    <row r="32" spans="1:9" ht="4.95" hidden="1" customHeight="1" outlineLevel="2">
      <c r="B32" s="9"/>
      <c r="D32" s="6"/>
      <c r="E32" s="6"/>
      <c r="F32" s="6"/>
      <c r="G32" s="6"/>
      <c r="H32" s="6"/>
      <c r="I32" s="6"/>
    </row>
    <row r="33" spans="1:9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  <c r="I33" s="6"/>
    </row>
    <row r="34" spans="1:9" ht="4.95" customHeight="1" outlineLevel="1">
      <c r="A34" s="18"/>
      <c r="B34" s="19"/>
      <c r="C34" s="20"/>
      <c r="D34" s="6"/>
      <c r="E34" s="6"/>
      <c r="F34" s="6"/>
      <c r="G34" s="6"/>
      <c r="H34" s="6"/>
      <c r="I34" s="6"/>
    </row>
    <row r="35" spans="1:9" ht="14.4" hidden="1" customHeight="1" outlineLevel="2">
      <c r="B35" s="10"/>
      <c r="C35" s="88" t="s">
        <v>11</v>
      </c>
      <c r="D35" s="21">
        <v>44.5</v>
      </c>
      <c r="E35" s="21">
        <v>15.5</v>
      </c>
      <c r="F35" s="21"/>
      <c r="G35" s="21">
        <v>99.7</v>
      </c>
      <c r="H35" s="21"/>
      <c r="I35" s="21"/>
    </row>
    <row r="36" spans="1:9" ht="14.4" hidden="1" customHeight="1" outlineLevel="2">
      <c r="B36" s="12"/>
      <c r="C36" s="89" t="s">
        <v>12</v>
      </c>
      <c r="D36" s="22">
        <v>44.5</v>
      </c>
      <c r="E36" s="22">
        <v>15.5</v>
      </c>
      <c r="F36" s="22"/>
      <c r="G36" s="22">
        <v>96</v>
      </c>
      <c r="H36" s="22"/>
      <c r="I36" s="22"/>
    </row>
    <row r="37" spans="1:9" ht="14.4" hidden="1" customHeight="1" outlineLevel="2">
      <c r="B37" s="12"/>
      <c r="C37" s="86" t="s">
        <v>13</v>
      </c>
      <c r="D37" s="13">
        <v>0</v>
      </c>
      <c r="E37" s="13">
        <v>1</v>
      </c>
      <c r="F37" s="13" t="s">
        <v>63</v>
      </c>
      <c r="G37" s="13">
        <v>92</v>
      </c>
      <c r="H37" s="13" t="s">
        <v>64</v>
      </c>
      <c r="I37" s="13" t="s">
        <v>65</v>
      </c>
    </row>
    <row r="38" spans="1:9" ht="14.4" hidden="1" customHeight="1" outlineLevel="2">
      <c r="B38" s="12"/>
      <c r="C38" s="89" t="s">
        <v>14</v>
      </c>
      <c r="D38" s="23">
        <v>26.124700955226199</v>
      </c>
      <c r="E38" s="23">
        <v>8.7039316958654993</v>
      </c>
      <c r="F38" s="23"/>
      <c r="G38" s="23">
        <v>14.8584708938494</v>
      </c>
      <c r="H38" s="23"/>
      <c r="I38" s="23"/>
    </row>
    <row r="39" spans="1:9" ht="14.4" hidden="1" customHeight="1" outlineLevel="2">
      <c r="B39" s="12"/>
      <c r="C39" s="90" t="s">
        <v>15</v>
      </c>
      <c r="D39" s="21">
        <v>682.5</v>
      </c>
      <c r="E39" s="21">
        <v>75.758426966292106</v>
      </c>
      <c r="F39" s="21"/>
      <c r="G39" s="21">
        <v>220.77415730337</v>
      </c>
      <c r="H39" s="21"/>
      <c r="I39" s="21"/>
    </row>
    <row r="40" spans="1:9" ht="4.95" hidden="1" customHeight="1" outlineLevel="2">
      <c r="B40" s="9"/>
      <c r="D40" s="6"/>
      <c r="E40" s="6"/>
      <c r="F40" s="6"/>
      <c r="G40" s="6"/>
      <c r="H40" s="6"/>
      <c r="I40" s="6"/>
    </row>
    <row r="41" spans="1:9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</row>
    <row r="42" spans="1:9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</row>
    <row r="43" spans="1:9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  <c r="I43" s="6"/>
    </row>
    <row r="44" spans="1:9" ht="4.95" customHeight="1" outlineLevel="1">
      <c r="A44" s="18"/>
      <c r="B44" s="19"/>
      <c r="C44" s="20"/>
      <c r="D44" s="6"/>
      <c r="E44" s="6"/>
      <c r="F44" s="6"/>
      <c r="G44" s="6"/>
      <c r="H44" s="6"/>
      <c r="I44" s="6"/>
    </row>
    <row r="45" spans="1:9" ht="14.4" hidden="1" customHeight="1" outlineLevel="2">
      <c r="B45" s="10"/>
      <c r="C45" s="83" t="s">
        <v>16</v>
      </c>
      <c r="D45" s="23">
        <v>0</v>
      </c>
      <c r="E45" s="23">
        <v>1</v>
      </c>
      <c r="F45" s="23"/>
      <c r="G45" s="23">
        <v>80</v>
      </c>
      <c r="H45" s="23"/>
      <c r="I45" s="23"/>
    </row>
    <row r="46" spans="1:9" ht="14.4" hidden="1" customHeight="1" outlineLevel="2">
      <c r="B46" s="9"/>
      <c r="C46" s="84">
        <v>0.05</v>
      </c>
      <c r="D46" s="21">
        <v>4.45</v>
      </c>
      <c r="E46" s="21">
        <v>2</v>
      </c>
      <c r="F46" s="21"/>
      <c r="G46" s="21">
        <v>83.45</v>
      </c>
      <c r="H46" s="21"/>
      <c r="I46" s="21"/>
    </row>
    <row r="47" spans="1:9" ht="14.4" hidden="1" customHeight="1" outlineLevel="2">
      <c r="B47" s="9"/>
      <c r="C47" s="85">
        <v>0.25</v>
      </c>
      <c r="D47" s="23">
        <v>22.25</v>
      </c>
      <c r="E47" s="23">
        <v>8</v>
      </c>
      <c r="F47" s="23"/>
      <c r="G47" s="23">
        <v>90.25</v>
      </c>
      <c r="H47" s="23"/>
      <c r="I47" s="23"/>
    </row>
    <row r="48" spans="1:9" ht="14.4" hidden="1" customHeight="1" outlineLevel="2">
      <c r="B48" s="9"/>
      <c r="C48" s="84">
        <v>0.5</v>
      </c>
      <c r="D48" s="21">
        <v>44.5</v>
      </c>
      <c r="E48" s="21">
        <v>15.5</v>
      </c>
      <c r="F48" s="21"/>
      <c r="G48" s="21">
        <v>96</v>
      </c>
      <c r="H48" s="21"/>
      <c r="I48" s="21"/>
    </row>
    <row r="49" spans="1:9" ht="14.4" hidden="1" customHeight="1" outlineLevel="2">
      <c r="B49" s="9"/>
      <c r="C49" s="85">
        <v>0.75</v>
      </c>
      <c r="D49" s="23">
        <v>66.75</v>
      </c>
      <c r="E49" s="23">
        <v>23</v>
      </c>
      <c r="F49" s="23"/>
      <c r="G49" s="23">
        <v>103</v>
      </c>
      <c r="H49" s="23"/>
      <c r="I49" s="23"/>
    </row>
    <row r="50" spans="1:9" ht="14.4" hidden="1" customHeight="1" outlineLevel="2">
      <c r="B50" s="9"/>
      <c r="C50" s="84">
        <v>0.95</v>
      </c>
      <c r="D50" s="21">
        <v>84.55</v>
      </c>
      <c r="E50" s="21">
        <v>29</v>
      </c>
      <c r="F50" s="21"/>
      <c r="G50" s="21">
        <v>133.64999999999901</v>
      </c>
      <c r="H50" s="21"/>
      <c r="I50" s="21"/>
    </row>
    <row r="51" spans="1:9" ht="14.4" hidden="1" customHeight="1" outlineLevel="2">
      <c r="B51" s="9"/>
      <c r="C51" s="85" t="s">
        <v>17</v>
      </c>
      <c r="D51" s="23">
        <v>89</v>
      </c>
      <c r="E51" s="23">
        <v>30</v>
      </c>
      <c r="F51" s="23"/>
      <c r="G51" s="23">
        <v>150</v>
      </c>
      <c r="H51" s="23"/>
      <c r="I51" s="23"/>
    </row>
    <row r="52" spans="1:9" ht="14.4" hidden="1" customHeight="1" outlineLevel="2">
      <c r="B52" s="9"/>
      <c r="C52" s="86" t="s">
        <v>18</v>
      </c>
      <c r="D52" s="21">
        <v>89</v>
      </c>
      <c r="E52" s="21">
        <v>29</v>
      </c>
      <c r="F52" s="21"/>
      <c r="G52" s="21">
        <v>70</v>
      </c>
      <c r="H52" s="21"/>
      <c r="I52" s="21"/>
    </row>
    <row r="53" spans="1:9" ht="14.4" hidden="1" customHeight="1" outlineLevel="2">
      <c r="B53" s="9"/>
      <c r="C53" s="87" t="s">
        <v>19</v>
      </c>
      <c r="D53" s="23">
        <v>44.5</v>
      </c>
      <c r="E53" s="23">
        <v>15</v>
      </c>
      <c r="F53" s="23"/>
      <c r="G53" s="23">
        <v>12.75</v>
      </c>
      <c r="H53" s="23"/>
      <c r="I53" s="23"/>
    </row>
    <row r="54" spans="1:9" ht="4.95" hidden="1" customHeight="1" outlineLevel="2">
      <c r="B54" s="9"/>
      <c r="D54" s="6"/>
      <c r="E54" s="6"/>
      <c r="F54" s="6"/>
      <c r="G54" s="6"/>
      <c r="H54" s="6"/>
      <c r="I54" s="6"/>
    </row>
    <row r="55" spans="1:9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  <c r="I55" s="6"/>
    </row>
    <row r="56" spans="1:9" ht="4.95" customHeight="1" outlineLevel="1">
      <c r="A56" s="28"/>
      <c r="B56" s="19"/>
      <c r="D56" s="6"/>
      <c r="E56" s="6"/>
      <c r="F56" s="6"/>
      <c r="G56" s="6"/>
      <c r="H56" s="6"/>
      <c r="I56" s="6"/>
    </row>
    <row r="57" spans="1:9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  <c r="I57" s="59" t="b">
        <v>0</v>
      </c>
    </row>
    <row r="58" spans="1:9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</row>
    <row r="59" spans="1:9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</row>
    <row r="60" spans="1:9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</row>
    <row r="61" spans="1:9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</row>
    <row r="62" spans="1:9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</row>
    <row r="63" spans="1:9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</row>
    <row r="64" spans="1:9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</row>
    <row r="65" spans="1:10" ht="4.95" hidden="1" customHeight="1" outlineLevel="2">
      <c r="B65" s="19"/>
      <c r="D65" s="6"/>
      <c r="E65" s="6"/>
      <c r="F65" s="6"/>
      <c r="G65" s="6"/>
      <c r="H65" s="6"/>
      <c r="I65" s="6"/>
    </row>
    <row r="66" spans="1:10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  <c r="I66" s="6"/>
    </row>
    <row r="67" spans="1:10" ht="4.95" customHeight="1">
      <c r="A67" s="28"/>
      <c r="B67" s="7"/>
      <c r="C67" s="8"/>
      <c r="D67" s="6"/>
      <c r="E67" s="6"/>
      <c r="F67" s="6"/>
      <c r="G67" s="6"/>
      <c r="H67" s="6"/>
      <c r="I67" s="6"/>
    </row>
    <row r="68" spans="1:10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0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0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0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0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0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0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0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0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0" ht="4.95" hidden="1" customHeight="1" outlineLevel="2">
      <c r="B77" s="19"/>
      <c r="C77" s="25"/>
      <c r="D77" s="26"/>
      <c r="E77" s="26"/>
      <c r="F77" s="26"/>
      <c r="G77" s="26"/>
      <c r="H77" s="26"/>
      <c r="I77" s="26"/>
    </row>
    <row r="78" spans="1:10" ht="30" customHeight="1" collapsed="1">
      <c r="C78" s="120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27" t="s">
        <v>58</v>
      </c>
      <c r="I78" s="27" t="s">
        <v>59</v>
      </c>
      <c r="J78" s="120" t="s">
        <v>20</v>
      </c>
    </row>
    <row r="79" spans="1:10">
      <c r="C79" s="29" t="b">
        <v>0</v>
      </c>
      <c r="D79" s="30">
        <v>0</v>
      </c>
      <c r="E79" s="30">
        <v>1</v>
      </c>
      <c r="F79" s="30" t="s">
        <v>66</v>
      </c>
      <c r="G79" s="30">
        <v>85</v>
      </c>
      <c r="H79" s="30" t="s">
        <v>64</v>
      </c>
      <c r="I79" s="30" t="s">
        <v>65</v>
      </c>
      <c r="J79" s="64">
        <v>1.62292014812317E+19</v>
      </c>
    </row>
    <row r="80" spans="1:10">
      <c r="C80" s="29" t="b">
        <v>0</v>
      </c>
      <c r="D80" s="30">
        <v>1</v>
      </c>
      <c r="E80" s="30">
        <v>1</v>
      </c>
      <c r="F80" s="30" t="s">
        <v>66</v>
      </c>
      <c r="G80" s="30">
        <v>85</v>
      </c>
      <c r="H80" s="30" t="s">
        <v>67</v>
      </c>
      <c r="I80" s="30" t="s">
        <v>65</v>
      </c>
      <c r="J80" s="64">
        <v>6.9446638505744499E+17</v>
      </c>
    </row>
    <row r="81" spans="3:10">
      <c r="C81" s="29" t="b">
        <v>0</v>
      </c>
      <c r="D81" s="30">
        <v>2</v>
      </c>
      <c r="E81" s="30">
        <v>1</v>
      </c>
      <c r="F81" s="30" t="s">
        <v>66</v>
      </c>
      <c r="G81" s="30">
        <v>88</v>
      </c>
      <c r="H81" s="30" t="s">
        <v>68</v>
      </c>
      <c r="I81" s="30" t="s">
        <v>65</v>
      </c>
      <c r="J81" s="64">
        <v>1.5958707606699901E+19</v>
      </c>
    </row>
    <row r="82" spans="3:10">
      <c r="C82" s="29" t="b">
        <v>0</v>
      </c>
      <c r="D82" s="30">
        <v>3</v>
      </c>
      <c r="E82" s="30">
        <v>2</v>
      </c>
      <c r="F82" s="30" t="s">
        <v>66</v>
      </c>
      <c r="G82" s="30">
        <v>90</v>
      </c>
      <c r="H82" s="30" t="s">
        <v>64</v>
      </c>
      <c r="I82" s="30" t="s">
        <v>65</v>
      </c>
      <c r="J82" s="64">
        <v>8.3538573652207503E+18</v>
      </c>
    </row>
    <row r="83" spans="3:10">
      <c r="C83" s="29" t="b">
        <v>0</v>
      </c>
      <c r="D83" s="30">
        <v>4</v>
      </c>
      <c r="E83" s="30">
        <v>2</v>
      </c>
      <c r="F83" s="30" t="s">
        <v>66</v>
      </c>
      <c r="G83" s="30">
        <v>92</v>
      </c>
      <c r="H83" s="30" t="s">
        <v>67</v>
      </c>
      <c r="I83" s="30" t="s">
        <v>65</v>
      </c>
      <c r="J83" s="64">
        <v>1.27039707926579E+19</v>
      </c>
    </row>
    <row r="84" spans="3:10">
      <c r="C84" s="29" t="b">
        <v>0</v>
      </c>
      <c r="D84" s="30">
        <v>5</v>
      </c>
      <c r="E84" s="30">
        <v>2</v>
      </c>
      <c r="F84" s="30" t="s">
        <v>66</v>
      </c>
      <c r="G84" s="30">
        <v>93</v>
      </c>
      <c r="H84" s="30" t="s">
        <v>68</v>
      </c>
      <c r="I84" s="30" t="s">
        <v>65</v>
      </c>
      <c r="J84" s="64">
        <v>7.0894234985173299E+18</v>
      </c>
    </row>
    <row r="85" spans="3:10">
      <c r="C85" s="29" t="b">
        <v>0</v>
      </c>
      <c r="D85" s="30">
        <v>6</v>
      </c>
      <c r="E85" s="30">
        <v>3</v>
      </c>
      <c r="F85" s="30" t="s">
        <v>66</v>
      </c>
      <c r="G85" s="30">
        <v>97</v>
      </c>
      <c r="H85" s="30" t="s">
        <v>64</v>
      </c>
      <c r="I85" s="30" t="s">
        <v>65</v>
      </c>
      <c r="J85" s="64">
        <v>2.72225267008354E+18</v>
      </c>
    </row>
    <row r="86" spans="3:10">
      <c r="C86" s="29" t="b">
        <v>0</v>
      </c>
      <c r="D86" s="30">
        <v>7</v>
      </c>
      <c r="E86" s="30">
        <v>3</v>
      </c>
      <c r="F86" s="30" t="s">
        <v>66</v>
      </c>
      <c r="G86" s="30">
        <v>97</v>
      </c>
      <c r="H86" s="30" t="s">
        <v>67</v>
      </c>
      <c r="I86" s="30" t="s">
        <v>65</v>
      </c>
      <c r="J86" s="64">
        <v>1.810771732842E+19</v>
      </c>
    </row>
    <row r="87" spans="3:10">
      <c r="C87" s="29" t="b">
        <v>0</v>
      </c>
      <c r="D87" s="30">
        <v>8</v>
      </c>
      <c r="E87" s="30">
        <v>3</v>
      </c>
      <c r="F87" s="30" t="s">
        <v>66</v>
      </c>
      <c r="G87" s="30">
        <v>94</v>
      </c>
      <c r="H87" s="30" t="s">
        <v>68</v>
      </c>
      <c r="I87" s="30" t="s">
        <v>65</v>
      </c>
      <c r="J87" s="64">
        <v>1.5982225516533801E+19</v>
      </c>
    </row>
    <row r="88" spans="3:10">
      <c r="C88" s="29" t="b">
        <v>0</v>
      </c>
      <c r="D88" s="30">
        <v>9</v>
      </c>
      <c r="E88" s="30">
        <v>4</v>
      </c>
      <c r="F88" s="30" t="s">
        <v>66</v>
      </c>
      <c r="G88" s="30">
        <v>80</v>
      </c>
      <c r="H88" s="30" t="s">
        <v>64</v>
      </c>
      <c r="I88" s="30" t="s">
        <v>65</v>
      </c>
      <c r="J88" s="64">
        <v>1.8050621100604299E+19</v>
      </c>
    </row>
    <row r="89" spans="3:10">
      <c r="C89" s="29" t="b">
        <v>0</v>
      </c>
      <c r="D89" s="30">
        <v>10</v>
      </c>
      <c r="E89" s="30">
        <v>4</v>
      </c>
      <c r="F89" s="30" t="s">
        <v>66</v>
      </c>
      <c r="G89" s="30">
        <v>82</v>
      </c>
      <c r="H89" s="30" t="s">
        <v>67</v>
      </c>
      <c r="I89" s="30" t="s">
        <v>65</v>
      </c>
      <c r="J89" s="64">
        <v>5.6675260985047695E+18</v>
      </c>
    </row>
    <row r="90" spans="3:10">
      <c r="C90" s="29" t="b">
        <v>0</v>
      </c>
      <c r="D90" s="30">
        <v>11</v>
      </c>
      <c r="E90" s="30">
        <v>4</v>
      </c>
      <c r="F90" s="30" t="s">
        <v>66</v>
      </c>
      <c r="G90" s="30">
        <v>83</v>
      </c>
      <c r="H90" s="30" t="s">
        <v>68</v>
      </c>
      <c r="I90" s="30" t="s">
        <v>65</v>
      </c>
      <c r="J90" s="64">
        <v>1.00550811257023E+19</v>
      </c>
    </row>
    <row r="91" spans="3:10">
      <c r="C91" s="29" t="b">
        <v>0</v>
      </c>
      <c r="D91" s="30">
        <v>12</v>
      </c>
      <c r="E91" s="30">
        <v>5</v>
      </c>
      <c r="F91" s="30" t="s">
        <v>66</v>
      </c>
      <c r="G91" s="30">
        <v>91</v>
      </c>
      <c r="H91" s="30" t="s">
        <v>64</v>
      </c>
      <c r="I91" s="30" t="s">
        <v>65</v>
      </c>
      <c r="J91" s="64">
        <v>9.10401048981619E+18</v>
      </c>
    </row>
    <row r="92" spans="3:10">
      <c r="C92" s="29" t="b">
        <v>0</v>
      </c>
      <c r="D92" s="30">
        <v>13</v>
      </c>
      <c r="E92" s="30">
        <v>5</v>
      </c>
      <c r="F92" s="30" t="s">
        <v>66</v>
      </c>
      <c r="G92" s="30">
        <v>92</v>
      </c>
      <c r="H92" s="30" t="s">
        <v>67</v>
      </c>
      <c r="I92" s="30" t="s">
        <v>65</v>
      </c>
      <c r="J92" s="64">
        <v>1.74252440074095E+19</v>
      </c>
    </row>
    <row r="93" spans="3:10">
      <c r="C93" s="29" t="b">
        <v>0</v>
      </c>
      <c r="D93" s="30">
        <v>14</v>
      </c>
      <c r="E93" s="30">
        <v>5</v>
      </c>
      <c r="F93" s="30" t="s">
        <v>66</v>
      </c>
      <c r="G93" s="30">
        <v>91</v>
      </c>
      <c r="H93" s="30" t="s">
        <v>68</v>
      </c>
      <c r="I93" s="30" t="s">
        <v>65</v>
      </c>
      <c r="J93" s="64">
        <v>6.52481734424623E+18</v>
      </c>
    </row>
    <row r="94" spans="3:10">
      <c r="C94" s="29" t="b">
        <v>0</v>
      </c>
      <c r="D94" s="30">
        <v>15</v>
      </c>
      <c r="E94" s="30">
        <v>6</v>
      </c>
      <c r="F94" s="30" t="s">
        <v>63</v>
      </c>
      <c r="G94" s="30">
        <v>83</v>
      </c>
      <c r="H94" s="30" t="s">
        <v>64</v>
      </c>
      <c r="I94" s="30" t="s">
        <v>65</v>
      </c>
      <c r="J94" s="64">
        <v>1.0517608725703E+19</v>
      </c>
    </row>
    <row r="95" spans="3:10">
      <c r="C95" s="29" t="b">
        <v>0</v>
      </c>
      <c r="D95" s="30">
        <v>16</v>
      </c>
      <c r="E95" s="30">
        <v>6</v>
      </c>
      <c r="F95" s="30" t="s">
        <v>63</v>
      </c>
      <c r="G95" s="30">
        <v>83</v>
      </c>
      <c r="H95" s="30" t="s">
        <v>67</v>
      </c>
      <c r="I95" s="30" t="s">
        <v>65</v>
      </c>
      <c r="J95" s="64">
        <v>1.04101395565626E+19</v>
      </c>
    </row>
    <row r="96" spans="3:10">
      <c r="C96" s="29" t="b">
        <v>0</v>
      </c>
      <c r="D96" s="30">
        <v>17</v>
      </c>
      <c r="E96" s="30">
        <v>6</v>
      </c>
      <c r="F96" s="30" t="s">
        <v>63</v>
      </c>
      <c r="G96" s="30">
        <v>84</v>
      </c>
      <c r="H96" s="30" t="s">
        <v>68</v>
      </c>
      <c r="I96" s="30" t="s">
        <v>65</v>
      </c>
      <c r="J96" s="64">
        <v>1.6414087577004401E+19</v>
      </c>
    </row>
    <row r="97" spans="3:10">
      <c r="C97" s="29" t="b">
        <v>0</v>
      </c>
      <c r="D97" s="30">
        <v>18</v>
      </c>
      <c r="E97" s="30">
        <v>7</v>
      </c>
      <c r="F97" s="30" t="s">
        <v>63</v>
      </c>
      <c r="G97" s="30">
        <v>87</v>
      </c>
      <c r="H97" s="30" t="s">
        <v>64</v>
      </c>
      <c r="I97" s="30" t="s">
        <v>65</v>
      </c>
      <c r="J97" s="64">
        <v>8.1439533612318095E+18</v>
      </c>
    </row>
    <row r="98" spans="3:10">
      <c r="C98" s="29" t="b">
        <v>0</v>
      </c>
      <c r="D98" s="30">
        <v>19</v>
      </c>
      <c r="E98" s="30">
        <v>7</v>
      </c>
      <c r="F98" s="30" t="s">
        <v>63</v>
      </c>
      <c r="G98" s="30">
        <v>88</v>
      </c>
      <c r="H98" s="30" t="s">
        <v>67</v>
      </c>
      <c r="I98" s="30" t="s">
        <v>65</v>
      </c>
      <c r="J98" s="64">
        <v>1.4474663048024799E+19</v>
      </c>
    </row>
    <row r="99" spans="3:10">
      <c r="C99" s="29" t="b">
        <v>0</v>
      </c>
      <c r="D99" s="30">
        <v>20</v>
      </c>
      <c r="E99" s="30">
        <v>7</v>
      </c>
      <c r="F99" s="30" t="s">
        <v>63</v>
      </c>
      <c r="G99" s="30">
        <v>90</v>
      </c>
      <c r="H99" s="30" t="s">
        <v>68</v>
      </c>
      <c r="I99" s="30" t="s">
        <v>65</v>
      </c>
      <c r="J99" s="64">
        <v>7.6044694733974405E+18</v>
      </c>
    </row>
    <row r="100" spans="3:10">
      <c r="C100" s="29" t="b">
        <v>0</v>
      </c>
      <c r="D100" s="30">
        <v>21</v>
      </c>
      <c r="E100" s="30">
        <v>8</v>
      </c>
      <c r="F100" s="30" t="s">
        <v>63</v>
      </c>
      <c r="G100" s="30">
        <v>92</v>
      </c>
      <c r="H100" s="30" t="s">
        <v>64</v>
      </c>
      <c r="I100" s="30" t="s">
        <v>65</v>
      </c>
      <c r="J100" s="64">
        <v>6.4419975520489595E+18</v>
      </c>
    </row>
    <row r="101" spans="3:10">
      <c r="C101" s="29" t="b">
        <v>0</v>
      </c>
      <c r="D101" s="30">
        <v>22</v>
      </c>
      <c r="E101" s="30">
        <v>8</v>
      </c>
      <c r="F101" s="30" t="s">
        <v>63</v>
      </c>
      <c r="G101" s="30">
        <v>94</v>
      </c>
      <c r="H101" s="30" t="s">
        <v>67</v>
      </c>
      <c r="I101" s="30" t="s">
        <v>65</v>
      </c>
      <c r="J101" s="64">
        <v>4.4384268874037002E+18</v>
      </c>
    </row>
    <row r="102" spans="3:10">
      <c r="C102" s="29" t="b">
        <v>0</v>
      </c>
      <c r="D102" s="30">
        <v>23</v>
      </c>
      <c r="E102" s="30">
        <v>8</v>
      </c>
      <c r="F102" s="30" t="s">
        <v>63</v>
      </c>
      <c r="G102" s="30">
        <v>95</v>
      </c>
      <c r="H102" s="30" t="s">
        <v>68</v>
      </c>
      <c r="I102" s="30" t="s">
        <v>65</v>
      </c>
      <c r="J102" s="64">
        <v>1.30831145249997E+19</v>
      </c>
    </row>
    <row r="103" spans="3:10">
      <c r="C103" s="29" t="b">
        <v>0</v>
      </c>
      <c r="D103" s="30">
        <v>24</v>
      </c>
      <c r="E103" s="30">
        <v>9</v>
      </c>
      <c r="F103" s="30" t="s">
        <v>63</v>
      </c>
      <c r="G103" s="30">
        <v>97</v>
      </c>
      <c r="H103" s="30" t="s">
        <v>64</v>
      </c>
      <c r="I103" s="30" t="s">
        <v>65</v>
      </c>
      <c r="J103" s="64">
        <v>5.05068530823768E+17</v>
      </c>
    </row>
    <row r="104" spans="3:10">
      <c r="C104" s="29" t="b">
        <v>0</v>
      </c>
      <c r="D104" s="30">
        <v>25</v>
      </c>
      <c r="E104" s="30">
        <v>9</v>
      </c>
      <c r="F104" s="30" t="s">
        <v>63</v>
      </c>
      <c r="G104" s="30">
        <v>99</v>
      </c>
      <c r="H104" s="30" t="s">
        <v>67</v>
      </c>
      <c r="I104" s="30" t="s">
        <v>65</v>
      </c>
      <c r="J104" s="64">
        <v>1.8080134267438999E+18</v>
      </c>
    </row>
    <row r="105" spans="3:10">
      <c r="C105" s="29" t="b">
        <v>0</v>
      </c>
      <c r="D105" s="30">
        <v>26</v>
      </c>
      <c r="E105" s="30">
        <v>9</v>
      </c>
      <c r="F105" s="30" t="s">
        <v>63</v>
      </c>
      <c r="G105" s="30">
        <v>96</v>
      </c>
      <c r="H105" s="30" t="s">
        <v>68</v>
      </c>
      <c r="I105" s="30" t="s">
        <v>65</v>
      </c>
      <c r="J105" s="64">
        <v>1.0111043548281801E+19</v>
      </c>
    </row>
    <row r="106" spans="3:10">
      <c r="C106" s="29" t="b">
        <v>0</v>
      </c>
      <c r="D106" s="30">
        <v>27</v>
      </c>
      <c r="E106" s="30">
        <v>10</v>
      </c>
      <c r="F106" s="30" t="s">
        <v>63</v>
      </c>
      <c r="G106" s="30">
        <v>100</v>
      </c>
      <c r="H106" s="30" t="s">
        <v>64</v>
      </c>
      <c r="I106" s="30" t="s">
        <v>65</v>
      </c>
      <c r="J106" s="64">
        <v>6.9928519025057096E+18</v>
      </c>
    </row>
    <row r="107" spans="3:10">
      <c r="C107" s="29" t="b">
        <v>0</v>
      </c>
      <c r="D107" s="30">
        <v>28</v>
      </c>
      <c r="E107" s="30">
        <v>10</v>
      </c>
      <c r="F107" s="30" t="s">
        <v>63</v>
      </c>
      <c r="G107" s="30">
        <v>97</v>
      </c>
      <c r="H107" s="30" t="s">
        <v>67</v>
      </c>
      <c r="I107" s="30" t="s">
        <v>65</v>
      </c>
      <c r="J107" s="64">
        <v>7.00843686094861E+18</v>
      </c>
    </row>
    <row r="108" spans="3:10">
      <c r="C108" s="29" t="b">
        <v>0</v>
      </c>
      <c r="D108" s="30">
        <v>29</v>
      </c>
      <c r="E108" s="30">
        <v>10</v>
      </c>
      <c r="F108" s="30" t="s">
        <v>63</v>
      </c>
      <c r="G108" s="30">
        <v>100</v>
      </c>
      <c r="H108" s="30" t="s">
        <v>68</v>
      </c>
      <c r="I108" s="30" t="s">
        <v>65</v>
      </c>
      <c r="J108" s="64">
        <v>1.76719212895238E+19</v>
      </c>
    </row>
    <row r="109" spans="3:10">
      <c r="C109" s="29" t="b">
        <v>0</v>
      </c>
      <c r="D109" s="30">
        <v>30</v>
      </c>
      <c r="E109" s="30">
        <v>11</v>
      </c>
      <c r="F109" s="30" t="s">
        <v>66</v>
      </c>
      <c r="G109" s="30">
        <v>86</v>
      </c>
      <c r="H109" s="30" t="s">
        <v>64</v>
      </c>
      <c r="I109" s="30" t="s">
        <v>69</v>
      </c>
      <c r="J109" s="64">
        <v>1.6291022395097201E+18</v>
      </c>
    </row>
    <row r="110" spans="3:10">
      <c r="C110" s="29" t="b">
        <v>0</v>
      </c>
      <c r="D110" s="30">
        <v>31</v>
      </c>
      <c r="E110" s="30">
        <v>11</v>
      </c>
      <c r="F110" s="30" t="s">
        <v>66</v>
      </c>
      <c r="G110" s="30">
        <v>86</v>
      </c>
      <c r="H110" s="30" t="s">
        <v>67</v>
      </c>
      <c r="I110" s="30" t="s">
        <v>69</v>
      </c>
      <c r="J110" s="64">
        <v>5.3945955197629696E+18</v>
      </c>
    </row>
    <row r="111" spans="3:10">
      <c r="C111" s="29" t="b">
        <v>0</v>
      </c>
      <c r="D111" s="30">
        <v>32</v>
      </c>
      <c r="E111" s="30">
        <v>11</v>
      </c>
      <c r="F111" s="30" t="s">
        <v>66</v>
      </c>
      <c r="G111" s="30">
        <v>84</v>
      </c>
      <c r="H111" s="30" t="s">
        <v>68</v>
      </c>
      <c r="I111" s="30" t="s">
        <v>69</v>
      </c>
      <c r="J111" s="64">
        <v>8.91609429113843E+18</v>
      </c>
    </row>
    <row r="112" spans="3:10">
      <c r="C112" s="29" t="b">
        <v>0</v>
      </c>
      <c r="D112" s="30">
        <v>33</v>
      </c>
      <c r="E112" s="30">
        <v>12</v>
      </c>
      <c r="F112" s="30" t="s">
        <v>66</v>
      </c>
      <c r="G112" s="30">
        <v>93</v>
      </c>
      <c r="H112" s="30" t="s">
        <v>64</v>
      </c>
      <c r="I112" s="30" t="s">
        <v>69</v>
      </c>
      <c r="J112" s="64">
        <v>1.5066792664476799E+19</v>
      </c>
    </row>
    <row r="113" spans="3:10">
      <c r="C113" s="29" t="b">
        <v>0</v>
      </c>
      <c r="D113" s="30">
        <v>34</v>
      </c>
      <c r="E113" s="30">
        <v>12</v>
      </c>
      <c r="F113" s="30" t="s">
        <v>66</v>
      </c>
      <c r="G113" s="30">
        <v>103</v>
      </c>
      <c r="H113" s="30" t="s">
        <v>67</v>
      </c>
      <c r="I113" s="30" t="s">
        <v>69</v>
      </c>
      <c r="J113" s="64">
        <v>7.3773753046456904E+18</v>
      </c>
    </row>
    <row r="114" spans="3:10">
      <c r="C114" s="29" t="b">
        <v>0</v>
      </c>
      <c r="D114" s="30">
        <v>35</v>
      </c>
      <c r="E114" s="30">
        <v>12</v>
      </c>
      <c r="F114" s="30" t="s">
        <v>66</v>
      </c>
      <c r="G114" s="30">
        <v>104</v>
      </c>
      <c r="H114" s="30" t="s">
        <v>68</v>
      </c>
      <c r="I114" s="30" t="s">
        <v>69</v>
      </c>
      <c r="J114" s="64">
        <v>1.79671021156108E+19</v>
      </c>
    </row>
    <row r="115" spans="3:10">
      <c r="C115" s="29" t="b">
        <v>0</v>
      </c>
      <c r="D115" s="30">
        <v>36</v>
      </c>
      <c r="E115" s="30">
        <v>13</v>
      </c>
      <c r="F115" s="30" t="s">
        <v>66</v>
      </c>
      <c r="G115" s="30">
        <v>90</v>
      </c>
      <c r="H115" s="30" t="s">
        <v>64</v>
      </c>
      <c r="I115" s="30" t="s">
        <v>69</v>
      </c>
      <c r="J115" s="64">
        <v>8.1887459650300703E+18</v>
      </c>
    </row>
    <row r="116" spans="3:10">
      <c r="C116" s="29" t="b">
        <v>0</v>
      </c>
      <c r="D116" s="30">
        <v>37</v>
      </c>
      <c r="E116" s="30">
        <v>13</v>
      </c>
      <c r="F116" s="30" t="s">
        <v>66</v>
      </c>
      <c r="G116" s="30">
        <v>92</v>
      </c>
      <c r="H116" s="30" t="s">
        <v>67</v>
      </c>
      <c r="I116" s="30" t="s">
        <v>69</v>
      </c>
      <c r="J116" s="64">
        <v>1.23916969077934E+19</v>
      </c>
    </row>
    <row r="117" spans="3:10">
      <c r="C117" s="29" t="b">
        <v>0</v>
      </c>
      <c r="D117" s="30">
        <v>38</v>
      </c>
      <c r="E117" s="30">
        <v>13</v>
      </c>
      <c r="F117" s="30" t="s">
        <v>66</v>
      </c>
      <c r="G117" s="30">
        <v>93</v>
      </c>
      <c r="H117" s="30" t="s">
        <v>68</v>
      </c>
      <c r="I117" s="30" t="s">
        <v>69</v>
      </c>
      <c r="J117" s="64">
        <v>1.3548048048061399E+19</v>
      </c>
    </row>
    <row r="118" spans="3:10">
      <c r="C118" s="29" t="b">
        <v>0</v>
      </c>
      <c r="D118" s="30">
        <v>39</v>
      </c>
      <c r="E118" s="30">
        <v>14</v>
      </c>
      <c r="F118" s="30" t="s">
        <v>66</v>
      </c>
      <c r="G118" s="30">
        <v>95</v>
      </c>
      <c r="H118" s="30" t="s">
        <v>64</v>
      </c>
      <c r="I118" s="30" t="s">
        <v>69</v>
      </c>
      <c r="J118" s="64">
        <v>1.79324881245497E+19</v>
      </c>
    </row>
    <row r="119" spans="3:10">
      <c r="C119" s="29" t="b">
        <v>0</v>
      </c>
      <c r="D119" s="30">
        <v>40</v>
      </c>
      <c r="E119" s="30">
        <v>14</v>
      </c>
      <c r="F119" s="30" t="s">
        <v>66</v>
      </c>
      <c r="G119" s="30">
        <v>96</v>
      </c>
      <c r="H119" s="30" t="s">
        <v>67</v>
      </c>
      <c r="I119" s="30" t="s">
        <v>69</v>
      </c>
      <c r="J119" s="64">
        <v>1.5767267051337699E+19</v>
      </c>
    </row>
    <row r="120" spans="3:10">
      <c r="C120" s="29" t="b">
        <v>0</v>
      </c>
      <c r="D120" s="30">
        <v>41</v>
      </c>
      <c r="E120" s="30">
        <v>14</v>
      </c>
      <c r="F120" s="30" t="s">
        <v>66</v>
      </c>
      <c r="G120" s="30">
        <v>100</v>
      </c>
      <c r="H120" s="30" t="s">
        <v>68</v>
      </c>
      <c r="I120" s="30" t="s">
        <v>69</v>
      </c>
      <c r="J120" s="64">
        <v>1.28060828863663E+19</v>
      </c>
    </row>
    <row r="121" spans="3:10">
      <c r="C121" s="29" t="b">
        <v>0</v>
      </c>
      <c r="D121" s="30">
        <v>42</v>
      </c>
      <c r="E121" s="30">
        <v>15</v>
      </c>
      <c r="F121" s="30" t="s">
        <v>66</v>
      </c>
      <c r="G121" s="30">
        <v>89</v>
      </c>
      <c r="H121" s="30" t="s">
        <v>64</v>
      </c>
      <c r="I121" s="30" t="s">
        <v>69</v>
      </c>
      <c r="J121" s="64">
        <v>1.0951473571314801E+19</v>
      </c>
    </row>
    <row r="122" spans="3:10">
      <c r="C122" s="29" t="b">
        <v>0</v>
      </c>
      <c r="D122" s="30">
        <v>43</v>
      </c>
      <c r="E122" s="30">
        <v>15</v>
      </c>
      <c r="F122" s="30" t="s">
        <v>66</v>
      </c>
      <c r="G122" s="30">
        <v>96</v>
      </c>
      <c r="H122" s="30" t="s">
        <v>67</v>
      </c>
      <c r="I122" s="30" t="s">
        <v>69</v>
      </c>
      <c r="J122" s="64">
        <v>9.1675309937202504E+18</v>
      </c>
    </row>
    <row r="123" spans="3:10">
      <c r="C123" s="29" t="b">
        <v>0</v>
      </c>
      <c r="D123" s="30">
        <v>44</v>
      </c>
      <c r="E123" s="30">
        <v>15</v>
      </c>
      <c r="F123" s="30" t="s">
        <v>66</v>
      </c>
      <c r="G123" s="30">
        <v>95</v>
      </c>
      <c r="H123" s="30" t="s">
        <v>68</v>
      </c>
      <c r="I123" s="30" t="s">
        <v>69</v>
      </c>
      <c r="J123" s="64">
        <v>8.29624044732544E+17</v>
      </c>
    </row>
    <row r="124" spans="3:10">
      <c r="C124" s="29" t="b">
        <v>0</v>
      </c>
      <c r="D124" s="30">
        <v>45</v>
      </c>
      <c r="E124" s="30">
        <v>16</v>
      </c>
      <c r="F124" s="30" t="s">
        <v>63</v>
      </c>
      <c r="G124" s="30">
        <v>84</v>
      </c>
      <c r="H124" s="30" t="s">
        <v>64</v>
      </c>
      <c r="I124" s="30" t="s">
        <v>69</v>
      </c>
      <c r="J124" s="64">
        <v>8.8104798277210696E+18</v>
      </c>
    </row>
    <row r="125" spans="3:10">
      <c r="C125" s="29" t="b">
        <v>0</v>
      </c>
      <c r="D125" s="30">
        <v>46</v>
      </c>
      <c r="E125" s="30">
        <v>16</v>
      </c>
      <c r="F125" s="30" t="s">
        <v>63</v>
      </c>
      <c r="G125" s="30">
        <v>86</v>
      </c>
      <c r="H125" s="30" t="s">
        <v>67</v>
      </c>
      <c r="I125" s="30" t="s">
        <v>69</v>
      </c>
      <c r="J125" s="64">
        <v>1.5777427192724099E+19</v>
      </c>
    </row>
    <row r="126" spans="3:10">
      <c r="C126" s="29" t="b">
        <v>0</v>
      </c>
      <c r="D126" s="30">
        <v>47</v>
      </c>
      <c r="E126" s="30">
        <v>16</v>
      </c>
      <c r="F126" s="30" t="s">
        <v>63</v>
      </c>
      <c r="G126" s="30">
        <v>89</v>
      </c>
      <c r="H126" s="30" t="s">
        <v>68</v>
      </c>
      <c r="I126" s="30" t="s">
        <v>69</v>
      </c>
      <c r="J126" s="64">
        <v>1.56018356436736E+19</v>
      </c>
    </row>
    <row r="127" spans="3:10">
      <c r="C127" s="29" t="b">
        <v>0</v>
      </c>
      <c r="D127" s="30">
        <v>48</v>
      </c>
      <c r="E127" s="30">
        <v>17</v>
      </c>
      <c r="F127" s="30" t="s">
        <v>63</v>
      </c>
      <c r="G127" s="30">
        <v>103</v>
      </c>
      <c r="H127" s="30" t="s">
        <v>64</v>
      </c>
      <c r="I127" s="30" t="s">
        <v>69</v>
      </c>
      <c r="J127" s="64">
        <v>6.4975241080470303E+18</v>
      </c>
    </row>
    <row r="128" spans="3:10">
      <c r="C128" s="29" t="b">
        <v>0</v>
      </c>
      <c r="D128" s="30">
        <v>49</v>
      </c>
      <c r="E128" s="30">
        <v>17</v>
      </c>
      <c r="F128" s="30" t="s">
        <v>63</v>
      </c>
      <c r="G128" s="30">
        <v>109</v>
      </c>
      <c r="H128" s="30" t="s">
        <v>67</v>
      </c>
      <c r="I128" s="30" t="s">
        <v>69</v>
      </c>
      <c r="J128" s="64">
        <v>8.8001109301280102E+18</v>
      </c>
    </row>
    <row r="129" spans="3:10">
      <c r="C129" s="29" t="b">
        <v>0</v>
      </c>
      <c r="D129" s="30">
        <v>50</v>
      </c>
      <c r="E129" s="30">
        <v>17</v>
      </c>
      <c r="F129" s="30" t="s">
        <v>63</v>
      </c>
      <c r="G129" s="30">
        <v>90</v>
      </c>
      <c r="H129" s="30" t="s">
        <v>68</v>
      </c>
      <c r="I129" s="30" t="s">
        <v>69</v>
      </c>
      <c r="J129" s="64">
        <v>5.42217215998046E+18</v>
      </c>
    </row>
    <row r="130" spans="3:10">
      <c r="C130" s="29" t="b">
        <v>0</v>
      </c>
      <c r="D130" s="30">
        <v>51</v>
      </c>
      <c r="E130" s="30">
        <v>18</v>
      </c>
      <c r="F130" s="30" t="s">
        <v>63</v>
      </c>
      <c r="G130" s="30">
        <v>92</v>
      </c>
      <c r="H130" s="30" t="s">
        <v>64</v>
      </c>
      <c r="I130" s="30" t="s">
        <v>69</v>
      </c>
      <c r="J130" s="64">
        <v>9.6867683988585001E+18</v>
      </c>
    </row>
    <row r="131" spans="3:10">
      <c r="C131" s="29" t="b">
        <v>0</v>
      </c>
      <c r="D131" s="30">
        <v>52</v>
      </c>
      <c r="E131" s="30">
        <v>18</v>
      </c>
      <c r="F131" s="30" t="s">
        <v>63</v>
      </c>
      <c r="G131" s="30">
        <v>96</v>
      </c>
      <c r="H131" s="30" t="s">
        <v>67</v>
      </c>
      <c r="I131" s="30" t="s">
        <v>69</v>
      </c>
      <c r="J131" s="64">
        <v>1.43372791101034E+19</v>
      </c>
    </row>
    <row r="132" spans="3:10">
      <c r="C132" s="29" t="b">
        <v>0</v>
      </c>
      <c r="D132" s="30">
        <v>53</v>
      </c>
      <c r="E132" s="30">
        <v>18</v>
      </c>
      <c r="F132" s="30" t="s">
        <v>63</v>
      </c>
      <c r="G132" s="30">
        <v>101</v>
      </c>
      <c r="H132" s="30" t="s">
        <v>68</v>
      </c>
      <c r="I132" s="30" t="s">
        <v>69</v>
      </c>
      <c r="J132" s="64">
        <v>1.84265635317055E+19</v>
      </c>
    </row>
    <row r="133" spans="3:10">
      <c r="C133" s="29" t="b">
        <v>0</v>
      </c>
      <c r="D133" s="30">
        <v>54</v>
      </c>
      <c r="E133" s="30">
        <v>19</v>
      </c>
      <c r="F133" s="30" t="s">
        <v>63</v>
      </c>
      <c r="G133" s="30">
        <v>97</v>
      </c>
      <c r="H133" s="30" t="s">
        <v>64</v>
      </c>
      <c r="I133" s="30" t="s">
        <v>69</v>
      </c>
      <c r="J133" s="64">
        <v>1.6727660210265001E+18</v>
      </c>
    </row>
    <row r="134" spans="3:10">
      <c r="C134" s="29" t="b">
        <v>0</v>
      </c>
      <c r="D134" s="30">
        <v>55</v>
      </c>
      <c r="E134" s="30">
        <v>19</v>
      </c>
      <c r="F134" s="30" t="s">
        <v>63</v>
      </c>
      <c r="G134" s="30">
        <v>98</v>
      </c>
      <c r="H134" s="30" t="s">
        <v>67</v>
      </c>
      <c r="I134" s="30" t="s">
        <v>69</v>
      </c>
      <c r="J134" s="64">
        <v>7.1103376745796004E+18</v>
      </c>
    </row>
    <row r="135" spans="3:10">
      <c r="C135" s="29" t="b">
        <v>0</v>
      </c>
      <c r="D135" s="30">
        <v>56</v>
      </c>
      <c r="E135" s="30">
        <v>19</v>
      </c>
      <c r="F135" s="30" t="s">
        <v>63</v>
      </c>
      <c r="G135" s="30">
        <v>100</v>
      </c>
      <c r="H135" s="30" t="s">
        <v>68</v>
      </c>
      <c r="I135" s="30" t="s">
        <v>69</v>
      </c>
      <c r="J135" s="64">
        <v>1.7028593821899399E+19</v>
      </c>
    </row>
    <row r="136" spans="3:10">
      <c r="C136" s="29" t="b">
        <v>0</v>
      </c>
      <c r="D136" s="30">
        <v>57</v>
      </c>
      <c r="E136" s="30">
        <v>20</v>
      </c>
      <c r="F136" s="30" t="s">
        <v>63</v>
      </c>
      <c r="G136" s="30">
        <v>102</v>
      </c>
      <c r="H136" s="30" t="s">
        <v>64</v>
      </c>
      <c r="I136" s="30" t="s">
        <v>69</v>
      </c>
      <c r="J136" s="64">
        <v>7.9481206572055204E+18</v>
      </c>
    </row>
    <row r="137" spans="3:10">
      <c r="C137" s="29" t="b">
        <v>0</v>
      </c>
      <c r="D137" s="30">
        <v>58</v>
      </c>
      <c r="E137" s="30">
        <v>20</v>
      </c>
      <c r="F137" s="30" t="s">
        <v>63</v>
      </c>
      <c r="G137" s="30">
        <v>104</v>
      </c>
      <c r="H137" s="30" t="s">
        <v>67</v>
      </c>
      <c r="I137" s="30" t="s">
        <v>69</v>
      </c>
      <c r="J137" s="64">
        <v>1.5131765674225701E+19</v>
      </c>
    </row>
    <row r="138" spans="3:10">
      <c r="C138" s="29" t="b">
        <v>0</v>
      </c>
      <c r="D138" s="30">
        <v>59</v>
      </c>
      <c r="E138" s="30">
        <v>20</v>
      </c>
      <c r="F138" s="30" t="s">
        <v>63</v>
      </c>
      <c r="G138" s="30">
        <v>103</v>
      </c>
      <c r="H138" s="30" t="s">
        <v>68</v>
      </c>
      <c r="I138" s="30" t="s">
        <v>69</v>
      </c>
      <c r="J138" s="64">
        <v>1.7778494721148801E+19</v>
      </c>
    </row>
    <row r="139" spans="3:10">
      <c r="C139" s="29" t="b">
        <v>0</v>
      </c>
      <c r="D139" s="30">
        <v>60</v>
      </c>
      <c r="E139" s="30">
        <v>21</v>
      </c>
      <c r="F139" s="30" t="s">
        <v>66</v>
      </c>
      <c r="G139" s="30">
        <v>93</v>
      </c>
      <c r="H139" s="30" t="s">
        <v>64</v>
      </c>
      <c r="I139" s="30" t="s">
        <v>70</v>
      </c>
      <c r="J139" s="64">
        <v>7.7052917099779901E+18</v>
      </c>
    </row>
    <row r="140" spans="3:10">
      <c r="C140" s="29" t="b">
        <v>0</v>
      </c>
      <c r="D140" s="30">
        <v>61</v>
      </c>
      <c r="E140" s="30">
        <v>21</v>
      </c>
      <c r="F140" s="30" t="s">
        <v>66</v>
      </c>
      <c r="G140" s="30">
        <v>98</v>
      </c>
      <c r="H140" s="30" t="s">
        <v>67</v>
      </c>
      <c r="I140" s="30" t="s">
        <v>70</v>
      </c>
      <c r="J140" s="64">
        <v>1.40346151170024E+19</v>
      </c>
    </row>
    <row r="141" spans="3:10">
      <c r="C141" s="29" t="b">
        <v>0</v>
      </c>
      <c r="D141" s="30">
        <v>62</v>
      </c>
      <c r="E141" s="30">
        <v>21</v>
      </c>
      <c r="F141" s="30" t="s">
        <v>66</v>
      </c>
      <c r="G141" s="30">
        <v>110</v>
      </c>
      <c r="H141" s="30" t="s">
        <v>68</v>
      </c>
      <c r="I141" s="30" t="s">
        <v>70</v>
      </c>
      <c r="J141" s="64">
        <v>2.91853595620335E+18</v>
      </c>
    </row>
    <row r="142" spans="3:10">
      <c r="C142" s="29" t="b">
        <v>0</v>
      </c>
      <c r="D142" s="30">
        <v>63</v>
      </c>
      <c r="E142" s="30">
        <v>22</v>
      </c>
      <c r="F142" s="30" t="s">
        <v>66</v>
      </c>
      <c r="G142" s="30">
        <v>98</v>
      </c>
      <c r="H142" s="30" t="s">
        <v>64</v>
      </c>
      <c r="I142" s="30" t="s">
        <v>70</v>
      </c>
      <c r="J142" s="64">
        <v>9.8241705886813491E+18</v>
      </c>
    </row>
    <row r="143" spans="3:10">
      <c r="C143" s="29" t="b">
        <v>0</v>
      </c>
      <c r="D143" s="30">
        <v>64</v>
      </c>
      <c r="E143" s="30">
        <v>22</v>
      </c>
      <c r="F143" s="30" t="s">
        <v>66</v>
      </c>
      <c r="G143" s="30">
        <v>104</v>
      </c>
      <c r="H143" s="30" t="s">
        <v>67</v>
      </c>
      <c r="I143" s="30" t="s">
        <v>70</v>
      </c>
      <c r="J143" s="64">
        <v>6.5156832495146301E+18</v>
      </c>
    </row>
    <row r="144" spans="3:10">
      <c r="C144" s="29" t="b">
        <v>0</v>
      </c>
      <c r="D144" s="30">
        <v>65</v>
      </c>
      <c r="E144" s="30">
        <v>22</v>
      </c>
      <c r="F144" s="30" t="s">
        <v>66</v>
      </c>
      <c r="G144" s="30">
        <v>112</v>
      </c>
      <c r="H144" s="30" t="s">
        <v>68</v>
      </c>
      <c r="I144" s="30" t="s">
        <v>70</v>
      </c>
      <c r="J144" s="64">
        <v>1.7029550121720701E+19</v>
      </c>
    </row>
    <row r="145" spans="3:10">
      <c r="C145" s="29" t="b">
        <v>0</v>
      </c>
      <c r="D145" s="30">
        <v>66</v>
      </c>
      <c r="E145" s="30">
        <v>23</v>
      </c>
      <c r="F145" s="30" t="s">
        <v>66</v>
      </c>
      <c r="G145" s="30">
        <v>98</v>
      </c>
      <c r="H145" s="30" t="s">
        <v>64</v>
      </c>
      <c r="I145" s="30" t="s">
        <v>70</v>
      </c>
      <c r="J145" s="64">
        <v>9.4210575256712008E+18</v>
      </c>
    </row>
    <row r="146" spans="3:10">
      <c r="C146" s="29" t="b">
        <v>0</v>
      </c>
      <c r="D146" s="30">
        <v>67</v>
      </c>
      <c r="E146" s="30">
        <v>23</v>
      </c>
      <c r="F146" s="30" t="s">
        <v>66</v>
      </c>
      <c r="G146" s="30">
        <v>105</v>
      </c>
      <c r="H146" s="30" t="s">
        <v>67</v>
      </c>
      <c r="I146" s="30" t="s">
        <v>70</v>
      </c>
      <c r="J146" s="64">
        <v>5.2261794965347502E+18</v>
      </c>
    </row>
    <row r="147" spans="3:10">
      <c r="C147" s="29" t="b">
        <v>0</v>
      </c>
      <c r="D147" s="30">
        <v>68</v>
      </c>
      <c r="E147" s="30">
        <v>23</v>
      </c>
      <c r="F147" s="30" t="s">
        <v>66</v>
      </c>
      <c r="G147" s="30">
        <v>99</v>
      </c>
      <c r="H147" s="30" t="s">
        <v>68</v>
      </c>
      <c r="I147" s="30" t="s">
        <v>70</v>
      </c>
      <c r="J147" s="64">
        <v>4.0126524949893901E+17</v>
      </c>
    </row>
    <row r="148" spans="3:10">
      <c r="C148" s="29" t="b">
        <v>0</v>
      </c>
      <c r="D148" s="30">
        <v>69</v>
      </c>
      <c r="E148" s="30">
        <v>24</v>
      </c>
      <c r="F148" s="30" t="s">
        <v>66</v>
      </c>
      <c r="G148" s="30">
        <v>87</v>
      </c>
      <c r="H148" s="30" t="s">
        <v>64</v>
      </c>
      <c r="I148" s="30" t="s">
        <v>70</v>
      </c>
      <c r="J148" s="64">
        <v>7.88192443687023E+18</v>
      </c>
    </row>
    <row r="149" spans="3:10">
      <c r="C149" s="29" t="b">
        <v>0</v>
      </c>
      <c r="D149" s="30">
        <v>70</v>
      </c>
      <c r="E149" s="30">
        <v>24</v>
      </c>
      <c r="F149" s="30" t="s">
        <v>66</v>
      </c>
      <c r="G149" s="30">
        <v>132</v>
      </c>
      <c r="H149" s="30" t="s">
        <v>67</v>
      </c>
      <c r="I149" s="30" t="s">
        <v>70</v>
      </c>
      <c r="J149" s="64">
        <v>6.0987176366245898E+18</v>
      </c>
    </row>
    <row r="150" spans="3:10">
      <c r="C150" s="29" t="b">
        <v>0</v>
      </c>
      <c r="D150" s="30">
        <v>71</v>
      </c>
      <c r="E150" s="30">
        <v>24</v>
      </c>
      <c r="F150" s="30" t="s">
        <v>66</v>
      </c>
      <c r="G150" s="30">
        <v>120</v>
      </c>
      <c r="H150" s="30" t="s">
        <v>68</v>
      </c>
      <c r="I150" s="30" t="s">
        <v>70</v>
      </c>
      <c r="J150" s="64">
        <v>1.0126184052807E+19</v>
      </c>
    </row>
    <row r="151" spans="3:10">
      <c r="C151" s="29" t="b">
        <v>0</v>
      </c>
      <c r="D151" s="30">
        <v>72</v>
      </c>
      <c r="E151" s="30">
        <v>25</v>
      </c>
      <c r="F151" s="30" t="s">
        <v>66</v>
      </c>
      <c r="G151" s="30">
        <v>94</v>
      </c>
      <c r="H151" s="30" t="s">
        <v>64</v>
      </c>
      <c r="I151" s="30" t="s">
        <v>70</v>
      </c>
      <c r="J151" s="64">
        <v>1.75805869281851E+19</v>
      </c>
    </row>
    <row r="152" spans="3:10">
      <c r="C152" s="29" t="b">
        <v>0</v>
      </c>
      <c r="D152" s="30">
        <v>73</v>
      </c>
      <c r="E152" s="30">
        <v>25</v>
      </c>
      <c r="F152" s="30" t="s">
        <v>66</v>
      </c>
      <c r="G152" s="30">
        <v>110</v>
      </c>
      <c r="H152" s="30" t="s">
        <v>67</v>
      </c>
      <c r="I152" s="30" t="s">
        <v>70</v>
      </c>
      <c r="J152" s="64">
        <v>2.8497446513366502E+18</v>
      </c>
    </row>
    <row r="153" spans="3:10">
      <c r="C153" s="29" t="b">
        <v>0</v>
      </c>
      <c r="D153" s="30">
        <v>74</v>
      </c>
      <c r="E153" s="30">
        <v>25</v>
      </c>
      <c r="F153" s="30" t="s">
        <v>66</v>
      </c>
      <c r="G153" s="30">
        <v>116</v>
      </c>
      <c r="H153" s="30" t="s">
        <v>68</v>
      </c>
      <c r="I153" s="30" t="s">
        <v>70</v>
      </c>
      <c r="J153" s="64">
        <v>1.7218950029906999E+19</v>
      </c>
    </row>
    <row r="154" spans="3:10">
      <c r="C154" s="29" t="b">
        <v>0</v>
      </c>
      <c r="D154" s="30">
        <v>75</v>
      </c>
      <c r="E154" s="30">
        <v>26</v>
      </c>
      <c r="F154" s="30" t="s">
        <v>63</v>
      </c>
      <c r="G154" s="30">
        <v>95</v>
      </c>
      <c r="H154" s="30" t="s">
        <v>64</v>
      </c>
      <c r="I154" s="30" t="s">
        <v>70</v>
      </c>
      <c r="J154" s="64">
        <v>1.6425712923214399E+19</v>
      </c>
    </row>
    <row r="155" spans="3:10">
      <c r="C155" s="29" t="b">
        <v>0</v>
      </c>
      <c r="D155" s="30">
        <v>76</v>
      </c>
      <c r="E155" s="30">
        <v>26</v>
      </c>
      <c r="F155" s="30" t="s">
        <v>63</v>
      </c>
      <c r="G155" s="30">
        <v>126</v>
      </c>
      <c r="H155" s="30" t="s">
        <v>67</v>
      </c>
      <c r="I155" s="30" t="s">
        <v>70</v>
      </c>
      <c r="J155" s="64">
        <v>1.55897408111157E+19</v>
      </c>
    </row>
    <row r="156" spans="3:10">
      <c r="C156" s="29" t="b">
        <v>0</v>
      </c>
      <c r="D156" s="30">
        <v>77</v>
      </c>
      <c r="E156" s="30">
        <v>26</v>
      </c>
      <c r="F156" s="30" t="s">
        <v>63</v>
      </c>
      <c r="G156" s="30">
        <v>143</v>
      </c>
      <c r="H156" s="30" t="s">
        <v>68</v>
      </c>
      <c r="I156" s="30" t="s">
        <v>70</v>
      </c>
      <c r="J156" s="64">
        <v>1.5349043227270101E+19</v>
      </c>
    </row>
    <row r="157" spans="3:10">
      <c r="C157" s="29" t="b">
        <v>0</v>
      </c>
      <c r="D157" s="30">
        <v>78</v>
      </c>
      <c r="E157" s="30">
        <v>27</v>
      </c>
      <c r="F157" s="30" t="s">
        <v>63</v>
      </c>
      <c r="G157" s="30">
        <v>100</v>
      </c>
      <c r="H157" s="30" t="s">
        <v>64</v>
      </c>
      <c r="I157" s="30" t="s">
        <v>70</v>
      </c>
      <c r="J157" s="64">
        <v>1.1511064953794001E+19</v>
      </c>
    </row>
    <row r="158" spans="3:10">
      <c r="C158" s="29" t="b">
        <v>0</v>
      </c>
      <c r="D158" s="30">
        <v>79</v>
      </c>
      <c r="E158" s="30">
        <v>27</v>
      </c>
      <c r="F158" s="30" t="s">
        <v>63</v>
      </c>
      <c r="G158" s="30">
        <v>126</v>
      </c>
      <c r="H158" s="30" t="s">
        <v>67</v>
      </c>
      <c r="I158" s="30" t="s">
        <v>70</v>
      </c>
      <c r="J158" s="64">
        <v>2.01334249357027E+18</v>
      </c>
    </row>
    <row r="159" spans="3:10">
      <c r="C159" s="29" t="b">
        <v>0</v>
      </c>
      <c r="D159" s="30">
        <v>80</v>
      </c>
      <c r="E159" s="30">
        <v>27</v>
      </c>
      <c r="F159" s="30" t="s">
        <v>63</v>
      </c>
      <c r="G159" s="30">
        <v>140</v>
      </c>
      <c r="H159" s="30" t="s">
        <v>68</v>
      </c>
      <c r="I159" s="30" t="s">
        <v>70</v>
      </c>
      <c r="J159" s="64">
        <v>1.13923832316979E+18</v>
      </c>
    </row>
    <row r="160" spans="3:10">
      <c r="C160" s="29" t="b">
        <v>0</v>
      </c>
      <c r="D160" s="30">
        <v>81</v>
      </c>
      <c r="E160" s="30">
        <v>28</v>
      </c>
      <c r="F160" s="30" t="s">
        <v>63</v>
      </c>
      <c r="G160" s="30">
        <v>103</v>
      </c>
      <c r="H160" s="30" t="s">
        <v>64</v>
      </c>
      <c r="I160" s="30" t="s">
        <v>70</v>
      </c>
      <c r="J160" s="64">
        <v>1.7120173143931501E+19</v>
      </c>
    </row>
    <row r="161" spans="3:10">
      <c r="C161" s="29" t="b">
        <v>0</v>
      </c>
      <c r="D161" s="30">
        <v>82</v>
      </c>
      <c r="E161" s="30">
        <v>28</v>
      </c>
      <c r="F161" s="30" t="s">
        <v>63</v>
      </c>
      <c r="G161" s="30">
        <v>124</v>
      </c>
      <c r="H161" s="30" t="s">
        <v>67</v>
      </c>
      <c r="I161" s="30" t="s">
        <v>70</v>
      </c>
      <c r="J161" s="64">
        <v>8.0292953494169303E+18</v>
      </c>
    </row>
    <row r="162" spans="3:10">
      <c r="C162" s="29" t="b">
        <v>0</v>
      </c>
      <c r="D162" s="30">
        <v>83</v>
      </c>
      <c r="E162" s="30">
        <v>28</v>
      </c>
      <c r="F162" s="30" t="s">
        <v>63</v>
      </c>
      <c r="G162" s="30">
        <v>140</v>
      </c>
      <c r="H162" s="30" t="s">
        <v>68</v>
      </c>
      <c r="I162" s="30" t="s">
        <v>70</v>
      </c>
      <c r="J162" s="64">
        <v>3.6284950835555799E+18</v>
      </c>
    </row>
    <row r="163" spans="3:10">
      <c r="C163" s="29" t="b">
        <v>0</v>
      </c>
      <c r="D163" s="30">
        <v>84</v>
      </c>
      <c r="E163" s="30">
        <v>29</v>
      </c>
      <c r="F163" s="30" t="s">
        <v>63</v>
      </c>
      <c r="G163" s="30">
        <v>94</v>
      </c>
      <c r="H163" s="30" t="s">
        <v>64</v>
      </c>
      <c r="I163" s="30" t="s">
        <v>70</v>
      </c>
      <c r="J163" s="64">
        <v>8.3242176774230999E+18</v>
      </c>
    </row>
    <row r="164" spans="3:10">
      <c r="C164" s="29" t="b">
        <v>0</v>
      </c>
      <c r="D164" s="30">
        <v>85</v>
      </c>
      <c r="E164" s="30">
        <v>29</v>
      </c>
      <c r="F164" s="30" t="s">
        <v>63</v>
      </c>
      <c r="G164" s="30">
        <v>135</v>
      </c>
      <c r="H164" s="30" t="s">
        <v>67</v>
      </c>
      <c r="I164" s="30" t="s">
        <v>70</v>
      </c>
      <c r="J164" s="64">
        <v>6.7671093942176205E+18</v>
      </c>
    </row>
    <row r="165" spans="3:10">
      <c r="C165" s="29" t="b">
        <v>0</v>
      </c>
      <c r="D165" s="30">
        <v>86</v>
      </c>
      <c r="E165" s="30">
        <v>29</v>
      </c>
      <c r="F165" s="30" t="s">
        <v>63</v>
      </c>
      <c r="G165" s="30">
        <v>130</v>
      </c>
      <c r="H165" s="30" t="s">
        <v>68</v>
      </c>
      <c r="I165" s="30" t="s">
        <v>70</v>
      </c>
      <c r="J165" s="64">
        <v>1.09549066189819E+19</v>
      </c>
    </row>
    <row r="166" spans="3:10">
      <c r="C166" s="29" t="b">
        <v>0</v>
      </c>
      <c r="D166" s="30">
        <v>87</v>
      </c>
      <c r="E166" s="30">
        <v>30</v>
      </c>
      <c r="F166" s="30" t="s">
        <v>63</v>
      </c>
      <c r="G166" s="30">
        <v>99</v>
      </c>
      <c r="H166" s="30" t="s">
        <v>64</v>
      </c>
      <c r="I166" s="30" t="s">
        <v>70</v>
      </c>
      <c r="J166" s="64">
        <v>1.4779909294001798E+17</v>
      </c>
    </row>
    <row r="167" spans="3:10">
      <c r="C167" s="29" t="b">
        <v>0</v>
      </c>
      <c r="D167" s="30">
        <v>88</v>
      </c>
      <c r="E167" s="30">
        <v>30</v>
      </c>
      <c r="F167" s="30" t="s">
        <v>63</v>
      </c>
      <c r="G167" s="30">
        <v>111</v>
      </c>
      <c r="H167" s="30" t="s">
        <v>67</v>
      </c>
      <c r="I167" s="30" t="s">
        <v>70</v>
      </c>
      <c r="J167" s="64">
        <v>1.05952697053286E+17</v>
      </c>
    </row>
    <row r="168" spans="3:10">
      <c r="C168" s="29" t="b">
        <v>0</v>
      </c>
      <c r="D168" s="30">
        <v>89</v>
      </c>
      <c r="E168" s="30">
        <v>30</v>
      </c>
      <c r="F168" s="30" t="s">
        <v>63</v>
      </c>
      <c r="G168" s="30">
        <v>150</v>
      </c>
      <c r="H168" s="30" t="s">
        <v>68</v>
      </c>
      <c r="I168" s="30" t="s">
        <v>70</v>
      </c>
      <c r="J168" s="64">
        <v>4.7894917505208801E+18</v>
      </c>
    </row>
  </sheetData>
  <mergeCells count="1">
    <mergeCell ref="D15:E15"/>
  </mergeCells>
  <phoneticPr fontId="15" type="noConversion"/>
  <conditionalFormatting sqref="D22:F29 D35:F39 D45:F53">
    <cfRule type="cellIs" dxfId="28" priority="58" operator="equal">
      <formula>0</formula>
    </cfRule>
  </conditionalFormatting>
  <conditionalFormatting sqref="C79:C168">
    <cfRule type="cellIs" dxfId="27" priority="54" operator="equal">
      <formula>FALSE</formula>
    </cfRule>
    <cfRule type="cellIs" dxfId="26" priority="55" operator="notEqual">
      <formula>FALSE</formula>
    </cfRule>
  </conditionalFormatting>
  <conditionalFormatting sqref="D9:I9">
    <cfRule type="cellIs" dxfId="25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4" priority="29"/>
  </conditionalFormatting>
  <conditionalFormatting sqref="D7:I7">
    <cfRule type="cellIs" dxfId="23" priority="22" operator="notEqual">
      <formula>"Definition"</formula>
    </cfRule>
  </conditionalFormatting>
  <conditionalFormatting sqref="D15">
    <cfRule type="cellIs" dxfId="22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1" priority="52" operator="equal">
      <formula>FALSE</formula>
    </cfRule>
    <cfRule type="cellIs" dxfId="20" priority="53" operator="notEqual">
      <formula>FALSE</formula>
    </cfRule>
  </conditionalFormatting>
  <conditionalFormatting sqref="G22:I29 G35:I39 G45:I53">
    <cfRule type="cellIs" dxfId="10" priority="5" operator="equal">
      <formula>0</formula>
    </cfRule>
  </conditionalFormatting>
  <conditionalFormatting sqref="G23:I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I64">
    <cfRule type="cellIs" dxfId="9" priority="3" operator="equal">
      <formula>FALSE</formula>
    </cfRule>
    <cfRule type="cellIs" dxfId="8" priority="4" operator="notEqual">
      <formula>FALSE</formula>
    </cfRule>
  </conditionalFormatting>
  <conditionalFormatting sqref="J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4" priority="4" operator="equal">
      <formula>0</formula>
    </cfRule>
  </conditionalFormatting>
  <conditionalFormatting sqref="D2:D4">
    <cfRule type="cellIs" dxfId="13" priority="1" operator="equal">
      <formula>"Notes"</formula>
    </cfRule>
    <cfRule type="cellIs" dxfId="12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2026-05-23T19:53:16Z</dcterms:modified>
</cp:coreProperties>
</file>