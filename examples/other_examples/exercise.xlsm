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ichValueRel.xml" ContentType="application/vnd.ms-excel.richvaluerel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RichValueTypes.xml" ContentType="application/vnd.ms-excel.rdrichvaluetype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2.xml" ContentType="application/vnd.openxmlformats-officedocument.drawing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pivotTables/pivotTable1.xml" ContentType="application/vnd.openxmlformats-officedocument.spreadsheetml.pivot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D:\Python\.xleda\examples\other_examples\"/>
    </mc:Choice>
  </mc:AlternateContent>
  <xr:revisionPtr revIDLastSave="0" documentId="8_{8934CB5D-1DBA-466D-AAA2-E0869BA3946F}" xr6:coauthVersionLast="47" xr6:coauthVersionMax="47" xr10:uidLastSave="{00000000-0000-0000-0000-000000000000}"/>
  <bookViews>
    <workbookView xWindow="-108" yWindow="-108" windowWidth="23256" windowHeight="12456" activeTab="1" xr2:uid="{040F3586-419E-4585-8ACE-6588AD7C95BD}"/>
  </bookViews>
  <sheets>
    <sheet name="debug" sheetId="32" r:id="rId1"/>
    <sheet name="Exercise | Field Analysis" sheetId="25" r:id="rId2"/>
    <sheet name="Exercise | Overview" sheetId="27" r:id="rId3"/>
    <sheet name="Exercise | Pivot" sheetId="28" r:id="rId4"/>
    <sheet name="SinglePlot" sheetId="30" state="hidden" r:id="rId5"/>
    <sheet name="MultiplePlots" sheetId="31" state="hidden" r:id="rId6"/>
  </sheets>
  <functionGroups builtInGroupCount="19"/>
  <definedNames>
    <definedName name="Compiled_Lists" localSheetId="1">'Exercise | Field Analysis'!$D$69:$D$78</definedName>
    <definedName name="Composition" localSheetId="1">'Exercise | Field Analysis'!$D$23:$D$33</definedName>
    <definedName name="CompositionTable" localSheetId="1">'Exercise | Field Analysis'!$E$32</definedName>
    <definedName name="Config" localSheetId="0">debug!$C$6:$C$24</definedName>
    <definedName name="DarkHeader" localSheetId="1">'Exercise | Field Analysis'!$E$79</definedName>
    <definedName name="Data_Description" localSheetId="1">'Exercise | Field Analysis'!$D$7:$D$18</definedName>
    <definedName name="debug_metadata" localSheetId="0">debug!$D$28</definedName>
    <definedName name="DefaultWarn" localSheetId="3">'Exercise | Pivot'!$C$8</definedName>
    <definedName name="Definitions" localSheetId="1">'Exercise | Field Analysis'!$E$15:$J$15</definedName>
    <definedName name="Description" localSheetId="1">'Exercise | Field Analysis'!$E$7</definedName>
    <definedName name="Dimensions" localSheetId="1">'Exercise | Field Analysis'!$E$9</definedName>
    <definedName name="Field_Analysis" localSheetId="1">'Exercise | Field Analysis'!$E$20:$E$78</definedName>
    <definedName name="Field_Lists" localSheetId="1">'Exercise | Field Analysis'!$D$58:$D$66</definedName>
    <definedName name="FieldList1" localSheetId="1">'Exercise | Field Analysis'!$E$58:$J$58</definedName>
    <definedName name="FieldList1" localSheetId="5">#REF!</definedName>
    <definedName name="FieldList1" localSheetId="4">#REF!</definedName>
    <definedName name="FieldList2" localSheetId="1">'Exercise | Field Analysis'!$E$59:$J$59</definedName>
    <definedName name="FieldList2" localSheetId="5">#REF!</definedName>
    <definedName name="FieldList2" localSheetId="4">#REF!</definedName>
    <definedName name="FieldList3" localSheetId="1">'Exercise | Field Analysis'!$E$60:$J$60</definedName>
    <definedName name="FieldList3" localSheetId="5">#REF!</definedName>
    <definedName name="FieldList3" localSheetId="4">#REF!</definedName>
    <definedName name="FieldList4" localSheetId="1">'Exercise | Field Analysis'!$E$61:$J$61</definedName>
    <definedName name="FieldList4" localSheetId="5">#REF!</definedName>
    <definedName name="FieldList4" localSheetId="4">#REF!</definedName>
    <definedName name="FieldList5" localSheetId="1">'Exercise | Field Analysis'!$E$62:$J$62</definedName>
    <definedName name="FieldList5" localSheetId="5">#REF!</definedName>
    <definedName name="FieldList5" localSheetId="4">#REF!</definedName>
    <definedName name="FieldList6" localSheetId="1">'Exercise | Field Analysis'!$E$63:$J$63</definedName>
    <definedName name="FieldList6" localSheetId="5">#REF!</definedName>
    <definedName name="FieldList6" localSheetId="4">#REF!</definedName>
    <definedName name="FieldList7" localSheetId="1">'Exercise | Field Analysis'!$E$64:$J$64</definedName>
    <definedName name="FieldList7" localSheetId="5">#REF!</definedName>
    <definedName name="FieldList7" localSheetId="4">#REF!</definedName>
    <definedName name="FieldList8" localSheetId="1">'Exercise | Field Analysis'!$E$65:$J$65</definedName>
    <definedName name="FieldList8" localSheetId="5">#REF!</definedName>
    <definedName name="FieldList8" localSheetId="4">#REF!</definedName>
    <definedName name="FieldLists" localSheetId="1">'Exercise | Field Analysis'!$D$58:$J$65</definedName>
    <definedName name="FieldRange" localSheetId="1">'Exercise | Field Analysis'!$E$79:$J$79</definedName>
    <definedName name="FieldRange" localSheetId="5">#REF!</definedName>
    <definedName name="FieldRange" localSheetId="4">#REF!</definedName>
    <definedName name="FormatRange" localSheetId="1">'Exercise | Field Analysis'!$G:$G</definedName>
    <definedName name="Headers" localSheetId="1">'Exercise | Field Analysis'!$E$19:$J$19</definedName>
    <definedName name="Headers_Start" localSheetId="1">'Exercise | Field Analysis'!$E$19</definedName>
    <definedName name="Histogram" localSheetId="1">'Exercise | Field Analysis'!$E$42</definedName>
    <definedName name="LightHeader" localSheetId="1">'Exercise | Field Analysis'!$D$79</definedName>
    <definedName name="LightHeader" localSheetId="5">#REF!</definedName>
    <definedName name="LightHeader" localSheetId="4">#REF!</definedName>
    <definedName name="Metadata">'Exercise | Overview'!$C$5:$C$9</definedName>
    <definedName name="MultiplePlots" localSheetId="5">MultiplePlots!$D$9</definedName>
    <definedName name="MultiplePlotsTitle" localSheetId="5">MultiplePlots!$C$2</definedName>
    <definedName name="Name" localSheetId="1">'Exercise | Field Analysis'!$C$3</definedName>
    <definedName name="Name" localSheetId="2">'Exercise | Overview'!$B$3</definedName>
    <definedName name="Name" localSheetId="3">'Exercise | Pivot'!$C$3</definedName>
    <definedName name="Name" localSheetId="5">#REF!</definedName>
    <definedName name="Name" localSheetId="4">#REF!</definedName>
    <definedName name="Notes" localSheetId="1">'Exercise | Field Analysis'!$E$17:$J$17</definedName>
    <definedName name="Percentiles" localSheetId="1">'Exercise | Field Analysis'!$D$46:$D$55</definedName>
    <definedName name="SerializedLists" localSheetId="1">'Exercise | Field Analysis'!$E$69:$E$78</definedName>
    <definedName name="SinglePlot" localSheetId="4">SinglePlot!$C$8</definedName>
    <definedName name="SinglePlotTitle" localSheetId="4">SinglePlot!$C$2</definedName>
    <definedName name="Summary_Stats" localSheetId="1">'Exercise | Field Analysis'!$D$36:$D$43</definedName>
    <definedName name="Theme" localSheetId="1">'Exercise | Field Analysis'!$C$19:$J$19</definedName>
    <definedName name="Theme" localSheetId="2">'Exercise | Overview'!$B$11:$AA$11</definedName>
    <definedName name="Theme" localSheetId="3">'Exercise | Pivot'!$B$5:$Q$5</definedName>
    <definedName name="Theme" localSheetId="5">MultiplePlots!$B$6:$P$6</definedName>
    <definedName name="Theme" localSheetId="4">SinglePlot!$B$6:$P$6</definedName>
    <definedName name="Toggles" localSheetId="1">'Exercise | Field Analysis'!$C$5,'Exercise | Field Analysis'!$C$21,'Exercise | Field Analysis'!$C$34,'Exercise | Field Analysis'!$C$44,'Exercise | Field Analysis'!$C$56,'Exercise | Field Analysis'!$C$67</definedName>
    <definedName name="Toggles" localSheetId="5">#REF!,#REF!,#REF!,#REF!,#REF!,#REF!,#REF!</definedName>
    <definedName name="Toggles" localSheetId="4">#REF!,#REF!,#REF!,#REF!,#REF!,#REF!,#REF!</definedName>
    <definedName name="TopToggle" localSheetId="1">'Exercise | Field Analysis'!$B$3</definedName>
    <definedName name="Warning" localSheetId="1">'Exercise | Field Analysis'!$D$1</definedName>
    <definedName name="Warning" localSheetId="2">'Exercise | Overview'!$B$1</definedName>
    <definedName name="Warning" localSheetId="3">'Exercise | Pivot'!$B$1</definedName>
  </definedNames>
  <calcPr calcId="191029" iterateDelta="1E-4"/>
  <pivotCaches>
    <pivotCache cacheId="9" r:id="rId7"/>
  </pivotCaches>
  <extLst>
    <ext xmlns:x14="http://schemas.microsoft.com/office/spreadsheetml/2009/9/main" uri="{8193D73E-4604-4355-AFF4-8A2333D13BE4}">
      <x14:definedNames>
        <x14:definedName name="PythonDict">
          <x14:argumentDescriptions count="1">
            <x14:argumentDescription index="0">Range: A two column range</x14:argumentDescription>
          </x14:argumentDescriptions>
        </x14:definedName>
        <x14:definedName name="PythonList">
          <x14:argumentDescriptions count="1">
            <x14:argumentDescription index="0">Range: A range of any size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D12" i="27" l="1"/>
  <c r="D13" i="27"/>
  <c r="D14" i="27"/>
  <c r="D15" i="27"/>
  <c r="D16" i="27"/>
  <c r="D17" i="27"/>
  <c r="C12" i="27"/>
  <c r="C13" i="27"/>
  <c r="C14" i="27"/>
  <c r="C15" i="27"/>
  <c r="C16" i="27"/>
  <c r="C17" i="27"/>
  <c r="C3" i="28"/>
  <c r="E77" i="25" a="1"/>
  <c r="E77" i="25" s="1"/>
  <c r="D77" i="25"/>
  <c r="E76" i="25" l="1" a="1"/>
  <c r="E76" i="25" s="1"/>
  <c r="D76" i="25"/>
  <c r="E75" i="25" a="1"/>
  <c r="E75" i="25" s="1"/>
  <c r="D75" i="25"/>
  <c r="E74" i="25"/>
  <c r="D74" i="25"/>
  <c r="E73" i="25"/>
  <c r="D73" i="25"/>
  <c r="E72" i="25"/>
  <c r="D72" i="25"/>
  <c r="E71" i="25"/>
  <c r="D71" i="25"/>
  <c r="E70" i="25"/>
  <c r="D70" i="25"/>
  <c r="E69" i="25"/>
  <c r="D69" i="25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1">
    <bk>
      <extLst>
        <ext uri="{3e2802c4-a4d2-4d8b-9148-e3be6c30e623}">
          <xlrd:rvb i="0"/>
        </ext>
      </extLst>
    </bk>
  </futureMetadata>
  <cellMetadata count="1">
    <bk>
      <rc t="1" v="0"/>
    </bk>
  </cellMetadata>
  <valueMetadata count="1">
    <bk>
      <rc t="2" v="0"/>
    </bk>
  </valueMetadata>
</metadata>
</file>

<file path=xl/sharedStrings.xml><?xml version="1.0" encoding="utf-8"?>
<sst xmlns="http://schemas.openxmlformats.org/spreadsheetml/2006/main" count="560" uniqueCount="150">
  <si>
    <t>Warning</t>
  </si>
  <si>
    <t>▶</t>
  </si>
  <si>
    <t>Field Notes</t>
  </si>
  <si>
    <t>Definitions</t>
  </si>
  <si>
    <t>Notes</t>
  </si>
  <si>
    <t xml:space="preserve"> </t>
  </si>
  <si>
    <t>Data Description</t>
  </si>
  <si>
    <t>Rows</t>
  </si>
  <si>
    <t>Composition</t>
  </si>
  <si>
    <t>Data type</t>
  </si>
  <si>
    <t>Distinct %</t>
  </si>
  <si>
    <t>Missing %</t>
  </si>
  <si>
    <t>Memory Usage %</t>
  </si>
  <si>
    <t>Memory Usage</t>
  </si>
  <si>
    <t>Distinct</t>
  </si>
  <si>
    <t>Count</t>
  </si>
  <si>
    <t>Missing</t>
  </si>
  <si>
    <t>Summary Stats</t>
  </si>
  <si>
    <t>Mean</t>
  </si>
  <si>
    <t>Median</t>
  </si>
  <si>
    <t>Mode</t>
  </si>
  <si>
    <t>Standard Deviation</t>
  </si>
  <si>
    <t>Variance</t>
  </si>
  <si>
    <t>Percentiles</t>
  </si>
  <si>
    <t>Min</t>
  </si>
  <si>
    <t>Max</t>
  </si>
  <si>
    <t>Range</t>
  </si>
  <si>
    <t>IQR</t>
  </si>
  <si>
    <t>Field Lists</t>
  </si>
  <si>
    <t>FieldList1</t>
  </si>
  <si>
    <t>FieldList2</t>
  </si>
  <si>
    <t>FieldList3</t>
  </si>
  <si>
    <t>FieldList4</t>
  </si>
  <si>
    <t>FieldList5</t>
  </si>
  <si>
    <t>FieldList6</t>
  </si>
  <si>
    <t>FIeldList7</t>
  </si>
  <si>
    <t>FIeldList8</t>
  </si>
  <si>
    <t>Compiled Lists</t>
  </si>
  <si>
    <t>Record List</t>
  </si>
  <si>
    <t>HasBlank</t>
  </si>
  <si>
    <t>Field</t>
  </si>
  <si>
    <t>Definition</t>
  </si>
  <si>
    <t>Count %</t>
  </si>
  <si>
    <t>5%</t>
  </si>
  <si>
    <t>25%</t>
  </si>
  <si>
    <t>50%</t>
  </si>
  <si>
    <t>75%</t>
  </si>
  <si>
    <t>95%</t>
  </si>
  <si>
    <t>Has Blank %</t>
  </si>
  <si>
    <t>% of Total Blanks</t>
  </si>
  <si>
    <t>Note</t>
  </si>
  <si>
    <t>SinglePlotTitle</t>
  </si>
  <si>
    <t>MultiplePlotsTitle</t>
  </si>
  <si>
    <t>% of Records</t>
  </si>
  <si>
    <t>Columns</t>
  </si>
  <si>
    <t>Distinct Record %</t>
  </si>
  <si>
    <t>Missing Values %</t>
  </si>
  <si>
    <t>Dataset Description</t>
  </si>
  <si>
    <t>Performance</t>
  </si>
  <si>
    <t>Config</t>
  </si>
  <si>
    <t>Environment Details</t>
  </si>
  <si>
    <t>Configuration Details</t>
  </si>
  <si>
    <t>Errors</t>
  </si>
  <si>
    <t>Environment Variable</t>
  </si>
  <si>
    <t>Value</t>
  </si>
  <si>
    <t>Production Details</t>
  </si>
  <si>
    <t>Dataframes Included</t>
  </si>
  <si>
    <t>Plots Included</t>
  </si>
  <si>
    <t>Columns Included</t>
  </si>
  <si>
    <t>Rows Included</t>
  </si>
  <si>
    <t>Production Time</t>
  </si>
  <si>
    <t>Production Section</t>
  </si>
  <si>
    <t>Production Time in Seconds</t>
  </si>
  <si>
    <t>% of Production Time</t>
  </si>
  <si>
    <t>Creating Workbook</t>
  </si>
  <si>
    <t>Adding Source Data</t>
  </si>
  <si>
    <t>Adding Plots</t>
  </si>
  <si>
    <t>Configuring Workbook</t>
  </si>
  <si>
    <t>Dataset</t>
  </si>
  <si>
    <t>Activity</t>
  </si>
  <si>
    <t>Datatype</t>
  </si>
  <si>
    <t>Input Argument</t>
  </si>
  <si>
    <t>Error Type</t>
  </si>
  <si>
    <t>Exercise</t>
  </si>
  <si>
    <t>Unnamed: 0</t>
  </si>
  <si>
    <t>id</t>
  </si>
  <si>
    <t>diet</t>
  </si>
  <si>
    <t>pulse</t>
  </si>
  <si>
    <t>time</t>
  </si>
  <si>
    <t>kind</t>
  </si>
  <si>
    <t>index</t>
  </si>
  <si>
    <t>Record Hash</t>
  </si>
  <si>
    <t>2,998 bytes</t>
  </si>
  <si>
    <t>int64</t>
  </si>
  <si>
    <t>category</t>
  </si>
  <si>
    <t>no fat</t>
  </si>
  <si>
    <t>1 min</t>
  </si>
  <si>
    <t>rest</t>
  </si>
  <si>
    <t>low fat</t>
  </si>
  <si>
    <t>15 min</t>
  </si>
  <si>
    <t>30 min</t>
  </si>
  <si>
    <t>walking</t>
  </si>
  <si>
    <t>running</t>
  </si>
  <si>
    <t>Grand Total</t>
  </si>
  <si>
    <t>os</t>
  </si>
  <si>
    <t>Windows</t>
  </si>
  <si>
    <t>env_type</t>
  </si>
  <si>
    <t>Terminal or IDE</t>
  </si>
  <si>
    <t>excel_version</t>
  </si>
  <si>
    <t>debug</t>
  </si>
  <si>
    <t>compatible</t>
  </si>
  <si>
    <t>junk_drawer</t>
  </si>
  <si>
    <t>Recycle Bin</t>
  </si>
  <si>
    <t>date</t>
  </si>
  <si>
    <t>os_release</t>
  </si>
  <si>
    <t>os_version</t>
  </si>
  <si>
    <t>10.0.26200</t>
  </si>
  <si>
    <t>architecture</t>
  </si>
  <si>
    <t>AMD64</t>
  </si>
  <si>
    <t>processor</t>
  </si>
  <si>
    <t>Intel64 Family 6 Model 140 Stepping 1, GenuineIntel</t>
  </si>
  <si>
    <t>python_version</t>
  </si>
  <si>
    <t>3.14.2</t>
  </si>
  <si>
    <t>python_implementation</t>
  </si>
  <si>
    <t>CPython</t>
  </si>
  <si>
    <t>console_columns</t>
  </si>
  <si>
    <t>console_lines</t>
  </si>
  <si>
    <t>name</t>
  </si>
  <si>
    <t>theme_color</t>
  </si>
  <si>
    <t>random</t>
  </si>
  <si>
    <t>add_plots</t>
  </si>
  <si>
    <t>[]</t>
  </si>
  <si>
    <t>add_dfs</t>
  </si>
  <si>
    <t>large_report</t>
  </si>
  <si>
    <t>overwrite</t>
  </si>
  <si>
    <t>wb_path</t>
  </si>
  <si>
    <t>D:\Python\.xleda\examples\other_examples</t>
  </si>
  <si>
    <t>open_wb</t>
  </si>
  <si>
    <t>no_vba</t>
  </si>
  <si>
    <t>export</t>
  </si>
  <si>
    <t>No Errors occurred</t>
  </si>
  <si>
    <t>N/A</t>
  </si>
  <si>
    <t>Configure Template</t>
  </si>
  <si>
    <t>Adding Field Metadata</t>
  </si>
  <si>
    <t>Adding Overview</t>
  </si>
  <si>
    <t>Configure Pivots</t>
  </si>
  <si>
    <t>Add Pivot Field</t>
  </si>
  <si>
    <t>Add Composition Table</t>
  </si>
  <si>
    <t>Add Histogram</t>
  </si>
  <si>
    <t>str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</si>
</sst>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3" formatCode="_(* #,##0.00_);_(* \(#,##0.00\);_(* &quot;-&quot;??_);_(@_)"/>
    <numFmt numFmtId="164" formatCode="0.0%"/>
    <numFmt numFmtId="165" formatCode="#,##0.0"/>
  </numFmts>
  <fonts count="39">
    <font>
      <sz val="11"/>
      <color theme="0"/>
      <name val="Calibri"/>
      <family val="2"/>
      <scheme val="minor"/>
    </font>
    <font>
      <u/>
      <sz val="10"/>
      <color theme="0"/>
      <name val="Calibri"/>
      <family val="2"/>
      <scheme val="minor"/>
    </font>
    <font>
      <b/>
      <i/>
      <sz val="10"/>
      <color rgb="FFDCE6F2"/>
      <name val="Calibri"/>
      <family val="2"/>
      <scheme val="minor"/>
    </font>
    <font>
      <i/>
      <sz val="10"/>
      <color theme="1" tint="0.2499465926084170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0"/>
      <color theme="0"/>
      <name val="Calibri"/>
      <family val="2"/>
    </font>
    <font>
      <b/>
      <sz val="28"/>
      <color theme="0"/>
      <name val="Calibri"/>
      <family val="2"/>
      <scheme val="minor"/>
    </font>
    <font>
      <i/>
      <sz val="11"/>
      <color theme="1" tint="0.49998474074526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</font>
    <font>
      <sz val="11"/>
      <name val="Calibri"/>
      <family val="2"/>
      <scheme val="minor"/>
    </font>
    <font>
      <i/>
      <sz val="10"/>
      <color theme="1" tint="0.39997558519241921"/>
      <name val="Calibri"/>
      <family val="2"/>
      <scheme val="minor"/>
    </font>
    <font>
      <b/>
      <sz val="36"/>
      <color theme="0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6"/>
      <color rgb="FF000000"/>
      <name val="Calibri"/>
      <family val="2"/>
      <scheme val="minor"/>
    </font>
    <font>
      <sz val="10"/>
      <name val="Calibri"/>
      <family val="2"/>
      <scheme val="minor"/>
    </font>
    <font>
      <b/>
      <sz val="14"/>
      <color theme="0"/>
      <name val="Calibri"/>
      <family val="2"/>
    </font>
    <font>
      <i/>
      <sz val="10"/>
      <color theme="1" tint="0.34998626667073579"/>
      <name val="Calibri"/>
      <family val="2"/>
      <scheme val="minor"/>
    </font>
    <font>
      <i/>
      <sz val="11"/>
      <color theme="1" tint="0.39994506668294322"/>
      <name val="Calibri"/>
      <family val="2"/>
      <scheme val="minor"/>
    </font>
    <font>
      <sz val="11"/>
      <color theme="1" tint="0.39997558519241921"/>
      <name val="Calibri"/>
      <family val="2"/>
      <scheme val="minor"/>
    </font>
    <font>
      <sz val="8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sz val="8"/>
      <color theme="1" tint="0.39997558519241921"/>
      <name val="Calibri"/>
      <family val="2"/>
      <scheme val="minor"/>
    </font>
    <font>
      <b/>
      <sz val="11"/>
      <color theme="1" tint="0.39997558519241921"/>
      <name val="Calibri"/>
      <family val="2"/>
      <scheme val="minor"/>
    </font>
    <font>
      <b/>
      <sz val="12"/>
      <color theme="1" tint="0.39997558519241921"/>
      <name val="Calibri"/>
      <family val="2"/>
      <scheme val="minor"/>
    </font>
    <font>
      <b/>
      <sz val="10"/>
      <color theme="1" tint="0.39997558519241921"/>
      <name val="Calibri"/>
      <family val="2"/>
      <scheme val="minor"/>
    </font>
    <font>
      <i/>
      <sz val="10"/>
      <color theme="1" tint="0.79998168889431442"/>
      <name val="Calibri"/>
      <family val="2"/>
      <scheme val="minor"/>
    </font>
    <font>
      <b/>
      <sz val="11"/>
      <color theme="1" tint="0.79998168889431442"/>
      <name val="Calibri"/>
      <family val="2"/>
      <scheme val="minor"/>
    </font>
    <font>
      <b/>
      <sz val="16"/>
      <color theme="1" tint="0.79998168889431442"/>
      <name val="Calibri"/>
      <family val="2"/>
      <scheme val="minor"/>
    </font>
    <font>
      <b/>
      <sz val="10"/>
      <color theme="1" tint="0.79998168889431442"/>
      <name val="Calibri"/>
      <family val="2"/>
      <scheme val="minor"/>
    </font>
    <font>
      <i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rgb="FF898989"/>
      <name val="Calibri"/>
      <family val="2"/>
      <scheme val="minor"/>
    </font>
    <font>
      <i/>
      <sz val="11"/>
      <color rgb="FF898989"/>
      <name val="Calibri"/>
      <family val="2"/>
      <scheme val="minor"/>
    </font>
    <font>
      <sz val="11"/>
      <color rgb="FF898989"/>
      <name val="Calibri"/>
      <family val="2"/>
      <scheme val="minor"/>
    </font>
    <font>
      <sz val="10"/>
      <color rgb="FF898989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000000"/>
        <bgColor indexed="64"/>
      </patternFill>
    </fill>
    <fill>
      <patternFill patternType="solid">
        <fgColor rgb="FF000000"/>
        <bgColor theme="1" tint="0.249977111117893"/>
      </patternFill>
    </fill>
    <fill>
      <patternFill patternType="solid">
        <fgColor rgb="FF000000"/>
        <bgColor theme="1" tint="0.44999542222357858"/>
      </patternFill>
    </fill>
    <fill>
      <patternFill patternType="solid">
        <fgColor rgb="FFFFC000"/>
        <bgColor indexed="64"/>
      </patternFill>
    </fill>
    <fill>
      <patternFill patternType="solid">
        <fgColor theme="1" tint="-0.499984740745262"/>
        <bgColor indexed="64"/>
      </patternFill>
    </fill>
    <fill>
      <patternFill patternType="solid">
        <fgColor rgb="FF060606"/>
        <bgColor indexed="64"/>
      </patternFill>
    </fill>
    <fill>
      <patternFill patternType="solid">
        <fgColor rgb="FF262626"/>
        <bgColor indexed="64"/>
      </patternFill>
    </fill>
    <fill>
      <patternFill patternType="solid">
        <fgColor rgb="FF000000"/>
        <bgColor rgb="FF000000"/>
      </patternFill>
    </fill>
    <fill>
      <patternFill patternType="solid">
        <fgColor rgb="FFFED966"/>
        <bgColor indexed="64"/>
      </patternFill>
    </fill>
    <fill>
      <patternFill patternType="solid">
        <fgColor rgb="FF262626"/>
        <bgColor theme="1" tint="0.249977111117893"/>
      </patternFill>
    </fill>
  </fills>
  <borders count="26">
    <border>
      <left/>
      <right/>
      <top/>
      <bottom/>
      <diagonal/>
    </border>
    <border>
      <left style="thin">
        <color theme="1" tint="0.24994659260841701"/>
      </left>
      <right style="thin">
        <color theme="1" tint="0.24994659260841701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/>
      <top style="thin">
        <color theme="1" tint="-0.249977111117893"/>
      </top>
      <bottom/>
      <diagonal/>
    </border>
    <border>
      <left/>
      <right/>
      <top/>
      <bottom style="thin">
        <color theme="1" tint="-0.249977111117893"/>
      </bottom>
      <diagonal/>
    </border>
    <border>
      <left/>
      <right/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 style="thin">
        <color theme="1" tint="-0.249977111117893"/>
      </bottom>
      <diagonal/>
    </border>
    <border>
      <left/>
      <right style="thin">
        <color theme="1" tint="-0.249977111117893"/>
      </right>
      <top/>
      <bottom style="thin">
        <color theme="1" tint="-0.249977111117893"/>
      </bottom>
      <diagonal/>
    </border>
    <border>
      <left/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theme="1" tint="-0.249977111117893"/>
      </right>
      <top/>
      <bottom/>
      <diagonal/>
    </border>
    <border>
      <left style="thin">
        <color theme="1" tint="-0.249977111117893"/>
      </left>
      <right style="thin">
        <color theme="1" tint="-0.249977111117893"/>
      </right>
      <top/>
      <bottom/>
      <diagonal/>
    </border>
    <border>
      <left/>
      <right/>
      <top style="thin">
        <color theme="1" tint="-0.499984740745262"/>
      </top>
      <bottom style="thin">
        <color theme="1" tint="-0.499984740745262"/>
      </bottom>
      <diagonal/>
    </border>
    <border>
      <left/>
      <right/>
      <top/>
      <bottom style="thin">
        <color theme="1" tint="-0.499984740745262"/>
      </bottom>
      <diagonal/>
    </border>
    <border>
      <left/>
      <right/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249977111117893"/>
      </left>
      <right/>
      <top style="thin">
        <color theme="1" tint="-0.249977111117893"/>
      </top>
      <bottom style="thin">
        <color theme="1" tint="-0.249977111117893"/>
      </bottom>
      <diagonal/>
    </border>
    <border>
      <left style="thin">
        <color theme="1" tint="-0.249977111117893"/>
      </left>
      <right style="thin">
        <color theme="1" tint="-0.249977111117893"/>
      </right>
      <top style="thin">
        <color theme="1" tint="-0.249977111117893"/>
      </top>
      <bottom/>
      <diagonal/>
    </border>
    <border>
      <left/>
      <right style="thin">
        <color rgb="FF262626"/>
      </right>
      <top/>
      <bottom/>
      <diagonal/>
    </border>
    <border>
      <left/>
      <right style="thin">
        <color theme="1" tint="-0.499984740745262"/>
      </right>
      <top/>
      <bottom style="thin">
        <color theme="1" tint="-0.499984740745262"/>
      </bottom>
      <diagonal/>
    </border>
    <border>
      <left style="thin">
        <color theme="1" tint="-0.499984740745262"/>
      </left>
      <right style="thin">
        <color theme="1" tint="-0.499984740745262"/>
      </right>
      <top/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 style="thin">
        <color theme="1" tint="-0.499984740745262"/>
      </bottom>
      <diagonal/>
    </border>
    <border>
      <left style="thin">
        <color theme="1" tint="-0.499984740745262"/>
      </left>
      <right/>
      <top/>
      <bottom style="thin">
        <color theme="1" tint="-0.499984740745262"/>
      </bottom>
      <diagonal/>
    </border>
    <border>
      <left style="thin">
        <color theme="1" tint="-0.499984740745262"/>
      </left>
      <right/>
      <top style="thin">
        <color theme="1" tint="-0.499984740745262"/>
      </top>
      <bottom style="thin">
        <color theme="1" tint="-0.499984740745262"/>
      </bottom>
      <diagonal/>
    </border>
    <border>
      <left/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 style="thin">
        <color theme="1" tint="-0.499984740745262"/>
      </right>
      <top style="thin">
        <color theme="1" tint="-0.499984740745262"/>
      </top>
      <bottom/>
      <diagonal/>
    </border>
    <border>
      <left style="thin">
        <color theme="1" tint="-0.499984740745262"/>
      </left>
      <right/>
      <top style="thin">
        <color theme="1" tint="-0.499984740745262"/>
      </top>
      <bottom/>
      <diagonal/>
    </border>
  </borders>
  <cellStyleXfs count="10">
    <xf numFmtId="0" fontId="0" fillId="2" borderId="0"/>
    <xf numFmtId="0" fontId="1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2" borderId="0" applyProtection="0">
      <alignment horizontal="left" vertical="center"/>
    </xf>
    <xf numFmtId="0" fontId="2" fillId="2" borderId="11" applyProtection="0">
      <alignment horizontal="right" vertical="center"/>
    </xf>
    <xf numFmtId="0" fontId="3" fillId="2" borderId="1" applyProtection="0">
      <alignment horizontal="center" vertical="center"/>
    </xf>
    <xf numFmtId="0" fontId="18" fillId="2" borderId="14">
      <alignment horizontal="center" vertical="center"/>
    </xf>
    <xf numFmtId="0" fontId="4" fillId="2" borderId="0" applyProtection="0">
      <alignment horizontal="center" vertical="center" wrapText="1"/>
    </xf>
    <xf numFmtId="43" fontId="21" fillId="0" borderId="0" applyFont="0" applyFill="0" applyBorder="0" applyAlignment="0" applyProtection="0"/>
    <xf numFmtId="9" fontId="21" fillId="0" borderId="0" applyFont="0" applyFill="0" applyBorder="0" applyAlignment="0" applyProtection="0"/>
  </cellStyleXfs>
  <cellXfs count="180">
    <xf numFmtId="0" fontId="0" fillId="2" borderId="0" xfId="0"/>
    <xf numFmtId="0" fontId="0" fillId="2" borderId="0" xfId="0" applyAlignment="1">
      <alignment vertical="center" textRotation="180"/>
    </xf>
    <xf numFmtId="0" fontId="2" fillId="2" borderId="0" xfId="3">
      <alignment horizontal="left" vertical="center"/>
    </xf>
    <xf numFmtId="0" fontId="2" fillId="2" borderId="0" xfId="4" applyBorder="1">
      <alignment horizontal="right" vertical="center"/>
    </xf>
    <xf numFmtId="0" fontId="0" fillId="2" borderId="0" xfId="0" applyFill="1"/>
    <xf numFmtId="0" fontId="0" fillId="2" borderId="0" xfId="0"/>
    <xf numFmtId="0" fontId="9" fillId="4" borderId="0" xfId="0" applyFont="1" applyFill="1" applyAlignment="1">
      <alignment horizontal="right" wrapText="1"/>
    </xf>
    <xf numFmtId="0" fontId="0" fillId="2" borderId="0" xfId="0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6" fillId="2" borderId="0" xfId="0" applyFont="1" applyBorder="1" applyAlignment="1">
      <alignment horizontal="left" vertical="center"/>
    </xf>
    <xf numFmtId="0" fontId="0" fillId="2" borderId="0" xfId="0" applyFill="1" applyBorder="1" applyAlignment="1">
      <alignment horizontal="right"/>
    </xf>
    <xf numFmtId="0" fontId="0" fillId="2" borderId="0" xfId="0"/>
    <xf numFmtId="0" fontId="0" fillId="2" borderId="0" xfId="0" applyAlignment="1">
      <alignment textRotation="180"/>
    </xf>
    <xf numFmtId="0" fontId="8" fillId="2" borderId="0" xfId="0" applyFont="1"/>
    <xf numFmtId="0" fontId="6" fillId="2" borderId="0" xfId="0" applyFont="1" applyAlignment="1">
      <alignment horizontal="left" vertical="center"/>
    </xf>
    <xf numFmtId="0" fontId="5" fillId="2" borderId="0" xfId="0" applyFont="1" applyAlignment="1">
      <alignment horizontal="right" vertical="center" indent="7"/>
    </xf>
    <xf numFmtId="0" fontId="7" fillId="2" borderId="0" xfId="0" applyFont="1"/>
    <xf numFmtId="0" fontId="0" fillId="2" borderId="2" xfId="0" applyBorder="1" applyAlignment="1">
      <alignment horizontal="center" vertical="center"/>
    </xf>
    <xf numFmtId="164" fontId="0" fillId="2" borderId="2" xfId="0" applyNumberFormat="1" applyBorder="1" applyAlignment="1">
      <alignment horizontal="center" vertical="center"/>
    </xf>
    <xf numFmtId="3" fontId="0" fillId="2" borderId="2" xfId="0" applyNumberFormat="1" applyBorder="1" applyAlignment="1">
      <alignment horizontal="center" vertical="center"/>
    </xf>
    <xf numFmtId="4" fontId="0" fillId="2" borderId="2" xfId="0" applyNumberFormat="1" applyBorder="1" applyAlignment="1">
      <alignment horizontal="center" vertical="center"/>
    </xf>
    <xf numFmtId="0" fontId="0" fillId="5" borderId="0" xfId="0" applyFill="1"/>
    <xf numFmtId="0" fontId="10" fillId="5" borderId="0" xfId="0" applyFont="1" applyFill="1" applyAlignment="1">
      <alignment vertical="center"/>
    </xf>
    <xf numFmtId="0" fontId="2" fillId="2" borderId="3" xfId="4" applyBorder="1">
      <alignment horizontal="right" vertical="center"/>
    </xf>
    <xf numFmtId="0" fontId="2" fillId="2" borderId="4" xfId="4" applyBorder="1">
      <alignment horizontal="right" vertical="center"/>
    </xf>
    <xf numFmtId="0" fontId="2" fillId="2" borderId="5" xfId="4" applyBorder="1">
      <alignment horizontal="right" vertical="center"/>
    </xf>
    <xf numFmtId="0" fontId="2" fillId="2" borderId="6" xfId="4" applyBorder="1">
      <alignment horizontal="right" vertical="center"/>
    </xf>
    <xf numFmtId="0" fontId="2" fillId="2" borderId="7" xfId="4" applyBorder="1">
      <alignment horizontal="right" vertical="center"/>
    </xf>
    <xf numFmtId="0" fontId="2" fillId="2" borderId="8" xfId="4" applyBorder="1">
      <alignment horizontal="right" vertical="center"/>
    </xf>
    <xf numFmtId="0" fontId="2" fillId="2" borderId="9" xfId="4" applyBorder="1">
      <alignment horizontal="right" vertical="center"/>
    </xf>
    <xf numFmtId="0" fontId="6" fillId="2" borderId="0" xfId="0" applyFont="1" applyAlignment="1">
      <alignment vertical="center"/>
    </xf>
    <xf numFmtId="0" fontId="0" fillId="2" borderId="0" xfId="0" applyAlignment="1"/>
    <xf numFmtId="0" fontId="2" fillId="2" borderId="0" xfId="3" applyAlignment="1">
      <alignment horizontal="left" vertical="center"/>
    </xf>
    <xf numFmtId="0" fontId="2" fillId="2" borderId="9" xfId="4" applyBorder="1" applyAlignment="1">
      <alignment horizontal="right" vertical="center"/>
    </xf>
    <xf numFmtId="0" fontId="4" fillId="2" borderId="0" xfId="0" applyFont="1" applyAlignment="1">
      <alignment horizontal="center" vertical="center" wrapText="1"/>
    </xf>
    <xf numFmtId="3" fontId="0" fillId="2" borderId="4" xfId="0" applyNumberFormat="1" applyBorder="1" applyAlignment="1">
      <alignment horizontal="center"/>
    </xf>
    <xf numFmtId="3" fontId="8" fillId="2" borderId="5" xfId="0" applyNumberFormat="1" applyFont="1" applyBorder="1" applyAlignment="1">
      <alignment horizontal="center" vertical="center"/>
    </xf>
    <xf numFmtId="0" fontId="2" fillId="2" borderId="11" xfId="4" applyBorder="1">
      <alignment horizontal="right" vertical="center"/>
    </xf>
    <xf numFmtId="0" fontId="2" fillId="2" borderId="12" xfId="4" applyBorder="1">
      <alignment horizontal="right" vertical="center"/>
    </xf>
    <xf numFmtId="0" fontId="0" fillId="2" borderId="0" xfId="0" applyBorder="1"/>
    <xf numFmtId="0" fontId="2" fillId="2" borderId="13" xfId="4" applyBorder="1">
      <alignment horizontal="right" vertical="center"/>
    </xf>
    <xf numFmtId="0" fontId="12" fillId="2" borderId="0" xfId="0" applyFont="1" applyBorder="1" applyAlignment="1">
      <alignment horizontal="left" vertical="center"/>
    </xf>
    <xf numFmtId="0" fontId="0" fillId="2" borderId="0" xfId="0"/>
    <xf numFmtId="0" fontId="0" fillId="2" borderId="0" xfId="0" applyAlignment="1">
      <alignment textRotation="180"/>
    </xf>
    <xf numFmtId="0" fontId="5" fillId="2" borderId="0" xfId="0" applyFont="1" applyAlignment="1">
      <alignment horizontal="right" vertical="center" indent="7"/>
    </xf>
    <xf numFmtId="0" fontId="0" fillId="2" borderId="0" xfId="0" applyAlignment="1">
      <alignment horizontal="right"/>
    </xf>
    <xf numFmtId="0" fontId="7" fillId="2" borderId="0" xfId="0" applyFont="1" applyAlignment="1">
      <alignment horizontal="right" vertical="top"/>
    </xf>
    <xf numFmtId="0" fontId="8" fillId="2" borderId="0" xfId="0" applyFont="1" applyAlignment="1">
      <alignment vertical="top"/>
    </xf>
    <xf numFmtId="0" fontId="8" fillId="2" borderId="0" xfId="0" applyFont="1"/>
    <xf numFmtId="0" fontId="0" fillId="2" borderId="0" xfId="0" applyAlignment="1">
      <alignment horizontal="center" vertical="center"/>
    </xf>
    <xf numFmtId="0" fontId="12" fillId="2" borderId="0" xfId="0" applyFont="1" applyAlignment="1">
      <alignment horizontal="left" vertical="center"/>
    </xf>
    <xf numFmtId="0" fontId="15" fillId="2" borderId="0" xfId="0" applyFont="1" applyAlignment="1">
      <alignment horizontal="left" vertical="center" wrapText="1" indent="1"/>
    </xf>
    <xf numFmtId="0" fontId="16" fillId="2" borderId="0" xfId="0" applyFont="1" applyAlignment="1">
      <alignment horizontal="right" vertical="top" textRotation="180"/>
    </xf>
    <xf numFmtId="0" fontId="17" fillId="2" borderId="0" xfId="0" applyFont="1" applyAlignment="1">
      <alignment horizontal="right" vertical="center"/>
    </xf>
    <xf numFmtId="0" fontId="0" fillId="2" borderId="0" xfId="0" applyAlignment="1">
      <alignment horizontal="right" textRotation="180"/>
    </xf>
    <xf numFmtId="0" fontId="13" fillId="8" borderId="0" xfId="0" applyFont="1" applyFill="1" applyAlignment="1">
      <alignment wrapText="1"/>
    </xf>
    <xf numFmtId="0" fontId="14" fillId="8" borderId="0" xfId="0" applyFont="1" applyFill="1" applyAlignment="1">
      <alignment vertical="center" wrapText="1"/>
    </xf>
    <xf numFmtId="0" fontId="18" fillId="2" borderId="14" xfId="6">
      <alignment horizontal="center" vertical="center"/>
    </xf>
    <xf numFmtId="0" fontId="0" fillId="2" borderId="14" xfId="0" applyFill="1" applyBorder="1" applyAlignment="1">
      <alignment horizontal="left" indent="1"/>
    </xf>
    <xf numFmtId="0" fontId="0" fillId="2" borderId="14" xfId="0" applyFill="1" applyBorder="1" applyAlignment="1">
      <alignment horizontal="center" vertical="center" wrapText="1"/>
    </xf>
    <xf numFmtId="3" fontId="0" fillId="2" borderId="14" xfId="0" applyNumberFormat="1" applyFill="1" applyBorder="1" applyAlignment="1">
      <alignment horizontal="center" vertical="center" wrapText="1"/>
    </xf>
    <xf numFmtId="164" fontId="0" fillId="2" borderId="14" xfId="0" applyNumberFormat="1" applyFill="1" applyBorder="1" applyAlignment="1">
      <alignment horizontal="center" vertical="center" wrapText="1"/>
    </xf>
    <xf numFmtId="4" fontId="0" fillId="2" borderId="14" xfId="0" applyNumberFormat="1" applyFill="1" applyBorder="1" applyAlignment="1">
      <alignment horizontal="center" vertical="center" wrapText="1"/>
    </xf>
    <xf numFmtId="164" fontId="5" fillId="3" borderId="14" xfId="0" applyNumberFormat="1" applyFont="1" applyFill="1" applyBorder="1" applyAlignment="1">
      <alignment horizontal="center" vertical="top" wrapText="1"/>
    </xf>
    <xf numFmtId="164" fontId="5" fillId="3" borderId="5" xfId="0" applyNumberFormat="1" applyFont="1" applyFill="1" applyBorder="1" applyAlignment="1">
      <alignment horizontal="center" vertical="center" wrapText="1"/>
    </xf>
    <xf numFmtId="164" fontId="5" fillId="3" borderId="0" xfId="0" applyNumberFormat="1" applyFont="1" applyFill="1" applyBorder="1" applyAlignment="1">
      <alignment horizontal="center" vertical="center" wrapText="1"/>
    </xf>
    <xf numFmtId="0" fontId="0" fillId="2" borderId="0" xfId="0" applyBorder="1" applyAlignment="1"/>
    <xf numFmtId="0" fontId="19" fillId="8" borderId="14" xfId="0" applyFont="1" applyFill="1" applyBorder="1" applyAlignment="1">
      <alignment horizontal="left" indent="1"/>
    </xf>
    <xf numFmtId="0" fontId="2" fillId="2" borderId="0" xfId="4" applyBorder="1" applyAlignment="1">
      <alignment horizontal="right" vertical="center"/>
    </xf>
    <xf numFmtId="0" fontId="20" fillId="2" borderId="0" xfId="0" applyFont="1" applyAlignment="1">
      <alignment horizontal="right" vertical="center"/>
    </xf>
    <xf numFmtId="3" fontId="0" fillId="2" borderId="4" xfId="0" applyNumberFormat="1" applyBorder="1" applyAlignment="1">
      <alignment horizontal="center" vertical="center"/>
    </xf>
    <xf numFmtId="0" fontId="3" fillId="2" borderId="0" xfId="5" applyFill="1" applyBorder="1" applyAlignment="1">
      <alignment horizontal="center" vertical="center" wrapText="1"/>
    </xf>
    <xf numFmtId="0" fontId="3" fillId="2" borderId="10" xfId="5" applyFill="1" applyBorder="1" applyAlignment="1">
      <alignment horizontal="center" vertical="center" wrapText="1"/>
    </xf>
    <xf numFmtId="0" fontId="11" fillId="2" borderId="9" xfId="5" applyFont="1" applyBorder="1" applyAlignment="1">
      <alignment horizontal="center" vertical="center" wrapText="1"/>
    </xf>
    <xf numFmtId="0" fontId="11" fillId="2" borderId="0" xfId="5" applyFont="1" applyBorder="1" applyAlignment="1">
      <alignment horizontal="center" vertical="center" wrapText="1"/>
    </xf>
    <xf numFmtId="0" fontId="11" fillId="2" borderId="10" xfId="5" applyFont="1" applyBorder="1" applyAlignment="1">
      <alignment horizontal="center" vertical="center" wrapText="1"/>
    </xf>
    <xf numFmtId="0" fontId="27" fillId="2" borderId="0" xfId="0" applyFont="1"/>
    <xf numFmtId="165" fontId="27" fillId="2" borderId="0" xfId="0" applyNumberFormat="1" applyFont="1" applyAlignment="1">
      <alignment horizontal="center" vertical="center" wrapText="1"/>
    </xf>
    <xf numFmtId="0" fontId="29" fillId="2" borderId="0" xfId="0" applyFont="1" applyAlignment="1">
      <alignment horizontal="left" vertical="center"/>
    </xf>
    <xf numFmtId="0" fontId="22" fillId="2" borderId="0" xfId="0" applyFont="1" applyAlignment="1">
      <alignment horizontal="left"/>
    </xf>
    <xf numFmtId="0" fontId="22" fillId="2" borderId="0" xfId="0" applyFont="1"/>
    <xf numFmtId="0" fontId="4" fillId="2" borderId="0" xfId="0" applyFont="1" applyAlignment="1">
      <alignment horizontal="left" vertical="center"/>
    </xf>
    <xf numFmtId="0" fontId="27" fillId="2" borderId="0" xfId="7" applyFont="1" applyAlignment="1">
      <alignment horizontal="left" vertical="center" wrapText="1" indent="1"/>
    </xf>
    <xf numFmtId="3" fontId="31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/>
    </xf>
    <xf numFmtId="3" fontId="27" fillId="2" borderId="0" xfId="0" applyNumberFormat="1" applyFont="1" applyAlignment="1">
      <alignment horizontal="center" vertical="center" wrapText="1"/>
    </xf>
    <xf numFmtId="3" fontId="0" fillId="2" borderId="0" xfId="0" applyNumberFormat="1"/>
    <xf numFmtId="3" fontId="6" fillId="2" borderId="0" xfId="0" applyNumberFormat="1" applyFont="1" applyAlignment="1">
      <alignment vertical="center"/>
    </xf>
    <xf numFmtId="3" fontId="24" fillId="2" borderId="0" xfId="0" applyNumberFormat="1" applyFont="1" applyAlignment="1">
      <alignment vertical="center"/>
    </xf>
    <xf numFmtId="3" fontId="25" fillId="2" borderId="0" xfId="4" applyNumberFormat="1" applyFont="1" applyBorder="1" applyAlignment="1">
      <alignment horizontal="left" vertical="center"/>
    </xf>
    <xf numFmtId="3" fontId="26" fillId="2" borderId="0" xfId="4" applyNumberFormat="1" applyFont="1" applyBorder="1" applyAlignment="1">
      <alignment horizontal="left" vertical="center"/>
    </xf>
    <xf numFmtId="3" fontId="24" fillId="6" borderId="18" xfId="7" applyNumberFormat="1" applyFont="1" applyFill="1" applyBorder="1" applyAlignment="1">
      <alignment horizontal="left" vertical="center" wrapText="1" indent="1"/>
    </xf>
    <xf numFmtId="3" fontId="24" fillId="6" borderId="19" xfId="7" applyNumberFormat="1" applyFont="1" applyFill="1" applyBorder="1" applyAlignment="1">
      <alignment horizontal="left" vertical="center" wrapTex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Alignment="1">
      <alignment horizontal="left"/>
    </xf>
    <xf numFmtId="3" fontId="22" fillId="2" borderId="0" xfId="0" applyNumberFormat="1" applyFont="1" applyAlignment="1">
      <alignment horizontal="left"/>
    </xf>
    <xf numFmtId="3" fontId="22" fillId="2" borderId="0" xfId="0" applyNumberFormat="1" applyFont="1"/>
    <xf numFmtId="3" fontId="29" fillId="2" borderId="0" xfId="0" applyNumberFormat="1" applyFont="1" applyAlignment="1">
      <alignment horizontal="left" vertical="center"/>
    </xf>
    <xf numFmtId="3" fontId="27" fillId="2" borderId="0" xfId="7" applyNumberFormat="1" applyFont="1" applyAlignment="1">
      <alignment horizontal="left" vertical="center" wrapText="1" indent="1"/>
    </xf>
    <xf numFmtId="3" fontId="0" fillId="2" borderId="0" xfId="0" applyNumberFormat="1" applyAlignment="1">
      <alignment horizontal="left" indent="2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8" fillId="6" borderId="19" xfId="7" applyNumberFormat="1" applyFont="1" applyFill="1" applyBorder="1">
      <alignment horizontal="center" vertical="center" wrapText="1"/>
    </xf>
    <xf numFmtId="3" fontId="28" fillId="6" borderId="21" xfId="7" applyNumberFormat="1" applyFont="1" applyFill="1" applyBorder="1">
      <alignment horizontal="center" vertical="center" wrapText="1"/>
    </xf>
    <xf numFmtId="3" fontId="27" fillId="2" borderId="20" xfId="7" applyNumberFormat="1" applyFont="1" applyBorder="1" applyAlignment="1">
      <alignment horizontal="left" vertical="center" wrapText="1" indent="1"/>
    </xf>
    <xf numFmtId="3" fontId="27" fillId="2" borderId="23" xfId="7" applyNumberFormat="1" applyFont="1" applyBorder="1" applyAlignment="1">
      <alignment horizontal="left" vertical="center" wrapText="1" indent="1"/>
    </xf>
    <xf numFmtId="3" fontId="30" fillId="6" borderId="19" xfId="7" applyNumberFormat="1" applyFont="1" applyFill="1" applyBorder="1">
      <alignment horizontal="center" vertical="center" wrapText="1"/>
    </xf>
    <xf numFmtId="3" fontId="30" fillId="6" borderId="21" xfId="7" applyNumberFormat="1" applyFont="1" applyFill="1" applyBorder="1">
      <alignment horizontal="center" vertical="center" wrapText="1"/>
    </xf>
    <xf numFmtId="3" fontId="27" fillId="9" borderId="14" xfId="0" applyNumberFormat="1" applyFont="1" applyFill="1" applyBorder="1" applyAlignment="1">
      <alignment horizontal="center"/>
    </xf>
    <xf numFmtId="3" fontId="27" fillId="9" borderId="14" xfId="8" applyNumberFormat="1" applyFont="1" applyFill="1" applyBorder="1" applyAlignment="1">
      <alignment horizontal="center"/>
    </xf>
    <xf numFmtId="3" fontId="11" fillId="9" borderId="18" xfId="7" applyNumberFormat="1" applyFont="1" applyFill="1" applyBorder="1" applyAlignment="1">
      <alignment horizontal="left" vertical="center" wrapText="1" indent="1"/>
    </xf>
    <xf numFmtId="3" fontId="11" fillId="9" borderId="20" xfId="7" applyNumberFormat="1" applyFont="1" applyFill="1" applyBorder="1" applyAlignment="1">
      <alignment horizontal="left" vertical="center" wrapText="1" indent="1"/>
    </xf>
    <xf numFmtId="3" fontId="28" fillId="6" borderId="18" xfId="7" applyNumberFormat="1" applyFont="1" applyFill="1" applyBorder="1" applyAlignment="1">
      <alignment horizontal="left" vertical="center" wrapText="1" indent="1"/>
    </xf>
    <xf numFmtId="3" fontId="27" fillId="9" borderId="14" xfId="0" applyNumberFormat="1" applyFont="1" applyFill="1" applyBorder="1" applyAlignment="1">
      <alignment horizontal="center"/>
    </xf>
    <xf numFmtId="3" fontId="28" fillId="6" borderId="21" xfId="7" applyNumberFormat="1" applyFont="1" applyFill="1" applyBorder="1" applyAlignment="1">
      <alignment horizontal="left" vertical="center" wrapText="1"/>
    </xf>
    <xf numFmtId="3" fontId="27" fillId="9" borderId="23" xfId="7" applyNumberFormat="1" applyFont="1" applyFill="1" applyBorder="1" applyAlignment="1">
      <alignment horizontal="left" vertical="center" wrapText="1" indent="1"/>
    </xf>
    <xf numFmtId="3" fontId="27" fillId="9" borderId="25" xfId="7" applyNumberFormat="1" applyFont="1" applyFill="1" applyBorder="1" applyAlignment="1">
      <alignment horizontal="left" vertical="center" wrapText="1" indent="1"/>
    </xf>
    <xf numFmtId="3" fontId="27" fillId="9" borderId="20" xfId="0" applyNumberFormat="1" applyFont="1" applyFill="1" applyBorder="1" applyAlignment="1">
      <alignment horizontal="left" indent="1"/>
    </xf>
    <xf numFmtId="3" fontId="27" fillId="9" borderId="14" xfId="0" applyNumberFormat="1" applyFont="1" applyFill="1" applyBorder="1" applyAlignment="1">
      <alignment horizontal="left" indent="1"/>
    </xf>
    <xf numFmtId="3" fontId="30" fillId="6" borderId="18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left" vertical="center" wrapText="1" indent="1"/>
    </xf>
    <xf numFmtId="3" fontId="30" fillId="6" borderId="19" xfId="7" applyNumberFormat="1" applyFont="1" applyFill="1" applyBorder="1" applyAlignment="1">
      <alignment horizontal="center" vertical="center" wrapText="1"/>
    </xf>
    <xf numFmtId="3" fontId="28" fillId="6" borderId="21" xfId="7" applyNumberFormat="1" applyFont="1" applyFill="1" applyBorder="1" applyAlignment="1">
      <alignment horizontal="center" vertical="center" wrapText="1"/>
    </xf>
    <xf numFmtId="3" fontId="11" fillId="9" borderId="21" xfId="7" applyNumberFormat="1" applyFont="1" applyFill="1" applyBorder="1" applyAlignment="1">
      <alignment horizontal="center" vertical="center" wrapText="1"/>
    </xf>
    <xf numFmtId="3" fontId="11" fillId="9" borderId="22" xfId="7" applyNumberFormat="1" applyFont="1" applyFill="1" applyBorder="1" applyAlignment="1">
      <alignment horizontal="center" vertical="center" wrapText="1"/>
    </xf>
    <xf numFmtId="3" fontId="11" fillId="9" borderId="23" xfId="7" applyNumberFormat="1" applyFont="1" applyFill="1" applyBorder="1" applyAlignment="1">
      <alignment horizontal="left" vertical="center" wrapText="1" indent="1"/>
    </xf>
    <xf numFmtId="3" fontId="19" fillId="2" borderId="0" xfId="0" applyNumberFormat="1" applyFont="1" applyBorder="1" applyAlignment="1">
      <alignment horizontal="left"/>
    </xf>
    <xf numFmtId="164" fontId="27" fillId="2" borderId="22" xfId="9" applyNumberFormat="1" applyFont="1" applyFill="1" applyBorder="1" applyAlignment="1">
      <alignment horizontal="center" vertical="center"/>
    </xf>
    <xf numFmtId="164" fontId="27" fillId="2" borderId="25" xfId="9" applyNumberFormat="1" applyFont="1" applyFill="1" applyBorder="1" applyAlignment="1">
      <alignment horizontal="center" vertical="center"/>
    </xf>
    <xf numFmtId="165" fontId="27" fillId="2" borderId="14" xfId="0" applyNumberFormat="1" applyFont="1" applyBorder="1" applyAlignment="1">
      <alignment horizontal="center"/>
    </xf>
    <xf numFmtId="165" fontId="27" fillId="2" borderId="24" xfId="0" applyNumberFormat="1" applyFont="1" applyBorder="1" applyAlignment="1">
      <alignment horizontal="center"/>
    </xf>
    <xf numFmtId="4" fontId="27" fillId="9" borderId="14" xfId="0" applyNumberFormat="1" applyFont="1" applyFill="1" applyBorder="1" applyAlignment="1">
      <alignment horizontal="center"/>
    </xf>
    <xf numFmtId="0" fontId="23" fillId="2" borderId="0" xfId="0" applyFont="1" applyAlignment="1">
      <alignment horizontal="right" vertical="center" textRotation="180"/>
    </xf>
    <xf numFmtId="3" fontId="1" fillId="2" borderId="0" xfId="1" applyNumberFormat="1" applyFill="1" applyAlignment="1">
      <alignment horizontal="right"/>
    </xf>
    <xf numFmtId="0" fontId="3" fillId="2" borderId="0" xfId="5" applyBorder="1" applyAlignment="1">
      <alignment horizontal="left" vertical="center" wrapText="1" indent="1"/>
    </xf>
    <xf numFmtId="0" fontId="3" fillId="2" borderId="17" xfId="5" applyBorder="1" applyAlignment="1">
      <alignment horizontal="left" vertical="center" wrapText="1" indent="1"/>
    </xf>
    <xf numFmtId="0" fontId="32" fillId="10" borderId="0" xfId="0" applyFont="1" applyFill="1"/>
    <xf numFmtId="0" fontId="33" fillId="10" borderId="0" xfId="0" applyFont="1" applyFill="1" applyAlignment="1">
      <alignment horizontal="center" vertical="center"/>
    </xf>
    <xf numFmtId="0" fontId="32" fillId="10" borderId="16" xfId="0" applyFont="1" applyFill="1" applyBorder="1" applyAlignment="1">
      <alignment horizontal="left" vertical="center" indent="1"/>
    </xf>
    <xf numFmtId="0" fontId="32" fillId="10" borderId="16" xfId="0" applyFont="1" applyFill="1" applyBorder="1" applyAlignment="1">
      <alignment horizontal="center" vertical="center" wrapText="1"/>
    </xf>
    <xf numFmtId="164" fontId="8" fillId="3" borderId="14" xfId="0" applyNumberFormat="1" applyFont="1" applyFill="1" applyBorder="1" applyAlignment="1">
      <alignment horizontal="center" vertical="top" wrapText="1"/>
    </xf>
    <xf numFmtId="0" fontId="0" fillId="2" borderId="24" xfId="0" applyFill="1" applyBorder="1" applyAlignment="1">
      <alignment horizontal="left" indent="1"/>
    </xf>
    <xf numFmtId="0" fontId="19" fillId="8" borderId="24" xfId="0" applyFont="1" applyFill="1" applyBorder="1" applyAlignment="1">
      <alignment horizontal="left" indent="1"/>
    </xf>
    <xf numFmtId="0" fontId="0" fillId="2" borderId="24" xfId="0" applyFill="1" applyBorder="1" applyAlignment="1">
      <alignment horizontal="center" vertical="center" wrapText="1"/>
    </xf>
    <xf numFmtId="164" fontId="8" fillId="3" borderId="24" xfId="0" applyNumberFormat="1" applyFont="1" applyFill="1" applyBorder="1" applyAlignment="1">
      <alignment horizontal="center" vertical="top" wrapText="1"/>
    </xf>
    <xf numFmtId="3" fontId="0" fillId="2" borderId="24" xfId="0" applyNumberFormat="1" applyFill="1" applyBorder="1" applyAlignment="1">
      <alignment horizontal="center" vertical="center" wrapText="1"/>
    </xf>
    <xf numFmtId="164" fontId="0" fillId="2" borderId="24" xfId="0" applyNumberFormat="1" applyFill="1" applyBorder="1" applyAlignment="1">
      <alignment horizontal="center" vertical="center" wrapText="1"/>
    </xf>
    <xf numFmtId="4" fontId="0" fillId="2" borderId="24" xfId="0" applyNumberFormat="1" applyFill="1" applyBorder="1" applyAlignment="1">
      <alignment horizontal="center" vertical="center" wrapText="1"/>
    </xf>
    <xf numFmtId="9" fontId="32" fillId="10" borderId="16" xfId="0" applyNumberFormat="1" applyFont="1" applyFill="1" applyBorder="1" applyAlignment="1">
      <alignment horizontal="center" vertical="center" wrapText="1"/>
    </xf>
    <xf numFmtId="0" fontId="4" fillId="7" borderId="0" xfId="7" applyFill="1" applyAlignment="1">
      <alignment horizontal="center" vertical="center" wrapText="1"/>
    </xf>
    <xf numFmtId="0" fontId="4" fillId="2" borderId="0" xfId="7" applyAlignment="1">
      <alignment horizontal="center" vertical="center" wrapText="1"/>
    </xf>
    <xf numFmtId="0" fontId="0" fillId="2" borderId="14" xfId="0" applyFill="1" applyBorder="1" applyAlignment="1">
      <alignment horizontal="center"/>
    </xf>
    <xf numFmtId="0" fontId="0" fillId="2" borderId="0" xfId="0" applyFill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35" fillId="8" borderId="0" xfId="7" applyFont="1" applyFill="1" applyAlignment="1">
      <alignment horizontal="center" vertical="center" wrapText="1"/>
    </xf>
    <xf numFmtId="0" fontId="36" fillId="8" borderId="15" xfId="0" applyFont="1" applyFill="1" applyBorder="1" applyAlignment="1">
      <alignment horizontal="center"/>
    </xf>
    <xf numFmtId="0" fontId="36" fillId="8" borderId="2" xfId="0" applyFont="1" applyFill="1" applyBorder="1" applyAlignment="1">
      <alignment horizontal="center"/>
    </xf>
    <xf numFmtId="0" fontId="36" fillId="8" borderId="16" xfId="0" applyFont="1" applyFill="1" applyBorder="1" applyAlignment="1">
      <alignment horizontal="center"/>
    </xf>
    <xf numFmtId="0" fontId="37" fillId="8" borderId="0" xfId="0" applyFont="1" applyFill="1" applyAlignment="1">
      <alignment horizontal="center"/>
    </xf>
    <xf numFmtId="0" fontId="0" fillId="2" borderId="0" xfId="0" applyAlignment="1">
      <alignment horizontal="left" vertical="center"/>
    </xf>
    <xf numFmtId="0" fontId="0" fillId="2" borderId="0" xfId="0" pivotButton="1" applyAlignment="1">
      <alignment horizontal="center" vertical="center" wrapText="1"/>
    </xf>
    <xf numFmtId="0" fontId="0" fillId="2" borderId="0" xfId="0" pivotButton="1" applyAlignment="1">
      <alignment horizontal="left" vertical="center" wrapText="1"/>
    </xf>
    <xf numFmtId="0" fontId="37" fillId="8" borderId="0" xfId="0" applyFont="1" applyFill="1" applyAlignment="1">
      <alignment horizontal="center" vertical="center" wrapText="1"/>
    </xf>
    <xf numFmtId="164" fontId="37" fillId="8" borderId="0" xfId="0" applyNumberFormat="1" applyFont="1" applyFill="1" applyAlignment="1">
      <alignment horizontal="center" vertical="center"/>
    </xf>
    <xf numFmtId="164" fontId="38" fillId="11" borderId="0" xfId="0" applyNumberFormat="1" applyFont="1" applyFill="1" applyAlignment="1">
      <alignment horizontal="center" vertical="center" wrapText="1"/>
    </xf>
    <xf numFmtId="10" fontId="37" fillId="8" borderId="0" xfId="0" applyNumberFormat="1" applyFont="1" applyFill="1" applyAlignment="1">
      <alignment horizontal="center" vertical="center"/>
    </xf>
    <xf numFmtId="3" fontId="11" fillId="9" borderId="25" xfId="7" applyNumberFormat="1" applyFont="1" applyFill="1" applyBorder="1" applyAlignment="1">
      <alignment horizontal="center" vertical="center" wrapText="1"/>
    </xf>
    <xf numFmtId="3" fontId="27" fillId="2" borderId="23" xfId="7" applyNumberFormat="1" applyFont="1" applyFill="1" applyBorder="1" applyAlignment="1">
      <alignment horizontal="left" vertical="center" wrapText="1" indent="1"/>
    </xf>
    <xf numFmtId="3" fontId="27" fillId="9" borderId="11" xfId="0" applyNumberFormat="1" applyFont="1" applyFill="1" applyBorder="1" applyAlignment="1">
      <alignment horizontal="left" indent="1"/>
    </xf>
    <xf numFmtId="3" fontId="27" fillId="9" borderId="20" xfId="0" applyNumberFormat="1" applyFont="1" applyFill="1" applyBorder="1" applyAlignment="1">
      <alignment horizontal="center"/>
    </xf>
    <xf numFmtId="164" fontId="27" fillId="9" borderId="22" xfId="0" applyNumberFormat="1" applyFont="1" applyFill="1" applyBorder="1" applyAlignment="1">
      <alignment horizontal="center"/>
    </xf>
    <xf numFmtId="3" fontId="27" fillId="9" borderId="1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left" indent="1"/>
    </xf>
    <xf numFmtId="3" fontId="27" fillId="9" borderId="23" xfId="0" applyNumberFormat="1" applyFont="1" applyFill="1" applyBorder="1" applyAlignment="1">
      <alignment horizontal="center"/>
    </xf>
    <xf numFmtId="3" fontId="27" fillId="9" borderId="24" xfId="8" applyNumberFormat="1" applyFont="1" applyFill="1" applyBorder="1" applyAlignment="1">
      <alignment horizontal="center"/>
    </xf>
    <xf numFmtId="3" fontId="27" fillId="9" borderId="24" xfId="0" applyNumberFormat="1" applyFont="1" applyFill="1" applyBorder="1" applyAlignment="1">
      <alignment horizontal="center"/>
    </xf>
    <xf numFmtId="4" fontId="27" fillId="9" borderId="24" xfId="0" applyNumberFormat="1" applyFont="1" applyFill="1" applyBorder="1" applyAlignment="1">
      <alignment horizontal="center"/>
    </xf>
    <xf numFmtId="164" fontId="27" fillId="9" borderId="25" xfId="0" applyNumberFormat="1" applyFont="1" applyFill="1" applyBorder="1" applyAlignment="1">
      <alignment horizontal="center"/>
    </xf>
  </cellXfs>
  <cellStyles count="10">
    <cellStyle name="Comma" xfId="8" builtinId="3"/>
    <cellStyle name="DarkHeader" xfId="7" xr:uid="{E2F6A325-2B6F-491C-8710-28B3E934C509}"/>
    <cellStyle name="FalseFlag" xfId="6" xr:uid="{BD988031-97DA-4A1A-AF98-493153F33599}"/>
    <cellStyle name="Followed Hyperlink" xfId="2" builtinId="9" customBuiltin="1"/>
    <cellStyle name="Hyperlink" xfId="1" builtinId="8" customBuiltin="1"/>
    <cellStyle name="Normal" xfId="0" builtinId="0" customBuiltin="1"/>
    <cellStyle name="NoteField" xfId="5" xr:uid="{77D69A19-857B-442A-9B0A-501771EE9A4D}"/>
    <cellStyle name="Percent" xfId="9" builtinId="5"/>
    <cellStyle name="SubItem" xfId="4" xr:uid="{D21B07FD-5F6D-4154-8AB7-63D035214F3C}"/>
    <cellStyle name="SubSectionTItle" xfId="3" xr:uid="{8B04109E-AD21-4C71-8EF5-077A68DD2476}"/>
  </cellStyles>
  <dxfs count="234">
    <dxf>
      <font>
        <color rgb="FF898989"/>
      </font>
    </dxf>
    <dxf>
      <font>
        <color rgb="FF898989"/>
      </font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alignment horizontal="center"/>
    </dxf>
    <dxf>
      <alignment wrapText="1"/>
    </dxf>
    <dxf>
      <font>
        <color rgb="FF898989"/>
      </font>
    </dxf>
    <dxf>
      <fill>
        <patternFill>
          <bgColor rgb="FF262626"/>
        </patternFill>
      </fill>
    </dxf>
    <dxf>
      <fill>
        <patternFill>
          <bgColor rgb="FF262626"/>
        </patternFill>
      </fill>
    </dxf>
    <dxf>
      <alignment horizontal="left"/>
    </dxf>
    <dxf>
      <alignment horizontal="left"/>
    </dxf>
    <dxf>
      <alignment wrapText="1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ont>
        <color rgb="FF898989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ont>
        <i/>
        <strike val="0"/>
        <outline val="0"/>
        <shadow val="0"/>
        <u val="none"/>
        <vertAlign val="baseline"/>
        <sz val="11"/>
        <color rgb="FF898989"/>
        <name val="Calibri"/>
        <family val="2"/>
        <scheme val="minor"/>
      </font>
      <fill>
        <patternFill patternType="solid">
          <fgColor indexed="64"/>
          <bgColor rgb="FF262626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 style="thin">
          <color theme="1" tint="-0.249977111117893"/>
        </top>
        <bottom style="thin">
          <color theme="1" tint="-0.249977111117893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fgColor indexed="64"/>
          <bgColor rgb="FF000000"/>
        </patternFill>
      </fill>
      <alignment horizontal="center" textRotation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0" formatCode="General"/>
      <fill>
        <patternFill patternType="solid">
          <fgColor indexed="64"/>
          <bgColor rgb="FF262626"/>
        </patternFill>
      </fill>
      <alignment horizontal="left" vertical="bottom" textRotation="0" wrapText="0" relativeIndent="1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color rgb="FF000000"/>
      </font>
      <fill>
        <patternFill patternType="solid">
          <fgColor indexed="64"/>
          <bgColor rgb="FFFED966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theme="1" tint="-0.249977111117893"/>
        </left>
        <right style="thin">
          <color theme="1" tint="-0.249977111117893"/>
        </right>
        <top/>
        <bottom/>
      </border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alignment horizontal="center"/>
    </dxf>
    <dxf>
      <numFmt numFmtId="14" formatCode="0.00%"/>
    </dxf>
    <dxf>
      <alignment vertical="center"/>
    </dxf>
    <dxf>
      <alignment horizontal="center"/>
    </dxf>
    <dxf>
      <fill>
        <patternFill>
          <bgColor rgb="FF000000"/>
        </patternFill>
      </fill>
    </dxf>
    <dxf>
      <font>
        <sz val="10"/>
        <color theme="0"/>
      </font>
      <fill>
        <patternFill patternType="solid">
          <fgColor theme="1" tint="0.249977111117893"/>
          <bgColor theme="1"/>
        </patternFill>
      </fill>
      <alignment vertical="top" wrapText="1"/>
    </dxf>
    <dxf>
      <alignment horizontal="center"/>
    </dxf>
    <dxf>
      <alignment horizontal="center"/>
    </dxf>
    <dxf>
      <alignment horizontal="center"/>
    </dxf>
    <dxf>
      <numFmt numFmtId="164" formatCode="0.0%"/>
    </dxf>
    <dxf>
      <numFmt numFmtId="164" formatCode="0.0%"/>
    </dxf>
    <dxf>
      <alignment horizontal="center"/>
    </dxf>
    <dxf>
      <alignment horizontal="center"/>
    </dxf>
    <dxf>
      <alignment vertical="center"/>
    </dxf>
    <dxf>
      <alignment vertical="center"/>
    </dxf>
    <dxf>
      <alignment vertical="center"/>
    </dxf>
    <dxf>
      <alignment vertical="center"/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4" formatCode="#,##0.0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164" formatCode="0.0%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numFmt numFmtId="3" formatCode="#,##0"/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sz val="10"/>
        <color theme="0"/>
      </font>
      <numFmt numFmtId="164" formatCode="0.0%"/>
      <fill>
        <patternFill patternType="solid">
          <fgColor theme="1" tint="0.249977111117893"/>
          <bgColor rgb="FF000000"/>
        </patternFill>
      </fill>
      <alignment horizontal="center" vertical="top" textRotation="0" wrapText="1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ill>
        <patternFill patternType="solid">
          <bgColor rgb="FF000000"/>
        </patternFill>
      </fill>
    </dxf>
    <dxf>
      <border>
        <bottom style="thin">
          <color theme="1" tint="-0.249977111117893"/>
        </bottom>
      </border>
    </dxf>
    <dxf>
      <font>
        <color theme="0"/>
      </font>
      <fill>
        <patternFill patternType="solid">
          <bgColor rgb="FF1EAC1D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>
          <bgColor rgb="FF000000"/>
        </patternFill>
      </fill>
    </dxf>
    <dxf>
      <font>
        <color rgb="FF9C0006"/>
      </font>
      <numFmt numFmtId="166" formatCode="&quot;List names must be unique&quot;"/>
      <fill>
        <patternFill>
          <bgColor rgb="FFFFC7CE"/>
        </patternFill>
      </fill>
    </dxf>
    <dxf>
      <font>
        <color theme="0"/>
      </font>
      <fill>
        <patternFill>
          <bgColor rgb="FF000000"/>
        </patternFill>
      </fill>
    </dxf>
    <dxf>
      <font>
        <color theme="0"/>
      </font>
      <fill>
        <patternFill patternType="solid">
          <bgColor rgb="FF1EAC1D"/>
        </patternFill>
      </fill>
    </dxf>
    <dxf>
      <font>
        <color theme="1" tint="0.499984740745262"/>
      </font>
      <fill>
        <patternFill patternType="solid">
          <bgColor rgb="FF000000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/>
        <vertical/>
        <horizontal/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>
        <left/>
        <right style="thin">
          <color theme="1" tint="-0.499984740745262"/>
        </right>
        <top style="thin">
          <color theme="1" tint="-0.499984740745262"/>
        </top>
        <bottom/>
        <vertical/>
        <horizontal/>
      </border>
    </dxf>
    <dxf>
      <border outline="0">
        <top style="thin">
          <color theme="1" tint="-0.499984740745262"/>
        </top>
      </border>
    </dxf>
    <dxf>
      <border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theme="1" tint="-0.499984740745262"/>
        </top>
      </border>
    </dxf>
    <dxf>
      <border outline="0">
        <bottom style="thin">
          <color theme="1" tint="-0.499984740745262"/>
        </bottom>
      </border>
    </dxf>
    <dxf>
      <border outline="0">
        <bottom style="thin">
          <color theme="1" tint="-0.499984740745262"/>
        </bottom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  <alignment horizontal="left" vertical="bottom" textRotation="0" wrapText="0" indent="0" justifyLastLine="0" shrinkToFit="0" readingOrder="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39997558519241921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left style="thin">
          <color rgb="FF1D1D1D"/>
        </left>
        <top style="thin">
          <color rgb="FF1D1D1D"/>
        </top>
      </border>
    </dxf>
    <dxf>
      <font>
        <strike val="0"/>
        <outline val="0"/>
        <shadow val="0"/>
        <u val="none"/>
        <vertAlign val="baseline"/>
        <color theme="1" tint="0.39997558519241921"/>
        <name val="Calibri"/>
        <family val="2"/>
        <scheme val="minor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39997558519241921"/>
        <name val="Calibri"/>
        <family val="2"/>
        <scheme val="minor"/>
      </font>
      <numFmt numFmtId="3" formatCode="#,##0"/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indexed="64"/>
          <bgColor rgb="FF000000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i/>
        <strike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5" formatCode="#,##0.0"/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rgb="FF000000"/>
        </patternFill>
      </fill>
      <alignment horizontal="left" vertical="center" textRotation="0" wrapText="1" 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i/>
        <strike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</dxf>
    <dxf>
      <border outline="0">
        <bottom style="thin">
          <color rgb="FF1D1D1D"/>
        </bottom>
      </border>
    </dxf>
    <dxf>
      <font>
        <strike val="0"/>
        <outline val="0"/>
        <shadow val="0"/>
        <u val="none"/>
        <vertAlign val="baseline"/>
        <sz val="11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164" formatCode="0.0%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4" formatCode="#,##0.0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rgb="FF000000"/>
          <bgColor rgb="FF000000"/>
        </patternFill>
      </fill>
      <alignment horizontal="left" vertical="bottom" textRotation="0" wrapText="0" relativeIndent="1" justifyLastLine="0" shrinkToFit="0" readingOrder="0"/>
      <border diagonalUp="0" diagonalDown="0" outline="0">
        <left/>
        <right/>
        <top style="thin">
          <color theme="1" tint="-0.499984740745262"/>
        </top>
        <bottom style="thin">
          <color theme="1" tint="-0.499984740745262"/>
        </bottom>
      </border>
    </dxf>
    <dxf>
      <border outline="0">
        <top style="thin">
          <color rgb="FF1D1D1D"/>
        </top>
      </border>
    </dxf>
    <dxf>
      <border outline="0">
        <left style="thin">
          <color rgb="FF1D1D1D"/>
        </left>
        <right style="thin">
          <color rgb="FF1D1D1D"/>
        </right>
        <top style="thin">
          <color rgb="FF1D1D1D"/>
        </top>
        <bottom style="thin">
          <color rgb="FF1D1D1D"/>
        </bottom>
      </border>
    </dxf>
    <dxf>
      <font>
        <b val="0"/>
        <i/>
        <strike val="0"/>
        <condense val="0"/>
        <extend val="0"/>
        <outline val="0"/>
        <shadow val="0"/>
        <u val="none"/>
        <vertAlign val="baseline"/>
        <sz val="10"/>
        <color rgb="FFD8D8D8"/>
        <name val="Calibri"/>
        <family val="2"/>
        <scheme val="none"/>
      </font>
      <numFmt numFmtId="3" formatCode="#,##0"/>
      <fill>
        <patternFill patternType="solid">
          <fgColor rgb="FF000000"/>
          <bgColor rgb="FF000000"/>
        </patternFill>
      </fill>
      <alignment horizontal="center" vertical="bottom" textRotation="0" wrapText="0" indent="0" justifyLastLine="0" shrinkToFit="0" readingOrder="0"/>
    </dxf>
    <dxf>
      <border outline="0">
        <bottom style="thin">
          <color rgb="FF1D1D1D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1" tint="0.79998168889431442"/>
        <name val="Calibri"/>
        <family val="2"/>
        <scheme val="minor"/>
      </font>
      <numFmt numFmtId="3" formatCode="#,##0"/>
      <fill>
        <patternFill patternType="solid">
          <fgColor indexed="64"/>
          <bgColor theme="1" tint="-0.499984740745262"/>
        </patternFill>
      </fill>
      <alignment horizontal="center" vertical="center" textRotation="0" wrapText="1" indent="0" justifyLastLine="0" shrinkToFit="0" readingOrder="0"/>
      <border diagonalUp="0" diagonalDown="0" outline="0">
        <left style="thin">
          <color theme="1" tint="-0.499984740745262"/>
        </left>
        <right style="thin">
          <color theme="1" tint="-0.499984740745262"/>
        </right>
        <top/>
        <bottom/>
      </border>
    </dxf>
    <dxf>
      <font>
        <b/>
        <i val="0"/>
        <strike val="0"/>
        <color theme="0"/>
      </font>
      <fill>
        <patternFill patternType="solid">
          <fgColor auto="1"/>
          <bgColor rgb="FF000000"/>
        </patternFill>
      </fill>
      <border>
        <left style="medium">
          <color theme="1" tint="-0.24994659260841701"/>
        </left>
        <right style="medium">
          <color theme="1" tint="-0.24994659260841701"/>
        </right>
        <top style="medium">
          <color theme="1" tint="-0.24994659260841701"/>
        </top>
        <bottom style="medium">
          <color theme="1" tint="-0.24994659260841701"/>
        </bottom>
        <vertical style="medium">
          <color theme="1" tint="-0.24994659260841701"/>
        </vertical>
        <horizontal style="medium">
          <color theme="1" tint="-0.24994659260841701"/>
        </horizontal>
      </border>
    </dxf>
    <dxf>
      <font>
        <color theme="0"/>
      </font>
      <fill>
        <patternFill patternType="solid">
          <fgColor rgb="FF000000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theme="1"/>
          <bgColor rgb="FF000000"/>
        </patternFill>
      </fill>
      <border diagonalUp="0" diagonalDown="0">
        <left style="thin">
          <color theme="1" tint="-0.24994659260841701"/>
        </left>
        <right style="thin">
          <color theme="1" tint="-0.24994659260841701"/>
        </right>
        <top style="thin">
          <color theme="1" tint="-0.24994659260841701"/>
        </top>
        <bottom style="thin">
          <color theme="1" tint="-0.24994659260841701"/>
        </bottom>
        <vertical style="thin">
          <color theme="1" tint="-0.24994659260841701"/>
        </vertical>
        <horizontal style="thin">
          <color theme="1" tint="-0.24994659260841701"/>
        </horizontal>
      </border>
    </dxf>
    <dxf>
      <font>
        <b/>
        <i val="0"/>
        <color theme="0"/>
      </font>
      <fill>
        <patternFill patternType="solid">
          <fgColor auto="1"/>
          <bgColor theme="1" tint="-0.499984740745262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  <dxf>
      <font>
        <color theme="0"/>
      </font>
      <fill>
        <patternFill patternType="solid">
          <fgColor auto="1"/>
          <bgColor rgb="FF000000"/>
        </patternFill>
      </fill>
      <border>
        <left style="thin">
          <color theme="1" tint="-0.499984740745262"/>
        </left>
        <right style="thin">
          <color theme="1" tint="-0.499984740745262"/>
        </right>
        <top style="thin">
          <color theme="1" tint="-0.499984740745262"/>
        </top>
        <bottom style="thin">
          <color theme="1" tint="-0.499984740745262"/>
        </bottom>
        <vertical style="thin">
          <color theme="1" tint="-0.499984740745262"/>
        </vertical>
        <horizontal style="thin">
          <color theme="1" tint="-0.499984740745262"/>
        </horizontal>
      </border>
    </dxf>
  </dxfs>
  <tableStyles count="2" defaultTableStyle="DarkTable" defaultPivotStyle="DarkPivot">
    <tableStyle name="DarkPivot" table="0" count="3" xr9:uid="{F2CB4A64-8CC4-48DA-B721-DC29E793B33C}">
      <tableStyleElement type="wholeTable" dxfId="233"/>
      <tableStyleElement type="headerRow" dxfId="232"/>
      <tableStyleElement type="totalRow" dxfId="231"/>
    </tableStyle>
    <tableStyle name="DarkTable" pivot="0" count="2" xr9:uid="{97C242D2-6F6D-4549-9428-17456D609B35}">
      <tableStyleElement type="wholeTable" dxfId="230"/>
      <tableStyleElement type="headerRow" dxfId="229"/>
    </tableStyle>
  </tableStyles>
  <colors>
    <mruColors>
      <color rgb="FF5D1955"/>
      <color rgb="FF262626"/>
      <color rgb="FF000000"/>
      <color rgb="FF1EAC1D"/>
      <color rgb="FF060606"/>
      <color rgb="FF565656"/>
      <color rgb="FFCCCC00"/>
      <color rgb="FFFFFFCC"/>
      <color rgb="FFFFFF99"/>
      <color rgb="FFE6E6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17/06/relationships/rdRichValue" Target="richData/rdrichvalue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1.xml"/><Relationship Id="rId12" Type="http://schemas.microsoft.com/office/2022/10/relationships/richValueRel" Target="richData/richValueRel.xml"/><Relationship Id="rId17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5" Type="http://schemas.microsoft.com/office/2017/06/relationships/rdRichValueTypes" Target="richData/rdRichValueTypes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Relationship Id="rId14" Type="http://schemas.microsoft.com/office/2017/06/relationships/rdRichValueStructure" Target="richData/rdrichvaluestructure.xm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pn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png"/><Relationship Id="rId5" Type="http://schemas.openxmlformats.org/officeDocument/2006/relationships/image" Target="../media/image6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97917</xdr:colOff>
      <xdr:row>4</xdr:row>
      <xdr:rowOff>29337</xdr:rowOff>
    </xdr:from>
    <xdr:to>
      <xdr:col>2</xdr:col>
      <xdr:colOff>1501140</xdr:colOff>
      <xdr:row>5</xdr:row>
      <xdr:rowOff>1143</xdr:rowOff>
    </xdr:to>
    <xdr:sp macro="[0]!ToggleSection" textlink="">
      <xdr:nvSpPr>
        <xdr:cNvPr id="2" name="Config">
          <a:extLst>
            <a:ext uri="{FF2B5EF4-FFF2-40B4-BE49-F238E27FC236}">
              <a16:creationId xmlns:a16="http://schemas.microsoft.com/office/drawing/2014/main" id="{F2DFA58D-6044-42D1-B1BD-0DFA5442B409}"/>
            </a:ext>
          </a:extLst>
        </xdr:cNvPr>
        <xdr:cNvSpPr>
          <a:spLocks/>
        </xdr:cNvSpPr>
      </xdr:nvSpPr>
      <xdr:spPr>
        <a:xfrm>
          <a:off x="730377" y="966597"/>
          <a:ext cx="1403223" cy="35166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105537</xdr:colOff>
      <xdr:row>2</xdr:row>
      <xdr:rowOff>29337</xdr:rowOff>
    </xdr:from>
    <xdr:to>
      <xdr:col>3</xdr:col>
      <xdr:colOff>2005203</xdr:colOff>
      <xdr:row>2</xdr:row>
      <xdr:rowOff>557403</xdr:rowOff>
    </xdr:to>
    <xdr:sp macro="[0]!ToggleSection" textlink="">
      <xdr:nvSpPr>
        <xdr:cNvPr id="2" name="Field Analysis">
          <a:extLst>
            <a:ext uri="{FF2B5EF4-FFF2-40B4-BE49-F238E27FC236}">
              <a16:creationId xmlns:a16="http://schemas.microsoft.com/office/drawing/2014/main" id="{AAD21EB8-97FA-4F07-B953-2B1EACD3EE5F}"/>
            </a:ext>
          </a:extLst>
        </xdr:cNvPr>
        <xdr:cNvSpPr>
          <a:spLocks/>
        </xdr:cNvSpPr>
      </xdr:nvSpPr>
      <xdr:spPr>
        <a:xfrm>
          <a:off x="501777" y="151257"/>
          <a:ext cx="1663446" cy="436626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2400" b="1"/>
        </a:p>
      </xdr:txBody>
    </xdr:sp>
    <xdr:clientData/>
  </xdr:twoCellAnchor>
  <xdr:twoCellAnchor>
    <xdr:from>
      <xdr:col>3</xdr:col>
      <xdr:colOff>88392</xdr:colOff>
      <xdr:row>20</xdr:row>
      <xdr:rowOff>11430</xdr:rowOff>
    </xdr:from>
    <xdr:to>
      <xdr:col>3</xdr:col>
      <xdr:colOff>1679448</xdr:colOff>
      <xdr:row>20</xdr:row>
      <xdr:rowOff>240030</xdr:rowOff>
    </xdr:to>
    <xdr:sp macro="[0]!ToggleSection" textlink="">
      <xdr:nvSpPr>
        <xdr:cNvPr id="3" name="Composition">
          <a:extLst>
            <a:ext uri="{FF2B5EF4-FFF2-40B4-BE49-F238E27FC236}">
              <a16:creationId xmlns:a16="http://schemas.microsoft.com/office/drawing/2014/main" id="{19E93C40-C710-4E72-974A-0B53E31F60E3}"/>
            </a:ext>
          </a:extLst>
        </xdr:cNvPr>
        <xdr:cNvSpPr>
          <a:spLocks/>
        </xdr:cNvSpPr>
      </xdr:nvSpPr>
      <xdr:spPr>
        <a:xfrm>
          <a:off x="484632" y="46748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33</xdr:row>
      <xdr:rowOff>11430</xdr:rowOff>
    </xdr:from>
    <xdr:to>
      <xdr:col>3</xdr:col>
      <xdr:colOff>1679448</xdr:colOff>
      <xdr:row>33</xdr:row>
      <xdr:rowOff>240030</xdr:rowOff>
    </xdr:to>
    <xdr:sp macro="[0]!ToggleSection" textlink="">
      <xdr:nvSpPr>
        <xdr:cNvPr id="4" name="Summary Stats">
          <a:extLst>
            <a:ext uri="{FF2B5EF4-FFF2-40B4-BE49-F238E27FC236}">
              <a16:creationId xmlns:a16="http://schemas.microsoft.com/office/drawing/2014/main" id="{9EEF259A-1E72-4B76-858B-B9E0AF1688A3}"/>
            </a:ext>
          </a:extLst>
        </xdr:cNvPr>
        <xdr:cNvSpPr>
          <a:spLocks/>
        </xdr:cNvSpPr>
      </xdr:nvSpPr>
      <xdr:spPr>
        <a:xfrm>
          <a:off x="484632" y="85382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43</xdr:row>
      <xdr:rowOff>11430</xdr:rowOff>
    </xdr:from>
    <xdr:to>
      <xdr:col>3</xdr:col>
      <xdr:colOff>1679448</xdr:colOff>
      <xdr:row>43</xdr:row>
      <xdr:rowOff>240030</xdr:rowOff>
    </xdr:to>
    <xdr:sp macro="[0]!ToggleSection" textlink="">
      <xdr:nvSpPr>
        <xdr:cNvPr id="5" name="Percentiles">
          <a:extLst>
            <a:ext uri="{FF2B5EF4-FFF2-40B4-BE49-F238E27FC236}">
              <a16:creationId xmlns:a16="http://schemas.microsoft.com/office/drawing/2014/main" id="{F4B45ED1-00FA-4CD8-B801-6B4780085F5A}"/>
            </a:ext>
          </a:extLst>
        </xdr:cNvPr>
        <xdr:cNvSpPr>
          <a:spLocks/>
        </xdr:cNvSpPr>
      </xdr:nvSpPr>
      <xdr:spPr>
        <a:xfrm>
          <a:off x="484632" y="1185291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55</xdr:row>
      <xdr:rowOff>11430</xdr:rowOff>
    </xdr:from>
    <xdr:to>
      <xdr:col>3</xdr:col>
      <xdr:colOff>1679448</xdr:colOff>
      <xdr:row>55</xdr:row>
      <xdr:rowOff>240030</xdr:rowOff>
    </xdr:to>
    <xdr:sp macro="[0]!ToggleSection" textlink="">
      <xdr:nvSpPr>
        <xdr:cNvPr id="6" name="Field Lists">
          <a:extLst>
            <a:ext uri="{FF2B5EF4-FFF2-40B4-BE49-F238E27FC236}">
              <a16:creationId xmlns:a16="http://schemas.microsoft.com/office/drawing/2014/main" id="{F0E37346-6444-4787-8886-3A0E8BF611B3}"/>
            </a:ext>
          </a:extLst>
        </xdr:cNvPr>
        <xdr:cNvSpPr>
          <a:spLocks/>
        </xdr:cNvSpPr>
      </xdr:nvSpPr>
      <xdr:spPr>
        <a:xfrm>
          <a:off x="484632" y="1393317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66</xdr:row>
      <xdr:rowOff>11430</xdr:rowOff>
    </xdr:from>
    <xdr:to>
      <xdr:col>3</xdr:col>
      <xdr:colOff>1679448</xdr:colOff>
      <xdr:row>66</xdr:row>
      <xdr:rowOff>240030</xdr:rowOff>
    </xdr:to>
    <xdr:sp macro="[0]!ToggleSection" textlink="">
      <xdr:nvSpPr>
        <xdr:cNvPr id="7" name="Compiled Lists">
          <a:extLst>
            <a:ext uri="{FF2B5EF4-FFF2-40B4-BE49-F238E27FC236}">
              <a16:creationId xmlns:a16="http://schemas.microsoft.com/office/drawing/2014/main" id="{DEBF7C82-F8FC-4343-8AE4-B3BDD7A4A8B1}"/>
            </a:ext>
          </a:extLst>
        </xdr:cNvPr>
        <xdr:cNvSpPr>
          <a:spLocks/>
        </xdr:cNvSpPr>
      </xdr:nvSpPr>
      <xdr:spPr>
        <a:xfrm>
          <a:off x="484632" y="15830550"/>
          <a:ext cx="1591056" cy="22860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endParaRPr lang="en-US" sz="1200" b="1" baseline="0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3</xdr:col>
      <xdr:colOff>88392</xdr:colOff>
      <xdr:row>4</xdr:row>
      <xdr:rowOff>11430</xdr:rowOff>
    </xdr:from>
    <xdr:to>
      <xdr:col>3</xdr:col>
      <xdr:colOff>1679448</xdr:colOff>
      <xdr:row>4</xdr:row>
      <xdr:rowOff>240030</xdr:rowOff>
    </xdr:to>
    <xdr:sp macro="[0]!ToggleSection" textlink="">
      <xdr:nvSpPr>
        <xdr:cNvPr id="10" name="Data Description">
          <a:extLst>
            <a:ext uri="{FF2B5EF4-FFF2-40B4-BE49-F238E27FC236}">
              <a16:creationId xmlns:a16="http://schemas.microsoft.com/office/drawing/2014/main" id="{64E88DDB-40F6-4854-9B76-AEBE1DBCAC61}"/>
            </a:ext>
          </a:extLst>
        </xdr:cNvPr>
        <xdr:cNvSpPr>
          <a:spLocks/>
        </xdr:cNvSpPr>
      </xdr:nvSpPr>
      <xdr:spPr>
        <a:xfrm>
          <a:off x="525421" y="2902548"/>
          <a:ext cx="1591056" cy="180975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lvl="0" algn="l"/>
          <a:endParaRPr lang="en-US" sz="1200" b="1">
            <a:solidFill>
              <a:schemeClr val="accent1">
                <a:lumMod val="20000"/>
                <a:lumOff val="80000"/>
              </a:schemeClr>
            </a:solidFill>
          </a:endParaRPr>
        </a:p>
      </xdr:txBody>
    </xdr:sp>
    <xdr:clientData/>
  </xdr:twoCellAnchor>
  <xdr:twoCellAnchor>
    <xdr:from>
      <xdr:col>4</xdr:col>
      <xdr:colOff>94869</xdr:colOff>
      <xdr:row>31</xdr:row>
      <xdr:rowOff>95250</xdr:rowOff>
    </xdr:from>
    <xdr:to>
      <xdr:col>4</xdr:col>
      <xdr:colOff>1802511</xdr:colOff>
      <xdr:row>31</xdr:row>
      <xdr:rowOff>1809750</xdr:rowOff>
    </xdr:to>
    <xdr:pic>
      <xdr:nvPicPr>
        <xdr:cNvPr id="9" name="composition_Unnamed: 0">
          <a:extLst>
            <a:ext uri="{FF2B5EF4-FFF2-40B4-BE49-F238E27FC236}">
              <a16:creationId xmlns:a16="http://schemas.microsoft.com/office/drawing/2014/main" id="{C7872A1D-DDEB-1752-3D05-B6A02BE24B4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4</xdr:col>
      <xdr:colOff>94869</xdr:colOff>
      <xdr:row>41</xdr:row>
      <xdr:rowOff>95250</xdr:rowOff>
    </xdr:from>
    <xdr:to>
      <xdr:col>4</xdr:col>
      <xdr:colOff>1802511</xdr:colOff>
      <xdr:row>41</xdr:row>
      <xdr:rowOff>1809750</xdr:rowOff>
    </xdr:to>
    <xdr:pic>
      <xdr:nvPicPr>
        <xdr:cNvPr id="12" name="histogram_Unnamed: 0">
          <a:extLst>
            <a:ext uri="{FF2B5EF4-FFF2-40B4-BE49-F238E27FC236}">
              <a16:creationId xmlns:a16="http://schemas.microsoft.com/office/drawing/2014/main" id="{E7386CEF-4FA6-B1D9-5D77-406B370C92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0466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31</xdr:row>
      <xdr:rowOff>95250</xdr:rowOff>
    </xdr:from>
    <xdr:to>
      <xdr:col>5</xdr:col>
      <xdr:colOff>1802511</xdr:colOff>
      <xdr:row>31</xdr:row>
      <xdr:rowOff>1809750</xdr:rowOff>
    </xdr:to>
    <xdr:pic>
      <xdr:nvPicPr>
        <xdr:cNvPr id="14" name="composition_id">
          <a:extLst>
            <a:ext uri="{FF2B5EF4-FFF2-40B4-BE49-F238E27FC236}">
              <a16:creationId xmlns:a16="http://schemas.microsoft.com/office/drawing/2014/main" id="{2F1255FA-EA85-0EA2-33D7-1BAC881A9321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5</xdr:col>
      <xdr:colOff>94869</xdr:colOff>
      <xdr:row>41</xdr:row>
      <xdr:rowOff>95250</xdr:rowOff>
    </xdr:from>
    <xdr:to>
      <xdr:col>5</xdr:col>
      <xdr:colOff>1802511</xdr:colOff>
      <xdr:row>41</xdr:row>
      <xdr:rowOff>1809750</xdr:rowOff>
    </xdr:to>
    <xdr:pic>
      <xdr:nvPicPr>
        <xdr:cNvPr id="16" name="histogram_id">
          <a:extLst>
            <a:ext uri="{FF2B5EF4-FFF2-40B4-BE49-F238E27FC236}">
              <a16:creationId xmlns:a16="http://schemas.microsoft.com/office/drawing/2014/main" id="{03FAF991-1D0D-DC39-01C6-2090698B21B6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20204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6</xdr:col>
      <xdr:colOff>94869</xdr:colOff>
      <xdr:row>31</xdr:row>
      <xdr:rowOff>95250</xdr:rowOff>
    </xdr:from>
    <xdr:to>
      <xdr:col>6</xdr:col>
      <xdr:colOff>1802511</xdr:colOff>
      <xdr:row>31</xdr:row>
      <xdr:rowOff>1809750</xdr:rowOff>
    </xdr:to>
    <xdr:pic>
      <xdr:nvPicPr>
        <xdr:cNvPr id="18" name="composition_diet">
          <a:extLst>
            <a:ext uri="{FF2B5EF4-FFF2-40B4-BE49-F238E27FC236}">
              <a16:creationId xmlns:a16="http://schemas.microsoft.com/office/drawing/2014/main" id="{F0241F2D-1156-195B-7AEA-EDCAF2BEA353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09942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31</xdr:row>
      <xdr:rowOff>95250</xdr:rowOff>
    </xdr:from>
    <xdr:to>
      <xdr:col>7</xdr:col>
      <xdr:colOff>1802511</xdr:colOff>
      <xdr:row>31</xdr:row>
      <xdr:rowOff>1809750</xdr:rowOff>
    </xdr:to>
    <xdr:pic>
      <xdr:nvPicPr>
        <xdr:cNvPr id="20" name="composition_pulse">
          <a:extLst>
            <a:ext uri="{FF2B5EF4-FFF2-40B4-BE49-F238E27FC236}">
              <a16:creationId xmlns:a16="http://schemas.microsoft.com/office/drawing/2014/main" id="{4A7A95C5-5BED-A7A8-7DD4-90EF6951186D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7</xdr:col>
      <xdr:colOff>94869</xdr:colOff>
      <xdr:row>41</xdr:row>
      <xdr:rowOff>95250</xdr:rowOff>
    </xdr:from>
    <xdr:to>
      <xdr:col>7</xdr:col>
      <xdr:colOff>1802511</xdr:colOff>
      <xdr:row>41</xdr:row>
      <xdr:rowOff>1809750</xdr:rowOff>
    </xdr:to>
    <xdr:pic>
      <xdr:nvPicPr>
        <xdr:cNvPr id="22" name="histogram_pulse">
          <a:extLst>
            <a:ext uri="{FF2B5EF4-FFF2-40B4-BE49-F238E27FC236}">
              <a16:creationId xmlns:a16="http://schemas.microsoft.com/office/drawing/2014/main" id="{F5DF0A9B-F8C5-78F0-88DF-FCE552BF7769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96809" y="4171950"/>
          <a:ext cx="1707642" cy="1714500"/>
        </a:xfrm>
        <a:prstGeom prst="rect">
          <a:avLst/>
        </a:prstGeom>
      </xdr:spPr>
    </xdr:pic>
    <xdr:clientData/>
  </xdr:twoCellAnchor>
  <xdr:twoCellAnchor>
    <xdr:from>
      <xdr:col>8</xdr:col>
      <xdr:colOff>94869</xdr:colOff>
      <xdr:row>31</xdr:row>
      <xdr:rowOff>95250</xdr:rowOff>
    </xdr:from>
    <xdr:to>
      <xdr:col>8</xdr:col>
      <xdr:colOff>1802511</xdr:colOff>
      <xdr:row>31</xdr:row>
      <xdr:rowOff>1809750</xdr:rowOff>
    </xdr:to>
    <xdr:pic>
      <xdr:nvPicPr>
        <xdr:cNvPr id="24" name="composition_time">
          <a:extLst>
            <a:ext uri="{FF2B5EF4-FFF2-40B4-BE49-F238E27FC236}">
              <a16:creationId xmlns:a16="http://schemas.microsoft.com/office/drawing/2014/main" id="{65D7E26D-CBE3-1594-AEDA-79E7EDC73634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94189" y="1954530"/>
          <a:ext cx="1707642" cy="1714500"/>
        </a:xfrm>
        <a:prstGeom prst="rect">
          <a:avLst/>
        </a:prstGeom>
      </xdr:spPr>
    </xdr:pic>
    <xdr:clientData/>
  </xdr:twoCellAnchor>
  <xdr:twoCellAnchor>
    <xdr:from>
      <xdr:col>9</xdr:col>
      <xdr:colOff>94869</xdr:colOff>
      <xdr:row>31</xdr:row>
      <xdr:rowOff>95250</xdr:rowOff>
    </xdr:from>
    <xdr:to>
      <xdr:col>9</xdr:col>
      <xdr:colOff>1802511</xdr:colOff>
      <xdr:row>31</xdr:row>
      <xdr:rowOff>1809750</xdr:rowOff>
    </xdr:to>
    <xdr:pic>
      <xdr:nvPicPr>
        <xdr:cNvPr id="26" name="composition_kind">
          <a:extLst>
            <a:ext uri="{FF2B5EF4-FFF2-40B4-BE49-F238E27FC236}">
              <a16:creationId xmlns:a16="http://schemas.microsoft.com/office/drawing/2014/main" id="{E68D25BA-DD5C-A104-C864-7EF34ABECC05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91569" y="1954530"/>
          <a:ext cx="1707642" cy="1714500"/>
        </a:xfrm>
        <a:prstGeom prst="rect">
          <a:avLst/>
        </a:prstGeom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rivers" refreshedDate="46176.815052083337" createdVersion="8" refreshedVersion="8" minRefreshableVersion="3" recordCount="90" xr:uid="{00DEDBB6-1F4A-4C10-B2D2-FF41FE7983D3}">
  <cacheSource type="worksheet">
    <worksheetSource name="tbl_SourceData"/>
  </cacheSource>
  <cacheFields count="10">
    <cacheField name="Record List" numFmtId="0">
      <sharedItems/>
    </cacheField>
    <cacheField name="Unnamed: 0" numFmtId="0">
      <sharedItems containsSemiMixedTypes="0" containsString="0" containsNumber="1" containsInteger="1" minValue="0" maxValue="89" count="90">
        <n v="0"/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  <n v="31"/>
        <n v="32"/>
        <n v="33"/>
        <n v="34"/>
        <n v="35"/>
        <n v="36"/>
        <n v="37"/>
        <n v="38"/>
        <n v="39"/>
        <n v="40"/>
        <n v="41"/>
        <n v="42"/>
        <n v="43"/>
        <n v="44"/>
        <n v="45"/>
        <n v="46"/>
        <n v="47"/>
        <n v="48"/>
        <n v="49"/>
        <n v="50"/>
        <n v="51"/>
        <n v="52"/>
        <n v="53"/>
        <n v="54"/>
        <n v="55"/>
        <n v="56"/>
        <n v="57"/>
        <n v="58"/>
        <n v="59"/>
        <n v="60"/>
        <n v="61"/>
        <n v="62"/>
        <n v="63"/>
        <n v="64"/>
        <n v="65"/>
        <n v="66"/>
        <n v="67"/>
        <n v="68"/>
        <n v="69"/>
        <n v="70"/>
        <n v="71"/>
        <n v="72"/>
        <n v="73"/>
        <n v="74"/>
        <n v="75"/>
        <n v="76"/>
        <n v="77"/>
        <n v="78"/>
        <n v="79"/>
        <n v="80"/>
        <n v="81"/>
        <n v="82"/>
        <n v="83"/>
        <n v="84"/>
        <n v="85"/>
        <n v="86"/>
        <n v="87"/>
        <n v="88"/>
        <n v="89"/>
      </sharedItems>
    </cacheField>
    <cacheField name="id" numFmtId="0">
      <sharedItems containsSemiMixedTypes="0" containsString="0" containsNumber="1" containsInteger="1" minValue="1" maxValue="30" count="30">
        <n v="1"/>
        <n v="2"/>
        <n v="3"/>
        <n v="4"/>
        <n v="5"/>
        <n v="6"/>
        <n v="7"/>
        <n v="8"/>
        <n v="9"/>
        <n v="10"/>
        <n v="11"/>
        <n v="12"/>
        <n v="13"/>
        <n v="14"/>
        <n v="15"/>
        <n v="16"/>
        <n v="17"/>
        <n v="18"/>
        <n v="19"/>
        <n v="20"/>
        <n v="21"/>
        <n v="22"/>
        <n v="23"/>
        <n v="24"/>
        <n v="25"/>
        <n v="26"/>
        <n v="27"/>
        <n v="28"/>
        <n v="29"/>
        <n v="30"/>
      </sharedItems>
    </cacheField>
    <cacheField name="diet" numFmtId="0">
      <sharedItems count="2">
        <s v="low fat"/>
        <s v="no fat"/>
      </sharedItems>
    </cacheField>
    <cacheField name="pulse" numFmtId="0">
      <sharedItems containsSemiMixedTypes="0" containsString="0" containsNumber="1" containsInteger="1" minValue="80" maxValue="150" count="39">
        <n v="85"/>
        <n v="88"/>
        <n v="90"/>
        <n v="92"/>
        <n v="93"/>
        <n v="97"/>
        <n v="94"/>
        <n v="80"/>
        <n v="82"/>
        <n v="83"/>
        <n v="91"/>
        <n v="84"/>
        <n v="87"/>
        <n v="95"/>
        <n v="99"/>
        <n v="96"/>
        <n v="100"/>
        <n v="86"/>
        <n v="103"/>
        <n v="104"/>
        <n v="89"/>
        <n v="109"/>
        <n v="101"/>
        <n v="98"/>
        <n v="102"/>
        <n v="110"/>
        <n v="112"/>
        <n v="105"/>
        <n v="132"/>
        <n v="120"/>
        <n v="116"/>
        <n v="126"/>
        <n v="143"/>
        <n v="140"/>
        <n v="124"/>
        <n v="135"/>
        <n v="130"/>
        <n v="111"/>
        <n v="150"/>
      </sharedItems>
    </cacheField>
    <cacheField name="time" numFmtId="0">
      <sharedItems count="3">
        <s v="1 min"/>
        <s v="15 min"/>
        <s v="30 min"/>
      </sharedItems>
    </cacheField>
    <cacheField name="kind" numFmtId="0">
      <sharedItems count="3">
        <s v="rest"/>
        <s v="walking"/>
        <s v="running"/>
      </sharedItems>
    </cacheField>
    <cacheField name="index" numFmtId="0">
      <sharedItems containsSemiMixedTypes="0" containsString="0" containsNumber="1" containsInteger="1" minValue="0" maxValue="89"/>
    </cacheField>
    <cacheField name="HasBlank" numFmtId="0">
      <sharedItems containsSemiMixedTypes="0" containsString="0" containsNumber="1" containsInteger="1" minValue="0" maxValue="0"/>
    </cacheField>
    <cacheField name="Record Hash" numFmtId="0">
      <sharedItems containsSemiMixedTypes="0" containsString="0" containsNumber="1" containsInteger="1" minValue="2.9132873796456877E+17" maxValue="1.8392839387777106E+19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b v="0"/>
    <x v="0"/>
    <x v="0"/>
    <x v="0"/>
    <x v="0"/>
    <x v="0"/>
    <x v="0"/>
    <n v="0"/>
    <n v="0"/>
    <n v="1.6968869232302838E+19"/>
  </r>
  <r>
    <b v="0"/>
    <x v="1"/>
    <x v="0"/>
    <x v="0"/>
    <x v="0"/>
    <x v="1"/>
    <x v="0"/>
    <n v="1"/>
    <n v="0"/>
    <n v="1.1304601947575794E+19"/>
  </r>
  <r>
    <b v="0"/>
    <x v="2"/>
    <x v="0"/>
    <x v="0"/>
    <x v="1"/>
    <x v="2"/>
    <x v="0"/>
    <n v="2"/>
    <n v="0"/>
    <n v="1.8392839387777106E+19"/>
  </r>
  <r>
    <b v="0"/>
    <x v="3"/>
    <x v="1"/>
    <x v="0"/>
    <x v="2"/>
    <x v="0"/>
    <x v="0"/>
    <n v="3"/>
    <n v="0"/>
    <n v="8.2987015265398579E+18"/>
  </r>
  <r>
    <b v="0"/>
    <x v="4"/>
    <x v="1"/>
    <x v="0"/>
    <x v="3"/>
    <x v="1"/>
    <x v="0"/>
    <n v="4"/>
    <n v="0"/>
    <n v="1.1946187526421195E+19"/>
  </r>
  <r>
    <b v="0"/>
    <x v="5"/>
    <x v="1"/>
    <x v="0"/>
    <x v="4"/>
    <x v="2"/>
    <x v="0"/>
    <n v="5"/>
    <n v="0"/>
    <n v="9.8463450365564662E+18"/>
  </r>
  <r>
    <b v="0"/>
    <x v="6"/>
    <x v="2"/>
    <x v="0"/>
    <x v="5"/>
    <x v="0"/>
    <x v="0"/>
    <n v="6"/>
    <n v="0"/>
    <n v="1.0868488443840051E+19"/>
  </r>
  <r>
    <b v="0"/>
    <x v="7"/>
    <x v="2"/>
    <x v="0"/>
    <x v="5"/>
    <x v="1"/>
    <x v="0"/>
    <n v="7"/>
    <n v="0"/>
    <n v="1.1523384824255676E+19"/>
  </r>
  <r>
    <b v="0"/>
    <x v="8"/>
    <x v="2"/>
    <x v="0"/>
    <x v="6"/>
    <x v="2"/>
    <x v="0"/>
    <n v="8"/>
    <n v="0"/>
    <n v="7.0161467305610004E+18"/>
  </r>
  <r>
    <b v="0"/>
    <x v="9"/>
    <x v="3"/>
    <x v="0"/>
    <x v="7"/>
    <x v="0"/>
    <x v="0"/>
    <n v="9"/>
    <n v="0"/>
    <n v="1.1159565028141312E+19"/>
  </r>
  <r>
    <b v="0"/>
    <x v="10"/>
    <x v="3"/>
    <x v="0"/>
    <x v="8"/>
    <x v="1"/>
    <x v="0"/>
    <n v="10"/>
    <n v="0"/>
    <n v="6.4757941890139976E+18"/>
  </r>
  <r>
    <b v="0"/>
    <x v="11"/>
    <x v="3"/>
    <x v="0"/>
    <x v="9"/>
    <x v="2"/>
    <x v="0"/>
    <n v="11"/>
    <n v="0"/>
    <n v="1.5601477443747455E+19"/>
  </r>
  <r>
    <b v="0"/>
    <x v="12"/>
    <x v="4"/>
    <x v="0"/>
    <x v="10"/>
    <x v="0"/>
    <x v="0"/>
    <n v="12"/>
    <n v="0"/>
    <n v="7.843935914114775E+18"/>
  </r>
  <r>
    <b v="0"/>
    <x v="13"/>
    <x v="4"/>
    <x v="0"/>
    <x v="3"/>
    <x v="1"/>
    <x v="0"/>
    <n v="13"/>
    <n v="0"/>
    <n v="1.3834550322814865E+19"/>
  </r>
  <r>
    <b v="0"/>
    <x v="14"/>
    <x v="4"/>
    <x v="0"/>
    <x v="10"/>
    <x v="2"/>
    <x v="0"/>
    <n v="14"/>
    <n v="0"/>
    <n v="1.3290718882162944E+19"/>
  </r>
  <r>
    <b v="0"/>
    <x v="15"/>
    <x v="5"/>
    <x v="1"/>
    <x v="9"/>
    <x v="0"/>
    <x v="0"/>
    <n v="15"/>
    <n v="0"/>
    <n v="1.2388923298811204E+19"/>
  </r>
  <r>
    <b v="0"/>
    <x v="16"/>
    <x v="5"/>
    <x v="1"/>
    <x v="9"/>
    <x v="1"/>
    <x v="0"/>
    <n v="16"/>
    <n v="0"/>
    <n v="1.4182009725719175E+19"/>
  </r>
  <r>
    <b v="0"/>
    <x v="17"/>
    <x v="5"/>
    <x v="1"/>
    <x v="11"/>
    <x v="2"/>
    <x v="0"/>
    <n v="17"/>
    <n v="0"/>
    <n v="1.0564075301595382E+19"/>
  </r>
  <r>
    <b v="0"/>
    <x v="18"/>
    <x v="6"/>
    <x v="1"/>
    <x v="12"/>
    <x v="0"/>
    <x v="0"/>
    <n v="18"/>
    <n v="0"/>
    <n v="9.876245873623679E+18"/>
  </r>
  <r>
    <b v="0"/>
    <x v="19"/>
    <x v="6"/>
    <x v="1"/>
    <x v="1"/>
    <x v="1"/>
    <x v="0"/>
    <n v="19"/>
    <n v="0"/>
    <n v="5.5287429354061691E+18"/>
  </r>
  <r>
    <b v="0"/>
    <x v="20"/>
    <x v="6"/>
    <x v="1"/>
    <x v="2"/>
    <x v="2"/>
    <x v="0"/>
    <n v="20"/>
    <n v="0"/>
    <n v="2.4793918178364221E+18"/>
  </r>
  <r>
    <b v="0"/>
    <x v="21"/>
    <x v="7"/>
    <x v="1"/>
    <x v="3"/>
    <x v="0"/>
    <x v="0"/>
    <n v="21"/>
    <n v="0"/>
    <n v="1.6048309283192152E+19"/>
  </r>
  <r>
    <b v="0"/>
    <x v="22"/>
    <x v="7"/>
    <x v="1"/>
    <x v="6"/>
    <x v="1"/>
    <x v="0"/>
    <n v="22"/>
    <n v="0"/>
    <n v="9.9370197697109484E+18"/>
  </r>
  <r>
    <b v="0"/>
    <x v="23"/>
    <x v="7"/>
    <x v="1"/>
    <x v="13"/>
    <x v="2"/>
    <x v="0"/>
    <n v="23"/>
    <n v="0"/>
    <n v="1.6681602310739472E+19"/>
  </r>
  <r>
    <b v="0"/>
    <x v="24"/>
    <x v="8"/>
    <x v="1"/>
    <x v="5"/>
    <x v="0"/>
    <x v="0"/>
    <n v="24"/>
    <n v="0"/>
    <n v="1.7346277502830494E+19"/>
  </r>
  <r>
    <b v="0"/>
    <x v="25"/>
    <x v="8"/>
    <x v="1"/>
    <x v="14"/>
    <x v="1"/>
    <x v="0"/>
    <n v="25"/>
    <n v="0"/>
    <n v="1.4490811440914942E+19"/>
  </r>
  <r>
    <b v="0"/>
    <x v="26"/>
    <x v="8"/>
    <x v="1"/>
    <x v="15"/>
    <x v="2"/>
    <x v="0"/>
    <n v="26"/>
    <n v="0"/>
    <n v="3.2004923118715735E+18"/>
  </r>
  <r>
    <b v="0"/>
    <x v="27"/>
    <x v="9"/>
    <x v="1"/>
    <x v="16"/>
    <x v="0"/>
    <x v="0"/>
    <n v="27"/>
    <n v="0"/>
    <n v="3.2845850278376346E+18"/>
  </r>
  <r>
    <b v="0"/>
    <x v="28"/>
    <x v="9"/>
    <x v="1"/>
    <x v="5"/>
    <x v="1"/>
    <x v="0"/>
    <n v="28"/>
    <n v="0"/>
    <n v="1.0680025192064544E+18"/>
  </r>
  <r>
    <b v="0"/>
    <x v="29"/>
    <x v="9"/>
    <x v="1"/>
    <x v="16"/>
    <x v="2"/>
    <x v="0"/>
    <n v="29"/>
    <n v="0"/>
    <n v="5.1575305501652797E+18"/>
  </r>
  <r>
    <b v="0"/>
    <x v="30"/>
    <x v="10"/>
    <x v="0"/>
    <x v="17"/>
    <x v="0"/>
    <x v="1"/>
    <n v="30"/>
    <n v="0"/>
    <n v="1.7110892146046165E+19"/>
  </r>
  <r>
    <b v="0"/>
    <x v="31"/>
    <x v="10"/>
    <x v="0"/>
    <x v="17"/>
    <x v="1"/>
    <x v="1"/>
    <n v="31"/>
    <n v="0"/>
    <n v="1.3194499698288269E+19"/>
  </r>
  <r>
    <b v="0"/>
    <x v="32"/>
    <x v="10"/>
    <x v="0"/>
    <x v="11"/>
    <x v="2"/>
    <x v="1"/>
    <n v="32"/>
    <n v="0"/>
    <n v="1.2612365056307096E+19"/>
  </r>
  <r>
    <b v="0"/>
    <x v="33"/>
    <x v="11"/>
    <x v="0"/>
    <x v="4"/>
    <x v="0"/>
    <x v="1"/>
    <n v="33"/>
    <n v="0"/>
    <n v="1.8092958441975097E+19"/>
  </r>
  <r>
    <b v="0"/>
    <x v="34"/>
    <x v="11"/>
    <x v="0"/>
    <x v="18"/>
    <x v="1"/>
    <x v="1"/>
    <n v="34"/>
    <n v="0"/>
    <n v="8.8889711345913971E+17"/>
  </r>
  <r>
    <b v="0"/>
    <x v="35"/>
    <x v="11"/>
    <x v="0"/>
    <x v="19"/>
    <x v="2"/>
    <x v="1"/>
    <n v="35"/>
    <n v="0"/>
    <n v="9.9367825281592648E+18"/>
  </r>
  <r>
    <b v="0"/>
    <x v="36"/>
    <x v="12"/>
    <x v="0"/>
    <x v="2"/>
    <x v="0"/>
    <x v="1"/>
    <n v="36"/>
    <n v="0"/>
    <n v="9.5446937177261834E+18"/>
  </r>
  <r>
    <b v="0"/>
    <x v="37"/>
    <x v="12"/>
    <x v="0"/>
    <x v="3"/>
    <x v="1"/>
    <x v="1"/>
    <n v="37"/>
    <n v="0"/>
    <n v="7.3384085703336735E+18"/>
  </r>
  <r>
    <b v="0"/>
    <x v="38"/>
    <x v="12"/>
    <x v="0"/>
    <x v="4"/>
    <x v="2"/>
    <x v="1"/>
    <n v="38"/>
    <n v="0"/>
    <n v="6.1075058944650916E+18"/>
  </r>
  <r>
    <b v="0"/>
    <x v="39"/>
    <x v="13"/>
    <x v="0"/>
    <x v="13"/>
    <x v="0"/>
    <x v="1"/>
    <n v="39"/>
    <n v="0"/>
    <n v="8.8305336274355313E+18"/>
  </r>
  <r>
    <b v="0"/>
    <x v="40"/>
    <x v="13"/>
    <x v="0"/>
    <x v="15"/>
    <x v="1"/>
    <x v="1"/>
    <n v="40"/>
    <n v="0"/>
    <n v="1.3122734259068994E+19"/>
  </r>
  <r>
    <b v="0"/>
    <x v="41"/>
    <x v="13"/>
    <x v="0"/>
    <x v="16"/>
    <x v="2"/>
    <x v="1"/>
    <n v="41"/>
    <n v="0"/>
    <n v="1.5879818504190829E+19"/>
  </r>
  <r>
    <b v="0"/>
    <x v="42"/>
    <x v="14"/>
    <x v="0"/>
    <x v="20"/>
    <x v="0"/>
    <x v="1"/>
    <n v="42"/>
    <n v="0"/>
    <n v="5.9147715783780621E+17"/>
  </r>
  <r>
    <b v="0"/>
    <x v="43"/>
    <x v="14"/>
    <x v="0"/>
    <x v="15"/>
    <x v="1"/>
    <x v="1"/>
    <n v="43"/>
    <n v="0"/>
    <n v="1.4422964392691728E+19"/>
  </r>
  <r>
    <b v="0"/>
    <x v="44"/>
    <x v="14"/>
    <x v="0"/>
    <x v="13"/>
    <x v="2"/>
    <x v="1"/>
    <n v="44"/>
    <n v="0"/>
    <n v="1.5724286986961193E+19"/>
  </r>
  <r>
    <b v="0"/>
    <x v="45"/>
    <x v="15"/>
    <x v="1"/>
    <x v="11"/>
    <x v="0"/>
    <x v="1"/>
    <n v="45"/>
    <n v="0"/>
    <n v="5.0398590940474737E+18"/>
  </r>
  <r>
    <b v="0"/>
    <x v="46"/>
    <x v="15"/>
    <x v="1"/>
    <x v="17"/>
    <x v="1"/>
    <x v="1"/>
    <n v="46"/>
    <n v="0"/>
    <n v="4.1326544401408635E+18"/>
  </r>
  <r>
    <b v="0"/>
    <x v="47"/>
    <x v="15"/>
    <x v="1"/>
    <x v="20"/>
    <x v="2"/>
    <x v="1"/>
    <n v="47"/>
    <n v="0"/>
    <n v="2.6515422192969784E+18"/>
  </r>
  <r>
    <b v="0"/>
    <x v="48"/>
    <x v="16"/>
    <x v="1"/>
    <x v="18"/>
    <x v="0"/>
    <x v="1"/>
    <n v="48"/>
    <n v="0"/>
    <n v="1.3845861555834642E+18"/>
  </r>
  <r>
    <b v="0"/>
    <x v="49"/>
    <x v="16"/>
    <x v="1"/>
    <x v="21"/>
    <x v="1"/>
    <x v="1"/>
    <n v="49"/>
    <n v="0"/>
    <n v="4.3651770930980332E+18"/>
  </r>
  <r>
    <b v="0"/>
    <x v="50"/>
    <x v="16"/>
    <x v="1"/>
    <x v="2"/>
    <x v="2"/>
    <x v="1"/>
    <n v="50"/>
    <n v="0"/>
    <n v="1.0753283698636417E+19"/>
  </r>
  <r>
    <b v="0"/>
    <x v="51"/>
    <x v="17"/>
    <x v="1"/>
    <x v="3"/>
    <x v="0"/>
    <x v="1"/>
    <n v="51"/>
    <n v="0"/>
    <n v="2.9132873796456877E+17"/>
  </r>
  <r>
    <b v="0"/>
    <x v="52"/>
    <x v="17"/>
    <x v="1"/>
    <x v="15"/>
    <x v="1"/>
    <x v="1"/>
    <n v="52"/>
    <n v="0"/>
    <n v="6.3662982445745254E+18"/>
  </r>
  <r>
    <b v="0"/>
    <x v="53"/>
    <x v="17"/>
    <x v="1"/>
    <x v="22"/>
    <x v="2"/>
    <x v="1"/>
    <n v="53"/>
    <n v="0"/>
    <n v="4.4509797364161183E+18"/>
  </r>
  <r>
    <b v="0"/>
    <x v="54"/>
    <x v="18"/>
    <x v="1"/>
    <x v="5"/>
    <x v="0"/>
    <x v="1"/>
    <n v="54"/>
    <n v="0"/>
    <n v="1.04296671555374E+19"/>
  </r>
  <r>
    <b v="0"/>
    <x v="55"/>
    <x v="18"/>
    <x v="1"/>
    <x v="23"/>
    <x v="1"/>
    <x v="1"/>
    <n v="55"/>
    <n v="0"/>
    <n v="1.1453000037141369E+19"/>
  </r>
  <r>
    <b v="0"/>
    <x v="56"/>
    <x v="18"/>
    <x v="1"/>
    <x v="16"/>
    <x v="2"/>
    <x v="1"/>
    <n v="56"/>
    <n v="0"/>
    <n v="7.2481104108907264E+18"/>
  </r>
  <r>
    <b v="0"/>
    <x v="57"/>
    <x v="19"/>
    <x v="1"/>
    <x v="24"/>
    <x v="0"/>
    <x v="1"/>
    <n v="57"/>
    <n v="0"/>
    <n v="1.5767909443160758E+19"/>
  </r>
  <r>
    <b v="0"/>
    <x v="58"/>
    <x v="19"/>
    <x v="1"/>
    <x v="19"/>
    <x v="1"/>
    <x v="1"/>
    <n v="58"/>
    <n v="0"/>
    <n v="1.5781891486082619E+18"/>
  </r>
  <r>
    <b v="0"/>
    <x v="59"/>
    <x v="19"/>
    <x v="1"/>
    <x v="18"/>
    <x v="2"/>
    <x v="1"/>
    <n v="59"/>
    <n v="0"/>
    <n v="5.6081820809827871E+18"/>
  </r>
  <r>
    <b v="0"/>
    <x v="60"/>
    <x v="20"/>
    <x v="0"/>
    <x v="4"/>
    <x v="0"/>
    <x v="2"/>
    <n v="60"/>
    <n v="0"/>
    <n v="1.3617066076905263E+19"/>
  </r>
  <r>
    <b v="0"/>
    <x v="61"/>
    <x v="20"/>
    <x v="0"/>
    <x v="23"/>
    <x v="1"/>
    <x v="2"/>
    <n v="61"/>
    <n v="0"/>
    <n v="1.1095457064742095E+19"/>
  </r>
  <r>
    <b v="0"/>
    <x v="62"/>
    <x v="20"/>
    <x v="0"/>
    <x v="25"/>
    <x v="2"/>
    <x v="2"/>
    <n v="62"/>
    <n v="0"/>
    <n v="1.5999862175728495E+19"/>
  </r>
  <r>
    <b v="0"/>
    <x v="63"/>
    <x v="21"/>
    <x v="0"/>
    <x v="23"/>
    <x v="0"/>
    <x v="2"/>
    <n v="63"/>
    <n v="0"/>
    <n v="9.2732604350603981E+18"/>
  </r>
  <r>
    <b v="0"/>
    <x v="64"/>
    <x v="21"/>
    <x v="0"/>
    <x v="19"/>
    <x v="1"/>
    <x v="2"/>
    <n v="64"/>
    <n v="0"/>
    <n v="4.7462957976974674E+18"/>
  </r>
  <r>
    <b v="0"/>
    <x v="65"/>
    <x v="21"/>
    <x v="0"/>
    <x v="26"/>
    <x v="2"/>
    <x v="2"/>
    <n v="65"/>
    <n v="0"/>
    <n v="1.5625633978590418E+18"/>
  </r>
  <r>
    <b v="0"/>
    <x v="66"/>
    <x v="22"/>
    <x v="0"/>
    <x v="23"/>
    <x v="0"/>
    <x v="2"/>
    <n v="66"/>
    <n v="0"/>
    <n v="1.1654950556336894E+19"/>
  </r>
  <r>
    <b v="0"/>
    <x v="67"/>
    <x v="22"/>
    <x v="0"/>
    <x v="27"/>
    <x v="1"/>
    <x v="2"/>
    <n v="67"/>
    <n v="0"/>
    <n v="7.0779958148207073E+18"/>
  </r>
  <r>
    <b v="0"/>
    <x v="68"/>
    <x v="22"/>
    <x v="0"/>
    <x v="14"/>
    <x v="2"/>
    <x v="2"/>
    <n v="68"/>
    <n v="0"/>
    <n v="1.1991952171238539E+19"/>
  </r>
  <r>
    <b v="0"/>
    <x v="69"/>
    <x v="23"/>
    <x v="0"/>
    <x v="12"/>
    <x v="0"/>
    <x v="2"/>
    <n v="69"/>
    <n v="0"/>
    <n v="9.7840254258293617E+18"/>
  </r>
  <r>
    <b v="0"/>
    <x v="70"/>
    <x v="23"/>
    <x v="0"/>
    <x v="28"/>
    <x v="1"/>
    <x v="2"/>
    <n v="70"/>
    <n v="0"/>
    <n v="3.2667383690075561E+18"/>
  </r>
  <r>
    <b v="0"/>
    <x v="71"/>
    <x v="23"/>
    <x v="0"/>
    <x v="29"/>
    <x v="2"/>
    <x v="2"/>
    <n v="71"/>
    <n v="0"/>
    <n v="1.4033644825108316E+19"/>
  </r>
  <r>
    <b v="0"/>
    <x v="72"/>
    <x v="24"/>
    <x v="0"/>
    <x v="6"/>
    <x v="0"/>
    <x v="2"/>
    <n v="72"/>
    <n v="0"/>
    <n v="1.1444091370194135E+19"/>
  </r>
  <r>
    <b v="0"/>
    <x v="73"/>
    <x v="24"/>
    <x v="0"/>
    <x v="25"/>
    <x v="1"/>
    <x v="2"/>
    <n v="73"/>
    <n v="0"/>
    <n v="1.4860326411735681E+19"/>
  </r>
  <r>
    <b v="0"/>
    <x v="74"/>
    <x v="24"/>
    <x v="0"/>
    <x v="30"/>
    <x v="2"/>
    <x v="2"/>
    <n v="74"/>
    <n v="0"/>
    <n v="1.1064384500858909E+19"/>
  </r>
  <r>
    <b v="0"/>
    <x v="75"/>
    <x v="25"/>
    <x v="1"/>
    <x v="13"/>
    <x v="0"/>
    <x v="2"/>
    <n v="75"/>
    <n v="0"/>
    <n v="3.5584379590216591E+18"/>
  </r>
  <r>
    <b v="0"/>
    <x v="76"/>
    <x v="25"/>
    <x v="1"/>
    <x v="31"/>
    <x v="1"/>
    <x v="2"/>
    <n v="76"/>
    <n v="0"/>
    <n v="9.63300396475059E+18"/>
  </r>
  <r>
    <b v="0"/>
    <x v="77"/>
    <x v="25"/>
    <x v="1"/>
    <x v="32"/>
    <x v="2"/>
    <x v="2"/>
    <n v="77"/>
    <n v="0"/>
    <n v="9.3503773824901714E+18"/>
  </r>
  <r>
    <b v="0"/>
    <x v="78"/>
    <x v="26"/>
    <x v="1"/>
    <x v="16"/>
    <x v="0"/>
    <x v="2"/>
    <n v="78"/>
    <n v="0"/>
    <n v="1.5841540212213414E+19"/>
  </r>
  <r>
    <b v="0"/>
    <x v="79"/>
    <x v="26"/>
    <x v="1"/>
    <x v="31"/>
    <x v="1"/>
    <x v="2"/>
    <n v="79"/>
    <n v="0"/>
    <n v="1.2845335603798784E+19"/>
  </r>
  <r>
    <b v="0"/>
    <x v="80"/>
    <x v="26"/>
    <x v="1"/>
    <x v="33"/>
    <x v="2"/>
    <x v="2"/>
    <n v="80"/>
    <n v="0"/>
    <n v="1.6141674868109662E+19"/>
  </r>
  <r>
    <b v="0"/>
    <x v="81"/>
    <x v="27"/>
    <x v="1"/>
    <x v="18"/>
    <x v="0"/>
    <x v="2"/>
    <n v="81"/>
    <n v="0"/>
    <n v="1.1761526592046092E+19"/>
  </r>
  <r>
    <b v="0"/>
    <x v="82"/>
    <x v="27"/>
    <x v="1"/>
    <x v="34"/>
    <x v="1"/>
    <x v="2"/>
    <n v="82"/>
    <n v="0"/>
    <n v="1.1782619805145774E+18"/>
  </r>
  <r>
    <b v="0"/>
    <x v="83"/>
    <x v="27"/>
    <x v="1"/>
    <x v="33"/>
    <x v="2"/>
    <x v="2"/>
    <n v="83"/>
    <n v="0"/>
    <n v="1.3886525174110712E+19"/>
  </r>
  <r>
    <b v="0"/>
    <x v="84"/>
    <x v="28"/>
    <x v="1"/>
    <x v="6"/>
    <x v="0"/>
    <x v="2"/>
    <n v="84"/>
    <n v="0"/>
    <n v="5.0434273646526013E+18"/>
  </r>
  <r>
    <b v="0"/>
    <x v="85"/>
    <x v="28"/>
    <x v="1"/>
    <x v="35"/>
    <x v="1"/>
    <x v="2"/>
    <n v="85"/>
    <n v="0"/>
    <n v="1.6527604339102468E+19"/>
  </r>
  <r>
    <b v="0"/>
    <x v="86"/>
    <x v="28"/>
    <x v="1"/>
    <x v="36"/>
    <x v="2"/>
    <x v="2"/>
    <n v="86"/>
    <n v="0"/>
    <n v="3.1509051960329779E+18"/>
  </r>
  <r>
    <b v="0"/>
    <x v="87"/>
    <x v="29"/>
    <x v="1"/>
    <x v="14"/>
    <x v="0"/>
    <x v="2"/>
    <n v="87"/>
    <n v="0"/>
    <n v="2.0208582277021798E+18"/>
  </r>
  <r>
    <b v="0"/>
    <x v="88"/>
    <x v="29"/>
    <x v="1"/>
    <x v="37"/>
    <x v="1"/>
    <x v="2"/>
    <n v="88"/>
    <n v="0"/>
    <n v="4.684463956280151E+18"/>
  </r>
  <r>
    <b v="0"/>
    <x v="89"/>
    <x v="29"/>
    <x v="1"/>
    <x v="38"/>
    <x v="2"/>
    <x v="2"/>
    <n v="89"/>
    <n v="0"/>
    <n v="1.0746070505663623E+1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0C8B3AD-C6E3-47A6-946E-3DF35EDAC621}" name="pvt_Pivot" cacheId="9" applyNumberFormats="0" applyBorderFormats="0" applyFontFormats="0" applyPatternFormats="0" applyAlignmentFormats="0" applyWidthHeightFormats="1" dataCaption="Values" showError="1" updatedVersion="8" minRefreshableVersion="3" itemPrintTitles="1" createdVersion="8" indent="0" compact="0" compactData="0" multipleFieldFilters="0">
  <location ref="C9:K100" firstHeaderRow="0" firstDataRow="1" firstDataCol="6"/>
  <pivotFields count="10">
    <pivotField compact="0" outline="0" showAll="0"/>
    <pivotField axis="axisRow" compact="0" outline="0" showAll="0" defaultSubtotal="0">
      <items count="9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  <item sd="0" x="30"/>
        <item sd="0" x="31"/>
        <item sd="0" x="32"/>
        <item sd="0" x="33"/>
        <item sd="0" x="34"/>
        <item sd="0" x="35"/>
        <item sd="0" x="36"/>
        <item sd="0" x="37"/>
        <item sd="0" x="38"/>
        <item sd="0" x="39"/>
        <item sd="0" x="40"/>
        <item sd="0" x="41"/>
        <item sd="0" x="42"/>
        <item sd="0" x="43"/>
        <item sd="0" x="44"/>
        <item sd="0" x="45"/>
        <item sd="0" x="46"/>
        <item sd="0" x="47"/>
        <item sd="0" x="48"/>
        <item sd="0" x="49"/>
        <item sd="0" x="50"/>
        <item sd="0" x="51"/>
        <item sd="0" x="52"/>
        <item sd="0" x="53"/>
        <item sd="0" x="54"/>
        <item sd="0" x="55"/>
        <item sd="0" x="56"/>
        <item sd="0" x="57"/>
        <item sd="0" x="58"/>
        <item sd="0" x="59"/>
        <item sd="0" x="60"/>
        <item sd="0" x="61"/>
        <item sd="0" x="62"/>
        <item sd="0" x="63"/>
        <item sd="0" x="64"/>
        <item sd="0" x="65"/>
        <item sd="0" x="66"/>
        <item sd="0" x="67"/>
        <item sd="0" x="68"/>
        <item sd="0" x="69"/>
        <item sd="0" x="70"/>
        <item sd="0" x="71"/>
        <item sd="0" x="72"/>
        <item sd="0" x="73"/>
        <item sd="0" x="74"/>
        <item sd="0" x="75"/>
        <item sd="0" x="76"/>
        <item sd="0" x="77"/>
        <item sd="0" x="78"/>
        <item sd="0" x="79"/>
        <item sd="0" x="80"/>
        <item sd="0" x="81"/>
        <item sd="0" x="82"/>
        <item sd="0" x="83"/>
        <item sd="0" x="84"/>
        <item sd="0" x="85"/>
        <item sd="0" x="86"/>
        <item sd="0" x="87"/>
        <item sd="0" x="88"/>
        <item sd="0" x="89"/>
      </items>
    </pivotField>
    <pivotField axis="axisRow" compact="0" outline="0" showAll="0" defaultSubtotal="0">
      <items count="30">
        <item sd="0" x="0"/>
        <item sd="0" x="1"/>
        <item sd="0" x="2"/>
        <item sd="0" x="3"/>
        <item sd="0" x="4"/>
        <item sd="0" x="5"/>
        <item sd="0" x="6"/>
        <item sd="0" x="7"/>
        <item sd="0" x="8"/>
        <item sd="0" x="9"/>
        <item sd="0" x="10"/>
        <item sd="0" x="11"/>
        <item sd="0" x="12"/>
        <item sd="0" x="13"/>
        <item sd="0" x="14"/>
        <item sd="0" x="15"/>
        <item sd="0" x="16"/>
        <item sd="0" x="17"/>
        <item sd="0" x="18"/>
        <item sd="0" x="19"/>
        <item sd="0" x="20"/>
        <item sd="0" x="21"/>
        <item sd="0" x="22"/>
        <item sd="0" x="23"/>
        <item sd="0" x="24"/>
        <item sd="0" x="25"/>
        <item sd="0" x="26"/>
        <item sd="0" x="27"/>
        <item sd="0" x="28"/>
        <item sd="0" x="29"/>
      </items>
    </pivotField>
    <pivotField axis="axisRow" compact="0" outline="0" showAll="0" defaultSubtotal="0">
      <items count="2">
        <item sd="0" x="0"/>
        <item sd="0" x="1"/>
      </items>
    </pivotField>
    <pivotField axis="axisRow" compact="0" outline="0" showAll="0" defaultSubtotal="0">
      <items count="39">
        <item sd="0" x="7"/>
        <item sd="0" x="8"/>
        <item sd="0" x="9"/>
        <item sd="0" x="11"/>
        <item sd="0" x="0"/>
        <item sd="0" x="17"/>
        <item sd="0" x="12"/>
        <item sd="0" x="1"/>
        <item sd="0" x="20"/>
        <item sd="0" x="2"/>
        <item sd="0" x="10"/>
        <item sd="0" x="3"/>
        <item sd="0" x="4"/>
        <item sd="0" x="6"/>
        <item sd="0" x="13"/>
        <item sd="0" x="15"/>
        <item sd="0" x="5"/>
        <item sd="0" x="23"/>
        <item sd="0" x="14"/>
        <item sd="0" x="16"/>
        <item sd="0" x="22"/>
        <item sd="0" x="24"/>
        <item sd="0" x="18"/>
        <item sd="0" x="19"/>
        <item sd="0" x="27"/>
        <item sd="0" x="21"/>
        <item sd="0" x="25"/>
        <item sd="0" x="37"/>
        <item sd="0" x="26"/>
        <item sd="0" x="30"/>
        <item sd="0" x="29"/>
        <item sd="0" x="34"/>
        <item sd="0" x="31"/>
        <item sd="0" x="36"/>
        <item sd="0" x="28"/>
        <item sd="0" x="35"/>
        <item sd="0" x="33"/>
        <item sd="0" x="32"/>
        <item sd="0" x="38"/>
      </items>
    </pivotField>
    <pivotField axis="axisRow" compact="0" outline="0" showAll="0" defaultSubtotal="0">
      <items count="3">
        <item sd="0" x="0"/>
        <item sd="0" x="1"/>
        <item sd="0" x="2"/>
      </items>
    </pivotField>
    <pivotField axis="axisRow" compact="0" outline="0" showAll="0" defaultSubtotal="0">
      <items count="3">
        <item x="0"/>
        <item x="2"/>
        <item x="1"/>
      </items>
    </pivotField>
    <pivotField compact="0" outline="0" showAll="0"/>
    <pivotField dataField="1" compact="0" outline="0" showAll="0"/>
    <pivotField compact="0" outline="0" showAll="0"/>
  </pivotFields>
  <rowFields count="6">
    <field x="1"/>
    <field x="2"/>
    <field x="3"/>
    <field x="4"/>
    <field x="5"/>
    <field x="6"/>
  </rowFields>
  <rowItems count="91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name="Has Blank %" fld="8" subtotal="average" baseField="0" baseItem="1" numFmtId="164"/>
    <dataField name="% of Total Blanks" fld="8" showDataAs="percentOfTotal" baseField="0" baseItem="1" numFmtId="164"/>
    <dataField name="% of Records" fld="8" subtotal="count" showDataAs="percentOfTotal" baseField="0" baseItem="2" numFmtId="10"/>
  </dataFields>
  <formats count="142">
    <format dxfId="158">
      <pivotArea type="all" dataOnly="0" outline="0" fieldPosition="0"/>
    </format>
    <format dxfId="157">
      <pivotArea outline="0" collapsedLevelsAreSubtotals="1" fieldPosition="0"/>
    </format>
    <format dxfId="156">
      <pivotArea dataOnly="0" labelOnly="1" grandRow="1" outline="0" fieldPosition="0"/>
    </format>
    <format dxfId="155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  <format dxfId="154">
      <pivotArea type="all" dataOnly="0" outline="0" fieldPosition="0"/>
    </format>
    <format dxfId="153">
      <pivotArea dataOnly="0" outline="0" fieldPosition="0">
        <references count="1">
          <reference field="4294967294" count="1">
            <x v="0"/>
          </reference>
        </references>
      </pivotArea>
    </format>
    <format dxfId="152">
      <pivotArea outline="0" fieldPosition="0">
        <references count="1">
          <reference field="4294967294" count="1">
            <x v="0"/>
          </reference>
        </references>
      </pivotArea>
    </format>
    <format dxfId="151">
      <pivotArea outline="0" fieldPosition="0">
        <references count="1">
          <reference field="4294967294" count="1">
            <x v="1"/>
          </reference>
        </references>
      </pivotArea>
    </format>
    <format dxfId="150">
      <pivotArea type="all" dataOnly="0" outline="0" fieldPosition="0"/>
    </format>
    <format dxfId="149">
      <pivotArea outline="0" collapsedLevelsAreSubtotals="1" fieldPosition="0"/>
    </format>
    <format dxfId="148">
      <pivotArea dataOnly="0" outline="0" fieldPosition="0">
        <references count="1">
          <reference field="4294967294" count="2">
            <x v="0"/>
            <x v="1"/>
          </reference>
        </references>
      </pivotArea>
    </format>
    <format dxfId="147">
      <pivotArea outline="0" fieldPosition="0">
        <references count="1">
          <reference field="4294967294" count="1" selected="0">
            <x v="1"/>
          </reference>
        </references>
      </pivotArea>
    </format>
    <format dxfId="146">
      <pivotArea dataOnly="0" outline="0" fieldPosition="0">
        <references count="1">
          <reference field="4294967294" count="1">
            <x v="1"/>
          </reference>
        </references>
      </pivotArea>
    </format>
    <format dxfId="145">
      <pivotArea type="all" dataOnly="0" outline="0" fieldPosition="0"/>
    </format>
    <format dxfId="144">
      <pivotArea type="all" dataOnly="0" outline="0" fieldPosition="0"/>
    </format>
    <format dxfId="143">
      <pivotArea outline="0" fieldPosition="0">
        <references count="1">
          <reference field="4294967294" count="1">
            <x v="2"/>
          </reference>
        </references>
      </pivotArea>
    </format>
    <format dxfId="14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23">
      <pivotArea dataOnly="0" labelOnly="1" outline="0" fieldPosition="0">
        <references count="1">
          <reference field="1" count="50">
            <x v="0"/>
            <x v="1"/>
            <x v="2"/>
            <x v="3"/>
            <x v="4"/>
            <x v="5"/>
            <x v="6"/>
            <x v="7"/>
            <x v="8"/>
            <x v="9"/>
            <x v="10"/>
            <x v="11"/>
            <x v="12"/>
            <x v="13"/>
            <x v="14"/>
            <x v="15"/>
            <x v="16"/>
            <x v="17"/>
            <x v="18"/>
            <x v="19"/>
            <x v="20"/>
            <x v="21"/>
            <x v="22"/>
            <x v="23"/>
            <x v="24"/>
            <x v="25"/>
            <x v="26"/>
            <x v="27"/>
            <x v="28"/>
            <x v="29"/>
            <x v="30"/>
            <x v="31"/>
            <x v="32"/>
            <x v="33"/>
            <x v="34"/>
            <x v="35"/>
            <x v="36"/>
            <x v="37"/>
            <x v="38"/>
            <x v="39"/>
            <x v="40"/>
            <x v="41"/>
            <x v="42"/>
            <x v="43"/>
            <x v="44"/>
            <x v="45"/>
            <x v="46"/>
            <x v="47"/>
            <x v="48"/>
            <x v="49"/>
          </reference>
        </references>
      </pivotArea>
    </format>
    <format dxfId="122">
      <pivotArea dataOnly="0" labelOnly="1" outline="0" fieldPosition="0">
        <references count="1">
          <reference field="1" count="40">
            <x v="50"/>
            <x v="51"/>
            <x v="52"/>
            <x v="53"/>
            <x v="54"/>
            <x v="55"/>
            <x v="56"/>
            <x v="57"/>
            <x v="58"/>
            <x v="59"/>
            <x v="60"/>
            <x v="61"/>
            <x v="62"/>
            <x v="63"/>
            <x v="64"/>
            <x v="65"/>
            <x v="66"/>
            <x v="67"/>
            <x v="68"/>
            <x v="69"/>
            <x v="70"/>
            <x v="71"/>
            <x v="72"/>
            <x v="73"/>
            <x v="74"/>
            <x v="75"/>
            <x v="76"/>
            <x v="77"/>
            <x v="78"/>
            <x v="79"/>
            <x v="80"/>
            <x v="81"/>
            <x v="82"/>
            <x v="83"/>
            <x v="84"/>
            <x v="85"/>
            <x v="86"/>
            <x v="87"/>
            <x v="88"/>
            <x v="89"/>
          </reference>
        </references>
      </pivotArea>
    </format>
    <format dxfId="121">
      <pivotArea outline="0" collapsedLevelsAreSubtotals="1" fieldPosition="0"/>
    </format>
    <format dxfId="12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6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5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3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2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1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1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9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8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7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106">
      <pivotArea field="1" type="button" dataOnly="0" labelOnly="1" outline="0" axis="axisRow" fieldPosition="0"/>
    </format>
    <format dxfId="105">
      <pivotArea field="2" type="button" dataOnly="0" labelOnly="1" outline="0" axis="axisRow" fieldPosition="1"/>
    </format>
    <format dxfId="104">
      <pivotArea field="3" type="button" dataOnly="0" labelOnly="1" outline="0" axis="axisRow" fieldPosition="2"/>
    </format>
    <format dxfId="103">
      <pivotArea field="4" type="button" dataOnly="0" labelOnly="1" outline="0" axis="axisRow" fieldPosition="3"/>
    </format>
    <format dxfId="102">
      <pivotArea field="5" type="button" dataOnly="0" labelOnly="1" outline="0" axis="axisRow" fieldPosition="4"/>
    </format>
    <format dxfId="101">
      <pivotArea field="6" type="button" dataOnly="0" labelOnly="1" outline="0" axis="axisRow" fieldPosition="5"/>
    </format>
    <format dxfId="10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9">
      <pivotArea field="2" type="button" dataOnly="0" labelOnly="1" outline="0" axis="axisRow" fieldPosition="1"/>
    </format>
    <format dxfId="98">
      <pivotArea field="3" type="button" dataOnly="0" labelOnly="1" outline="0" axis="axisRow" fieldPosition="2"/>
    </format>
    <format dxfId="97">
      <pivotArea field="4" type="button" dataOnly="0" labelOnly="1" outline="0" axis="axisRow" fieldPosition="3"/>
    </format>
    <format dxfId="96">
      <pivotArea field="5" type="button" dataOnly="0" labelOnly="1" outline="0" axis="axisRow" fieldPosition="4"/>
    </format>
    <format dxfId="95">
      <pivotArea field="6" type="button" dataOnly="0" labelOnly="1" outline="0" axis="axisRow" fieldPosition="5"/>
    </format>
    <format dxfId="94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  <format dxfId="93">
      <pivotArea field="1" type="button" dataOnly="0" labelOnly="1" outline="0" axis="axisRow" fieldPosition="0"/>
    </format>
    <format dxfId="92">
      <pivotArea dataOnly="0" labelOnly="1" outline="0" fieldPosition="0">
        <references count="1">
          <reference field="1" count="1">
            <x v="0"/>
          </reference>
        </references>
      </pivotArea>
    </format>
    <format dxfId="91">
      <pivotArea dataOnly="0" labelOnly="1" outline="0" fieldPosition="0">
        <references count="1">
          <reference field="1" count="1">
            <x v="1"/>
          </reference>
        </references>
      </pivotArea>
    </format>
    <format dxfId="90">
      <pivotArea dataOnly="0" labelOnly="1" outline="0" fieldPosition="0">
        <references count="1">
          <reference field="1" count="1">
            <x v="2"/>
          </reference>
        </references>
      </pivotArea>
    </format>
    <format dxfId="89">
      <pivotArea dataOnly="0" labelOnly="1" outline="0" fieldPosition="0">
        <references count="1">
          <reference field="1" count="1">
            <x v="3"/>
          </reference>
        </references>
      </pivotArea>
    </format>
    <format dxfId="88">
      <pivotArea dataOnly="0" labelOnly="1" outline="0" fieldPosition="0">
        <references count="1">
          <reference field="1" count="1">
            <x v="4"/>
          </reference>
        </references>
      </pivotArea>
    </format>
    <format dxfId="87">
      <pivotArea dataOnly="0" labelOnly="1" outline="0" fieldPosition="0">
        <references count="1">
          <reference field="1" count="1">
            <x v="5"/>
          </reference>
        </references>
      </pivotArea>
    </format>
    <format dxfId="86">
      <pivotArea dataOnly="0" labelOnly="1" outline="0" fieldPosition="0">
        <references count="1">
          <reference field="1" count="1">
            <x v="6"/>
          </reference>
        </references>
      </pivotArea>
    </format>
    <format dxfId="85">
      <pivotArea dataOnly="0" labelOnly="1" outline="0" fieldPosition="0">
        <references count="1">
          <reference field="1" count="1">
            <x v="7"/>
          </reference>
        </references>
      </pivotArea>
    </format>
    <format dxfId="84">
      <pivotArea dataOnly="0" labelOnly="1" outline="0" fieldPosition="0">
        <references count="1">
          <reference field="1" count="1">
            <x v="8"/>
          </reference>
        </references>
      </pivotArea>
    </format>
    <format dxfId="83">
      <pivotArea dataOnly="0" labelOnly="1" outline="0" fieldPosition="0">
        <references count="1">
          <reference field="1" count="1">
            <x v="9"/>
          </reference>
        </references>
      </pivotArea>
    </format>
    <format dxfId="82">
      <pivotArea dataOnly="0" labelOnly="1" outline="0" fieldPosition="0">
        <references count="1">
          <reference field="1" count="1">
            <x v="10"/>
          </reference>
        </references>
      </pivotArea>
    </format>
    <format dxfId="81">
      <pivotArea dataOnly="0" labelOnly="1" outline="0" fieldPosition="0">
        <references count="1">
          <reference field="1" count="1">
            <x v="11"/>
          </reference>
        </references>
      </pivotArea>
    </format>
    <format dxfId="80">
      <pivotArea dataOnly="0" labelOnly="1" outline="0" fieldPosition="0">
        <references count="1">
          <reference field="1" count="1">
            <x v="12"/>
          </reference>
        </references>
      </pivotArea>
    </format>
    <format dxfId="79">
      <pivotArea dataOnly="0" labelOnly="1" outline="0" fieldPosition="0">
        <references count="1">
          <reference field="1" count="1">
            <x v="13"/>
          </reference>
        </references>
      </pivotArea>
    </format>
    <format dxfId="78">
      <pivotArea dataOnly="0" labelOnly="1" outline="0" fieldPosition="0">
        <references count="1">
          <reference field="1" count="1">
            <x v="14"/>
          </reference>
        </references>
      </pivotArea>
    </format>
    <format dxfId="77">
      <pivotArea dataOnly="0" labelOnly="1" outline="0" fieldPosition="0">
        <references count="1">
          <reference field="1" count="1">
            <x v="15"/>
          </reference>
        </references>
      </pivotArea>
    </format>
    <format dxfId="76">
      <pivotArea dataOnly="0" labelOnly="1" outline="0" fieldPosition="0">
        <references count="1">
          <reference field="1" count="1">
            <x v="16"/>
          </reference>
        </references>
      </pivotArea>
    </format>
    <format dxfId="75">
      <pivotArea dataOnly="0" labelOnly="1" outline="0" fieldPosition="0">
        <references count="1">
          <reference field="1" count="1">
            <x v="17"/>
          </reference>
        </references>
      </pivotArea>
    </format>
    <format dxfId="74">
      <pivotArea dataOnly="0" labelOnly="1" outline="0" fieldPosition="0">
        <references count="1">
          <reference field="1" count="1">
            <x v="18"/>
          </reference>
        </references>
      </pivotArea>
    </format>
    <format dxfId="73">
      <pivotArea dataOnly="0" labelOnly="1" outline="0" fieldPosition="0">
        <references count="1">
          <reference field="1" count="1">
            <x v="19"/>
          </reference>
        </references>
      </pivotArea>
    </format>
    <format dxfId="72">
      <pivotArea dataOnly="0" labelOnly="1" outline="0" fieldPosition="0">
        <references count="1">
          <reference field="1" count="1">
            <x v="20"/>
          </reference>
        </references>
      </pivotArea>
    </format>
    <format dxfId="71">
      <pivotArea dataOnly="0" labelOnly="1" outline="0" fieldPosition="0">
        <references count="1">
          <reference field="1" count="1">
            <x v="21"/>
          </reference>
        </references>
      </pivotArea>
    </format>
    <format dxfId="70">
      <pivotArea dataOnly="0" labelOnly="1" outline="0" fieldPosition="0">
        <references count="1">
          <reference field="1" count="1">
            <x v="22"/>
          </reference>
        </references>
      </pivotArea>
    </format>
    <format dxfId="69">
      <pivotArea dataOnly="0" labelOnly="1" outline="0" fieldPosition="0">
        <references count="1">
          <reference field="1" count="1">
            <x v="23"/>
          </reference>
        </references>
      </pivotArea>
    </format>
    <format dxfId="68">
      <pivotArea dataOnly="0" labelOnly="1" outline="0" fieldPosition="0">
        <references count="1">
          <reference field="1" count="1">
            <x v="24"/>
          </reference>
        </references>
      </pivotArea>
    </format>
    <format dxfId="67">
      <pivotArea dataOnly="0" labelOnly="1" outline="0" fieldPosition="0">
        <references count="1">
          <reference field="1" count="1">
            <x v="25"/>
          </reference>
        </references>
      </pivotArea>
    </format>
    <format dxfId="66">
      <pivotArea dataOnly="0" labelOnly="1" outline="0" fieldPosition="0">
        <references count="1">
          <reference field="1" count="1">
            <x v="26"/>
          </reference>
        </references>
      </pivotArea>
    </format>
    <format dxfId="65">
      <pivotArea dataOnly="0" labelOnly="1" outline="0" fieldPosition="0">
        <references count="1">
          <reference field="1" count="1">
            <x v="27"/>
          </reference>
        </references>
      </pivotArea>
    </format>
    <format dxfId="64">
      <pivotArea dataOnly="0" labelOnly="1" outline="0" fieldPosition="0">
        <references count="1">
          <reference field="1" count="1">
            <x v="28"/>
          </reference>
        </references>
      </pivotArea>
    </format>
    <format dxfId="63">
      <pivotArea dataOnly="0" labelOnly="1" outline="0" fieldPosition="0">
        <references count="1">
          <reference field="1" count="1">
            <x v="29"/>
          </reference>
        </references>
      </pivotArea>
    </format>
    <format dxfId="62">
      <pivotArea dataOnly="0" labelOnly="1" outline="0" fieldPosition="0">
        <references count="1">
          <reference field="1" count="1">
            <x v="30"/>
          </reference>
        </references>
      </pivotArea>
    </format>
    <format dxfId="61">
      <pivotArea dataOnly="0" labelOnly="1" outline="0" fieldPosition="0">
        <references count="1">
          <reference field="1" count="1">
            <x v="31"/>
          </reference>
        </references>
      </pivotArea>
    </format>
    <format dxfId="60">
      <pivotArea dataOnly="0" labelOnly="1" outline="0" fieldPosition="0">
        <references count="1">
          <reference field="1" count="1">
            <x v="32"/>
          </reference>
        </references>
      </pivotArea>
    </format>
    <format dxfId="59">
      <pivotArea dataOnly="0" labelOnly="1" outline="0" fieldPosition="0">
        <references count="1">
          <reference field="1" count="1">
            <x v="33"/>
          </reference>
        </references>
      </pivotArea>
    </format>
    <format dxfId="58">
      <pivotArea dataOnly="0" labelOnly="1" outline="0" fieldPosition="0">
        <references count="1">
          <reference field="1" count="1">
            <x v="34"/>
          </reference>
        </references>
      </pivotArea>
    </format>
    <format dxfId="57">
      <pivotArea dataOnly="0" labelOnly="1" outline="0" fieldPosition="0">
        <references count="1">
          <reference field="1" count="1">
            <x v="35"/>
          </reference>
        </references>
      </pivotArea>
    </format>
    <format dxfId="56">
      <pivotArea dataOnly="0" labelOnly="1" outline="0" fieldPosition="0">
        <references count="1">
          <reference field="1" count="1">
            <x v="36"/>
          </reference>
        </references>
      </pivotArea>
    </format>
    <format dxfId="55">
      <pivotArea dataOnly="0" labelOnly="1" outline="0" fieldPosition="0">
        <references count="1">
          <reference field="1" count="1">
            <x v="37"/>
          </reference>
        </references>
      </pivotArea>
    </format>
    <format dxfId="54">
      <pivotArea dataOnly="0" labelOnly="1" outline="0" fieldPosition="0">
        <references count="1">
          <reference field="1" count="1">
            <x v="38"/>
          </reference>
        </references>
      </pivotArea>
    </format>
    <format dxfId="53">
      <pivotArea dataOnly="0" labelOnly="1" outline="0" fieldPosition="0">
        <references count="1">
          <reference field="1" count="1">
            <x v="39"/>
          </reference>
        </references>
      </pivotArea>
    </format>
    <format dxfId="52">
      <pivotArea dataOnly="0" labelOnly="1" outline="0" fieldPosition="0">
        <references count="1">
          <reference field="1" count="1">
            <x v="40"/>
          </reference>
        </references>
      </pivotArea>
    </format>
    <format dxfId="51">
      <pivotArea dataOnly="0" labelOnly="1" outline="0" fieldPosition="0">
        <references count="1">
          <reference field="1" count="1">
            <x v="41"/>
          </reference>
        </references>
      </pivotArea>
    </format>
    <format dxfId="50">
      <pivotArea dataOnly="0" labelOnly="1" outline="0" fieldPosition="0">
        <references count="1">
          <reference field="1" count="1">
            <x v="42"/>
          </reference>
        </references>
      </pivotArea>
    </format>
    <format dxfId="49">
      <pivotArea dataOnly="0" labelOnly="1" outline="0" fieldPosition="0">
        <references count="1">
          <reference field="1" count="1">
            <x v="43"/>
          </reference>
        </references>
      </pivotArea>
    </format>
    <format dxfId="48">
      <pivotArea dataOnly="0" labelOnly="1" outline="0" fieldPosition="0">
        <references count="1">
          <reference field="1" count="1">
            <x v="44"/>
          </reference>
        </references>
      </pivotArea>
    </format>
    <format dxfId="47">
      <pivotArea dataOnly="0" labelOnly="1" outline="0" fieldPosition="0">
        <references count="1">
          <reference field="1" count="1">
            <x v="45"/>
          </reference>
        </references>
      </pivotArea>
    </format>
    <format dxfId="46">
      <pivotArea dataOnly="0" labelOnly="1" outline="0" fieldPosition="0">
        <references count="1">
          <reference field="1" count="1">
            <x v="46"/>
          </reference>
        </references>
      </pivotArea>
    </format>
    <format dxfId="45">
      <pivotArea dataOnly="0" labelOnly="1" outline="0" fieldPosition="0">
        <references count="1">
          <reference field="1" count="1">
            <x v="47"/>
          </reference>
        </references>
      </pivotArea>
    </format>
    <format dxfId="44">
      <pivotArea dataOnly="0" labelOnly="1" outline="0" fieldPosition="0">
        <references count="1">
          <reference field="1" count="1">
            <x v="48"/>
          </reference>
        </references>
      </pivotArea>
    </format>
    <format dxfId="43">
      <pivotArea dataOnly="0" labelOnly="1" outline="0" fieldPosition="0">
        <references count="1">
          <reference field="1" count="1">
            <x v="49"/>
          </reference>
        </references>
      </pivotArea>
    </format>
    <format dxfId="42">
      <pivotArea dataOnly="0" labelOnly="1" outline="0" fieldPosition="0">
        <references count="1">
          <reference field="1" count="1">
            <x v="50"/>
          </reference>
        </references>
      </pivotArea>
    </format>
    <format dxfId="41">
      <pivotArea dataOnly="0" labelOnly="1" outline="0" fieldPosition="0">
        <references count="1">
          <reference field="1" count="1">
            <x v="51"/>
          </reference>
        </references>
      </pivotArea>
    </format>
    <format dxfId="40">
      <pivotArea dataOnly="0" labelOnly="1" outline="0" fieldPosition="0">
        <references count="1">
          <reference field="1" count="1">
            <x v="52"/>
          </reference>
        </references>
      </pivotArea>
    </format>
    <format dxfId="39">
      <pivotArea dataOnly="0" labelOnly="1" outline="0" fieldPosition="0">
        <references count="1">
          <reference field="1" count="1">
            <x v="53"/>
          </reference>
        </references>
      </pivotArea>
    </format>
    <format dxfId="38">
      <pivotArea dataOnly="0" labelOnly="1" outline="0" fieldPosition="0">
        <references count="1">
          <reference field="1" count="1">
            <x v="54"/>
          </reference>
        </references>
      </pivotArea>
    </format>
    <format dxfId="37">
      <pivotArea dataOnly="0" labelOnly="1" outline="0" fieldPosition="0">
        <references count="1">
          <reference field="1" count="1">
            <x v="55"/>
          </reference>
        </references>
      </pivotArea>
    </format>
    <format dxfId="36">
      <pivotArea dataOnly="0" labelOnly="1" outline="0" fieldPosition="0">
        <references count="1">
          <reference field="1" count="1">
            <x v="56"/>
          </reference>
        </references>
      </pivotArea>
    </format>
    <format dxfId="35">
      <pivotArea dataOnly="0" labelOnly="1" outline="0" fieldPosition="0">
        <references count="1">
          <reference field="1" count="1">
            <x v="57"/>
          </reference>
        </references>
      </pivotArea>
    </format>
    <format dxfId="34">
      <pivotArea dataOnly="0" labelOnly="1" outline="0" fieldPosition="0">
        <references count="1">
          <reference field="1" count="1">
            <x v="58"/>
          </reference>
        </references>
      </pivotArea>
    </format>
    <format dxfId="33">
      <pivotArea dataOnly="0" labelOnly="1" outline="0" fieldPosition="0">
        <references count="1">
          <reference field="1" count="1">
            <x v="59"/>
          </reference>
        </references>
      </pivotArea>
    </format>
    <format dxfId="32">
      <pivotArea dataOnly="0" labelOnly="1" outline="0" fieldPosition="0">
        <references count="1">
          <reference field="1" count="1">
            <x v="60"/>
          </reference>
        </references>
      </pivotArea>
    </format>
    <format dxfId="31">
      <pivotArea dataOnly="0" labelOnly="1" outline="0" fieldPosition="0">
        <references count="1">
          <reference field="1" count="1">
            <x v="61"/>
          </reference>
        </references>
      </pivotArea>
    </format>
    <format dxfId="30">
      <pivotArea dataOnly="0" labelOnly="1" outline="0" fieldPosition="0">
        <references count="1">
          <reference field="1" count="1">
            <x v="62"/>
          </reference>
        </references>
      </pivotArea>
    </format>
    <format dxfId="29">
      <pivotArea dataOnly="0" labelOnly="1" outline="0" fieldPosition="0">
        <references count="1">
          <reference field="1" count="1">
            <x v="63"/>
          </reference>
        </references>
      </pivotArea>
    </format>
    <format dxfId="28">
      <pivotArea dataOnly="0" labelOnly="1" outline="0" fieldPosition="0">
        <references count="1">
          <reference field="1" count="1">
            <x v="64"/>
          </reference>
        </references>
      </pivotArea>
    </format>
    <format dxfId="27">
      <pivotArea dataOnly="0" labelOnly="1" outline="0" fieldPosition="0">
        <references count="1">
          <reference field="1" count="1">
            <x v="65"/>
          </reference>
        </references>
      </pivotArea>
    </format>
    <format dxfId="26">
      <pivotArea dataOnly="0" labelOnly="1" outline="0" fieldPosition="0">
        <references count="1">
          <reference field="1" count="1">
            <x v="66"/>
          </reference>
        </references>
      </pivotArea>
    </format>
    <format dxfId="25">
      <pivotArea dataOnly="0" labelOnly="1" outline="0" fieldPosition="0">
        <references count="1">
          <reference field="1" count="1">
            <x v="67"/>
          </reference>
        </references>
      </pivotArea>
    </format>
    <format dxfId="24">
      <pivotArea dataOnly="0" labelOnly="1" outline="0" fieldPosition="0">
        <references count="1">
          <reference field="1" count="1">
            <x v="68"/>
          </reference>
        </references>
      </pivotArea>
    </format>
    <format dxfId="23">
      <pivotArea dataOnly="0" labelOnly="1" outline="0" fieldPosition="0">
        <references count="1">
          <reference field="1" count="1">
            <x v="69"/>
          </reference>
        </references>
      </pivotArea>
    </format>
    <format dxfId="22">
      <pivotArea dataOnly="0" labelOnly="1" outline="0" fieldPosition="0">
        <references count="1">
          <reference field="1" count="1">
            <x v="70"/>
          </reference>
        </references>
      </pivotArea>
    </format>
    <format dxfId="21">
      <pivotArea dataOnly="0" labelOnly="1" outline="0" fieldPosition="0">
        <references count="1">
          <reference field="1" count="1">
            <x v="71"/>
          </reference>
        </references>
      </pivotArea>
    </format>
    <format dxfId="20">
      <pivotArea dataOnly="0" labelOnly="1" outline="0" fieldPosition="0">
        <references count="1">
          <reference field="1" count="1">
            <x v="72"/>
          </reference>
        </references>
      </pivotArea>
    </format>
    <format dxfId="19">
      <pivotArea dataOnly="0" labelOnly="1" outline="0" fieldPosition="0">
        <references count="1">
          <reference field="1" count="1">
            <x v="73"/>
          </reference>
        </references>
      </pivotArea>
    </format>
    <format dxfId="18">
      <pivotArea dataOnly="0" labelOnly="1" outline="0" fieldPosition="0">
        <references count="1">
          <reference field="1" count="1">
            <x v="74"/>
          </reference>
        </references>
      </pivotArea>
    </format>
    <format dxfId="17">
      <pivotArea dataOnly="0" labelOnly="1" outline="0" fieldPosition="0">
        <references count="1">
          <reference field="1" count="1">
            <x v="75"/>
          </reference>
        </references>
      </pivotArea>
    </format>
    <format dxfId="16">
      <pivotArea dataOnly="0" labelOnly="1" outline="0" fieldPosition="0">
        <references count="1">
          <reference field="1" count="1">
            <x v="76"/>
          </reference>
        </references>
      </pivotArea>
    </format>
    <format dxfId="15">
      <pivotArea dataOnly="0" labelOnly="1" outline="0" fieldPosition="0">
        <references count="1">
          <reference field="1" count="1">
            <x v="77"/>
          </reference>
        </references>
      </pivotArea>
    </format>
    <format dxfId="14">
      <pivotArea dataOnly="0" labelOnly="1" outline="0" fieldPosition="0">
        <references count="1">
          <reference field="1" count="1">
            <x v="78"/>
          </reference>
        </references>
      </pivotArea>
    </format>
    <format dxfId="13">
      <pivotArea dataOnly="0" labelOnly="1" outline="0" fieldPosition="0">
        <references count="1">
          <reference field="1" count="1">
            <x v="79"/>
          </reference>
        </references>
      </pivotArea>
    </format>
    <format dxfId="12">
      <pivotArea dataOnly="0" labelOnly="1" outline="0" fieldPosition="0">
        <references count="1">
          <reference field="1" count="1">
            <x v="80"/>
          </reference>
        </references>
      </pivotArea>
    </format>
    <format dxfId="11">
      <pivotArea dataOnly="0" labelOnly="1" outline="0" fieldPosition="0">
        <references count="1">
          <reference field="1" count="1">
            <x v="81"/>
          </reference>
        </references>
      </pivotArea>
    </format>
    <format dxfId="10">
      <pivotArea dataOnly="0" labelOnly="1" outline="0" fieldPosition="0">
        <references count="1">
          <reference field="1" count="1">
            <x v="82"/>
          </reference>
        </references>
      </pivotArea>
    </format>
    <format dxfId="9">
      <pivotArea dataOnly="0" labelOnly="1" outline="0" fieldPosition="0">
        <references count="1">
          <reference field="1" count="1">
            <x v="83"/>
          </reference>
        </references>
      </pivotArea>
    </format>
    <format dxfId="8">
      <pivotArea dataOnly="0" labelOnly="1" outline="0" fieldPosition="0">
        <references count="1">
          <reference field="1" count="1">
            <x v="84"/>
          </reference>
        </references>
      </pivotArea>
    </format>
    <format dxfId="7">
      <pivotArea dataOnly="0" labelOnly="1" outline="0" fieldPosition="0">
        <references count="1">
          <reference field="1" count="1">
            <x v="85"/>
          </reference>
        </references>
      </pivotArea>
    </format>
    <format dxfId="6">
      <pivotArea dataOnly="0" labelOnly="1" outline="0" fieldPosition="0">
        <references count="1">
          <reference field="1" count="1">
            <x v="86"/>
          </reference>
        </references>
      </pivotArea>
    </format>
    <format dxfId="5">
      <pivotArea dataOnly="0" labelOnly="1" outline="0" fieldPosition="0">
        <references count="1">
          <reference field="1" count="1">
            <x v="87"/>
          </reference>
        </references>
      </pivotArea>
    </format>
    <format dxfId="4">
      <pivotArea dataOnly="0" labelOnly="1" outline="0" fieldPosition="0">
        <references count="1">
          <reference field="1" count="1">
            <x v="88"/>
          </reference>
        </references>
      </pivotArea>
    </format>
    <format dxfId="3">
      <pivotArea dataOnly="0" labelOnly="1" outline="0" fieldPosition="0">
        <references count="1">
          <reference field="1" count="1">
            <x v="89"/>
          </reference>
        </references>
      </pivotArea>
    </format>
    <format dxfId="2">
      <pivotArea dataOnly="0" labelOnly="1" grandRow="1" outline="0" fieldPosition="0"/>
    </format>
    <format dxfId="1">
      <pivotArea outline="0" collapsedLevelsAreSubtotals="1" fieldPosition="0"/>
    </format>
    <format dxfId="0">
      <pivotArea dataOnly="0" labelOnly="1" outline="0" fieldPosition="0">
        <references count="1">
          <reference field="4294967294" count="3">
            <x v="0"/>
            <x v="1"/>
            <x v="2"/>
          </reference>
        </references>
      </pivotArea>
    </format>
  </formats>
  <conditionalFormats count="2">
    <conditionalFormat scope="data" priority="1">
      <pivotAreas count="1">
        <pivotArea outline="0" fieldPosition="0">
          <references count="1">
            <reference field="4294967294" count="1" selected="0">
              <x v="1"/>
            </reference>
          </references>
        </pivotArea>
      </pivotAreas>
    </conditionalFormat>
    <conditionalFormat scope="data" priority="2">
      <pivotAreas count="1">
        <pivotArea outline="0" fieldPosition="0">
          <references count="1">
            <reference field="4294967294" count="1" selected="0">
              <x v="0"/>
            </reference>
          </references>
        </pivotArea>
      </pivotAreas>
    </conditionalFormat>
  </conditionalFormats>
  <pivotTableStyleInfo name="DarkPivot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richData/_rels/richValueRel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richvalue.xml><?xml version="1.0" encoding="utf-8"?>
<rvData xmlns="http://schemas.microsoft.com/office/spreadsheetml/2017/richdata" count="1">
  <rv s="0">
    <v>0</v>
    <v>5</v>
  </rv>
</rvData>
</file>

<file path=xl/richData/rdrichvaluestructure.xml><?xml version="1.0" encoding="utf-8"?>
<rvStructures xmlns="http://schemas.microsoft.com/office/spreadsheetml/2017/richdata" count="1">
  <s t="_localImage">
    <k n="_rvRel:LocalImageIdentifier" t="i"/>
    <k n="CalcOrigin" t="i"/>
  </s>
</rvStructures>
</file>

<file path=xl/richData/richValueRel.xml><?xml version="1.0" encoding="utf-8"?>
<richValueRels xmlns="http://schemas.microsoft.com/office/spreadsheetml/2022/richvaluerel" xmlns:r="http://schemas.openxmlformats.org/officeDocument/2006/relationships">
  <rel r:id="rId1"/>
</richValueRel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E144703-D0A3-4F57-95DC-063723E222AF}" name="tbl_debug_field" displayName="tbl_debug_field" ref="C45:J60" totalsRowShown="0" headerRowDxfId="228" dataDxfId="226" headerRowBorderDxfId="227" tableBorderDxfId="225" totalsRowBorderDxfId="224" headerRowCellStyle="DarkHeader">
  <autoFilter ref="C45:J60" xr:uid="{DD504193-DD3B-4BC5-B491-CD13C900E1D0}"/>
  <tableColumns count="8">
    <tableColumn id="1" xr3:uid="{428A065A-E650-48CD-82D8-DCD52C6ADF49}" name="Dataset" dataDxfId="223"/>
    <tableColumn id="2" xr3:uid="{59A978F6-B8DD-476D-83D1-DF4156BF2B65}" name="Field" dataDxfId="222"/>
    <tableColumn id="4" xr3:uid="{F13FAD31-2DAD-46F1-87AA-89BB89F55C7D}" name="Activity" dataDxfId="221"/>
    <tableColumn id="3" xr3:uid="{EEC05A6B-8FC2-4E70-83F0-CD177B8B3640}" name="Rows" dataDxfId="220"/>
    <tableColumn id="5" xr3:uid="{393C3242-A398-4640-8F14-23E67E5E58DD}" name="Columns" dataDxfId="219" dataCellStyle="Comma"/>
    <tableColumn id="6" xr3:uid="{FD0E5439-87A1-4303-9EA2-539C332536D5}" name="Datatype" dataDxfId="218"/>
    <tableColumn id="7" xr3:uid="{8B1A0719-0FD5-40F2-A5A8-CFCFA32E014A}" name="Production Time in Seconds" dataDxfId="217"/>
    <tableColumn id="8" xr3:uid="{B5BE7F10-5FBA-44EF-8324-B95D2ABA2298}" name="% of Production Time" dataDxfId="216"/>
  </tableColumns>
  <tableStyleInfo name="DarkTable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5F23AF2-1A5A-4EC2-A463-12BEF780B46A}" name="tbl_debug_section" displayName="tbl_debug_section" ref="C34:E42" totalsRowShown="0" headerRowDxfId="215" dataDxfId="213" headerRowBorderDxfId="214" tableBorderDxfId="212" totalsRowBorderDxfId="211">
  <tableColumns count="3">
    <tableColumn id="1" xr3:uid="{FFACC0FF-000E-4785-9C1A-22F01E7C2644}" name="Production Section" dataDxfId="210" dataCellStyle="DarkHeader"/>
    <tableColumn id="2" xr3:uid="{6A06C42D-D4AD-45CE-A81D-0918B410EAA9}" name="Production Time in Seconds" dataDxfId="209"/>
    <tableColumn id="3" xr3:uid="{2643AF23-A2E5-4438-810D-7531CB2D2E4E}" name="% of Production Time" dataDxfId="208" dataCellStyle="Percent"/>
  </tableColumns>
  <tableStyleInfo name="DarkTable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706681A-5322-4A3F-BB34-C5A4EED8E33F}" name="tbl_debug_environment" displayName="tbl_debug_environment" ref="C9:D24" totalsRowShown="0" headerRowDxfId="207" dataDxfId="205" headerRowBorderDxfId="206" tableBorderDxfId="204">
  <tableColumns count="2">
    <tableColumn id="1" xr3:uid="{9623C5AE-E7C2-4493-9B72-08667C9B2C60}" name="Environment Variable" dataDxfId="203" dataCellStyle="DarkHeader"/>
    <tableColumn id="2" xr3:uid="{E5E357AA-48FB-47EA-928A-80845B0CD7C9}" name="Value" dataDxfId="202"/>
  </tableColumns>
  <tableStyleInfo name="DarkTable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6117933-3C15-4FC8-ADF4-0EC66304DEE1}" name="tbl_debug_config" displayName="tbl_debug_config" ref="F9:G20" totalsRowShown="0" headerRowBorderDxfId="201" tableBorderDxfId="200" totalsRowBorderDxfId="199">
  <autoFilter ref="F9:G20" xr:uid="{A6117933-3C15-4FC8-ADF4-0EC66304DEE1}"/>
  <tableColumns count="2">
    <tableColumn id="1" xr3:uid="{EC70458D-5C3D-497C-AA06-AFCBD688FBDA}" name="Input Argument" dataDxfId="198" dataCellStyle="DarkHeader"/>
    <tableColumn id="2" xr3:uid="{FCA8AE27-3D46-4152-9A03-0F3EFBA2366A}" name="Value" dataDxfId="197" dataCellStyle="DarkHeader"/>
  </tableColumns>
  <tableStyleInfo name="DarkTable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6AF89CD0-DF40-4046-87D4-2BF660DDE636}" name="tbl_debug_errors" displayName="tbl_debug_errors" ref="I9:J10" totalsRowShown="0" headerRowBorderDxfId="196" tableBorderDxfId="195" totalsRowBorderDxfId="194">
  <autoFilter ref="I9:J10" xr:uid="{6AF89CD0-DF40-4046-87D4-2BF660DDE636}"/>
  <tableColumns count="2">
    <tableColumn id="1" xr3:uid="{27FA7240-202E-4FAB-AD4A-DC169AFD6F56}" name="Error Type" dataDxfId="193" dataCellStyle="DarkHeader"/>
    <tableColumn id="2" xr3:uid="{C21354E4-3682-4AA0-B73A-2E689C89258C}" name="Value" dataDxfId="192" dataCellStyle="DarkHeader"/>
  </tableColumns>
  <tableStyleInfo name="DarkTable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B1D1E60-5E37-456A-AD85-0649D531840E}" name="tbl_SourceData" displayName="tbl_SourceData" ref="D79:M169" totalsRowShown="0" headerRowDxfId="132" dataDxfId="131" headerRowCellStyle="DarkHeader" dataCellStyle="Normal">
  <autoFilter ref="D79:M169" xr:uid="{DB1D1E60-5E37-456A-AD85-0649D531840E}"/>
  <tableColumns count="10">
    <tableColumn id="1" xr3:uid="{57EDF41E-F06D-4819-BADE-3D62DE46F06C}" name="Record List" dataDxfId="129" dataCellStyle="Normal"/>
    <tableColumn id="2" xr3:uid="{CF70C9CE-83FE-40FA-8089-C68B39CF665A}" name="Unnamed: 0" dataDxfId="130" dataCellStyle="Normal"/>
    <tableColumn id="3" xr3:uid="{B8654690-502A-4FAF-9205-0118DABCB954}" name="id" dataDxfId="136" dataCellStyle="Normal"/>
    <tableColumn id="4" xr3:uid="{5A5BA001-2F93-4E62-880C-C4E8BDB17EEB}" name="diet" dataDxfId="135" dataCellStyle="Normal"/>
    <tableColumn id="5" xr3:uid="{B27673CD-79CD-4785-A885-69E1DCF56D3A}" name="pulse" dataDxfId="134" dataCellStyle="Normal"/>
    <tableColumn id="6" xr3:uid="{D4E494C6-6BE8-44EB-843F-04D5777A151E}" name="time" dataDxfId="133" dataCellStyle="Normal"/>
    <tableColumn id="7" xr3:uid="{452B14F6-1084-4E28-838C-80B5469B52CB}" name="kind" dataDxfId="128" dataCellStyle="Normal"/>
    <tableColumn id="8" xr3:uid="{BD2B725F-B6A5-433D-B9D8-946E9DB65982}" name="index" dataDxfId="127" dataCellStyle="Normal"/>
    <tableColumn id="9" xr3:uid="{2176D66A-4CB5-4815-B230-0D492B9AEB0E}" name="HasBlank" dataDxfId="126" dataCellStyle="Normal"/>
    <tableColumn id="10" xr3:uid="{F449E106-DA49-454E-B2DC-3E3D29609F6A}" name="Record Hash" dataDxfId="125" dataCellStyle="Normal"/>
  </tableColumns>
  <tableStyleInfo name="DarkTable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34D1C74-BE18-490E-B396-097D407DA97D}" name="tbl_Overview" displayName="tbl_Overview" ref="B11:AA17" totalsRowShown="0" headerRowDxfId="139" dataDxfId="183" headerRowBorderDxfId="184">
  <autoFilter ref="B11:AA17" xr:uid="{034D1C74-BE18-490E-B396-097D407DA97D}"/>
  <tableColumns count="26">
    <tableColumn id="1" xr3:uid="{010A8E62-502A-4B19-B37A-BF59E03A068A}" name="Field" dataDxfId="182"/>
    <tableColumn id="2" xr3:uid="{AD236665-EC7C-404F-8915-AD7CD5510D0F}" name="Definition" dataDxfId="138">
      <calculatedColumnFormula>IF(INDEX('Exercise | Field Analysis'!Definitions,1,MATCH(tbl_Overview[[#This Row],[Field]],'Exercise | Field Analysis'!Headers,0))="Definition","",INDEX('Exercise | Field Analysis'!Definitions,1,MATCH(tbl_Overview[[#This Row],[Field]],'Exercise | Field Analysis'!Headers,0)))</calculatedColumnFormula>
    </tableColumn>
    <tableColumn id="3" xr3:uid="{B78AB378-5727-433E-AB9C-BB970FC42B31}" name="Field Notes" dataDxfId="137">
      <calculatedColumnFormula>IF(INDEX('Exercise | Field Analysis'!Notes,1,MATCH(tbl_Overview[[#This Row],[Field]],'Exercise | Field Analysis'!Headers,0))="Note","",INDEX('Exercise | Field Analysis'!Notes,1,MATCH(tbl_Overview[[#This Row],[Field]],'Exercise | Field Analysis'!Headers,0)))</calculatedColumnFormula>
    </tableColumn>
    <tableColumn id="4" xr3:uid="{EF15AE67-FE31-471E-840E-8104B878A3E8}" name="Data type" dataDxfId="181"/>
    <tableColumn id="5" xr3:uid="{5006D683-9D12-4B97-9EF2-6D41AF6E0B35}" name="Distinct %" dataDxfId="180"/>
    <tableColumn id="6" xr3:uid="{3AFB42F8-9976-44FF-9239-74914D5BE035}" name="Missing %" dataDxfId="179"/>
    <tableColumn id="7" xr3:uid="{4BA41102-DB06-4180-9754-C88722FE82BD}" name="Memory Usage %" dataDxfId="178"/>
    <tableColumn id="8" xr3:uid="{D22319BD-3A80-40F3-84FC-A6D1627B2F29}" name="Memory Usage" dataDxfId="177"/>
    <tableColumn id="9" xr3:uid="{77FAEE19-B6C7-4056-8EF3-5EB877C820C4}" name="Distinct" dataDxfId="176"/>
    <tableColumn id="10" xr3:uid="{54FF47BF-594E-417B-9028-64A4DFE4D389}" name="Count" dataDxfId="175"/>
    <tableColumn id="11" xr3:uid="{54E587FE-36DC-4522-91DC-8B81B386217B}" name="Count %" dataDxfId="174"/>
    <tableColumn id="12" xr3:uid="{0DE21D83-93B1-480C-BE9C-379DA0E532C7}" name="Missing" dataDxfId="173"/>
    <tableColumn id="13" xr3:uid="{C4B407B9-B7FB-4DFC-A6B3-885C816BAF99}" name="Mean" dataDxfId="172"/>
    <tableColumn id="14" xr3:uid="{9796FD8E-D568-43E1-AC6E-BFAE7C7B7017}" name="Median" dataDxfId="171"/>
    <tableColumn id="15" xr3:uid="{A6A7BCED-DD2F-4B41-A84C-2F2674A38A53}" name="Mode" dataDxfId="170"/>
    <tableColumn id="16" xr3:uid="{46607FA5-244C-49C2-997C-B64EB2E94FDE}" name="Standard Deviation" dataDxfId="169"/>
    <tableColumn id="17" xr3:uid="{80BA1782-4C46-45CE-B3FB-40B70BA09AF9}" name="Variance" dataDxfId="168"/>
    <tableColumn id="18" xr3:uid="{EC3C5A76-EF95-419C-87A8-D8885B542521}" name="Min" dataDxfId="167"/>
    <tableColumn id="19" xr3:uid="{BFE545F8-810C-4F0A-A0B2-FF0AB9764A07}" name="5%" dataDxfId="166"/>
    <tableColumn id="20" xr3:uid="{77D31A9B-57B1-4422-8EF9-6320F00E0DB9}" name="25%" dataDxfId="165"/>
    <tableColumn id="21" xr3:uid="{7A350787-F0EA-4E65-B596-5D7253E75CD6}" name="50%" dataDxfId="164"/>
    <tableColumn id="22" xr3:uid="{FB4C260E-A19F-4908-9DBF-DB4AC630982A}" name="75%" dataDxfId="163"/>
    <tableColumn id="23" xr3:uid="{FBECC9F1-5BC8-4774-9475-EB2D6D28F1E2}" name="95%" dataDxfId="162"/>
    <tableColumn id="24" xr3:uid="{839CD532-ED80-4544-A8C8-E9E036764A84}" name="Max" dataDxfId="161"/>
    <tableColumn id="25" xr3:uid="{9DDA1FD6-82B1-4FBE-8BBD-B40C331930D2}" name="Range" dataDxfId="160"/>
    <tableColumn id="26" xr3:uid="{902A027A-FD65-44D4-B3D0-5B3883ACFA39}" name="IQR" dataDxfId="159"/>
  </tableColumns>
  <tableStyleInfo name="DarkTable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Custom 1">
      <a:dk1>
        <a:srgbClr val="3A3A3A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764" row="3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8D17EC2E-99C3-4FD8-98FA-DB511231C813}">
  <we:reference id="wa104380862" version="3.0.0.0" store="en-US" storeType="OMEX"/>
  <we:alternateReferences>
    <we:reference id="wa104380862" version="3.0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5.xml"/><Relationship Id="rId3" Type="http://schemas.openxmlformats.org/officeDocument/2006/relationships/drawing" Target="../drawings/drawing1.xml"/><Relationship Id="rId7" Type="http://schemas.openxmlformats.org/officeDocument/2006/relationships/table" Target="../tables/table4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InfoDesigner/xleda" TargetMode="Externa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02D501-8991-47EC-AA6F-76EFC6E8946C}">
  <sheetPr codeName="Sheet3">
    <tabColor rgb="FF5D1955"/>
  </sheetPr>
  <dimension ref="A3:Y61"/>
  <sheetViews>
    <sheetView zoomScaleNormal="100" workbookViewId="0">
      <selection activeCell="C34" sqref="C34"/>
    </sheetView>
  </sheetViews>
  <sheetFormatPr defaultRowHeight="14.4" outlineLevelRow="1"/>
  <cols>
    <col min="1" max="1" width="6.44140625" style="43" customWidth="1"/>
    <col min="2" max="2" width="2.77734375" style="43" customWidth="1"/>
    <col min="3" max="4" width="25.77734375" style="87" customWidth="1"/>
    <col min="5" max="11" width="20.77734375" style="87" customWidth="1"/>
    <col min="12" max="84" width="24.88671875" style="43" customWidth="1"/>
    <col min="85" max="16384" width="8.88671875" style="43"/>
  </cols>
  <sheetData>
    <row r="3" spans="2:12" ht="30" customHeight="1">
      <c r="B3" s="31" t="s">
        <v>58</v>
      </c>
      <c r="D3" s="88"/>
      <c r="J3" s="133" t="e" vm="1">
        <v>#VALUE!</v>
      </c>
    </row>
    <row r="4" spans="2:12" ht="15" customHeight="1">
      <c r="J4" s="133"/>
    </row>
    <row r="5" spans="2:12" ht="30" customHeight="1">
      <c r="B5" s="132" t="s">
        <v>1</v>
      </c>
      <c r="C5" s="89" t="s">
        <v>59</v>
      </c>
      <c r="D5" s="88"/>
    </row>
    <row r="6" spans="2:12" ht="10.050000000000001" customHeight="1">
      <c r="B6" s="1"/>
      <c r="C6" s="88"/>
      <c r="D6" s="88"/>
    </row>
    <row r="7" spans="2:12" ht="15.6" hidden="1" outlineLevel="1">
      <c r="C7" s="90" t="s">
        <v>60</v>
      </c>
      <c r="F7" s="91" t="s">
        <v>61</v>
      </c>
      <c r="I7" s="91" t="s">
        <v>62</v>
      </c>
    </row>
    <row r="8" spans="2:12" ht="15" hidden="1" customHeight="1" outlineLevel="1">
      <c r="L8" s="77"/>
    </row>
    <row r="9" spans="2:12" ht="30" hidden="1" customHeight="1" outlineLevel="1">
      <c r="C9" s="92" t="s">
        <v>63</v>
      </c>
      <c r="D9" s="93" t="s">
        <v>64</v>
      </c>
      <c r="F9" s="112" t="s">
        <v>81</v>
      </c>
      <c r="G9" s="122" t="s">
        <v>64</v>
      </c>
      <c r="I9" s="112" t="s">
        <v>82</v>
      </c>
      <c r="J9" s="114" t="s">
        <v>64</v>
      </c>
      <c r="L9" s="77"/>
    </row>
    <row r="10" spans="2:12" ht="15" hidden="1" customHeight="1" outlineLevel="1">
      <c r="C10" s="94" t="s">
        <v>104</v>
      </c>
      <c r="D10" s="95" t="s">
        <v>105</v>
      </c>
      <c r="F10" s="110" t="s">
        <v>127</v>
      </c>
      <c r="G10" s="123" t="s">
        <v>83</v>
      </c>
      <c r="I10" s="115" t="s">
        <v>140</v>
      </c>
      <c r="J10" s="116" t="s">
        <v>141</v>
      </c>
      <c r="L10" s="78"/>
    </row>
    <row r="11" spans="2:12" ht="15" hidden="1" customHeight="1" outlineLevel="1">
      <c r="C11" s="94" t="s">
        <v>106</v>
      </c>
      <c r="D11" s="95" t="s">
        <v>107</v>
      </c>
      <c r="F11" s="111" t="s">
        <v>128</v>
      </c>
      <c r="G11" s="124" t="s">
        <v>129</v>
      </c>
      <c r="I11" s="115"/>
      <c r="J11" s="116"/>
    </row>
    <row r="12" spans="2:12" ht="15" hidden="1" customHeight="1" outlineLevel="1">
      <c r="C12" s="94" t="s">
        <v>108</v>
      </c>
      <c r="D12" s="95">
        <v>16</v>
      </c>
      <c r="F12" s="111" t="s">
        <v>130</v>
      </c>
      <c r="G12" s="124" t="s">
        <v>131</v>
      </c>
      <c r="H12"/>
      <c r="I12"/>
      <c r="J12"/>
      <c r="K12"/>
    </row>
    <row r="13" spans="2:12" ht="15" hidden="1" customHeight="1" outlineLevel="1">
      <c r="C13" s="94" t="s">
        <v>109</v>
      </c>
      <c r="D13" s="95" t="b">
        <v>0</v>
      </c>
      <c r="F13" s="111" t="s">
        <v>132</v>
      </c>
      <c r="G13" s="124" t="s">
        <v>131</v>
      </c>
      <c r="H13"/>
      <c r="I13"/>
      <c r="J13"/>
      <c r="K13"/>
    </row>
    <row r="14" spans="2:12" ht="15" hidden="1" customHeight="1" outlineLevel="1">
      <c r="C14" s="94" t="s">
        <v>110</v>
      </c>
      <c r="D14" s="95" t="b">
        <v>1</v>
      </c>
      <c r="F14" s="111" t="s">
        <v>133</v>
      </c>
      <c r="G14" s="124" t="b">
        <v>0</v>
      </c>
      <c r="H14"/>
      <c r="I14"/>
      <c r="J14"/>
      <c r="K14"/>
    </row>
    <row r="15" spans="2:12" ht="15" hidden="1" customHeight="1" outlineLevel="1">
      <c r="C15" s="94" t="s">
        <v>111</v>
      </c>
      <c r="D15" s="95" t="s">
        <v>112</v>
      </c>
      <c r="F15" s="111" t="s">
        <v>134</v>
      </c>
      <c r="G15" s="124" t="b">
        <v>1</v>
      </c>
      <c r="H15"/>
      <c r="I15"/>
      <c r="J15"/>
      <c r="K15"/>
    </row>
    <row r="16" spans="2:12" ht="15" hidden="1" customHeight="1" outlineLevel="1">
      <c r="C16" s="94" t="s">
        <v>113</v>
      </c>
      <c r="D16" s="95">
        <v>46176</v>
      </c>
      <c r="F16" s="111" t="s">
        <v>135</v>
      </c>
      <c r="G16" s="124" t="s">
        <v>136</v>
      </c>
      <c r="H16"/>
      <c r="I16"/>
      <c r="J16"/>
      <c r="K16"/>
    </row>
    <row r="17" spans="2:25" ht="15" hidden="1" customHeight="1" outlineLevel="1">
      <c r="C17" s="94" t="s">
        <v>114</v>
      </c>
      <c r="D17" s="95">
        <v>11</v>
      </c>
      <c r="F17" s="111" t="s">
        <v>137</v>
      </c>
      <c r="G17" s="124" t="b">
        <v>0</v>
      </c>
      <c r="H17"/>
      <c r="I17"/>
      <c r="J17"/>
      <c r="K17"/>
    </row>
    <row r="18" spans="2:25" ht="15" hidden="1" customHeight="1" outlineLevel="1">
      <c r="C18" s="94" t="s">
        <v>115</v>
      </c>
      <c r="D18" s="95" t="s">
        <v>116</v>
      </c>
      <c r="F18" s="111" t="s">
        <v>138</v>
      </c>
      <c r="G18" s="124" t="b">
        <v>0</v>
      </c>
      <c r="H18"/>
      <c r="I18"/>
      <c r="J18"/>
      <c r="K18"/>
    </row>
    <row r="19" spans="2:25" ht="15" hidden="1" customHeight="1" outlineLevel="1">
      <c r="C19" s="94" t="s">
        <v>117</v>
      </c>
      <c r="D19" s="95" t="s">
        <v>118</v>
      </c>
      <c r="F19" s="111" t="s">
        <v>139</v>
      </c>
      <c r="G19" s="124" t="b">
        <v>0</v>
      </c>
      <c r="H19"/>
      <c r="I19"/>
      <c r="J19"/>
      <c r="K19"/>
    </row>
    <row r="20" spans="2:25" ht="15" hidden="1" customHeight="1" outlineLevel="1">
      <c r="B20" s="79"/>
      <c r="C20" s="94" t="s">
        <v>119</v>
      </c>
      <c r="D20" s="95" t="s">
        <v>120</v>
      </c>
      <c r="F20" s="125" t="s">
        <v>109</v>
      </c>
      <c r="G20" s="168" t="b">
        <v>0</v>
      </c>
      <c r="H20"/>
      <c r="I20"/>
      <c r="J20"/>
      <c r="K20"/>
    </row>
    <row r="21" spans="2:25" ht="15" hidden="1" customHeight="1" outlineLevel="1">
      <c r="C21" s="94" t="s">
        <v>121</v>
      </c>
      <c r="D21" s="95" t="s">
        <v>122</v>
      </c>
      <c r="F21"/>
      <c r="G21"/>
      <c r="H21"/>
      <c r="I21"/>
      <c r="J21"/>
      <c r="K21"/>
    </row>
    <row r="22" spans="2:25" ht="15" hidden="1" customHeight="1" outlineLevel="1">
      <c r="C22" s="94" t="s">
        <v>123</v>
      </c>
      <c r="D22" s="95" t="s">
        <v>124</v>
      </c>
      <c r="F22"/>
      <c r="G22"/>
      <c r="H22"/>
      <c r="I22"/>
      <c r="J22"/>
      <c r="K22"/>
    </row>
    <row r="23" spans="2:25" ht="15" hidden="1" customHeight="1" outlineLevel="1">
      <c r="C23" s="94" t="s">
        <v>125</v>
      </c>
      <c r="D23" s="95">
        <v>132</v>
      </c>
      <c r="F23"/>
      <c r="G23"/>
      <c r="H23"/>
      <c r="I23"/>
      <c r="J23"/>
    </row>
    <row r="24" spans="2:25" ht="15" hidden="1" customHeight="1" outlineLevel="1">
      <c r="C24" s="125" t="s">
        <v>126</v>
      </c>
      <c r="D24" s="126">
        <v>12</v>
      </c>
      <c r="F24" s="43"/>
      <c r="G24" s="43"/>
      <c r="H24" s="43"/>
      <c r="I24" s="43"/>
      <c r="J24" s="43"/>
    </row>
    <row r="25" spans="2:25" ht="30" hidden="1" customHeight="1" outlineLevel="1">
      <c r="B25" s="80"/>
      <c r="C25" s="96"/>
      <c r="E25" s="96"/>
      <c r="F25"/>
      <c r="G25"/>
      <c r="H25"/>
      <c r="I25"/>
      <c r="J25"/>
    </row>
    <row r="26" spans="2:25" ht="21" collapsed="1">
      <c r="C26" s="98" t="s">
        <v>65</v>
      </c>
      <c r="W26" s="79"/>
    </row>
    <row r="27" spans="2:25" ht="15" customHeight="1">
      <c r="B27" s="82"/>
      <c r="Y27" s="77"/>
    </row>
    <row r="28" spans="2:25" ht="15" customHeight="1">
      <c r="C28" s="99" t="s">
        <v>66</v>
      </c>
      <c r="D28" s="84">
        <v>1</v>
      </c>
      <c r="E28" s="97"/>
      <c r="W28" s="82"/>
      <c r="Y28" s="77"/>
    </row>
    <row r="29" spans="2:25" ht="15" customHeight="1">
      <c r="C29" s="99" t="s">
        <v>67</v>
      </c>
      <c r="D29" s="84">
        <v>9</v>
      </c>
      <c r="E29" s="97"/>
      <c r="X29" s="83"/>
      <c r="Y29" s="78"/>
    </row>
    <row r="30" spans="2:25" ht="15" customHeight="1">
      <c r="C30" s="99" t="s">
        <v>68</v>
      </c>
      <c r="D30" s="85">
        <v>6</v>
      </c>
      <c r="E30" s="97"/>
      <c r="X30" s="83"/>
    </row>
    <row r="31" spans="2:25" ht="15" customHeight="1">
      <c r="C31" s="99" t="s">
        <v>69</v>
      </c>
      <c r="D31" s="85">
        <v>90</v>
      </c>
      <c r="E31" s="97"/>
      <c r="K31" s="100"/>
      <c r="X31" s="83"/>
    </row>
    <row r="32" spans="2:25" ht="15" customHeight="1">
      <c r="C32" s="99" t="s">
        <v>70</v>
      </c>
      <c r="D32" s="86">
        <v>7.6173434257507324</v>
      </c>
      <c r="E32" s="97"/>
      <c r="K32" s="100"/>
      <c r="X32" s="83"/>
    </row>
    <row r="33" spans="2:24" ht="15" customHeight="1">
      <c r="X33" s="83"/>
    </row>
    <row r="34" spans="2:24" ht="27" customHeight="1">
      <c r="B34" s="81"/>
      <c r="C34" s="101" t="s">
        <v>71</v>
      </c>
      <c r="D34" s="102" t="s">
        <v>72</v>
      </c>
      <c r="E34" s="103" t="s">
        <v>73</v>
      </c>
      <c r="K34" s="100"/>
    </row>
    <row r="35" spans="2:24" ht="15" customHeight="1">
      <c r="C35" s="104" t="s">
        <v>74</v>
      </c>
      <c r="D35" s="129">
        <v>3.0015773773193359</v>
      </c>
      <c r="E35" s="127">
        <v>0.39404441663668449</v>
      </c>
    </row>
    <row r="36" spans="2:24" ht="15" customHeight="1">
      <c r="C36" s="104" t="s">
        <v>142</v>
      </c>
      <c r="D36" s="129">
        <v>3.5237984657287598</v>
      </c>
      <c r="E36" s="127">
        <v>0.46260113807674391</v>
      </c>
      <c r="K36" s="100"/>
    </row>
    <row r="37" spans="2:24" ht="15" customHeight="1">
      <c r="C37" s="104" t="s">
        <v>143</v>
      </c>
      <c r="D37" s="129">
        <v>0.2508089542388916</v>
      </c>
      <c r="E37" s="127">
        <v>3.2925977123596399E-2</v>
      </c>
      <c r="K37" s="100"/>
    </row>
    <row r="38" spans="2:24" ht="15" customHeight="1">
      <c r="C38" s="104" t="s">
        <v>144</v>
      </c>
      <c r="D38" s="129">
        <v>0.22251296043395996</v>
      </c>
      <c r="E38" s="127">
        <v>2.9211304146557468E-2</v>
      </c>
      <c r="K38" s="100"/>
    </row>
    <row r="39" spans="2:24" ht="15" customHeight="1">
      <c r="C39" s="104" t="s">
        <v>75</v>
      </c>
      <c r="D39" s="129">
        <v>2.0408320426940918</v>
      </c>
      <c r="E39" s="127">
        <v>0.26791862098689134</v>
      </c>
      <c r="N39" s="79"/>
    </row>
    <row r="40" spans="2:24" ht="15" customHeight="1">
      <c r="C40" s="104" t="s">
        <v>76</v>
      </c>
      <c r="D40" s="129">
        <v>1.1727707386016846</v>
      </c>
      <c r="E40" s="127">
        <v>0.15396030268378097</v>
      </c>
    </row>
    <row r="41" spans="2:24" ht="15" customHeight="1">
      <c r="C41" s="105" t="s">
        <v>145</v>
      </c>
      <c r="D41" s="130">
        <v>0.37117981910705566</v>
      </c>
      <c r="E41" s="128">
        <v>4.8728157532281789E-2</v>
      </c>
    </row>
    <row r="42" spans="2:24" ht="15" customHeight="1">
      <c r="C42" s="169" t="s">
        <v>77</v>
      </c>
      <c r="D42" s="130">
        <v>3.5431146621704102E-2</v>
      </c>
      <c r="E42" s="128">
        <v>4.6513695121819529E-3</v>
      </c>
    </row>
    <row r="43" spans="2:24" ht="15" customHeight="1"/>
    <row r="44" spans="2:24" ht="15" customHeight="1"/>
    <row r="45" spans="2:24" ht="27" customHeight="1">
      <c r="C45" s="119" t="s">
        <v>78</v>
      </c>
      <c r="D45" s="120" t="s">
        <v>40</v>
      </c>
      <c r="E45" s="120" t="s">
        <v>79</v>
      </c>
      <c r="F45" s="121" t="s">
        <v>7</v>
      </c>
      <c r="G45" s="106" t="s">
        <v>54</v>
      </c>
      <c r="H45" s="106" t="s">
        <v>80</v>
      </c>
      <c r="I45" s="106" t="s">
        <v>72</v>
      </c>
      <c r="J45" s="107" t="s">
        <v>73</v>
      </c>
    </row>
    <row r="46" spans="2:24" ht="15" customHeight="1">
      <c r="C46" s="117" t="s">
        <v>83</v>
      </c>
      <c r="D46" s="118" t="s">
        <v>84</v>
      </c>
      <c r="E46" s="118" t="s">
        <v>146</v>
      </c>
      <c r="F46" s="113">
        <v>90</v>
      </c>
      <c r="G46" s="109">
        <v>6</v>
      </c>
      <c r="H46" s="108" t="s">
        <v>93</v>
      </c>
      <c r="I46" s="131">
        <v>3.5186052322387695E-2</v>
      </c>
      <c r="J46" s="127">
        <v>4.619193749889474E-3</v>
      </c>
    </row>
    <row r="47" spans="2:24" ht="15" customHeight="1">
      <c r="C47" s="117" t="s">
        <v>83</v>
      </c>
      <c r="D47" s="118" t="s">
        <v>85</v>
      </c>
      <c r="E47" s="118" t="s">
        <v>146</v>
      </c>
      <c r="F47" s="113">
        <v>90</v>
      </c>
      <c r="G47" s="109">
        <v>6</v>
      </c>
      <c r="H47" s="108" t="s">
        <v>93</v>
      </c>
      <c r="I47" s="131">
        <v>4.7290802001953125E-2</v>
      </c>
      <c r="J47" s="127">
        <v>6.2082945547060732E-3</v>
      </c>
    </row>
    <row r="48" spans="2:24" ht="15" customHeight="1">
      <c r="C48" s="117" t="s">
        <v>83</v>
      </c>
      <c r="D48" s="118" t="s">
        <v>86</v>
      </c>
      <c r="E48" s="118" t="s">
        <v>146</v>
      </c>
      <c r="F48" s="113">
        <v>90</v>
      </c>
      <c r="G48" s="109">
        <v>6</v>
      </c>
      <c r="H48" s="108" t="s">
        <v>94</v>
      </c>
      <c r="I48" s="131">
        <v>5.4123878479003906E-2</v>
      </c>
      <c r="J48" s="127">
        <v>7.1053347758174108E-3</v>
      </c>
    </row>
    <row r="49" spans="1:11" ht="15" customHeight="1">
      <c r="A49"/>
      <c r="B49"/>
      <c r="C49" s="170" t="s">
        <v>83</v>
      </c>
      <c r="D49" s="170" t="s">
        <v>87</v>
      </c>
      <c r="E49" s="117" t="s">
        <v>146</v>
      </c>
      <c r="F49" s="171">
        <v>90</v>
      </c>
      <c r="G49" s="109">
        <v>6</v>
      </c>
      <c r="H49" s="113" t="s">
        <v>93</v>
      </c>
      <c r="I49" s="131">
        <v>5.9221506118774414E-2</v>
      </c>
      <c r="J49" s="172">
        <v>7.7745468123694523E-3</v>
      </c>
      <c r="K49"/>
    </row>
    <row r="50" spans="1:11" ht="15" customHeight="1">
      <c r="A50"/>
      <c r="B50"/>
      <c r="C50" s="170" t="s">
        <v>83</v>
      </c>
      <c r="D50" s="170" t="s">
        <v>88</v>
      </c>
      <c r="E50" s="117" t="s">
        <v>146</v>
      </c>
      <c r="F50" s="171">
        <v>90</v>
      </c>
      <c r="G50" s="109">
        <v>6</v>
      </c>
      <c r="H50" s="113" t="s">
        <v>94</v>
      </c>
      <c r="I50" s="131">
        <v>5.9760570526123047E-2</v>
      </c>
      <c r="J50" s="172">
        <v>7.84531470978511E-3</v>
      </c>
      <c r="K50"/>
    </row>
    <row r="51" spans="1:11" ht="15" customHeight="1">
      <c r="A51"/>
      <c r="B51"/>
      <c r="C51" s="170" t="s">
        <v>83</v>
      </c>
      <c r="D51" s="170" t="s">
        <v>89</v>
      </c>
      <c r="E51" s="117" t="s">
        <v>146</v>
      </c>
      <c r="F51" s="171">
        <v>90</v>
      </c>
      <c r="G51" s="109">
        <v>6</v>
      </c>
      <c r="H51" s="113" t="s">
        <v>94</v>
      </c>
      <c r="I51" s="131">
        <v>6.3696384429931641E-2</v>
      </c>
      <c r="J51" s="172">
        <v>8.3620048692444934E-3</v>
      </c>
      <c r="K51"/>
    </row>
    <row r="52" spans="1:11" ht="15" customHeight="1">
      <c r="A52"/>
      <c r="B52"/>
      <c r="C52" s="170" t="s">
        <v>83</v>
      </c>
      <c r="D52" s="170" t="s">
        <v>84</v>
      </c>
      <c r="E52" s="117" t="s">
        <v>147</v>
      </c>
      <c r="F52" s="171">
        <v>90</v>
      </c>
      <c r="G52" s="109">
        <v>6</v>
      </c>
      <c r="H52" s="113" t="s">
        <v>93</v>
      </c>
      <c r="I52" s="131">
        <v>9.6715211868286133E-2</v>
      </c>
      <c r="J52" s="172">
        <v>1.269668725800689E-2</v>
      </c>
      <c r="K52"/>
    </row>
    <row r="53" spans="1:11" ht="15" customHeight="1">
      <c r="A53"/>
      <c r="B53"/>
      <c r="C53" s="170" t="s">
        <v>83</v>
      </c>
      <c r="D53" s="170" t="s">
        <v>84</v>
      </c>
      <c r="E53" s="117" t="s">
        <v>148</v>
      </c>
      <c r="F53" s="171">
        <v>90</v>
      </c>
      <c r="G53" s="109">
        <v>6</v>
      </c>
      <c r="H53" s="113" t="s">
        <v>93</v>
      </c>
      <c r="I53" s="131">
        <v>0.30990338325500488</v>
      </c>
      <c r="J53" s="172">
        <v>4.0683841366606036E-2</v>
      </c>
      <c r="K53"/>
    </row>
    <row r="54" spans="1:11" ht="15" customHeight="1">
      <c r="A54"/>
      <c r="B54"/>
      <c r="C54" s="170" t="s">
        <v>83</v>
      </c>
      <c r="D54" s="170" t="s">
        <v>85</v>
      </c>
      <c r="E54" s="117" t="s">
        <v>147</v>
      </c>
      <c r="F54" s="171">
        <v>90</v>
      </c>
      <c r="G54" s="109">
        <v>6</v>
      </c>
      <c r="H54" s="113" t="s">
        <v>93</v>
      </c>
      <c r="I54" s="131">
        <v>0.10991525650024414</v>
      </c>
      <c r="J54" s="172">
        <v>1.4429577412990464E-2</v>
      </c>
      <c r="K54"/>
    </row>
    <row r="55" spans="1:11" ht="15" customHeight="1">
      <c r="A55"/>
      <c r="B55"/>
      <c r="C55" s="170" t="s">
        <v>83</v>
      </c>
      <c r="D55" s="170" t="s">
        <v>85</v>
      </c>
      <c r="E55" s="117" t="s">
        <v>148</v>
      </c>
      <c r="F55" s="171">
        <v>90</v>
      </c>
      <c r="G55" s="109">
        <v>6</v>
      </c>
      <c r="H55" s="113" t="s">
        <v>93</v>
      </c>
      <c r="I55" s="131">
        <v>8.2626104354858398E-2</v>
      </c>
      <c r="J55" s="172">
        <v>1.0847081716263925E-2</v>
      </c>
      <c r="K55"/>
    </row>
    <row r="56" spans="1:11" ht="15" customHeight="1">
      <c r="A56"/>
      <c r="B56"/>
      <c r="C56" s="170" t="s">
        <v>83</v>
      </c>
      <c r="D56" s="170" t="s">
        <v>86</v>
      </c>
      <c r="E56" s="117" t="s">
        <v>147</v>
      </c>
      <c r="F56" s="171">
        <v>90</v>
      </c>
      <c r="G56" s="109">
        <v>6</v>
      </c>
      <c r="H56" s="113" t="s">
        <v>149</v>
      </c>
      <c r="I56" s="131">
        <v>0.10759592056274414</v>
      </c>
      <c r="J56" s="172">
        <v>1.4125097047639064E-2</v>
      </c>
      <c r="K56"/>
    </row>
    <row r="57" spans="1:11" ht="15" customHeight="1">
      <c r="A57"/>
      <c r="B57"/>
      <c r="C57" s="170" t="s">
        <v>83</v>
      </c>
      <c r="D57" s="170" t="s">
        <v>87</v>
      </c>
      <c r="E57" s="117" t="s">
        <v>147</v>
      </c>
      <c r="F57" s="171">
        <v>90</v>
      </c>
      <c r="G57" s="109">
        <v>6</v>
      </c>
      <c r="H57" s="113" t="s">
        <v>93</v>
      </c>
      <c r="I57" s="131">
        <v>0.12624382972717285</v>
      </c>
      <c r="J57" s="172">
        <v>1.6573178027898077E-2</v>
      </c>
      <c r="K57"/>
    </row>
    <row r="58" spans="1:11">
      <c r="A58"/>
      <c r="B58"/>
      <c r="C58" s="170" t="s">
        <v>83</v>
      </c>
      <c r="D58" s="170" t="s">
        <v>87</v>
      </c>
      <c r="E58" s="117" t="s">
        <v>148</v>
      </c>
      <c r="F58" s="171">
        <v>90</v>
      </c>
      <c r="G58" s="109">
        <v>6</v>
      </c>
      <c r="H58" s="113" t="s">
        <v>93</v>
      </c>
      <c r="I58" s="131">
        <v>8.6191892623901367E-2</v>
      </c>
      <c r="J58" s="172">
        <v>1.1315195238487971E-2</v>
      </c>
      <c r="K58"/>
    </row>
    <row r="59" spans="1:11">
      <c r="A59"/>
      <c r="B59"/>
      <c r="C59" s="170" t="s">
        <v>83</v>
      </c>
      <c r="D59" s="170" t="s">
        <v>88</v>
      </c>
      <c r="E59" s="117" t="s">
        <v>147</v>
      </c>
      <c r="F59" s="171">
        <v>90</v>
      </c>
      <c r="G59" s="109">
        <v>6</v>
      </c>
      <c r="H59" s="113" t="s">
        <v>149</v>
      </c>
      <c r="I59" s="131">
        <v>0.1061394214630127</v>
      </c>
      <c r="J59" s="172">
        <v>1.3933889137284244E-2</v>
      </c>
      <c r="K59"/>
    </row>
    <row r="60" spans="1:11">
      <c r="A60"/>
      <c r="B60"/>
      <c r="C60" s="173" t="s">
        <v>83</v>
      </c>
      <c r="D60" s="173" t="s">
        <v>89</v>
      </c>
      <c r="E60" s="174" t="s">
        <v>147</v>
      </c>
      <c r="F60" s="175">
        <v>90</v>
      </c>
      <c r="G60" s="176">
        <v>6</v>
      </c>
      <c r="H60" s="177" t="s">
        <v>149</v>
      </c>
      <c r="I60" s="178">
        <v>0.11482954025268555</v>
      </c>
      <c r="J60" s="179">
        <v>1.507472022658247E-2</v>
      </c>
      <c r="K60"/>
    </row>
    <row r="61" spans="1:11">
      <c r="A61"/>
      <c r="B61"/>
      <c r="C61"/>
      <c r="D61"/>
      <c r="E61"/>
      <c r="F61"/>
      <c r="G61"/>
      <c r="H61"/>
      <c r="I61"/>
      <c r="J61"/>
      <c r="K61"/>
    </row>
  </sheetData>
  <mergeCells count="1">
    <mergeCell ref="J3:J4"/>
  </mergeCells>
  <conditionalFormatting sqref="E35:E42">
    <cfRule type="colorScale" priority="2">
      <colorScale>
        <cfvo type="num" val="0"/>
        <cfvo type="num" val="0.2"/>
        <color rgb="FF000000"/>
        <color rgb="FFC00000"/>
      </colorScale>
    </cfRule>
  </conditionalFormatting>
  <conditionalFormatting sqref="J46:J60">
    <cfRule type="colorScale" priority="1">
      <colorScale>
        <cfvo type="num" val="0"/>
        <cfvo type="num" val="0.1"/>
        <color rgb="FF000000"/>
        <color rgb="FFC00000"/>
      </colorScale>
    </cfRule>
  </conditionalFormatting>
  <hyperlinks>
    <hyperlink ref="J3:J4" r:id="rId1" display="https://github.com/InfoDesigner/xleda" xr:uid="{96976772-2689-401F-A6D8-1217B5976010}"/>
  </hyperlinks>
  <pageMargins left="0.7" right="0.7" top="0.75" bottom="0.75" header="0.3" footer="0.3"/>
  <pageSetup orientation="portrait" r:id="rId2"/>
  <drawing r:id="rId3"/>
  <tableParts count="5"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AC07A1-2E8C-46FB-9CC1-AAEC654D73D4}">
  <sheetPr codeName="Sheet2">
    <tabColor rgb="FF000000"/>
  </sheetPr>
  <dimension ref="A1:W169"/>
  <sheetViews>
    <sheetView tabSelected="1" zoomScale="85" zoomScaleNormal="85" workbookViewId="0">
      <pane xSplit="4" ySplit="19" topLeftCell="E20" activePane="bottomRight" state="frozen"/>
      <selection activeCell="B1" sqref="A1:B1"/>
      <selection pane="topRight" activeCell="B1" sqref="A1:B1"/>
      <selection pane="bottomLeft" activeCell="B1" sqref="A1:B1"/>
      <selection pane="bottomRight" activeCell="E19" sqref="E19"/>
    </sheetView>
  </sheetViews>
  <sheetFormatPr defaultColWidth="15.6640625" defaultRowHeight="15" customHeight="1" outlineLevelRow="2"/>
  <cols>
    <col min="1" max="1" width="0.88671875" customWidth="1"/>
    <col min="2" max="2" width="3" style="43" customWidth="1"/>
    <col min="3" max="3" width="2.6640625" customWidth="1"/>
    <col min="4" max="4" width="25.6640625" customWidth="1"/>
    <col min="5" max="7" width="27.6640625" customWidth="1"/>
    <col min="8" max="10" width="27.6640625" style="43" customWidth="1"/>
  </cols>
  <sheetData>
    <row r="1" spans="1:23" ht="19.95" hidden="1" customHeight="1">
      <c r="A1" s="22"/>
      <c r="B1" s="22"/>
      <c r="C1" s="23"/>
      <c r="D1" s="23" t="s">
        <v>0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</row>
    <row r="2" spans="1:23" ht="10.199999999999999" customHeight="1"/>
    <row r="3" spans="1:23" ht="36.6">
      <c r="B3" s="1" t="s">
        <v>1</v>
      </c>
      <c r="C3" s="31" t="s">
        <v>83</v>
      </c>
      <c r="D3" s="31"/>
    </row>
    <row r="4" spans="1:23" ht="10.199999999999999" customHeight="1"/>
    <row r="5" spans="1:23" ht="14.4">
      <c r="B5" s="32"/>
      <c r="C5" s="70" t="s">
        <v>1</v>
      </c>
      <c r="D5" s="33" t="s">
        <v>6</v>
      </c>
    </row>
    <row r="6" spans="1:23" ht="10.199999999999999" customHeight="1">
      <c r="B6" s="32"/>
      <c r="C6" s="32"/>
    </row>
    <row r="7" spans="1:23" ht="40.049999999999997" hidden="1" customHeight="1" outlineLevel="1">
      <c r="B7" s="32"/>
      <c r="C7" s="32"/>
      <c r="D7" s="67"/>
      <c r="E7" s="134" t="s">
        <v>57</v>
      </c>
      <c r="F7" s="135"/>
      <c r="G7" s="40"/>
      <c r="H7" s="40"/>
      <c r="I7" s="40"/>
      <c r="J7" s="40"/>
    </row>
    <row r="8" spans="1:23" ht="14.4" hidden="1" outlineLevel="1">
      <c r="B8" s="32"/>
      <c r="C8" s="32"/>
      <c r="D8" s="32"/>
    </row>
    <row r="9" spans="1:23" ht="15" hidden="1" customHeight="1" outlineLevel="1">
      <c r="B9" s="32"/>
      <c r="C9" s="32"/>
      <c r="D9" s="34" t="s">
        <v>7</v>
      </c>
      <c r="E9" s="71">
        <v>90</v>
      </c>
    </row>
    <row r="10" spans="1:23" ht="15" hidden="1" customHeight="1" outlineLevel="1">
      <c r="B10" s="32"/>
      <c r="C10" s="32"/>
      <c r="D10" s="69" t="s">
        <v>54</v>
      </c>
      <c r="E10" s="37">
        <v>6</v>
      </c>
    </row>
    <row r="11" spans="1:23" s="43" customFormat="1" ht="15" hidden="1" customHeight="1" outlineLevel="1">
      <c r="B11" s="32"/>
      <c r="C11" s="32"/>
      <c r="D11" s="69" t="s">
        <v>13</v>
      </c>
      <c r="E11" s="37" t="s">
        <v>92</v>
      </c>
    </row>
    <row r="12" spans="1:23" s="43" customFormat="1" ht="15" hidden="1" customHeight="1" outlineLevel="1">
      <c r="B12" s="32"/>
      <c r="C12" s="32"/>
      <c r="D12" s="69" t="s">
        <v>55</v>
      </c>
      <c r="E12" s="65">
        <v>1</v>
      </c>
    </row>
    <row r="13" spans="1:23" s="43" customFormat="1" ht="15" hidden="1" customHeight="1" outlineLevel="1">
      <c r="B13" s="32"/>
      <c r="D13" s="3" t="s">
        <v>56</v>
      </c>
      <c r="E13" s="66">
        <v>0</v>
      </c>
    </row>
    <row r="14" spans="1:23" ht="10.199999999999999" hidden="1" customHeight="1" outlineLevel="1">
      <c r="B14" s="32"/>
    </row>
    <row r="15" spans="1:23" ht="35.1" hidden="1" customHeight="1" outlineLevel="1">
      <c r="B15" s="32"/>
      <c r="C15" s="32"/>
      <c r="D15" s="30" t="s">
        <v>3</v>
      </c>
      <c r="E15" s="72" t="s">
        <v>41</v>
      </c>
      <c r="F15" s="73" t="s">
        <v>41</v>
      </c>
      <c r="G15" s="73" t="s">
        <v>41</v>
      </c>
      <c r="H15" s="73" t="s">
        <v>41</v>
      </c>
      <c r="I15" s="73" t="s">
        <v>41</v>
      </c>
      <c r="J15" s="73" t="s">
        <v>41</v>
      </c>
    </row>
    <row r="16" spans="1:23" ht="10.199999999999999" hidden="1" customHeight="1" outlineLevel="1">
      <c r="B16" s="32"/>
      <c r="C16" s="32"/>
    </row>
    <row r="17" spans="1:13" ht="34.950000000000003" hidden="1" customHeight="1" outlineLevel="1">
      <c r="D17" s="30" t="s">
        <v>4</v>
      </c>
      <c r="E17" s="74" t="s">
        <v>50</v>
      </c>
      <c r="F17" s="75" t="s">
        <v>50</v>
      </c>
      <c r="G17" s="76" t="s">
        <v>50</v>
      </c>
      <c r="H17" s="76" t="s">
        <v>50</v>
      </c>
      <c r="I17" s="76" t="s">
        <v>50</v>
      </c>
      <c r="J17" s="76" t="s">
        <v>50</v>
      </c>
    </row>
    <row r="18" spans="1:13" ht="10.199999999999999" hidden="1" customHeight="1" outlineLevel="1"/>
    <row r="19" spans="1:13" s="35" customFormat="1" ht="30" customHeight="1" collapsed="1">
      <c r="A19"/>
      <c r="B19" s="43"/>
      <c r="C19" s="136"/>
      <c r="D19" s="136" t="s">
        <v>5</v>
      </c>
      <c r="E19" s="137" t="s">
        <v>84</v>
      </c>
      <c r="F19" s="137" t="s">
        <v>85</v>
      </c>
      <c r="G19" s="137" t="s">
        <v>86</v>
      </c>
      <c r="H19" s="137" t="s">
        <v>87</v>
      </c>
      <c r="I19" s="137" t="s">
        <v>88</v>
      </c>
      <c r="J19" s="137" t="s">
        <v>89</v>
      </c>
      <c r="K19" s="35" t="s">
        <v>90</v>
      </c>
      <c r="L19" s="35" t="s">
        <v>39</v>
      </c>
      <c r="M19" s="35" t="s">
        <v>91</v>
      </c>
    </row>
    <row r="20" spans="1:13" ht="10.199999999999999" customHeight="1"/>
    <row r="21" spans="1:13" ht="14.4" outlineLevel="1">
      <c r="B21" s="32"/>
      <c r="C21" s="70" t="s">
        <v>1</v>
      </c>
      <c r="D21" s="2" t="s">
        <v>8</v>
      </c>
    </row>
    <row r="22" spans="1:13" ht="10.199999999999999" customHeight="1" outlineLevel="1">
      <c r="B22" s="32"/>
      <c r="C22" s="32"/>
    </row>
    <row r="23" spans="1:13" ht="15" hidden="1" customHeight="1" outlineLevel="2">
      <c r="B23" s="32"/>
      <c r="C23" s="32"/>
      <c r="D23" s="28" t="s">
        <v>9</v>
      </c>
      <c r="E23" s="18" t="s">
        <v>93</v>
      </c>
      <c r="F23" s="18" t="s">
        <v>93</v>
      </c>
      <c r="G23" s="18" t="s">
        <v>94</v>
      </c>
      <c r="H23" s="18" t="s">
        <v>93</v>
      </c>
      <c r="I23" s="18" t="s">
        <v>94</v>
      </c>
      <c r="J23" s="18" t="s">
        <v>94</v>
      </c>
    </row>
    <row r="24" spans="1:13" ht="15" hidden="1" customHeight="1" outlineLevel="2">
      <c r="B24" s="32"/>
      <c r="C24" s="32"/>
      <c r="D24" s="3" t="s">
        <v>10</v>
      </c>
      <c r="E24" s="19">
        <v>1</v>
      </c>
      <c r="F24" s="19">
        <v>0.33333333333333298</v>
      </c>
      <c r="G24" s="19">
        <v>2.2222222222222199E-2</v>
      </c>
      <c r="H24" s="19">
        <v>0.43333333333333302</v>
      </c>
      <c r="I24" s="19">
        <v>3.3333333333333298E-2</v>
      </c>
      <c r="J24" s="19">
        <v>3.3333333333333298E-2</v>
      </c>
    </row>
    <row r="25" spans="1:13" ht="15" hidden="1" customHeight="1" outlineLevel="2">
      <c r="B25" s="32"/>
      <c r="C25" s="32"/>
      <c r="D25" s="27" t="s">
        <v>11</v>
      </c>
      <c r="E25" s="19">
        <v>0</v>
      </c>
      <c r="F25" s="19">
        <v>0</v>
      </c>
      <c r="G25" s="19">
        <v>0</v>
      </c>
      <c r="H25" s="19">
        <v>0</v>
      </c>
      <c r="I25" s="19">
        <v>0</v>
      </c>
      <c r="J25" s="19">
        <v>0</v>
      </c>
    </row>
    <row r="26" spans="1:13" ht="15" hidden="1" customHeight="1" outlineLevel="2">
      <c r="B26" s="32"/>
      <c r="C26" s="32"/>
      <c r="D26" s="27" t="s">
        <v>12</v>
      </c>
      <c r="E26" s="19">
        <v>0.20078081427774599</v>
      </c>
      <c r="F26" s="19">
        <v>0.20078081427774599</v>
      </c>
      <c r="G26" s="19">
        <v>6.3301728945900707E-2</v>
      </c>
      <c r="H26" s="19">
        <v>0.20078081427774599</v>
      </c>
      <c r="I26" s="19">
        <v>6.66480758505298E-2</v>
      </c>
      <c r="J26" s="19">
        <v>6.6926938092582197E-2</v>
      </c>
    </row>
    <row r="27" spans="1:13" ht="15" hidden="1" customHeight="1" outlineLevel="2">
      <c r="B27" s="32"/>
      <c r="C27" s="32"/>
      <c r="D27" s="27" t="s">
        <v>13</v>
      </c>
      <c r="E27" s="20">
        <v>720</v>
      </c>
      <c r="F27" s="20">
        <v>720</v>
      </c>
      <c r="G27" s="20">
        <v>227</v>
      </c>
      <c r="H27" s="20">
        <v>720</v>
      </c>
      <c r="I27" s="20">
        <v>239</v>
      </c>
      <c r="J27" s="20">
        <v>240</v>
      </c>
    </row>
    <row r="28" spans="1:13" ht="15" hidden="1" customHeight="1" outlineLevel="2">
      <c r="B28" s="32"/>
      <c r="C28" s="32"/>
      <c r="D28" s="27" t="s">
        <v>14</v>
      </c>
      <c r="E28" s="20">
        <v>90</v>
      </c>
      <c r="F28" s="20">
        <v>30</v>
      </c>
      <c r="G28" s="20">
        <v>2</v>
      </c>
      <c r="H28" s="20">
        <v>39</v>
      </c>
      <c r="I28" s="20">
        <v>3</v>
      </c>
      <c r="J28" s="20">
        <v>3</v>
      </c>
    </row>
    <row r="29" spans="1:13" ht="15" hidden="1" customHeight="1" outlineLevel="2">
      <c r="B29" s="32"/>
      <c r="C29" s="32"/>
      <c r="D29" s="28" t="s">
        <v>15</v>
      </c>
      <c r="E29" s="20">
        <v>90</v>
      </c>
      <c r="F29" s="20">
        <v>90</v>
      </c>
      <c r="G29" s="20">
        <v>90</v>
      </c>
      <c r="H29" s="20">
        <v>90</v>
      </c>
      <c r="I29" s="20">
        <v>90</v>
      </c>
      <c r="J29" s="20">
        <v>90</v>
      </c>
    </row>
    <row r="30" spans="1:13" ht="15" hidden="1" customHeight="1" outlineLevel="2">
      <c r="B30" s="32"/>
      <c r="C30" s="32"/>
      <c r="D30" s="3" t="s">
        <v>16</v>
      </c>
      <c r="E30" s="20">
        <v>0</v>
      </c>
      <c r="F30" s="20">
        <v>0</v>
      </c>
      <c r="G30" s="20">
        <v>0</v>
      </c>
      <c r="H30" s="20">
        <v>0</v>
      </c>
      <c r="I30" s="20">
        <v>0</v>
      </c>
      <c r="J30" s="20">
        <v>0</v>
      </c>
    </row>
    <row r="31" spans="1:13" ht="10.199999999999999" hidden="1" customHeight="1" outlineLevel="2">
      <c r="B31" s="32"/>
      <c r="C31" s="32"/>
    </row>
    <row r="32" spans="1:13" ht="150" hidden="1" customHeight="1" outlineLevel="2"/>
    <row r="33" spans="2:10" ht="10.199999999999999" hidden="1" customHeight="1" outlineLevel="2"/>
    <row r="34" spans="2:10" ht="14.4" outlineLevel="1" collapsed="1">
      <c r="B34" s="32"/>
      <c r="C34" s="70" t="s">
        <v>1</v>
      </c>
      <c r="D34" s="2" t="s">
        <v>17</v>
      </c>
    </row>
    <row r="35" spans="2:10" ht="10.199999999999999" customHeight="1" outlineLevel="1">
      <c r="B35" s="32"/>
      <c r="C35" s="32"/>
    </row>
    <row r="36" spans="2:10" ht="15" hidden="1" customHeight="1" outlineLevel="2">
      <c r="B36" s="32"/>
      <c r="C36" s="32"/>
      <c r="D36" s="3" t="s">
        <v>18</v>
      </c>
      <c r="E36" s="21">
        <v>44.5</v>
      </c>
      <c r="F36" s="21">
        <v>15.5</v>
      </c>
      <c r="G36" s="21"/>
      <c r="H36" s="21">
        <v>99.7</v>
      </c>
      <c r="I36" s="21"/>
      <c r="J36" s="21"/>
    </row>
    <row r="37" spans="2:10" ht="15" hidden="1" customHeight="1" outlineLevel="2">
      <c r="B37" s="32"/>
      <c r="C37" s="32"/>
      <c r="D37" s="27" t="s">
        <v>19</v>
      </c>
      <c r="E37" s="21">
        <v>44.5</v>
      </c>
      <c r="F37" s="21">
        <v>15.5</v>
      </c>
      <c r="G37" s="21"/>
      <c r="H37" s="21">
        <v>96</v>
      </c>
      <c r="I37" s="21"/>
      <c r="J37" s="21"/>
    </row>
    <row r="38" spans="2:10" ht="15" hidden="1" customHeight="1" outlineLevel="2">
      <c r="B38" s="32"/>
      <c r="C38" s="32"/>
      <c r="D38" s="27" t="s">
        <v>20</v>
      </c>
      <c r="E38" s="21">
        <v>0</v>
      </c>
      <c r="F38" s="21">
        <v>1</v>
      </c>
      <c r="G38" s="21" t="s">
        <v>95</v>
      </c>
      <c r="H38" s="21">
        <v>92</v>
      </c>
      <c r="I38" s="21" t="s">
        <v>96</v>
      </c>
      <c r="J38" s="21" t="s">
        <v>97</v>
      </c>
    </row>
    <row r="39" spans="2:10" ht="15" hidden="1" customHeight="1" outlineLevel="2">
      <c r="B39" s="32"/>
      <c r="C39" s="32"/>
      <c r="D39" s="3" t="s">
        <v>21</v>
      </c>
      <c r="E39" s="21">
        <v>26.124700955226199</v>
      </c>
      <c r="F39" s="21">
        <v>8.7039316958654993</v>
      </c>
      <c r="G39" s="21"/>
      <c r="H39" s="21">
        <v>14.8584708938494</v>
      </c>
      <c r="I39" s="21"/>
      <c r="J39" s="21"/>
    </row>
    <row r="40" spans="2:10" ht="15" hidden="1" customHeight="1" outlineLevel="2">
      <c r="B40" s="32"/>
      <c r="C40" s="32"/>
      <c r="D40" s="29" t="s">
        <v>22</v>
      </c>
      <c r="E40" s="21">
        <v>682.5</v>
      </c>
      <c r="F40" s="21">
        <v>75.758426966292106</v>
      </c>
      <c r="G40" s="21"/>
      <c r="H40" s="21">
        <v>220.77415730337</v>
      </c>
      <c r="I40" s="21"/>
      <c r="J40" s="21"/>
    </row>
    <row r="41" spans="2:10" ht="10.199999999999999" hidden="1" customHeight="1" outlineLevel="2">
      <c r="B41" s="32"/>
      <c r="C41" s="32"/>
    </row>
    <row r="42" spans="2:10" ht="150" hidden="1" customHeight="1" outlineLevel="2"/>
    <row r="43" spans="2:10" ht="10.199999999999999" hidden="1" customHeight="1" outlineLevel="2"/>
    <row r="44" spans="2:10" ht="14.4" outlineLevel="1" collapsed="1">
      <c r="B44" s="32"/>
      <c r="C44" s="70" t="s">
        <v>1</v>
      </c>
      <c r="D44" s="2" t="s">
        <v>23</v>
      </c>
    </row>
    <row r="45" spans="2:10" ht="9.9" customHeight="1" outlineLevel="1">
      <c r="B45" s="32"/>
      <c r="C45" s="32"/>
    </row>
    <row r="46" spans="2:10" ht="15" hidden="1" customHeight="1" outlineLevel="2">
      <c r="B46" s="32"/>
      <c r="C46" s="32"/>
      <c r="D46" s="3" t="s">
        <v>24</v>
      </c>
      <c r="E46" s="21">
        <v>0</v>
      </c>
      <c r="F46" s="21">
        <v>1</v>
      </c>
      <c r="G46" s="21"/>
      <c r="H46" s="21">
        <v>80</v>
      </c>
      <c r="I46" s="21"/>
      <c r="J46" s="21"/>
    </row>
    <row r="47" spans="2:10" ht="15" hidden="1" customHeight="1" outlineLevel="2">
      <c r="B47" s="32"/>
      <c r="C47" s="32"/>
      <c r="D47" s="27">
        <v>0.05</v>
      </c>
      <c r="E47" s="21">
        <v>4.45</v>
      </c>
      <c r="F47" s="21">
        <v>2</v>
      </c>
      <c r="G47" s="21"/>
      <c r="H47" s="21">
        <v>83.45</v>
      </c>
      <c r="I47" s="21"/>
      <c r="J47" s="21"/>
    </row>
    <row r="48" spans="2:10" ht="15" hidden="1" customHeight="1" outlineLevel="2">
      <c r="B48" s="32"/>
      <c r="C48" s="32"/>
      <c r="D48" s="28">
        <v>0.25</v>
      </c>
      <c r="E48" s="21">
        <v>22.25</v>
      </c>
      <c r="F48" s="21">
        <v>8</v>
      </c>
      <c r="G48" s="21"/>
      <c r="H48" s="21">
        <v>90.25</v>
      </c>
      <c r="I48" s="21"/>
      <c r="J48" s="21"/>
    </row>
    <row r="49" spans="1:10" ht="15" hidden="1" customHeight="1" outlineLevel="2">
      <c r="B49" s="32"/>
      <c r="C49" s="32"/>
      <c r="D49" s="3">
        <v>0.5</v>
      </c>
      <c r="E49" s="21">
        <v>44.5</v>
      </c>
      <c r="F49" s="21">
        <v>15.5</v>
      </c>
      <c r="G49" s="21"/>
      <c r="H49" s="21">
        <v>96</v>
      </c>
      <c r="I49" s="21"/>
      <c r="J49" s="21"/>
    </row>
    <row r="50" spans="1:10" ht="15" hidden="1" customHeight="1" outlineLevel="2">
      <c r="B50" s="32"/>
      <c r="C50" s="32"/>
      <c r="D50" s="27">
        <v>0.75</v>
      </c>
      <c r="E50" s="21">
        <v>66.75</v>
      </c>
      <c r="F50" s="21">
        <v>23</v>
      </c>
      <c r="G50" s="21"/>
      <c r="H50" s="21">
        <v>103</v>
      </c>
      <c r="I50" s="21"/>
      <c r="J50" s="21"/>
    </row>
    <row r="51" spans="1:10" ht="15" hidden="1" customHeight="1" outlineLevel="2">
      <c r="B51" s="32"/>
      <c r="C51" s="32"/>
      <c r="D51" s="27">
        <v>0.95</v>
      </c>
      <c r="E51" s="21">
        <v>84.55</v>
      </c>
      <c r="F51" s="21">
        <v>29</v>
      </c>
      <c r="G51" s="21"/>
      <c r="H51" s="21">
        <v>133.64999999999901</v>
      </c>
      <c r="I51" s="21"/>
      <c r="J51" s="21"/>
    </row>
    <row r="52" spans="1:10" ht="15" hidden="1" customHeight="1" outlineLevel="2">
      <c r="B52" s="32"/>
      <c r="C52" s="32"/>
      <c r="D52" s="3" t="s">
        <v>25</v>
      </c>
      <c r="E52" s="21">
        <v>89</v>
      </c>
      <c r="F52" s="21">
        <v>30</v>
      </c>
      <c r="G52" s="21"/>
      <c r="H52" s="21">
        <v>150</v>
      </c>
      <c r="I52" s="21"/>
      <c r="J52" s="21"/>
    </row>
    <row r="53" spans="1:10" ht="15" hidden="1" customHeight="1" outlineLevel="2">
      <c r="B53" s="32"/>
      <c r="C53" s="32"/>
      <c r="D53" s="27" t="s">
        <v>26</v>
      </c>
      <c r="E53" s="21">
        <v>89</v>
      </c>
      <c r="F53" s="21">
        <v>29</v>
      </c>
      <c r="G53" s="21"/>
      <c r="H53" s="21">
        <v>70</v>
      </c>
      <c r="I53" s="21"/>
      <c r="J53" s="21"/>
    </row>
    <row r="54" spans="1:10" ht="15" hidden="1" customHeight="1" outlineLevel="2">
      <c r="D54" s="3" t="s">
        <v>27</v>
      </c>
      <c r="E54" s="21">
        <v>44.5</v>
      </c>
      <c r="F54" s="21">
        <v>15</v>
      </c>
      <c r="G54" s="21"/>
      <c r="H54" s="21">
        <v>12.75</v>
      </c>
      <c r="I54" s="21"/>
      <c r="J54" s="21"/>
    </row>
    <row r="55" spans="1:10" ht="10.199999999999999" hidden="1" customHeight="1" outlineLevel="2"/>
    <row r="56" spans="1:10" ht="14.4" outlineLevel="1" collapsed="1">
      <c r="A56" s="32"/>
      <c r="B56" s="32"/>
      <c r="C56" s="70" t="s">
        <v>1</v>
      </c>
      <c r="D56" s="2" t="s">
        <v>28</v>
      </c>
    </row>
    <row r="57" spans="1:10" ht="9.9" customHeight="1" outlineLevel="1">
      <c r="A57" s="32"/>
      <c r="B57" s="32"/>
      <c r="C57" s="32"/>
    </row>
    <row r="58" spans="1:10" ht="15" hidden="1" customHeight="1" outlineLevel="2">
      <c r="A58" s="32"/>
      <c r="B58" s="32"/>
      <c r="C58" s="32"/>
      <c r="D58" s="3" t="s">
        <v>29</v>
      </c>
      <c r="E58" s="58" t="b">
        <v>0</v>
      </c>
      <c r="F58" s="58" t="b">
        <v>0</v>
      </c>
      <c r="G58" s="58" t="b">
        <v>0</v>
      </c>
      <c r="H58" s="58" t="b">
        <v>0</v>
      </c>
      <c r="I58" s="58" t="b">
        <v>0</v>
      </c>
      <c r="J58" s="58" t="b">
        <v>0</v>
      </c>
    </row>
    <row r="59" spans="1:10" ht="15" hidden="1" customHeight="1" outlineLevel="2">
      <c r="A59" s="32"/>
      <c r="B59" s="32"/>
      <c r="C59" s="32"/>
      <c r="D59" s="27" t="s">
        <v>30</v>
      </c>
      <c r="E59" s="58" t="b">
        <v>0</v>
      </c>
      <c r="F59" s="58" t="b">
        <v>0</v>
      </c>
      <c r="G59" s="58" t="b">
        <v>0</v>
      </c>
      <c r="H59" s="58" t="b">
        <v>0</v>
      </c>
      <c r="I59" s="58" t="b">
        <v>0</v>
      </c>
      <c r="J59" s="58" t="b">
        <v>0</v>
      </c>
    </row>
    <row r="60" spans="1:10" ht="15" hidden="1" customHeight="1" outlineLevel="2">
      <c r="A60" s="32"/>
      <c r="B60" s="32"/>
      <c r="C60" s="32"/>
      <c r="D60" s="27" t="s">
        <v>31</v>
      </c>
      <c r="E60" s="58" t="b">
        <v>0</v>
      </c>
      <c r="F60" s="58" t="b">
        <v>0</v>
      </c>
      <c r="G60" s="58" t="b">
        <v>0</v>
      </c>
      <c r="H60" s="58" t="b">
        <v>0</v>
      </c>
      <c r="I60" s="58" t="b">
        <v>0</v>
      </c>
      <c r="J60" s="58" t="b">
        <v>0</v>
      </c>
    </row>
    <row r="61" spans="1:10" ht="15" hidden="1" customHeight="1" outlineLevel="2">
      <c r="A61" s="32"/>
      <c r="B61" s="32"/>
      <c r="C61" s="32"/>
      <c r="D61" s="27" t="s">
        <v>32</v>
      </c>
      <c r="E61" s="58" t="b">
        <v>0</v>
      </c>
      <c r="F61" s="58" t="b">
        <v>0</v>
      </c>
      <c r="G61" s="58" t="b">
        <v>0</v>
      </c>
      <c r="H61" s="58" t="b">
        <v>0</v>
      </c>
      <c r="I61" s="58" t="b">
        <v>0</v>
      </c>
      <c r="J61" s="58" t="b">
        <v>0</v>
      </c>
    </row>
    <row r="62" spans="1:10" ht="15" hidden="1" customHeight="1" outlineLevel="2">
      <c r="A62" s="32"/>
      <c r="B62" s="32"/>
      <c r="C62" s="32"/>
      <c r="D62" s="3" t="s">
        <v>33</v>
      </c>
      <c r="E62" s="58" t="b">
        <v>0</v>
      </c>
      <c r="F62" s="58" t="b">
        <v>0</v>
      </c>
      <c r="G62" s="58" t="b">
        <v>0</v>
      </c>
      <c r="H62" s="58" t="b">
        <v>0</v>
      </c>
      <c r="I62" s="58" t="b">
        <v>0</v>
      </c>
      <c r="J62" s="58" t="b">
        <v>0</v>
      </c>
    </row>
    <row r="63" spans="1:10" ht="15" hidden="1" customHeight="1" outlineLevel="2">
      <c r="A63" s="32"/>
      <c r="B63" s="32"/>
      <c r="C63" s="32"/>
      <c r="D63" s="27" t="s">
        <v>34</v>
      </c>
      <c r="E63" s="58" t="b">
        <v>0</v>
      </c>
      <c r="F63" s="58" t="b">
        <v>0</v>
      </c>
      <c r="G63" s="58" t="b">
        <v>0</v>
      </c>
      <c r="H63" s="58" t="b">
        <v>0</v>
      </c>
      <c r="I63" s="58" t="b">
        <v>0</v>
      </c>
      <c r="J63" s="58" t="b">
        <v>0</v>
      </c>
    </row>
    <row r="64" spans="1:10" ht="15" hidden="1" customHeight="1" outlineLevel="2">
      <c r="A64" s="32"/>
      <c r="B64" s="32"/>
      <c r="C64" s="32"/>
      <c r="D64" s="27" t="s">
        <v>35</v>
      </c>
      <c r="E64" s="58" t="b">
        <v>0</v>
      </c>
      <c r="F64" s="58" t="b">
        <v>0</v>
      </c>
      <c r="G64" s="58" t="b">
        <v>0</v>
      </c>
      <c r="H64" s="58" t="b">
        <v>0</v>
      </c>
      <c r="I64" s="58" t="b">
        <v>0</v>
      </c>
      <c r="J64" s="58" t="b">
        <v>0</v>
      </c>
    </row>
    <row r="65" spans="1:13" ht="15" hidden="1" customHeight="1" outlineLevel="2">
      <c r="D65" s="3" t="s">
        <v>36</v>
      </c>
      <c r="E65" s="58" t="b">
        <v>0</v>
      </c>
      <c r="F65" s="58" t="b">
        <v>0</v>
      </c>
      <c r="G65" s="58" t="b">
        <v>0</v>
      </c>
      <c r="H65" s="58" t="b">
        <v>0</v>
      </c>
      <c r="I65" s="58" t="b">
        <v>0</v>
      </c>
      <c r="J65" s="58" t="b">
        <v>0</v>
      </c>
    </row>
    <row r="66" spans="1:13" ht="10.199999999999999" hidden="1" customHeight="1" outlineLevel="2"/>
    <row r="67" spans="1:13" ht="14.4" outlineLevel="1" collapsed="1">
      <c r="A67" s="32"/>
      <c r="B67" s="32"/>
      <c r="C67" s="70" t="s">
        <v>1</v>
      </c>
      <c r="D67" s="2" t="s">
        <v>37</v>
      </c>
    </row>
    <row r="68" spans="1:13" ht="9.9" customHeight="1" outlineLevel="1">
      <c r="A68" s="32"/>
      <c r="B68" s="32"/>
    </row>
    <row r="69" spans="1:13" ht="15" hidden="1" customHeight="1" outlineLevel="2">
      <c r="A69" s="32"/>
      <c r="B69" s="32"/>
      <c r="D69" s="3" t="str">
        <f>IF(COUNTIF(FieldList1, "&lt;&gt;FALSE") = 0,"",SUBSTITUTE(LOWER(D58)," ","_") &amp;" = ")</f>
        <v/>
      </c>
      <c r="E69" t="str">
        <f>IF(COUNTIF(FieldList1, "&lt;&gt;FALSE") = 0,"","['"&amp;_xlfn.TEXTJOIN("', '", TRUE, _xlfn._xlws.FILTER(FieldRange,FieldList1&lt;&gt; FALSE, ""))&amp;"']")</f>
        <v/>
      </c>
    </row>
    <row r="70" spans="1:13" ht="15" hidden="1" customHeight="1" outlineLevel="2">
      <c r="A70" s="32"/>
      <c r="B70" s="32"/>
      <c r="D70" s="26" t="str">
        <f>IF(COUNTIF(FieldList2, "&lt;&gt;FALSE") = 0,"",SUBSTITUTE(LOWER(D59)," ","_")&amp;" = ")</f>
        <v/>
      </c>
      <c r="E70" t="str">
        <f>IF(COUNTIF(FieldList2, "&lt;&gt;FALSE") = 0,"","['"&amp;_xlfn.TEXTJOIN("', '", TRUE, _xlfn._xlws.FILTER(FieldRange,FieldList2&lt;&gt; FALSE, ""))&amp;"']")</f>
        <v/>
      </c>
    </row>
    <row r="71" spans="1:13" ht="15" hidden="1" customHeight="1" outlineLevel="2">
      <c r="A71" s="32"/>
      <c r="B71" s="32"/>
      <c r="D71" s="26" t="str">
        <f>IF(COUNTIF(FieldList3, "&lt;&gt;FALSE") = 0,"",SUBSTITUTE(LOWER(D60)," ","_")&amp;" = ")</f>
        <v/>
      </c>
      <c r="E71" t="str">
        <f>IF(COUNTIF(FieldList3, "&lt;&gt;FALSE") = 0,"","['"&amp;_xlfn.TEXTJOIN("', '", TRUE, _xlfn._xlws.FILTER(FieldRange,FieldList3&lt;&gt; FALSE, ""))&amp;"']")</f>
        <v/>
      </c>
    </row>
    <row r="72" spans="1:13" ht="15" hidden="1" customHeight="1" outlineLevel="2">
      <c r="A72" s="32"/>
      <c r="B72" s="32"/>
      <c r="D72" s="26" t="str">
        <f>IF(COUNTIF(FieldList4, "&lt;&gt;FALSE") = 0,"",SUBSTITUTE(LOWER(D61)," ","_")&amp;" = ")</f>
        <v/>
      </c>
      <c r="E72" t="str">
        <f>IF(COUNTIF(FieldList4, "&lt;&gt;FALSE") = 0,"","['"&amp;_xlfn.TEXTJOIN("', '", TRUE, _xlfn._xlws.FILTER(FieldRange,FieldList4&lt;&gt; FALSE, ""))&amp;"']")</f>
        <v/>
      </c>
    </row>
    <row r="73" spans="1:13" ht="15" hidden="1" customHeight="1" outlineLevel="2">
      <c r="A73" s="32"/>
      <c r="B73" s="32"/>
      <c r="D73" s="26" t="str">
        <f>IF(COUNTIF(FieldList5, "&lt;&gt;FALSE") = 0,"",SUBSTITUTE(LOWER(D62)," ","_")&amp;" = ")</f>
        <v/>
      </c>
      <c r="E73" t="str">
        <f>IF(COUNTIF(FieldList5, "&lt;&gt;FALSE") = 0,"","['"&amp;_xlfn.TEXTJOIN("', '", TRUE, _xlfn._xlws.FILTER(FieldRange,FieldList5&lt;&gt; FALSE, ""))&amp;"']")</f>
        <v/>
      </c>
    </row>
    <row r="74" spans="1:13" ht="15" hidden="1" customHeight="1" outlineLevel="2">
      <c r="A74" s="32"/>
      <c r="B74" s="32"/>
      <c r="D74" s="26" t="str">
        <f>IF(COUNTIF(FieldList6, "&lt;&gt;FALSE") = 0,"",SUBSTITUTE(LOWER(D63)," ","_")&amp;" = ")</f>
        <v/>
      </c>
      <c r="E74" t="str">
        <f>IF(COUNTIF(FieldList6, "&lt;&gt;FALSE") = 0,"","['"&amp;_xlfn.TEXTJOIN("', '", TRUE, _xlfn._xlws.FILTER(FieldRange,FieldList6&lt;&gt; FALSE, ""))&amp;"']")</f>
        <v/>
      </c>
    </row>
    <row r="75" spans="1:13" ht="15" hidden="1" customHeight="1" outlineLevel="2">
      <c r="A75" s="32"/>
      <c r="B75" s="32"/>
      <c r="D75" s="25" t="str">
        <f>IF(COUNTIF(FieldList7, "&lt;&gt;FALSE") = 0,"",SUBSTITUTE(LOWER(D64)," ","_")&amp;" = ")</f>
        <v/>
      </c>
      <c r="E75" t="str" cm="1">
        <f t="array" ref="E75">IF(COUNTIF(FieldList7, "&lt;&gt;FALSE") = 0,"","['"&amp;_xlfn.TEXTJOIN("', '", TRUE, _xlfn._xlws.FILTER(FieldRange,FieldList7&lt;&gt; FALSE, ""))&amp;"']")</f>
        <v/>
      </c>
    </row>
    <row r="76" spans="1:13" ht="15" hidden="1" customHeight="1" outlineLevel="2">
      <c r="A76" s="32"/>
      <c r="B76" s="32"/>
      <c r="D76" s="3" t="str">
        <f>IF(COUNTIF(FieldList8, "&lt;&gt;FALSE") = 0,"",SUBSTITUTE(LOWER(D65)," ","_")&amp;" = ")</f>
        <v/>
      </c>
      <c r="E76" t="str" cm="1">
        <f t="array" ref="E76">IF(COUNTIF(FieldList8, "&lt;&gt;FALSE") = 0,"","['"&amp;_xlfn.TEXTJOIN("', '", TRUE, _xlfn._xlws.FILTER(FieldRange,FieldList8&lt;&gt; FALSE, ""))&amp;"']")</f>
        <v/>
      </c>
    </row>
    <row r="77" spans="1:13" ht="15" hidden="1" customHeight="1" outlineLevel="2">
      <c r="D77" s="24" t="str">
        <f>IF(COUNTIF(tbl_SourceData[Record List], "&lt;&gt;FALSE") = 0,"",SUBSTITUTE(LOWER(LightHeader)," ", "_") &amp;" = ")</f>
        <v/>
      </c>
      <c r="E77" t="str" cm="1">
        <f t="array" ref="E77">IF(COUNTIF(tbl_SourceData[Record List], "&lt;&gt;FALSE") = 0,"","['"&amp;_xlfn.TEXTJOIN("', '", TRUE, _xlfn._xlws.FILTER(_xlfn.TAKE(tbl_SourceData[],,-1), tbl_SourceData[Record List] &lt;&gt; FALSE, ""))&amp;"']")</f>
        <v/>
      </c>
    </row>
    <row r="78" spans="1:13" ht="10.199999999999999" hidden="1" customHeight="1" outlineLevel="1" collapsed="1"/>
    <row r="79" spans="1:13" ht="30" customHeight="1">
      <c r="D79" s="156" t="s">
        <v>38</v>
      </c>
      <c r="E79" s="149" t="s">
        <v>84</v>
      </c>
      <c r="F79" s="149" t="s">
        <v>85</v>
      </c>
      <c r="G79" s="149" t="s">
        <v>86</v>
      </c>
      <c r="H79" s="150" t="s">
        <v>87</v>
      </c>
      <c r="I79" s="150" t="s">
        <v>88</v>
      </c>
      <c r="J79" s="150" t="s">
        <v>89</v>
      </c>
      <c r="K79" s="156" t="s">
        <v>90</v>
      </c>
      <c r="L79" s="156" t="s">
        <v>39</v>
      </c>
      <c r="M79" s="156" t="s">
        <v>91</v>
      </c>
    </row>
    <row r="80" spans="1:13" ht="15" customHeight="1">
      <c r="D80" s="157" t="b">
        <v>0</v>
      </c>
      <c r="E80" s="151">
        <v>0</v>
      </c>
      <c r="F80" s="151">
        <v>1</v>
      </c>
      <c r="G80" s="151" t="s">
        <v>98</v>
      </c>
      <c r="H80" s="152">
        <v>85</v>
      </c>
      <c r="I80" s="152" t="s">
        <v>96</v>
      </c>
      <c r="J80" s="152" t="s">
        <v>97</v>
      </c>
      <c r="K80" s="160">
        <v>0</v>
      </c>
      <c r="L80" s="160">
        <v>0</v>
      </c>
      <c r="M80" s="160">
        <v>1.6968869232302838E+19</v>
      </c>
    </row>
    <row r="81" spans="4:13" ht="15" customHeight="1">
      <c r="D81" s="157" t="b">
        <v>0</v>
      </c>
      <c r="E81" s="151">
        <v>1</v>
      </c>
      <c r="F81" s="151">
        <v>1</v>
      </c>
      <c r="G81" s="151" t="s">
        <v>98</v>
      </c>
      <c r="H81" s="152">
        <v>85</v>
      </c>
      <c r="I81" s="152" t="s">
        <v>99</v>
      </c>
      <c r="J81" s="152" t="s">
        <v>97</v>
      </c>
      <c r="K81" s="160">
        <v>1</v>
      </c>
      <c r="L81" s="160">
        <v>0</v>
      </c>
      <c r="M81" s="160">
        <v>1.1304601947575794E+19</v>
      </c>
    </row>
    <row r="82" spans="4:13" ht="15" customHeight="1">
      <c r="D82" s="158" t="b">
        <v>0</v>
      </c>
      <c r="E82" s="153">
        <v>2</v>
      </c>
      <c r="F82" s="151">
        <v>1</v>
      </c>
      <c r="G82" s="151" t="s">
        <v>98</v>
      </c>
      <c r="H82" s="152">
        <v>88</v>
      </c>
      <c r="I82" s="152" t="s">
        <v>100</v>
      </c>
      <c r="J82" s="152" t="s">
        <v>97</v>
      </c>
      <c r="K82" s="160">
        <v>2</v>
      </c>
      <c r="L82" s="160">
        <v>0</v>
      </c>
      <c r="M82" s="160">
        <v>1.8392839387777106E+19</v>
      </c>
    </row>
    <row r="83" spans="4:13" ht="15" customHeight="1">
      <c r="D83" s="158" t="b">
        <v>0</v>
      </c>
      <c r="E83" s="153">
        <v>3</v>
      </c>
      <c r="F83" s="151">
        <v>2</v>
      </c>
      <c r="G83" s="151" t="s">
        <v>98</v>
      </c>
      <c r="H83" s="152">
        <v>90</v>
      </c>
      <c r="I83" s="152" t="s">
        <v>96</v>
      </c>
      <c r="J83" s="152" t="s">
        <v>97</v>
      </c>
      <c r="K83" s="160">
        <v>3</v>
      </c>
      <c r="L83" s="160">
        <v>0</v>
      </c>
      <c r="M83" s="160">
        <v>8.2987015265398579E+18</v>
      </c>
    </row>
    <row r="84" spans="4:13" ht="15" customHeight="1">
      <c r="D84" s="158" t="b">
        <v>0</v>
      </c>
      <c r="E84" s="153">
        <v>4</v>
      </c>
      <c r="F84" s="151">
        <v>2</v>
      </c>
      <c r="G84" s="151" t="s">
        <v>98</v>
      </c>
      <c r="H84" s="152">
        <v>92</v>
      </c>
      <c r="I84" s="152" t="s">
        <v>99</v>
      </c>
      <c r="J84" s="152" t="s">
        <v>97</v>
      </c>
      <c r="K84" s="160">
        <v>4</v>
      </c>
      <c r="L84" s="160">
        <v>0</v>
      </c>
      <c r="M84" s="160">
        <v>1.1946187526421195E+19</v>
      </c>
    </row>
    <row r="85" spans="4:13" ht="15" customHeight="1">
      <c r="D85" s="158" t="b">
        <v>0</v>
      </c>
      <c r="E85" s="153">
        <v>5</v>
      </c>
      <c r="F85" s="151">
        <v>2</v>
      </c>
      <c r="G85" s="151" t="s">
        <v>98</v>
      </c>
      <c r="H85" s="152">
        <v>93</v>
      </c>
      <c r="I85" s="152" t="s">
        <v>100</v>
      </c>
      <c r="J85" s="152" t="s">
        <v>97</v>
      </c>
      <c r="K85" s="160">
        <v>5</v>
      </c>
      <c r="L85" s="160">
        <v>0</v>
      </c>
      <c r="M85" s="160">
        <v>9.8463450365564662E+18</v>
      </c>
    </row>
    <row r="86" spans="4:13" ht="15" customHeight="1">
      <c r="D86" s="158" t="b">
        <v>0</v>
      </c>
      <c r="E86" s="153">
        <v>6</v>
      </c>
      <c r="F86" s="151">
        <v>3</v>
      </c>
      <c r="G86" s="151" t="s">
        <v>98</v>
      </c>
      <c r="H86" s="152">
        <v>97</v>
      </c>
      <c r="I86" s="152" t="s">
        <v>96</v>
      </c>
      <c r="J86" s="152" t="s">
        <v>97</v>
      </c>
      <c r="K86" s="160">
        <v>6</v>
      </c>
      <c r="L86" s="160">
        <v>0</v>
      </c>
      <c r="M86" s="160">
        <v>1.0868488443840051E+19</v>
      </c>
    </row>
    <row r="87" spans="4:13" ht="15" customHeight="1">
      <c r="D87" s="158" t="b">
        <v>0</v>
      </c>
      <c r="E87" s="153">
        <v>7</v>
      </c>
      <c r="F87" s="151">
        <v>3</v>
      </c>
      <c r="G87" s="151" t="s">
        <v>98</v>
      </c>
      <c r="H87" s="152">
        <v>97</v>
      </c>
      <c r="I87" s="152" t="s">
        <v>99</v>
      </c>
      <c r="J87" s="152" t="s">
        <v>97</v>
      </c>
      <c r="K87" s="160">
        <v>7</v>
      </c>
      <c r="L87" s="160">
        <v>0</v>
      </c>
      <c r="M87" s="160">
        <v>1.1523384824255676E+19</v>
      </c>
    </row>
    <row r="88" spans="4:13" ht="15" customHeight="1">
      <c r="D88" s="158" t="b">
        <v>0</v>
      </c>
      <c r="E88" s="153">
        <v>8</v>
      </c>
      <c r="F88" s="151">
        <v>3</v>
      </c>
      <c r="G88" s="151" t="s">
        <v>98</v>
      </c>
      <c r="H88" s="152">
        <v>94</v>
      </c>
      <c r="I88" s="152" t="s">
        <v>100</v>
      </c>
      <c r="J88" s="152" t="s">
        <v>97</v>
      </c>
      <c r="K88" s="160">
        <v>8</v>
      </c>
      <c r="L88" s="160">
        <v>0</v>
      </c>
      <c r="M88" s="160">
        <v>7.0161467305610004E+18</v>
      </c>
    </row>
    <row r="89" spans="4:13" ht="15" customHeight="1">
      <c r="D89" s="158" t="b">
        <v>0</v>
      </c>
      <c r="E89" s="153">
        <v>9</v>
      </c>
      <c r="F89" s="151">
        <v>4</v>
      </c>
      <c r="G89" s="151" t="s">
        <v>98</v>
      </c>
      <c r="H89" s="152">
        <v>80</v>
      </c>
      <c r="I89" s="152" t="s">
        <v>96</v>
      </c>
      <c r="J89" s="152" t="s">
        <v>97</v>
      </c>
      <c r="K89" s="160">
        <v>9</v>
      </c>
      <c r="L89" s="160">
        <v>0</v>
      </c>
      <c r="M89" s="160">
        <v>1.1159565028141312E+19</v>
      </c>
    </row>
    <row r="90" spans="4:13" ht="15" customHeight="1">
      <c r="D90" s="158" t="b">
        <v>0</v>
      </c>
      <c r="E90" s="153">
        <v>10</v>
      </c>
      <c r="F90" s="151">
        <v>4</v>
      </c>
      <c r="G90" s="151" t="s">
        <v>98</v>
      </c>
      <c r="H90" s="152">
        <v>82</v>
      </c>
      <c r="I90" s="152" t="s">
        <v>99</v>
      </c>
      <c r="J90" s="152" t="s">
        <v>97</v>
      </c>
      <c r="K90" s="160">
        <v>10</v>
      </c>
      <c r="L90" s="160">
        <v>0</v>
      </c>
      <c r="M90" s="160">
        <v>6.4757941890139976E+18</v>
      </c>
    </row>
    <row r="91" spans="4:13" ht="15" customHeight="1">
      <c r="D91" s="158" t="b">
        <v>0</v>
      </c>
      <c r="E91" s="153">
        <v>11</v>
      </c>
      <c r="F91" s="151">
        <v>4</v>
      </c>
      <c r="G91" s="151" t="s">
        <v>98</v>
      </c>
      <c r="H91" s="152">
        <v>83</v>
      </c>
      <c r="I91" s="152" t="s">
        <v>100</v>
      </c>
      <c r="J91" s="152" t="s">
        <v>97</v>
      </c>
      <c r="K91" s="160">
        <v>11</v>
      </c>
      <c r="L91" s="160">
        <v>0</v>
      </c>
      <c r="M91" s="160">
        <v>1.5601477443747455E+19</v>
      </c>
    </row>
    <row r="92" spans="4:13" ht="15" customHeight="1">
      <c r="D92" s="158" t="b">
        <v>0</v>
      </c>
      <c r="E92" s="153">
        <v>12</v>
      </c>
      <c r="F92" s="151">
        <v>5</v>
      </c>
      <c r="G92" s="151" t="s">
        <v>98</v>
      </c>
      <c r="H92" s="152">
        <v>91</v>
      </c>
      <c r="I92" s="152" t="s">
        <v>96</v>
      </c>
      <c r="J92" s="152" t="s">
        <v>97</v>
      </c>
      <c r="K92" s="160">
        <v>12</v>
      </c>
      <c r="L92" s="160">
        <v>0</v>
      </c>
      <c r="M92" s="160">
        <v>7.843935914114775E+18</v>
      </c>
    </row>
    <row r="93" spans="4:13" ht="15" customHeight="1">
      <c r="D93" s="158" t="b">
        <v>0</v>
      </c>
      <c r="E93" s="153">
        <v>13</v>
      </c>
      <c r="F93" s="151">
        <v>5</v>
      </c>
      <c r="G93" s="151" t="s">
        <v>98</v>
      </c>
      <c r="H93" s="152">
        <v>92</v>
      </c>
      <c r="I93" s="152" t="s">
        <v>99</v>
      </c>
      <c r="J93" s="152" t="s">
        <v>97</v>
      </c>
      <c r="K93" s="160">
        <v>13</v>
      </c>
      <c r="L93" s="160">
        <v>0</v>
      </c>
      <c r="M93" s="160">
        <v>1.3834550322814865E+19</v>
      </c>
    </row>
    <row r="94" spans="4:13" ht="15" customHeight="1">
      <c r="D94" s="158" t="b">
        <v>0</v>
      </c>
      <c r="E94" s="153">
        <v>14</v>
      </c>
      <c r="F94" s="151">
        <v>5</v>
      </c>
      <c r="G94" s="151" t="s">
        <v>98</v>
      </c>
      <c r="H94" s="152">
        <v>91</v>
      </c>
      <c r="I94" s="152" t="s">
        <v>100</v>
      </c>
      <c r="J94" s="152" t="s">
        <v>97</v>
      </c>
      <c r="K94" s="160">
        <v>14</v>
      </c>
      <c r="L94" s="160">
        <v>0</v>
      </c>
      <c r="M94" s="160">
        <v>1.3290718882162944E+19</v>
      </c>
    </row>
    <row r="95" spans="4:13" ht="15" customHeight="1">
      <c r="D95" s="158" t="b">
        <v>0</v>
      </c>
      <c r="E95" s="153">
        <v>15</v>
      </c>
      <c r="F95" s="151">
        <v>6</v>
      </c>
      <c r="G95" s="151" t="s">
        <v>95</v>
      </c>
      <c r="H95" s="152">
        <v>83</v>
      </c>
      <c r="I95" s="152" t="s">
        <v>96</v>
      </c>
      <c r="J95" s="152" t="s">
        <v>97</v>
      </c>
      <c r="K95" s="160">
        <v>15</v>
      </c>
      <c r="L95" s="160">
        <v>0</v>
      </c>
      <c r="M95" s="160">
        <v>1.2388923298811204E+19</v>
      </c>
    </row>
    <row r="96" spans="4:13" ht="15" customHeight="1">
      <c r="D96" s="158" t="b">
        <v>0</v>
      </c>
      <c r="E96" s="153">
        <v>16</v>
      </c>
      <c r="F96" s="151">
        <v>6</v>
      </c>
      <c r="G96" s="151" t="s">
        <v>95</v>
      </c>
      <c r="H96" s="152">
        <v>83</v>
      </c>
      <c r="I96" s="152" t="s">
        <v>99</v>
      </c>
      <c r="J96" s="152" t="s">
        <v>97</v>
      </c>
      <c r="K96" s="160">
        <v>16</v>
      </c>
      <c r="L96" s="160">
        <v>0</v>
      </c>
      <c r="M96" s="160">
        <v>1.4182009725719175E+19</v>
      </c>
    </row>
    <row r="97" spans="4:13" ht="15" customHeight="1">
      <c r="D97" s="158" t="b">
        <v>0</v>
      </c>
      <c r="E97" s="153">
        <v>17</v>
      </c>
      <c r="F97" s="151">
        <v>6</v>
      </c>
      <c r="G97" s="151" t="s">
        <v>95</v>
      </c>
      <c r="H97" s="152">
        <v>84</v>
      </c>
      <c r="I97" s="152" t="s">
        <v>100</v>
      </c>
      <c r="J97" s="152" t="s">
        <v>97</v>
      </c>
      <c r="K97" s="160">
        <v>17</v>
      </c>
      <c r="L97" s="160">
        <v>0</v>
      </c>
      <c r="M97" s="160">
        <v>1.0564075301595382E+19</v>
      </c>
    </row>
    <row r="98" spans="4:13" ht="15" customHeight="1">
      <c r="D98" s="158" t="b">
        <v>0</v>
      </c>
      <c r="E98" s="153">
        <v>18</v>
      </c>
      <c r="F98" s="151">
        <v>7</v>
      </c>
      <c r="G98" s="151" t="s">
        <v>95</v>
      </c>
      <c r="H98" s="152">
        <v>87</v>
      </c>
      <c r="I98" s="152" t="s">
        <v>96</v>
      </c>
      <c r="J98" s="152" t="s">
        <v>97</v>
      </c>
      <c r="K98" s="160">
        <v>18</v>
      </c>
      <c r="L98" s="160">
        <v>0</v>
      </c>
      <c r="M98" s="160">
        <v>9.876245873623679E+18</v>
      </c>
    </row>
    <row r="99" spans="4:13" ht="15" customHeight="1">
      <c r="D99" s="158" t="b">
        <v>0</v>
      </c>
      <c r="E99" s="153">
        <v>19</v>
      </c>
      <c r="F99" s="151">
        <v>7</v>
      </c>
      <c r="G99" s="151" t="s">
        <v>95</v>
      </c>
      <c r="H99" s="152">
        <v>88</v>
      </c>
      <c r="I99" s="152" t="s">
        <v>99</v>
      </c>
      <c r="J99" s="152" t="s">
        <v>97</v>
      </c>
      <c r="K99" s="160">
        <v>19</v>
      </c>
      <c r="L99" s="160">
        <v>0</v>
      </c>
      <c r="M99" s="160">
        <v>5.5287429354061691E+18</v>
      </c>
    </row>
    <row r="100" spans="4:13" ht="15" customHeight="1">
      <c r="D100" s="158" t="b">
        <v>0</v>
      </c>
      <c r="E100" s="153">
        <v>20</v>
      </c>
      <c r="F100" s="151">
        <v>7</v>
      </c>
      <c r="G100" s="151" t="s">
        <v>95</v>
      </c>
      <c r="H100" s="152">
        <v>90</v>
      </c>
      <c r="I100" s="152" t="s">
        <v>100</v>
      </c>
      <c r="J100" s="152" t="s">
        <v>97</v>
      </c>
      <c r="K100" s="160">
        <v>20</v>
      </c>
      <c r="L100" s="160">
        <v>0</v>
      </c>
      <c r="M100" s="160">
        <v>2.4793918178364221E+18</v>
      </c>
    </row>
    <row r="101" spans="4:13" ht="15" customHeight="1">
      <c r="D101" s="158" t="b">
        <v>0</v>
      </c>
      <c r="E101" s="153">
        <v>21</v>
      </c>
      <c r="F101" s="151">
        <v>8</v>
      </c>
      <c r="G101" s="151" t="s">
        <v>95</v>
      </c>
      <c r="H101" s="152">
        <v>92</v>
      </c>
      <c r="I101" s="152" t="s">
        <v>96</v>
      </c>
      <c r="J101" s="152" t="s">
        <v>97</v>
      </c>
      <c r="K101" s="160">
        <v>21</v>
      </c>
      <c r="L101" s="160">
        <v>0</v>
      </c>
      <c r="M101" s="160">
        <v>1.6048309283192152E+19</v>
      </c>
    </row>
    <row r="102" spans="4:13" ht="15" customHeight="1">
      <c r="D102" s="158" t="b">
        <v>0</v>
      </c>
      <c r="E102" s="153">
        <v>22</v>
      </c>
      <c r="F102" s="151">
        <v>8</v>
      </c>
      <c r="G102" s="151" t="s">
        <v>95</v>
      </c>
      <c r="H102" s="152">
        <v>94</v>
      </c>
      <c r="I102" s="152" t="s">
        <v>99</v>
      </c>
      <c r="J102" s="152" t="s">
        <v>97</v>
      </c>
      <c r="K102" s="160">
        <v>22</v>
      </c>
      <c r="L102" s="160">
        <v>0</v>
      </c>
      <c r="M102" s="160">
        <v>9.9370197697109484E+18</v>
      </c>
    </row>
    <row r="103" spans="4:13" ht="15" customHeight="1">
      <c r="D103" s="158" t="b">
        <v>0</v>
      </c>
      <c r="E103" s="153">
        <v>23</v>
      </c>
      <c r="F103" s="151">
        <v>8</v>
      </c>
      <c r="G103" s="151" t="s">
        <v>95</v>
      </c>
      <c r="H103" s="152">
        <v>95</v>
      </c>
      <c r="I103" s="152" t="s">
        <v>100</v>
      </c>
      <c r="J103" s="152" t="s">
        <v>97</v>
      </c>
      <c r="K103" s="160">
        <v>23</v>
      </c>
      <c r="L103" s="160">
        <v>0</v>
      </c>
      <c r="M103" s="160">
        <v>1.6681602310739472E+19</v>
      </c>
    </row>
    <row r="104" spans="4:13" ht="15" customHeight="1">
      <c r="D104" s="158" t="b">
        <v>0</v>
      </c>
      <c r="E104" s="153">
        <v>24</v>
      </c>
      <c r="F104" s="151">
        <v>9</v>
      </c>
      <c r="G104" s="151" t="s">
        <v>95</v>
      </c>
      <c r="H104" s="152">
        <v>97</v>
      </c>
      <c r="I104" s="152" t="s">
        <v>96</v>
      </c>
      <c r="J104" s="152" t="s">
        <v>97</v>
      </c>
      <c r="K104" s="160">
        <v>24</v>
      </c>
      <c r="L104" s="160">
        <v>0</v>
      </c>
      <c r="M104" s="160">
        <v>1.7346277502830494E+19</v>
      </c>
    </row>
    <row r="105" spans="4:13" ht="15" customHeight="1">
      <c r="D105" s="158" t="b">
        <v>0</v>
      </c>
      <c r="E105" s="153">
        <v>25</v>
      </c>
      <c r="F105" s="151">
        <v>9</v>
      </c>
      <c r="G105" s="151" t="s">
        <v>95</v>
      </c>
      <c r="H105" s="152">
        <v>99</v>
      </c>
      <c r="I105" s="152" t="s">
        <v>99</v>
      </c>
      <c r="J105" s="152" t="s">
        <v>97</v>
      </c>
      <c r="K105" s="160">
        <v>25</v>
      </c>
      <c r="L105" s="160">
        <v>0</v>
      </c>
      <c r="M105" s="160">
        <v>1.4490811440914942E+19</v>
      </c>
    </row>
    <row r="106" spans="4:13" ht="15" customHeight="1">
      <c r="D106" s="158" t="b">
        <v>0</v>
      </c>
      <c r="E106" s="153">
        <v>26</v>
      </c>
      <c r="F106" s="151">
        <v>9</v>
      </c>
      <c r="G106" s="151" t="s">
        <v>95</v>
      </c>
      <c r="H106" s="152">
        <v>96</v>
      </c>
      <c r="I106" s="152" t="s">
        <v>100</v>
      </c>
      <c r="J106" s="152" t="s">
        <v>97</v>
      </c>
      <c r="K106" s="160">
        <v>26</v>
      </c>
      <c r="L106" s="160">
        <v>0</v>
      </c>
      <c r="M106" s="160">
        <v>3.2004923118715735E+18</v>
      </c>
    </row>
    <row r="107" spans="4:13" ht="15" customHeight="1">
      <c r="D107" s="158" t="b">
        <v>0</v>
      </c>
      <c r="E107" s="153">
        <v>27</v>
      </c>
      <c r="F107" s="151">
        <v>10</v>
      </c>
      <c r="G107" s="151" t="s">
        <v>95</v>
      </c>
      <c r="H107" s="152">
        <v>100</v>
      </c>
      <c r="I107" s="152" t="s">
        <v>96</v>
      </c>
      <c r="J107" s="152" t="s">
        <v>97</v>
      </c>
      <c r="K107" s="160">
        <v>27</v>
      </c>
      <c r="L107" s="160">
        <v>0</v>
      </c>
      <c r="M107" s="160">
        <v>3.2845850278376346E+18</v>
      </c>
    </row>
    <row r="108" spans="4:13" ht="15" customHeight="1">
      <c r="D108" s="158" t="b">
        <v>0</v>
      </c>
      <c r="E108" s="153">
        <v>28</v>
      </c>
      <c r="F108" s="151">
        <v>10</v>
      </c>
      <c r="G108" s="151" t="s">
        <v>95</v>
      </c>
      <c r="H108" s="152">
        <v>97</v>
      </c>
      <c r="I108" s="152" t="s">
        <v>99</v>
      </c>
      <c r="J108" s="152" t="s">
        <v>97</v>
      </c>
      <c r="K108" s="160">
        <v>28</v>
      </c>
      <c r="L108" s="160">
        <v>0</v>
      </c>
      <c r="M108" s="160">
        <v>1.0680025192064544E+18</v>
      </c>
    </row>
    <row r="109" spans="4:13" ht="15" customHeight="1">
      <c r="D109" s="158" t="b">
        <v>0</v>
      </c>
      <c r="E109" s="153">
        <v>29</v>
      </c>
      <c r="F109" s="151">
        <v>10</v>
      </c>
      <c r="G109" s="151" t="s">
        <v>95</v>
      </c>
      <c r="H109" s="152">
        <v>100</v>
      </c>
      <c r="I109" s="152" t="s">
        <v>100</v>
      </c>
      <c r="J109" s="152" t="s">
        <v>97</v>
      </c>
      <c r="K109" s="160">
        <v>29</v>
      </c>
      <c r="L109" s="160">
        <v>0</v>
      </c>
      <c r="M109" s="160">
        <v>5.1575305501652797E+18</v>
      </c>
    </row>
    <row r="110" spans="4:13" ht="15" customHeight="1">
      <c r="D110" s="158" t="b">
        <v>0</v>
      </c>
      <c r="E110" s="153">
        <v>30</v>
      </c>
      <c r="F110" s="151">
        <v>11</v>
      </c>
      <c r="G110" s="151" t="s">
        <v>98</v>
      </c>
      <c r="H110" s="152">
        <v>86</v>
      </c>
      <c r="I110" s="152" t="s">
        <v>96</v>
      </c>
      <c r="J110" s="152" t="s">
        <v>101</v>
      </c>
      <c r="K110" s="160">
        <v>30</v>
      </c>
      <c r="L110" s="160">
        <v>0</v>
      </c>
      <c r="M110" s="160">
        <v>1.7110892146046165E+19</v>
      </c>
    </row>
    <row r="111" spans="4:13" ht="15" customHeight="1">
      <c r="D111" s="158" t="b">
        <v>0</v>
      </c>
      <c r="E111" s="153">
        <v>31</v>
      </c>
      <c r="F111" s="151">
        <v>11</v>
      </c>
      <c r="G111" s="151" t="s">
        <v>98</v>
      </c>
      <c r="H111" s="152">
        <v>86</v>
      </c>
      <c r="I111" s="152" t="s">
        <v>99</v>
      </c>
      <c r="J111" s="152" t="s">
        <v>101</v>
      </c>
      <c r="K111" s="160">
        <v>31</v>
      </c>
      <c r="L111" s="160">
        <v>0</v>
      </c>
      <c r="M111" s="160">
        <v>1.3194499698288269E+19</v>
      </c>
    </row>
    <row r="112" spans="4:13" ht="15" customHeight="1">
      <c r="D112" s="158" t="b">
        <v>0</v>
      </c>
      <c r="E112" s="153">
        <v>32</v>
      </c>
      <c r="F112" s="151">
        <v>11</v>
      </c>
      <c r="G112" s="151" t="s">
        <v>98</v>
      </c>
      <c r="H112" s="152">
        <v>84</v>
      </c>
      <c r="I112" s="152" t="s">
        <v>100</v>
      </c>
      <c r="J112" s="152" t="s">
        <v>101</v>
      </c>
      <c r="K112" s="160">
        <v>32</v>
      </c>
      <c r="L112" s="160">
        <v>0</v>
      </c>
      <c r="M112" s="160">
        <v>1.2612365056307096E+19</v>
      </c>
    </row>
    <row r="113" spans="4:13" ht="15" customHeight="1">
      <c r="D113" s="158" t="b">
        <v>0</v>
      </c>
      <c r="E113" s="153">
        <v>33</v>
      </c>
      <c r="F113" s="151">
        <v>12</v>
      </c>
      <c r="G113" s="151" t="s">
        <v>98</v>
      </c>
      <c r="H113" s="152">
        <v>93</v>
      </c>
      <c r="I113" s="152" t="s">
        <v>96</v>
      </c>
      <c r="J113" s="152" t="s">
        <v>101</v>
      </c>
      <c r="K113" s="160">
        <v>33</v>
      </c>
      <c r="L113" s="160">
        <v>0</v>
      </c>
      <c r="M113" s="160">
        <v>1.8092958441975097E+19</v>
      </c>
    </row>
    <row r="114" spans="4:13" ht="15" customHeight="1">
      <c r="D114" s="158" t="b">
        <v>0</v>
      </c>
      <c r="E114" s="153">
        <v>34</v>
      </c>
      <c r="F114" s="151">
        <v>12</v>
      </c>
      <c r="G114" s="151" t="s">
        <v>98</v>
      </c>
      <c r="H114" s="152">
        <v>103</v>
      </c>
      <c r="I114" s="152" t="s">
        <v>99</v>
      </c>
      <c r="J114" s="152" t="s">
        <v>101</v>
      </c>
      <c r="K114" s="160">
        <v>34</v>
      </c>
      <c r="L114" s="160">
        <v>0</v>
      </c>
      <c r="M114" s="160">
        <v>8.8889711345913971E+17</v>
      </c>
    </row>
    <row r="115" spans="4:13" ht="15" customHeight="1">
      <c r="D115" s="158" t="b">
        <v>0</v>
      </c>
      <c r="E115" s="153">
        <v>35</v>
      </c>
      <c r="F115" s="151">
        <v>12</v>
      </c>
      <c r="G115" s="151" t="s">
        <v>98</v>
      </c>
      <c r="H115" s="152">
        <v>104</v>
      </c>
      <c r="I115" s="152" t="s">
        <v>100</v>
      </c>
      <c r="J115" s="152" t="s">
        <v>101</v>
      </c>
      <c r="K115" s="160">
        <v>35</v>
      </c>
      <c r="L115" s="160">
        <v>0</v>
      </c>
      <c r="M115" s="160">
        <v>9.9367825281592648E+18</v>
      </c>
    </row>
    <row r="116" spans="4:13" ht="15" customHeight="1">
      <c r="D116" s="158" t="b">
        <v>0</v>
      </c>
      <c r="E116" s="153">
        <v>36</v>
      </c>
      <c r="F116" s="151">
        <v>13</v>
      </c>
      <c r="G116" s="151" t="s">
        <v>98</v>
      </c>
      <c r="H116" s="152">
        <v>90</v>
      </c>
      <c r="I116" s="152" t="s">
        <v>96</v>
      </c>
      <c r="J116" s="152" t="s">
        <v>101</v>
      </c>
      <c r="K116" s="160">
        <v>36</v>
      </c>
      <c r="L116" s="160">
        <v>0</v>
      </c>
      <c r="M116" s="160">
        <v>9.5446937177261834E+18</v>
      </c>
    </row>
    <row r="117" spans="4:13" ht="15" customHeight="1">
      <c r="D117" s="158" t="b">
        <v>0</v>
      </c>
      <c r="E117" s="153">
        <v>37</v>
      </c>
      <c r="F117" s="151">
        <v>13</v>
      </c>
      <c r="G117" s="151" t="s">
        <v>98</v>
      </c>
      <c r="H117" s="152">
        <v>92</v>
      </c>
      <c r="I117" s="152" t="s">
        <v>99</v>
      </c>
      <c r="J117" s="152" t="s">
        <v>101</v>
      </c>
      <c r="K117" s="160">
        <v>37</v>
      </c>
      <c r="L117" s="160">
        <v>0</v>
      </c>
      <c r="M117" s="160">
        <v>7.3384085703336735E+18</v>
      </c>
    </row>
    <row r="118" spans="4:13" ht="15" customHeight="1">
      <c r="D118" s="158" t="b">
        <v>0</v>
      </c>
      <c r="E118" s="153">
        <v>38</v>
      </c>
      <c r="F118" s="151">
        <v>13</v>
      </c>
      <c r="G118" s="151" t="s">
        <v>98</v>
      </c>
      <c r="H118" s="152">
        <v>93</v>
      </c>
      <c r="I118" s="152" t="s">
        <v>100</v>
      </c>
      <c r="J118" s="152" t="s">
        <v>101</v>
      </c>
      <c r="K118" s="160">
        <v>38</v>
      </c>
      <c r="L118" s="160">
        <v>0</v>
      </c>
      <c r="M118" s="160">
        <v>6.1075058944650916E+18</v>
      </c>
    </row>
    <row r="119" spans="4:13" ht="15" customHeight="1">
      <c r="D119" s="158" t="b">
        <v>0</v>
      </c>
      <c r="E119" s="153">
        <v>39</v>
      </c>
      <c r="F119" s="151">
        <v>14</v>
      </c>
      <c r="G119" s="151" t="s">
        <v>98</v>
      </c>
      <c r="H119" s="152">
        <v>95</v>
      </c>
      <c r="I119" s="152" t="s">
        <v>96</v>
      </c>
      <c r="J119" s="152" t="s">
        <v>101</v>
      </c>
      <c r="K119" s="160">
        <v>39</v>
      </c>
      <c r="L119" s="160">
        <v>0</v>
      </c>
      <c r="M119" s="160">
        <v>8.8305336274355313E+18</v>
      </c>
    </row>
    <row r="120" spans="4:13" ht="15" customHeight="1">
      <c r="D120" s="158" t="b">
        <v>0</v>
      </c>
      <c r="E120" s="153">
        <v>40</v>
      </c>
      <c r="F120" s="151">
        <v>14</v>
      </c>
      <c r="G120" s="151" t="s">
        <v>98</v>
      </c>
      <c r="H120" s="152">
        <v>96</v>
      </c>
      <c r="I120" s="152" t="s">
        <v>99</v>
      </c>
      <c r="J120" s="152" t="s">
        <v>101</v>
      </c>
      <c r="K120" s="160">
        <v>40</v>
      </c>
      <c r="L120" s="160">
        <v>0</v>
      </c>
      <c r="M120" s="160">
        <v>1.3122734259068994E+19</v>
      </c>
    </row>
    <row r="121" spans="4:13" ht="15" customHeight="1">
      <c r="D121" s="158" t="b">
        <v>0</v>
      </c>
      <c r="E121" s="153">
        <v>41</v>
      </c>
      <c r="F121" s="151">
        <v>14</v>
      </c>
      <c r="G121" s="151" t="s">
        <v>98</v>
      </c>
      <c r="H121" s="152">
        <v>100</v>
      </c>
      <c r="I121" s="152" t="s">
        <v>100</v>
      </c>
      <c r="J121" s="152" t="s">
        <v>101</v>
      </c>
      <c r="K121" s="160">
        <v>41</v>
      </c>
      <c r="L121" s="160">
        <v>0</v>
      </c>
      <c r="M121" s="160">
        <v>1.5879818504190829E+19</v>
      </c>
    </row>
    <row r="122" spans="4:13" ht="15" customHeight="1">
      <c r="D122" s="158" t="b">
        <v>0</v>
      </c>
      <c r="E122" s="153">
        <v>42</v>
      </c>
      <c r="F122" s="151">
        <v>15</v>
      </c>
      <c r="G122" s="151" t="s">
        <v>98</v>
      </c>
      <c r="H122" s="152">
        <v>89</v>
      </c>
      <c r="I122" s="152" t="s">
        <v>96</v>
      </c>
      <c r="J122" s="152" t="s">
        <v>101</v>
      </c>
      <c r="K122" s="160">
        <v>42</v>
      </c>
      <c r="L122" s="160">
        <v>0</v>
      </c>
      <c r="M122" s="160">
        <v>5.9147715783780621E+17</v>
      </c>
    </row>
    <row r="123" spans="4:13" ht="15" customHeight="1">
      <c r="D123" s="158" t="b">
        <v>0</v>
      </c>
      <c r="E123" s="153">
        <v>43</v>
      </c>
      <c r="F123" s="151">
        <v>15</v>
      </c>
      <c r="G123" s="151" t="s">
        <v>98</v>
      </c>
      <c r="H123" s="152">
        <v>96</v>
      </c>
      <c r="I123" s="152" t="s">
        <v>99</v>
      </c>
      <c r="J123" s="152" t="s">
        <v>101</v>
      </c>
      <c r="K123" s="160">
        <v>43</v>
      </c>
      <c r="L123" s="160">
        <v>0</v>
      </c>
      <c r="M123" s="160">
        <v>1.4422964392691728E+19</v>
      </c>
    </row>
    <row r="124" spans="4:13" ht="15" customHeight="1">
      <c r="D124" s="158" t="b">
        <v>0</v>
      </c>
      <c r="E124" s="153">
        <v>44</v>
      </c>
      <c r="F124" s="151">
        <v>15</v>
      </c>
      <c r="G124" s="151" t="s">
        <v>98</v>
      </c>
      <c r="H124" s="152">
        <v>95</v>
      </c>
      <c r="I124" s="152" t="s">
        <v>100</v>
      </c>
      <c r="J124" s="152" t="s">
        <v>101</v>
      </c>
      <c r="K124" s="160">
        <v>44</v>
      </c>
      <c r="L124" s="160">
        <v>0</v>
      </c>
      <c r="M124" s="160">
        <v>1.5724286986961193E+19</v>
      </c>
    </row>
    <row r="125" spans="4:13" ht="15" customHeight="1">
      <c r="D125" s="158" t="b">
        <v>0</v>
      </c>
      <c r="E125" s="153">
        <v>45</v>
      </c>
      <c r="F125" s="151">
        <v>16</v>
      </c>
      <c r="G125" s="151" t="s">
        <v>95</v>
      </c>
      <c r="H125" s="152">
        <v>84</v>
      </c>
      <c r="I125" s="152" t="s">
        <v>96</v>
      </c>
      <c r="J125" s="152" t="s">
        <v>101</v>
      </c>
      <c r="K125" s="160">
        <v>45</v>
      </c>
      <c r="L125" s="160">
        <v>0</v>
      </c>
      <c r="M125" s="160">
        <v>5.0398590940474737E+18</v>
      </c>
    </row>
    <row r="126" spans="4:13" ht="15" customHeight="1">
      <c r="D126" s="158" t="b">
        <v>0</v>
      </c>
      <c r="E126" s="153">
        <v>46</v>
      </c>
      <c r="F126" s="151">
        <v>16</v>
      </c>
      <c r="G126" s="151" t="s">
        <v>95</v>
      </c>
      <c r="H126" s="152">
        <v>86</v>
      </c>
      <c r="I126" s="152" t="s">
        <v>99</v>
      </c>
      <c r="J126" s="152" t="s">
        <v>101</v>
      </c>
      <c r="K126" s="160">
        <v>46</v>
      </c>
      <c r="L126" s="160">
        <v>0</v>
      </c>
      <c r="M126" s="160">
        <v>4.1326544401408635E+18</v>
      </c>
    </row>
    <row r="127" spans="4:13" ht="15" customHeight="1">
      <c r="D127" s="158" t="b">
        <v>0</v>
      </c>
      <c r="E127" s="153">
        <v>47</v>
      </c>
      <c r="F127" s="151">
        <v>16</v>
      </c>
      <c r="G127" s="151" t="s">
        <v>95</v>
      </c>
      <c r="H127" s="152">
        <v>89</v>
      </c>
      <c r="I127" s="152" t="s">
        <v>100</v>
      </c>
      <c r="J127" s="152" t="s">
        <v>101</v>
      </c>
      <c r="K127" s="160">
        <v>47</v>
      </c>
      <c r="L127" s="160">
        <v>0</v>
      </c>
      <c r="M127" s="160">
        <v>2.6515422192969784E+18</v>
      </c>
    </row>
    <row r="128" spans="4:13" ht="15" customHeight="1">
      <c r="D128" s="158" t="b">
        <v>0</v>
      </c>
      <c r="E128" s="153">
        <v>48</v>
      </c>
      <c r="F128" s="151">
        <v>17</v>
      </c>
      <c r="G128" s="151" t="s">
        <v>95</v>
      </c>
      <c r="H128" s="152">
        <v>103</v>
      </c>
      <c r="I128" s="152" t="s">
        <v>96</v>
      </c>
      <c r="J128" s="152" t="s">
        <v>101</v>
      </c>
      <c r="K128" s="160">
        <v>48</v>
      </c>
      <c r="L128" s="160">
        <v>0</v>
      </c>
      <c r="M128" s="160">
        <v>1.3845861555834642E+18</v>
      </c>
    </row>
    <row r="129" spans="4:13" ht="15" customHeight="1">
      <c r="D129" s="158" t="b">
        <v>0</v>
      </c>
      <c r="E129" s="153">
        <v>49</v>
      </c>
      <c r="F129" s="151">
        <v>17</v>
      </c>
      <c r="G129" s="151" t="s">
        <v>95</v>
      </c>
      <c r="H129" s="152">
        <v>109</v>
      </c>
      <c r="I129" s="152" t="s">
        <v>99</v>
      </c>
      <c r="J129" s="152" t="s">
        <v>101</v>
      </c>
      <c r="K129" s="160">
        <v>49</v>
      </c>
      <c r="L129" s="160">
        <v>0</v>
      </c>
      <c r="M129" s="160">
        <v>4.3651770930980332E+18</v>
      </c>
    </row>
    <row r="130" spans="4:13" ht="15" customHeight="1">
      <c r="D130" s="158" t="b">
        <v>0</v>
      </c>
      <c r="E130" s="153">
        <v>50</v>
      </c>
      <c r="F130" s="151">
        <v>17</v>
      </c>
      <c r="G130" s="151" t="s">
        <v>95</v>
      </c>
      <c r="H130" s="152">
        <v>90</v>
      </c>
      <c r="I130" s="152" t="s">
        <v>100</v>
      </c>
      <c r="J130" s="152" t="s">
        <v>101</v>
      </c>
      <c r="K130" s="160">
        <v>50</v>
      </c>
      <c r="L130" s="160">
        <v>0</v>
      </c>
      <c r="M130" s="160">
        <v>1.0753283698636417E+19</v>
      </c>
    </row>
    <row r="131" spans="4:13" ht="15" customHeight="1">
      <c r="D131" s="158" t="b">
        <v>0</v>
      </c>
      <c r="E131" s="153">
        <v>51</v>
      </c>
      <c r="F131" s="151">
        <v>18</v>
      </c>
      <c r="G131" s="151" t="s">
        <v>95</v>
      </c>
      <c r="H131" s="152">
        <v>92</v>
      </c>
      <c r="I131" s="152" t="s">
        <v>96</v>
      </c>
      <c r="J131" s="152" t="s">
        <v>101</v>
      </c>
      <c r="K131" s="160">
        <v>51</v>
      </c>
      <c r="L131" s="160">
        <v>0</v>
      </c>
      <c r="M131" s="160">
        <v>2.9132873796456877E+17</v>
      </c>
    </row>
    <row r="132" spans="4:13" ht="15" customHeight="1">
      <c r="D132" s="158" t="b">
        <v>0</v>
      </c>
      <c r="E132" s="153">
        <v>52</v>
      </c>
      <c r="F132" s="151">
        <v>18</v>
      </c>
      <c r="G132" s="151" t="s">
        <v>95</v>
      </c>
      <c r="H132" s="152">
        <v>96</v>
      </c>
      <c r="I132" s="152" t="s">
        <v>99</v>
      </c>
      <c r="J132" s="152" t="s">
        <v>101</v>
      </c>
      <c r="K132" s="160">
        <v>52</v>
      </c>
      <c r="L132" s="160">
        <v>0</v>
      </c>
      <c r="M132" s="160">
        <v>6.3662982445745254E+18</v>
      </c>
    </row>
    <row r="133" spans="4:13" ht="15" customHeight="1">
      <c r="D133" s="158" t="b">
        <v>0</v>
      </c>
      <c r="E133" s="153">
        <v>53</v>
      </c>
      <c r="F133" s="151">
        <v>18</v>
      </c>
      <c r="G133" s="151" t="s">
        <v>95</v>
      </c>
      <c r="H133" s="152">
        <v>101</v>
      </c>
      <c r="I133" s="152" t="s">
        <v>100</v>
      </c>
      <c r="J133" s="152" t="s">
        <v>101</v>
      </c>
      <c r="K133" s="160">
        <v>53</v>
      </c>
      <c r="L133" s="160">
        <v>0</v>
      </c>
      <c r="M133" s="160">
        <v>4.4509797364161183E+18</v>
      </c>
    </row>
    <row r="134" spans="4:13" ht="15" customHeight="1">
      <c r="D134" s="158" t="b">
        <v>0</v>
      </c>
      <c r="E134" s="153">
        <v>54</v>
      </c>
      <c r="F134" s="151">
        <v>19</v>
      </c>
      <c r="G134" s="151" t="s">
        <v>95</v>
      </c>
      <c r="H134" s="152">
        <v>97</v>
      </c>
      <c r="I134" s="152" t="s">
        <v>96</v>
      </c>
      <c r="J134" s="152" t="s">
        <v>101</v>
      </c>
      <c r="K134" s="160">
        <v>54</v>
      </c>
      <c r="L134" s="160">
        <v>0</v>
      </c>
      <c r="M134" s="160">
        <v>1.04296671555374E+19</v>
      </c>
    </row>
    <row r="135" spans="4:13" ht="15" customHeight="1">
      <c r="D135" s="158" t="b">
        <v>0</v>
      </c>
      <c r="E135" s="153">
        <v>55</v>
      </c>
      <c r="F135" s="151">
        <v>19</v>
      </c>
      <c r="G135" s="151" t="s">
        <v>95</v>
      </c>
      <c r="H135" s="152">
        <v>98</v>
      </c>
      <c r="I135" s="152" t="s">
        <v>99</v>
      </c>
      <c r="J135" s="152" t="s">
        <v>101</v>
      </c>
      <c r="K135" s="160">
        <v>55</v>
      </c>
      <c r="L135" s="160">
        <v>0</v>
      </c>
      <c r="M135" s="160">
        <v>1.1453000037141369E+19</v>
      </c>
    </row>
    <row r="136" spans="4:13" ht="15" customHeight="1">
      <c r="D136" s="158" t="b">
        <v>0</v>
      </c>
      <c r="E136" s="153">
        <v>56</v>
      </c>
      <c r="F136" s="151">
        <v>19</v>
      </c>
      <c r="G136" s="151" t="s">
        <v>95</v>
      </c>
      <c r="H136" s="152">
        <v>100</v>
      </c>
      <c r="I136" s="152" t="s">
        <v>100</v>
      </c>
      <c r="J136" s="152" t="s">
        <v>101</v>
      </c>
      <c r="K136" s="160">
        <v>56</v>
      </c>
      <c r="L136" s="160">
        <v>0</v>
      </c>
      <c r="M136" s="160">
        <v>7.2481104108907264E+18</v>
      </c>
    </row>
    <row r="137" spans="4:13" ht="15" customHeight="1">
      <c r="D137" s="158" t="b">
        <v>0</v>
      </c>
      <c r="E137" s="153">
        <v>57</v>
      </c>
      <c r="F137" s="151">
        <v>20</v>
      </c>
      <c r="G137" s="151" t="s">
        <v>95</v>
      </c>
      <c r="H137" s="152">
        <v>102</v>
      </c>
      <c r="I137" s="152" t="s">
        <v>96</v>
      </c>
      <c r="J137" s="152" t="s">
        <v>101</v>
      </c>
      <c r="K137" s="160">
        <v>57</v>
      </c>
      <c r="L137" s="160">
        <v>0</v>
      </c>
      <c r="M137" s="160">
        <v>1.5767909443160758E+19</v>
      </c>
    </row>
    <row r="138" spans="4:13" ht="15" customHeight="1">
      <c r="D138" s="158" t="b">
        <v>0</v>
      </c>
      <c r="E138" s="153">
        <v>58</v>
      </c>
      <c r="F138" s="151">
        <v>20</v>
      </c>
      <c r="G138" s="151" t="s">
        <v>95</v>
      </c>
      <c r="H138" s="152">
        <v>104</v>
      </c>
      <c r="I138" s="152" t="s">
        <v>99</v>
      </c>
      <c r="J138" s="152" t="s">
        <v>101</v>
      </c>
      <c r="K138" s="160">
        <v>58</v>
      </c>
      <c r="L138" s="160">
        <v>0</v>
      </c>
      <c r="M138" s="160">
        <v>1.5781891486082619E+18</v>
      </c>
    </row>
    <row r="139" spans="4:13" ht="15" customHeight="1">
      <c r="D139" s="158" t="b">
        <v>0</v>
      </c>
      <c r="E139" s="153">
        <v>59</v>
      </c>
      <c r="F139" s="151">
        <v>20</v>
      </c>
      <c r="G139" s="151" t="s">
        <v>95</v>
      </c>
      <c r="H139" s="152">
        <v>103</v>
      </c>
      <c r="I139" s="152" t="s">
        <v>100</v>
      </c>
      <c r="J139" s="152" t="s">
        <v>101</v>
      </c>
      <c r="K139" s="160">
        <v>59</v>
      </c>
      <c r="L139" s="160">
        <v>0</v>
      </c>
      <c r="M139" s="160">
        <v>5.6081820809827871E+18</v>
      </c>
    </row>
    <row r="140" spans="4:13" ht="15" customHeight="1">
      <c r="D140" s="158" t="b">
        <v>0</v>
      </c>
      <c r="E140" s="153">
        <v>60</v>
      </c>
      <c r="F140" s="151">
        <v>21</v>
      </c>
      <c r="G140" s="151" t="s">
        <v>98</v>
      </c>
      <c r="H140" s="152">
        <v>93</v>
      </c>
      <c r="I140" s="152" t="s">
        <v>96</v>
      </c>
      <c r="J140" s="152" t="s">
        <v>102</v>
      </c>
      <c r="K140" s="160">
        <v>60</v>
      </c>
      <c r="L140" s="160">
        <v>0</v>
      </c>
      <c r="M140" s="160">
        <v>1.3617066076905263E+19</v>
      </c>
    </row>
    <row r="141" spans="4:13" ht="15" customHeight="1">
      <c r="D141" s="158" t="b">
        <v>0</v>
      </c>
      <c r="E141" s="153">
        <v>61</v>
      </c>
      <c r="F141" s="151">
        <v>21</v>
      </c>
      <c r="G141" s="151" t="s">
        <v>98</v>
      </c>
      <c r="H141" s="152">
        <v>98</v>
      </c>
      <c r="I141" s="152" t="s">
        <v>99</v>
      </c>
      <c r="J141" s="152" t="s">
        <v>102</v>
      </c>
      <c r="K141" s="160">
        <v>61</v>
      </c>
      <c r="L141" s="160">
        <v>0</v>
      </c>
      <c r="M141" s="160">
        <v>1.1095457064742095E+19</v>
      </c>
    </row>
    <row r="142" spans="4:13" ht="15" customHeight="1">
      <c r="D142" s="158" t="b">
        <v>0</v>
      </c>
      <c r="E142" s="153">
        <v>62</v>
      </c>
      <c r="F142" s="151">
        <v>21</v>
      </c>
      <c r="G142" s="151" t="s">
        <v>98</v>
      </c>
      <c r="H142" s="152">
        <v>110</v>
      </c>
      <c r="I142" s="152" t="s">
        <v>100</v>
      </c>
      <c r="J142" s="152" t="s">
        <v>102</v>
      </c>
      <c r="K142" s="160">
        <v>62</v>
      </c>
      <c r="L142" s="160">
        <v>0</v>
      </c>
      <c r="M142" s="160">
        <v>1.5999862175728495E+19</v>
      </c>
    </row>
    <row r="143" spans="4:13" ht="15" customHeight="1">
      <c r="D143" s="158" t="b">
        <v>0</v>
      </c>
      <c r="E143" s="153">
        <v>63</v>
      </c>
      <c r="F143" s="151">
        <v>22</v>
      </c>
      <c r="G143" s="151" t="s">
        <v>98</v>
      </c>
      <c r="H143" s="152">
        <v>98</v>
      </c>
      <c r="I143" s="152" t="s">
        <v>96</v>
      </c>
      <c r="J143" s="152" t="s">
        <v>102</v>
      </c>
      <c r="K143" s="160">
        <v>63</v>
      </c>
      <c r="L143" s="160">
        <v>0</v>
      </c>
      <c r="M143" s="160">
        <v>9.2732604350603981E+18</v>
      </c>
    </row>
    <row r="144" spans="4:13" ht="15" customHeight="1">
      <c r="D144" s="158" t="b">
        <v>0</v>
      </c>
      <c r="E144" s="153">
        <v>64</v>
      </c>
      <c r="F144" s="151">
        <v>22</v>
      </c>
      <c r="G144" s="151" t="s">
        <v>98</v>
      </c>
      <c r="H144" s="152">
        <v>104</v>
      </c>
      <c r="I144" s="152" t="s">
        <v>99</v>
      </c>
      <c r="J144" s="152" t="s">
        <v>102</v>
      </c>
      <c r="K144" s="160">
        <v>64</v>
      </c>
      <c r="L144" s="160">
        <v>0</v>
      </c>
      <c r="M144" s="160">
        <v>4.7462957976974674E+18</v>
      </c>
    </row>
    <row r="145" spans="4:13" ht="15" customHeight="1">
      <c r="D145" s="158" t="b">
        <v>0</v>
      </c>
      <c r="E145" s="153">
        <v>65</v>
      </c>
      <c r="F145" s="151">
        <v>22</v>
      </c>
      <c r="G145" s="151" t="s">
        <v>98</v>
      </c>
      <c r="H145" s="152">
        <v>112</v>
      </c>
      <c r="I145" s="152" t="s">
        <v>100</v>
      </c>
      <c r="J145" s="152" t="s">
        <v>102</v>
      </c>
      <c r="K145" s="160">
        <v>65</v>
      </c>
      <c r="L145" s="160">
        <v>0</v>
      </c>
      <c r="M145" s="160">
        <v>1.5625633978590418E+18</v>
      </c>
    </row>
    <row r="146" spans="4:13" ht="15" customHeight="1">
      <c r="D146" s="158" t="b">
        <v>0</v>
      </c>
      <c r="E146" s="153">
        <v>66</v>
      </c>
      <c r="F146" s="151">
        <v>23</v>
      </c>
      <c r="G146" s="151" t="s">
        <v>98</v>
      </c>
      <c r="H146" s="152">
        <v>98</v>
      </c>
      <c r="I146" s="152" t="s">
        <v>96</v>
      </c>
      <c r="J146" s="152" t="s">
        <v>102</v>
      </c>
      <c r="K146" s="160">
        <v>66</v>
      </c>
      <c r="L146" s="160">
        <v>0</v>
      </c>
      <c r="M146" s="160">
        <v>1.1654950556336894E+19</v>
      </c>
    </row>
    <row r="147" spans="4:13" ht="15" customHeight="1">
      <c r="D147" s="158" t="b">
        <v>0</v>
      </c>
      <c r="E147" s="153">
        <v>67</v>
      </c>
      <c r="F147" s="151">
        <v>23</v>
      </c>
      <c r="G147" s="151" t="s">
        <v>98</v>
      </c>
      <c r="H147" s="152">
        <v>105</v>
      </c>
      <c r="I147" s="152" t="s">
        <v>99</v>
      </c>
      <c r="J147" s="152" t="s">
        <v>102</v>
      </c>
      <c r="K147" s="160">
        <v>67</v>
      </c>
      <c r="L147" s="160">
        <v>0</v>
      </c>
      <c r="M147" s="160">
        <v>7.0779958148207073E+18</v>
      </c>
    </row>
    <row r="148" spans="4:13" ht="15" customHeight="1">
      <c r="D148" s="158" t="b">
        <v>0</v>
      </c>
      <c r="E148" s="153">
        <v>68</v>
      </c>
      <c r="F148" s="151">
        <v>23</v>
      </c>
      <c r="G148" s="151" t="s">
        <v>98</v>
      </c>
      <c r="H148" s="152">
        <v>99</v>
      </c>
      <c r="I148" s="152" t="s">
        <v>100</v>
      </c>
      <c r="J148" s="152" t="s">
        <v>102</v>
      </c>
      <c r="K148" s="160">
        <v>68</v>
      </c>
      <c r="L148" s="160">
        <v>0</v>
      </c>
      <c r="M148" s="160">
        <v>1.1991952171238539E+19</v>
      </c>
    </row>
    <row r="149" spans="4:13" ht="15" customHeight="1">
      <c r="D149" s="158" t="b">
        <v>0</v>
      </c>
      <c r="E149" s="153">
        <v>69</v>
      </c>
      <c r="F149" s="151">
        <v>24</v>
      </c>
      <c r="G149" s="151" t="s">
        <v>98</v>
      </c>
      <c r="H149" s="152">
        <v>87</v>
      </c>
      <c r="I149" s="152" t="s">
        <v>96</v>
      </c>
      <c r="J149" s="152" t="s">
        <v>102</v>
      </c>
      <c r="K149" s="160">
        <v>69</v>
      </c>
      <c r="L149" s="160">
        <v>0</v>
      </c>
      <c r="M149" s="160">
        <v>9.7840254258293617E+18</v>
      </c>
    </row>
    <row r="150" spans="4:13" ht="15" customHeight="1">
      <c r="D150" s="158" t="b">
        <v>0</v>
      </c>
      <c r="E150" s="153">
        <v>70</v>
      </c>
      <c r="F150" s="151">
        <v>24</v>
      </c>
      <c r="G150" s="151" t="s">
        <v>98</v>
      </c>
      <c r="H150" s="152">
        <v>132</v>
      </c>
      <c r="I150" s="152" t="s">
        <v>99</v>
      </c>
      <c r="J150" s="152" t="s">
        <v>102</v>
      </c>
      <c r="K150" s="160">
        <v>70</v>
      </c>
      <c r="L150" s="160">
        <v>0</v>
      </c>
      <c r="M150" s="160">
        <v>3.2667383690075561E+18</v>
      </c>
    </row>
    <row r="151" spans="4:13" ht="15" customHeight="1">
      <c r="D151" s="158" t="b">
        <v>0</v>
      </c>
      <c r="E151" s="153">
        <v>71</v>
      </c>
      <c r="F151" s="151">
        <v>24</v>
      </c>
      <c r="G151" s="151" t="s">
        <v>98</v>
      </c>
      <c r="H151" s="152">
        <v>120</v>
      </c>
      <c r="I151" s="152" t="s">
        <v>100</v>
      </c>
      <c r="J151" s="152" t="s">
        <v>102</v>
      </c>
      <c r="K151" s="160">
        <v>71</v>
      </c>
      <c r="L151" s="160">
        <v>0</v>
      </c>
      <c r="M151" s="160">
        <v>1.4033644825108316E+19</v>
      </c>
    </row>
    <row r="152" spans="4:13" ht="15" customHeight="1">
      <c r="D152" s="158" t="b">
        <v>0</v>
      </c>
      <c r="E152" s="153">
        <v>72</v>
      </c>
      <c r="F152" s="151">
        <v>25</v>
      </c>
      <c r="G152" s="151" t="s">
        <v>98</v>
      </c>
      <c r="H152" s="152">
        <v>94</v>
      </c>
      <c r="I152" s="152" t="s">
        <v>96</v>
      </c>
      <c r="J152" s="152" t="s">
        <v>102</v>
      </c>
      <c r="K152" s="160">
        <v>72</v>
      </c>
      <c r="L152" s="160">
        <v>0</v>
      </c>
      <c r="M152" s="160">
        <v>1.1444091370194135E+19</v>
      </c>
    </row>
    <row r="153" spans="4:13" ht="15" customHeight="1">
      <c r="D153" s="158" t="b">
        <v>0</v>
      </c>
      <c r="E153" s="153">
        <v>73</v>
      </c>
      <c r="F153" s="151">
        <v>25</v>
      </c>
      <c r="G153" s="151" t="s">
        <v>98</v>
      </c>
      <c r="H153" s="152">
        <v>110</v>
      </c>
      <c r="I153" s="152" t="s">
        <v>99</v>
      </c>
      <c r="J153" s="152" t="s">
        <v>102</v>
      </c>
      <c r="K153" s="160">
        <v>73</v>
      </c>
      <c r="L153" s="160">
        <v>0</v>
      </c>
      <c r="M153" s="160">
        <v>1.4860326411735681E+19</v>
      </c>
    </row>
    <row r="154" spans="4:13" ht="15" customHeight="1">
      <c r="D154" s="158" t="b">
        <v>0</v>
      </c>
      <c r="E154" s="153">
        <v>74</v>
      </c>
      <c r="F154" s="151">
        <v>25</v>
      </c>
      <c r="G154" s="151" t="s">
        <v>98</v>
      </c>
      <c r="H154" s="152">
        <v>116</v>
      </c>
      <c r="I154" s="152" t="s">
        <v>100</v>
      </c>
      <c r="J154" s="152" t="s">
        <v>102</v>
      </c>
      <c r="K154" s="160">
        <v>74</v>
      </c>
      <c r="L154" s="160">
        <v>0</v>
      </c>
      <c r="M154" s="160">
        <v>1.1064384500858909E+19</v>
      </c>
    </row>
    <row r="155" spans="4:13" ht="15" customHeight="1">
      <c r="D155" s="158" t="b">
        <v>0</v>
      </c>
      <c r="E155" s="153">
        <v>75</v>
      </c>
      <c r="F155" s="151">
        <v>26</v>
      </c>
      <c r="G155" s="151" t="s">
        <v>95</v>
      </c>
      <c r="H155" s="152">
        <v>95</v>
      </c>
      <c r="I155" s="152" t="s">
        <v>96</v>
      </c>
      <c r="J155" s="152" t="s">
        <v>102</v>
      </c>
      <c r="K155" s="160">
        <v>75</v>
      </c>
      <c r="L155" s="160">
        <v>0</v>
      </c>
      <c r="M155" s="160">
        <v>3.5584379590216591E+18</v>
      </c>
    </row>
    <row r="156" spans="4:13" ht="15" customHeight="1">
      <c r="D156" s="158" t="b">
        <v>0</v>
      </c>
      <c r="E156" s="153">
        <v>76</v>
      </c>
      <c r="F156" s="151">
        <v>26</v>
      </c>
      <c r="G156" s="151" t="s">
        <v>95</v>
      </c>
      <c r="H156" s="152">
        <v>126</v>
      </c>
      <c r="I156" s="152" t="s">
        <v>99</v>
      </c>
      <c r="J156" s="152" t="s">
        <v>102</v>
      </c>
      <c r="K156" s="160">
        <v>76</v>
      </c>
      <c r="L156" s="160">
        <v>0</v>
      </c>
      <c r="M156" s="160">
        <v>9.63300396475059E+18</v>
      </c>
    </row>
    <row r="157" spans="4:13" ht="15" customHeight="1">
      <c r="D157" s="158" t="b">
        <v>0</v>
      </c>
      <c r="E157" s="153">
        <v>77</v>
      </c>
      <c r="F157" s="151">
        <v>26</v>
      </c>
      <c r="G157" s="151" t="s">
        <v>95</v>
      </c>
      <c r="H157" s="152">
        <v>143</v>
      </c>
      <c r="I157" s="152" t="s">
        <v>100</v>
      </c>
      <c r="J157" s="152" t="s">
        <v>102</v>
      </c>
      <c r="K157" s="160">
        <v>77</v>
      </c>
      <c r="L157" s="160">
        <v>0</v>
      </c>
      <c r="M157" s="160">
        <v>9.3503773824901714E+18</v>
      </c>
    </row>
    <row r="158" spans="4:13" ht="15" customHeight="1">
      <c r="D158" s="158" t="b">
        <v>0</v>
      </c>
      <c r="E158" s="153">
        <v>78</v>
      </c>
      <c r="F158" s="151">
        <v>27</v>
      </c>
      <c r="G158" s="151" t="s">
        <v>95</v>
      </c>
      <c r="H158" s="152">
        <v>100</v>
      </c>
      <c r="I158" s="152" t="s">
        <v>96</v>
      </c>
      <c r="J158" s="152" t="s">
        <v>102</v>
      </c>
      <c r="K158" s="160">
        <v>78</v>
      </c>
      <c r="L158" s="160">
        <v>0</v>
      </c>
      <c r="M158" s="160">
        <v>1.5841540212213414E+19</v>
      </c>
    </row>
    <row r="159" spans="4:13" ht="15" customHeight="1">
      <c r="D159" s="158" t="b">
        <v>0</v>
      </c>
      <c r="E159" s="153">
        <v>79</v>
      </c>
      <c r="F159" s="151">
        <v>27</v>
      </c>
      <c r="G159" s="151" t="s">
        <v>95</v>
      </c>
      <c r="H159" s="152">
        <v>126</v>
      </c>
      <c r="I159" s="152" t="s">
        <v>99</v>
      </c>
      <c r="J159" s="152" t="s">
        <v>102</v>
      </c>
      <c r="K159" s="160">
        <v>79</v>
      </c>
      <c r="L159" s="160">
        <v>0</v>
      </c>
      <c r="M159" s="160">
        <v>1.2845335603798784E+19</v>
      </c>
    </row>
    <row r="160" spans="4:13" ht="15" customHeight="1">
      <c r="D160" s="158" t="b">
        <v>0</v>
      </c>
      <c r="E160" s="153">
        <v>80</v>
      </c>
      <c r="F160" s="151">
        <v>27</v>
      </c>
      <c r="G160" s="151" t="s">
        <v>95</v>
      </c>
      <c r="H160" s="152">
        <v>140</v>
      </c>
      <c r="I160" s="152" t="s">
        <v>100</v>
      </c>
      <c r="J160" s="152" t="s">
        <v>102</v>
      </c>
      <c r="K160" s="160">
        <v>80</v>
      </c>
      <c r="L160" s="160">
        <v>0</v>
      </c>
      <c r="M160" s="160">
        <v>1.6141674868109662E+19</v>
      </c>
    </row>
    <row r="161" spans="4:13" ht="15" customHeight="1">
      <c r="D161" s="158" t="b">
        <v>0</v>
      </c>
      <c r="E161" s="153">
        <v>81</v>
      </c>
      <c r="F161" s="151">
        <v>28</v>
      </c>
      <c r="G161" s="151" t="s">
        <v>95</v>
      </c>
      <c r="H161" s="152">
        <v>103</v>
      </c>
      <c r="I161" s="152" t="s">
        <v>96</v>
      </c>
      <c r="J161" s="152" t="s">
        <v>102</v>
      </c>
      <c r="K161" s="160">
        <v>81</v>
      </c>
      <c r="L161" s="160">
        <v>0</v>
      </c>
      <c r="M161" s="160">
        <v>1.1761526592046092E+19</v>
      </c>
    </row>
    <row r="162" spans="4:13" ht="15" customHeight="1">
      <c r="D162" s="158" t="b">
        <v>0</v>
      </c>
      <c r="E162" s="153">
        <v>82</v>
      </c>
      <c r="F162" s="151">
        <v>28</v>
      </c>
      <c r="G162" s="151" t="s">
        <v>95</v>
      </c>
      <c r="H162" s="152">
        <v>124</v>
      </c>
      <c r="I162" s="152" t="s">
        <v>99</v>
      </c>
      <c r="J162" s="152" t="s">
        <v>102</v>
      </c>
      <c r="K162" s="160">
        <v>82</v>
      </c>
      <c r="L162" s="160">
        <v>0</v>
      </c>
      <c r="M162" s="160">
        <v>1.1782619805145774E+18</v>
      </c>
    </row>
    <row r="163" spans="4:13" ht="15" customHeight="1">
      <c r="D163" s="158" t="b">
        <v>0</v>
      </c>
      <c r="E163" s="153">
        <v>83</v>
      </c>
      <c r="F163" s="151">
        <v>28</v>
      </c>
      <c r="G163" s="151" t="s">
        <v>95</v>
      </c>
      <c r="H163" s="152">
        <v>140</v>
      </c>
      <c r="I163" s="152" t="s">
        <v>100</v>
      </c>
      <c r="J163" s="152" t="s">
        <v>102</v>
      </c>
      <c r="K163" s="160">
        <v>83</v>
      </c>
      <c r="L163" s="160">
        <v>0</v>
      </c>
      <c r="M163" s="160">
        <v>1.3886525174110712E+19</v>
      </c>
    </row>
    <row r="164" spans="4:13" ht="15" customHeight="1">
      <c r="D164" s="158" t="b">
        <v>0</v>
      </c>
      <c r="E164" s="153">
        <v>84</v>
      </c>
      <c r="F164" s="151">
        <v>29</v>
      </c>
      <c r="G164" s="151" t="s">
        <v>95</v>
      </c>
      <c r="H164" s="152">
        <v>94</v>
      </c>
      <c r="I164" s="152" t="s">
        <v>96</v>
      </c>
      <c r="J164" s="152" t="s">
        <v>102</v>
      </c>
      <c r="K164" s="160">
        <v>84</v>
      </c>
      <c r="L164" s="160">
        <v>0</v>
      </c>
      <c r="M164" s="160">
        <v>5.0434273646526013E+18</v>
      </c>
    </row>
    <row r="165" spans="4:13" ht="15" customHeight="1">
      <c r="D165" s="158" t="b">
        <v>0</v>
      </c>
      <c r="E165" s="153">
        <v>85</v>
      </c>
      <c r="F165" s="151">
        <v>29</v>
      </c>
      <c r="G165" s="151" t="s">
        <v>95</v>
      </c>
      <c r="H165" s="152">
        <v>135</v>
      </c>
      <c r="I165" s="152" t="s">
        <v>99</v>
      </c>
      <c r="J165" s="152" t="s">
        <v>102</v>
      </c>
      <c r="K165" s="160">
        <v>85</v>
      </c>
      <c r="L165" s="160">
        <v>0</v>
      </c>
      <c r="M165" s="160">
        <v>1.6527604339102468E+19</v>
      </c>
    </row>
    <row r="166" spans="4:13" ht="15" customHeight="1">
      <c r="D166" s="158" t="b">
        <v>0</v>
      </c>
      <c r="E166" s="153">
        <v>86</v>
      </c>
      <c r="F166" s="151">
        <v>29</v>
      </c>
      <c r="G166" s="151" t="s">
        <v>95</v>
      </c>
      <c r="H166" s="152">
        <v>130</v>
      </c>
      <c r="I166" s="152" t="s">
        <v>100</v>
      </c>
      <c r="J166" s="152" t="s">
        <v>102</v>
      </c>
      <c r="K166" s="160">
        <v>86</v>
      </c>
      <c r="L166" s="160">
        <v>0</v>
      </c>
      <c r="M166" s="160">
        <v>3.1509051960329779E+18</v>
      </c>
    </row>
    <row r="167" spans="4:13" ht="15" customHeight="1">
      <c r="D167" s="158" t="b">
        <v>0</v>
      </c>
      <c r="E167" s="153">
        <v>87</v>
      </c>
      <c r="F167" s="151">
        <v>30</v>
      </c>
      <c r="G167" s="151" t="s">
        <v>95</v>
      </c>
      <c r="H167" s="152">
        <v>99</v>
      </c>
      <c r="I167" s="152" t="s">
        <v>96</v>
      </c>
      <c r="J167" s="152" t="s">
        <v>102</v>
      </c>
      <c r="K167" s="160">
        <v>87</v>
      </c>
      <c r="L167" s="160">
        <v>0</v>
      </c>
      <c r="M167" s="160">
        <v>2.0208582277021798E+18</v>
      </c>
    </row>
    <row r="168" spans="4:13" ht="15" customHeight="1">
      <c r="D168" s="158" t="b">
        <v>0</v>
      </c>
      <c r="E168" s="153">
        <v>88</v>
      </c>
      <c r="F168" s="151">
        <v>30</v>
      </c>
      <c r="G168" s="151" t="s">
        <v>95</v>
      </c>
      <c r="H168" s="152">
        <v>111</v>
      </c>
      <c r="I168" s="152" t="s">
        <v>99</v>
      </c>
      <c r="J168" s="152" t="s">
        <v>102</v>
      </c>
      <c r="K168" s="160">
        <v>88</v>
      </c>
      <c r="L168" s="160">
        <v>0</v>
      </c>
      <c r="M168" s="160">
        <v>4.684463956280151E+18</v>
      </c>
    </row>
    <row r="169" spans="4:13" ht="15" customHeight="1">
      <c r="D169" s="159" t="b">
        <v>0</v>
      </c>
      <c r="E169" s="154">
        <v>89</v>
      </c>
      <c r="F169" s="155">
        <v>30</v>
      </c>
      <c r="G169" s="155" t="s">
        <v>95</v>
      </c>
      <c r="H169" s="152">
        <v>150</v>
      </c>
      <c r="I169" s="152" t="s">
        <v>100</v>
      </c>
      <c r="J169" s="152" t="s">
        <v>102</v>
      </c>
      <c r="K169" s="160">
        <v>89</v>
      </c>
      <c r="L169" s="160">
        <v>0</v>
      </c>
      <c r="M169" s="160">
        <v>1.0746070505663623E+19</v>
      </c>
    </row>
  </sheetData>
  <mergeCells count="1">
    <mergeCell ref="E7:F7"/>
  </mergeCells>
  <phoneticPr fontId="34" type="noConversion"/>
  <conditionalFormatting sqref="E23:G30 E36:G40 E46:G54">
    <cfRule type="cellIs" dxfId="191" priority="22" operator="equal">
      <formula>0</formula>
    </cfRule>
  </conditionalFormatting>
  <conditionalFormatting sqref="D80:D169">
    <cfRule type="cellIs" dxfId="190" priority="21" operator="notEqual">
      <formula>FALSE</formula>
    </cfRule>
  </conditionalFormatting>
  <conditionalFormatting sqref="E17:J17">
    <cfRule type="cellIs" dxfId="189" priority="15" operator="notEqual">
      <formula>"Note"</formula>
    </cfRule>
  </conditionalFormatting>
  <conditionalFormatting sqref="E24:G26">
    <cfRule type="colorScale" priority="17">
      <colorScale>
        <cfvo type="num" val="0"/>
        <cfvo type="num" val="0.2"/>
        <color rgb="FF000000"/>
        <color rgb="FF7A0000"/>
      </colorScale>
    </cfRule>
  </conditionalFormatting>
  <conditionalFormatting sqref="D79 D58:D65">
    <cfRule type="duplicateValues" dxfId="188" priority="16"/>
  </conditionalFormatting>
  <conditionalFormatting sqref="E15:J15">
    <cfRule type="cellIs" dxfId="187" priority="14" operator="notEqual">
      <formula>"Definition"</formula>
    </cfRule>
  </conditionalFormatting>
  <conditionalFormatting sqref="E7">
    <cfRule type="cellIs" dxfId="186" priority="13" operator="notEqual">
      <formula>"Dataset Description"</formula>
    </cfRule>
  </conditionalFormatting>
  <conditionalFormatting sqref="E58:G65">
    <cfRule type="cellIs" dxfId="185" priority="19" operator="notEqual">
      <formula>FALSE</formula>
    </cfRule>
  </conditionalFormatting>
  <conditionalFormatting sqref="E12:E13">
    <cfRule type="colorScale" priority="4">
      <colorScale>
        <cfvo type="num" val="0"/>
        <cfvo type="num" val="0.2"/>
        <color theme="1" tint="-0.499984740745262"/>
        <color rgb="FF7A0000"/>
      </colorScale>
    </cfRule>
  </conditionalFormatting>
  <conditionalFormatting sqref="H23:J30 H36:J40 H46:J54">
    <cfRule type="cellIs" dxfId="141" priority="3" operator="equal">
      <formula>0</formula>
    </cfRule>
  </conditionalFormatting>
  <conditionalFormatting sqref="H24:J26">
    <cfRule type="colorScale" priority="1">
      <colorScale>
        <cfvo type="num" val="0"/>
        <cfvo type="num" val="0.2"/>
        <color rgb="FF000000"/>
        <color rgb="FF7A0000"/>
      </colorScale>
    </cfRule>
  </conditionalFormatting>
  <conditionalFormatting sqref="H58:J65">
    <cfRule type="cellIs" dxfId="140" priority="2" operator="notEqual">
      <formula>FALSE</formula>
    </cfRule>
  </conditionalFormatting>
  <pageMargins left="0.7" right="0.7" top="0.75" bottom="0.75" header="0.3" footer="0.3"/>
  <pageSetup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11A04D-ED8D-4020-BF94-4BC59283B45E}">
  <sheetPr codeName="Sheet1">
    <tabColor rgb="FF000000"/>
  </sheetPr>
  <dimension ref="A1:AA17"/>
  <sheetViews>
    <sheetView topLeftCell="A2" zoomScale="85" zoomScaleNormal="85" workbookViewId="0">
      <selection activeCell="B11" sqref="B11"/>
    </sheetView>
  </sheetViews>
  <sheetFormatPr defaultColWidth="8.88671875" defaultRowHeight="15" customHeight="1"/>
  <cols>
    <col min="1" max="1" width="2.6640625" style="5" customWidth="1"/>
    <col min="2" max="2" width="32" style="5" customWidth="1"/>
    <col min="3" max="3" width="42.33203125" style="5" customWidth="1"/>
    <col min="4" max="4" width="45.5546875" style="5" customWidth="1"/>
    <col min="5" max="5" width="17.6640625" style="5" customWidth="1"/>
    <col min="6" max="7" width="15.88671875" style="5" customWidth="1"/>
    <col min="8" max="8" width="17.6640625" style="5" customWidth="1"/>
    <col min="9" max="9" width="15.6640625" style="5" customWidth="1"/>
    <col min="10" max="16" width="13.5546875" style="5" customWidth="1"/>
    <col min="17" max="17" width="19" style="5" customWidth="1"/>
    <col min="18" max="27" width="13.5546875" style="5" customWidth="1"/>
    <col min="28" max="16384" width="8.88671875" style="5"/>
  </cols>
  <sheetData>
    <row r="1" spans="1:2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  <c r="R1" s="23"/>
      <c r="S1" s="23"/>
      <c r="T1" s="23"/>
      <c r="U1" s="23"/>
      <c r="V1" s="23"/>
      <c r="W1" s="23"/>
      <c r="X1" s="23"/>
      <c r="Y1" s="23"/>
      <c r="Z1" s="23"/>
      <c r="AA1" s="23"/>
    </row>
    <row r="2" spans="1:27" ht="14.4">
      <c r="AA2" s="4"/>
    </row>
    <row r="3" spans="1:27" ht="36.6" customHeight="1">
      <c r="B3" s="10" t="s">
        <v>83</v>
      </c>
      <c r="AA3" s="7"/>
    </row>
    <row r="4" spans="1:27" ht="10.199999999999999" customHeight="1">
      <c r="B4" s="40"/>
      <c r="AA4" s="8"/>
    </row>
    <row r="5" spans="1:27" ht="15" customHeight="1">
      <c r="B5" s="39" t="s">
        <v>7</v>
      </c>
      <c r="C5" s="36">
        <v>90</v>
      </c>
      <c r="AA5" s="9"/>
    </row>
    <row r="6" spans="1:27" ht="15" customHeight="1">
      <c r="B6" s="38" t="s">
        <v>54</v>
      </c>
      <c r="C6" s="37">
        <v>6</v>
      </c>
      <c r="AA6" s="4"/>
    </row>
    <row r="7" spans="1:27" ht="15" customHeight="1">
      <c r="B7" s="38" t="s">
        <v>13</v>
      </c>
      <c r="C7" s="37" t="s">
        <v>92</v>
      </c>
      <c r="AA7" s="4"/>
    </row>
    <row r="8" spans="1:27" ht="15" customHeight="1">
      <c r="B8" s="38" t="s">
        <v>55</v>
      </c>
      <c r="C8" s="65">
        <v>1</v>
      </c>
      <c r="D8" s="4"/>
    </row>
    <row r="9" spans="1:27" ht="15" customHeight="1">
      <c r="B9" s="41" t="s">
        <v>56</v>
      </c>
      <c r="C9" s="66">
        <v>0</v>
      </c>
      <c r="D9" s="6"/>
    </row>
    <row r="10" spans="1:27" ht="24" customHeight="1"/>
    <row r="11" spans="1:27" ht="40.200000000000003" customHeight="1">
      <c r="B11" s="138" t="s">
        <v>40</v>
      </c>
      <c r="C11" s="138" t="s">
        <v>41</v>
      </c>
      <c r="D11" s="138" t="s">
        <v>2</v>
      </c>
      <c r="E11" s="139" t="s">
        <v>9</v>
      </c>
      <c r="F11" s="139" t="s">
        <v>10</v>
      </c>
      <c r="G11" s="139" t="s">
        <v>11</v>
      </c>
      <c r="H11" s="139" t="s">
        <v>12</v>
      </c>
      <c r="I11" s="139" t="s">
        <v>13</v>
      </c>
      <c r="J11" s="139" t="s">
        <v>14</v>
      </c>
      <c r="K11" s="139" t="s">
        <v>15</v>
      </c>
      <c r="L11" s="139" t="s">
        <v>42</v>
      </c>
      <c r="M11" s="139" t="s">
        <v>16</v>
      </c>
      <c r="N11" s="139" t="s">
        <v>18</v>
      </c>
      <c r="O11" s="139" t="s">
        <v>19</v>
      </c>
      <c r="P11" s="139" t="s">
        <v>20</v>
      </c>
      <c r="Q11" s="139" t="s">
        <v>21</v>
      </c>
      <c r="R11" s="139" t="s">
        <v>22</v>
      </c>
      <c r="S11" s="139" t="s">
        <v>24</v>
      </c>
      <c r="T11" s="148" t="s">
        <v>43</v>
      </c>
      <c r="U11" s="148" t="s">
        <v>44</v>
      </c>
      <c r="V11" s="148" t="s">
        <v>45</v>
      </c>
      <c r="W11" s="148" t="s">
        <v>46</v>
      </c>
      <c r="X11" s="148" t="s">
        <v>47</v>
      </c>
      <c r="Y11" s="139" t="s">
        <v>25</v>
      </c>
      <c r="Z11" s="139" t="s">
        <v>26</v>
      </c>
      <c r="AA11" s="139" t="s">
        <v>27</v>
      </c>
    </row>
    <row r="12" spans="1:27" ht="15" customHeight="1">
      <c r="B12" s="59" t="s">
        <v>84</v>
      </c>
      <c r="C12" s="68" t="str">
        <f>IF(INDEX('Exercise | Field Analysis'!Definitions,1,MATCH(tbl_Overview[[#This Row],[Field]],'Exercise | Field Analysis'!Headers,0))="Definition","",INDEX('Exercise | Field Analysis'!Definitions,1,MATCH(tbl_Overview[[#This Row],[Field]],'Exercise | Field Analysis'!Headers,0)))</f>
        <v/>
      </c>
      <c r="D12" s="68" t="str">
        <f>IF(INDEX('Exercise | Field Analysis'!Notes,1,MATCH(tbl_Overview[[#This Row],[Field]],'Exercise | Field Analysis'!Headers,0))="Note","",INDEX('Exercise | Field Analysis'!Notes,1,MATCH(tbl_Overview[[#This Row],[Field]],'Exercise | Field Analysis'!Headers,0)))</f>
        <v/>
      </c>
      <c r="E12" s="60" t="s">
        <v>93</v>
      </c>
      <c r="F12" s="64">
        <v>1</v>
      </c>
      <c r="G12" s="64">
        <v>0</v>
      </c>
      <c r="H12" s="64">
        <v>0.20078081427774599</v>
      </c>
      <c r="I12" s="61">
        <v>720</v>
      </c>
      <c r="J12" s="61">
        <v>90</v>
      </c>
      <c r="K12" s="61">
        <v>90</v>
      </c>
      <c r="L12" s="62">
        <v>1</v>
      </c>
      <c r="M12" s="61">
        <v>0</v>
      </c>
      <c r="N12" s="63">
        <v>44.5</v>
      </c>
      <c r="O12" s="63">
        <v>44.5</v>
      </c>
      <c r="P12" s="63">
        <v>0</v>
      </c>
      <c r="Q12" s="63">
        <v>26.124700955226199</v>
      </c>
      <c r="R12" s="63">
        <v>682.5</v>
      </c>
      <c r="S12" s="63">
        <v>0</v>
      </c>
      <c r="T12" s="63">
        <v>4.45</v>
      </c>
      <c r="U12" s="63">
        <v>22.25</v>
      </c>
      <c r="V12" s="63">
        <v>44.5</v>
      </c>
      <c r="W12" s="63">
        <v>66.75</v>
      </c>
      <c r="X12" s="63">
        <v>84.55</v>
      </c>
      <c r="Y12" s="63">
        <v>89</v>
      </c>
      <c r="Z12" s="63">
        <v>89</v>
      </c>
      <c r="AA12" s="63">
        <v>44.5</v>
      </c>
    </row>
    <row r="13" spans="1:27" ht="15" customHeight="1">
      <c r="B13" s="59" t="s">
        <v>85</v>
      </c>
      <c r="C13" s="68" t="str">
        <f>IF(INDEX('Exercise | Field Analysis'!Definitions,1,MATCH(tbl_Overview[[#This Row],[Field]],'Exercise | Field Analysis'!Headers,0))="Definition","",INDEX('Exercise | Field Analysis'!Definitions,1,MATCH(tbl_Overview[[#This Row],[Field]],'Exercise | Field Analysis'!Headers,0)))</f>
        <v/>
      </c>
      <c r="D13" s="68" t="str">
        <f>IF(INDEX('Exercise | Field Analysis'!Notes,1,MATCH(tbl_Overview[[#This Row],[Field]],'Exercise | Field Analysis'!Headers,0))="Note","",INDEX('Exercise | Field Analysis'!Notes,1,MATCH(tbl_Overview[[#This Row],[Field]],'Exercise | Field Analysis'!Headers,0)))</f>
        <v/>
      </c>
      <c r="E13" s="60" t="s">
        <v>93</v>
      </c>
      <c r="F13" s="140">
        <v>0.33333333333333298</v>
      </c>
      <c r="G13" s="140">
        <v>0</v>
      </c>
      <c r="H13" s="140">
        <v>0.20078081427774599</v>
      </c>
      <c r="I13" s="61">
        <v>720</v>
      </c>
      <c r="J13" s="61">
        <v>30</v>
      </c>
      <c r="K13" s="61">
        <v>90</v>
      </c>
      <c r="L13" s="62">
        <v>1</v>
      </c>
      <c r="M13" s="61">
        <v>0</v>
      </c>
      <c r="N13" s="63">
        <v>15.5</v>
      </c>
      <c r="O13" s="63">
        <v>15.5</v>
      </c>
      <c r="P13" s="63">
        <v>1</v>
      </c>
      <c r="Q13" s="63">
        <v>8.7039316958654993</v>
      </c>
      <c r="R13" s="63">
        <v>75.758426966292106</v>
      </c>
      <c r="S13" s="63">
        <v>1</v>
      </c>
      <c r="T13" s="63">
        <v>2</v>
      </c>
      <c r="U13" s="63">
        <v>8</v>
      </c>
      <c r="V13" s="63">
        <v>15.5</v>
      </c>
      <c r="W13" s="63">
        <v>23</v>
      </c>
      <c r="X13" s="63">
        <v>29</v>
      </c>
      <c r="Y13" s="63">
        <v>30</v>
      </c>
      <c r="Z13" s="63">
        <v>29</v>
      </c>
      <c r="AA13" s="63">
        <v>15</v>
      </c>
    </row>
    <row r="14" spans="1:27" ht="15" customHeight="1">
      <c r="B14" s="59" t="s">
        <v>86</v>
      </c>
      <c r="C14" s="68" t="str">
        <f>IF(INDEX('Exercise | Field Analysis'!Definitions,1,MATCH(tbl_Overview[[#This Row],[Field]],'Exercise | Field Analysis'!Headers,0))="Definition","",INDEX('Exercise | Field Analysis'!Definitions,1,MATCH(tbl_Overview[[#This Row],[Field]],'Exercise | Field Analysis'!Headers,0)))</f>
        <v/>
      </c>
      <c r="D14" s="68" t="str">
        <f>IF(INDEX('Exercise | Field Analysis'!Notes,1,MATCH(tbl_Overview[[#This Row],[Field]],'Exercise | Field Analysis'!Headers,0))="Note","",INDEX('Exercise | Field Analysis'!Notes,1,MATCH(tbl_Overview[[#This Row],[Field]],'Exercise | Field Analysis'!Headers,0)))</f>
        <v/>
      </c>
      <c r="E14" s="60" t="s">
        <v>94</v>
      </c>
      <c r="F14" s="140">
        <v>2.2222222222222199E-2</v>
      </c>
      <c r="G14" s="140">
        <v>0</v>
      </c>
      <c r="H14" s="140">
        <v>6.3301728945900707E-2</v>
      </c>
      <c r="I14" s="61">
        <v>227</v>
      </c>
      <c r="J14" s="61">
        <v>2</v>
      </c>
      <c r="K14" s="61">
        <v>90</v>
      </c>
      <c r="L14" s="62">
        <v>1</v>
      </c>
      <c r="M14" s="61">
        <v>0</v>
      </c>
      <c r="N14" s="63"/>
      <c r="O14" s="63"/>
      <c r="P14" s="63" t="s">
        <v>95</v>
      </c>
      <c r="Q14" s="63"/>
      <c r="R14" s="63"/>
      <c r="S14" s="63"/>
      <c r="T14" s="63"/>
      <c r="U14" s="63"/>
      <c r="V14" s="63"/>
      <c r="W14" s="63"/>
      <c r="X14" s="63"/>
      <c r="Y14" s="63"/>
      <c r="Z14" s="63"/>
      <c r="AA14" s="63"/>
    </row>
    <row r="15" spans="1:27" ht="15" customHeight="1">
      <c r="B15" s="59" t="s">
        <v>87</v>
      </c>
      <c r="C15" s="68" t="str">
        <f>IF(INDEX('Exercise | Field Analysis'!Definitions,1,MATCH(tbl_Overview[[#This Row],[Field]],'Exercise | Field Analysis'!Headers,0))="Definition","",INDEX('Exercise | Field Analysis'!Definitions,1,MATCH(tbl_Overview[[#This Row],[Field]],'Exercise | Field Analysis'!Headers,0)))</f>
        <v/>
      </c>
      <c r="D15" s="68" t="str">
        <f>IF(INDEX('Exercise | Field Analysis'!Notes,1,MATCH(tbl_Overview[[#This Row],[Field]],'Exercise | Field Analysis'!Headers,0))="Note","",INDEX('Exercise | Field Analysis'!Notes,1,MATCH(tbl_Overview[[#This Row],[Field]],'Exercise | Field Analysis'!Headers,0)))</f>
        <v/>
      </c>
      <c r="E15" s="60" t="s">
        <v>93</v>
      </c>
      <c r="F15" s="140">
        <v>0.43333333333333302</v>
      </c>
      <c r="G15" s="140">
        <v>0</v>
      </c>
      <c r="H15" s="140">
        <v>0.20078081427774599</v>
      </c>
      <c r="I15" s="61">
        <v>720</v>
      </c>
      <c r="J15" s="61">
        <v>39</v>
      </c>
      <c r="K15" s="61">
        <v>90</v>
      </c>
      <c r="L15" s="62">
        <v>1</v>
      </c>
      <c r="M15" s="61">
        <v>0</v>
      </c>
      <c r="N15" s="63">
        <v>99.7</v>
      </c>
      <c r="O15" s="63">
        <v>96</v>
      </c>
      <c r="P15" s="63">
        <v>92</v>
      </c>
      <c r="Q15" s="63">
        <v>14.8584708938494</v>
      </c>
      <c r="R15" s="63">
        <v>220.77415730337</v>
      </c>
      <c r="S15" s="63">
        <v>80</v>
      </c>
      <c r="T15" s="63">
        <v>83.45</v>
      </c>
      <c r="U15" s="63">
        <v>90.25</v>
      </c>
      <c r="V15" s="63">
        <v>96</v>
      </c>
      <c r="W15" s="63">
        <v>103</v>
      </c>
      <c r="X15" s="63">
        <v>133.64999999999901</v>
      </c>
      <c r="Y15" s="63">
        <v>150</v>
      </c>
      <c r="Z15" s="63">
        <v>70</v>
      </c>
      <c r="AA15" s="63">
        <v>12.75</v>
      </c>
    </row>
    <row r="16" spans="1:27" ht="15" customHeight="1">
      <c r="B16" s="59" t="s">
        <v>88</v>
      </c>
      <c r="C16" s="68" t="str">
        <f>IF(INDEX('Exercise | Field Analysis'!Definitions,1,MATCH(tbl_Overview[[#This Row],[Field]],'Exercise | Field Analysis'!Headers,0))="Definition","",INDEX('Exercise | Field Analysis'!Definitions,1,MATCH(tbl_Overview[[#This Row],[Field]],'Exercise | Field Analysis'!Headers,0)))</f>
        <v/>
      </c>
      <c r="D16" s="68" t="str">
        <f>IF(INDEX('Exercise | Field Analysis'!Notes,1,MATCH(tbl_Overview[[#This Row],[Field]],'Exercise | Field Analysis'!Headers,0))="Note","",INDEX('Exercise | Field Analysis'!Notes,1,MATCH(tbl_Overview[[#This Row],[Field]],'Exercise | Field Analysis'!Headers,0)))</f>
        <v/>
      </c>
      <c r="E16" s="60" t="s">
        <v>94</v>
      </c>
      <c r="F16" s="140">
        <v>3.3333333333333298E-2</v>
      </c>
      <c r="G16" s="140">
        <v>0</v>
      </c>
      <c r="H16" s="140">
        <v>6.66480758505298E-2</v>
      </c>
      <c r="I16" s="61">
        <v>239</v>
      </c>
      <c r="J16" s="61">
        <v>3</v>
      </c>
      <c r="K16" s="61">
        <v>90</v>
      </c>
      <c r="L16" s="62">
        <v>1</v>
      </c>
      <c r="M16" s="61">
        <v>0</v>
      </c>
      <c r="N16" s="63"/>
      <c r="O16" s="63"/>
      <c r="P16" s="63" t="s">
        <v>96</v>
      </c>
      <c r="Q16" s="63"/>
      <c r="R16" s="63"/>
      <c r="S16" s="63"/>
      <c r="T16" s="63"/>
      <c r="U16" s="63"/>
      <c r="V16" s="63"/>
      <c r="W16" s="63"/>
      <c r="X16" s="63"/>
      <c r="Y16" s="63"/>
      <c r="Z16" s="63"/>
      <c r="AA16" s="63"/>
    </row>
    <row r="17" spans="2:27" ht="15" customHeight="1">
      <c r="B17" s="141" t="s">
        <v>89</v>
      </c>
      <c r="C17" s="142" t="str">
        <f>IF(INDEX('Exercise | Field Analysis'!Definitions,1,MATCH(tbl_Overview[[#This Row],[Field]],'Exercise | Field Analysis'!Headers,0))="Definition","",INDEX('Exercise | Field Analysis'!Definitions,1,MATCH(tbl_Overview[[#This Row],[Field]],'Exercise | Field Analysis'!Headers,0)))</f>
        <v/>
      </c>
      <c r="D17" s="142" t="str">
        <f>IF(INDEX('Exercise | Field Analysis'!Notes,1,MATCH(tbl_Overview[[#This Row],[Field]],'Exercise | Field Analysis'!Headers,0))="Note","",INDEX('Exercise | Field Analysis'!Notes,1,MATCH(tbl_Overview[[#This Row],[Field]],'Exercise | Field Analysis'!Headers,0)))</f>
        <v/>
      </c>
      <c r="E17" s="143" t="s">
        <v>94</v>
      </c>
      <c r="F17" s="144">
        <v>3.3333333333333298E-2</v>
      </c>
      <c r="G17" s="144">
        <v>0</v>
      </c>
      <c r="H17" s="144">
        <v>6.6926938092582197E-2</v>
      </c>
      <c r="I17" s="145">
        <v>240</v>
      </c>
      <c r="J17" s="145">
        <v>3</v>
      </c>
      <c r="K17" s="145">
        <v>90</v>
      </c>
      <c r="L17" s="146">
        <v>1</v>
      </c>
      <c r="M17" s="145">
        <v>0</v>
      </c>
      <c r="N17" s="147"/>
      <c r="O17" s="147"/>
      <c r="P17" s="147" t="s">
        <v>97</v>
      </c>
      <c r="Q17" s="147"/>
      <c r="R17" s="147"/>
      <c r="S17" s="147"/>
      <c r="T17" s="147"/>
      <c r="U17" s="147"/>
      <c r="V17" s="147"/>
      <c r="W17" s="147"/>
      <c r="X17" s="147"/>
      <c r="Y17" s="147"/>
      <c r="Z17" s="147"/>
      <c r="AA17" s="147"/>
    </row>
  </sheetData>
  <conditionalFormatting sqref="C8:C9">
    <cfRule type="colorScale" priority="3">
      <colorScale>
        <cfvo type="num" val="0"/>
        <cfvo type="num" val="0.2"/>
        <color theme="1" tint="-0.499984740745262"/>
        <color rgb="FF7A0000"/>
      </colorScale>
    </cfRule>
  </conditionalFormatting>
  <conditionalFormatting sqref="F12:H17">
    <cfRule type="colorScale" priority="1">
      <colorScale>
        <cfvo type="num" val="0"/>
        <cfvo type="num" val="0.2"/>
        <color rgb="FF000000"/>
        <color rgb="FF7A0000"/>
      </colorScale>
    </cfRule>
  </conditionalFormatting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27489E-9BF4-4F49-A058-98DE18A18804}">
  <sheetPr codeName="Sheet7">
    <tabColor rgb="FF000000"/>
  </sheetPr>
  <dimension ref="A1:Q100"/>
  <sheetViews>
    <sheetView topLeftCell="A2" zoomScale="85" zoomScaleNormal="85" workbookViewId="0">
      <selection activeCell="C9" sqref="C9"/>
    </sheetView>
  </sheetViews>
  <sheetFormatPr defaultColWidth="8.88671875" defaultRowHeight="15" customHeight="1"/>
  <cols>
    <col min="1" max="2" width="2.6640625" style="12" customWidth="1"/>
    <col min="3" max="3" width="14.21875" style="12" bestFit="1" customWidth="1"/>
    <col min="4" max="4" width="7.77734375" style="12" bestFit="1" customWidth="1"/>
    <col min="5" max="5" width="9.6640625" style="12" bestFit="1" customWidth="1"/>
    <col min="6" max="6" width="10.77734375" style="12" bestFit="1" customWidth="1"/>
    <col min="7" max="7" width="10.21875" style="12" bestFit="1" customWidth="1"/>
    <col min="8" max="8" width="10" style="12" bestFit="1" customWidth="1"/>
    <col min="9" max="11" width="13.77734375" style="12" customWidth="1"/>
    <col min="12" max="16" width="15.44140625" style="12" customWidth="1"/>
    <col min="17" max="16384" width="8.88671875" style="12"/>
  </cols>
  <sheetData>
    <row r="1" spans="1:17" s="43" customFormat="1" ht="19.95" hidden="1" customHeight="1">
      <c r="A1" s="22"/>
      <c r="B1" s="23" t="s">
        <v>0</v>
      </c>
      <c r="C1" s="23"/>
      <c r="D1" s="23"/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Q1" s="23"/>
    </row>
    <row r="2" spans="1:17" ht="14.4">
      <c r="C2" s="13"/>
      <c r="D2" s="14"/>
    </row>
    <row r="3" spans="1:17" ht="36.6">
      <c r="C3" s="15" t="str">
        <f>'Exercise | Field Analysis'!Name</f>
        <v>Exercise</v>
      </c>
      <c r="P3" s="11"/>
    </row>
    <row r="4" spans="1:17" ht="10.199999999999999" customHeight="1">
      <c r="D4" s="16"/>
    </row>
    <row r="5" spans="1:17" ht="30" customHeight="1">
      <c r="B5" s="136"/>
      <c r="C5" s="136"/>
      <c r="D5" s="136"/>
      <c r="E5" s="136"/>
      <c r="F5" s="136"/>
      <c r="G5" s="136"/>
      <c r="H5" s="136"/>
      <c r="I5" s="136"/>
      <c r="J5" s="136"/>
      <c r="K5" s="136"/>
      <c r="L5" s="136"/>
      <c r="M5" s="136"/>
      <c r="N5" s="136"/>
      <c r="O5" s="136"/>
      <c r="P5" s="136"/>
      <c r="Q5" s="136"/>
    </row>
    <row r="8" spans="1:17" ht="15" customHeight="1">
      <c r="C8" s="17"/>
    </row>
    <row r="9" spans="1:17" ht="36.6" customHeight="1">
      <c r="C9" s="163" t="s">
        <v>84</v>
      </c>
      <c r="D9" s="162" t="s">
        <v>85</v>
      </c>
      <c r="E9" s="162" t="s">
        <v>86</v>
      </c>
      <c r="F9" s="162" t="s">
        <v>87</v>
      </c>
      <c r="G9" s="162" t="s">
        <v>88</v>
      </c>
      <c r="H9" s="162" t="s">
        <v>89</v>
      </c>
      <c r="I9" s="164" t="s">
        <v>48</v>
      </c>
      <c r="J9" s="164" t="s">
        <v>49</v>
      </c>
      <c r="K9" s="164" t="s">
        <v>53</v>
      </c>
    </row>
    <row r="10" spans="1:17" ht="15" customHeight="1">
      <c r="C10" s="161">
        <v>0</v>
      </c>
      <c r="D10" s="50"/>
      <c r="E10" s="50"/>
      <c r="F10" s="50"/>
      <c r="G10" s="50"/>
      <c r="H10" s="50"/>
      <c r="I10" s="165">
        <v>0</v>
      </c>
      <c r="J10" s="166"/>
      <c r="K10" s="167">
        <v>1.1111111111111112E-2</v>
      </c>
    </row>
    <row r="11" spans="1:17" ht="15" customHeight="1">
      <c r="C11" s="161">
        <v>1</v>
      </c>
      <c r="D11" s="50"/>
      <c r="E11" s="50"/>
      <c r="F11" s="50"/>
      <c r="G11" s="50"/>
      <c r="H11" s="50"/>
      <c r="I11" s="165">
        <v>0</v>
      </c>
      <c r="J11" s="166"/>
      <c r="K11" s="167">
        <v>1.1111111111111112E-2</v>
      </c>
    </row>
    <row r="12" spans="1:17" ht="15" customHeight="1">
      <c r="C12" s="161">
        <v>2</v>
      </c>
      <c r="D12" s="50"/>
      <c r="E12" s="50"/>
      <c r="F12" s="50"/>
      <c r="G12" s="50"/>
      <c r="H12" s="50"/>
      <c r="I12" s="165">
        <v>0</v>
      </c>
      <c r="J12" s="166"/>
      <c r="K12" s="167">
        <v>1.1111111111111112E-2</v>
      </c>
    </row>
    <row r="13" spans="1:17" ht="15" customHeight="1">
      <c r="C13" s="161">
        <v>3</v>
      </c>
      <c r="D13" s="50"/>
      <c r="E13" s="50"/>
      <c r="F13" s="50"/>
      <c r="G13" s="50"/>
      <c r="H13" s="50"/>
      <c r="I13" s="165">
        <v>0</v>
      </c>
      <c r="J13" s="166"/>
      <c r="K13" s="167">
        <v>1.1111111111111112E-2</v>
      </c>
    </row>
    <row r="14" spans="1:17" ht="15" customHeight="1">
      <c r="C14" s="161">
        <v>4</v>
      </c>
      <c r="D14" s="50"/>
      <c r="E14" s="50"/>
      <c r="F14" s="50"/>
      <c r="G14" s="50"/>
      <c r="H14" s="50"/>
      <c r="I14" s="165">
        <v>0</v>
      </c>
      <c r="J14" s="166"/>
      <c r="K14" s="167">
        <v>1.1111111111111112E-2</v>
      </c>
    </row>
    <row r="15" spans="1:17" ht="15" customHeight="1">
      <c r="C15" s="161">
        <v>5</v>
      </c>
      <c r="D15" s="50"/>
      <c r="E15" s="50"/>
      <c r="F15" s="50"/>
      <c r="G15" s="50"/>
      <c r="H15" s="50"/>
      <c r="I15" s="165">
        <v>0</v>
      </c>
      <c r="J15" s="166"/>
      <c r="K15" s="167">
        <v>1.1111111111111112E-2</v>
      </c>
    </row>
    <row r="16" spans="1:17" ht="15" customHeight="1">
      <c r="C16" s="161">
        <v>6</v>
      </c>
      <c r="D16" s="50"/>
      <c r="E16" s="50"/>
      <c r="F16" s="50"/>
      <c r="G16" s="50"/>
      <c r="H16" s="50"/>
      <c r="I16" s="165">
        <v>0</v>
      </c>
      <c r="J16" s="166"/>
      <c r="K16" s="167">
        <v>1.1111111111111112E-2</v>
      </c>
    </row>
    <row r="17" spans="3:11" ht="15" customHeight="1">
      <c r="C17" s="161">
        <v>7</v>
      </c>
      <c r="D17" s="50"/>
      <c r="E17" s="50"/>
      <c r="F17" s="50"/>
      <c r="G17" s="50"/>
      <c r="H17" s="50"/>
      <c r="I17" s="165">
        <v>0</v>
      </c>
      <c r="J17" s="166"/>
      <c r="K17" s="167">
        <v>1.1111111111111112E-2</v>
      </c>
    </row>
    <row r="18" spans="3:11" ht="15" customHeight="1">
      <c r="C18" s="161">
        <v>8</v>
      </c>
      <c r="D18" s="50"/>
      <c r="E18" s="50"/>
      <c r="F18" s="50"/>
      <c r="G18" s="50"/>
      <c r="H18" s="50"/>
      <c r="I18" s="165">
        <v>0</v>
      </c>
      <c r="J18" s="166"/>
      <c r="K18" s="167">
        <v>1.1111111111111112E-2</v>
      </c>
    </row>
    <row r="19" spans="3:11" ht="15" customHeight="1">
      <c r="C19" s="161">
        <v>9</v>
      </c>
      <c r="D19" s="50"/>
      <c r="E19" s="50"/>
      <c r="F19" s="50"/>
      <c r="G19" s="50"/>
      <c r="H19" s="50"/>
      <c r="I19" s="165">
        <v>0</v>
      </c>
      <c r="J19" s="166"/>
      <c r="K19" s="167">
        <v>1.1111111111111112E-2</v>
      </c>
    </row>
    <row r="20" spans="3:11" ht="15" customHeight="1">
      <c r="C20" s="161">
        <v>10</v>
      </c>
      <c r="D20" s="50"/>
      <c r="E20" s="50"/>
      <c r="F20" s="50"/>
      <c r="G20" s="50"/>
      <c r="H20" s="50"/>
      <c r="I20" s="165">
        <v>0</v>
      </c>
      <c r="J20" s="166"/>
      <c r="K20" s="167">
        <v>1.1111111111111112E-2</v>
      </c>
    </row>
    <row r="21" spans="3:11" ht="15" customHeight="1">
      <c r="C21" s="161">
        <v>11</v>
      </c>
      <c r="D21" s="50"/>
      <c r="E21" s="50"/>
      <c r="F21" s="50"/>
      <c r="G21" s="50"/>
      <c r="H21" s="50"/>
      <c r="I21" s="165">
        <v>0</v>
      </c>
      <c r="J21" s="166"/>
      <c r="K21" s="167">
        <v>1.1111111111111112E-2</v>
      </c>
    </row>
    <row r="22" spans="3:11" ht="15" customHeight="1">
      <c r="C22" s="161">
        <v>12</v>
      </c>
      <c r="D22" s="50"/>
      <c r="E22" s="50"/>
      <c r="F22" s="50"/>
      <c r="G22" s="50"/>
      <c r="H22" s="50"/>
      <c r="I22" s="165">
        <v>0</v>
      </c>
      <c r="J22" s="166"/>
      <c r="K22" s="167">
        <v>1.1111111111111112E-2</v>
      </c>
    </row>
    <row r="23" spans="3:11" ht="15" customHeight="1">
      <c r="C23" s="161">
        <v>13</v>
      </c>
      <c r="D23" s="50"/>
      <c r="E23" s="50"/>
      <c r="F23" s="50"/>
      <c r="G23" s="50"/>
      <c r="H23" s="50"/>
      <c r="I23" s="165">
        <v>0</v>
      </c>
      <c r="J23" s="166"/>
      <c r="K23" s="167">
        <v>1.1111111111111112E-2</v>
      </c>
    </row>
    <row r="24" spans="3:11" ht="15" customHeight="1">
      <c r="C24" s="161">
        <v>14</v>
      </c>
      <c r="D24" s="50"/>
      <c r="E24" s="50"/>
      <c r="F24" s="50"/>
      <c r="G24" s="50"/>
      <c r="H24" s="50"/>
      <c r="I24" s="165">
        <v>0</v>
      </c>
      <c r="J24" s="166"/>
      <c r="K24" s="167">
        <v>1.1111111111111112E-2</v>
      </c>
    </row>
    <row r="25" spans="3:11" ht="15" customHeight="1">
      <c r="C25" s="161">
        <v>15</v>
      </c>
      <c r="D25" s="50"/>
      <c r="E25" s="50"/>
      <c r="F25" s="50"/>
      <c r="G25" s="50"/>
      <c r="H25" s="50"/>
      <c r="I25" s="165">
        <v>0</v>
      </c>
      <c r="J25" s="166"/>
      <c r="K25" s="167">
        <v>1.1111111111111112E-2</v>
      </c>
    </row>
    <row r="26" spans="3:11" ht="15" customHeight="1">
      <c r="C26" s="161">
        <v>16</v>
      </c>
      <c r="D26" s="50"/>
      <c r="E26" s="50"/>
      <c r="F26" s="50"/>
      <c r="G26" s="50"/>
      <c r="H26" s="50"/>
      <c r="I26" s="165">
        <v>0</v>
      </c>
      <c r="J26" s="166"/>
      <c r="K26" s="167">
        <v>1.1111111111111112E-2</v>
      </c>
    </row>
    <row r="27" spans="3:11" ht="15" customHeight="1">
      <c r="C27" s="161">
        <v>17</v>
      </c>
      <c r="D27" s="50"/>
      <c r="E27" s="50"/>
      <c r="F27" s="50"/>
      <c r="G27" s="50"/>
      <c r="H27" s="50"/>
      <c r="I27" s="165">
        <v>0</v>
      </c>
      <c r="J27" s="166"/>
      <c r="K27" s="167">
        <v>1.1111111111111112E-2</v>
      </c>
    </row>
    <row r="28" spans="3:11" ht="15" customHeight="1">
      <c r="C28" s="161">
        <v>18</v>
      </c>
      <c r="D28" s="50"/>
      <c r="E28" s="50"/>
      <c r="F28" s="50"/>
      <c r="G28" s="50"/>
      <c r="H28" s="50"/>
      <c r="I28" s="165">
        <v>0</v>
      </c>
      <c r="J28" s="166"/>
      <c r="K28" s="167">
        <v>1.1111111111111112E-2</v>
      </c>
    </row>
    <row r="29" spans="3:11" ht="15" customHeight="1">
      <c r="C29" s="161">
        <v>19</v>
      </c>
      <c r="D29" s="50"/>
      <c r="E29" s="50"/>
      <c r="F29" s="50"/>
      <c r="G29" s="50"/>
      <c r="H29" s="50"/>
      <c r="I29" s="165">
        <v>0</v>
      </c>
      <c r="J29" s="166"/>
      <c r="K29" s="167">
        <v>1.1111111111111112E-2</v>
      </c>
    </row>
    <row r="30" spans="3:11" ht="15" customHeight="1">
      <c r="C30" s="161">
        <v>20</v>
      </c>
      <c r="D30" s="50"/>
      <c r="E30" s="50"/>
      <c r="F30" s="50"/>
      <c r="G30" s="50"/>
      <c r="H30" s="50"/>
      <c r="I30" s="165">
        <v>0</v>
      </c>
      <c r="J30" s="166"/>
      <c r="K30" s="167">
        <v>1.1111111111111112E-2</v>
      </c>
    </row>
    <row r="31" spans="3:11" ht="15" customHeight="1">
      <c r="C31" s="161">
        <v>21</v>
      </c>
      <c r="D31" s="50"/>
      <c r="E31" s="50"/>
      <c r="F31" s="50"/>
      <c r="G31" s="50"/>
      <c r="H31" s="50"/>
      <c r="I31" s="165">
        <v>0</v>
      </c>
      <c r="J31" s="166"/>
      <c r="K31" s="167">
        <v>1.1111111111111112E-2</v>
      </c>
    </row>
    <row r="32" spans="3:11" ht="15" customHeight="1">
      <c r="C32" s="161">
        <v>22</v>
      </c>
      <c r="D32" s="50"/>
      <c r="E32" s="50"/>
      <c r="F32" s="50"/>
      <c r="G32" s="50"/>
      <c r="H32" s="50"/>
      <c r="I32" s="165">
        <v>0</v>
      </c>
      <c r="J32" s="166"/>
      <c r="K32" s="167">
        <v>1.1111111111111112E-2</v>
      </c>
    </row>
    <row r="33" spans="3:11" ht="15" customHeight="1">
      <c r="C33" s="161">
        <v>23</v>
      </c>
      <c r="D33" s="50"/>
      <c r="E33" s="50"/>
      <c r="F33" s="50"/>
      <c r="G33" s="50"/>
      <c r="H33" s="50"/>
      <c r="I33" s="165">
        <v>0</v>
      </c>
      <c r="J33" s="166"/>
      <c r="K33" s="167">
        <v>1.1111111111111112E-2</v>
      </c>
    </row>
    <row r="34" spans="3:11" ht="15" customHeight="1">
      <c r="C34" s="161">
        <v>24</v>
      </c>
      <c r="D34" s="50"/>
      <c r="E34" s="50"/>
      <c r="F34" s="50"/>
      <c r="G34" s="50"/>
      <c r="H34" s="50"/>
      <c r="I34" s="165">
        <v>0</v>
      </c>
      <c r="J34" s="166"/>
      <c r="K34" s="167">
        <v>1.1111111111111112E-2</v>
      </c>
    </row>
    <row r="35" spans="3:11" ht="15" customHeight="1">
      <c r="C35" s="161">
        <v>25</v>
      </c>
      <c r="D35" s="50"/>
      <c r="E35" s="50"/>
      <c r="F35" s="50"/>
      <c r="G35" s="50"/>
      <c r="H35" s="50"/>
      <c r="I35" s="165">
        <v>0</v>
      </c>
      <c r="J35" s="166"/>
      <c r="K35" s="167">
        <v>1.1111111111111112E-2</v>
      </c>
    </row>
    <row r="36" spans="3:11" ht="15" customHeight="1">
      <c r="C36" s="161">
        <v>26</v>
      </c>
      <c r="D36" s="50"/>
      <c r="E36" s="50"/>
      <c r="F36" s="50"/>
      <c r="G36" s="50"/>
      <c r="H36" s="50"/>
      <c r="I36" s="165">
        <v>0</v>
      </c>
      <c r="J36" s="166"/>
      <c r="K36" s="167">
        <v>1.1111111111111112E-2</v>
      </c>
    </row>
    <row r="37" spans="3:11" ht="15" customHeight="1">
      <c r="C37" s="161">
        <v>27</v>
      </c>
      <c r="D37" s="50"/>
      <c r="E37" s="50"/>
      <c r="F37" s="50"/>
      <c r="G37" s="50"/>
      <c r="H37" s="50"/>
      <c r="I37" s="165">
        <v>0</v>
      </c>
      <c r="J37" s="166"/>
      <c r="K37" s="167">
        <v>1.1111111111111112E-2</v>
      </c>
    </row>
    <row r="38" spans="3:11" ht="15" customHeight="1">
      <c r="C38" s="161">
        <v>28</v>
      </c>
      <c r="D38" s="50"/>
      <c r="E38" s="50"/>
      <c r="F38" s="50"/>
      <c r="G38" s="50"/>
      <c r="H38" s="50"/>
      <c r="I38" s="165">
        <v>0</v>
      </c>
      <c r="J38" s="166"/>
      <c r="K38" s="167">
        <v>1.1111111111111112E-2</v>
      </c>
    </row>
    <row r="39" spans="3:11" ht="15" customHeight="1">
      <c r="C39" s="161">
        <v>29</v>
      </c>
      <c r="D39" s="50"/>
      <c r="E39" s="50"/>
      <c r="F39" s="50"/>
      <c r="G39" s="50"/>
      <c r="H39" s="50"/>
      <c r="I39" s="165">
        <v>0</v>
      </c>
      <c r="J39" s="166"/>
      <c r="K39" s="167">
        <v>1.1111111111111112E-2</v>
      </c>
    </row>
    <row r="40" spans="3:11" ht="15" customHeight="1">
      <c r="C40" s="161">
        <v>30</v>
      </c>
      <c r="D40" s="50"/>
      <c r="E40" s="50"/>
      <c r="F40" s="50"/>
      <c r="G40" s="50"/>
      <c r="H40" s="50"/>
      <c r="I40" s="165">
        <v>0</v>
      </c>
      <c r="J40" s="166"/>
      <c r="K40" s="167">
        <v>1.1111111111111112E-2</v>
      </c>
    </row>
    <row r="41" spans="3:11" ht="15" customHeight="1">
      <c r="C41" s="161">
        <v>31</v>
      </c>
      <c r="D41" s="50"/>
      <c r="E41" s="50"/>
      <c r="F41" s="50"/>
      <c r="G41" s="50"/>
      <c r="H41" s="50"/>
      <c r="I41" s="165">
        <v>0</v>
      </c>
      <c r="J41" s="166"/>
      <c r="K41" s="167">
        <v>1.1111111111111112E-2</v>
      </c>
    </row>
    <row r="42" spans="3:11" ht="15" customHeight="1">
      <c r="C42" s="161">
        <v>32</v>
      </c>
      <c r="D42" s="50"/>
      <c r="E42" s="50"/>
      <c r="F42" s="50"/>
      <c r="G42" s="50"/>
      <c r="H42" s="50"/>
      <c r="I42" s="165">
        <v>0</v>
      </c>
      <c r="J42" s="166"/>
      <c r="K42" s="167">
        <v>1.1111111111111112E-2</v>
      </c>
    </row>
    <row r="43" spans="3:11" ht="15" customHeight="1">
      <c r="C43" s="161">
        <v>33</v>
      </c>
      <c r="D43" s="50"/>
      <c r="E43" s="50"/>
      <c r="F43" s="50"/>
      <c r="G43" s="50"/>
      <c r="H43" s="50"/>
      <c r="I43" s="165">
        <v>0</v>
      </c>
      <c r="J43" s="166"/>
      <c r="K43" s="167">
        <v>1.1111111111111112E-2</v>
      </c>
    </row>
    <row r="44" spans="3:11" ht="15" customHeight="1">
      <c r="C44" s="161">
        <v>34</v>
      </c>
      <c r="D44" s="50"/>
      <c r="E44" s="50"/>
      <c r="F44" s="50"/>
      <c r="G44" s="50"/>
      <c r="H44" s="50"/>
      <c r="I44" s="165">
        <v>0</v>
      </c>
      <c r="J44" s="166"/>
      <c r="K44" s="167">
        <v>1.1111111111111112E-2</v>
      </c>
    </row>
    <row r="45" spans="3:11" ht="15" customHeight="1">
      <c r="C45" s="161">
        <v>35</v>
      </c>
      <c r="D45" s="50"/>
      <c r="E45" s="50"/>
      <c r="F45" s="50"/>
      <c r="G45" s="50"/>
      <c r="H45" s="50"/>
      <c r="I45" s="165">
        <v>0</v>
      </c>
      <c r="J45" s="166"/>
      <c r="K45" s="167">
        <v>1.1111111111111112E-2</v>
      </c>
    </row>
    <row r="46" spans="3:11" ht="15" customHeight="1">
      <c r="C46" s="161">
        <v>36</v>
      </c>
      <c r="D46" s="50"/>
      <c r="E46" s="50"/>
      <c r="F46" s="50"/>
      <c r="G46" s="50"/>
      <c r="H46" s="50"/>
      <c r="I46" s="165">
        <v>0</v>
      </c>
      <c r="J46" s="166"/>
      <c r="K46" s="167">
        <v>1.1111111111111112E-2</v>
      </c>
    </row>
    <row r="47" spans="3:11" ht="15" customHeight="1">
      <c r="C47" s="161">
        <v>37</v>
      </c>
      <c r="D47" s="50"/>
      <c r="E47" s="50"/>
      <c r="F47" s="50"/>
      <c r="G47" s="50"/>
      <c r="H47" s="50"/>
      <c r="I47" s="165">
        <v>0</v>
      </c>
      <c r="J47" s="166"/>
      <c r="K47" s="167">
        <v>1.1111111111111112E-2</v>
      </c>
    </row>
    <row r="48" spans="3:11" ht="15" customHeight="1">
      <c r="C48" s="161">
        <v>38</v>
      </c>
      <c r="D48" s="50"/>
      <c r="E48" s="50"/>
      <c r="F48" s="50"/>
      <c r="G48" s="50"/>
      <c r="H48" s="50"/>
      <c r="I48" s="165">
        <v>0</v>
      </c>
      <c r="J48" s="166"/>
      <c r="K48" s="167">
        <v>1.1111111111111112E-2</v>
      </c>
    </row>
    <row r="49" spans="3:11" ht="15" customHeight="1">
      <c r="C49" s="161">
        <v>39</v>
      </c>
      <c r="D49" s="50"/>
      <c r="E49" s="50"/>
      <c r="F49" s="50"/>
      <c r="G49" s="50"/>
      <c r="H49" s="50"/>
      <c r="I49" s="165">
        <v>0</v>
      </c>
      <c r="J49" s="166"/>
      <c r="K49" s="167">
        <v>1.1111111111111112E-2</v>
      </c>
    </row>
    <row r="50" spans="3:11" ht="15" customHeight="1">
      <c r="C50" s="161">
        <v>40</v>
      </c>
      <c r="D50" s="50"/>
      <c r="E50" s="50"/>
      <c r="F50" s="50"/>
      <c r="G50" s="50"/>
      <c r="H50" s="50"/>
      <c r="I50" s="165">
        <v>0</v>
      </c>
      <c r="J50" s="166"/>
      <c r="K50" s="167">
        <v>1.1111111111111112E-2</v>
      </c>
    </row>
    <row r="51" spans="3:11" ht="15" customHeight="1">
      <c r="C51" s="161">
        <v>41</v>
      </c>
      <c r="D51" s="50"/>
      <c r="E51" s="50"/>
      <c r="F51" s="50"/>
      <c r="G51" s="50"/>
      <c r="H51" s="50"/>
      <c r="I51" s="165">
        <v>0</v>
      </c>
      <c r="J51" s="166"/>
      <c r="K51" s="167">
        <v>1.1111111111111112E-2</v>
      </c>
    </row>
    <row r="52" spans="3:11" ht="15" customHeight="1">
      <c r="C52" s="161">
        <v>42</v>
      </c>
      <c r="D52" s="50"/>
      <c r="E52" s="50"/>
      <c r="F52" s="50"/>
      <c r="G52" s="50"/>
      <c r="H52" s="50"/>
      <c r="I52" s="165">
        <v>0</v>
      </c>
      <c r="J52" s="166"/>
      <c r="K52" s="167">
        <v>1.1111111111111112E-2</v>
      </c>
    </row>
    <row r="53" spans="3:11" ht="15" customHeight="1">
      <c r="C53" s="161">
        <v>43</v>
      </c>
      <c r="D53" s="50"/>
      <c r="E53" s="50"/>
      <c r="F53" s="50"/>
      <c r="G53" s="50"/>
      <c r="H53" s="50"/>
      <c r="I53" s="165">
        <v>0</v>
      </c>
      <c r="J53" s="166"/>
      <c r="K53" s="167">
        <v>1.1111111111111112E-2</v>
      </c>
    </row>
    <row r="54" spans="3:11" ht="15" customHeight="1">
      <c r="C54" s="161">
        <v>44</v>
      </c>
      <c r="D54" s="50"/>
      <c r="E54" s="50"/>
      <c r="F54" s="50"/>
      <c r="G54" s="50"/>
      <c r="H54" s="50"/>
      <c r="I54" s="165">
        <v>0</v>
      </c>
      <c r="J54" s="166"/>
      <c r="K54" s="167">
        <v>1.1111111111111112E-2</v>
      </c>
    </row>
    <row r="55" spans="3:11" ht="15" customHeight="1">
      <c r="C55" s="161">
        <v>45</v>
      </c>
      <c r="D55" s="50"/>
      <c r="E55" s="50"/>
      <c r="F55" s="50"/>
      <c r="G55" s="50"/>
      <c r="H55" s="50"/>
      <c r="I55" s="165">
        <v>0</v>
      </c>
      <c r="J55" s="166"/>
      <c r="K55" s="167">
        <v>1.1111111111111112E-2</v>
      </c>
    </row>
    <row r="56" spans="3:11" ht="15" customHeight="1">
      <c r="C56" s="161">
        <v>46</v>
      </c>
      <c r="D56" s="50"/>
      <c r="E56" s="50"/>
      <c r="F56" s="50"/>
      <c r="G56" s="50"/>
      <c r="H56" s="50"/>
      <c r="I56" s="165">
        <v>0</v>
      </c>
      <c r="J56" s="166"/>
      <c r="K56" s="167">
        <v>1.1111111111111112E-2</v>
      </c>
    </row>
    <row r="57" spans="3:11" ht="15" customHeight="1">
      <c r="C57" s="161">
        <v>47</v>
      </c>
      <c r="D57" s="50"/>
      <c r="E57" s="50"/>
      <c r="F57" s="50"/>
      <c r="G57" s="50"/>
      <c r="H57" s="50"/>
      <c r="I57" s="165">
        <v>0</v>
      </c>
      <c r="J57" s="166"/>
      <c r="K57" s="167">
        <v>1.1111111111111112E-2</v>
      </c>
    </row>
    <row r="58" spans="3:11" ht="15" customHeight="1">
      <c r="C58" s="161">
        <v>48</v>
      </c>
      <c r="D58" s="50"/>
      <c r="E58" s="50"/>
      <c r="F58" s="50"/>
      <c r="G58" s="50"/>
      <c r="H58" s="50"/>
      <c r="I58" s="165">
        <v>0</v>
      </c>
      <c r="J58" s="166"/>
      <c r="K58" s="167">
        <v>1.1111111111111112E-2</v>
      </c>
    </row>
    <row r="59" spans="3:11" ht="15" customHeight="1">
      <c r="C59" s="161">
        <v>49</v>
      </c>
      <c r="D59" s="50"/>
      <c r="E59" s="50"/>
      <c r="F59" s="50"/>
      <c r="G59" s="50"/>
      <c r="H59" s="50"/>
      <c r="I59" s="165">
        <v>0</v>
      </c>
      <c r="J59" s="166"/>
      <c r="K59" s="167">
        <v>1.1111111111111112E-2</v>
      </c>
    </row>
    <row r="60" spans="3:11" ht="15" customHeight="1">
      <c r="C60" s="161">
        <v>50</v>
      </c>
      <c r="D60" s="50"/>
      <c r="E60" s="50"/>
      <c r="F60" s="50"/>
      <c r="G60" s="50"/>
      <c r="H60" s="50"/>
      <c r="I60" s="165">
        <v>0</v>
      </c>
      <c r="J60" s="166"/>
      <c r="K60" s="167">
        <v>1.1111111111111112E-2</v>
      </c>
    </row>
    <row r="61" spans="3:11" ht="15" customHeight="1">
      <c r="C61" s="161">
        <v>51</v>
      </c>
      <c r="D61" s="50"/>
      <c r="E61" s="50"/>
      <c r="F61" s="50"/>
      <c r="G61" s="50"/>
      <c r="H61" s="50"/>
      <c r="I61" s="165">
        <v>0</v>
      </c>
      <c r="J61" s="166"/>
      <c r="K61" s="167">
        <v>1.1111111111111112E-2</v>
      </c>
    </row>
    <row r="62" spans="3:11" ht="15" customHeight="1">
      <c r="C62" s="161">
        <v>52</v>
      </c>
      <c r="D62" s="50"/>
      <c r="E62" s="50"/>
      <c r="F62" s="50"/>
      <c r="G62" s="50"/>
      <c r="H62" s="50"/>
      <c r="I62" s="165">
        <v>0</v>
      </c>
      <c r="J62" s="166"/>
      <c r="K62" s="167">
        <v>1.1111111111111112E-2</v>
      </c>
    </row>
    <row r="63" spans="3:11" ht="15" customHeight="1">
      <c r="C63" s="161">
        <v>53</v>
      </c>
      <c r="D63" s="50"/>
      <c r="E63" s="50"/>
      <c r="F63" s="50"/>
      <c r="G63" s="50"/>
      <c r="H63" s="50"/>
      <c r="I63" s="165">
        <v>0</v>
      </c>
      <c r="J63" s="166"/>
      <c r="K63" s="167">
        <v>1.1111111111111112E-2</v>
      </c>
    </row>
    <row r="64" spans="3:11" ht="15" customHeight="1">
      <c r="C64" s="161">
        <v>54</v>
      </c>
      <c r="D64" s="50"/>
      <c r="E64" s="50"/>
      <c r="F64" s="50"/>
      <c r="G64" s="50"/>
      <c r="H64" s="50"/>
      <c r="I64" s="165">
        <v>0</v>
      </c>
      <c r="J64" s="166"/>
      <c r="K64" s="167">
        <v>1.1111111111111112E-2</v>
      </c>
    </row>
    <row r="65" spans="3:11" ht="15" customHeight="1">
      <c r="C65" s="161">
        <v>55</v>
      </c>
      <c r="D65" s="50"/>
      <c r="E65" s="50"/>
      <c r="F65" s="50"/>
      <c r="G65" s="50"/>
      <c r="H65" s="50"/>
      <c r="I65" s="165">
        <v>0</v>
      </c>
      <c r="J65" s="166"/>
      <c r="K65" s="167">
        <v>1.1111111111111112E-2</v>
      </c>
    </row>
    <row r="66" spans="3:11" ht="15" customHeight="1">
      <c r="C66" s="161">
        <v>56</v>
      </c>
      <c r="D66" s="50"/>
      <c r="E66" s="50"/>
      <c r="F66" s="50"/>
      <c r="G66" s="50"/>
      <c r="H66" s="50"/>
      <c r="I66" s="165">
        <v>0</v>
      </c>
      <c r="J66" s="166"/>
      <c r="K66" s="167">
        <v>1.1111111111111112E-2</v>
      </c>
    </row>
    <row r="67" spans="3:11" ht="15" customHeight="1">
      <c r="C67" s="161">
        <v>57</v>
      </c>
      <c r="D67" s="50"/>
      <c r="E67" s="50"/>
      <c r="F67" s="50"/>
      <c r="G67" s="50"/>
      <c r="H67" s="50"/>
      <c r="I67" s="165">
        <v>0</v>
      </c>
      <c r="J67" s="166"/>
      <c r="K67" s="167">
        <v>1.1111111111111112E-2</v>
      </c>
    </row>
    <row r="68" spans="3:11" ht="15" customHeight="1">
      <c r="C68" s="161">
        <v>58</v>
      </c>
      <c r="D68" s="50"/>
      <c r="E68" s="50"/>
      <c r="F68" s="50"/>
      <c r="G68" s="50"/>
      <c r="H68" s="50"/>
      <c r="I68" s="165">
        <v>0</v>
      </c>
      <c r="J68" s="166"/>
      <c r="K68" s="167">
        <v>1.1111111111111112E-2</v>
      </c>
    </row>
    <row r="69" spans="3:11" ht="15" customHeight="1">
      <c r="C69" s="161">
        <v>59</v>
      </c>
      <c r="D69" s="50"/>
      <c r="E69" s="50"/>
      <c r="F69" s="50"/>
      <c r="G69" s="50"/>
      <c r="H69" s="50"/>
      <c r="I69" s="165">
        <v>0</v>
      </c>
      <c r="J69" s="166"/>
      <c r="K69" s="167">
        <v>1.1111111111111112E-2</v>
      </c>
    </row>
    <row r="70" spans="3:11" ht="15" customHeight="1">
      <c r="C70" s="161">
        <v>60</v>
      </c>
      <c r="D70" s="50"/>
      <c r="E70" s="50"/>
      <c r="F70" s="50"/>
      <c r="G70" s="50"/>
      <c r="H70" s="50"/>
      <c r="I70" s="165">
        <v>0</v>
      </c>
      <c r="J70" s="166"/>
      <c r="K70" s="167">
        <v>1.1111111111111112E-2</v>
      </c>
    </row>
    <row r="71" spans="3:11" ht="15" customHeight="1">
      <c r="C71" s="161">
        <v>61</v>
      </c>
      <c r="D71" s="50"/>
      <c r="E71" s="50"/>
      <c r="F71" s="50"/>
      <c r="G71" s="50"/>
      <c r="H71" s="50"/>
      <c r="I71" s="165">
        <v>0</v>
      </c>
      <c r="J71" s="166"/>
      <c r="K71" s="167">
        <v>1.1111111111111112E-2</v>
      </c>
    </row>
    <row r="72" spans="3:11" ht="15" customHeight="1">
      <c r="C72" s="161">
        <v>62</v>
      </c>
      <c r="D72" s="50"/>
      <c r="E72" s="50"/>
      <c r="F72" s="50"/>
      <c r="G72" s="50"/>
      <c r="H72" s="50"/>
      <c r="I72" s="165">
        <v>0</v>
      </c>
      <c r="J72" s="166"/>
      <c r="K72" s="167">
        <v>1.1111111111111112E-2</v>
      </c>
    </row>
    <row r="73" spans="3:11" ht="15" customHeight="1">
      <c r="C73" s="161">
        <v>63</v>
      </c>
      <c r="D73" s="50"/>
      <c r="E73" s="50"/>
      <c r="F73" s="50"/>
      <c r="G73" s="50"/>
      <c r="H73" s="50"/>
      <c r="I73" s="165">
        <v>0</v>
      </c>
      <c r="J73" s="166"/>
      <c r="K73" s="167">
        <v>1.1111111111111112E-2</v>
      </c>
    </row>
    <row r="74" spans="3:11" ht="15" customHeight="1">
      <c r="C74" s="161">
        <v>64</v>
      </c>
      <c r="D74" s="50"/>
      <c r="E74" s="50"/>
      <c r="F74" s="50"/>
      <c r="G74" s="50"/>
      <c r="H74" s="50"/>
      <c r="I74" s="165">
        <v>0</v>
      </c>
      <c r="J74" s="166"/>
      <c r="K74" s="167">
        <v>1.1111111111111112E-2</v>
      </c>
    </row>
    <row r="75" spans="3:11" ht="15" customHeight="1">
      <c r="C75" s="161">
        <v>65</v>
      </c>
      <c r="D75" s="50"/>
      <c r="E75" s="50"/>
      <c r="F75" s="50"/>
      <c r="G75" s="50"/>
      <c r="H75" s="50"/>
      <c r="I75" s="165">
        <v>0</v>
      </c>
      <c r="J75" s="166"/>
      <c r="K75" s="167">
        <v>1.1111111111111112E-2</v>
      </c>
    </row>
    <row r="76" spans="3:11" ht="15" customHeight="1">
      <c r="C76" s="161">
        <v>66</v>
      </c>
      <c r="D76" s="50"/>
      <c r="E76" s="50"/>
      <c r="F76" s="50"/>
      <c r="G76" s="50"/>
      <c r="H76" s="50"/>
      <c r="I76" s="165">
        <v>0</v>
      </c>
      <c r="J76" s="166"/>
      <c r="K76" s="167">
        <v>1.1111111111111112E-2</v>
      </c>
    </row>
    <row r="77" spans="3:11" ht="15" customHeight="1">
      <c r="C77" s="161">
        <v>67</v>
      </c>
      <c r="D77" s="50"/>
      <c r="E77" s="50"/>
      <c r="F77" s="50"/>
      <c r="G77" s="50"/>
      <c r="H77" s="50"/>
      <c r="I77" s="165">
        <v>0</v>
      </c>
      <c r="J77" s="166"/>
      <c r="K77" s="167">
        <v>1.1111111111111112E-2</v>
      </c>
    </row>
    <row r="78" spans="3:11" ht="15" customHeight="1">
      <c r="C78" s="161">
        <v>68</v>
      </c>
      <c r="D78" s="50"/>
      <c r="E78" s="50"/>
      <c r="F78" s="50"/>
      <c r="G78" s="50"/>
      <c r="H78" s="50"/>
      <c r="I78" s="165">
        <v>0</v>
      </c>
      <c r="J78" s="166"/>
      <c r="K78" s="167">
        <v>1.1111111111111112E-2</v>
      </c>
    </row>
    <row r="79" spans="3:11" ht="15" customHeight="1">
      <c r="C79" s="161">
        <v>69</v>
      </c>
      <c r="D79" s="50"/>
      <c r="E79" s="50"/>
      <c r="F79" s="50"/>
      <c r="G79" s="50"/>
      <c r="H79" s="50"/>
      <c r="I79" s="165">
        <v>0</v>
      </c>
      <c r="J79" s="166"/>
      <c r="K79" s="167">
        <v>1.1111111111111112E-2</v>
      </c>
    </row>
    <row r="80" spans="3:11" ht="15" customHeight="1">
      <c r="C80" s="161">
        <v>70</v>
      </c>
      <c r="D80" s="50"/>
      <c r="E80" s="50"/>
      <c r="F80" s="50"/>
      <c r="G80" s="50"/>
      <c r="H80" s="50"/>
      <c r="I80" s="165">
        <v>0</v>
      </c>
      <c r="J80" s="166"/>
      <c r="K80" s="167">
        <v>1.1111111111111112E-2</v>
      </c>
    </row>
    <row r="81" spans="3:11" ht="15" customHeight="1">
      <c r="C81" s="161">
        <v>71</v>
      </c>
      <c r="D81" s="50"/>
      <c r="E81" s="50"/>
      <c r="F81" s="50"/>
      <c r="G81" s="50"/>
      <c r="H81" s="50"/>
      <c r="I81" s="165">
        <v>0</v>
      </c>
      <c r="J81" s="166"/>
      <c r="K81" s="167">
        <v>1.1111111111111112E-2</v>
      </c>
    </row>
    <row r="82" spans="3:11" ht="15" customHeight="1">
      <c r="C82" s="161">
        <v>72</v>
      </c>
      <c r="D82" s="50"/>
      <c r="E82" s="50"/>
      <c r="F82" s="50"/>
      <c r="G82" s="50"/>
      <c r="H82" s="50"/>
      <c r="I82" s="165">
        <v>0</v>
      </c>
      <c r="J82" s="166"/>
      <c r="K82" s="167">
        <v>1.1111111111111112E-2</v>
      </c>
    </row>
    <row r="83" spans="3:11" ht="15" customHeight="1">
      <c r="C83" s="161">
        <v>73</v>
      </c>
      <c r="D83" s="50"/>
      <c r="E83" s="50"/>
      <c r="F83" s="50"/>
      <c r="G83" s="50"/>
      <c r="H83" s="50"/>
      <c r="I83" s="165">
        <v>0</v>
      </c>
      <c r="J83" s="166"/>
      <c r="K83" s="167">
        <v>1.1111111111111112E-2</v>
      </c>
    </row>
    <row r="84" spans="3:11" ht="15" customHeight="1">
      <c r="C84" s="161">
        <v>74</v>
      </c>
      <c r="D84" s="50"/>
      <c r="E84" s="50"/>
      <c r="F84" s="50"/>
      <c r="G84" s="50"/>
      <c r="H84" s="50"/>
      <c r="I84" s="165">
        <v>0</v>
      </c>
      <c r="J84" s="166"/>
      <c r="K84" s="167">
        <v>1.1111111111111112E-2</v>
      </c>
    </row>
    <row r="85" spans="3:11" ht="15" customHeight="1">
      <c r="C85" s="161">
        <v>75</v>
      </c>
      <c r="D85" s="50"/>
      <c r="E85" s="50"/>
      <c r="F85" s="50"/>
      <c r="G85" s="50"/>
      <c r="H85" s="50"/>
      <c r="I85" s="165">
        <v>0</v>
      </c>
      <c r="J85" s="166"/>
      <c r="K85" s="167">
        <v>1.1111111111111112E-2</v>
      </c>
    </row>
    <row r="86" spans="3:11" ht="15" customHeight="1">
      <c r="C86" s="161">
        <v>76</v>
      </c>
      <c r="D86" s="50"/>
      <c r="E86" s="50"/>
      <c r="F86" s="50"/>
      <c r="G86" s="50"/>
      <c r="H86" s="50"/>
      <c r="I86" s="165">
        <v>0</v>
      </c>
      <c r="J86" s="166"/>
      <c r="K86" s="167">
        <v>1.1111111111111112E-2</v>
      </c>
    </row>
    <row r="87" spans="3:11" ht="15" customHeight="1">
      <c r="C87" s="161">
        <v>77</v>
      </c>
      <c r="D87" s="50"/>
      <c r="E87" s="50"/>
      <c r="F87" s="50"/>
      <c r="G87" s="50"/>
      <c r="H87" s="50"/>
      <c r="I87" s="165">
        <v>0</v>
      </c>
      <c r="J87" s="166"/>
      <c r="K87" s="167">
        <v>1.1111111111111112E-2</v>
      </c>
    </row>
    <row r="88" spans="3:11" ht="15" customHeight="1">
      <c r="C88" s="161">
        <v>78</v>
      </c>
      <c r="D88" s="50"/>
      <c r="E88" s="50"/>
      <c r="F88" s="50"/>
      <c r="G88" s="50"/>
      <c r="H88" s="50"/>
      <c r="I88" s="165">
        <v>0</v>
      </c>
      <c r="J88" s="166"/>
      <c r="K88" s="167">
        <v>1.1111111111111112E-2</v>
      </c>
    </row>
    <row r="89" spans="3:11" ht="15" customHeight="1">
      <c r="C89" s="161">
        <v>79</v>
      </c>
      <c r="D89" s="50"/>
      <c r="E89" s="50"/>
      <c r="F89" s="50"/>
      <c r="G89" s="50"/>
      <c r="H89" s="50"/>
      <c r="I89" s="165">
        <v>0</v>
      </c>
      <c r="J89" s="166"/>
      <c r="K89" s="167">
        <v>1.1111111111111112E-2</v>
      </c>
    </row>
    <row r="90" spans="3:11" ht="15" customHeight="1">
      <c r="C90" s="161">
        <v>80</v>
      </c>
      <c r="D90" s="50"/>
      <c r="E90" s="50"/>
      <c r="F90" s="50"/>
      <c r="G90" s="50"/>
      <c r="H90" s="50"/>
      <c r="I90" s="165">
        <v>0</v>
      </c>
      <c r="J90" s="166"/>
      <c r="K90" s="167">
        <v>1.1111111111111112E-2</v>
      </c>
    </row>
    <row r="91" spans="3:11" ht="15" customHeight="1">
      <c r="C91" s="161">
        <v>81</v>
      </c>
      <c r="D91" s="50"/>
      <c r="E91" s="50"/>
      <c r="F91" s="50"/>
      <c r="G91" s="50"/>
      <c r="H91" s="50"/>
      <c r="I91" s="165">
        <v>0</v>
      </c>
      <c r="J91" s="166"/>
      <c r="K91" s="167">
        <v>1.1111111111111112E-2</v>
      </c>
    </row>
    <row r="92" spans="3:11" ht="15" customHeight="1">
      <c r="C92" s="161">
        <v>82</v>
      </c>
      <c r="D92" s="50"/>
      <c r="E92" s="50"/>
      <c r="F92" s="50"/>
      <c r="G92" s="50"/>
      <c r="H92" s="50"/>
      <c r="I92" s="165">
        <v>0</v>
      </c>
      <c r="J92" s="166"/>
      <c r="K92" s="167">
        <v>1.1111111111111112E-2</v>
      </c>
    </row>
    <row r="93" spans="3:11" ht="15" customHeight="1">
      <c r="C93" s="161">
        <v>83</v>
      </c>
      <c r="D93" s="50"/>
      <c r="E93" s="50"/>
      <c r="F93" s="50"/>
      <c r="G93" s="50"/>
      <c r="H93" s="50"/>
      <c r="I93" s="165">
        <v>0</v>
      </c>
      <c r="J93" s="166"/>
      <c r="K93" s="167">
        <v>1.1111111111111112E-2</v>
      </c>
    </row>
    <row r="94" spans="3:11" ht="15" customHeight="1">
      <c r="C94" s="161">
        <v>84</v>
      </c>
      <c r="D94" s="50"/>
      <c r="E94" s="50"/>
      <c r="F94" s="50"/>
      <c r="G94" s="50"/>
      <c r="H94" s="50"/>
      <c r="I94" s="165">
        <v>0</v>
      </c>
      <c r="J94" s="166"/>
      <c r="K94" s="167">
        <v>1.1111111111111112E-2</v>
      </c>
    </row>
    <row r="95" spans="3:11" ht="15" customHeight="1">
      <c r="C95" s="161">
        <v>85</v>
      </c>
      <c r="D95" s="50"/>
      <c r="E95" s="50"/>
      <c r="F95" s="50"/>
      <c r="G95" s="50"/>
      <c r="H95" s="50"/>
      <c r="I95" s="165">
        <v>0</v>
      </c>
      <c r="J95" s="166"/>
      <c r="K95" s="167">
        <v>1.1111111111111112E-2</v>
      </c>
    </row>
    <row r="96" spans="3:11" ht="15" customHeight="1">
      <c r="C96" s="161">
        <v>86</v>
      </c>
      <c r="D96" s="50"/>
      <c r="E96" s="50"/>
      <c r="F96" s="50"/>
      <c r="G96" s="50"/>
      <c r="H96" s="50"/>
      <c r="I96" s="165">
        <v>0</v>
      </c>
      <c r="J96" s="166"/>
      <c r="K96" s="167">
        <v>1.1111111111111112E-2</v>
      </c>
    </row>
    <row r="97" spans="3:11" ht="15" customHeight="1">
      <c r="C97" s="161">
        <v>87</v>
      </c>
      <c r="D97" s="50"/>
      <c r="E97" s="50"/>
      <c r="F97" s="50"/>
      <c r="G97" s="50"/>
      <c r="H97" s="50"/>
      <c r="I97" s="165">
        <v>0</v>
      </c>
      <c r="J97" s="166"/>
      <c r="K97" s="167">
        <v>1.1111111111111112E-2</v>
      </c>
    </row>
    <row r="98" spans="3:11" ht="15" customHeight="1">
      <c r="C98" s="161">
        <v>88</v>
      </c>
      <c r="D98" s="50"/>
      <c r="E98" s="50"/>
      <c r="F98" s="50"/>
      <c r="G98" s="50"/>
      <c r="H98" s="50"/>
      <c r="I98" s="165">
        <v>0</v>
      </c>
      <c r="J98" s="166"/>
      <c r="K98" s="167">
        <v>1.1111111111111112E-2</v>
      </c>
    </row>
    <row r="99" spans="3:11" ht="15" customHeight="1">
      <c r="C99" s="161">
        <v>89</v>
      </c>
      <c r="D99" s="50"/>
      <c r="E99" s="50"/>
      <c r="F99" s="50"/>
      <c r="G99" s="50"/>
      <c r="H99" s="50"/>
      <c r="I99" s="165">
        <v>0</v>
      </c>
      <c r="J99" s="166"/>
      <c r="K99" s="167">
        <v>1.1111111111111112E-2</v>
      </c>
    </row>
    <row r="100" spans="3:11" ht="15" customHeight="1">
      <c r="C100" s="161" t="s">
        <v>103</v>
      </c>
      <c r="D100" s="161"/>
      <c r="E100" s="161"/>
      <c r="F100" s="161"/>
      <c r="G100" s="161"/>
      <c r="H100" s="161"/>
      <c r="I100" s="165">
        <v>0</v>
      </c>
      <c r="J100" s="166"/>
      <c r="K100" s="167">
        <v>1</v>
      </c>
    </row>
  </sheetData>
  <conditionalFormatting pivot="1" sqref="I10:I100">
    <cfRule type="colorScale" priority="2">
      <colorScale>
        <cfvo type="num" val="0"/>
        <cfvo type="num" val="0.2"/>
        <color rgb="FF262626"/>
        <color rgb="FF7A0000"/>
      </colorScale>
    </cfRule>
  </conditionalFormatting>
  <conditionalFormatting pivot="1" sqref="J10:J100">
    <cfRule type="colorScale" priority="1">
      <colorScale>
        <cfvo type="num" val="0"/>
        <cfvo type="num" val="0.2"/>
        <color rgb="FF262626"/>
        <color rgb="FF7A0000"/>
      </colorScale>
    </cfRule>
  </conditionalFormatting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5D1AF8-C53E-48B7-8625-1AC9E9368DD1}">
  <sheetPr codeName="Sheet5"/>
  <dimension ref="B2:P17"/>
  <sheetViews>
    <sheetView zoomScale="85" zoomScaleNormal="85" workbookViewId="0">
      <selection activeCell="C8" sqref="C8"/>
    </sheetView>
  </sheetViews>
  <sheetFormatPr defaultColWidth="8.88671875" defaultRowHeight="14.4"/>
  <cols>
    <col min="1" max="1" width="2.6640625" style="43" customWidth="1"/>
    <col min="2" max="2" width="2.6640625" style="44" customWidth="1"/>
    <col min="3" max="3" width="78.6640625" style="49" customWidth="1"/>
    <col min="4" max="4" width="31.88671875" style="43" customWidth="1"/>
    <col min="5" max="16384" width="8.88671875" style="43"/>
  </cols>
  <sheetData>
    <row r="2" spans="2:16" ht="43.2" customHeight="1">
      <c r="C2" s="42" t="s">
        <v>51</v>
      </c>
      <c r="P2"/>
    </row>
    <row r="3" spans="2:16" ht="4.95" customHeight="1">
      <c r="B3" s="43"/>
      <c r="C3" s="45"/>
      <c r="P3" s="46"/>
    </row>
    <row r="4" spans="2:16" ht="19.95" customHeight="1">
      <c r="B4" s="43"/>
      <c r="C4" s="45"/>
      <c r="P4" s="47"/>
    </row>
    <row r="5" spans="2:16" ht="4.95" customHeight="1">
      <c r="B5" s="43"/>
      <c r="C5" s="45"/>
    </row>
    <row r="6" spans="2:16" ht="34.950000000000003" customHeight="1"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2:16" ht="15" customHeight="1">
      <c r="B7" s="43"/>
      <c r="C7" s="43"/>
    </row>
    <row r="8" spans="2:16" ht="15" customHeight="1">
      <c r="C8" s="48"/>
    </row>
    <row r="9" spans="2:16" ht="19.2" customHeight="1">
      <c r="B9" s="43"/>
      <c r="C9" s="45"/>
    </row>
    <row r="16" spans="2:16">
      <c r="C16" s="43"/>
    </row>
    <row r="17" spans="2:2" s="43" customFormat="1">
      <c r="B17" s="44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9DB964-5183-48E8-9EB0-23FD2468B797}">
  <sheetPr codeName="Sheet4"/>
  <dimension ref="A2:P20"/>
  <sheetViews>
    <sheetView zoomScale="85" zoomScaleNormal="85" workbookViewId="0">
      <selection activeCell="C8" sqref="C8"/>
    </sheetView>
  </sheetViews>
  <sheetFormatPr defaultRowHeight="14.4"/>
  <cols>
    <col min="1" max="1" width="3" style="43" customWidth="1"/>
    <col min="2" max="2" width="2.6640625" style="44" customWidth="1"/>
    <col min="3" max="3" width="53.33203125" style="49" customWidth="1"/>
    <col min="4" max="4" width="27.6640625" style="43" customWidth="1"/>
    <col min="5" max="16" width="8.88671875" style="43"/>
  </cols>
  <sheetData>
    <row r="2" spans="1:16" ht="51.6" customHeight="1">
      <c r="B2" s="50"/>
      <c r="C2" s="42" t="s">
        <v>52</v>
      </c>
      <c r="D2"/>
      <c r="P2"/>
    </row>
    <row r="3" spans="1:16" ht="4.95" customHeight="1">
      <c r="B3" s="50"/>
      <c r="C3" s="51"/>
      <c r="D3" s="52"/>
      <c r="P3" s="46"/>
    </row>
    <row r="4" spans="1:16" ht="19.95" customHeight="1">
      <c r="B4" s="50"/>
      <c r="C4" s="51"/>
      <c r="D4" s="52"/>
      <c r="P4" s="47"/>
    </row>
    <row r="5" spans="1:16" ht="4.95" customHeight="1">
      <c r="B5" s="43"/>
      <c r="C5" s="45"/>
    </row>
    <row r="6" spans="1:16" ht="30" customHeight="1">
      <c r="A6"/>
      <c r="B6" s="56"/>
      <c r="C6" s="57"/>
      <c r="D6" s="57"/>
      <c r="E6" s="57"/>
      <c r="F6" s="57"/>
      <c r="G6" s="57"/>
      <c r="H6" s="57"/>
      <c r="I6" s="57"/>
      <c r="J6" s="57"/>
      <c r="K6" s="57"/>
      <c r="L6" s="57"/>
      <c r="M6" s="57"/>
      <c r="N6" s="57"/>
      <c r="O6" s="57"/>
      <c r="P6" s="57"/>
    </row>
    <row r="7" spans="1:16" ht="10.199999999999999" customHeight="1">
      <c r="B7" s="43"/>
      <c r="C7" s="45"/>
    </row>
    <row r="8" spans="1:16" ht="10.199999999999999" customHeight="1">
      <c r="B8" s="46"/>
      <c r="D8" s="49"/>
    </row>
    <row r="9" spans="1:16" ht="150" customHeight="1">
      <c r="B9" s="53"/>
      <c r="C9" s="54"/>
    </row>
    <row r="10" spans="1:16" ht="10.199999999999999" customHeight="1">
      <c r="B10" s="55"/>
    </row>
    <row r="11" spans="1:16" collapsed="1"/>
    <row r="13" spans="1:16">
      <c r="C13" s="43"/>
    </row>
    <row r="14" spans="1:16">
      <c r="C14" s="43"/>
    </row>
    <row r="15" spans="1:16">
      <c r="C15" s="43"/>
    </row>
    <row r="16" spans="1:16">
      <c r="C16" s="43"/>
    </row>
    <row r="19" spans="3:3">
      <c r="C19" s="43"/>
    </row>
    <row r="20" spans="3:3">
      <c r="C20" s="43"/>
    </row>
  </sheetData>
  <pageMargins left="0.7" right="0.7" top="0.75" bottom="0.75" header="0.3" footer="0.3"/>
  <pageSetup orientation="portrait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DDFBB63E-9CA3-466B-AD4C-DEA2C62CA241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50</vt:i4>
      </vt:variant>
    </vt:vector>
  </HeadingPairs>
  <TitlesOfParts>
    <vt:vector size="56" baseType="lpstr">
      <vt:lpstr>debug</vt:lpstr>
      <vt:lpstr>Exercise | Field Analysis</vt:lpstr>
      <vt:lpstr>Exercise | Overview</vt:lpstr>
      <vt:lpstr>Exercise | Pivot</vt:lpstr>
      <vt:lpstr>SinglePlot</vt:lpstr>
      <vt:lpstr>MultiplePlots</vt:lpstr>
      <vt:lpstr>'Exercise | Field Analysis'!Compiled_Lists</vt:lpstr>
      <vt:lpstr>'Exercise | Field Analysis'!Composition</vt:lpstr>
      <vt:lpstr>'Exercise | Field Analysis'!CompositionTable</vt:lpstr>
      <vt:lpstr>debug!Config</vt:lpstr>
      <vt:lpstr>'Exercise | Field Analysis'!DarkHeader</vt:lpstr>
      <vt:lpstr>'Exercise | Field Analysis'!Data_Description</vt:lpstr>
      <vt:lpstr>debug!debug_metadata</vt:lpstr>
      <vt:lpstr>'Exercise | Pivot'!DefaultWarn</vt:lpstr>
      <vt:lpstr>'Exercise | Field Analysis'!Definitions</vt:lpstr>
      <vt:lpstr>'Exercise | Field Analysis'!Description</vt:lpstr>
      <vt:lpstr>'Exercise | Field Analysis'!Dimensions</vt:lpstr>
      <vt:lpstr>'Exercise | Field Analysis'!Field_Analysis</vt:lpstr>
      <vt:lpstr>'Exercise | Field Analysis'!Field_Lists</vt:lpstr>
      <vt:lpstr>'Exercise | Field Analysis'!FieldList1</vt:lpstr>
      <vt:lpstr>'Exercise | Field Analysis'!FieldList2</vt:lpstr>
      <vt:lpstr>'Exercise | Field Analysis'!FieldList3</vt:lpstr>
      <vt:lpstr>'Exercise | Field Analysis'!FieldList4</vt:lpstr>
      <vt:lpstr>'Exercise | Field Analysis'!FieldList5</vt:lpstr>
      <vt:lpstr>'Exercise | Field Analysis'!FieldList6</vt:lpstr>
      <vt:lpstr>'Exercise | Field Analysis'!FieldList7</vt:lpstr>
      <vt:lpstr>'Exercise | Field Analysis'!FieldList8</vt:lpstr>
      <vt:lpstr>'Exercise | Field Analysis'!FieldLists</vt:lpstr>
      <vt:lpstr>'Exercise | Field Analysis'!FieldRange</vt:lpstr>
      <vt:lpstr>'Exercise | Field Analysis'!FormatRange</vt:lpstr>
      <vt:lpstr>'Exercise | Field Analysis'!Headers</vt:lpstr>
      <vt:lpstr>'Exercise | Field Analysis'!Headers_Start</vt:lpstr>
      <vt:lpstr>'Exercise | Field Analysis'!Histogram</vt:lpstr>
      <vt:lpstr>'Exercise | Field Analysis'!LightHeader</vt:lpstr>
      <vt:lpstr>Metadata</vt:lpstr>
      <vt:lpstr>MultiplePlots!MultiplePlots</vt:lpstr>
      <vt:lpstr>MultiplePlots!MultiplePlotsTitle</vt:lpstr>
      <vt:lpstr>'Exercise | Field Analysis'!Name</vt:lpstr>
      <vt:lpstr>'Exercise | Overview'!Name</vt:lpstr>
      <vt:lpstr>'Exercise | Pivot'!Name</vt:lpstr>
      <vt:lpstr>'Exercise | Field Analysis'!Notes</vt:lpstr>
      <vt:lpstr>'Exercise | Field Analysis'!Percentiles</vt:lpstr>
      <vt:lpstr>'Exercise | Field Analysis'!SerializedLists</vt:lpstr>
      <vt:lpstr>SinglePlot!SinglePlot</vt:lpstr>
      <vt:lpstr>SinglePlot!SinglePlotTitle</vt:lpstr>
      <vt:lpstr>'Exercise | Field Analysis'!Summary_Stats</vt:lpstr>
      <vt:lpstr>'Exercise | Field Analysis'!Theme</vt:lpstr>
      <vt:lpstr>'Exercise | Overview'!Theme</vt:lpstr>
      <vt:lpstr>'Exercise | Pivot'!Theme</vt:lpstr>
      <vt:lpstr>MultiplePlots!Theme</vt:lpstr>
      <vt:lpstr>SinglePlot!Theme</vt:lpstr>
      <vt:lpstr>'Exercise | Field Analysis'!Toggles</vt:lpstr>
      <vt:lpstr>'Exercise | Field Analysis'!TopToggle</vt:lpstr>
      <vt:lpstr>'Exercise | Field Analysis'!Warning</vt:lpstr>
      <vt:lpstr>'Exercise | Overview'!Warning</vt:lpstr>
      <vt:lpstr>'Exercise | Pivot'!Warning</vt:lpstr>
    </vt:vector>
  </TitlesOfParts>
  <Company>Information Designers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DarkTemplate</dc:title>
  <dc:creator>Michael Rivers</dc:creator>
  <cp:lastModifiedBy>Michael Rivers</cp:lastModifiedBy>
  <dcterms:created xsi:type="dcterms:W3CDTF">2025-12-28T23:38:43Z</dcterms:created>
  <dcterms:modified xsi:type="dcterms:W3CDTF">2026-06-04T02:33:41Z</dcterms:modified>
</cp:coreProperties>
</file>