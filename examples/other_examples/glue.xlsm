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0D4ACAE5-CC13-4C24-948C-F1E8177D4CC1}" xr6:coauthVersionLast="47" xr6:coauthVersionMax="47" xr10:uidLastSave="{00000000-0000-0000-0000-000000000000}"/>
  <bookViews>
    <workbookView xWindow="26700" yWindow="3432" windowWidth="17280" windowHeight="8880" tabRatio="735" firstSheet="1" activeTab="1" xr2:uid="{040F3586-419E-4585-8ACE-6588AD7C95BD}"/>
  </bookViews>
  <sheets>
    <sheet name="SinglePlot" sheetId="30" state="hidden" r:id="rId1"/>
    <sheet name="Overview" sheetId="27" r:id="rId2"/>
    <sheet name="Glue" sheetId="25" r:id="rId3"/>
  </sheets>
  <functionGroups builtInGroupCount="19"/>
  <definedNames>
    <definedName name="Back">Overview!$D$58</definedName>
    <definedName name="Compiled_Lists" localSheetId="2">Glue!$C$71:$C$80</definedName>
    <definedName name="Composition" localSheetId="2">Glue!$C$25:$C$35</definedName>
    <definedName name="CompositionTable" localSheetId="2">Glue!$D$34</definedName>
    <definedName name="DarkHeader" localSheetId="2">Glue!$D$81</definedName>
    <definedName name="Data_Description" localSheetId="2">Glue!$C$9:$C$20</definedName>
    <definedName name="Dataframes">Overview!$C$58:$C$60</definedName>
    <definedName name="Debug" localSheetId="1">Overview!$D$9:$E$54</definedName>
    <definedName name="DebugToggle" localSheetId="1">Overview!$B$6</definedName>
    <definedName name="Definitions" localSheetId="2">Glue!$D$17:$I$17</definedName>
    <definedName name="Description" localSheetId="2">Glue!$D$9</definedName>
    <definedName name="Dimensions" localSheetId="2">Glue!$D$11</definedName>
    <definedName name="Field_Analysis" localSheetId="2">Glue!$D$22:$D$80</definedName>
    <definedName name="Field_Lists" localSheetId="2">Glue!$C$60:$C$68</definedName>
    <definedName name="Field_Overview">Overview!$E$65:$E$71</definedName>
    <definedName name="FieldList1" localSheetId="2">Glue!$D$60:$I$60</definedName>
    <definedName name="FieldList2" localSheetId="2">Glue!$D$61:$I$61</definedName>
    <definedName name="FieldList3" localSheetId="2">Glue!$D$62:$I$62</definedName>
    <definedName name="FieldList4" localSheetId="2">Glue!$D$63:$I$63</definedName>
    <definedName name="FieldList5" localSheetId="2">Glue!$D$64:$I$64</definedName>
    <definedName name="FieldList6" localSheetId="2">Glue!$D$65:$I$65</definedName>
    <definedName name="FieldList7" localSheetId="2">Glue!$D$66:$I$66</definedName>
    <definedName name="FieldList8" localSheetId="2">Glue!$D$67:$I$67</definedName>
    <definedName name="FieldLists" localSheetId="2">Glue!$C$60:$I$67</definedName>
    <definedName name="FieldRange" localSheetId="2">Glue!$D$81:$I$81</definedName>
    <definedName name="Fields">Overview!$C$65:$C$72</definedName>
    <definedName name="FormatRange" localSheetId="2">Glue!$F:$F</definedName>
    <definedName name="Headers" localSheetId="2">Glue!$D$21:$I$21</definedName>
    <definedName name="Headers_Start" localSheetId="2">Glue!$D$21</definedName>
    <definedName name="Histogram" localSheetId="2">Glue!$D$44</definedName>
    <definedName name="LightHeader" localSheetId="2">Glue!$C$81</definedName>
    <definedName name="Name" localSheetId="2">Glue!$C$5</definedName>
    <definedName name="Name" localSheetId="1">Overview!$C$4</definedName>
    <definedName name="Name" localSheetId="0">SinglePlot!$C$4</definedName>
    <definedName name="Notes" localSheetId="2">Glue!$D$19:$I$19</definedName>
    <definedName name="Percentiles" localSheetId="2">Glue!$C$48:$C$57</definedName>
    <definedName name="SerializedLists" localSheetId="2">Glue!$D$71:$D$80</definedName>
    <definedName name="SinglePlot" localSheetId="0">SinglePlot!$C$10</definedName>
    <definedName name="Summary_Stats" localSheetId="2">Glue!$C$38:$C$45</definedName>
    <definedName name="Theme" localSheetId="2">Glue!$B$21:$I$21</definedName>
    <definedName name="Theme" localSheetId="1">Overview!$E$65:$AD$65</definedName>
    <definedName name="Theme" localSheetId="0">SinglePlot!$B$8:$P$8</definedName>
    <definedName name="Toggles" localSheetId="2">Glue!$B$7,Glue!$B$23,Glue!$B$36,Glue!$B$46,Glue!$B$58,Glue!$B$69</definedName>
    <definedName name="TopToggle" localSheetId="2">Glue!$B$5</definedName>
    <definedName name="Warning" localSheetId="2">Glue!$D$1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9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7" i="27"/>
  <c r="G69" i="27"/>
  <c r="G70" i="27"/>
  <c r="G66" i="27"/>
  <c r="G71" i="27"/>
  <c r="G68" i="27"/>
  <c r="F67" i="27"/>
  <c r="F68" i="27"/>
  <c r="F69" i="27"/>
  <c r="F71" i="27"/>
  <c r="F70" i="27"/>
  <c r="F66" i="27"/>
  <c r="C67" i="27"/>
  <c r="C69" i="27"/>
  <c r="C70" i="27"/>
  <c r="C71" i="27"/>
  <c r="C66" i="27"/>
  <c r="C68" i="27"/>
  <c r="E59" i="27"/>
  <c r="I59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<sst xmlns="http://schemas.openxmlformats.org/spreadsheetml/2006/main" count="403" uniqueCount="146">
  <si>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</si>
  <si>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</si>
  <si>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</si>
  <si>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</si>
  <si>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</si>
  <si>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</si>
  <si>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</si>
  <si>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</si>
  <si>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</si>
  <si>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</si>
  <si>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</si>
  <si>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</si>
  <si>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</si>
  <si>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</si>
  <si>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</si>
  <si>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</si>
  <si>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</si>
  <si>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</si>
  <si>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</si>
  <si>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</si>
  <si>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</si>
  <si>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</si>
  <si>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</si>
  <si>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</si>
  <si>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</si>
  <si>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</si>
  <si>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</si>
  <si>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</si>
  <si>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</si>
  <si>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</si>
  <si>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</si>
  <si>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</si>
  <si>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</si>
  <si>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</si>
  <si>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</si>
  <si>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</si>
  <si>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</si>
  <si>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</si>
  <si>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</si>
  <si>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</si>
  <si>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</si>
  <si>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</si>
  <si>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</si>
  <si>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</si>
  <si>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</si>
  <si>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</si>
  <si>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</si>
  <si>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</si>
  <si>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</si>
  <si>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</si>
  <si>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</si>
  <si>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</si>
  <si>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</si>
  <si>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</si>
  <si>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</si>
  <si>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</si>
  <si>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</si>
  <si>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</si>
  <si>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</si>
  <si>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Creating Workbook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</si>
  <si>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</si>
  <si>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</si>
  <si>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</si>
  <si>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</si>
  <si>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</si>
  <si>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</si>
  <si>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</si>
  <si>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</si>
  <si>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</si>
  <si>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</si>
  <si>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</si>
  <si>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</si>
  <si>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</si>
  <si>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</si>
  <si>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</si>
  <si>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</si>
  <si>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</si>
  <si>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</si>
  <si>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</si>
  <si>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</si>
  <si>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</si>
  <si>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</si>
  <si>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</si>
  <si>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wb_path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</si>
  <si>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</si>
  <si>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</si>
  <si>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</si>
  <si>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</si>
  <si>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</si>
  <si>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</si>
  <si>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</si>
  <si>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</si>
  <si>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</si>
  <si>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</si>
  <si>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</si>
  <si>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</si>
  <si>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</si>
  <si>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</si>
  <si>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</si>
  <si>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Preparing Data</t>
  </si>
  <si>
    <t>Dataframe Description</t>
  </si>
  <si>
    <t>Errors</t>
  </si>
  <si>
    <t>Glue</t>
  </si>
  <si>
    <t>Model</t>
  </si>
  <si>
    <t>Year</t>
  </si>
  <si>
    <t>Encoder</t>
  </si>
  <si>
    <t>Task</t>
  </si>
  <si>
    <t>Score</t>
  </si>
  <si>
    <t>index</t>
  </si>
  <si>
    <t>Record Hash</t>
  </si>
  <si>
    <t>str</t>
  </si>
  <si>
    <t>int64</t>
  </si>
  <si>
    <t>float64</t>
  </si>
  <si>
    <t>BERT</t>
  </si>
  <si>
    <t>LSTM</t>
  </si>
  <si>
    <t>CoLA</t>
  </si>
  <si>
    <t>ERNIE</t>
  </si>
  <si>
    <t>Transformer</t>
  </si>
  <si>
    <t>T5</t>
  </si>
  <si>
    <t>RoBERTa</t>
  </si>
  <si>
    <t>BiLSTM+ELMo</t>
  </si>
  <si>
    <t>BiLSTM+CoVe</t>
  </si>
  <si>
    <t>BiLSTM+Attn</t>
  </si>
  <si>
    <t>BiLSTM</t>
  </si>
  <si>
    <t>SST-2</t>
  </si>
  <si>
    <t>MRPC</t>
  </si>
  <si>
    <t>STS-B</t>
  </si>
  <si>
    <t>QQP</t>
  </si>
  <si>
    <t>MNLI</t>
  </si>
  <si>
    <t>QNLI</t>
  </si>
  <si>
    <t>RTE</t>
  </si>
  <si>
    <t>Windows</t>
  </si>
  <si>
    <t>Terminal or IDE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</si>
  <si>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</si>
  <si>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</si>
  <si>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</si>
  <si>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</si>
  <si>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</si>
  <si>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</si>
  <si>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file_name</t>
  </si>
  <si>
    <t>#6e402b</t>
  </si>
  <si>
    <t>examples\other_examples</t>
  </si>
  <si>
    <t>Preparing Workbook</t>
  </si>
  <si>
    <t>Error Type</t>
  </si>
  <si>
    <t>No errors occurred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</si>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</sst>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6E402B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2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3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4" fillId="5" borderId="16" xfId="7" applyNumberFormat="1" applyFont="1" applyFill="1" applyBorder="1" applyAlignment="1">
      <alignment horizontal="left" vertical="center" wrapText="1" indent="1"/>
    </xf>
    <xf numFmtId="3" fontId="34" fillId="5" borderId="19" xfId="7" applyNumberFormat="1" applyFont="1" applyFill="1" applyBorder="1">
      <alignment horizontal="center" vertical="center" wrapText="1"/>
    </xf>
    <xf numFmtId="3" fontId="34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31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6E402B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6E402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03"/>
      <tableStyleElement type="headerRow" dxfId="102"/>
      <tableStyleElement type="totalRow" dxfId="101"/>
    </tableStyle>
    <tableStyle name="DarkTable" pivot="0" count="2" xr9:uid="{97C242D2-6F6D-4549-9428-17456D609B35}">
      <tableStyleElement type="wholeTable" dxfId="100"/>
      <tableStyleElement type="headerRow" dxfId="99"/>
    </tableStyle>
    <tableStyle name="SlicerStyleDark" pivot="0" table="0" count="10" xr9:uid="{11F1E452-086F-4069-BF08-FF8656253E5D}">
      <tableStyleElement type="wholeTable" dxfId="98"/>
      <tableStyleElement type="headerRow" dxfId="97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55</xdr:row>
      <xdr:rowOff>9525</xdr:rowOff>
    </xdr:from>
    <xdr:to>
      <xdr:col>2</xdr:col>
      <xdr:colOff>1397127</xdr:colOff>
      <xdr:row>55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Model">
          <a:extLst>
            <a:ext uri="{FF2B5EF4-FFF2-40B4-BE49-F238E27FC236}">
              <a16:creationId xmlns:a16="http://schemas.microsoft.com/office/drawing/2014/main" id="{18562444-3A08-0330-CF16-A724B147B2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2" name="composition_Year">
          <a:extLst>
            <a:ext uri="{FF2B5EF4-FFF2-40B4-BE49-F238E27FC236}">
              <a16:creationId xmlns:a16="http://schemas.microsoft.com/office/drawing/2014/main" id="{FED01662-2C0A-8CC3-934B-3662728885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4" name="histogram_Year">
          <a:extLst>
            <a:ext uri="{FF2B5EF4-FFF2-40B4-BE49-F238E27FC236}">
              <a16:creationId xmlns:a16="http://schemas.microsoft.com/office/drawing/2014/main" id="{ED2ED6EE-332C-FA53-5D0A-BEB8CD150C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6" name="composition_Encoder">
          <a:extLst>
            <a:ext uri="{FF2B5EF4-FFF2-40B4-BE49-F238E27FC236}">
              <a16:creationId xmlns:a16="http://schemas.microsoft.com/office/drawing/2014/main" id="{92E93A82-D0D2-BB56-9BEF-9548D17AF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18" name="composition_Task">
          <a:extLst>
            <a:ext uri="{FF2B5EF4-FFF2-40B4-BE49-F238E27FC236}">
              <a16:creationId xmlns:a16="http://schemas.microsoft.com/office/drawing/2014/main" id="{DFD0D79F-5AAC-C7D9-0972-DA15F5777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0" name="composition_Score">
          <a:extLst>
            <a:ext uri="{FF2B5EF4-FFF2-40B4-BE49-F238E27FC236}">
              <a16:creationId xmlns:a16="http://schemas.microsoft.com/office/drawing/2014/main" id="{7F3FC82A-09B3-1820-0E0F-D37136B38C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2" name="histogram_Score">
          <a:extLst>
            <a:ext uri="{FF2B5EF4-FFF2-40B4-BE49-F238E27FC236}">
              <a16:creationId xmlns:a16="http://schemas.microsoft.com/office/drawing/2014/main" id="{57B29E25-79D5-99BB-90D9-0E42A6B4B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24" name="composition_index">
          <a:extLst>
            <a:ext uri="{FF2B5EF4-FFF2-40B4-BE49-F238E27FC236}">
              <a16:creationId xmlns:a16="http://schemas.microsoft.com/office/drawing/2014/main" id="{3ED59B22-B5B1-B45E-8CE6-28D69CE7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26" name="histogram_index">
          <a:extLst>
            <a:ext uri="{FF2B5EF4-FFF2-40B4-BE49-F238E27FC236}">
              <a16:creationId xmlns:a16="http://schemas.microsoft.com/office/drawing/2014/main" id="{8A4D912F-FDC7-09B3-93DE-A6A34A6460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394335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5" totalsRowShown="0" headerRowDxfId="89" dataDxfId="87" headerRowBorderDxfId="88" tableBorderDxfId="86" totalsRowBorderDxfId="85">
  <tableColumns count="3">
    <tableColumn id="1" xr3:uid="{5EB43B6F-4FF7-4D4C-8202-BD94842B8017}" name="Production Section" dataDxfId="84" dataCellStyle="DarkHeader"/>
    <tableColumn id="2" xr3:uid="{71F0A434-8F03-4CF9-987C-D6F88D936E0A}" name="Production Time in Seconds" dataDxfId="83"/>
    <tableColumn id="3" xr3:uid="{507EC883-FE9F-434C-8323-6EBB4691FEEE}" name="% of Production Time" dataDxfId="82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5" totalsRowShown="0" headerRowDxfId="81" dataDxfId="79" headerRowBorderDxfId="80" tableBorderDxfId="78">
  <tableColumns count="2">
    <tableColumn id="1" xr3:uid="{6A891059-3C09-438F-9AB9-42F8BA5B3379}" name="Environment Variable" dataDxfId="77" dataCellStyle="DarkHeader"/>
    <tableColumn id="2" xr3:uid="{D9E0C91D-D549-4194-8575-1343B51883A7}" name="Value" dataDxfId="76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1" totalsRowShown="0" headerRowDxfId="75" headerRowBorderDxfId="74" tableBorderDxfId="73" totalsRowBorderDxfId="72">
  <tableColumns count="2">
    <tableColumn id="1" xr3:uid="{BAFB02A5-6AA3-46EF-A3FA-1FC44F32BBF4}" name="Input Argument" dataDxfId="71" dataCellStyle="DarkHeader"/>
    <tableColumn id="2" xr3:uid="{402A365F-6164-4790-9B23-3CC27E2F5642}" name="Value" dataDxfId="70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69" dataDxfId="67" headerRowBorderDxfId="68" tableBorderDxfId="66" totalsRowBorderDxfId="65">
  <tableColumns count="2">
    <tableColumn id="1" xr3:uid="{CA519729-E316-4F10-9FC9-4DAD4EBFD7D6}" name="Error Type" dataDxfId="64" dataCellStyle="DarkHeader"/>
    <tableColumn id="2" xr3:uid="{E2631007-AAAB-4565-904C-CFF05E0A66F2}" name="Value" dataDxfId="63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71" totalsRowShown="0" headerRowDxfId="0" dataDxfId="61" headerRowBorderDxfId="62">
  <tableColumns count="28">
    <tableColumn id="1" xr3:uid="{BFB84B7E-8B25-47B3-90FE-AC7BFBAF30EB}" name="_" dataDxfId="60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59"/>
    <tableColumn id="3" xr3:uid="{3DFD5F5C-6F27-4E63-A437-05AB0A6A5E08}" name="Field" dataDxfId="58"/>
    <tableColumn id="4" xr3:uid="{0D07D95C-96ED-4D23-9CF7-D9AF683F9A4E}" name="Definition" dataDxfId="57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56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55"/>
    <tableColumn id="7" xr3:uid="{ACD85635-5643-4A9B-813A-F207FE56A1F7}" name="Distinct %" dataDxfId="54"/>
    <tableColumn id="8" xr3:uid="{37F20288-EC2E-4725-99D2-CA17AD77187C}" name="Missing %" dataDxfId="53"/>
    <tableColumn id="9" xr3:uid="{AC5DCE77-89A5-4067-8459-E0B28ED6C6C0}" name="Memory Usage %" dataDxfId="52"/>
    <tableColumn id="10" xr3:uid="{13D1C1A3-C851-4716-A780-608651BD57A2}" name="Memory Usage" dataDxfId="51"/>
    <tableColumn id="11" xr3:uid="{0E8B2640-5F58-4903-BB55-28298096FFE3}" name="Distinct" dataDxfId="50"/>
    <tableColumn id="12" xr3:uid="{D9F8262C-D1A8-4E72-90A6-B3C791F40382}" name="Count" dataDxfId="49"/>
    <tableColumn id="13" xr3:uid="{F03D5777-4C4C-461A-A414-310E41569255}" name="Count %" dataDxfId="48"/>
    <tableColumn id="14" xr3:uid="{DF6FEF9E-3BDB-44B7-B4A6-A86DF8793B7F}" name="Missing" dataDxfId="47"/>
    <tableColumn id="15" xr3:uid="{3292451D-4821-4F0F-A130-FA933CEF470F}" name="Mean" dataDxfId="46"/>
    <tableColumn id="16" xr3:uid="{43CC4EEF-B158-44ED-B44E-B63B3F4A01C7}" name="Median" dataDxfId="45"/>
    <tableColumn id="17" xr3:uid="{C72B8A11-2B77-4566-95E5-3532F39E2D81}" name="Mode" dataDxfId="44"/>
    <tableColumn id="18" xr3:uid="{61FEB60D-DA84-48AE-A3A3-D30021858F27}" name="Standard Deviation" dataDxfId="43"/>
    <tableColumn id="19" xr3:uid="{9832059F-A51E-4914-9929-224D64D5EA37}" name="Variance" dataDxfId="42"/>
    <tableColumn id="20" xr3:uid="{297F3021-9C27-46B1-B59B-27E05043CB4F}" name="Min" dataDxfId="41"/>
    <tableColumn id="21" xr3:uid="{7D4025BB-011A-4A8D-AB83-A125143050AC}" name="5%" dataDxfId="40"/>
    <tableColumn id="22" xr3:uid="{7AAF0884-12EA-4711-AFEF-2E750982712D}" name="25%" dataDxfId="39"/>
    <tableColumn id="23" xr3:uid="{EFB46394-A032-44BC-8584-974E11E6FFD6}" name="50%" dataDxfId="38"/>
    <tableColumn id="24" xr3:uid="{BFC5EF86-6080-4A18-970E-D74C31031F6F}" name="75%" dataDxfId="37"/>
    <tableColumn id="25" xr3:uid="{108ECE2B-AAB5-44B0-9B12-FB15AAF95230}" name="95%" dataDxfId="36"/>
    <tableColumn id="26" xr3:uid="{F7CB1526-3F23-44F4-A638-A08C3D7E8D1E}" name="Max" dataDxfId="35"/>
    <tableColumn id="27" xr3:uid="{3AFFF5B7-F5C9-49C4-B2F7-16A4511F9680}" name="Range" dataDxfId="34"/>
    <tableColumn id="28" xr3:uid="{94B53881-0AEC-4C9C-A50E-FDE25F882669}" name="IQR" dataDxfId="33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8:K59" totalsRowShown="0" headerRowDxfId="1" headerRowBorderDxfId="32" tableBorderDxfId="31">
  <tableColumns count="9">
    <tableColumn id="1" xr3:uid="{95AE6ED1-2225-487F-9D3B-3E94D426571D}" name="_" dataDxfId="30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29" dataCellStyle="Hyperlink"/>
    <tableColumn id="3" xr3:uid="{CBB5816F-DADE-468F-A97D-43A695D8EBE2}" name="Dataframe Description" dataDxfId="28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27"/>
    <tableColumn id="5" xr3:uid="{AE043E66-D074-402F-8F8A-8B2943350D33}" name="Rows" dataDxfId="26"/>
    <tableColumn id="6" xr3:uid="{8BA7A5F7-5211-4C26-8823-68B970025E20}" name="Columns" dataDxfId="25"/>
    <tableColumn id="7" xr3:uid="{2284F716-E451-41AC-A7E6-EE845FAAB2AA}" name="Fields Defined %" dataDxfId="24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23" dataCellStyle="Percent"/>
    <tableColumn id="8" xr3:uid="{FABC8667-DE28-4090-A23A-CBDDF1BCD6C8}" name="Subsampled" dataDxfId="22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K145" totalsRowShown="0" headerRowDxfId="8" dataDxfId="7" headerRowCellStyle="DarkHeader" dataCellStyle="Normal">
  <autoFilter ref="C81:K145" xr:uid="{DB1D1E60-5E37-456A-AD85-0649D531840E}"/>
  <tableColumns count="9">
    <tableColumn id="1" xr3:uid="{57EDF41E-F06D-4819-BADE-3D62DE46F06C}" name="Record List" dataDxfId="5" dataCellStyle="Normal"/>
    <tableColumn id="2" xr3:uid="{CF70C9CE-83FE-40FA-8089-C68B39CF665A}" name="Model" dataDxfId="6" dataCellStyle="Normal"/>
    <tableColumn id="3" xr3:uid="{B8654690-502A-4FAF-9205-0118DABCB954}" name="Year" dataDxfId="12" dataCellStyle="Normal"/>
    <tableColumn id="4" xr3:uid="{5A5BA001-2F93-4E62-880C-C4E8BDB17EEB}" name="Encoder" dataDxfId="11" dataCellStyle="Normal"/>
    <tableColumn id="5" xr3:uid="{0E3ECB86-14AD-4E8F-822B-0A0F8036EEAD}" name="Task" dataDxfId="10" dataCellStyle="Normal"/>
    <tableColumn id="6" xr3:uid="{C44FE9F1-FF94-4ED4-8410-6EBF06350607}" name="Score" dataDxfId="9" dataCellStyle="Normal"/>
    <tableColumn id="7" xr3:uid="{06A98188-60D5-44CB-A382-5BB4CEC2DBE4}" name="index" dataDxfId="4" dataCellStyle="Normal"/>
    <tableColumn id="8" xr3:uid="{3633994B-A4C3-4A33-8CE4-E07FC1AB5303}" name="HasBlank" dataDxfId="3" dataCellStyle="Normal"/>
    <tableColumn id="9" xr3:uid="{480AD943-0F9A-4315-AA48-01093A9B7260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2" t="s">
        <v>94</v>
      </c>
      <c r="D2" s="82"/>
    </row>
    <row r="3" spans="2:16" ht="10.050000000000001" customHeight="1">
      <c r="B3" s="75"/>
    </row>
    <row r="4" spans="2:16" ht="30" customHeight="1">
      <c r="B4" s="99" t="e" vm="1">
        <v>#VALUE!</v>
      </c>
      <c r="C4" s="54" t="s">
        <v>96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72"/>
  <sheetViews>
    <sheetView tabSelected="1" zoomScale="85" zoomScaleNormal="85" workbookViewId="0">
      <selection activeCell="C59" sqref="C59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3" customFormat="1" ht="4.95" customHeight="1"/>
    <row r="2" spans="1:28" ht="14.4" customHeight="1">
      <c r="A2" s="69"/>
    </row>
    <row r="3" spans="1:28" s="83" customFormat="1" ht="10.050000000000001" customHeight="1">
      <c r="A3" s="69"/>
    </row>
    <row r="4" spans="1:28" ht="30" customHeight="1">
      <c r="B4" s="100" t="e" vm="1">
        <v>#VALUE!</v>
      </c>
      <c r="C4" s="54" t="s">
        <v>87</v>
      </c>
      <c r="D4" s="72"/>
      <c r="AB4" s="4"/>
    </row>
    <row r="5" spans="1:28" ht="10.050000000000001" customHeight="1">
      <c r="C5" s="54"/>
      <c r="AB5" s="4"/>
    </row>
    <row r="6" spans="1:28" ht="15" customHeight="1">
      <c r="B6" s="80" t="s">
        <v>62</v>
      </c>
      <c r="C6" s="82" t="s">
        <v>95</v>
      </c>
      <c r="D6" s="52"/>
      <c r="E6" s="43"/>
      <c r="F6" s="53"/>
      <c r="G6" s="43"/>
      <c r="H6" s="109"/>
      <c r="I6" s="109"/>
      <c r="J6" s="43"/>
      <c r="K6" s="43"/>
    </row>
    <row r="7" spans="1:28" ht="15" hidden="1" customHeight="1">
      <c r="C7" s="43"/>
      <c r="D7" s="43"/>
      <c r="E7" s="43"/>
      <c r="F7" s="43"/>
      <c r="G7" s="43"/>
      <c r="H7" s="109"/>
      <c r="I7" s="109"/>
      <c r="J7" s="43"/>
      <c r="K7" s="43"/>
    </row>
    <row r="8" spans="1:28" ht="15" customHeight="1">
      <c r="C8" s="43"/>
      <c r="D8" s="43"/>
      <c r="E8" s="43"/>
      <c r="F8" s="43"/>
      <c r="G8" s="101"/>
      <c r="H8" s="81"/>
      <c r="I8" s="81"/>
      <c r="J8" s="43"/>
      <c r="K8" s="43"/>
    </row>
    <row r="9" spans="1:28" ht="30" hidden="1" customHeight="1">
      <c r="B9" s="1"/>
      <c r="C9" s="110" t="s">
        <v>97</v>
      </c>
      <c r="D9" s="110"/>
      <c r="F9" s="43"/>
      <c r="G9" s="43"/>
      <c r="H9" s="110" t="s">
        <v>101</v>
      </c>
      <c r="I9" s="110"/>
      <c r="J9" s="43"/>
      <c r="K9" s="43"/>
    </row>
    <row r="10" spans="1:28" ht="4.95" hidden="1" customHeight="1">
      <c r="C10" s="43"/>
      <c r="D10" s="43"/>
      <c r="E10" s="43"/>
    </row>
    <row r="11" spans="1:28" ht="30" hidden="1" customHeight="1">
      <c r="B11" s="41"/>
      <c r="D11" s="103" t="s">
        <v>56</v>
      </c>
      <c r="E11" s="105" t="s">
        <v>57</v>
      </c>
      <c r="F11" s="104" t="s">
        <v>58</v>
      </c>
      <c r="H11" s="103" t="s">
        <v>143</v>
      </c>
      <c r="I11" s="104" t="s">
        <v>55</v>
      </c>
    </row>
    <row r="12" spans="1:28" ht="15" hidden="1" customHeight="1">
      <c r="D12" s="106" t="s">
        <v>99</v>
      </c>
      <c r="E12" s="51">
        <v>3.5953283309936523E-2</v>
      </c>
      <c r="F12" s="50">
        <v>2.0455999260757607E-3</v>
      </c>
      <c r="H12" s="49" t="s">
        <v>144</v>
      </c>
      <c r="I12" s="107" t="s">
        <v>145</v>
      </c>
    </row>
    <row r="13" spans="1:28" ht="15" hidden="1" customHeight="1">
      <c r="D13" s="106" t="s">
        <v>142</v>
      </c>
      <c r="E13" s="51">
        <v>7.5441250801086426</v>
      </c>
      <c r="F13" s="50">
        <v>0.4292309431976542</v>
      </c>
    </row>
    <row r="14" spans="1:28" ht="15" hidden="1" customHeight="1">
      <c r="D14" s="106" t="s">
        <v>59</v>
      </c>
      <c r="E14" s="51">
        <v>4.1090433597564697</v>
      </c>
      <c r="F14" s="50">
        <v>0.23378835030170628</v>
      </c>
    </row>
    <row r="15" spans="1:28" ht="15" hidden="1" customHeight="1">
      <c r="D15" s="106" t="s">
        <v>60</v>
      </c>
      <c r="E15" s="51">
        <v>5.8863382339477539</v>
      </c>
      <c r="F15" s="50">
        <v>0.33490941432023857</v>
      </c>
    </row>
    <row r="16" spans="1:28" ht="15" hidden="1" customHeight="1">
      <c r="C16" s="43"/>
      <c r="D16" s="43"/>
      <c r="E16" s="43"/>
    </row>
    <row r="17" spans="2:12" ht="10.050000000000001" hidden="1" customHeight="1">
      <c r="C17" s="43"/>
      <c r="F17" s="43"/>
      <c r="H17" s="78"/>
      <c r="I17" s="79"/>
      <c r="L17" s="38"/>
    </row>
    <row r="18" spans="2:12" ht="30" hidden="1" customHeight="1">
      <c r="C18" s="110" t="s">
        <v>52</v>
      </c>
      <c r="D18" s="110"/>
      <c r="E18" s="77"/>
      <c r="L18" s="38"/>
    </row>
    <row r="19" spans="2:12" ht="4.95" hidden="1" customHeight="1">
      <c r="D19" s="43"/>
      <c r="E19" s="43"/>
    </row>
    <row r="20" spans="2:12" ht="30" hidden="1" customHeight="1">
      <c r="D20" s="103" t="s">
        <v>54</v>
      </c>
      <c r="E20" s="104" t="s">
        <v>55</v>
      </c>
    </row>
    <row r="21" spans="2:12" ht="15" hidden="1" customHeight="1">
      <c r="D21" s="44" t="s">
        <v>63</v>
      </c>
      <c r="E21" s="57" t="s">
        <v>131</v>
      </c>
    </row>
    <row r="22" spans="2:12" ht="15" hidden="1" customHeight="1">
      <c r="D22" s="44" t="s">
        <v>64</v>
      </c>
      <c r="E22" s="57" t="s">
        <v>132</v>
      </c>
    </row>
    <row r="23" spans="2:12" ht="15" hidden="1" customHeight="1">
      <c r="D23" s="44" t="s">
        <v>65</v>
      </c>
      <c r="E23" s="57">
        <v>16</v>
      </c>
    </row>
    <row r="24" spans="2:12" ht="15" hidden="1" customHeight="1">
      <c r="D24" s="44" t="s">
        <v>66</v>
      </c>
      <c r="E24" s="57" t="b">
        <v>0</v>
      </c>
    </row>
    <row r="25" spans="2:12" ht="15" hidden="1" customHeight="1">
      <c r="D25" s="44" t="s">
        <v>67</v>
      </c>
      <c r="E25" s="57" t="b">
        <v>1</v>
      </c>
    </row>
    <row r="26" spans="2:12" ht="15" hidden="1" customHeight="1">
      <c r="D26" s="44" t="s">
        <v>68</v>
      </c>
      <c r="E26" s="57" t="s">
        <v>133</v>
      </c>
    </row>
    <row r="27" spans="2:12" ht="15" hidden="1" customHeight="1">
      <c r="D27" s="44" t="s">
        <v>69</v>
      </c>
      <c r="E27" s="58">
        <v>46197</v>
      </c>
    </row>
    <row r="28" spans="2:12" ht="15" hidden="1" customHeight="1">
      <c r="D28" s="44" t="s">
        <v>70</v>
      </c>
      <c r="E28" s="57">
        <v>11</v>
      </c>
    </row>
    <row r="29" spans="2:12" ht="15" hidden="1" customHeight="1">
      <c r="B29" s="39"/>
      <c r="D29" s="44" t="s">
        <v>71</v>
      </c>
      <c r="E29" s="57" t="s">
        <v>134</v>
      </c>
    </row>
    <row r="30" spans="2:12" ht="15" hidden="1" customHeight="1">
      <c r="D30" s="44" t="s">
        <v>72</v>
      </c>
      <c r="E30" s="57" t="s">
        <v>135</v>
      </c>
    </row>
    <row r="31" spans="2:12" ht="15" hidden="1" customHeight="1">
      <c r="D31" s="44" t="s">
        <v>73</v>
      </c>
      <c r="E31" s="57" t="s">
        <v>136</v>
      </c>
    </row>
    <row r="32" spans="2:12" ht="15" hidden="1" customHeight="1">
      <c r="D32" s="44" t="s">
        <v>74</v>
      </c>
      <c r="E32" s="57" t="s">
        <v>137</v>
      </c>
      <c r="I32" s="78"/>
      <c r="J32" s="79"/>
      <c r="K32" s="43"/>
    </row>
    <row r="33" spans="2:25" ht="15" hidden="1" customHeight="1">
      <c r="D33" s="44" t="s">
        <v>75</v>
      </c>
      <c r="E33" s="57" t="s">
        <v>138</v>
      </c>
      <c r="K33" s="43"/>
    </row>
    <row r="34" spans="2:25" ht="15" hidden="1" customHeight="1">
      <c r="B34" s="40"/>
      <c r="C34" s="45"/>
      <c r="D34" s="44" t="s">
        <v>76</v>
      </c>
      <c r="E34" s="57">
        <v>160</v>
      </c>
      <c r="K34" s="43"/>
    </row>
    <row r="35" spans="2:25" ht="15" hidden="1" customHeight="1">
      <c r="B35" s="40"/>
      <c r="C35" s="45"/>
      <c r="D35" s="49" t="s">
        <v>77</v>
      </c>
      <c r="E35" s="57">
        <v>8</v>
      </c>
      <c r="K35" s="43"/>
    </row>
    <row r="36" spans="2:25" ht="15" hidden="1" customHeight="1">
      <c r="B36" s="40"/>
      <c r="C36" s="45"/>
      <c r="D36" s="78"/>
      <c r="E36" s="57"/>
      <c r="K36" s="43"/>
    </row>
    <row r="37" spans="2:25" ht="15" hidden="1" customHeight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>
      <c r="C38" s="110" t="s">
        <v>53</v>
      </c>
      <c r="D38" s="110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>
      <c r="D40" s="103" t="s">
        <v>61</v>
      </c>
      <c r="E40" s="104" t="s">
        <v>55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>
      <c r="D41" s="48" t="s">
        <v>139</v>
      </c>
      <c r="E41" s="55" t="s">
        <v>102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>
      <c r="D42" s="44" t="s">
        <v>78</v>
      </c>
      <c r="E42" s="56" t="s">
        <v>102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>
      <c r="D43" s="63" t="s">
        <v>79</v>
      </c>
      <c r="E43" s="56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>
      <c r="D44" s="63" t="s">
        <v>80</v>
      </c>
      <c r="E44" s="56" t="s">
        <v>140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>
      <c r="D45" s="63" t="s">
        <v>81</v>
      </c>
      <c r="E45" s="56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>
      <c r="D46" s="63" t="s">
        <v>82</v>
      </c>
      <c r="E46" s="56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>
      <c r="D47" s="63" t="s">
        <v>83</v>
      </c>
      <c r="E47" s="56" t="s">
        <v>141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>
      <c r="D48" s="63" t="s">
        <v>84</v>
      </c>
      <c r="E48" s="56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>
      <c r="D49" s="63" t="s">
        <v>85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>
      <c r="D50" s="63" t="s">
        <v>86</v>
      </c>
      <c r="E50" s="56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>
      <c r="D51" s="64" t="s">
        <v>66</v>
      </c>
      <c r="E51" s="65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>
      <c r="D52" s="47"/>
      <c r="E52" s="46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s="83" customFormat="1" ht="15" customHeight="1">
      <c r="D55" s="47"/>
      <c r="E55" s="46"/>
      <c r="F55" s="43"/>
      <c r="G55" s="43"/>
      <c r="H55" s="43"/>
      <c r="I55" s="43"/>
      <c r="J55" s="43"/>
      <c r="K55" s="43"/>
      <c r="W55" s="42"/>
      <c r="Y55" s="38"/>
    </row>
    <row r="56" spans="1:31" ht="15" customHeight="1">
      <c r="A56" s="6"/>
      <c r="B56" s="67" t="s">
        <v>62</v>
      </c>
      <c r="C56" s="102" t="s">
        <v>89</v>
      </c>
      <c r="AB56" s="4"/>
    </row>
    <row r="57" spans="1:31" ht="15" customHeight="1">
      <c r="C57" s="54"/>
      <c r="AB57" s="4"/>
    </row>
    <row r="58" spans="1:31" ht="30" customHeight="1" outlineLevel="1">
      <c r="C58" s="122" t="s">
        <v>93</v>
      </c>
      <c r="D58" s="123" t="s">
        <v>88</v>
      </c>
      <c r="E58" s="124" t="s">
        <v>100</v>
      </c>
      <c r="F58" s="125" t="s">
        <v>91</v>
      </c>
      <c r="G58" s="126" t="s">
        <v>6</v>
      </c>
      <c r="H58" s="126" t="s">
        <v>48</v>
      </c>
      <c r="I58" s="126" t="s">
        <v>92</v>
      </c>
      <c r="J58" s="126" t="s">
        <v>10</v>
      </c>
      <c r="K58" s="125" t="s">
        <v>98</v>
      </c>
      <c r="AE58" s="4"/>
    </row>
    <row r="59" spans="1:31" ht="15" customHeight="1" outlineLevel="1">
      <c r="C59" s="137" t="str">
        <f>HYPERLINK("#'"&amp;tbl_DfOverview[[#This Row],[Dataframe]]&amp;"'!Headers_Start", "Link")</f>
        <v>Link</v>
      </c>
      <c r="D59" s="93" t="s">
        <v>102</v>
      </c>
      <c r="E59" s="94" t="str">
        <f ca="1">INDIRECT("'"&amp;tbl_DfOverview[[#This Row],[Dataframe]]&amp;"'!Description")</f>
        <v>Dataset Description</v>
      </c>
      <c r="F59" s="108">
        <v>3884</v>
      </c>
      <c r="G59" s="95">
        <v>64</v>
      </c>
      <c r="H59" s="96">
        <v>6</v>
      </c>
      <c r="I59" s="97">
        <f ca="1">IFERROR(SUMPRODUCT((tbl_FieldOverview[Dataframe]=tbl_DfOverview[[#This Row],[Dataframe]]) * (tbl_FieldOverview[Definition]&lt;&gt;"Definition"))/tbl_DfOverview[[#This Row],[Columns]],"")</f>
        <v>0</v>
      </c>
      <c r="J59" s="89">
        <v>0</v>
      </c>
      <c r="K59" s="98" t="b">
        <v>0</v>
      </c>
      <c r="AE59" s="4"/>
    </row>
    <row r="60" spans="1:31" ht="15" customHeight="1" outlineLevel="1"/>
    <row r="61" spans="1:31" ht="15" customHeight="1">
      <c r="AB61" s="4"/>
    </row>
    <row r="62" spans="1:31" ht="15" customHeight="1">
      <c r="B62" s="67" t="s">
        <v>62</v>
      </c>
      <c r="C62" s="102" t="s">
        <v>90</v>
      </c>
      <c r="D62" s="83"/>
      <c r="AB62" s="4"/>
    </row>
    <row r="63" spans="1:31" ht="10.050000000000001" customHeight="1"/>
    <row r="64" spans="1:31" ht="10.050000000000001" customHeight="1"/>
    <row r="65" spans="3:30" ht="30" customHeight="1" outlineLevel="1">
      <c r="C65" s="122" t="s">
        <v>93</v>
      </c>
      <c r="D65" s="127" t="s">
        <v>88</v>
      </c>
      <c r="E65" s="127" t="s">
        <v>39</v>
      </c>
      <c r="F65" s="127" t="s">
        <v>40</v>
      </c>
      <c r="G65" s="127" t="s">
        <v>1</v>
      </c>
      <c r="H65" s="125" t="s">
        <v>8</v>
      </c>
      <c r="I65" s="125" t="s">
        <v>9</v>
      </c>
      <c r="J65" s="125" t="s">
        <v>10</v>
      </c>
      <c r="K65" s="125" t="s">
        <v>11</v>
      </c>
      <c r="L65" s="125" t="s">
        <v>12</v>
      </c>
      <c r="M65" s="125" t="s">
        <v>13</v>
      </c>
      <c r="N65" s="125" t="s">
        <v>14</v>
      </c>
      <c r="O65" s="125" t="s">
        <v>41</v>
      </c>
      <c r="P65" s="125" t="s">
        <v>15</v>
      </c>
      <c r="Q65" s="125" t="s">
        <v>17</v>
      </c>
      <c r="R65" s="125" t="s">
        <v>18</v>
      </c>
      <c r="S65" s="125" t="s">
        <v>19</v>
      </c>
      <c r="T65" s="125" t="s">
        <v>20</v>
      </c>
      <c r="U65" s="125" t="s">
        <v>21</v>
      </c>
      <c r="V65" s="125" t="s">
        <v>23</v>
      </c>
      <c r="W65" s="128" t="s">
        <v>42</v>
      </c>
      <c r="X65" s="128" t="s">
        <v>43</v>
      </c>
      <c r="Y65" s="128" t="s">
        <v>44</v>
      </c>
      <c r="Z65" s="128" t="s">
        <v>45</v>
      </c>
      <c r="AA65" s="128" t="s">
        <v>46</v>
      </c>
      <c r="AB65" s="125" t="s">
        <v>24</v>
      </c>
      <c r="AC65" s="125" t="s">
        <v>25</v>
      </c>
      <c r="AD65" s="125" t="s">
        <v>26</v>
      </c>
    </row>
    <row r="66" spans="3:30" ht="15" customHeight="1" outlineLevel="1">
      <c r="C6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5" t="s">
        <v>102</v>
      </c>
      <c r="E66" s="86" t="s">
        <v>103</v>
      </c>
      <c r="F6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8" t="s">
        <v>110</v>
      </c>
      <c r="I66" s="89">
        <v>0.125</v>
      </c>
      <c r="J66" s="89">
        <v>0</v>
      </c>
      <c r="K66" s="89">
        <v>0.249227600411946</v>
      </c>
      <c r="L66" s="90">
        <v>968</v>
      </c>
      <c r="M66" s="90">
        <v>8</v>
      </c>
      <c r="N66" s="90">
        <v>64</v>
      </c>
      <c r="O66" s="91">
        <v>1</v>
      </c>
      <c r="P66" s="90">
        <v>0</v>
      </c>
      <c r="Q66" s="92"/>
      <c r="R66" s="92"/>
      <c r="S66" s="92" t="s">
        <v>113</v>
      </c>
      <c r="T66" s="92"/>
      <c r="U66" s="92"/>
      <c r="V66" s="92"/>
      <c r="W66" s="92"/>
      <c r="X66" s="92"/>
      <c r="Y66" s="92"/>
      <c r="Z66" s="92"/>
      <c r="AA66" s="92"/>
      <c r="AB66" s="92"/>
      <c r="AC66" s="92"/>
      <c r="AD66" s="92"/>
    </row>
    <row r="67" spans="3:30" ht="15" customHeight="1" outlineLevel="1">
      <c r="C6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5" t="s">
        <v>102</v>
      </c>
      <c r="E67" s="86" t="s">
        <v>104</v>
      </c>
      <c r="F6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8" t="s">
        <v>111</v>
      </c>
      <c r="I67" s="89">
        <v>4.6875E-2</v>
      </c>
      <c r="J67" s="89">
        <v>0</v>
      </c>
      <c r="K67" s="89">
        <v>0.13182286302780599</v>
      </c>
      <c r="L67" s="90">
        <v>512</v>
      </c>
      <c r="M67" s="90">
        <v>3</v>
      </c>
      <c r="N67" s="90">
        <v>64</v>
      </c>
      <c r="O67" s="91">
        <v>1</v>
      </c>
      <c r="P67" s="90">
        <v>0</v>
      </c>
      <c r="Q67" s="92">
        <v>2018</v>
      </c>
      <c r="R67" s="92">
        <v>2018</v>
      </c>
      <c r="S67" s="92">
        <v>2017</v>
      </c>
      <c r="T67" s="92">
        <v>0.872871560943969</v>
      </c>
      <c r="U67" s="92">
        <v>0.76190476190476097</v>
      </c>
      <c r="V67" s="92">
        <v>2017</v>
      </c>
      <c r="W67" s="92">
        <v>2017</v>
      </c>
      <c r="X67" s="92">
        <v>2017</v>
      </c>
      <c r="Y67" s="92">
        <v>2018</v>
      </c>
      <c r="Z67" s="92">
        <v>2019</v>
      </c>
      <c r="AA67" s="92">
        <v>2019</v>
      </c>
      <c r="AB67" s="92">
        <v>2019</v>
      </c>
      <c r="AC67" s="92">
        <v>2</v>
      </c>
      <c r="AD67" s="92">
        <v>2</v>
      </c>
    </row>
    <row r="68" spans="3:30" ht="15" customHeight="1" outlineLevel="1">
      <c r="C6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5" t="s">
        <v>102</v>
      </c>
      <c r="E68" s="86" t="s">
        <v>105</v>
      </c>
      <c r="F6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8" t="s">
        <v>110</v>
      </c>
      <c r="I68" s="89">
        <v>3.125E-2</v>
      </c>
      <c r="J68" s="89">
        <v>0</v>
      </c>
      <c r="K68" s="89">
        <v>0.25540679711637398</v>
      </c>
      <c r="L68" s="90">
        <v>992</v>
      </c>
      <c r="M68" s="90">
        <v>2</v>
      </c>
      <c r="N68" s="90">
        <v>64</v>
      </c>
      <c r="O68" s="91">
        <v>1</v>
      </c>
      <c r="P68" s="90">
        <v>0</v>
      </c>
      <c r="Q68" s="92"/>
      <c r="R68" s="92"/>
      <c r="S68" s="92" t="s">
        <v>114</v>
      </c>
      <c r="T68" s="92"/>
      <c r="U68" s="92"/>
      <c r="V68" s="92"/>
      <c r="W68" s="92"/>
      <c r="X68" s="92"/>
      <c r="Y68" s="92"/>
      <c r="Z68" s="92"/>
      <c r="AA68" s="92"/>
      <c r="AB68" s="92"/>
      <c r="AC68" s="92"/>
      <c r="AD68" s="92"/>
    </row>
    <row r="69" spans="3:30" ht="15" customHeight="1" outlineLevel="1">
      <c r="C6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5" t="s">
        <v>102</v>
      </c>
      <c r="E69" s="86" t="s">
        <v>106</v>
      </c>
      <c r="F6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8" t="s">
        <v>110</v>
      </c>
      <c r="I69" s="89">
        <v>0.125</v>
      </c>
      <c r="J69" s="89">
        <v>0</v>
      </c>
      <c r="K69" s="89">
        <v>0.19773429454170899</v>
      </c>
      <c r="L69" s="90">
        <v>768</v>
      </c>
      <c r="M69" s="90">
        <v>8</v>
      </c>
      <c r="N69" s="90">
        <v>64</v>
      </c>
      <c r="O69" s="91">
        <v>1</v>
      </c>
      <c r="P69" s="90">
        <v>0</v>
      </c>
      <c r="Q69" s="92"/>
      <c r="R69" s="92"/>
      <c r="S69" s="92" t="s">
        <v>115</v>
      </c>
      <c r="T69" s="92"/>
      <c r="U69" s="92"/>
      <c r="V69" s="92"/>
      <c r="W69" s="92"/>
      <c r="X69" s="92"/>
      <c r="Y69" s="92"/>
      <c r="Z69" s="92"/>
      <c r="AA69" s="92"/>
      <c r="AB69" s="92"/>
      <c r="AC69" s="92"/>
      <c r="AD69" s="92"/>
    </row>
    <row r="70" spans="3:30" ht="15" customHeight="1" outlineLevel="1">
      <c r="C7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5" t="s">
        <v>102</v>
      </c>
      <c r="E70" s="86" t="s">
        <v>107</v>
      </c>
      <c r="F7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88" t="s">
        <v>112</v>
      </c>
      <c r="I70" s="89">
        <v>0.875</v>
      </c>
      <c r="J70" s="89">
        <v>0</v>
      </c>
      <c r="K70" s="89">
        <v>0.13182286302780599</v>
      </c>
      <c r="L70" s="90">
        <v>512</v>
      </c>
      <c r="M70" s="90">
        <v>56</v>
      </c>
      <c r="N70" s="90">
        <v>64</v>
      </c>
      <c r="O70" s="91">
        <v>1</v>
      </c>
      <c r="P70" s="90">
        <v>0</v>
      </c>
      <c r="Q70" s="92">
        <v>75.579687500000006</v>
      </c>
      <c r="R70" s="92">
        <v>75.5</v>
      </c>
      <c r="S70" s="92">
        <v>57.4</v>
      </c>
      <c r="T70" s="92">
        <v>19.289697716553999</v>
      </c>
      <c r="U70" s="92">
        <v>372.09243799603098</v>
      </c>
      <c r="V70" s="92">
        <v>11.6</v>
      </c>
      <c r="W70" s="92">
        <v>35.19</v>
      </c>
      <c r="X70" s="92">
        <v>66.8</v>
      </c>
      <c r="Y70" s="92">
        <v>75.5</v>
      </c>
      <c r="Z70" s="92">
        <v>92.224999999999994</v>
      </c>
      <c r="AA70" s="92">
        <v>96.87</v>
      </c>
      <c r="AB70" s="92">
        <v>97.8</v>
      </c>
      <c r="AC70" s="92">
        <v>86.2</v>
      </c>
      <c r="AD70" s="92">
        <v>25.424999999999901</v>
      </c>
    </row>
    <row r="71" spans="3:30" ht="15" customHeight="1" outlineLevel="1">
      <c r="C71" s="138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129" t="s">
        <v>102</v>
      </c>
      <c r="E71" s="130" t="s">
        <v>108</v>
      </c>
      <c r="F71" s="131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131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132" t="s">
        <v>111</v>
      </c>
      <c r="I71" s="133">
        <v>1</v>
      </c>
      <c r="J71" s="133">
        <v>0</v>
      </c>
      <c r="K71" s="133">
        <v>3.3985581874356303E-2</v>
      </c>
      <c r="L71" s="134">
        <v>132</v>
      </c>
      <c r="M71" s="134">
        <v>64</v>
      </c>
      <c r="N71" s="134">
        <v>64</v>
      </c>
      <c r="O71" s="135">
        <v>1</v>
      </c>
      <c r="P71" s="134">
        <v>0</v>
      </c>
      <c r="Q71" s="136">
        <v>31.5</v>
      </c>
      <c r="R71" s="136">
        <v>31.5</v>
      </c>
      <c r="S71" s="136">
        <v>0</v>
      </c>
      <c r="T71" s="136">
        <v>18.618986725025199</v>
      </c>
      <c r="U71" s="136">
        <v>346.666666666666</v>
      </c>
      <c r="V71" s="136">
        <v>0</v>
      </c>
      <c r="W71" s="136">
        <v>3.15</v>
      </c>
      <c r="X71" s="136">
        <v>15.75</v>
      </c>
      <c r="Y71" s="136">
        <v>31.5</v>
      </c>
      <c r="Z71" s="136">
        <v>47.25</v>
      </c>
      <c r="AA71" s="136">
        <v>59.849999999999902</v>
      </c>
      <c r="AB71" s="136">
        <v>63</v>
      </c>
      <c r="AC71" s="136">
        <v>63</v>
      </c>
      <c r="AD71" s="136">
        <v>31.5</v>
      </c>
    </row>
    <row r="72" spans="3:30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6:K71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9">
    <cfRule type="cellIs" dxfId="96" priority="1" operator="equal">
      <formula>FALSE</formula>
    </cfRule>
    <cfRule type="cellIs" dxfId="95" priority="6" operator="equal">
      <formula>TRUE</formula>
    </cfRule>
  </conditionalFormatting>
  <conditionalFormatting sqref="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71">
    <cfRule type="cellIs" dxfId="94" priority="10" operator="equal">
      <formula>"Definition"</formula>
    </cfRule>
  </conditionalFormatting>
  <conditionalFormatting sqref="G66:G71">
    <cfRule type="cellIs" dxfId="93" priority="9" operator="equal">
      <formula>"Note"</formula>
    </cfRule>
  </conditionalFormatting>
  <conditionalFormatting sqref="E59">
    <cfRule type="cellIs" dxfId="92" priority="8" operator="equal">
      <formula>"Dataset Description"</formula>
    </cfRule>
  </conditionalFormatting>
  <conditionalFormatting sqref="F12:F15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71">
    <cfRule type="cellIs" dxfId="91" priority="4" operator="equal">
      <formula>"Link"</formula>
    </cfRule>
  </conditionalFormatting>
  <conditionalFormatting sqref="C59">
    <cfRule type="cellIs" dxfId="90" priority="3" operator="equal">
      <formula>"Link"</formula>
    </cfRule>
  </conditionalFormatting>
  <conditionalFormatting sqref="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K145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9" width="27.6640625" style="83" customWidth="1"/>
  </cols>
  <sheetData>
    <row r="1" spans="1:9" ht="19.95" hidden="1" customHeight="1">
      <c r="B1" s="13"/>
      <c r="C1" s="14"/>
      <c r="D1" s="14" t="s">
        <v>0</v>
      </c>
      <c r="E1" s="14"/>
      <c r="F1" s="14"/>
      <c r="G1" s="14"/>
      <c r="H1" s="14"/>
      <c r="I1" s="14"/>
    </row>
    <row r="2" spans="1:9" s="73" customFormat="1" ht="4.95" customHeight="1">
      <c r="C2" s="74"/>
      <c r="D2" s="74"/>
      <c r="E2" s="74"/>
      <c r="F2" s="74"/>
      <c r="G2" s="74"/>
      <c r="H2" s="74"/>
      <c r="I2" s="74"/>
    </row>
    <row r="3" spans="1:9" ht="14.4" customHeight="1">
      <c r="B3" s="82" t="str">
        <f ca="1">HYPERLINK("#" &amp; CELL("address", _xlfn.XLOOKUP(Name,tbl_DfOverview[Dataframe],tbl_DfOverview[_],tbl_DfOverview[[#Headers],[_]])), "Overview ↩")</f>
        <v>Overview ↩</v>
      </c>
      <c r="C3" s="82"/>
    </row>
    <row r="4" spans="1:9" ht="4.95" customHeight="1">
      <c r="B4" s="68"/>
    </row>
    <row r="5" spans="1:9" ht="30" customHeight="1">
      <c r="B5" s="99" t="e" vm="1">
        <v>#VALUE!</v>
      </c>
      <c r="C5" s="76" t="s">
        <v>102</v>
      </c>
      <c r="D5" s="22"/>
    </row>
    <row r="6" spans="1:9" ht="10.199999999999999" customHeight="1"/>
    <row r="7" spans="1:9" ht="14.4">
      <c r="A7" s="66"/>
      <c r="B7" s="84" t="s">
        <v>62</v>
      </c>
      <c r="C7" s="2" t="s">
        <v>5</v>
      </c>
    </row>
    <row r="8" spans="1:9" ht="10.199999999999999" customHeight="1">
      <c r="A8" s="66"/>
    </row>
    <row r="9" spans="1:9" ht="49.95" hidden="1" customHeight="1" outlineLevel="1">
      <c r="A9" s="66"/>
      <c r="D9" s="70" t="s">
        <v>51</v>
      </c>
      <c r="E9" s="71"/>
    </row>
    <row r="10" spans="1:9" ht="14.4" hidden="1" outlineLevel="1">
      <c r="A10" s="66"/>
    </row>
    <row r="11" spans="1:9" ht="15" hidden="1" customHeight="1" outlineLevel="1">
      <c r="A11" s="66"/>
      <c r="C11" s="21" t="s">
        <v>6</v>
      </c>
      <c r="D11" s="32">
        <v>64</v>
      </c>
    </row>
    <row r="12" spans="1:9" ht="15" hidden="1" customHeight="1" outlineLevel="1">
      <c r="A12" s="66"/>
      <c r="C12" s="3" t="s">
        <v>48</v>
      </c>
      <c r="D12" s="24">
        <v>6</v>
      </c>
    </row>
    <row r="13" spans="1:9" ht="15" hidden="1" customHeight="1" outlineLevel="1">
      <c r="A13" s="66"/>
      <c r="C13" s="3" t="s">
        <v>12</v>
      </c>
      <c r="D13" s="24">
        <v>3884</v>
      </c>
    </row>
    <row r="14" spans="1:9" ht="15" hidden="1" customHeight="1" outlineLevel="1">
      <c r="A14" s="66"/>
      <c r="C14" s="3" t="s">
        <v>49</v>
      </c>
      <c r="D14" s="30">
        <v>1</v>
      </c>
    </row>
    <row r="15" spans="1:9" ht="15" hidden="1" customHeight="1" outlineLevel="1">
      <c r="A15" s="66"/>
      <c r="C15" s="3" t="s">
        <v>50</v>
      </c>
      <c r="D15" s="31">
        <v>0</v>
      </c>
    </row>
    <row r="16" spans="1:9" ht="10.199999999999999" hidden="1" customHeight="1" outlineLevel="1">
      <c r="A16" s="66"/>
    </row>
    <row r="17" spans="1:11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</row>
    <row r="18" spans="1:11" ht="10.199999999999999" hidden="1" customHeight="1" outlineLevel="1">
      <c r="A18" s="66"/>
    </row>
    <row r="19" spans="1:11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</row>
    <row r="20" spans="1:11" ht="10.199999999999999" hidden="1" customHeight="1" outlineLevel="1"/>
    <row r="21" spans="1:11" s="23" customFormat="1" ht="30" customHeight="1" collapsed="1">
      <c r="B21" s="111"/>
      <c r="C21" s="111" t="s">
        <v>4</v>
      </c>
      <c r="D21" s="112" t="s">
        <v>103</v>
      </c>
      <c r="E21" s="112" t="s">
        <v>104</v>
      </c>
      <c r="F21" s="112" t="s">
        <v>105</v>
      </c>
      <c r="G21" s="112" t="s">
        <v>106</v>
      </c>
      <c r="H21" s="112" t="s">
        <v>107</v>
      </c>
      <c r="I21" s="112" t="s">
        <v>108</v>
      </c>
      <c r="J21" s="23" t="s">
        <v>38</v>
      </c>
      <c r="K21" s="23" t="s">
        <v>109</v>
      </c>
    </row>
    <row r="22" spans="1:11" ht="10.199999999999999" customHeight="1"/>
    <row r="23" spans="1:11" ht="14.4" outlineLevel="1">
      <c r="A23" s="66"/>
      <c r="B23" s="84" t="s">
        <v>62</v>
      </c>
      <c r="C23" s="2" t="s">
        <v>7</v>
      </c>
    </row>
    <row r="24" spans="1:11" ht="10.199999999999999" customHeight="1" outlineLevel="1">
      <c r="A24" s="66"/>
    </row>
    <row r="25" spans="1:11" ht="15" hidden="1" customHeight="1" outlineLevel="2">
      <c r="A25" s="66"/>
      <c r="C25" s="19" t="s">
        <v>8</v>
      </c>
      <c r="D25" s="9" t="s">
        <v>110</v>
      </c>
      <c r="E25" s="9" t="s">
        <v>111</v>
      </c>
      <c r="F25" s="9" t="s">
        <v>110</v>
      </c>
      <c r="G25" s="9" t="s">
        <v>110</v>
      </c>
      <c r="H25" s="9" t="s">
        <v>112</v>
      </c>
      <c r="I25" s="9" t="s">
        <v>111</v>
      </c>
    </row>
    <row r="26" spans="1:11" ht="15" hidden="1" customHeight="1" outlineLevel="2">
      <c r="A26" s="66"/>
      <c r="C26" s="3" t="s">
        <v>9</v>
      </c>
      <c r="D26" s="10">
        <v>0.125</v>
      </c>
      <c r="E26" s="10">
        <v>4.6875E-2</v>
      </c>
      <c r="F26" s="10">
        <v>3.125E-2</v>
      </c>
      <c r="G26" s="10">
        <v>0.125</v>
      </c>
      <c r="H26" s="10">
        <v>0.875</v>
      </c>
      <c r="I26" s="10">
        <v>1</v>
      </c>
    </row>
    <row r="27" spans="1:11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</row>
    <row r="28" spans="1:11" ht="15" hidden="1" customHeight="1" outlineLevel="2">
      <c r="A28" s="66"/>
      <c r="C28" s="18" t="s">
        <v>11</v>
      </c>
      <c r="D28" s="10">
        <v>0.249227600411946</v>
      </c>
      <c r="E28" s="10">
        <v>0.13182286302780599</v>
      </c>
      <c r="F28" s="10">
        <v>0.25540679711637398</v>
      </c>
      <c r="G28" s="10">
        <v>0.19773429454170899</v>
      </c>
      <c r="H28" s="10">
        <v>0.13182286302780599</v>
      </c>
      <c r="I28" s="10">
        <v>3.3985581874356303E-2</v>
      </c>
    </row>
    <row r="29" spans="1:11" ht="15" hidden="1" customHeight="1" outlineLevel="2">
      <c r="A29" s="66"/>
      <c r="C29" s="18" t="s">
        <v>12</v>
      </c>
      <c r="D29" s="11">
        <v>968</v>
      </c>
      <c r="E29" s="11">
        <v>512</v>
      </c>
      <c r="F29" s="11">
        <v>992</v>
      </c>
      <c r="G29" s="11">
        <v>768</v>
      </c>
      <c r="H29" s="11">
        <v>512</v>
      </c>
      <c r="I29" s="11">
        <v>132</v>
      </c>
    </row>
    <row r="30" spans="1:11" ht="15" hidden="1" customHeight="1" outlineLevel="2">
      <c r="A30" s="66"/>
      <c r="C30" s="18" t="s">
        <v>13</v>
      </c>
      <c r="D30" s="11">
        <v>8</v>
      </c>
      <c r="E30" s="11">
        <v>3</v>
      </c>
      <c r="F30" s="11">
        <v>2</v>
      </c>
      <c r="G30" s="11">
        <v>8</v>
      </c>
      <c r="H30" s="11">
        <v>56</v>
      </c>
      <c r="I30" s="11">
        <v>64</v>
      </c>
    </row>
    <row r="31" spans="1:11" ht="15" hidden="1" customHeight="1" outlineLevel="2">
      <c r="A31" s="66"/>
      <c r="C31" s="19" t="s">
        <v>14</v>
      </c>
      <c r="D31" s="11">
        <v>64</v>
      </c>
      <c r="E31" s="11">
        <v>64</v>
      </c>
      <c r="F31" s="11">
        <v>64</v>
      </c>
      <c r="G31" s="11">
        <v>64</v>
      </c>
      <c r="H31" s="11">
        <v>64</v>
      </c>
      <c r="I31" s="11">
        <v>64</v>
      </c>
    </row>
    <row r="32" spans="1:11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</row>
    <row r="33" spans="1:9" ht="10.199999999999999" hidden="1" customHeight="1" outlineLevel="2">
      <c r="A33" s="66"/>
    </row>
    <row r="34" spans="1:9" ht="124.95" hidden="1" customHeight="1" outlineLevel="2"/>
    <row r="35" spans="1:9" ht="10.199999999999999" hidden="1" customHeight="1" outlineLevel="2"/>
    <row r="36" spans="1:9" ht="14.4" outlineLevel="1" collapsed="1">
      <c r="A36" s="66"/>
      <c r="B36" s="84" t="s">
        <v>62</v>
      </c>
      <c r="C36" s="2" t="s">
        <v>16</v>
      </c>
    </row>
    <row r="37" spans="1:9" ht="10.199999999999999" customHeight="1" outlineLevel="1">
      <c r="A37" s="66"/>
    </row>
    <row r="38" spans="1:9" ht="15" hidden="1" customHeight="1" outlineLevel="2">
      <c r="A38" s="66"/>
      <c r="C38" s="3" t="s">
        <v>17</v>
      </c>
      <c r="D38" s="12"/>
      <c r="E38" s="12">
        <v>2018</v>
      </c>
      <c r="F38" s="12"/>
      <c r="G38" s="12"/>
      <c r="H38" s="12">
        <v>75.579687500000006</v>
      </c>
      <c r="I38" s="12">
        <v>31.5</v>
      </c>
    </row>
    <row r="39" spans="1:9" ht="15" hidden="1" customHeight="1" outlineLevel="2">
      <c r="A39" s="66"/>
      <c r="C39" s="18" t="s">
        <v>18</v>
      </c>
      <c r="D39" s="12"/>
      <c r="E39" s="12">
        <v>2018</v>
      </c>
      <c r="F39" s="12"/>
      <c r="G39" s="12"/>
      <c r="H39" s="12">
        <v>75.5</v>
      </c>
      <c r="I39" s="12">
        <v>31.5</v>
      </c>
    </row>
    <row r="40" spans="1:9" ht="15" hidden="1" customHeight="1" outlineLevel="2">
      <c r="A40" s="66"/>
      <c r="C40" s="18" t="s">
        <v>19</v>
      </c>
      <c r="D40" s="12" t="s">
        <v>113</v>
      </c>
      <c r="E40" s="12">
        <v>2017</v>
      </c>
      <c r="F40" s="12" t="s">
        <v>114</v>
      </c>
      <c r="G40" s="12" t="s">
        <v>115</v>
      </c>
      <c r="H40" s="12">
        <v>57.4</v>
      </c>
      <c r="I40" s="12">
        <v>0</v>
      </c>
    </row>
    <row r="41" spans="1:9" ht="15" hidden="1" customHeight="1" outlineLevel="2">
      <c r="A41" s="66"/>
      <c r="C41" s="3" t="s">
        <v>20</v>
      </c>
      <c r="D41" s="12"/>
      <c r="E41" s="12">
        <v>0.872871560943969</v>
      </c>
      <c r="F41" s="12"/>
      <c r="G41" s="12"/>
      <c r="H41" s="12">
        <v>19.289697716553999</v>
      </c>
      <c r="I41" s="12">
        <v>18.618986725025199</v>
      </c>
    </row>
    <row r="42" spans="1:9" ht="15" hidden="1" customHeight="1" outlineLevel="2">
      <c r="A42" s="66"/>
      <c r="C42" s="20" t="s">
        <v>21</v>
      </c>
      <c r="D42" s="12"/>
      <c r="E42" s="12">
        <v>0.76190476190476097</v>
      </c>
      <c r="F42" s="12"/>
      <c r="G42" s="12"/>
      <c r="H42" s="12">
        <v>372.09243799603098</v>
      </c>
      <c r="I42" s="12">
        <v>346.666666666666</v>
      </c>
    </row>
    <row r="43" spans="1:9" ht="10.199999999999999" hidden="1" customHeight="1" outlineLevel="2">
      <c r="A43" s="66"/>
    </row>
    <row r="44" spans="1:9" ht="150" hidden="1" customHeight="1" outlineLevel="2"/>
    <row r="45" spans="1:9" ht="10.199999999999999" hidden="1" customHeight="1" outlineLevel="2"/>
    <row r="46" spans="1:9" ht="14.4" outlineLevel="1" collapsed="1">
      <c r="A46" s="66"/>
      <c r="B46" s="84" t="s">
        <v>62</v>
      </c>
      <c r="C46" s="2" t="s">
        <v>22</v>
      </c>
    </row>
    <row r="47" spans="1:9" ht="10.050000000000001" customHeight="1" outlineLevel="1">
      <c r="A47" s="66"/>
    </row>
    <row r="48" spans="1:9" ht="15" hidden="1" customHeight="1" outlineLevel="2">
      <c r="A48" s="66"/>
      <c r="C48" s="3" t="s">
        <v>23</v>
      </c>
      <c r="D48" s="12"/>
      <c r="E48" s="12">
        <v>2017</v>
      </c>
      <c r="F48" s="12"/>
      <c r="G48" s="12"/>
      <c r="H48" s="12">
        <v>11.6</v>
      </c>
      <c r="I48" s="12">
        <v>0</v>
      </c>
    </row>
    <row r="49" spans="1:9" ht="15" hidden="1" customHeight="1" outlineLevel="2">
      <c r="A49" s="66"/>
      <c r="C49" s="18">
        <v>0.05</v>
      </c>
      <c r="D49" s="12"/>
      <c r="E49" s="12">
        <v>2017</v>
      </c>
      <c r="F49" s="12"/>
      <c r="G49" s="12"/>
      <c r="H49" s="12">
        <v>35.19</v>
      </c>
      <c r="I49" s="12">
        <v>3.15</v>
      </c>
    </row>
    <row r="50" spans="1:9" ht="15" hidden="1" customHeight="1" outlineLevel="2">
      <c r="A50" s="66"/>
      <c r="C50" s="19">
        <v>0.25</v>
      </c>
      <c r="D50" s="12"/>
      <c r="E50" s="12">
        <v>2017</v>
      </c>
      <c r="F50" s="12"/>
      <c r="G50" s="12"/>
      <c r="H50" s="12">
        <v>66.8</v>
      </c>
      <c r="I50" s="12">
        <v>15.75</v>
      </c>
    </row>
    <row r="51" spans="1:9" ht="15" hidden="1" customHeight="1" outlineLevel="2">
      <c r="A51" s="66"/>
      <c r="C51" s="3">
        <v>0.5</v>
      </c>
      <c r="D51" s="12"/>
      <c r="E51" s="12">
        <v>2018</v>
      </c>
      <c r="F51" s="12"/>
      <c r="G51" s="12"/>
      <c r="H51" s="12">
        <v>75.5</v>
      </c>
      <c r="I51" s="12">
        <v>31.5</v>
      </c>
    </row>
    <row r="52" spans="1:9" ht="15" hidden="1" customHeight="1" outlineLevel="2">
      <c r="A52" s="66"/>
      <c r="C52" s="18">
        <v>0.75</v>
      </c>
      <c r="D52" s="12"/>
      <c r="E52" s="12">
        <v>2019</v>
      </c>
      <c r="F52" s="12"/>
      <c r="G52" s="12"/>
      <c r="H52" s="12">
        <v>92.224999999999994</v>
      </c>
      <c r="I52" s="12">
        <v>47.25</v>
      </c>
    </row>
    <row r="53" spans="1:9" ht="15" hidden="1" customHeight="1" outlineLevel="2">
      <c r="A53" s="66"/>
      <c r="C53" s="18">
        <v>0.95</v>
      </c>
      <c r="D53" s="12"/>
      <c r="E53" s="12">
        <v>2019</v>
      </c>
      <c r="F53" s="12"/>
      <c r="G53" s="12"/>
      <c r="H53" s="12">
        <v>96.87</v>
      </c>
      <c r="I53" s="12">
        <v>59.849999999999902</v>
      </c>
    </row>
    <row r="54" spans="1:9" ht="15" hidden="1" customHeight="1" outlineLevel="2">
      <c r="A54" s="66"/>
      <c r="C54" s="3" t="s">
        <v>24</v>
      </c>
      <c r="D54" s="12"/>
      <c r="E54" s="12">
        <v>2019</v>
      </c>
      <c r="F54" s="12"/>
      <c r="G54" s="12"/>
      <c r="H54" s="12">
        <v>97.8</v>
      </c>
      <c r="I54" s="12">
        <v>63</v>
      </c>
    </row>
    <row r="55" spans="1:9" ht="15" hidden="1" customHeight="1" outlineLevel="2">
      <c r="A55" s="66"/>
      <c r="C55" s="18" t="s">
        <v>25</v>
      </c>
      <c r="D55" s="12"/>
      <c r="E55" s="12">
        <v>2</v>
      </c>
      <c r="F55" s="12"/>
      <c r="G55" s="12"/>
      <c r="H55" s="12">
        <v>86.2</v>
      </c>
      <c r="I55" s="12">
        <v>63</v>
      </c>
    </row>
    <row r="56" spans="1:9" ht="15" hidden="1" customHeight="1" outlineLevel="2">
      <c r="C56" s="3" t="s">
        <v>26</v>
      </c>
      <c r="D56" s="12"/>
      <c r="E56" s="12">
        <v>2</v>
      </c>
      <c r="F56" s="12"/>
      <c r="G56" s="12"/>
      <c r="H56" s="12">
        <v>25.424999999999901</v>
      </c>
      <c r="I56" s="12">
        <v>31.5</v>
      </c>
    </row>
    <row r="57" spans="1:9" ht="10.199999999999999" hidden="1" customHeight="1" outlineLevel="2"/>
    <row r="58" spans="1:9" ht="14.4" outlineLevel="1" collapsed="1">
      <c r="A58" s="66"/>
      <c r="B58" s="84" t="s">
        <v>62</v>
      </c>
      <c r="C58" s="2" t="s">
        <v>27</v>
      </c>
    </row>
    <row r="59" spans="1:9" ht="10.050000000000001" customHeight="1" outlineLevel="1">
      <c r="A59" s="66"/>
    </row>
    <row r="60" spans="1:9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</row>
    <row r="61" spans="1:9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</row>
    <row r="62" spans="1:9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</row>
    <row r="63" spans="1:9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</row>
    <row r="64" spans="1:9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</row>
    <row r="65" spans="1:9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</row>
    <row r="66" spans="1:9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</row>
    <row r="67" spans="1:9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</row>
    <row r="68" spans="1:9" ht="10.199999999999999" hidden="1" customHeight="1" outlineLevel="2"/>
    <row r="69" spans="1:9" ht="14.4" outlineLevel="1" collapsed="1">
      <c r="A69" s="66"/>
      <c r="B69" s="84" t="s">
        <v>62</v>
      </c>
      <c r="C69" s="2" t="s">
        <v>36</v>
      </c>
    </row>
    <row r="70" spans="1:9" ht="10.050000000000001" customHeight="1" outlineLevel="1">
      <c r="A70" s="66"/>
    </row>
    <row r="71" spans="1:9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9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9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9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9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9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9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9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9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9" ht="10.199999999999999" hidden="1" customHeight="1" outlineLevel="1" collapsed="1"/>
    <row r="81" spans="3:11" ht="30" customHeight="1">
      <c r="C81" s="61" t="s">
        <v>37</v>
      </c>
      <c r="D81" s="59" t="s">
        <v>103</v>
      </c>
      <c r="E81" s="59" t="s">
        <v>104</v>
      </c>
      <c r="F81" s="59" t="s">
        <v>105</v>
      </c>
      <c r="G81" s="120" t="s">
        <v>106</v>
      </c>
      <c r="H81" s="120" t="s">
        <v>107</v>
      </c>
      <c r="I81" s="120" t="s">
        <v>108</v>
      </c>
      <c r="J81" s="61" t="s">
        <v>38</v>
      </c>
      <c r="K81" s="61" t="s">
        <v>109</v>
      </c>
    </row>
    <row r="82" spans="3:11" ht="15" customHeight="1">
      <c r="C82" s="62" t="b">
        <v>0</v>
      </c>
      <c r="D82" s="60" t="s">
        <v>116</v>
      </c>
      <c r="E82" s="60">
        <v>2019</v>
      </c>
      <c r="F82" s="60" t="s">
        <v>117</v>
      </c>
      <c r="G82" s="119" t="s">
        <v>115</v>
      </c>
      <c r="H82" s="119">
        <v>75.5</v>
      </c>
      <c r="I82" s="119">
        <v>0</v>
      </c>
      <c r="J82" s="121">
        <v>0</v>
      </c>
      <c r="K82" s="121">
        <v>7.6416341301045053E+18</v>
      </c>
    </row>
    <row r="83" spans="3:11" ht="15" customHeight="1">
      <c r="C83" s="62" t="b">
        <v>0</v>
      </c>
      <c r="D83" s="60" t="s">
        <v>118</v>
      </c>
      <c r="E83" s="60">
        <v>2019</v>
      </c>
      <c r="F83" s="60" t="s">
        <v>117</v>
      </c>
      <c r="G83" s="119" t="s">
        <v>115</v>
      </c>
      <c r="H83" s="119">
        <v>71.599999999999994</v>
      </c>
      <c r="I83" s="119">
        <v>1</v>
      </c>
      <c r="J83" s="121">
        <v>0</v>
      </c>
      <c r="K83" s="121">
        <v>4.9805499656177756E+18</v>
      </c>
    </row>
    <row r="84" spans="3:11" ht="15" customHeight="1">
      <c r="C84" s="113" t="b">
        <v>0</v>
      </c>
      <c r="D84" s="114" t="s">
        <v>119</v>
      </c>
      <c r="E84" s="115">
        <v>2019</v>
      </c>
      <c r="F84" s="115" t="s">
        <v>117</v>
      </c>
      <c r="G84" s="119" t="s">
        <v>115</v>
      </c>
      <c r="H84" s="119">
        <v>67.8</v>
      </c>
      <c r="I84" s="119">
        <v>2</v>
      </c>
      <c r="J84" s="121">
        <v>0</v>
      </c>
      <c r="K84" s="121">
        <v>1.1816079276899027E+19</v>
      </c>
    </row>
    <row r="85" spans="3:11" ht="15" customHeight="1">
      <c r="C85" s="113" t="b">
        <v>0</v>
      </c>
      <c r="D85" s="114" t="s">
        <v>113</v>
      </c>
      <c r="E85" s="115">
        <v>2018</v>
      </c>
      <c r="F85" s="115" t="s">
        <v>117</v>
      </c>
      <c r="G85" s="119" t="s">
        <v>115</v>
      </c>
      <c r="H85" s="119">
        <v>60.5</v>
      </c>
      <c r="I85" s="119">
        <v>3</v>
      </c>
      <c r="J85" s="121">
        <v>0</v>
      </c>
      <c r="K85" s="121">
        <v>8.0141863670741565E+18</v>
      </c>
    </row>
    <row r="86" spans="3:11" ht="15" customHeight="1">
      <c r="C86" s="113" t="b">
        <v>0</v>
      </c>
      <c r="D86" s="114" t="s">
        <v>120</v>
      </c>
      <c r="E86" s="115">
        <v>2018</v>
      </c>
      <c r="F86" s="115" t="s">
        <v>114</v>
      </c>
      <c r="G86" s="119" t="s">
        <v>115</v>
      </c>
      <c r="H86" s="119">
        <v>32.1</v>
      </c>
      <c r="I86" s="119">
        <v>4</v>
      </c>
      <c r="J86" s="121">
        <v>0</v>
      </c>
      <c r="K86" s="121">
        <v>1.1249752649519165E+19</v>
      </c>
    </row>
    <row r="87" spans="3:11" ht="15" customHeight="1">
      <c r="C87" s="113" t="b">
        <v>0</v>
      </c>
      <c r="D87" s="114" t="s">
        <v>121</v>
      </c>
      <c r="E87" s="115">
        <v>2017</v>
      </c>
      <c r="F87" s="115" t="s">
        <v>114</v>
      </c>
      <c r="G87" s="119" t="s">
        <v>115</v>
      </c>
      <c r="H87" s="119">
        <v>18.5</v>
      </c>
      <c r="I87" s="119">
        <v>5</v>
      </c>
      <c r="J87" s="121">
        <v>0</v>
      </c>
      <c r="K87" s="121">
        <v>1.4103344884274627E+19</v>
      </c>
    </row>
    <row r="88" spans="3:11" ht="15" customHeight="1">
      <c r="C88" s="113" t="b">
        <v>0</v>
      </c>
      <c r="D88" s="114" t="s">
        <v>122</v>
      </c>
      <c r="E88" s="115">
        <v>2017</v>
      </c>
      <c r="F88" s="115" t="s">
        <v>114</v>
      </c>
      <c r="G88" s="119" t="s">
        <v>115</v>
      </c>
      <c r="H88" s="119">
        <v>18.600000000000001</v>
      </c>
      <c r="I88" s="119">
        <v>6</v>
      </c>
      <c r="J88" s="121">
        <v>0</v>
      </c>
      <c r="K88" s="121">
        <v>6.0743733072796129E+18</v>
      </c>
    </row>
    <row r="89" spans="3:11" ht="15" customHeight="1">
      <c r="C89" s="113" t="b">
        <v>0</v>
      </c>
      <c r="D89" s="114" t="s">
        <v>123</v>
      </c>
      <c r="E89" s="115">
        <v>2017</v>
      </c>
      <c r="F89" s="115" t="s">
        <v>114</v>
      </c>
      <c r="G89" s="119" t="s">
        <v>115</v>
      </c>
      <c r="H89" s="119">
        <v>11.6</v>
      </c>
      <c r="I89" s="119">
        <v>7</v>
      </c>
      <c r="J89" s="121">
        <v>0</v>
      </c>
      <c r="K89" s="121">
        <v>1.4151042743229712E+19</v>
      </c>
    </row>
    <row r="90" spans="3:11" ht="15" customHeight="1">
      <c r="C90" s="113" t="b">
        <v>0</v>
      </c>
      <c r="D90" s="114" t="s">
        <v>116</v>
      </c>
      <c r="E90" s="115">
        <v>2019</v>
      </c>
      <c r="F90" s="115" t="s">
        <v>117</v>
      </c>
      <c r="G90" s="119" t="s">
        <v>124</v>
      </c>
      <c r="H90" s="119">
        <v>97.8</v>
      </c>
      <c r="I90" s="119">
        <v>8</v>
      </c>
      <c r="J90" s="121">
        <v>0</v>
      </c>
      <c r="K90" s="121">
        <v>1.5859105464097057E+19</v>
      </c>
    </row>
    <row r="91" spans="3:11" ht="15" customHeight="1">
      <c r="C91" s="113" t="b">
        <v>0</v>
      </c>
      <c r="D91" s="114" t="s">
        <v>118</v>
      </c>
      <c r="E91" s="115">
        <v>2019</v>
      </c>
      <c r="F91" s="115" t="s">
        <v>117</v>
      </c>
      <c r="G91" s="119" t="s">
        <v>124</v>
      </c>
      <c r="H91" s="119">
        <v>97.5</v>
      </c>
      <c r="I91" s="119">
        <v>9</v>
      </c>
      <c r="J91" s="121">
        <v>0</v>
      </c>
      <c r="K91" s="121">
        <v>1.173130066710485E+19</v>
      </c>
    </row>
    <row r="92" spans="3:11" ht="15" customHeight="1">
      <c r="C92" s="113" t="b">
        <v>0</v>
      </c>
      <c r="D92" s="114" t="s">
        <v>119</v>
      </c>
      <c r="E92" s="115">
        <v>2019</v>
      </c>
      <c r="F92" s="115" t="s">
        <v>117</v>
      </c>
      <c r="G92" s="119" t="s">
        <v>124</v>
      </c>
      <c r="H92" s="119">
        <v>96.7</v>
      </c>
      <c r="I92" s="119">
        <v>10</v>
      </c>
      <c r="J92" s="121">
        <v>0</v>
      </c>
      <c r="K92" s="121">
        <v>3.6160849681723648E+18</v>
      </c>
    </row>
    <row r="93" spans="3:11" ht="15" customHeight="1">
      <c r="C93" s="113" t="b">
        <v>0</v>
      </c>
      <c r="D93" s="114" t="s">
        <v>113</v>
      </c>
      <c r="E93" s="115">
        <v>2018</v>
      </c>
      <c r="F93" s="115" t="s">
        <v>117</v>
      </c>
      <c r="G93" s="119" t="s">
        <v>124</v>
      </c>
      <c r="H93" s="119">
        <v>94.9</v>
      </c>
      <c r="I93" s="119">
        <v>11</v>
      </c>
      <c r="J93" s="121">
        <v>0</v>
      </c>
      <c r="K93" s="121">
        <v>1.5264263511564206E+19</v>
      </c>
    </row>
    <row r="94" spans="3:11" ht="15" customHeight="1">
      <c r="C94" s="113" t="b">
        <v>0</v>
      </c>
      <c r="D94" s="114" t="s">
        <v>120</v>
      </c>
      <c r="E94" s="115">
        <v>2018</v>
      </c>
      <c r="F94" s="115" t="s">
        <v>114</v>
      </c>
      <c r="G94" s="119" t="s">
        <v>124</v>
      </c>
      <c r="H94" s="119">
        <v>89.3</v>
      </c>
      <c r="I94" s="119">
        <v>12</v>
      </c>
      <c r="J94" s="121">
        <v>0</v>
      </c>
      <c r="K94" s="121">
        <v>1.7000011585322863E+19</v>
      </c>
    </row>
    <row r="95" spans="3:11" ht="15" customHeight="1">
      <c r="C95" s="113" t="b">
        <v>0</v>
      </c>
      <c r="D95" s="114" t="s">
        <v>121</v>
      </c>
      <c r="E95" s="115">
        <v>2017</v>
      </c>
      <c r="F95" s="115" t="s">
        <v>114</v>
      </c>
      <c r="G95" s="119" t="s">
        <v>124</v>
      </c>
      <c r="H95" s="119">
        <v>81.900000000000006</v>
      </c>
      <c r="I95" s="119">
        <v>13</v>
      </c>
      <c r="J95" s="121">
        <v>0</v>
      </c>
      <c r="K95" s="121">
        <v>1.7289689987998118E+19</v>
      </c>
    </row>
    <row r="96" spans="3:11" ht="15" customHeight="1">
      <c r="C96" s="113" t="b">
        <v>0</v>
      </c>
      <c r="D96" s="114" t="s">
        <v>122</v>
      </c>
      <c r="E96" s="115">
        <v>2017</v>
      </c>
      <c r="F96" s="115" t="s">
        <v>114</v>
      </c>
      <c r="G96" s="119" t="s">
        <v>124</v>
      </c>
      <c r="H96" s="119">
        <v>83</v>
      </c>
      <c r="I96" s="119">
        <v>14</v>
      </c>
      <c r="J96" s="121">
        <v>0</v>
      </c>
      <c r="K96" s="121">
        <v>1.0467577427482862E+18</v>
      </c>
    </row>
    <row r="97" spans="3:11" ht="15" customHeight="1">
      <c r="C97" s="113" t="b">
        <v>0</v>
      </c>
      <c r="D97" s="114" t="s">
        <v>123</v>
      </c>
      <c r="E97" s="115">
        <v>2017</v>
      </c>
      <c r="F97" s="115" t="s">
        <v>114</v>
      </c>
      <c r="G97" s="119" t="s">
        <v>124</v>
      </c>
      <c r="H97" s="119">
        <v>82.8</v>
      </c>
      <c r="I97" s="119">
        <v>15</v>
      </c>
      <c r="J97" s="121">
        <v>0</v>
      </c>
      <c r="K97" s="121">
        <v>4.4560940980781005E+18</v>
      </c>
    </row>
    <row r="98" spans="3:11" ht="15" customHeight="1">
      <c r="C98" s="113" t="b">
        <v>0</v>
      </c>
      <c r="D98" s="114" t="s">
        <v>116</v>
      </c>
      <c r="E98" s="115">
        <v>2019</v>
      </c>
      <c r="F98" s="115" t="s">
        <v>117</v>
      </c>
      <c r="G98" s="119" t="s">
        <v>125</v>
      </c>
      <c r="H98" s="119">
        <v>93.9</v>
      </c>
      <c r="I98" s="119">
        <v>16</v>
      </c>
      <c r="J98" s="121">
        <v>0</v>
      </c>
      <c r="K98" s="121">
        <v>3.0581813813001032E+18</v>
      </c>
    </row>
    <row r="99" spans="3:11" ht="15" customHeight="1">
      <c r="C99" s="113" t="b">
        <v>0</v>
      </c>
      <c r="D99" s="114" t="s">
        <v>118</v>
      </c>
      <c r="E99" s="115">
        <v>2019</v>
      </c>
      <c r="F99" s="115" t="s">
        <v>117</v>
      </c>
      <c r="G99" s="119" t="s">
        <v>125</v>
      </c>
      <c r="H99" s="119">
        <v>92.8</v>
      </c>
      <c r="I99" s="119">
        <v>17</v>
      </c>
      <c r="J99" s="121">
        <v>0</v>
      </c>
      <c r="K99" s="121">
        <v>7.6531251636527288E+18</v>
      </c>
    </row>
    <row r="100" spans="3:11" ht="15" customHeight="1">
      <c r="C100" s="113" t="b">
        <v>0</v>
      </c>
      <c r="D100" s="114" t="s">
        <v>119</v>
      </c>
      <c r="E100" s="115">
        <v>2019</v>
      </c>
      <c r="F100" s="115" t="s">
        <v>117</v>
      </c>
      <c r="G100" s="119" t="s">
        <v>125</v>
      </c>
      <c r="H100" s="119">
        <v>92.3</v>
      </c>
      <c r="I100" s="119">
        <v>18</v>
      </c>
      <c r="J100" s="121">
        <v>0</v>
      </c>
      <c r="K100" s="121">
        <v>8.4248184563182449E+18</v>
      </c>
    </row>
    <row r="101" spans="3:11" ht="15" customHeight="1">
      <c r="C101" s="113" t="b">
        <v>0</v>
      </c>
      <c r="D101" s="114" t="s">
        <v>113</v>
      </c>
      <c r="E101" s="115">
        <v>2018</v>
      </c>
      <c r="F101" s="115" t="s">
        <v>117</v>
      </c>
      <c r="G101" s="119" t="s">
        <v>125</v>
      </c>
      <c r="H101" s="119">
        <v>89.3</v>
      </c>
      <c r="I101" s="119">
        <v>19</v>
      </c>
      <c r="J101" s="121">
        <v>0</v>
      </c>
      <c r="K101" s="121">
        <v>1.5251034860468867E+18</v>
      </c>
    </row>
    <row r="102" spans="3:11" ht="15" customHeight="1">
      <c r="C102" s="113" t="b">
        <v>0</v>
      </c>
      <c r="D102" s="114" t="s">
        <v>120</v>
      </c>
      <c r="E102" s="115">
        <v>2018</v>
      </c>
      <c r="F102" s="115" t="s">
        <v>114</v>
      </c>
      <c r="G102" s="119" t="s">
        <v>125</v>
      </c>
      <c r="H102" s="119">
        <v>84.7</v>
      </c>
      <c r="I102" s="119">
        <v>20</v>
      </c>
      <c r="J102" s="121">
        <v>0</v>
      </c>
      <c r="K102" s="121">
        <v>9.2743303861836636E+18</v>
      </c>
    </row>
    <row r="103" spans="3:11" ht="15" customHeight="1">
      <c r="C103" s="113" t="b">
        <v>0</v>
      </c>
      <c r="D103" s="114" t="s">
        <v>121</v>
      </c>
      <c r="E103" s="115">
        <v>2017</v>
      </c>
      <c r="F103" s="115" t="s">
        <v>114</v>
      </c>
      <c r="G103" s="119" t="s">
        <v>125</v>
      </c>
      <c r="H103" s="119">
        <v>78.7</v>
      </c>
      <c r="I103" s="119">
        <v>21</v>
      </c>
      <c r="J103" s="121">
        <v>0</v>
      </c>
      <c r="K103" s="121">
        <v>9.862581630044715E+18</v>
      </c>
    </row>
    <row r="104" spans="3:11" ht="15" customHeight="1">
      <c r="C104" s="113" t="b">
        <v>0</v>
      </c>
      <c r="D104" s="114" t="s">
        <v>122</v>
      </c>
      <c r="E104" s="115">
        <v>2017</v>
      </c>
      <c r="F104" s="115" t="s">
        <v>114</v>
      </c>
      <c r="G104" s="119" t="s">
        <v>125</v>
      </c>
      <c r="H104" s="119">
        <v>83.9</v>
      </c>
      <c r="I104" s="119">
        <v>22</v>
      </c>
      <c r="J104" s="121">
        <v>0</v>
      </c>
      <c r="K104" s="121">
        <v>1.6988240201330432E+19</v>
      </c>
    </row>
    <row r="105" spans="3:11" ht="15" customHeight="1">
      <c r="C105" s="113" t="b">
        <v>0</v>
      </c>
      <c r="D105" s="114" t="s">
        <v>123</v>
      </c>
      <c r="E105" s="115">
        <v>2017</v>
      </c>
      <c r="F105" s="115" t="s">
        <v>114</v>
      </c>
      <c r="G105" s="119" t="s">
        <v>125</v>
      </c>
      <c r="H105" s="119">
        <v>81.8</v>
      </c>
      <c r="I105" s="119">
        <v>23</v>
      </c>
      <c r="J105" s="121">
        <v>0</v>
      </c>
      <c r="K105" s="121">
        <v>1.8430482182789988E+19</v>
      </c>
    </row>
    <row r="106" spans="3:11" ht="15" customHeight="1">
      <c r="C106" s="113" t="b">
        <v>0</v>
      </c>
      <c r="D106" s="114" t="s">
        <v>116</v>
      </c>
      <c r="E106" s="115">
        <v>2019</v>
      </c>
      <c r="F106" s="115" t="s">
        <v>117</v>
      </c>
      <c r="G106" s="119" t="s">
        <v>126</v>
      </c>
      <c r="H106" s="119">
        <v>93</v>
      </c>
      <c r="I106" s="119">
        <v>24</v>
      </c>
      <c r="J106" s="121">
        <v>0</v>
      </c>
      <c r="K106" s="121">
        <v>1.8436436223711052E+19</v>
      </c>
    </row>
    <row r="107" spans="3:11" ht="15" customHeight="1">
      <c r="C107" s="113" t="b">
        <v>0</v>
      </c>
      <c r="D107" s="114" t="s">
        <v>118</v>
      </c>
      <c r="E107" s="115">
        <v>2019</v>
      </c>
      <c r="F107" s="115" t="s">
        <v>117</v>
      </c>
      <c r="G107" s="119" t="s">
        <v>126</v>
      </c>
      <c r="H107" s="119">
        <v>93.1</v>
      </c>
      <c r="I107" s="119">
        <v>25</v>
      </c>
      <c r="J107" s="121">
        <v>0</v>
      </c>
      <c r="K107" s="121">
        <v>3.6276213139538253E+18</v>
      </c>
    </row>
    <row r="108" spans="3:11" ht="15" customHeight="1">
      <c r="C108" s="113" t="b">
        <v>0</v>
      </c>
      <c r="D108" s="114" t="s">
        <v>119</v>
      </c>
      <c r="E108" s="115">
        <v>2019</v>
      </c>
      <c r="F108" s="115" t="s">
        <v>117</v>
      </c>
      <c r="G108" s="119" t="s">
        <v>126</v>
      </c>
      <c r="H108" s="119">
        <v>92.2</v>
      </c>
      <c r="I108" s="119">
        <v>26</v>
      </c>
      <c r="J108" s="121">
        <v>0</v>
      </c>
      <c r="K108" s="121">
        <v>1.4469019585949688E+19</v>
      </c>
    </row>
    <row r="109" spans="3:11" ht="15" customHeight="1">
      <c r="C109" s="113" t="b">
        <v>0</v>
      </c>
      <c r="D109" s="114" t="s">
        <v>113</v>
      </c>
      <c r="E109" s="115">
        <v>2018</v>
      </c>
      <c r="F109" s="115" t="s">
        <v>117</v>
      </c>
      <c r="G109" s="119" t="s">
        <v>126</v>
      </c>
      <c r="H109" s="119">
        <v>87.6</v>
      </c>
      <c r="I109" s="119">
        <v>27</v>
      </c>
      <c r="J109" s="121">
        <v>0</v>
      </c>
      <c r="K109" s="121">
        <v>1.4297715177762591E+19</v>
      </c>
    </row>
    <row r="110" spans="3:11" ht="15" customHeight="1">
      <c r="C110" s="113" t="b">
        <v>0</v>
      </c>
      <c r="D110" s="114" t="s">
        <v>120</v>
      </c>
      <c r="E110" s="115">
        <v>2018</v>
      </c>
      <c r="F110" s="115" t="s">
        <v>114</v>
      </c>
      <c r="G110" s="119" t="s">
        <v>126</v>
      </c>
      <c r="H110" s="119">
        <v>70.3</v>
      </c>
      <c r="I110" s="119">
        <v>28</v>
      </c>
      <c r="J110" s="121">
        <v>0</v>
      </c>
      <c r="K110" s="121">
        <v>3.8384501080722739E+18</v>
      </c>
    </row>
    <row r="111" spans="3:11" ht="15" customHeight="1">
      <c r="C111" s="113" t="b">
        <v>0</v>
      </c>
      <c r="D111" s="114" t="s">
        <v>121</v>
      </c>
      <c r="E111" s="115">
        <v>2017</v>
      </c>
      <c r="F111" s="115" t="s">
        <v>114</v>
      </c>
      <c r="G111" s="119" t="s">
        <v>126</v>
      </c>
      <c r="H111" s="119">
        <v>64.400000000000006</v>
      </c>
      <c r="I111" s="119">
        <v>29</v>
      </c>
      <c r="J111" s="121">
        <v>0</v>
      </c>
      <c r="K111" s="121">
        <v>8.388958348336126E+18</v>
      </c>
    </row>
    <row r="112" spans="3:11" ht="15" customHeight="1">
      <c r="C112" s="113" t="b">
        <v>0</v>
      </c>
      <c r="D112" s="114" t="s">
        <v>122</v>
      </c>
      <c r="E112" s="115">
        <v>2017</v>
      </c>
      <c r="F112" s="115" t="s">
        <v>114</v>
      </c>
      <c r="G112" s="119" t="s">
        <v>126</v>
      </c>
      <c r="H112" s="119">
        <v>72.8</v>
      </c>
      <c r="I112" s="119">
        <v>30</v>
      </c>
      <c r="J112" s="121">
        <v>0</v>
      </c>
      <c r="K112" s="121">
        <v>1.4509469673031207E+19</v>
      </c>
    </row>
    <row r="113" spans="3:11" ht="15" customHeight="1">
      <c r="C113" s="113" t="b">
        <v>0</v>
      </c>
      <c r="D113" s="114" t="s">
        <v>123</v>
      </c>
      <c r="E113" s="115">
        <v>2017</v>
      </c>
      <c r="F113" s="115" t="s">
        <v>114</v>
      </c>
      <c r="G113" s="119" t="s">
        <v>126</v>
      </c>
      <c r="H113" s="119">
        <v>70.3</v>
      </c>
      <c r="I113" s="119">
        <v>31</v>
      </c>
      <c r="J113" s="121">
        <v>0</v>
      </c>
      <c r="K113" s="121">
        <v>1.3609159999136465E+19</v>
      </c>
    </row>
    <row r="114" spans="3:11" ht="15" customHeight="1">
      <c r="C114" s="113" t="b">
        <v>0</v>
      </c>
      <c r="D114" s="114" t="s">
        <v>116</v>
      </c>
      <c r="E114" s="115">
        <v>2019</v>
      </c>
      <c r="F114" s="115" t="s">
        <v>117</v>
      </c>
      <c r="G114" s="119" t="s">
        <v>127</v>
      </c>
      <c r="H114" s="119">
        <v>75.2</v>
      </c>
      <c r="I114" s="119">
        <v>32</v>
      </c>
      <c r="J114" s="121">
        <v>0</v>
      </c>
      <c r="K114" s="121">
        <v>1.1826316238605615E+19</v>
      </c>
    </row>
    <row r="115" spans="3:11" ht="15" customHeight="1">
      <c r="C115" s="113" t="b">
        <v>0</v>
      </c>
      <c r="D115" s="114" t="s">
        <v>118</v>
      </c>
      <c r="E115" s="115">
        <v>2019</v>
      </c>
      <c r="F115" s="115" t="s">
        <v>117</v>
      </c>
      <c r="G115" s="119" t="s">
        <v>127</v>
      </c>
      <c r="H115" s="119">
        <v>75.099999999999994</v>
      </c>
      <c r="I115" s="119">
        <v>33</v>
      </c>
      <c r="J115" s="121">
        <v>0</v>
      </c>
      <c r="K115" s="121">
        <v>3.3185973123736182E+18</v>
      </c>
    </row>
    <row r="116" spans="3:11" ht="15" customHeight="1">
      <c r="C116" s="113" t="b">
        <v>0</v>
      </c>
      <c r="D116" s="114" t="s">
        <v>119</v>
      </c>
      <c r="E116" s="115">
        <v>2019</v>
      </c>
      <c r="F116" s="115" t="s">
        <v>117</v>
      </c>
      <c r="G116" s="119" t="s">
        <v>127</v>
      </c>
      <c r="H116" s="119">
        <v>74.3</v>
      </c>
      <c r="I116" s="119">
        <v>34</v>
      </c>
      <c r="J116" s="121">
        <v>0</v>
      </c>
      <c r="K116" s="121">
        <v>4.5781791284407132E+18</v>
      </c>
    </row>
    <row r="117" spans="3:11" ht="15" customHeight="1">
      <c r="C117" s="113" t="b">
        <v>0</v>
      </c>
      <c r="D117" s="114" t="s">
        <v>113</v>
      </c>
      <c r="E117" s="115">
        <v>2018</v>
      </c>
      <c r="F117" s="115" t="s">
        <v>117</v>
      </c>
      <c r="G117" s="119" t="s">
        <v>127</v>
      </c>
      <c r="H117" s="119">
        <v>72.099999999999994</v>
      </c>
      <c r="I117" s="119">
        <v>35</v>
      </c>
      <c r="J117" s="121">
        <v>0</v>
      </c>
      <c r="K117" s="121">
        <v>1.0689417683849984E+19</v>
      </c>
    </row>
    <row r="118" spans="3:11" ht="15" customHeight="1">
      <c r="C118" s="113" t="b">
        <v>0</v>
      </c>
      <c r="D118" s="114" t="s">
        <v>120</v>
      </c>
      <c r="E118" s="115">
        <v>2018</v>
      </c>
      <c r="F118" s="115" t="s">
        <v>114</v>
      </c>
      <c r="G118" s="119" t="s">
        <v>127</v>
      </c>
      <c r="H118" s="119">
        <v>61.1</v>
      </c>
      <c r="I118" s="119">
        <v>36</v>
      </c>
      <c r="J118" s="121">
        <v>0</v>
      </c>
      <c r="K118" s="121">
        <v>1.6976864150280911E+19</v>
      </c>
    </row>
    <row r="119" spans="3:11" ht="15" customHeight="1">
      <c r="C119" s="113" t="b">
        <v>0</v>
      </c>
      <c r="D119" s="114" t="s">
        <v>121</v>
      </c>
      <c r="E119" s="115">
        <v>2017</v>
      </c>
      <c r="F119" s="115" t="s">
        <v>114</v>
      </c>
      <c r="G119" s="119" t="s">
        <v>127</v>
      </c>
      <c r="H119" s="119">
        <v>60.6</v>
      </c>
      <c r="I119" s="119">
        <v>37</v>
      </c>
      <c r="J119" s="121">
        <v>0</v>
      </c>
      <c r="K119" s="121">
        <v>5.5772726485897779E+18</v>
      </c>
    </row>
    <row r="120" spans="3:11" ht="15" customHeight="1">
      <c r="C120" s="113" t="b">
        <v>0</v>
      </c>
      <c r="D120" s="114" t="s">
        <v>122</v>
      </c>
      <c r="E120" s="115">
        <v>2017</v>
      </c>
      <c r="F120" s="115" t="s">
        <v>114</v>
      </c>
      <c r="G120" s="119" t="s">
        <v>127</v>
      </c>
      <c r="H120" s="119">
        <v>60.1</v>
      </c>
      <c r="I120" s="119">
        <v>38</v>
      </c>
      <c r="J120" s="121">
        <v>0</v>
      </c>
      <c r="K120" s="121">
        <v>1.2586443061500328E+19</v>
      </c>
    </row>
    <row r="121" spans="3:11" ht="15" customHeight="1">
      <c r="C121" s="113" t="b">
        <v>0</v>
      </c>
      <c r="D121" s="114" t="s">
        <v>123</v>
      </c>
      <c r="E121" s="115">
        <v>2017</v>
      </c>
      <c r="F121" s="115" t="s">
        <v>114</v>
      </c>
      <c r="G121" s="119" t="s">
        <v>127</v>
      </c>
      <c r="H121" s="119">
        <v>62.5</v>
      </c>
      <c r="I121" s="119">
        <v>39</v>
      </c>
      <c r="J121" s="121">
        <v>0</v>
      </c>
      <c r="K121" s="121">
        <v>1.0418589580104241E+19</v>
      </c>
    </row>
    <row r="122" spans="3:11" ht="15" customHeight="1">
      <c r="C122" s="113" t="b">
        <v>0</v>
      </c>
      <c r="D122" s="114" t="s">
        <v>116</v>
      </c>
      <c r="E122" s="115">
        <v>2019</v>
      </c>
      <c r="F122" s="115" t="s">
        <v>117</v>
      </c>
      <c r="G122" s="119" t="s">
        <v>128</v>
      </c>
      <c r="H122" s="119">
        <v>92.3</v>
      </c>
      <c r="I122" s="119">
        <v>40</v>
      </c>
      <c r="J122" s="121">
        <v>0</v>
      </c>
      <c r="K122" s="121">
        <v>6.7523677976195994E+18</v>
      </c>
    </row>
    <row r="123" spans="3:11" ht="15" customHeight="1">
      <c r="C123" s="113" t="b">
        <v>0</v>
      </c>
      <c r="D123" s="114" t="s">
        <v>118</v>
      </c>
      <c r="E123" s="115">
        <v>2019</v>
      </c>
      <c r="F123" s="115" t="s">
        <v>117</v>
      </c>
      <c r="G123" s="119" t="s">
        <v>128</v>
      </c>
      <c r="H123" s="119">
        <v>92.2</v>
      </c>
      <c r="I123" s="119">
        <v>41</v>
      </c>
      <c r="J123" s="121">
        <v>0</v>
      </c>
      <c r="K123" s="121">
        <v>1.0456673139455687E+19</v>
      </c>
    </row>
    <row r="124" spans="3:11" ht="15" customHeight="1">
      <c r="C124" s="113" t="b">
        <v>0</v>
      </c>
      <c r="D124" s="114" t="s">
        <v>119</v>
      </c>
      <c r="E124" s="115">
        <v>2019</v>
      </c>
      <c r="F124" s="115" t="s">
        <v>117</v>
      </c>
      <c r="G124" s="119" t="s">
        <v>128</v>
      </c>
      <c r="H124" s="119">
        <v>90.8</v>
      </c>
      <c r="I124" s="119">
        <v>42</v>
      </c>
      <c r="J124" s="121">
        <v>0</v>
      </c>
      <c r="K124" s="121">
        <v>6.8844374823196467E+18</v>
      </c>
    </row>
    <row r="125" spans="3:11" ht="15" customHeight="1">
      <c r="C125" s="113" t="b">
        <v>0</v>
      </c>
      <c r="D125" s="114" t="s">
        <v>113</v>
      </c>
      <c r="E125" s="115">
        <v>2018</v>
      </c>
      <c r="F125" s="115" t="s">
        <v>117</v>
      </c>
      <c r="G125" s="119" t="s">
        <v>128</v>
      </c>
      <c r="H125" s="119">
        <v>86.7</v>
      </c>
      <c r="I125" s="119">
        <v>43</v>
      </c>
      <c r="J125" s="121">
        <v>0</v>
      </c>
      <c r="K125" s="121">
        <v>1.0455682986344124E+19</v>
      </c>
    </row>
    <row r="126" spans="3:11" ht="15" customHeight="1">
      <c r="C126" s="113" t="b">
        <v>0</v>
      </c>
      <c r="D126" s="114" t="s">
        <v>120</v>
      </c>
      <c r="E126" s="115">
        <v>2018</v>
      </c>
      <c r="F126" s="115" t="s">
        <v>114</v>
      </c>
      <c r="G126" s="119" t="s">
        <v>128</v>
      </c>
      <c r="H126" s="119">
        <v>67.2</v>
      </c>
      <c r="I126" s="119">
        <v>44</v>
      </c>
      <c r="J126" s="121">
        <v>0</v>
      </c>
      <c r="K126" s="121">
        <v>8.8492184415032412E+18</v>
      </c>
    </row>
    <row r="127" spans="3:11" ht="15" customHeight="1">
      <c r="C127" s="113" t="b">
        <v>0</v>
      </c>
      <c r="D127" s="114" t="s">
        <v>121</v>
      </c>
      <c r="E127" s="115">
        <v>2017</v>
      </c>
      <c r="F127" s="115" t="s">
        <v>114</v>
      </c>
      <c r="G127" s="119" t="s">
        <v>128</v>
      </c>
      <c r="H127" s="119">
        <v>65.400000000000006</v>
      </c>
      <c r="I127" s="119">
        <v>45</v>
      </c>
      <c r="J127" s="121">
        <v>0</v>
      </c>
      <c r="K127" s="121">
        <v>4.851223639010348E+18</v>
      </c>
    </row>
    <row r="128" spans="3:11" ht="15" customHeight="1">
      <c r="C128" s="113" t="b">
        <v>0</v>
      </c>
      <c r="D128" s="114" t="s">
        <v>122</v>
      </c>
      <c r="E128" s="115">
        <v>2017</v>
      </c>
      <c r="F128" s="115" t="s">
        <v>114</v>
      </c>
      <c r="G128" s="119" t="s">
        <v>128</v>
      </c>
      <c r="H128" s="119">
        <v>67.599999999999994</v>
      </c>
      <c r="I128" s="119">
        <v>46</v>
      </c>
      <c r="J128" s="121">
        <v>0</v>
      </c>
      <c r="K128" s="121">
        <v>1.5812575710998927E+19</v>
      </c>
    </row>
    <row r="129" spans="3:11" ht="15" customHeight="1">
      <c r="C129" s="113" t="b">
        <v>0</v>
      </c>
      <c r="D129" s="114" t="s">
        <v>123</v>
      </c>
      <c r="E129" s="115">
        <v>2017</v>
      </c>
      <c r="F129" s="115" t="s">
        <v>114</v>
      </c>
      <c r="G129" s="119" t="s">
        <v>128</v>
      </c>
      <c r="H129" s="119">
        <v>65.599999999999994</v>
      </c>
      <c r="I129" s="119">
        <v>47</v>
      </c>
      <c r="J129" s="121">
        <v>0</v>
      </c>
      <c r="K129" s="121">
        <v>4.7043297623379323E+18</v>
      </c>
    </row>
    <row r="130" spans="3:11" ht="15" customHeight="1">
      <c r="C130" s="113" t="b">
        <v>0</v>
      </c>
      <c r="D130" s="114" t="s">
        <v>116</v>
      </c>
      <c r="E130" s="115">
        <v>2019</v>
      </c>
      <c r="F130" s="115" t="s">
        <v>117</v>
      </c>
      <c r="G130" s="119" t="s">
        <v>129</v>
      </c>
      <c r="H130" s="119">
        <v>97.3</v>
      </c>
      <c r="I130" s="119">
        <v>48</v>
      </c>
      <c r="J130" s="121">
        <v>0</v>
      </c>
      <c r="K130" s="121">
        <v>4.6891861273699062E+18</v>
      </c>
    </row>
    <row r="131" spans="3:11" ht="15" customHeight="1">
      <c r="C131" s="113" t="b">
        <v>0</v>
      </c>
      <c r="D131" s="114" t="s">
        <v>118</v>
      </c>
      <c r="E131" s="115">
        <v>2019</v>
      </c>
      <c r="F131" s="115" t="s">
        <v>117</v>
      </c>
      <c r="G131" s="119" t="s">
        <v>129</v>
      </c>
      <c r="H131" s="119">
        <v>96.9</v>
      </c>
      <c r="I131" s="119">
        <v>49</v>
      </c>
      <c r="J131" s="121">
        <v>0</v>
      </c>
      <c r="K131" s="121">
        <v>1.7403388438842141E+19</v>
      </c>
    </row>
    <row r="132" spans="3:11" ht="15" customHeight="1">
      <c r="C132" s="113" t="b">
        <v>0</v>
      </c>
      <c r="D132" s="114" t="s">
        <v>119</v>
      </c>
      <c r="E132" s="115">
        <v>2019</v>
      </c>
      <c r="F132" s="115" t="s">
        <v>117</v>
      </c>
      <c r="G132" s="119" t="s">
        <v>129</v>
      </c>
      <c r="H132" s="119">
        <v>95.4</v>
      </c>
      <c r="I132" s="119">
        <v>50</v>
      </c>
      <c r="J132" s="121">
        <v>0</v>
      </c>
      <c r="K132" s="121">
        <v>9.9579313534094746E+18</v>
      </c>
    </row>
    <row r="133" spans="3:11" ht="15" customHeight="1">
      <c r="C133" s="113" t="b">
        <v>0</v>
      </c>
      <c r="D133" s="114" t="s">
        <v>113</v>
      </c>
      <c r="E133" s="115">
        <v>2018</v>
      </c>
      <c r="F133" s="115" t="s">
        <v>117</v>
      </c>
      <c r="G133" s="119" t="s">
        <v>129</v>
      </c>
      <c r="H133" s="119">
        <v>92.7</v>
      </c>
      <c r="I133" s="119">
        <v>51</v>
      </c>
      <c r="J133" s="121">
        <v>0</v>
      </c>
      <c r="K133" s="121">
        <v>8.1842456419418931E+18</v>
      </c>
    </row>
    <row r="134" spans="3:11" ht="15" customHeight="1">
      <c r="C134" s="113" t="b">
        <v>0</v>
      </c>
      <c r="D134" s="114" t="s">
        <v>120</v>
      </c>
      <c r="E134" s="115">
        <v>2018</v>
      </c>
      <c r="F134" s="115" t="s">
        <v>114</v>
      </c>
      <c r="G134" s="119" t="s">
        <v>129</v>
      </c>
      <c r="H134" s="119">
        <v>75.5</v>
      </c>
      <c r="I134" s="119">
        <v>52</v>
      </c>
      <c r="J134" s="121">
        <v>0</v>
      </c>
      <c r="K134" s="121">
        <v>5.8884752542111508E+18</v>
      </c>
    </row>
    <row r="135" spans="3:11" ht="15" customHeight="1">
      <c r="C135" s="113" t="b">
        <v>0</v>
      </c>
      <c r="D135" s="114" t="s">
        <v>121</v>
      </c>
      <c r="E135" s="115">
        <v>2017</v>
      </c>
      <c r="F135" s="115" t="s">
        <v>114</v>
      </c>
      <c r="G135" s="119" t="s">
        <v>129</v>
      </c>
      <c r="H135" s="119">
        <v>70.8</v>
      </c>
      <c r="I135" s="119">
        <v>53</v>
      </c>
      <c r="J135" s="121">
        <v>0</v>
      </c>
      <c r="K135" s="121">
        <v>1.386043823959858E+19</v>
      </c>
    </row>
    <row r="136" spans="3:11" ht="15" customHeight="1">
      <c r="C136" s="113" t="b">
        <v>0</v>
      </c>
      <c r="D136" s="114" t="s">
        <v>122</v>
      </c>
      <c r="E136" s="115">
        <v>2017</v>
      </c>
      <c r="F136" s="115" t="s">
        <v>114</v>
      </c>
      <c r="G136" s="119" t="s">
        <v>129</v>
      </c>
      <c r="H136" s="119">
        <v>74.3</v>
      </c>
      <c r="I136" s="119">
        <v>54</v>
      </c>
      <c r="J136" s="121">
        <v>0</v>
      </c>
      <c r="K136" s="121">
        <v>1.5126231187700023E+19</v>
      </c>
    </row>
    <row r="137" spans="3:11" ht="15" customHeight="1">
      <c r="C137" s="113" t="b">
        <v>0</v>
      </c>
      <c r="D137" s="114" t="s">
        <v>123</v>
      </c>
      <c r="E137" s="115">
        <v>2017</v>
      </c>
      <c r="F137" s="115" t="s">
        <v>114</v>
      </c>
      <c r="G137" s="119" t="s">
        <v>129</v>
      </c>
      <c r="H137" s="119">
        <v>74.599999999999994</v>
      </c>
      <c r="I137" s="119">
        <v>55</v>
      </c>
      <c r="J137" s="121">
        <v>0</v>
      </c>
      <c r="K137" s="121">
        <v>1.5124820365015382E+19</v>
      </c>
    </row>
    <row r="138" spans="3:11" ht="15" customHeight="1">
      <c r="C138" s="113" t="b">
        <v>0</v>
      </c>
      <c r="D138" s="114" t="s">
        <v>116</v>
      </c>
      <c r="E138" s="115">
        <v>2019</v>
      </c>
      <c r="F138" s="115" t="s">
        <v>117</v>
      </c>
      <c r="G138" s="119" t="s">
        <v>130</v>
      </c>
      <c r="H138" s="119">
        <v>92.6</v>
      </c>
      <c r="I138" s="119">
        <v>56</v>
      </c>
      <c r="J138" s="121">
        <v>0</v>
      </c>
      <c r="K138" s="121">
        <v>6.4694973014564403E+18</v>
      </c>
    </row>
    <row r="139" spans="3:11" ht="15" customHeight="1">
      <c r="C139" s="113" t="b">
        <v>0</v>
      </c>
      <c r="D139" s="114" t="s">
        <v>118</v>
      </c>
      <c r="E139" s="115">
        <v>2019</v>
      </c>
      <c r="F139" s="115" t="s">
        <v>117</v>
      </c>
      <c r="G139" s="119" t="s">
        <v>130</v>
      </c>
      <c r="H139" s="119">
        <v>92.8</v>
      </c>
      <c r="I139" s="119">
        <v>57</v>
      </c>
      <c r="J139" s="121">
        <v>0</v>
      </c>
      <c r="K139" s="121">
        <v>1.2698928319720112E+19</v>
      </c>
    </row>
    <row r="140" spans="3:11" ht="15" customHeight="1">
      <c r="C140" s="113" t="b">
        <v>0</v>
      </c>
      <c r="D140" s="114" t="s">
        <v>119</v>
      </c>
      <c r="E140" s="115">
        <v>2019</v>
      </c>
      <c r="F140" s="115" t="s">
        <v>117</v>
      </c>
      <c r="G140" s="119" t="s">
        <v>130</v>
      </c>
      <c r="H140" s="119">
        <v>88.2</v>
      </c>
      <c r="I140" s="119">
        <v>58</v>
      </c>
      <c r="J140" s="121">
        <v>0</v>
      </c>
      <c r="K140" s="121">
        <v>9.135473931172823E+18</v>
      </c>
    </row>
    <row r="141" spans="3:11" ht="15" customHeight="1">
      <c r="C141" s="113" t="b">
        <v>0</v>
      </c>
      <c r="D141" s="114" t="s">
        <v>113</v>
      </c>
      <c r="E141" s="115">
        <v>2018</v>
      </c>
      <c r="F141" s="115" t="s">
        <v>117</v>
      </c>
      <c r="G141" s="119" t="s">
        <v>130</v>
      </c>
      <c r="H141" s="119">
        <v>70.099999999999994</v>
      </c>
      <c r="I141" s="119">
        <v>59</v>
      </c>
      <c r="J141" s="121">
        <v>0</v>
      </c>
      <c r="K141" s="121">
        <v>1.1456103931320404E+19</v>
      </c>
    </row>
    <row r="142" spans="3:11" ht="15" customHeight="1">
      <c r="C142" s="113" t="b">
        <v>0</v>
      </c>
      <c r="D142" s="114" t="s">
        <v>120</v>
      </c>
      <c r="E142" s="115">
        <v>2018</v>
      </c>
      <c r="F142" s="115" t="s">
        <v>114</v>
      </c>
      <c r="G142" s="119" t="s">
        <v>130</v>
      </c>
      <c r="H142" s="119">
        <v>57.4</v>
      </c>
      <c r="I142" s="119">
        <v>60</v>
      </c>
      <c r="J142" s="121">
        <v>0</v>
      </c>
      <c r="K142" s="121">
        <v>1.1402218592848648E+19</v>
      </c>
    </row>
    <row r="143" spans="3:11" ht="15" customHeight="1">
      <c r="C143" s="113" t="b">
        <v>0</v>
      </c>
      <c r="D143" s="114" t="s">
        <v>121</v>
      </c>
      <c r="E143" s="115">
        <v>2017</v>
      </c>
      <c r="F143" s="115" t="s">
        <v>114</v>
      </c>
      <c r="G143" s="119" t="s">
        <v>130</v>
      </c>
      <c r="H143" s="119">
        <v>52.7</v>
      </c>
      <c r="I143" s="119">
        <v>61</v>
      </c>
      <c r="J143" s="121">
        <v>0</v>
      </c>
      <c r="K143" s="121">
        <v>9.60657890082833E+18</v>
      </c>
    </row>
    <row r="144" spans="3:11" ht="15" customHeight="1">
      <c r="C144" s="113" t="b">
        <v>0</v>
      </c>
      <c r="D144" s="114" t="s">
        <v>122</v>
      </c>
      <c r="E144" s="115">
        <v>2017</v>
      </c>
      <c r="F144" s="115" t="s">
        <v>114</v>
      </c>
      <c r="G144" s="119" t="s">
        <v>130</v>
      </c>
      <c r="H144" s="119">
        <v>58.4</v>
      </c>
      <c r="I144" s="119">
        <v>62</v>
      </c>
      <c r="J144" s="121">
        <v>0</v>
      </c>
      <c r="K144" s="121">
        <v>1.2619446312020834E+19</v>
      </c>
    </row>
    <row r="145" spans="3:11" ht="15" customHeight="1">
      <c r="C145" s="116" t="b">
        <v>0</v>
      </c>
      <c r="D145" s="117" t="s">
        <v>123</v>
      </c>
      <c r="E145" s="118">
        <v>2017</v>
      </c>
      <c r="F145" s="118" t="s">
        <v>114</v>
      </c>
      <c r="G145" s="119" t="s">
        <v>130</v>
      </c>
      <c r="H145" s="119">
        <v>57.4</v>
      </c>
      <c r="I145" s="119">
        <v>63</v>
      </c>
      <c r="J145" s="121">
        <v>0</v>
      </c>
      <c r="K145" s="121">
        <v>1.6577577818046781E+18</v>
      </c>
    </row>
  </sheetData>
  <phoneticPr fontId="24" type="noConversion"/>
  <conditionalFormatting sqref="D25:F32 D38:F42 D48:F56">
    <cfRule type="cellIs" dxfId="21" priority="26" operator="equal">
      <formula>0</formula>
    </cfRule>
  </conditionalFormatting>
  <conditionalFormatting sqref="C82:C145">
    <cfRule type="cellIs" dxfId="20" priority="25" operator="notEqual">
      <formula>FALSE</formula>
    </cfRule>
  </conditionalFormatting>
  <conditionalFormatting sqref="D19:I19">
    <cfRule type="cellIs" dxfId="19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18" priority="20"/>
  </conditionalFormatting>
  <conditionalFormatting sqref="D17:I17">
    <cfRule type="cellIs" dxfId="17" priority="18" operator="notEqual">
      <formula>"Definition"</formula>
    </cfRule>
  </conditionalFormatting>
  <conditionalFormatting sqref="D60:F67">
    <cfRule type="cellIs" dxfId="16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5" priority="4" operator="notEqual">
      <formula>"Dataset Description"</formula>
    </cfRule>
  </conditionalFormatting>
  <conditionalFormatting sqref="G25:I32 G38:I42 G48:I56">
    <cfRule type="cellIs" dxfId="14" priority="3" operator="equal">
      <formula>0</formula>
    </cfRule>
  </conditionalFormatting>
  <conditionalFormatting sqref="G26:I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I67">
    <cfRule type="cellIs" dxfId="1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Glue</vt:lpstr>
      <vt:lpstr>Back</vt:lpstr>
      <vt:lpstr>Glue!Compiled_Lists</vt:lpstr>
      <vt:lpstr>Glue!Composition</vt:lpstr>
      <vt:lpstr>Glue!CompositionTable</vt:lpstr>
      <vt:lpstr>Glue!DarkHeader</vt:lpstr>
      <vt:lpstr>Glue!Data_Description</vt:lpstr>
      <vt:lpstr>Dataframes</vt:lpstr>
      <vt:lpstr>Overview!Debug</vt:lpstr>
      <vt:lpstr>Overview!DebugToggle</vt:lpstr>
      <vt:lpstr>Glue!Definitions</vt:lpstr>
      <vt:lpstr>Glue!Description</vt:lpstr>
      <vt:lpstr>Glue!Dimensions</vt:lpstr>
      <vt:lpstr>Glue!Field_Analysis</vt:lpstr>
      <vt:lpstr>Glue!Field_Lists</vt:lpstr>
      <vt:lpstr>Field_Overview</vt:lpstr>
      <vt:lpstr>Glue!FieldList1</vt:lpstr>
      <vt:lpstr>Glue!FieldList2</vt:lpstr>
      <vt:lpstr>Glue!FieldList3</vt:lpstr>
      <vt:lpstr>Glue!FieldList4</vt:lpstr>
      <vt:lpstr>Glue!FieldList5</vt:lpstr>
      <vt:lpstr>Glue!FieldList6</vt:lpstr>
      <vt:lpstr>Glue!FieldList7</vt:lpstr>
      <vt:lpstr>Glue!FieldList8</vt:lpstr>
      <vt:lpstr>Glue!FieldLists</vt:lpstr>
      <vt:lpstr>Glue!FieldRange</vt:lpstr>
      <vt:lpstr>Fields</vt:lpstr>
      <vt:lpstr>Glue!FormatRange</vt:lpstr>
      <vt:lpstr>Glue!Headers</vt:lpstr>
      <vt:lpstr>Glue!Headers_Start</vt:lpstr>
      <vt:lpstr>Glue!Histogram</vt:lpstr>
      <vt:lpstr>Glue!LightHeader</vt:lpstr>
      <vt:lpstr>Glue!Name</vt:lpstr>
      <vt:lpstr>Overview!Name</vt:lpstr>
      <vt:lpstr>SinglePlot!Name</vt:lpstr>
      <vt:lpstr>Glue!Notes</vt:lpstr>
      <vt:lpstr>Glue!Percentiles</vt:lpstr>
      <vt:lpstr>Glue!SerializedLists</vt:lpstr>
      <vt:lpstr>SinglePlot!SinglePlot</vt:lpstr>
      <vt:lpstr>Glue!Summary_Stats</vt:lpstr>
      <vt:lpstr>Glue!Theme</vt:lpstr>
      <vt:lpstr>Overview!Theme</vt:lpstr>
      <vt:lpstr>SinglePlot!Theme</vt:lpstr>
      <vt:lpstr>Glue!Toggles</vt:lpstr>
      <vt:lpstr>Glue!TopToggle</vt:lpstr>
      <vt:lpstr>Glue!Warning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2026-06-24T07:32:45Z</dcterms:modified>
</cp:coreProperties>
</file>