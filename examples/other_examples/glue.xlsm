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F8BE077-2364-4AAC-977E-1F9F085C58A4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Glue | Field Analysis" sheetId="25" r:id="rId2"/>
    <sheet name="Glue | Overview" sheetId="27" r:id="rId3"/>
    <sheet name="Glu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'Glue | Field Analysis'!$D$69:$D$78</definedName>
    <definedName name="Composition" localSheetId="1">'Glue | Field Analysis'!$D$23:$D$33</definedName>
    <definedName name="CompositionTable" localSheetId="1">'Glue | Field Analysis'!$E$32</definedName>
    <definedName name="Config" localSheetId="0">debug!$C$6:$C$24</definedName>
    <definedName name="DarkHeader" localSheetId="1">'Glue | Field Analysis'!$E$79</definedName>
    <definedName name="Data_Description" localSheetId="1">'Glue | Field Analysis'!$D$7:$D$18</definedName>
    <definedName name="debug_metadata" localSheetId="0">debug!$D$28</definedName>
    <definedName name="DefaultWarn" localSheetId="3">'Glue | Pivot'!$C$8</definedName>
    <definedName name="Definitions" localSheetId="1">'Glue | Field Analysis'!$E$15:$I$15</definedName>
    <definedName name="Description" localSheetId="1">'Glue | Field Analysis'!$E$7</definedName>
    <definedName name="Dimensions" localSheetId="1">'Glue | Field Analysis'!$E$9</definedName>
    <definedName name="Field_Analysis" localSheetId="1">'Glue | Field Analysis'!$E$20:$E$78</definedName>
    <definedName name="Field_Lists" localSheetId="1">'Glue | Field Analysis'!$D$58:$D$66</definedName>
    <definedName name="FieldList1" localSheetId="1">'Glue | Field Analysis'!$E$58:$I$58</definedName>
    <definedName name="FieldList1" localSheetId="5">#REF!</definedName>
    <definedName name="FieldList1" localSheetId="4">#REF!</definedName>
    <definedName name="FieldList2" localSheetId="1">'Glue | Field Analysis'!$E$59:$I$59</definedName>
    <definedName name="FieldList2" localSheetId="5">#REF!</definedName>
    <definedName name="FieldList2" localSheetId="4">#REF!</definedName>
    <definedName name="FieldList3" localSheetId="1">'Glue | Field Analysis'!$E$60:$I$60</definedName>
    <definedName name="FieldList3" localSheetId="5">#REF!</definedName>
    <definedName name="FieldList3" localSheetId="4">#REF!</definedName>
    <definedName name="FieldList4" localSheetId="1">'Glue | Field Analysis'!$E$61:$I$61</definedName>
    <definedName name="FieldList4" localSheetId="5">#REF!</definedName>
    <definedName name="FieldList4" localSheetId="4">#REF!</definedName>
    <definedName name="FieldList5" localSheetId="1">'Glue | Field Analysis'!$E$62:$I$62</definedName>
    <definedName name="FieldList5" localSheetId="5">#REF!</definedName>
    <definedName name="FieldList5" localSheetId="4">#REF!</definedName>
    <definedName name="FieldList6" localSheetId="1">'Glue | Field Analysis'!$E$63:$I$63</definedName>
    <definedName name="FieldList6" localSheetId="5">#REF!</definedName>
    <definedName name="FieldList6" localSheetId="4">#REF!</definedName>
    <definedName name="FieldList7" localSheetId="1">'Glue | Field Analysis'!$E$64:$I$64</definedName>
    <definedName name="FieldList7" localSheetId="5">#REF!</definedName>
    <definedName name="FieldList7" localSheetId="4">#REF!</definedName>
    <definedName name="FieldList8" localSheetId="1">'Glue | Field Analysis'!$E$65:$I$65</definedName>
    <definedName name="FieldList8" localSheetId="5">#REF!</definedName>
    <definedName name="FieldList8" localSheetId="4">#REF!</definedName>
    <definedName name="FieldLists" localSheetId="1">'Glue | Field Analysis'!$D$58:$I$65</definedName>
    <definedName name="FieldRange" localSheetId="1">'Glue | Field Analysis'!$E$79:$I$79</definedName>
    <definedName name="FieldRange" localSheetId="5">#REF!</definedName>
    <definedName name="FieldRange" localSheetId="4">#REF!</definedName>
    <definedName name="FormatRange" localSheetId="1">'Glue | Field Analysis'!$G:$G</definedName>
    <definedName name="Headers" localSheetId="1">'Glue | Field Analysis'!$E$19:$I$19</definedName>
    <definedName name="Headers_Start" localSheetId="1">'Glue | Field Analysis'!$E$19</definedName>
    <definedName name="Histogram" localSheetId="1">'Glue | Field Analysis'!$E$42</definedName>
    <definedName name="LightHeader" localSheetId="1">'Glue | Field Analysis'!$D$79</definedName>
    <definedName name="LightHeader" localSheetId="5">#REF!</definedName>
    <definedName name="LightHeader" localSheetId="4">#REF!</definedName>
    <definedName name="Metadata">'Glue | Overview'!$C$5:$C$9</definedName>
    <definedName name="MultiplePlots" localSheetId="5">MultiplePlots!$D$9</definedName>
    <definedName name="MultiplePlotsTitle" localSheetId="5">MultiplePlots!$C$2</definedName>
    <definedName name="Name" localSheetId="1">'Glue | Field Analysis'!$C$3</definedName>
    <definedName name="Name" localSheetId="2">'Glue | Overview'!$B$3</definedName>
    <definedName name="Name" localSheetId="3">'Glue | Pivot'!$C$3</definedName>
    <definedName name="Name" localSheetId="5">#REF!</definedName>
    <definedName name="Name" localSheetId="4">#REF!</definedName>
    <definedName name="Notes" localSheetId="1">'Glue | Field Analysis'!$E$17:$I$17</definedName>
    <definedName name="Percentiles" localSheetId="1">'Glue | Field Analysis'!$D$46:$D$55</definedName>
    <definedName name="SerializedLists" localSheetId="1">'Glue | Field Analysis'!$E$69:$E$78</definedName>
    <definedName name="SinglePlot" localSheetId="4">SinglePlot!$C$8</definedName>
    <definedName name="SinglePlotTitle" localSheetId="4">SinglePlot!$C$2</definedName>
    <definedName name="Summary_Stats" localSheetId="1">'Glue | Field Analysis'!$D$36:$D$43</definedName>
    <definedName name="Theme" localSheetId="1">'Glue | Field Analysis'!$C$19:$I$19</definedName>
    <definedName name="Theme" localSheetId="2">'Glue | Overview'!$B$11:$AA$11</definedName>
    <definedName name="Theme" localSheetId="3">'Glue | Pivot'!$B$5:$Q$5</definedName>
    <definedName name="Theme" localSheetId="5">MultiplePlots!$B$6:$P$6</definedName>
    <definedName name="Theme" localSheetId="4">SinglePlot!$B$6:$P$6</definedName>
    <definedName name="Toggles" localSheetId="1">'Glue | Field Analysis'!$C$5,'Glue | Field Analysis'!$C$21,'Glue | Field Analysis'!$C$34,'Glue | Field Analysis'!$C$44,'Glue | Field Analysis'!$C$56,'Glue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'Glue | Field Analysis'!$B$3</definedName>
    <definedName name="Warning" localSheetId="1">'Glue | Field Analysis'!$D$1</definedName>
    <definedName name="Warning" localSheetId="2">'Glue | Overview'!$B$1</definedName>
    <definedName name="Warning" localSheetId="3">'Glue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<sst xmlns="http://schemas.openxmlformats.org/spreadsheetml/2006/main" count="470" uniqueCount="159">
  <si>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</si>
  <si>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</si>
  <si>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</si>
  <si>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</si>
  <si>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</si>
  <si>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</si>
  <si>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</si>
  <si>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</si>
  <si>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</si>
  <si>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</si>
  <si>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</si>
  <si>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</si>
  <si>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</si>
  <si>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</si>
  <si>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</si>
  <si>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</si>
  <si>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</si>
  <si>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</si>
  <si>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</si>
  <si>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</si>
  <si>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</si>
  <si>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</si>
  <si>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</si>
  <si>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</si>
  <si>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</si>
  <si>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</si>
  <si>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</si>
  <si>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</si>
  <si>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</si>
  <si>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</si>
  <si>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</si>
  <si>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</si>
  <si>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</si>
  <si>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</si>
  <si>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</si>
  <si>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</si>
  <si>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</si>
  <si>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</si>
  <si>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</si>
  <si>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</si>
  <si>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</si>
  <si>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</si>
  <si>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</si>
  <si>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</si>
  <si>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</si>
  <si>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</si>
  <si>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</si>
  <si>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</si>
  <si>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</si>
  <si>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</si>
  <si>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</si>
  <si>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</si>
  <si>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</si>
  <si>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</si>
  <si>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</si>
  <si>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</si>
  <si>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</si>
  <si>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</si>
  <si>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</si>
  <si>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</si>
  <si>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</si>
  <si>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</si>
  <si>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</si>
  <si>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</si>
  <si>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</si>
  <si>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</si>
  <si>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</si>
  <si>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</si>
  <si>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</si>
  <si>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</si>
  <si>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</si>
  <si>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</si>
  <si>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</si>
  <si>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</si>
  <si>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</si>
  <si>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</si>
  <si>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</si>
  <si>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</si>
  <si>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</si>
  <si>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</si>
  <si>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</si>
  <si>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</si>
  <si>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</si>
  <si>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</si>
  <si>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</si>
  <si>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</si>
  <si>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</si>
  <si>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</si>
  <si>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</si>
  <si>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</si>
  <si>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</si>
  <si>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3,884 bytes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</si>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</sst>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029D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4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29D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4"/>
      <tableStyleElement type="headerRow" dxfId="143"/>
      <tableStyleElement type="totalRow" dxfId="142"/>
    </tableStyle>
    <tableStyle name="DarkTable" pivot="0" count="2" xr9:uid="{97C242D2-6F6D-4549-9428-17456D609B35}">
      <tableStyleElement type="wholeTable" dxfId="141"/>
      <tableStyleElement type="headerRow" dxfId="14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18AC5A6E-3869-4ED5-5C6E-3831FF3C0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B358663E-5353-7B14-A12A-3FAF44D61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F881A8F1-98F3-BC75-E6EB-B55010A16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B70C3654-B935-9104-529F-4B5D7886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5E80C418-AA4F-B4C9-494E-8EE1D1F747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D4C7C2E2-C2E7-1BE2-D2D6-6887A6900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F6F98E71-ACCE-92D0-9425-AE8A7D4CC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532523149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67577427482862E+18" maxValue="1.84364362237110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0"/>
    <n v="7.6416341301045053E+18"/>
  </r>
  <r>
    <b v="0"/>
    <x v="1"/>
    <x v="0"/>
    <x v="0"/>
    <x v="0"/>
    <x v="1"/>
    <n v="1"/>
    <n v="0"/>
    <n v="4.9805499656177756E+18"/>
  </r>
  <r>
    <b v="0"/>
    <x v="2"/>
    <x v="0"/>
    <x v="0"/>
    <x v="0"/>
    <x v="2"/>
    <n v="2"/>
    <n v="0"/>
    <n v="1.1816079276899027E+19"/>
  </r>
  <r>
    <b v="0"/>
    <x v="3"/>
    <x v="1"/>
    <x v="0"/>
    <x v="0"/>
    <x v="3"/>
    <n v="3"/>
    <n v="0"/>
    <n v="8.0141863670741565E+18"/>
  </r>
  <r>
    <b v="0"/>
    <x v="4"/>
    <x v="1"/>
    <x v="1"/>
    <x v="0"/>
    <x v="4"/>
    <n v="4"/>
    <n v="0"/>
    <n v="1.1249752649519165E+19"/>
  </r>
  <r>
    <b v="0"/>
    <x v="5"/>
    <x v="2"/>
    <x v="1"/>
    <x v="0"/>
    <x v="5"/>
    <n v="5"/>
    <n v="0"/>
    <n v="1.4103344884274627E+19"/>
  </r>
  <r>
    <b v="0"/>
    <x v="6"/>
    <x v="2"/>
    <x v="1"/>
    <x v="0"/>
    <x v="6"/>
    <n v="6"/>
    <n v="0"/>
    <n v="6.0743733072796129E+18"/>
  </r>
  <r>
    <b v="0"/>
    <x v="7"/>
    <x v="2"/>
    <x v="1"/>
    <x v="0"/>
    <x v="7"/>
    <n v="7"/>
    <n v="0"/>
    <n v="1.4151042743229712E+19"/>
  </r>
  <r>
    <b v="0"/>
    <x v="0"/>
    <x v="0"/>
    <x v="0"/>
    <x v="1"/>
    <x v="8"/>
    <n v="8"/>
    <n v="0"/>
    <n v="1.5859105464097057E+19"/>
  </r>
  <r>
    <b v="0"/>
    <x v="1"/>
    <x v="0"/>
    <x v="0"/>
    <x v="1"/>
    <x v="9"/>
    <n v="9"/>
    <n v="0"/>
    <n v="1.173130066710485E+19"/>
  </r>
  <r>
    <b v="0"/>
    <x v="2"/>
    <x v="0"/>
    <x v="0"/>
    <x v="1"/>
    <x v="10"/>
    <n v="10"/>
    <n v="0"/>
    <n v="3.6160849681723648E+18"/>
  </r>
  <r>
    <b v="0"/>
    <x v="3"/>
    <x v="1"/>
    <x v="0"/>
    <x v="1"/>
    <x v="11"/>
    <n v="11"/>
    <n v="0"/>
    <n v="1.5264263511564206E+19"/>
  </r>
  <r>
    <b v="0"/>
    <x v="4"/>
    <x v="1"/>
    <x v="1"/>
    <x v="1"/>
    <x v="12"/>
    <n v="12"/>
    <n v="0"/>
    <n v="1.7000011585322863E+19"/>
  </r>
  <r>
    <b v="0"/>
    <x v="5"/>
    <x v="2"/>
    <x v="1"/>
    <x v="1"/>
    <x v="13"/>
    <n v="13"/>
    <n v="0"/>
    <n v="1.7289689987998118E+19"/>
  </r>
  <r>
    <b v="0"/>
    <x v="6"/>
    <x v="2"/>
    <x v="1"/>
    <x v="1"/>
    <x v="14"/>
    <n v="14"/>
    <n v="0"/>
    <n v="1.0467577427482862E+18"/>
  </r>
  <r>
    <b v="0"/>
    <x v="7"/>
    <x v="2"/>
    <x v="1"/>
    <x v="1"/>
    <x v="15"/>
    <n v="15"/>
    <n v="0"/>
    <n v="4.4560940980781005E+18"/>
  </r>
  <r>
    <b v="0"/>
    <x v="0"/>
    <x v="0"/>
    <x v="0"/>
    <x v="2"/>
    <x v="16"/>
    <n v="16"/>
    <n v="0"/>
    <n v="3.0581813813001032E+18"/>
  </r>
  <r>
    <b v="0"/>
    <x v="1"/>
    <x v="0"/>
    <x v="0"/>
    <x v="2"/>
    <x v="17"/>
    <n v="17"/>
    <n v="0"/>
    <n v="7.6531251636527288E+18"/>
  </r>
  <r>
    <b v="0"/>
    <x v="2"/>
    <x v="0"/>
    <x v="0"/>
    <x v="2"/>
    <x v="18"/>
    <n v="18"/>
    <n v="0"/>
    <n v="8.4248184563182449E+18"/>
  </r>
  <r>
    <b v="0"/>
    <x v="3"/>
    <x v="1"/>
    <x v="0"/>
    <x v="2"/>
    <x v="12"/>
    <n v="19"/>
    <n v="0"/>
    <n v="1.5251034860468867E+18"/>
  </r>
  <r>
    <b v="0"/>
    <x v="4"/>
    <x v="1"/>
    <x v="1"/>
    <x v="2"/>
    <x v="19"/>
    <n v="20"/>
    <n v="0"/>
    <n v="9.2743303861836636E+18"/>
  </r>
  <r>
    <b v="0"/>
    <x v="5"/>
    <x v="2"/>
    <x v="1"/>
    <x v="2"/>
    <x v="20"/>
    <n v="21"/>
    <n v="0"/>
    <n v="9.862581630044715E+18"/>
  </r>
  <r>
    <b v="0"/>
    <x v="6"/>
    <x v="2"/>
    <x v="1"/>
    <x v="2"/>
    <x v="21"/>
    <n v="22"/>
    <n v="0"/>
    <n v="1.6988240201330432E+19"/>
  </r>
  <r>
    <b v="0"/>
    <x v="7"/>
    <x v="2"/>
    <x v="1"/>
    <x v="2"/>
    <x v="22"/>
    <n v="23"/>
    <n v="0"/>
    <n v="1.8430482182789988E+19"/>
  </r>
  <r>
    <b v="0"/>
    <x v="0"/>
    <x v="0"/>
    <x v="0"/>
    <x v="3"/>
    <x v="23"/>
    <n v="24"/>
    <n v="0"/>
    <n v="1.8436436223711052E+19"/>
  </r>
  <r>
    <b v="0"/>
    <x v="1"/>
    <x v="0"/>
    <x v="0"/>
    <x v="3"/>
    <x v="24"/>
    <n v="25"/>
    <n v="0"/>
    <n v="3.6276213139538253E+18"/>
  </r>
  <r>
    <b v="0"/>
    <x v="2"/>
    <x v="0"/>
    <x v="0"/>
    <x v="3"/>
    <x v="25"/>
    <n v="26"/>
    <n v="0"/>
    <n v="1.4469019585949688E+19"/>
  </r>
  <r>
    <b v="0"/>
    <x v="3"/>
    <x v="1"/>
    <x v="0"/>
    <x v="3"/>
    <x v="26"/>
    <n v="27"/>
    <n v="0"/>
    <n v="1.4297715177762591E+19"/>
  </r>
  <r>
    <b v="0"/>
    <x v="4"/>
    <x v="1"/>
    <x v="1"/>
    <x v="3"/>
    <x v="27"/>
    <n v="28"/>
    <n v="0"/>
    <n v="3.8384501080722739E+18"/>
  </r>
  <r>
    <b v="0"/>
    <x v="5"/>
    <x v="2"/>
    <x v="1"/>
    <x v="3"/>
    <x v="28"/>
    <n v="29"/>
    <n v="0"/>
    <n v="8.388958348336126E+18"/>
  </r>
  <r>
    <b v="0"/>
    <x v="6"/>
    <x v="2"/>
    <x v="1"/>
    <x v="3"/>
    <x v="29"/>
    <n v="30"/>
    <n v="0"/>
    <n v="1.4509469673031207E+19"/>
  </r>
  <r>
    <b v="0"/>
    <x v="7"/>
    <x v="2"/>
    <x v="1"/>
    <x v="3"/>
    <x v="27"/>
    <n v="31"/>
    <n v="0"/>
    <n v="1.3609159999136465E+19"/>
  </r>
  <r>
    <b v="0"/>
    <x v="0"/>
    <x v="0"/>
    <x v="0"/>
    <x v="4"/>
    <x v="30"/>
    <n v="32"/>
    <n v="0"/>
    <n v="1.1826316238605615E+19"/>
  </r>
  <r>
    <b v="0"/>
    <x v="1"/>
    <x v="0"/>
    <x v="0"/>
    <x v="4"/>
    <x v="31"/>
    <n v="33"/>
    <n v="0"/>
    <n v="3.3185973123736182E+18"/>
  </r>
  <r>
    <b v="0"/>
    <x v="2"/>
    <x v="0"/>
    <x v="0"/>
    <x v="4"/>
    <x v="32"/>
    <n v="34"/>
    <n v="0"/>
    <n v="4.5781791284407132E+18"/>
  </r>
  <r>
    <b v="0"/>
    <x v="3"/>
    <x v="1"/>
    <x v="0"/>
    <x v="4"/>
    <x v="33"/>
    <n v="35"/>
    <n v="0"/>
    <n v="1.0689417683849984E+19"/>
  </r>
  <r>
    <b v="0"/>
    <x v="4"/>
    <x v="1"/>
    <x v="1"/>
    <x v="4"/>
    <x v="34"/>
    <n v="36"/>
    <n v="0"/>
    <n v="1.6976864150280911E+19"/>
  </r>
  <r>
    <b v="0"/>
    <x v="5"/>
    <x v="2"/>
    <x v="1"/>
    <x v="4"/>
    <x v="35"/>
    <n v="37"/>
    <n v="0"/>
    <n v="5.5772726485897779E+18"/>
  </r>
  <r>
    <b v="0"/>
    <x v="6"/>
    <x v="2"/>
    <x v="1"/>
    <x v="4"/>
    <x v="36"/>
    <n v="38"/>
    <n v="0"/>
    <n v="1.2586443061500328E+19"/>
  </r>
  <r>
    <b v="0"/>
    <x v="7"/>
    <x v="2"/>
    <x v="1"/>
    <x v="4"/>
    <x v="37"/>
    <n v="39"/>
    <n v="0"/>
    <n v="1.0418589580104241E+19"/>
  </r>
  <r>
    <b v="0"/>
    <x v="0"/>
    <x v="0"/>
    <x v="0"/>
    <x v="5"/>
    <x v="18"/>
    <n v="40"/>
    <n v="0"/>
    <n v="6.7523677976195994E+18"/>
  </r>
  <r>
    <b v="0"/>
    <x v="1"/>
    <x v="0"/>
    <x v="0"/>
    <x v="5"/>
    <x v="25"/>
    <n v="41"/>
    <n v="0"/>
    <n v="1.0456673139455687E+19"/>
  </r>
  <r>
    <b v="0"/>
    <x v="2"/>
    <x v="0"/>
    <x v="0"/>
    <x v="5"/>
    <x v="38"/>
    <n v="42"/>
    <n v="0"/>
    <n v="6.8844374823196467E+18"/>
  </r>
  <r>
    <b v="0"/>
    <x v="3"/>
    <x v="1"/>
    <x v="0"/>
    <x v="5"/>
    <x v="39"/>
    <n v="43"/>
    <n v="0"/>
    <n v="1.0455682986344124E+19"/>
  </r>
  <r>
    <b v="0"/>
    <x v="4"/>
    <x v="1"/>
    <x v="1"/>
    <x v="5"/>
    <x v="40"/>
    <n v="44"/>
    <n v="0"/>
    <n v="8.8492184415032412E+18"/>
  </r>
  <r>
    <b v="0"/>
    <x v="5"/>
    <x v="2"/>
    <x v="1"/>
    <x v="5"/>
    <x v="41"/>
    <n v="45"/>
    <n v="0"/>
    <n v="4.851223639010348E+18"/>
  </r>
  <r>
    <b v="0"/>
    <x v="6"/>
    <x v="2"/>
    <x v="1"/>
    <x v="5"/>
    <x v="42"/>
    <n v="46"/>
    <n v="0"/>
    <n v="1.5812575710998927E+19"/>
  </r>
  <r>
    <b v="0"/>
    <x v="7"/>
    <x v="2"/>
    <x v="1"/>
    <x v="5"/>
    <x v="43"/>
    <n v="47"/>
    <n v="0"/>
    <n v="4.7043297623379323E+18"/>
  </r>
  <r>
    <b v="0"/>
    <x v="0"/>
    <x v="0"/>
    <x v="0"/>
    <x v="6"/>
    <x v="44"/>
    <n v="48"/>
    <n v="0"/>
    <n v="4.6891861273699062E+18"/>
  </r>
  <r>
    <b v="0"/>
    <x v="1"/>
    <x v="0"/>
    <x v="0"/>
    <x v="6"/>
    <x v="45"/>
    <n v="49"/>
    <n v="0"/>
    <n v="1.7403388438842141E+19"/>
  </r>
  <r>
    <b v="0"/>
    <x v="2"/>
    <x v="0"/>
    <x v="0"/>
    <x v="6"/>
    <x v="46"/>
    <n v="50"/>
    <n v="0"/>
    <n v="9.9579313534094746E+18"/>
  </r>
  <r>
    <b v="0"/>
    <x v="3"/>
    <x v="1"/>
    <x v="0"/>
    <x v="6"/>
    <x v="47"/>
    <n v="51"/>
    <n v="0"/>
    <n v="8.1842456419418931E+18"/>
  </r>
  <r>
    <b v="0"/>
    <x v="4"/>
    <x v="1"/>
    <x v="1"/>
    <x v="6"/>
    <x v="0"/>
    <n v="52"/>
    <n v="0"/>
    <n v="5.8884752542111508E+18"/>
  </r>
  <r>
    <b v="0"/>
    <x v="5"/>
    <x v="2"/>
    <x v="1"/>
    <x v="6"/>
    <x v="48"/>
    <n v="53"/>
    <n v="0"/>
    <n v="1.386043823959858E+19"/>
  </r>
  <r>
    <b v="0"/>
    <x v="6"/>
    <x v="2"/>
    <x v="1"/>
    <x v="6"/>
    <x v="32"/>
    <n v="54"/>
    <n v="0"/>
    <n v="1.5126231187700023E+19"/>
  </r>
  <r>
    <b v="0"/>
    <x v="7"/>
    <x v="2"/>
    <x v="1"/>
    <x v="6"/>
    <x v="49"/>
    <n v="55"/>
    <n v="0"/>
    <n v="1.5124820365015382E+19"/>
  </r>
  <r>
    <b v="0"/>
    <x v="0"/>
    <x v="0"/>
    <x v="0"/>
    <x v="7"/>
    <x v="50"/>
    <n v="56"/>
    <n v="0"/>
    <n v="6.4694973014564403E+18"/>
  </r>
  <r>
    <b v="0"/>
    <x v="1"/>
    <x v="0"/>
    <x v="0"/>
    <x v="7"/>
    <x v="17"/>
    <n v="57"/>
    <n v="0"/>
    <n v="1.2698928319720112E+19"/>
  </r>
  <r>
    <b v="0"/>
    <x v="2"/>
    <x v="0"/>
    <x v="0"/>
    <x v="7"/>
    <x v="51"/>
    <n v="58"/>
    <n v="0"/>
    <n v="9.135473931172823E+18"/>
  </r>
  <r>
    <b v="0"/>
    <x v="3"/>
    <x v="1"/>
    <x v="0"/>
    <x v="7"/>
    <x v="52"/>
    <n v="59"/>
    <n v="0"/>
    <n v="1.1456103931320404E+19"/>
  </r>
  <r>
    <b v="0"/>
    <x v="4"/>
    <x v="1"/>
    <x v="1"/>
    <x v="7"/>
    <x v="53"/>
    <n v="60"/>
    <n v="0"/>
    <n v="1.1402218592848648E+19"/>
  </r>
  <r>
    <b v="0"/>
    <x v="5"/>
    <x v="2"/>
    <x v="1"/>
    <x v="7"/>
    <x v="54"/>
    <n v="61"/>
    <n v="0"/>
    <n v="9.60657890082833E+18"/>
  </r>
  <r>
    <b v="0"/>
    <x v="6"/>
    <x v="2"/>
    <x v="1"/>
    <x v="7"/>
    <x v="55"/>
    <n v="62"/>
    <n v="0"/>
    <n v="1.2619446312020834E+19"/>
  </r>
  <r>
    <b v="0"/>
    <x v="7"/>
    <x v="2"/>
    <x v="1"/>
    <x v="7"/>
    <x v="53"/>
    <n v="63"/>
    <n v="0"/>
    <n v="1.657757781804678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8" firstHeaderRow="0" firstDataRow="1" firstDataCol="5"/>
  <pivotFields count="9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54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57">
      <pivotArea dataOnly="0"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1" count="0"/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1">
          <reference field="1" count="1">
            <x v="0"/>
          </reference>
        </references>
      </pivotArea>
    </format>
    <format dxfId="9">
      <pivotArea dataOnly="0" labelOnly="1" outline="0" fieldPosition="0">
        <references count="1">
          <reference field="1" count="1">
            <x v="1"/>
          </reference>
        </references>
      </pivotArea>
    </format>
    <format dxfId="8">
      <pivotArea dataOnly="0" labelOnly="1" outline="0" fieldPosition="0">
        <references count="1">
          <reference field="1" count="1">
            <x v="2"/>
          </reference>
        </references>
      </pivotArea>
    </format>
    <format dxfId="7">
      <pivotArea dataOnly="0" labelOnly="1" outline="0" fieldPosition="0">
        <references count="1">
          <reference field="1" count="1">
            <x v="3"/>
          </reference>
        </references>
      </pivotArea>
    </format>
    <format dxfId="6">
      <pivotArea dataOnly="0" labelOnly="1" outline="0" fieldPosition="0">
        <references count="1">
          <reference field="1" count="1">
            <x v="4"/>
          </reference>
        </references>
      </pivotArea>
    </format>
    <format dxfId="5">
      <pivotArea dataOnly="0" labelOnly="1" outline="0" fieldPosition="0">
        <references count="1">
          <reference field="1" count="1">
            <x v="5"/>
          </reference>
        </references>
      </pivotArea>
    </format>
    <format dxfId="4">
      <pivotArea dataOnly="0" labelOnly="1" outline="0" fieldPosition="0">
        <references count="1">
          <reference field="1" count="1">
            <x v="6"/>
          </reference>
        </references>
      </pivotArea>
    </format>
    <format dxfId="3">
      <pivotArea dataOnly="0" labelOnly="1" outline="0" fieldPosition="0">
        <references count="1">
          <reference field="1" count="1">
            <x v="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39" dataDxfId="137" headerRowBorderDxfId="138" tableBorderDxfId="136" totalsRowBorderDxfId="135" headerRowCellStyle="DarkHeader">
  <autoFilter ref="C45:J57" xr:uid="{DD504193-DD3B-4BC5-B491-CD13C900E1D0}"/>
  <tableColumns count="8">
    <tableColumn id="1" xr3:uid="{428A065A-E650-48CD-82D8-DCD52C6ADF49}" name="Dataset" dataDxfId="134"/>
    <tableColumn id="2" xr3:uid="{59A978F6-B8DD-476D-83D1-DF4156BF2B65}" name="Field" dataDxfId="133"/>
    <tableColumn id="4" xr3:uid="{F13FAD31-2DAD-46F1-87AA-89BB89F55C7D}" name="Activity" dataDxfId="132"/>
    <tableColumn id="3" xr3:uid="{EEC05A6B-8FC2-4E70-83F0-CD177B8B3640}" name="Rows" dataDxfId="131"/>
    <tableColumn id="5" xr3:uid="{393C3242-A398-4640-8F14-23E67E5E58DD}" name="Columns" dataDxfId="130" dataCellStyle="Comma"/>
    <tableColumn id="6" xr3:uid="{FD0E5439-87A1-4303-9EA2-539C332536D5}" name="Datatype" dataDxfId="129"/>
    <tableColumn id="7" xr3:uid="{8B1A0719-0FD5-40F2-A5A8-CFCFA32E014A}" name="Production Time in Seconds" dataDxfId="128"/>
    <tableColumn id="8" xr3:uid="{B5BE7F10-5FBA-44EF-8324-B95D2ABA2298}" name="% of Production Time" dataDxfId="12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6" dataDxfId="124" headerRowBorderDxfId="125" tableBorderDxfId="123" totalsRowBorderDxfId="122">
  <tableColumns count="3">
    <tableColumn id="1" xr3:uid="{FFACC0FF-000E-4785-9C1A-22F01E7C2644}" name="Production Section" dataDxfId="121" dataCellStyle="DarkHeader"/>
    <tableColumn id="2" xr3:uid="{6A06C42D-D4AD-45CE-A81D-0918B410EAA9}" name="Production Time in Seconds" dataDxfId="120"/>
    <tableColumn id="3" xr3:uid="{2643AF23-A2E5-4438-810D-7531CB2D2E4E}" name="% of Production Time" dataDxfId="11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8" dataDxfId="116" headerRowBorderDxfId="117" tableBorderDxfId="115">
  <tableColumns count="2">
    <tableColumn id="1" xr3:uid="{9623C5AE-E7C2-4493-9B72-08667C9B2C60}" name="Environment Variable" dataDxfId="114" dataCellStyle="DarkHeader"/>
    <tableColumn id="2" xr3:uid="{E5E357AA-48FB-47EA-928A-80845B0CD7C9}" name="Value" dataDxfId="11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2" tableBorderDxfId="111" totalsRowBorderDxfId="110">
  <autoFilter ref="F9:G20" xr:uid="{A6117933-3C15-4FC8-ADF4-0EC66304DEE1}"/>
  <tableColumns count="2">
    <tableColumn id="1" xr3:uid="{EC70458D-5C3D-497C-AA06-AFCBD688FBDA}" name="Input Argument" dataDxfId="109" dataCellStyle="DarkHeader"/>
    <tableColumn id="2" xr3:uid="{FCA8AE27-3D46-4152-9A03-0F3EFBA2366A}" name="Value" dataDxfId="10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7" tableBorderDxfId="106" totalsRowBorderDxfId="105">
  <autoFilter ref="I9:J10" xr:uid="{6AF89CD0-DF40-4046-87D4-2BF660DDE636}"/>
  <tableColumns count="2">
    <tableColumn id="1" xr3:uid="{27FA7240-202E-4FAB-AD4A-DC169AFD6F56}" name="Error Type" dataDxfId="104" dataCellStyle="DarkHeader"/>
    <tableColumn id="2" xr3:uid="{C21354E4-3682-4AA0-B73A-2E689C89258C}" name="Value" dataDxfId="10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43" totalsRowShown="0" headerRowDxfId="44" dataDxfId="43" headerRowCellStyle="DarkHeader" dataCellStyle="Normal">
  <autoFilter ref="D79:L143" xr:uid="{DB1D1E60-5E37-456A-AD85-0649D531840E}"/>
  <tableColumns count="9">
    <tableColumn id="1" xr3:uid="{57EDF41E-F06D-4819-BADE-3D62DE46F06C}" name="Record List" dataDxfId="41" dataCellStyle="Normal"/>
    <tableColumn id="2" xr3:uid="{CF70C9CE-83FE-40FA-8089-C68B39CF665A}" name="Model" dataDxfId="42" dataCellStyle="Normal"/>
    <tableColumn id="3" xr3:uid="{B8654690-502A-4FAF-9205-0118DABCB954}" name="Year" dataDxfId="47" dataCellStyle="Normal"/>
    <tableColumn id="4" xr3:uid="{5A5BA001-2F93-4E62-880C-C4E8BDB17EEB}" name="Encoder" dataDxfId="46" dataCellStyle="Normal"/>
    <tableColumn id="5" xr3:uid="{2180FE36-2E6D-4EA9-8B1F-F01394EDD72D}" name="Task" dataDxfId="45" dataCellStyle="Normal"/>
    <tableColumn id="6" xr3:uid="{21E135F6-3FA7-467F-AECC-BA9B7CAB8F12}" name="Score" dataDxfId="40" dataCellStyle="Normal"/>
    <tableColumn id="7" xr3:uid="{7BDBF42E-1AE6-44AE-9E20-9768B15BF8B0}" name="index" dataDxfId="39" dataCellStyle="Normal"/>
    <tableColumn id="8" xr3:uid="{5AD33D75-68B1-4E6C-BE55-ACC3A2365AD5}" name="HasBlank" dataDxfId="38" dataCellStyle="Normal"/>
    <tableColumn id="9" xr3:uid="{1CC23AF4-FAD4-42F4-B151-59E880E8D368}" name="Record Hash" dataDxfId="3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0" dataDxfId="94" headerRowBorderDxfId="95">
  <autoFilter ref="B11:AA16" xr:uid="{034D1C74-BE18-490E-B396-097D407DA97D}"/>
  <tableColumns count="26">
    <tableColumn id="1" xr3:uid="{010A8E62-502A-4B19-B37A-BF59E03A068A}" name="Field" dataDxfId="93"/>
    <tableColumn id="2" xr3:uid="{AD236665-EC7C-404F-8915-AD7CD5510D0F}" name="Definition" dataDxfId="49">
      <calculatedColumnFormula>IF(INDEX('Glue | Field Analysis'!Definitions,1,MATCH(tbl_Overview[[#This Row],[Field]],'Glue | Field Analysis'!Headers,0))="Definition","",INDEX('Glue | Field Analysis'!Definitions,1,MATCH(tbl_Overview[[#This Row],[Field]],'Glue | Field Analysis'!Headers,0)))</calculatedColumnFormula>
    </tableColumn>
    <tableColumn id="3" xr3:uid="{B78AB378-5727-433E-AB9C-BB970FC42B31}" name="Field Notes" dataDxfId="48">
      <calculatedColumnFormula>IF(INDEX('Glue | Field Analysis'!Notes,1,MATCH(tbl_Overview[[#This Row],[Field]],'Glue | Field Analysis'!Headers,0))="Note","",INDEX('Glue | Field Analysis'!Notes,1,MATCH(tbl_Overview[[#This Row],[Field]],'Glue | Field Analysis'!Headers,0)))</calculatedColumnFormula>
    </tableColumn>
    <tableColumn id="4" xr3:uid="{EF15AE67-FE31-471E-840E-8104B878A3E8}" name="Data type" dataDxfId="92"/>
    <tableColumn id="5" xr3:uid="{5006D683-9D12-4B97-9EF2-6D41AF6E0B35}" name="Distinct %" dataDxfId="91"/>
    <tableColumn id="6" xr3:uid="{3AFB42F8-9976-44FF-9239-74914D5BE035}" name="Missing %" dataDxfId="90"/>
    <tableColumn id="7" xr3:uid="{4BA41102-DB06-4180-9754-C88722FE82BD}" name="Memory Usage %" dataDxfId="89"/>
    <tableColumn id="8" xr3:uid="{D22319BD-3A80-40F3-84FC-A6D1627B2F29}" name="Memory Usage" dataDxfId="88"/>
    <tableColumn id="9" xr3:uid="{77FAEE19-B6C7-4056-8EF3-5EB877C820C4}" name="Distinct" dataDxfId="87"/>
    <tableColumn id="10" xr3:uid="{54FF47BF-594E-417B-9028-64A4DFE4D389}" name="Count" dataDxfId="86"/>
    <tableColumn id="11" xr3:uid="{54E587FE-36DC-4522-91DC-8B81B386217B}" name="Count %" dataDxfId="85"/>
    <tableColumn id="12" xr3:uid="{0DE21D83-93B1-480C-BE9C-379DA0E532C7}" name="Missing" dataDxfId="84"/>
    <tableColumn id="13" xr3:uid="{C4B407B9-B7FB-4DFC-A6B3-885C816BAF99}" name="Mean" dataDxfId="83"/>
    <tableColumn id="14" xr3:uid="{9796FD8E-D568-43E1-AC6E-BFAE7C7B7017}" name="Median" dataDxfId="82"/>
    <tableColumn id="15" xr3:uid="{A6A7BCED-DD2F-4B41-A84C-2F2674A38A53}" name="Mode" dataDxfId="81"/>
    <tableColumn id="16" xr3:uid="{46607FA5-244C-49C2-997C-B64EB2E94FDE}" name="Standard Deviation" dataDxfId="80"/>
    <tableColumn id="17" xr3:uid="{80BA1782-4C46-45CE-B3FB-40B70BA09AF9}" name="Variance" dataDxfId="79"/>
    <tableColumn id="18" xr3:uid="{EC3C5A76-EF95-419C-87A8-D8885B542521}" name="Min" dataDxfId="78"/>
    <tableColumn id="19" xr3:uid="{BFE545F8-810C-4F0A-A0B2-FF0AB9764A07}" name="5%" dataDxfId="77"/>
    <tableColumn id="20" xr3:uid="{77D31A9B-57B1-4422-8EF9-6320F00E0DB9}" name="25%" dataDxfId="76"/>
    <tableColumn id="21" xr3:uid="{7A350787-F0EA-4E65-B596-5D7253E75CD6}" name="50%" dataDxfId="75"/>
    <tableColumn id="22" xr3:uid="{FB4C260E-A19F-4908-9DBF-DB4AC630982A}" name="75%" dataDxfId="74"/>
    <tableColumn id="23" xr3:uid="{FBECC9F1-5BC8-4774-9475-EB2D6D28F1E2}" name="95%" dataDxfId="73"/>
    <tableColumn id="24" xr3:uid="{839CD532-ED80-4544-A8C8-E9E036764A84}" name="Max" dataDxfId="72"/>
    <tableColumn id="25" xr3:uid="{9DDA1FD6-82B1-4FBE-8BBD-B40C331930D2}" name="Range" dataDxfId="71"/>
    <tableColumn id="26" xr3:uid="{902A027A-FD65-44D4-B3D0-5B3883ACFA39}" name="IQR" dataDxfId="7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46176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64</v>
      </c>
      <c r="E31" s="97"/>
      <c r="K31" s="100"/>
      <c r="X31" s="83"/>
    </row>
    <row r="32" spans="2:25" ht="15" customHeight="1">
      <c r="C32" s="99" t="s">
        <v>70</v>
      </c>
      <c r="D32" s="86">
        <v>7.3516302108764648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2.8339676856994629</v>
      </c>
      <c r="E35" s="127">
        <v>0.38548780941043193</v>
      </c>
    </row>
    <row r="36" spans="2:24" ht="15" customHeight="1">
      <c r="C36" s="104" t="s">
        <v>152</v>
      </c>
      <c r="D36" s="129">
        <v>3.3616890907287598</v>
      </c>
      <c r="E36" s="127">
        <v>0.45727062098950239</v>
      </c>
      <c r="K36" s="100"/>
    </row>
    <row r="37" spans="2:24" ht="15" customHeight="1">
      <c r="C37" s="104" t="s">
        <v>153</v>
      </c>
      <c r="D37" s="129">
        <v>0.25359416007995605</v>
      </c>
      <c r="E37" s="127">
        <v>3.4494908936963671E-2</v>
      </c>
      <c r="K37" s="100"/>
    </row>
    <row r="38" spans="2:24" ht="15" customHeight="1">
      <c r="C38" s="104" t="s">
        <v>154</v>
      </c>
      <c r="D38" s="129">
        <v>0.2346038818359375</v>
      </c>
      <c r="E38" s="127">
        <v>3.1911774063082959E-2</v>
      </c>
      <c r="K38" s="100"/>
    </row>
    <row r="39" spans="2:24" ht="15" customHeight="1">
      <c r="C39" s="104" t="s">
        <v>75</v>
      </c>
      <c r="D39" s="129">
        <v>2.0741455554962158</v>
      </c>
      <c r="E39" s="127">
        <v>0.28213371331694548</v>
      </c>
      <c r="N39" s="79"/>
    </row>
    <row r="40" spans="2:24" ht="15" customHeight="1">
      <c r="C40" s="104" t="s">
        <v>76</v>
      </c>
      <c r="D40" s="129">
        <v>1.1595280170440674</v>
      </c>
      <c r="E40" s="127">
        <v>0.15772371629213464</v>
      </c>
    </row>
    <row r="41" spans="2:24" ht="15" customHeight="1">
      <c r="C41" s="105" t="s">
        <v>155</v>
      </c>
      <c r="D41" s="130">
        <v>0.23882627487182617</v>
      </c>
      <c r="E41" s="128">
        <v>3.2486121134889058E-2</v>
      </c>
    </row>
    <row r="42" spans="2:24" ht="15" customHeight="1">
      <c r="C42" s="169" t="s">
        <v>77</v>
      </c>
      <c r="D42" s="130">
        <v>2.9236793518066406E-2</v>
      </c>
      <c r="E42" s="128">
        <v>3.9769075506176192E-3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64</v>
      </c>
      <c r="G46" s="109">
        <v>5</v>
      </c>
      <c r="H46" s="108" t="s">
        <v>92</v>
      </c>
      <c r="I46" s="131">
        <v>2.5893449783325195E-2</v>
      </c>
      <c r="J46" s="127">
        <v>3.522132339553989E-3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64</v>
      </c>
      <c r="G47" s="109">
        <v>5</v>
      </c>
      <c r="H47" s="108" t="s">
        <v>93</v>
      </c>
      <c r="I47" s="131">
        <v>4.2049646377563477E-2</v>
      </c>
      <c r="J47" s="127">
        <v>5.7197639021665438E-3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64</v>
      </c>
      <c r="G48" s="109">
        <v>5</v>
      </c>
      <c r="H48" s="108" t="s">
        <v>92</v>
      </c>
      <c r="I48" s="131">
        <v>4.169154167175293E-2</v>
      </c>
      <c r="J48" s="127">
        <v>5.671053043789764E-3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64</v>
      </c>
      <c r="G49" s="109">
        <v>5</v>
      </c>
      <c r="H49" s="113" t="s">
        <v>92</v>
      </c>
      <c r="I49" s="131">
        <v>4.4448614120483398E-2</v>
      </c>
      <c r="J49" s="172">
        <v>6.0460812503603861E-3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64</v>
      </c>
      <c r="G50" s="109">
        <v>5</v>
      </c>
      <c r="H50" s="113" t="s">
        <v>94</v>
      </c>
      <c r="I50" s="131">
        <v>4.5993804931640625E-2</v>
      </c>
      <c r="J50" s="172">
        <v>6.2562643882697767E-3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64</v>
      </c>
      <c r="G51" s="109">
        <v>5</v>
      </c>
      <c r="H51" s="113" t="s">
        <v>92</v>
      </c>
      <c r="I51" s="131">
        <v>9.9715709686279297E-2</v>
      </c>
      <c r="J51" s="172">
        <v>1.3563736342068792E-2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64</v>
      </c>
      <c r="G52" s="109">
        <v>5</v>
      </c>
      <c r="H52" s="113" t="s">
        <v>93</v>
      </c>
      <c r="I52" s="131">
        <v>0.10703587532043457</v>
      </c>
      <c r="J52" s="172">
        <v>1.4559455040299317E-2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64</v>
      </c>
      <c r="G53" s="109">
        <v>5</v>
      </c>
      <c r="H53" s="113" t="s">
        <v>93</v>
      </c>
      <c r="I53" s="131">
        <v>7.3743820190429688E-2</v>
      </c>
      <c r="J53" s="172">
        <v>1.0030934313829077E-2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64</v>
      </c>
      <c r="G54" s="109">
        <v>5</v>
      </c>
      <c r="H54" s="113" t="s">
        <v>92</v>
      </c>
      <c r="I54" s="131">
        <v>9.8855733871459961E-2</v>
      </c>
      <c r="J54" s="172">
        <v>1.3446758934502187E-2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64</v>
      </c>
      <c r="G55" s="109">
        <v>5</v>
      </c>
      <c r="H55" s="113" t="s">
        <v>92</v>
      </c>
      <c r="I55" s="131">
        <v>0.11623597145080566</v>
      </c>
      <c r="J55" s="172">
        <v>1.5810889529675583E-2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64</v>
      </c>
      <c r="G56" s="109">
        <v>5</v>
      </c>
      <c r="H56" s="113" t="s">
        <v>94</v>
      </c>
      <c r="I56" s="131">
        <v>0.53256940841674805</v>
      </c>
      <c r="J56" s="172">
        <v>7.2442256715044784E-2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64</v>
      </c>
      <c r="G57" s="176">
        <v>5</v>
      </c>
      <c r="H57" s="177" t="s">
        <v>94</v>
      </c>
      <c r="I57" s="178">
        <v>0.10428738594055176</v>
      </c>
      <c r="J57" s="179">
        <v>1.4185594337657833E-2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0.125</v>
      </c>
      <c r="F24" s="19">
        <v>4.6875E-2</v>
      </c>
      <c r="G24" s="19">
        <v>3.125E-2</v>
      </c>
      <c r="H24" s="19">
        <v>0.125</v>
      </c>
      <c r="I24" s="19">
        <v>0.875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0.22761194029850701</v>
      </c>
      <c r="F26" s="19">
        <v>0.119402985074626</v>
      </c>
      <c r="G26" s="19">
        <v>0.23320895522387999</v>
      </c>
      <c r="H26" s="19">
        <v>0.18097014925373101</v>
      </c>
      <c r="I26" s="19">
        <v>0.119402985074626</v>
      </c>
    </row>
    <row r="27" spans="1:12" ht="15" hidden="1" customHeight="1" outlineLevel="2">
      <c r="B27" s="32"/>
      <c r="C27" s="32"/>
      <c r="D27" s="27" t="s">
        <v>13</v>
      </c>
      <c r="E27" s="20">
        <v>976</v>
      </c>
      <c r="F27" s="20">
        <v>512</v>
      </c>
      <c r="G27" s="20">
        <v>1000</v>
      </c>
      <c r="H27" s="20">
        <v>776</v>
      </c>
      <c r="I27" s="20">
        <v>512</v>
      </c>
    </row>
    <row r="28" spans="1:12" ht="15" hidden="1" customHeight="1" outlineLevel="2">
      <c r="B28" s="32"/>
      <c r="C28" s="32"/>
      <c r="D28" s="27" t="s">
        <v>14</v>
      </c>
      <c r="E28" s="20">
        <v>8</v>
      </c>
      <c r="F28" s="20">
        <v>3</v>
      </c>
      <c r="G28" s="20">
        <v>2</v>
      </c>
      <c r="H28" s="20">
        <v>8</v>
      </c>
      <c r="I28" s="20">
        <v>56</v>
      </c>
    </row>
    <row r="29" spans="1:12" ht="15" hidden="1" customHeight="1" outlineLevel="2">
      <c r="B29" s="32"/>
      <c r="C29" s="32"/>
      <c r="D29" s="28" t="s">
        <v>15</v>
      </c>
      <c r="E29" s="20">
        <v>64</v>
      </c>
      <c r="F29" s="20">
        <v>64</v>
      </c>
      <c r="G29" s="20">
        <v>64</v>
      </c>
      <c r="H29" s="20">
        <v>64</v>
      </c>
      <c r="I29" s="20">
        <v>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2018</v>
      </c>
      <c r="G36" s="21"/>
      <c r="H36" s="21"/>
      <c r="I36" s="21">
        <v>75.579687500000006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2018</v>
      </c>
      <c r="G37" s="21"/>
      <c r="H37" s="21"/>
      <c r="I37" s="21">
        <v>75.5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2017</v>
      </c>
      <c r="G38" s="21" t="s">
        <v>96</v>
      </c>
      <c r="H38" s="21" t="s">
        <v>97</v>
      </c>
      <c r="I38" s="21">
        <v>57.4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0.872871560943969</v>
      </c>
      <c r="G39" s="21"/>
      <c r="H39" s="21"/>
      <c r="I39" s="21">
        <v>19.289697716553999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0.76190476190476097</v>
      </c>
      <c r="G40" s="21"/>
      <c r="H40" s="21"/>
      <c r="I40" s="21">
        <v>372.09243799603098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2017</v>
      </c>
      <c r="G46" s="21"/>
      <c r="H46" s="21"/>
      <c r="I46" s="21">
        <v>11.6</v>
      </c>
    </row>
    <row r="47" spans="2:9" ht="15" hidden="1" customHeight="1" outlineLevel="2">
      <c r="B47" s="32"/>
      <c r="C47" s="32"/>
      <c r="D47" s="27">
        <v>0.05</v>
      </c>
      <c r="E47" s="21"/>
      <c r="F47" s="21">
        <v>2017</v>
      </c>
      <c r="G47" s="21"/>
      <c r="H47" s="21"/>
      <c r="I47" s="21">
        <v>35.19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2017</v>
      </c>
      <c r="G48" s="21"/>
      <c r="H48" s="21"/>
      <c r="I48" s="21">
        <v>66.8</v>
      </c>
    </row>
    <row r="49" spans="1:9" ht="15" hidden="1" customHeight="1" outlineLevel="2">
      <c r="B49" s="32"/>
      <c r="C49" s="32"/>
      <c r="D49" s="3">
        <v>0.5</v>
      </c>
      <c r="E49" s="21"/>
      <c r="F49" s="21">
        <v>2018</v>
      </c>
      <c r="G49" s="21"/>
      <c r="H49" s="21"/>
      <c r="I49" s="21">
        <v>75.5</v>
      </c>
    </row>
    <row r="50" spans="1:9" ht="15" hidden="1" customHeight="1" outlineLevel="2">
      <c r="B50" s="32"/>
      <c r="C50" s="32"/>
      <c r="D50" s="27">
        <v>0.75</v>
      </c>
      <c r="E50" s="21"/>
      <c r="F50" s="21">
        <v>2019</v>
      </c>
      <c r="G50" s="21"/>
      <c r="H50" s="21"/>
      <c r="I50" s="21">
        <v>92.224999999999994</v>
      </c>
    </row>
    <row r="51" spans="1:9" ht="15" hidden="1" customHeight="1" outlineLevel="2">
      <c r="B51" s="32"/>
      <c r="C51" s="32"/>
      <c r="D51" s="27">
        <v>0.95</v>
      </c>
      <c r="E51" s="21"/>
      <c r="F51" s="21">
        <v>2019</v>
      </c>
      <c r="G51" s="21"/>
      <c r="H51" s="21"/>
      <c r="I51" s="21">
        <v>96.87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2019</v>
      </c>
      <c r="G52" s="21"/>
      <c r="H52" s="21"/>
      <c r="I52" s="21">
        <v>97.8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2</v>
      </c>
      <c r="G53" s="21"/>
      <c r="H53" s="21"/>
      <c r="I53" s="21">
        <v>86.2</v>
      </c>
    </row>
    <row r="54" spans="1:9" ht="15" hidden="1" customHeight="1" outlineLevel="2">
      <c r="D54" s="3" t="s">
        <v>27</v>
      </c>
      <c r="E54" s="21"/>
      <c r="F54" s="21">
        <v>2</v>
      </c>
      <c r="G54" s="21"/>
      <c r="H54" s="21"/>
      <c r="I54" s="21">
        <v>25.424999999999901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2019</v>
      </c>
      <c r="G80" s="151" t="s">
        <v>99</v>
      </c>
      <c r="H80" s="152" t="s">
        <v>97</v>
      </c>
      <c r="I80" s="152">
        <v>75.5</v>
      </c>
      <c r="J80" s="160">
        <v>0</v>
      </c>
      <c r="K80" s="160">
        <v>0</v>
      </c>
      <c r="L80" s="160">
        <v>7.6416341301045053E+18</v>
      </c>
    </row>
    <row r="81" spans="4:12" ht="15" customHeight="1">
      <c r="D81" s="157" t="b">
        <v>0</v>
      </c>
      <c r="E81" s="151" t="s">
        <v>100</v>
      </c>
      <c r="F81" s="151">
        <v>2019</v>
      </c>
      <c r="G81" s="151" t="s">
        <v>99</v>
      </c>
      <c r="H81" s="152" t="s">
        <v>97</v>
      </c>
      <c r="I81" s="152">
        <v>71.599999999999994</v>
      </c>
      <c r="J81" s="160">
        <v>1</v>
      </c>
      <c r="K81" s="160">
        <v>0</v>
      </c>
      <c r="L81" s="160">
        <v>4.9805499656177756E+18</v>
      </c>
    </row>
    <row r="82" spans="4:12" ht="15" customHeight="1">
      <c r="D82" s="158" t="b">
        <v>0</v>
      </c>
      <c r="E82" s="153" t="s">
        <v>101</v>
      </c>
      <c r="F82" s="151">
        <v>2019</v>
      </c>
      <c r="G82" s="151" t="s">
        <v>99</v>
      </c>
      <c r="H82" s="152" t="s">
        <v>97</v>
      </c>
      <c r="I82" s="152">
        <v>67.8</v>
      </c>
      <c r="J82" s="160">
        <v>2</v>
      </c>
      <c r="K82" s="160">
        <v>0</v>
      </c>
      <c r="L82" s="160">
        <v>1.1816079276899027E+19</v>
      </c>
    </row>
    <row r="83" spans="4:12" ht="15" customHeight="1">
      <c r="D83" s="158" t="b">
        <v>0</v>
      </c>
      <c r="E83" s="153" t="s">
        <v>95</v>
      </c>
      <c r="F83" s="151">
        <v>2018</v>
      </c>
      <c r="G83" s="151" t="s">
        <v>99</v>
      </c>
      <c r="H83" s="152" t="s">
        <v>97</v>
      </c>
      <c r="I83" s="152">
        <v>60.5</v>
      </c>
      <c r="J83" s="160">
        <v>3</v>
      </c>
      <c r="K83" s="160">
        <v>0</v>
      </c>
      <c r="L83" s="160">
        <v>8.0141863670741565E+18</v>
      </c>
    </row>
    <row r="84" spans="4:12" ht="15" customHeight="1">
      <c r="D84" s="158" t="b">
        <v>0</v>
      </c>
      <c r="E84" s="153" t="s">
        <v>102</v>
      </c>
      <c r="F84" s="151">
        <v>2018</v>
      </c>
      <c r="G84" s="151" t="s">
        <v>96</v>
      </c>
      <c r="H84" s="152" t="s">
        <v>97</v>
      </c>
      <c r="I84" s="152">
        <v>32.1</v>
      </c>
      <c r="J84" s="160">
        <v>4</v>
      </c>
      <c r="K84" s="160">
        <v>0</v>
      </c>
      <c r="L84" s="160">
        <v>1.1249752649519165E+19</v>
      </c>
    </row>
    <row r="85" spans="4:12" ht="15" customHeight="1">
      <c r="D85" s="158" t="b">
        <v>0</v>
      </c>
      <c r="E85" s="153" t="s">
        <v>103</v>
      </c>
      <c r="F85" s="151">
        <v>2017</v>
      </c>
      <c r="G85" s="151" t="s">
        <v>96</v>
      </c>
      <c r="H85" s="152" t="s">
        <v>97</v>
      </c>
      <c r="I85" s="152">
        <v>18.5</v>
      </c>
      <c r="J85" s="160">
        <v>5</v>
      </c>
      <c r="K85" s="160">
        <v>0</v>
      </c>
      <c r="L85" s="160">
        <v>1.4103344884274627E+19</v>
      </c>
    </row>
    <row r="86" spans="4:12" ht="15" customHeight="1">
      <c r="D86" s="158" t="b">
        <v>0</v>
      </c>
      <c r="E86" s="153" t="s">
        <v>104</v>
      </c>
      <c r="F86" s="151">
        <v>2017</v>
      </c>
      <c r="G86" s="151" t="s">
        <v>96</v>
      </c>
      <c r="H86" s="152" t="s">
        <v>97</v>
      </c>
      <c r="I86" s="152">
        <v>18.600000000000001</v>
      </c>
      <c r="J86" s="160">
        <v>6</v>
      </c>
      <c r="K86" s="160">
        <v>0</v>
      </c>
      <c r="L86" s="160">
        <v>6.0743733072796129E+18</v>
      </c>
    </row>
    <row r="87" spans="4:12" ht="15" customHeight="1">
      <c r="D87" s="158" t="b">
        <v>0</v>
      </c>
      <c r="E87" s="153" t="s">
        <v>105</v>
      </c>
      <c r="F87" s="151">
        <v>2017</v>
      </c>
      <c r="G87" s="151" t="s">
        <v>96</v>
      </c>
      <c r="H87" s="152" t="s">
        <v>97</v>
      </c>
      <c r="I87" s="152">
        <v>11.6</v>
      </c>
      <c r="J87" s="160">
        <v>7</v>
      </c>
      <c r="K87" s="160">
        <v>0</v>
      </c>
      <c r="L87" s="160">
        <v>1.4151042743229712E+19</v>
      </c>
    </row>
    <row r="88" spans="4:12" ht="15" customHeight="1">
      <c r="D88" s="158" t="b">
        <v>0</v>
      </c>
      <c r="E88" s="153" t="s">
        <v>98</v>
      </c>
      <c r="F88" s="151">
        <v>2019</v>
      </c>
      <c r="G88" s="151" t="s">
        <v>99</v>
      </c>
      <c r="H88" s="152" t="s">
        <v>106</v>
      </c>
      <c r="I88" s="152">
        <v>97.8</v>
      </c>
      <c r="J88" s="160">
        <v>8</v>
      </c>
      <c r="K88" s="160">
        <v>0</v>
      </c>
      <c r="L88" s="160">
        <v>1.5859105464097057E+19</v>
      </c>
    </row>
    <row r="89" spans="4:12" ht="15" customHeight="1">
      <c r="D89" s="158" t="b">
        <v>0</v>
      </c>
      <c r="E89" s="153" t="s">
        <v>100</v>
      </c>
      <c r="F89" s="151">
        <v>2019</v>
      </c>
      <c r="G89" s="151" t="s">
        <v>99</v>
      </c>
      <c r="H89" s="152" t="s">
        <v>106</v>
      </c>
      <c r="I89" s="152">
        <v>97.5</v>
      </c>
      <c r="J89" s="160">
        <v>9</v>
      </c>
      <c r="K89" s="160">
        <v>0</v>
      </c>
      <c r="L89" s="160">
        <v>1.173130066710485E+19</v>
      </c>
    </row>
    <row r="90" spans="4:12" ht="15" customHeight="1">
      <c r="D90" s="158" t="b">
        <v>0</v>
      </c>
      <c r="E90" s="153" t="s">
        <v>101</v>
      </c>
      <c r="F90" s="151">
        <v>2019</v>
      </c>
      <c r="G90" s="151" t="s">
        <v>99</v>
      </c>
      <c r="H90" s="152" t="s">
        <v>106</v>
      </c>
      <c r="I90" s="152">
        <v>96.7</v>
      </c>
      <c r="J90" s="160">
        <v>10</v>
      </c>
      <c r="K90" s="160">
        <v>0</v>
      </c>
      <c r="L90" s="160">
        <v>3.6160849681723648E+18</v>
      </c>
    </row>
    <row r="91" spans="4:12" ht="15" customHeight="1">
      <c r="D91" s="158" t="b">
        <v>0</v>
      </c>
      <c r="E91" s="153" t="s">
        <v>95</v>
      </c>
      <c r="F91" s="151">
        <v>2018</v>
      </c>
      <c r="G91" s="151" t="s">
        <v>99</v>
      </c>
      <c r="H91" s="152" t="s">
        <v>106</v>
      </c>
      <c r="I91" s="152">
        <v>94.9</v>
      </c>
      <c r="J91" s="160">
        <v>11</v>
      </c>
      <c r="K91" s="160">
        <v>0</v>
      </c>
      <c r="L91" s="160">
        <v>1.5264263511564206E+19</v>
      </c>
    </row>
    <row r="92" spans="4:12" ht="15" customHeight="1">
      <c r="D92" s="158" t="b">
        <v>0</v>
      </c>
      <c r="E92" s="153" t="s">
        <v>102</v>
      </c>
      <c r="F92" s="151">
        <v>2018</v>
      </c>
      <c r="G92" s="151" t="s">
        <v>96</v>
      </c>
      <c r="H92" s="152" t="s">
        <v>106</v>
      </c>
      <c r="I92" s="152">
        <v>89.3</v>
      </c>
      <c r="J92" s="160">
        <v>12</v>
      </c>
      <c r="K92" s="160">
        <v>0</v>
      </c>
      <c r="L92" s="160">
        <v>1.7000011585322863E+19</v>
      </c>
    </row>
    <row r="93" spans="4:12" ht="15" customHeight="1">
      <c r="D93" s="158" t="b">
        <v>0</v>
      </c>
      <c r="E93" s="153" t="s">
        <v>103</v>
      </c>
      <c r="F93" s="151">
        <v>2017</v>
      </c>
      <c r="G93" s="151" t="s">
        <v>96</v>
      </c>
      <c r="H93" s="152" t="s">
        <v>106</v>
      </c>
      <c r="I93" s="152">
        <v>81.900000000000006</v>
      </c>
      <c r="J93" s="160">
        <v>13</v>
      </c>
      <c r="K93" s="160">
        <v>0</v>
      </c>
      <c r="L93" s="160">
        <v>1.7289689987998118E+19</v>
      </c>
    </row>
    <row r="94" spans="4:12" ht="15" customHeight="1">
      <c r="D94" s="158" t="b">
        <v>0</v>
      </c>
      <c r="E94" s="153" t="s">
        <v>104</v>
      </c>
      <c r="F94" s="151">
        <v>2017</v>
      </c>
      <c r="G94" s="151" t="s">
        <v>96</v>
      </c>
      <c r="H94" s="152" t="s">
        <v>106</v>
      </c>
      <c r="I94" s="152">
        <v>83</v>
      </c>
      <c r="J94" s="160">
        <v>14</v>
      </c>
      <c r="K94" s="160">
        <v>0</v>
      </c>
      <c r="L94" s="160">
        <v>1.0467577427482862E+18</v>
      </c>
    </row>
    <row r="95" spans="4:12" ht="15" customHeight="1">
      <c r="D95" s="158" t="b">
        <v>0</v>
      </c>
      <c r="E95" s="153" t="s">
        <v>105</v>
      </c>
      <c r="F95" s="151">
        <v>2017</v>
      </c>
      <c r="G95" s="151" t="s">
        <v>96</v>
      </c>
      <c r="H95" s="152" t="s">
        <v>106</v>
      </c>
      <c r="I95" s="152">
        <v>82.8</v>
      </c>
      <c r="J95" s="160">
        <v>15</v>
      </c>
      <c r="K95" s="160">
        <v>0</v>
      </c>
      <c r="L95" s="160">
        <v>4.4560940980781005E+18</v>
      </c>
    </row>
    <row r="96" spans="4:12" ht="15" customHeight="1">
      <c r="D96" s="158" t="b">
        <v>0</v>
      </c>
      <c r="E96" s="153" t="s">
        <v>98</v>
      </c>
      <c r="F96" s="151">
        <v>2019</v>
      </c>
      <c r="G96" s="151" t="s">
        <v>99</v>
      </c>
      <c r="H96" s="152" t="s">
        <v>107</v>
      </c>
      <c r="I96" s="152">
        <v>93.9</v>
      </c>
      <c r="J96" s="160">
        <v>16</v>
      </c>
      <c r="K96" s="160">
        <v>0</v>
      </c>
      <c r="L96" s="160">
        <v>3.0581813813001032E+18</v>
      </c>
    </row>
    <row r="97" spans="4:12" ht="15" customHeight="1">
      <c r="D97" s="158" t="b">
        <v>0</v>
      </c>
      <c r="E97" s="153" t="s">
        <v>100</v>
      </c>
      <c r="F97" s="151">
        <v>2019</v>
      </c>
      <c r="G97" s="151" t="s">
        <v>99</v>
      </c>
      <c r="H97" s="152" t="s">
        <v>107</v>
      </c>
      <c r="I97" s="152">
        <v>92.8</v>
      </c>
      <c r="J97" s="160">
        <v>17</v>
      </c>
      <c r="K97" s="160">
        <v>0</v>
      </c>
      <c r="L97" s="160">
        <v>7.6531251636527288E+18</v>
      </c>
    </row>
    <row r="98" spans="4:12" ht="15" customHeight="1">
      <c r="D98" s="158" t="b">
        <v>0</v>
      </c>
      <c r="E98" s="153" t="s">
        <v>101</v>
      </c>
      <c r="F98" s="151">
        <v>2019</v>
      </c>
      <c r="G98" s="151" t="s">
        <v>99</v>
      </c>
      <c r="H98" s="152" t="s">
        <v>107</v>
      </c>
      <c r="I98" s="152">
        <v>92.3</v>
      </c>
      <c r="J98" s="160">
        <v>18</v>
      </c>
      <c r="K98" s="160">
        <v>0</v>
      </c>
      <c r="L98" s="160">
        <v>8.4248184563182449E+18</v>
      </c>
    </row>
    <row r="99" spans="4:12" ht="15" customHeight="1">
      <c r="D99" s="158" t="b">
        <v>0</v>
      </c>
      <c r="E99" s="153" t="s">
        <v>95</v>
      </c>
      <c r="F99" s="151">
        <v>2018</v>
      </c>
      <c r="G99" s="151" t="s">
        <v>99</v>
      </c>
      <c r="H99" s="152" t="s">
        <v>107</v>
      </c>
      <c r="I99" s="152">
        <v>89.3</v>
      </c>
      <c r="J99" s="160">
        <v>19</v>
      </c>
      <c r="K99" s="160">
        <v>0</v>
      </c>
      <c r="L99" s="160">
        <v>1.5251034860468867E+18</v>
      </c>
    </row>
    <row r="100" spans="4:12" ht="15" customHeight="1">
      <c r="D100" s="158" t="b">
        <v>0</v>
      </c>
      <c r="E100" s="153" t="s">
        <v>102</v>
      </c>
      <c r="F100" s="151">
        <v>2018</v>
      </c>
      <c r="G100" s="151" t="s">
        <v>96</v>
      </c>
      <c r="H100" s="152" t="s">
        <v>107</v>
      </c>
      <c r="I100" s="152">
        <v>84.7</v>
      </c>
      <c r="J100" s="160">
        <v>20</v>
      </c>
      <c r="K100" s="160">
        <v>0</v>
      </c>
      <c r="L100" s="160">
        <v>9.2743303861836636E+18</v>
      </c>
    </row>
    <row r="101" spans="4:12" ht="15" customHeight="1">
      <c r="D101" s="158" t="b">
        <v>0</v>
      </c>
      <c r="E101" s="153" t="s">
        <v>103</v>
      </c>
      <c r="F101" s="151">
        <v>2017</v>
      </c>
      <c r="G101" s="151" t="s">
        <v>96</v>
      </c>
      <c r="H101" s="152" t="s">
        <v>107</v>
      </c>
      <c r="I101" s="152">
        <v>78.7</v>
      </c>
      <c r="J101" s="160">
        <v>21</v>
      </c>
      <c r="K101" s="160">
        <v>0</v>
      </c>
      <c r="L101" s="160">
        <v>9.862581630044715E+18</v>
      </c>
    </row>
    <row r="102" spans="4:12" ht="15" customHeight="1">
      <c r="D102" s="158" t="b">
        <v>0</v>
      </c>
      <c r="E102" s="153" t="s">
        <v>104</v>
      </c>
      <c r="F102" s="151">
        <v>2017</v>
      </c>
      <c r="G102" s="151" t="s">
        <v>96</v>
      </c>
      <c r="H102" s="152" t="s">
        <v>107</v>
      </c>
      <c r="I102" s="152">
        <v>83.9</v>
      </c>
      <c r="J102" s="160">
        <v>22</v>
      </c>
      <c r="K102" s="160">
        <v>0</v>
      </c>
      <c r="L102" s="160">
        <v>1.6988240201330432E+19</v>
      </c>
    </row>
    <row r="103" spans="4:12" ht="15" customHeight="1">
      <c r="D103" s="158" t="b">
        <v>0</v>
      </c>
      <c r="E103" s="153" t="s">
        <v>105</v>
      </c>
      <c r="F103" s="151">
        <v>2017</v>
      </c>
      <c r="G103" s="151" t="s">
        <v>96</v>
      </c>
      <c r="H103" s="152" t="s">
        <v>107</v>
      </c>
      <c r="I103" s="152">
        <v>81.8</v>
      </c>
      <c r="J103" s="160">
        <v>23</v>
      </c>
      <c r="K103" s="160">
        <v>0</v>
      </c>
      <c r="L103" s="160">
        <v>1.8430482182789988E+19</v>
      </c>
    </row>
    <row r="104" spans="4:12" ht="15" customHeight="1">
      <c r="D104" s="158" t="b">
        <v>0</v>
      </c>
      <c r="E104" s="153" t="s">
        <v>98</v>
      </c>
      <c r="F104" s="151">
        <v>2019</v>
      </c>
      <c r="G104" s="151" t="s">
        <v>99</v>
      </c>
      <c r="H104" s="152" t="s">
        <v>108</v>
      </c>
      <c r="I104" s="152">
        <v>93</v>
      </c>
      <c r="J104" s="160">
        <v>24</v>
      </c>
      <c r="K104" s="160">
        <v>0</v>
      </c>
      <c r="L104" s="160">
        <v>1.8436436223711052E+19</v>
      </c>
    </row>
    <row r="105" spans="4:12" ht="15" customHeight="1">
      <c r="D105" s="158" t="b">
        <v>0</v>
      </c>
      <c r="E105" s="153" t="s">
        <v>100</v>
      </c>
      <c r="F105" s="151">
        <v>2019</v>
      </c>
      <c r="G105" s="151" t="s">
        <v>99</v>
      </c>
      <c r="H105" s="152" t="s">
        <v>108</v>
      </c>
      <c r="I105" s="152">
        <v>93.1</v>
      </c>
      <c r="J105" s="160">
        <v>25</v>
      </c>
      <c r="K105" s="160">
        <v>0</v>
      </c>
      <c r="L105" s="160">
        <v>3.6276213139538253E+18</v>
      </c>
    </row>
    <row r="106" spans="4:12" ht="15" customHeight="1">
      <c r="D106" s="158" t="b">
        <v>0</v>
      </c>
      <c r="E106" s="153" t="s">
        <v>101</v>
      </c>
      <c r="F106" s="151">
        <v>2019</v>
      </c>
      <c r="G106" s="151" t="s">
        <v>99</v>
      </c>
      <c r="H106" s="152" t="s">
        <v>108</v>
      </c>
      <c r="I106" s="152">
        <v>92.2</v>
      </c>
      <c r="J106" s="160">
        <v>26</v>
      </c>
      <c r="K106" s="160">
        <v>0</v>
      </c>
      <c r="L106" s="160">
        <v>1.4469019585949688E+19</v>
      </c>
    </row>
    <row r="107" spans="4:12" ht="15" customHeight="1">
      <c r="D107" s="158" t="b">
        <v>0</v>
      </c>
      <c r="E107" s="153" t="s">
        <v>95</v>
      </c>
      <c r="F107" s="151">
        <v>2018</v>
      </c>
      <c r="G107" s="151" t="s">
        <v>99</v>
      </c>
      <c r="H107" s="152" t="s">
        <v>108</v>
      </c>
      <c r="I107" s="152">
        <v>87.6</v>
      </c>
      <c r="J107" s="160">
        <v>27</v>
      </c>
      <c r="K107" s="160">
        <v>0</v>
      </c>
      <c r="L107" s="160">
        <v>1.4297715177762591E+19</v>
      </c>
    </row>
    <row r="108" spans="4:12" ht="15" customHeight="1">
      <c r="D108" s="158" t="b">
        <v>0</v>
      </c>
      <c r="E108" s="153" t="s">
        <v>102</v>
      </c>
      <c r="F108" s="151">
        <v>2018</v>
      </c>
      <c r="G108" s="151" t="s">
        <v>96</v>
      </c>
      <c r="H108" s="152" t="s">
        <v>108</v>
      </c>
      <c r="I108" s="152">
        <v>70.3</v>
      </c>
      <c r="J108" s="160">
        <v>28</v>
      </c>
      <c r="K108" s="160">
        <v>0</v>
      </c>
      <c r="L108" s="160">
        <v>3.8384501080722739E+18</v>
      </c>
    </row>
    <row r="109" spans="4:12" ht="15" customHeight="1">
      <c r="D109" s="158" t="b">
        <v>0</v>
      </c>
      <c r="E109" s="153" t="s">
        <v>103</v>
      </c>
      <c r="F109" s="151">
        <v>2017</v>
      </c>
      <c r="G109" s="151" t="s">
        <v>96</v>
      </c>
      <c r="H109" s="152" t="s">
        <v>108</v>
      </c>
      <c r="I109" s="152">
        <v>64.400000000000006</v>
      </c>
      <c r="J109" s="160">
        <v>29</v>
      </c>
      <c r="K109" s="160">
        <v>0</v>
      </c>
      <c r="L109" s="160">
        <v>8.388958348336126E+18</v>
      </c>
    </row>
    <row r="110" spans="4:12" ht="15" customHeight="1">
      <c r="D110" s="158" t="b">
        <v>0</v>
      </c>
      <c r="E110" s="153" t="s">
        <v>104</v>
      </c>
      <c r="F110" s="151">
        <v>2017</v>
      </c>
      <c r="G110" s="151" t="s">
        <v>96</v>
      </c>
      <c r="H110" s="152" t="s">
        <v>108</v>
      </c>
      <c r="I110" s="152">
        <v>72.8</v>
      </c>
      <c r="J110" s="160">
        <v>30</v>
      </c>
      <c r="K110" s="160">
        <v>0</v>
      </c>
      <c r="L110" s="160">
        <v>1.4509469673031207E+19</v>
      </c>
    </row>
    <row r="111" spans="4:12" ht="15" customHeight="1">
      <c r="D111" s="158" t="b">
        <v>0</v>
      </c>
      <c r="E111" s="153" t="s">
        <v>105</v>
      </c>
      <c r="F111" s="151">
        <v>2017</v>
      </c>
      <c r="G111" s="151" t="s">
        <v>96</v>
      </c>
      <c r="H111" s="152" t="s">
        <v>108</v>
      </c>
      <c r="I111" s="152">
        <v>70.3</v>
      </c>
      <c r="J111" s="160">
        <v>31</v>
      </c>
      <c r="K111" s="160">
        <v>0</v>
      </c>
      <c r="L111" s="160">
        <v>1.3609159999136465E+19</v>
      </c>
    </row>
    <row r="112" spans="4:12" ht="15" customHeight="1">
      <c r="D112" s="158" t="b">
        <v>0</v>
      </c>
      <c r="E112" s="153" t="s">
        <v>98</v>
      </c>
      <c r="F112" s="151">
        <v>2019</v>
      </c>
      <c r="G112" s="151" t="s">
        <v>99</v>
      </c>
      <c r="H112" s="152" t="s">
        <v>109</v>
      </c>
      <c r="I112" s="152">
        <v>75.2</v>
      </c>
      <c r="J112" s="160">
        <v>32</v>
      </c>
      <c r="K112" s="160">
        <v>0</v>
      </c>
      <c r="L112" s="160">
        <v>1.1826316238605615E+19</v>
      </c>
    </row>
    <row r="113" spans="4:12" ht="15" customHeight="1">
      <c r="D113" s="158" t="b">
        <v>0</v>
      </c>
      <c r="E113" s="153" t="s">
        <v>100</v>
      </c>
      <c r="F113" s="151">
        <v>2019</v>
      </c>
      <c r="G113" s="151" t="s">
        <v>99</v>
      </c>
      <c r="H113" s="152" t="s">
        <v>109</v>
      </c>
      <c r="I113" s="152">
        <v>75.099999999999994</v>
      </c>
      <c r="J113" s="160">
        <v>33</v>
      </c>
      <c r="K113" s="160">
        <v>0</v>
      </c>
      <c r="L113" s="160">
        <v>3.3185973123736182E+18</v>
      </c>
    </row>
    <row r="114" spans="4:12" ht="15" customHeight="1">
      <c r="D114" s="158" t="b">
        <v>0</v>
      </c>
      <c r="E114" s="153" t="s">
        <v>101</v>
      </c>
      <c r="F114" s="151">
        <v>2019</v>
      </c>
      <c r="G114" s="151" t="s">
        <v>99</v>
      </c>
      <c r="H114" s="152" t="s">
        <v>109</v>
      </c>
      <c r="I114" s="152">
        <v>74.3</v>
      </c>
      <c r="J114" s="160">
        <v>34</v>
      </c>
      <c r="K114" s="160">
        <v>0</v>
      </c>
      <c r="L114" s="160">
        <v>4.5781791284407132E+18</v>
      </c>
    </row>
    <row r="115" spans="4:12" ht="15" customHeight="1">
      <c r="D115" s="158" t="b">
        <v>0</v>
      </c>
      <c r="E115" s="153" t="s">
        <v>95</v>
      </c>
      <c r="F115" s="151">
        <v>2018</v>
      </c>
      <c r="G115" s="151" t="s">
        <v>99</v>
      </c>
      <c r="H115" s="152" t="s">
        <v>109</v>
      </c>
      <c r="I115" s="152">
        <v>72.099999999999994</v>
      </c>
      <c r="J115" s="160">
        <v>35</v>
      </c>
      <c r="K115" s="160">
        <v>0</v>
      </c>
      <c r="L115" s="160">
        <v>1.0689417683849984E+19</v>
      </c>
    </row>
    <row r="116" spans="4:12" ht="15" customHeight="1">
      <c r="D116" s="158" t="b">
        <v>0</v>
      </c>
      <c r="E116" s="153" t="s">
        <v>102</v>
      </c>
      <c r="F116" s="151">
        <v>2018</v>
      </c>
      <c r="G116" s="151" t="s">
        <v>96</v>
      </c>
      <c r="H116" s="152" t="s">
        <v>109</v>
      </c>
      <c r="I116" s="152">
        <v>61.1</v>
      </c>
      <c r="J116" s="160">
        <v>36</v>
      </c>
      <c r="K116" s="160">
        <v>0</v>
      </c>
      <c r="L116" s="160">
        <v>1.6976864150280911E+19</v>
      </c>
    </row>
    <row r="117" spans="4:12" ht="15" customHeight="1">
      <c r="D117" s="158" t="b">
        <v>0</v>
      </c>
      <c r="E117" s="153" t="s">
        <v>103</v>
      </c>
      <c r="F117" s="151">
        <v>2017</v>
      </c>
      <c r="G117" s="151" t="s">
        <v>96</v>
      </c>
      <c r="H117" s="152" t="s">
        <v>109</v>
      </c>
      <c r="I117" s="152">
        <v>60.6</v>
      </c>
      <c r="J117" s="160">
        <v>37</v>
      </c>
      <c r="K117" s="160">
        <v>0</v>
      </c>
      <c r="L117" s="160">
        <v>5.5772726485897779E+18</v>
      </c>
    </row>
    <row r="118" spans="4:12" ht="15" customHeight="1">
      <c r="D118" s="158" t="b">
        <v>0</v>
      </c>
      <c r="E118" s="153" t="s">
        <v>104</v>
      </c>
      <c r="F118" s="151">
        <v>2017</v>
      </c>
      <c r="G118" s="151" t="s">
        <v>96</v>
      </c>
      <c r="H118" s="152" t="s">
        <v>109</v>
      </c>
      <c r="I118" s="152">
        <v>60.1</v>
      </c>
      <c r="J118" s="160">
        <v>38</v>
      </c>
      <c r="K118" s="160">
        <v>0</v>
      </c>
      <c r="L118" s="160">
        <v>1.2586443061500328E+19</v>
      </c>
    </row>
    <row r="119" spans="4:12" ht="15" customHeight="1">
      <c r="D119" s="158" t="b">
        <v>0</v>
      </c>
      <c r="E119" s="153" t="s">
        <v>105</v>
      </c>
      <c r="F119" s="151">
        <v>2017</v>
      </c>
      <c r="G119" s="151" t="s">
        <v>96</v>
      </c>
      <c r="H119" s="152" t="s">
        <v>109</v>
      </c>
      <c r="I119" s="152">
        <v>62.5</v>
      </c>
      <c r="J119" s="160">
        <v>39</v>
      </c>
      <c r="K119" s="160">
        <v>0</v>
      </c>
      <c r="L119" s="160">
        <v>1.0418589580104241E+19</v>
      </c>
    </row>
    <row r="120" spans="4:12" ht="15" customHeight="1">
      <c r="D120" s="158" t="b">
        <v>0</v>
      </c>
      <c r="E120" s="153" t="s">
        <v>98</v>
      </c>
      <c r="F120" s="151">
        <v>2019</v>
      </c>
      <c r="G120" s="151" t="s">
        <v>99</v>
      </c>
      <c r="H120" s="152" t="s">
        <v>110</v>
      </c>
      <c r="I120" s="152">
        <v>92.3</v>
      </c>
      <c r="J120" s="160">
        <v>40</v>
      </c>
      <c r="K120" s="160">
        <v>0</v>
      </c>
      <c r="L120" s="160">
        <v>6.7523677976195994E+18</v>
      </c>
    </row>
    <row r="121" spans="4:12" ht="15" customHeight="1">
      <c r="D121" s="158" t="b">
        <v>0</v>
      </c>
      <c r="E121" s="153" t="s">
        <v>100</v>
      </c>
      <c r="F121" s="151">
        <v>2019</v>
      </c>
      <c r="G121" s="151" t="s">
        <v>99</v>
      </c>
      <c r="H121" s="152" t="s">
        <v>110</v>
      </c>
      <c r="I121" s="152">
        <v>92.2</v>
      </c>
      <c r="J121" s="160">
        <v>41</v>
      </c>
      <c r="K121" s="160">
        <v>0</v>
      </c>
      <c r="L121" s="160">
        <v>1.0456673139455687E+19</v>
      </c>
    </row>
    <row r="122" spans="4:12" ht="15" customHeight="1">
      <c r="D122" s="158" t="b">
        <v>0</v>
      </c>
      <c r="E122" s="153" t="s">
        <v>101</v>
      </c>
      <c r="F122" s="151">
        <v>2019</v>
      </c>
      <c r="G122" s="151" t="s">
        <v>99</v>
      </c>
      <c r="H122" s="152" t="s">
        <v>110</v>
      </c>
      <c r="I122" s="152">
        <v>90.8</v>
      </c>
      <c r="J122" s="160">
        <v>42</v>
      </c>
      <c r="K122" s="160">
        <v>0</v>
      </c>
      <c r="L122" s="160">
        <v>6.8844374823196467E+18</v>
      </c>
    </row>
    <row r="123" spans="4:12" ht="15" customHeight="1">
      <c r="D123" s="158" t="b">
        <v>0</v>
      </c>
      <c r="E123" s="153" t="s">
        <v>95</v>
      </c>
      <c r="F123" s="151">
        <v>2018</v>
      </c>
      <c r="G123" s="151" t="s">
        <v>99</v>
      </c>
      <c r="H123" s="152" t="s">
        <v>110</v>
      </c>
      <c r="I123" s="152">
        <v>86.7</v>
      </c>
      <c r="J123" s="160">
        <v>43</v>
      </c>
      <c r="K123" s="160">
        <v>0</v>
      </c>
      <c r="L123" s="160">
        <v>1.0455682986344124E+19</v>
      </c>
    </row>
    <row r="124" spans="4:12" ht="15" customHeight="1">
      <c r="D124" s="158" t="b">
        <v>0</v>
      </c>
      <c r="E124" s="153" t="s">
        <v>102</v>
      </c>
      <c r="F124" s="151">
        <v>2018</v>
      </c>
      <c r="G124" s="151" t="s">
        <v>96</v>
      </c>
      <c r="H124" s="152" t="s">
        <v>110</v>
      </c>
      <c r="I124" s="152">
        <v>67.2</v>
      </c>
      <c r="J124" s="160">
        <v>44</v>
      </c>
      <c r="K124" s="160">
        <v>0</v>
      </c>
      <c r="L124" s="160">
        <v>8.8492184415032412E+18</v>
      </c>
    </row>
    <row r="125" spans="4:12" ht="15" customHeight="1">
      <c r="D125" s="158" t="b">
        <v>0</v>
      </c>
      <c r="E125" s="153" t="s">
        <v>103</v>
      </c>
      <c r="F125" s="151">
        <v>2017</v>
      </c>
      <c r="G125" s="151" t="s">
        <v>96</v>
      </c>
      <c r="H125" s="152" t="s">
        <v>110</v>
      </c>
      <c r="I125" s="152">
        <v>65.400000000000006</v>
      </c>
      <c r="J125" s="160">
        <v>45</v>
      </c>
      <c r="K125" s="160">
        <v>0</v>
      </c>
      <c r="L125" s="160">
        <v>4.851223639010348E+18</v>
      </c>
    </row>
    <row r="126" spans="4:12" ht="15" customHeight="1">
      <c r="D126" s="158" t="b">
        <v>0</v>
      </c>
      <c r="E126" s="153" t="s">
        <v>104</v>
      </c>
      <c r="F126" s="151">
        <v>2017</v>
      </c>
      <c r="G126" s="151" t="s">
        <v>96</v>
      </c>
      <c r="H126" s="152" t="s">
        <v>110</v>
      </c>
      <c r="I126" s="152">
        <v>67.599999999999994</v>
      </c>
      <c r="J126" s="160">
        <v>46</v>
      </c>
      <c r="K126" s="160">
        <v>0</v>
      </c>
      <c r="L126" s="160">
        <v>1.5812575710998927E+19</v>
      </c>
    </row>
    <row r="127" spans="4:12" ht="15" customHeight="1">
      <c r="D127" s="158" t="b">
        <v>0</v>
      </c>
      <c r="E127" s="153" t="s">
        <v>105</v>
      </c>
      <c r="F127" s="151">
        <v>2017</v>
      </c>
      <c r="G127" s="151" t="s">
        <v>96</v>
      </c>
      <c r="H127" s="152" t="s">
        <v>110</v>
      </c>
      <c r="I127" s="152">
        <v>65.599999999999994</v>
      </c>
      <c r="J127" s="160">
        <v>47</v>
      </c>
      <c r="K127" s="160">
        <v>0</v>
      </c>
      <c r="L127" s="160">
        <v>4.7043297623379323E+18</v>
      </c>
    </row>
    <row r="128" spans="4:12" ht="15" customHeight="1">
      <c r="D128" s="158" t="b">
        <v>0</v>
      </c>
      <c r="E128" s="153" t="s">
        <v>98</v>
      </c>
      <c r="F128" s="151">
        <v>2019</v>
      </c>
      <c r="G128" s="151" t="s">
        <v>99</v>
      </c>
      <c r="H128" s="152" t="s">
        <v>111</v>
      </c>
      <c r="I128" s="152">
        <v>97.3</v>
      </c>
      <c r="J128" s="160">
        <v>48</v>
      </c>
      <c r="K128" s="160">
        <v>0</v>
      </c>
      <c r="L128" s="160">
        <v>4.6891861273699062E+18</v>
      </c>
    </row>
    <row r="129" spans="4:12" ht="15" customHeight="1">
      <c r="D129" s="158" t="b">
        <v>0</v>
      </c>
      <c r="E129" s="153" t="s">
        <v>100</v>
      </c>
      <c r="F129" s="151">
        <v>2019</v>
      </c>
      <c r="G129" s="151" t="s">
        <v>99</v>
      </c>
      <c r="H129" s="152" t="s">
        <v>111</v>
      </c>
      <c r="I129" s="152">
        <v>96.9</v>
      </c>
      <c r="J129" s="160">
        <v>49</v>
      </c>
      <c r="K129" s="160">
        <v>0</v>
      </c>
      <c r="L129" s="160">
        <v>1.7403388438842141E+19</v>
      </c>
    </row>
    <row r="130" spans="4:12" ht="15" customHeight="1">
      <c r="D130" s="158" t="b">
        <v>0</v>
      </c>
      <c r="E130" s="153" t="s">
        <v>101</v>
      </c>
      <c r="F130" s="151">
        <v>2019</v>
      </c>
      <c r="G130" s="151" t="s">
        <v>99</v>
      </c>
      <c r="H130" s="152" t="s">
        <v>111</v>
      </c>
      <c r="I130" s="152">
        <v>95.4</v>
      </c>
      <c r="J130" s="160">
        <v>50</v>
      </c>
      <c r="K130" s="160">
        <v>0</v>
      </c>
      <c r="L130" s="160">
        <v>9.9579313534094746E+18</v>
      </c>
    </row>
    <row r="131" spans="4:12" ht="15" customHeight="1">
      <c r="D131" s="158" t="b">
        <v>0</v>
      </c>
      <c r="E131" s="153" t="s">
        <v>95</v>
      </c>
      <c r="F131" s="151">
        <v>2018</v>
      </c>
      <c r="G131" s="151" t="s">
        <v>99</v>
      </c>
      <c r="H131" s="152" t="s">
        <v>111</v>
      </c>
      <c r="I131" s="152">
        <v>92.7</v>
      </c>
      <c r="J131" s="160">
        <v>51</v>
      </c>
      <c r="K131" s="160">
        <v>0</v>
      </c>
      <c r="L131" s="160">
        <v>8.1842456419418931E+18</v>
      </c>
    </row>
    <row r="132" spans="4:12" ht="15" customHeight="1">
      <c r="D132" s="158" t="b">
        <v>0</v>
      </c>
      <c r="E132" s="153" t="s">
        <v>102</v>
      </c>
      <c r="F132" s="151">
        <v>2018</v>
      </c>
      <c r="G132" s="151" t="s">
        <v>96</v>
      </c>
      <c r="H132" s="152" t="s">
        <v>111</v>
      </c>
      <c r="I132" s="152">
        <v>75.5</v>
      </c>
      <c r="J132" s="160">
        <v>52</v>
      </c>
      <c r="K132" s="160">
        <v>0</v>
      </c>
      <c r="L132" s="160">
        <v>5.8884752542111508E+18</v>
      </c>
    </row>
    <row r="133" spans="4:12" ht="15" customHeight="1">
      <c r="D133" s="158" t="b">
        <v>0</v>
      </c>
      <c r="E133" s="153" t="s">
        <v>103</v>
      </c>
      <c r="F133" s="151">
        <v>2017</v>
      </c>
      <c r="G133" s="151" t="s">
        <v>96</v>
      </c>
      <c r="H133" s="152" t="s">
        <v>111</v>
      </c>
      <c r="I133" s="152">
        <v>70.8</v>
      </c>
      <c r="J133" s="160">
        <v>53</v>
      </c>
      <c r="K133" s="160">
        <v>0</v>
      </c>
      <c r="L133" s="160">
        <v>1.386043823959858E+19</v>
      </c>
    </row>
    <row r="134" spans="4:12" ht="15" customHeight="1">
      <c r="D134" s="158" t="b">
        <v>0</v>
      </c>
      <c r="E134" s="153" t="s">
        <v>104</v>
      </c>
      <c r="F134" s="151">
        <v>2017</v>
      </c>
      <c r="G134" s="151" t="s">
        <v>96</v>
      </c>
      <c r="H134" s="152" t="s">
        <v>111</v>
      </c>
      <c r="I134" s="152">
        <v>74.3</v>
      </c>
      <c r="J134" s="160">
        <v>54</v>
      </c>
      <c r="K134" s="160">
        <v>0</v>
      </c>
      <c r="L134" s="160">
        <v>1.5126231187700023E+19</v>
      </c>
    </row>
    <row r="135" spans="4:12" ht="15" customHeight="1">
      <c r="D135" s="158" t="b">
        <v>0</v>
      </c>
      <c r="E135" s="153" t="s">
        <v>105</v>
      </c>
      <c r="F135" s="151">
        <v>2017</v>
      </c>
      <c r="G135" s="151" t="s">
        <v>96</v>
      </c>
      <c r="H135" s="152" t="s">
        <v>111</v>
      </c>
      <c r="I135" s="152">
        <v>74.599999999999994</v>
      </c>
      <c r="J135" s="160">
        <v>55</v>
      </c>
      <c r="K135" s="160">
        <v>0</v>
      </c>
      <c r="L135" s="160">
        <v>1.5124820365015382E+19</v>
      </c>
    </row>
    <row r="136" spans="4:12" ht="15" customHeight="1">
      <c r="D136" s="158" t="b">
        <v>0</v>
      </c>
      <c r="E136" s="153" t="s">
        <v>98</v>
      </c>
      <c r="F136" s="151">
        <v>2019</v>
      </c>
      <c r="G136" s="151" t="s">
        <v>99</v>
      </c>
      <c r="H136" s="152" t="s">
        <v>112</v>
      </c>
      <c r="I136" s="152">
        <v>92.6</v>
      </c>
      <c r="J136" s="160">
        <v>56</v>
      </c>
      <c r="K136" s="160">
        <v>0</v>
      </c>
      <c r="L136" s="160">
        <v>6.4694973014564403E+18</v>
      </c>
    </row>
    <row r="137" spans="4:12" ht="15" customHeight="1">
      <c r="D137" s="158" t="b">
        <v>0</v>
      </c>
      <c r="E137" s="153" t="s">
        <v>100</v>
      </c>
      <c r="F137" s="151">
        <v>2019</v>
      </c>
      <c r="G137" s="151" t="s">
        <v>99</v>
      </c>
      <c r="H137" s="152" t="s">
        <v>112</v>
      </c>
      <c r="I137" s="152">
        <v>92.8</v>
      </c>
      <c r="J137" s="160">
        <v>57</v>
      </c>
      <c r="K137" s="160">
        <v>0</v>
      </c>
      <c r="L137" s="160">
        <v>1.2698928319720112E+19</v>
      </c>
    </row>
    <row r="138" spans="4:12" ht="15" customHeight="1">
      <c r="D138" s="158" t="b">
        <v>0</v>
      </c>
      <c r="E138" s="153" t="s">
        <v>101</v>
      </c>
      <c r="F138" s="151">
        <v>2019</v>
      </c>
      <c r="G138" s="151" t="s">
        <v>99</v>
      </c>
      <c r="H138" s="152" t="s">
        <v>112</v>
      </c>
      <c r="I138" s="152">
        <v>88.2</v>
      </c>
      <c r="J138" s="160">
        <v>58</v>
      </c>
      <c r="K138" s="160">
        <v>0</v>
      </c>
      <c r="L138" s="160">
        <v>9.135473931172823E+18</v>
      </c>
    </row>
    <row r="139" spans="4:12" ht="15" customHeight="1">
      <c r="D139" s="158" t="b">
        <v>0</v>
      </c>
      <c r="E139" s="153" t="s">
        <v>95</v>
      </c>
      <c r="F139" s="151">
        <v>2018</v>
      </c>
      <c r="G139" s="151" t="s">
        <v>99</v>
      </c>
      <c r="H139" s="152" t="s">
        <v>112</v>
      </c>
      <c r="I139" s="152">
        <v>70.099999999999994</v>
      </c>
      <c r="J139" s="160">
        <v>59</v>
      </c>
      <c r="K139" s="160">
        <v>0</v>
      </c>
      <c r="L139" s="160">
        <v>1.1456103931320404E+19</v>
      </c>
    </row>
    <row r="140" spans="4:12" ht="15" customHeight="1">
      <c r="D140" s="158" t="b">
        <v>0</v>
      </c>
      <c r="E140" s="153" t="s">
        <v>102</v>
      </c>
      <c r="F140" s="151">
        <v>2018</v>
      </c>
      <c r="G140" s="151" t="s">
        <v>96</v>
      </c>
      <c r="H140" s="152" t="s">
        <v>112</v>
      </c>
      <c r="I140" s="152">
        <v>57.4</v>
      </c>
      <c r="J140" s="160">
        <v>60</v>
      </c>
      <c r="K140" s="160">
        <v>0</v>
      </c>
      <c r="L140" s="160">
        <v>1.1402218592848648E+19</v>
      </c>
    </row>
    <row r="141" spans="4:12" ht="15" customHeight="1">
      <c r="D141" s="158" t="b">
        <v>0</v>
      </c>
      <c r="E141" s="153" t="s">
        <v>103</v>
      </c>
      <c r="F141" s="151">
        <v>2017</v>
      </c>
      <c r="G141" s="151" t="s">
        <v>96</v>
      </c>
      <c r="H141" s="152" t="s">
        <v>112</v>
      </c>
      <c r="I141" s="152">
        <v>52.7</v>
      </c>
      <c r="J141" s="160">
        <v>61</v>
      </c>
      <c r="K141" s="160">
        <v>0</v>
      </c>
      <c r="L141" s="160">
        <v>9.60657890082833E+18</v>
      </c>
    </row>
    <row r="142" spans="4:12" ht="15" customHeight="1">
      <c r="D142" s="158" t="b">
        <v>0</v>
      </c>
      <c r="E142" s="153" t="s">
        <v>104</v>
      </c>
      <c r="F142" s="151">
        <v>2017</v>
      </c>
      <c r="G142" s="151" t="s">
        <v>96</v>
      </c>
      <c r="H142" s="152" t="s">
        <v>112</v>
      </c>
      <c r="I142" s="152">
        <v>58.4</v>
      </c>
      <c r="J142" s="160">
        <v>62</v>
      </c>
      <c r="K142" s="160">
        <v>0</v>
      </c>
      <c r="L142" s="160">
        <v>1.2619446312020834E+19</v>
      </c>
    </row>
    <row r="143" spans="4:12" ht="15" customHeight="1">
      <c r="D143" s="159" t="b">
        <v>0</v>
      </c>
      <c r="E143" s="154" t="s">
        <v>105</v>
      </c>
      <c r="F143" s="155">
        <v>2017</v>
      </c>
      <c r="G143" s="155" t="s">
        <v>96</v>
      </c>
      <c r="H143" s="152" t="s">
        <v>112</v>
      </c>
      <c r="I143" s="152">
        <v>57.4</v>
      </c>
      <c r="J143" s="160">
        <v>63</v>
      </c>
      <c r="K143" s="160">
        <v>0</v>
      </c>
      <c r="L143" s="160">
        <v>1.6577577818046781E+18</v>
      </c>
    </row>
  </sheetData>
  <mergeCells count="1">
    <mergeCell ref="E7:F7"/>
  </mergeCells>
  <phoneticPr fontId="32" type="noConversion"/>
  <conditionalFormatting sqref="E23:G30 E36:G40 E46:G54">
    <cfRule type="cellIs" dxfId="102" priority="22" operator="equal">
      <formula>0</formula>
    </cfRule>
  </conditionalFormatting>
  <conditionalFormatting sqref="D80:D143">
    <cfRule type="cellIs" dxfId="101" priority="21" operator="notEqual">
      <formula>FALSE</formula>
    </cfRule>
  </conditionalFormatting>
  <conditionalFormatting sqref="E17:I17">
    <cfRule type="cellIs" dxfId="10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9" priority="16"/>
  </conditionalFormatting>
  <conditionalFormatting sqref="E15:I15">
    <cfRule type="cellIs" dxfId="98" priority="14" operator="notEqual">
      <formula>"Definition"</formula>
    </cfRule>
  </conditionalFormatting>
  <conditionalFormatting sqref="E7">
    <cfRule type="cellIs" dxfId="97" priority="13" operator="notEqual">
      <formula>"Dataset Description"</formula>
    </cfRule>
  </conditionalFormatting>
  <conditionalFormatting sqref="E58:G65">
    <cfRule type="cellIs" dxfId="9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2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IF(INDEX('Glue | Field Analysis'!Definitions,1,MATCH(tbl_Overview[[#This Row],[Field]],'Glue | Field Analysis'!Headers,0))="Definition","",INDEX('Glue | Field Analysis'!Definitions,1,MATCH(tbl_Overview[[#This Row],[Field]],'Glue | Field Analysis'!Headers,0)))</f>
        <v/>
      </c>
      <c r="D12" s="68" t="str">
        <f>IF(INDEX('Glue | Field Analysis'!Notes,1,MATCH(tbl_Overview[[#This Row],[Field]],'Glue | Field Analysis'!Headers,0))="Note","",INDEX('Glue | Field Analysis'!Notes,1,MATCH(tbl_Overview[[#This Row],[Field]],'Glue | Field Analysis'!Headers,0)))</f>
        <v/>
      </c>
      <c r="E12" s="60" t="s">
        <v>92</v>
      </c>
      <c r="F12" s="64">
        <v>0.125</v>
      </c>
      <c r="G12" s="64">
        <v>0</v>
      </c>
      <c r="H12" s="64">
        <v>0.22761194029850701</v>
      </c>
      <c r="I12" s="61">
        <v>976</v>
      </c>
      <c r="J12" s="61">
        <v>8</v>
      </c>
      <c r="K12" s="61">
        <v>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IF(INDEX('Glue | Field Analysis'!Definitions,1,MATCH(tbl_Overview[[#This Row],[Field]],'Glue | Field Analysis'!Headers,0))="Definition","",INDEX('Glue | Field Analysis'!Definitions,1,MATCH(tbl_Overview[[#This Row],[Field]],'Glue | Field Analysis'!Headers,0)))</f>
        <v/>
      </c>
      <c r="D13" s="68" t="str">
        <f>IF(INDEX('Glue | Field Analysis'!Notes,1,MATCH(tbl_Overview[[#This Row],[Field]],'Glue | Field Analysis'!Headers,0))="Note","",INDEX('Glue | Field Analysis'!Notes,1,MATCH(tbl_Overview[[#This Row],[Field]],'Glue | Field Analysis'!Headers,0)))</f>
        <v/>
      </c>
      <c r="E13" s="60" t="s">
        <v>93</v>
      </c>
      <c r="F13" s="140">
        <v>4.6875E-2</v>
      </c>
      <c r="G13" s="140">
        <v>0</v>
      </c>
      <c r="H13" s="140">
        <v>0.119402985074626</v>
      </c>
      <c r="I13" s="61">
        <v>512</v>
      </c>
      <c r="J13" s="61">
        <v>3</v>
      </c>
      <c r="K13" s="61">
        <v>64</v>
      </c>
      <c r="L13" s="62">
        <v>1</v>
      </c>
      <c r="M13" s="61">
        <v>0</v>
      </c>
      <c r="N13" s="63">
        <v>2018</v>
      </c>
      <c r="O13" s="63">
        <v>2018</v>
      </c>
      <c r="P13" s="63">
        <v>2017</v>
      </c>
      <c r="Q13" s="63">
        <v>0.872871560943969</v>
      </c>
      <c r="R13" s="63">
        <v>0.76190476190476097</v>
      </c>
      <c r="S13" s="63">
        <v>2017</v>
      </c>
      <c r="T13" s="63">
        <v>2017</v>
      </c>
      <c r="U13" s="63">
        <v>2017</v>
      </c>
      <c r="V13" s="63">
        <v>2018</v>
      </c>
      <c r="W13" s="63">
        <v>2019</v>
      </c>
      <c r="X13" s="63">
        <v>2019</v>
      </c>
      <c r="Y13" s="63">
        <v>2019</v>
      </c>
      <c r="Z13" s="63">
        <v>2</v>
      </c>
      <c r="AA13" s="63">
        <v>2</v>
      </c>
    </row>
    <row r="14" spans="1:27" ht="15" customHeight="1">
      <c r="B14" s="59" t="s">
        <v>86</v>
      </c>
      <c r="C14" s="68" t="str">
        <f>IF(INDEX('Glue | Field Analysis'!Definitions,1,MATCH(tbl_Overview[[#This Row],[Field]],'Glue | Field Analysis'!Headers,0))="Definition","",INDEX('Glue | Field Analysis'!Definitions,1,MATCH(tbl_Overview[[#This Row],[Field]],'Glue | Field Analysis'!Headers,0)))</f>
        <v/>
      </c>
      <c r="D14" s="68" t="str">
        <f>IF(INDEX('Glue | Field Analysis'!Notes,1,MATCH(tbl_Overview[[#This Row],[Field]],'Glue | Field Analysis'!Headers,0))="Note","",INDEX('Glue | Field Analysis'!Notes,1,MATCH(tbl_Overview[[#This Row],[Field]],'Glue | Field Analysis'!Headers,0)))</f>
        <v/>
      </c>
      <c r="E14" s="60" t="s">
        <v>92</v>
      </c>
      <c r="F14" s="140">
        <v>3.125E-2</v>
      </c>
      <c r="G14" s="140">
        <v>0</v>
      </c>
      <c r="H14" s="140">
        <v>0.23320895522387999</v>
      </c>
      <c r="I14" s="61">
        <v>1000</v>
      </c>
      <c r="J14" s="61">
        <v>2</v>
      </c>
      <c r="K14" s="61">
        <v>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IF(INDEX('Glue | Field Analysis'!Definitions,1,MATCH(tbl_Overview[[#This Row],[Field]],'Glue | Field Analysis'!Headers,0))="Definition","",INDEX('Glue | Field Analysis'!Definitions,1,MATCH(tbl_Overview[[#This Row],[Field]],'Glue | Field Analysis'!Headers,0)))</f>
        <v/>
      </c>
      <c r="D15" s="68" t="str">
        <f>IF(INDEX('Glue | Field Analysis'!Notes,1,MATCH(tbl_Overview[[#This Row],[Field]],'Glue | Field Analysis'!Headers,0))="Note","",INDEX('Glue | Field Analysis'!Notes,1,MATCH(tbl_Overview[[#This Row],[Field]],'Glue | Field Analysis'!Headers,0)))</f>
        <v/>
      </c>
      <c r="E15" s="60" t="s">
        <v>92</v>
      </c>
      <c r="F15" s="140">
        <v>0.125</v>
      </c>
      <c r="G15" s="140">
        <v>0</v>
      </c>
      <c r="H15" s="140">
        <v>0.18097014925373101</v>
      </c>
      <c r="I15" s="61">
        <v>776</v>
      </c>
      <c r="J15" s="61">
        <v>8</v>
      </c>
      <c r="K15" s="61">
        <v>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IF(INDEX('Glue | Field Analysis'!Definitions,1,MATCH(tbl_Overview[[#This Row],[Field]],'Glue | Field Analysis'!Headers,0))="Definition","",INDEX('Glue | Field Analysis'!Definitions,1,MATCH(tbl_Overview[[#This Row],[Field]],'Glue | Field Analysis'!Headers,0)))</f>
        <v/>
      </c>
      <c r="D16" s="142" t="str">
        <f>IF(INDEX('Glue | Field Analysis'!Notes,1,MATCH(tbl_Overview[[#This Row],[Field]],'Glue | Field Analysis'!Headers,0))="Note","",INDEX('Glue | Field Analysis'!Notes,1,MATCH(tbl_Overview[[#This Row],[Field]],'Glue | Field Analysis'!Headers,0)))</f>
        <v/>
      </c>
      <c r="E16" s="143" t="s">
        <v>94</v>
      </c>
      <c r="F16" s="144">
        <v>0.875</v>
      </c>
      <c r="G16" s="144">
        <v>0</v>
      </c>
      <c r="H16" s="144">
        <v>0.119402985074626</v>
      </c>
      <c r="I16" s="145">
        <v>512</v>
      </c>
      <c r="J16" s="145">
        <v>56</v>
      </c>
      <c r="K16" s="145">
        <v>64</v>
      </c>
      <c r="L16" s="146">
        <v>1</v>
      </c>
      <c r="M16" s="145">
        <v>0</v>
      </c>
      <c r="N16" s="147">
        <v>75.579687500000006</v>
      </c>
      <c r="O16" s="147">
        <v>75.5</v>
      </c>
      <c r="P16" s="147">
        <v>57.4</v>
      </c>
      <c r="Q16" s="147">
        <v>19.289697716553999</v>
      </c>
      <c r="R16" s="147">
        <v>372.09243799603098</v>
      </c>
      <c r="S16" s="147">
        <v>11.6</v>
      </c>
      <c r="T16" s="147">
        <v>35.19</v>
      </c>
      <c r="U16" s="147">
        <v>66.8</v>
      </c>
      <c r="V16" s="147">
        <v>75.5</v>
      </c>
      <c r="W16" s="147">
        <v>92.224999999999994</v>
      </c>
      <c r="X16" s="147">
        <v>96.87</v>
      </c>
      <c r="Y16" s="147">
        <v>97.8</v>
      </c>
      <c r="Z16" s="147">
        <v>86.2</v>
      </c>
      <c r="AA16" s="147">
        <v>25.424999999999901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6640625" style="12" bestFit="1" customWidth="1"/>
    <col min="4" max="4" width="10" style="12" bestFit="1" customWidth="1"/>
    <col min="5" max="5" width="13.44140625" style="12" bestFit="1" customWidth="1"/>
    <col min="6" max="6" width="10" style="12" bestFit="1" customWidth="1"/>
    <col min="7" max="7" width="11.109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'Glue | Field Analysis'!Name</f>
        <v>Glue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0.125</v>
      </c>
    </row>
    <row r="11" spans="1:17" ht="15" customHeight="1">
      <c r="C11" s="161" t="s">
        <v>105</v>
      </c>
      <c r="D11" s="50"/>
      <c r="E11" s="50"/>
      <c r="F11" s="50"/>
      <c r="G11" s="50"/>
      <c r="H11" s="165">
        <v>0</v>
      </c>
      <c r="I11" s="166"/>
      <c r="J11" s="167">
        <v>0.125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0.125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0.125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0.125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0.125</v>
      </c>
    </row>
    <row r="16" spans="1:17" ht="15" customHeight="1">
      <c r="C16" s="161" t="s">
        <v>101</v>
      </c>
      <c r="D16" s="50"/>
      <c r="E16" s="50"/>
      <c r="F16" s="50"/>
      <c r="G16" s="50"/>
      <c r="H16" s="165">
        <v>0</v>
      </c>
      <c r="I16" s="166"/>
      <c r="J16" s="167">
        <v>0.125</v>
      </c>
    </row>
    <row r="17" spans="3:10" ht="15" customHeight="1">
      <c r="C17" s="161" t="s">
        <v>100</v>
      </c>
      <c r="D17" s="50"/>
      <c r="E17" s="50"/>
      <c r="F17" s="50"/>
      <c r="G17" s="50"/>
      <c r="H17" s="165">
        <v>0</v>
      </c>
      <c r="I17" s="166"/>
      <c r="J17" s="167">
        <v>0.125</v>
      </c>
    </row>
    <row r="18" spans="3:10" ht="15" customHeight="1">
      <c r="C18" s="161" t="s">
        <v>113</v>
      </c>
      <c r="D18" s="161"/>
      <c r="E18" s="161"/>
      <c r="F18" s="161"/>
      <c r="G18" s="161"/>
      <c r="H18" s="165">
        <v>0</v>
      </c>
      <c r="I18" s="166"/>
      <c r="J18" s="167">
        <v>1</v>
      </c>
    </row>
  </sheetData>
  <conditionalFormatting pivot="1" sqref="H10:H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Glue | Field Analysis</vt:lpstr>
      <vt:lpstr>Glue | Overview</vt:lpstr>
      <vt:lpstr>Glue | Pivot</vt:lpstr>
      <vt:lpstr>SinglePlot</vt:lpstr>
      <vt:lpstr>MultiplePlots</vt:lpstr>
      <vt:lpstr>'Glue | Field Analysis'!Compiled_Lists</vt:lpstr>
      <vt:lpstr>'Glue | Field Analysis'!Composition</vt:lpstr>
      <vt:lpstr>'Glue | Field Analysis'!CompositionTable</vt:lpstr>
      <vt:lpstr>debug!Config</vt:lpstr>
      <vt:lpstr>'Glue | Field Analysis'!DarkHeader</vt:lpstr>
      <vt:lpstr>'Glue | Field Analysis'!Data_Description</vt:lpstr>
      <vt:lpstr>debug!debug_metadata</vt:lpstr>
      <vt:lpstr>'Glue | Pivot'!DefaultWarn</vt:lpstr>
      <vt:lpstr>'Glue | Field Analysis'!Definitions</vt:lpstr>
      <vt:lpstr>'Glue | Field Analysis'!Description</vt:lpstr>
      <vt:lpstr>'Glue | Field Analysis'!Dimensions</vt:lpstr>
      <vt:lpstr>'Glue | Field Analysis'!Field_Analysis</vt:lpstr>
      <vt:lpstr>'Glue | Field Analysis'!Field_Lists</vt:lpstr>
      <vt:lpstr>'Glue | Field Analysis'!FieldList1</vt:lpstr>
      <vt:lpstr>'Glue | Field Analysis'!FieldList2</vt:lpstr>
      <vt:lpstr>'Glue | Field Analysis'!FieldList3</vt:lpstr>
      <vt:lpstr>'Glue | Field Analysis'!FieldList4</vt:lpstr>
      <vt:lpstr>'Glue | Field Analysis'!FieldList5</vt:lpstr>
      <vt:lpstr>'Glue | Field Analysis'!FieldList6</vt:lpstr>
      <vt:lpstr>'Glue | Field Analysis'!FieldList7</vt:lpstr>
      <vt:lpstr>'Glue | Field Analysis'!FieldList8</vt:lpstr>
      <vt:lpstr>'Glue | Field Analysis'!FieldLists</vt:lpstr>
      <vt:lpstr>'Glue | Field Analysis'!FieldRange</vt:lpstr>
      <vt:lpstr>'Glue | Field Analysis'!FormatRange</vt:lpstr>
      <vt:lpstr>'Glue | Field Analysis'!Headers</vt:lpstr>
      <vt:lpstr>'Glue | Field Analysis'!Headers_Start</vt:lpstr>
      <vt:lpstr>'Glue | Field Analysis'!Histogram</vt:lpstr>
      <vt:lpstr>'Glue | Field Analysis'!LightHeader</vt:lpstr>
      <vt:lpstr>Metadata</vt:lpstr>
      <vt:lpstr>MultiplePlots!MultiplePlots</vt:lpstr>
      <vt:lpstr>MultiplePlots!MultiplePlotsTitle</vt:lpstr>
      <vt:lpstr>'Glue | Field Analysis'!Name</vt:lpstr>
      <vt:lpstr>'Glue | Overview'!Name</vt:lpstr>
      <vt:lpstr>'Glue | Pivot'!Name</vt:lpstr>
      <vt:lpstr>'Glue | Field Analysis'!Notes</vt:lpstr>
      <vt:lpstr>'Glue | Field Analysis'!Percentiles</vt:lpstr>
      <vt:lpstr>'Glue | Field Analysis'!SerializedLists</vt:lpstr>
      <vt:lpstr>SinglePlot!SinglePlot</vt:lpstr>
      <vt:lpstr>SinglePlot!SinglePlotTitle</vt:lpstr>
      <vt:lpstr>'Glue | Field Analysis'!Summary_Stats</vt:lpstr>
      <vt:lpstr>'Glue | Field Analysis'!Theme</vt:lpstr>
      <vt:lpstr>'Glue | Overview'!Theme</vt:lpstr>
      <vt:lpstr>'Glue | Pivot'!Theme</vt:lpstr>
      <vt:lpstr>MultiplePlots!Theme</vt:lpstr>
      <vt:lpstr>SinglePlot!Theme</vt:lpstr>
      <vt:lpstr>'Glue | Field Analysis'!Toggles</vt:lpstr>
      <vt:lpstr>'Glue | Field Analysis'!TopToggle</vt:lpstr>
      <vt:lpstr>'Glue | Field Analysis'!Warning</vt:lpstr>
      <vt:lpstr>'Glue | Overview'!Warning</vt:lpstr>
      <vt:lpstr>'Glue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2026-06-04T02:34:22Z</dcterms:modified>
</cp:coreProperties>
</file>