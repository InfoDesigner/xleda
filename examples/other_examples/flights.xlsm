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98BCC92B-FE45-4E00-A485-1904A59FCD34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Analysis'!$D$57:$F$57</definedName>
    <definedName name="FieldList2">'Field Analysis'!$D$58:$F$58</definedName>
    <definedName name="FieldList3">'Field Analysis'!$D$59:$F$59</definedName>
    <definedName name="FieldList4">'Field Analysis'!$D$60:$F$60</definedName>
    <definedName name="FieldList5">'Field Analysis'!$D$61:$F$61</definedName>
    <definedName name="FieldList6">'Field Analysis'!$D$62:$F$62</definedName>
    <definedName name="FieldList7">'Field Analysis'!$D$63:$F$63</definedName>
    <definedName name="FieldList8">'Field Analysis'!$D$64:$F$64</definedName>
    <definedName name="FieldLists">'Field Analysis'!$C$57:$F$64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Analysis'!$D$9:$F$9</definedName>
    <definedName name="Percentiles">'Field Analysis'!$D$45:$D$54</definedName>
    <definedName name="RecordHashes">'Field Analysis'!$H$79:$H$222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<sst xmlns="http://schemas.openxmlformats.org/spreadsheetml/2006/main" count="264" uniqueCount="76">
  <si>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</si>
  <si>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</si>
  <si>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</si>
  <si>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</si>
  <si>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</si>
  <si>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</si>
  <si>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</si>
  <si>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</si>
  <si>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</si>
  <si>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</si>
  <si>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</si>
  <si>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</si>
  <si>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</si>
  <si>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</si>
  <si>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</si>
  <si>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</si>
  <si>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</si>
  <si>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</si>
  <si>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</si>
  <si>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</si>
  <si>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</si>
  <si>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</si>
  <si>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</si>
  <si>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</si>
  <si>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</si>
  <si>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</si>
  <si>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</si>
  <si>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</si>
  <si>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</si>
  <si>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</si>
  <si>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</si>
  <si>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</si>
  <si>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</si>
  <si>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</si>
  <si>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</si>
  <si>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</si>
  <si>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</si>
  <si>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</si>
  <si>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</si>
  <si>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</si>
  <si>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</si>
  <si>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</si>
  <si>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</si>
  <si>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</si>
  <si>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</si>
  <si>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</si>
  <si>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</si>
  <si>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</si>
  <si>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</si>
  <si>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</si>
  <si>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</si>
  <si>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</si>
  <si>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</si>
  <si>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</si>
  <si>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</si>
  <si>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flights</t>
  </si>
  <si>
    <t>year</t>
  </si>
  <si>
    <t>month</t>
  </si>
  <si>
    <t>passengers</t>
  </si>
  <si>
    <t>Record Hash</t>
  </si>
  <si>
    <t>3,012 bytes</t>
  </si>
  <si>
    <t>int64</t>
  </si>
  <si>
    <t>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</si>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</sst>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3636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7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3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2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4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116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B363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15"/>
      <tableStyleElement type="headerRow" dxfId="114"/>
      <tableStyleElement type="totalRow" dxfId="113"/>
    </tableStyle>
    <tableStyle name="TableStyleDarker" pivot="0" count="2" xr9:uid="{6808BEA3-E65F-4F4F-A6CC-D0226D87DD56}">
      <tableStyleElement type="wholeTable" dxfId="112"/>
      <tableStyleElement type="headerRow" dxfId="111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year">
          <a:extLst>
            <a:ext uri="{FF2B5EF4-FFF2-40B4-BE49-F238E27FC236}">
              <a16:creationId xmlns:a16="http://schemas.microsoft.com/office/drawing/2014/main" id="{D05FE837-6848-8EAF-DEF2-AEC3A4DC4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year">
          <a:extLst>
            <a:ext uri="{FF2B5EF4-FFF2-40B4-BE49-F238E27FC236}">
              <a16:creationId xmlns:a16="http://schemas.microsoft.com/office/drawing/2014/main" id="{C84E71FA-0B6B-6967-D924-B612F80AF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month">
          <a:extLst>
            <a:ext uri="{FF2B5EF4-FFF2-40B4-BE49-F238E27FC236}">
              <a16:creationId xmlns:a16="http://schemas.microsoft.com/office/drawing/2014/main" id="{186A0241-8676-3405-D01B-2F456635D1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passengers">
          <a:extLst>
            <a:ext uri="{FF2B5EF4-FFF2-40B4-BE49-F238E27FC236}">
              <a16:creationId xmlns:a16="http://schemas.microsoft.com/office/drawing/2014/main" id="{00729763-9DBB-A94D-C4E6-CF2DE9B71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passengers">
          <a:extLst>
            <a:ext uri="{FF2B5EF4-FFF2-40B4-BE49-F238E27FC236}">
              <a16:creationId xmlns:a16="http://schemas.microsoft.com/office/drawing/2014/main" id="{8433DB32-2FCF-C8A4-28CF-9B47FE7CC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2453587963" createdVersion="8" refreshedVersion="8" minRefreshableVersion="3" recordCount="144" xr:uid="{9CA2673A-A870-437E-AB9F-91D8276FD930}">
  <cacheSource type="worksheet">
    <worksheetSource name="tbl_SourceData"/>
  </cacheSource>
  <cacheFields count="6">
    <cacheField name="Record List" numFmtId="0">
      <sharedItems/>
    </cacheField>
    <cacheField name="year" numFmtId="0">
      <sharedItems containsSemiMixedTypes="0" containsString="0" containsNumber="1" containsInteger="1" minValue="1949" maxValue="1960" count="12">
        <n v="1949"/>
        <n v="1950"/>
        <n v="1951"/>
        <n v="1952"/>
        <n v="1953"/>
        <n v="1954"/>
        <n v="1955"/>
        <n v="1956"/>
        <n v="1957"/>
        <n v="1958"/>
        <n v="1959"/>
        <n v="1960"/>
      </sharedItems>
    </cacheField>
    <cacheField name="month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passengers" numFmtId="0">
      <sharedItems containsSemiMixedTypes="0" containsString="0" containsNumber="1" containsInteger="1" minValue="104" maxValue="622" count="118">
        <n v="112"/>
        <n v="118"/>
        <n v="132"/>
        <n v="129"/>
        <n v="121"/>
        <n v="135"/>
        <n v="148"/>
        <n v="136"/>
        <n v="119"/>
        <n v="104"/>
        <n v="115"/>
        <n v="126"/>
        <n v="141"/>
        <n v="125"/>
        <n v="149"/>
        <n v="170"/>
        <n v="158"/>
        <n v="133"/>
        <n v="114"/>
        <n v="140"/>
        <n v="145"/>
        <n v="150"/>
        <n v="178"/>
        <n v="163"/>
        <n v="172"/>
        <n v="199"/>
        <n v="184"/>
        <n v="162"/>
        <n v="146"/>
        <n v="166"/>
        <n v="171"/>
        <n v="180"/>
        <n v="193"/>
        <n v="181"/>
        <n v="183"/>
        <n v="218"/>
        <n v="230"/>
        <n v="242"/>
        <n v="209"/>
        <n v="191"/>
        <n v="194"/>
        <n v="196"/>
        <n v="236"/>
        <n v="235"/>
        <n v="229"/>
        <n v="243"/>
        <n v="264"/>
        <n v="272"/>
        <n v="237"/>
        <n v="211"/>
        <n v="201"/>
        <n v="204"/>
        <n v="188"/>
        <n v="227"/>
        <n v="234"/>
        <n v="302"/>
        <n v="293"/>
        <n v="259"/>
        <n v="203"/>
        <n v="233"/>
        <n v="267"/>
        <n v="269"/>
        <n v="270"/>
        <n v="315"/>
        <n v="364"/>
        <n v="347"/>
        <n v="312"/>
        <n v="274"/>
        <n v="278"/>
        <n v="284"/>
        <n v="277"/>
        <n v="317"/>
        <n v="313"/>
        <n v="318"/>
        <n v="374"/>
        <n v="413"/>
        <n v="405"/>
        <n v="355"/>
        <n v="306"/>
        <n v="271"/>
        <n v="301"/>
        <n v="356"/>
        <n v="348"/>
        <n v="422"/>
        <n v="465"/>
        <n v="467"/>
        <n v="404"/>
        <n v="305"/>
        <n v="336"/>
        <n v="340"/>
        <n v="362"/>
        <n v="363"/>
        <n v="435"/>
        <n v="491"/>
        <n v="505"/>
        <n v="359"/>
        <n v="310"/>
        <n v="337"/>
        <n v="360"/>
        <n v="342"/>
        <n v="406"/>
        <n v="396"/>
        <n v="420"/>
        <n v="472"/>
        <n v="548"/>
        <n v="559"/>
        <n v="463"/>
        <n v="407"/>
        <n v="417"/>
        <n v="391"/>
        <n v="419"/>
        <n v="461"/>
        <n v="535"/>
        <n v="622"/>
        <n v="606"/>
        <n v="508"/>
        <n v="390"/>
        <n v="432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8406831213864830" maxValue="1.81426644068890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b v="0"/>
    <x v="0"/>
    <x v="0"/>
    <x v="0"/>
    <n v="0"/>
    <n v="6.7761087167541504E+17"/>
  </r>
  <r>
    <b v="0"/>
    <x v="0"/>
    <x v="1"/>
    <x v="1"/>
    <n v="0"/>
    <n v="1.07675909671627E+19"/>
  </r>
  <r>
    <b v="0"/>
    <x v="0"/>
    <x v="2"/>
    <x v="2"/>
    <n v="0"/>
    <n v="6.1010855139316506E+17"/>
  </r>
  <r>
    <b v="0"/>
    <x v="0"/>
    <x v="3"/>
    <x v="3"/>
    <n v="0"/>
    <n v="1.5815379321288301E+19"/>
  </r>
  <r>
    <b v="0"/>
    <x v="0"/>
    <x v="4"/>
    <x v="4"/>
    <n v="0"/>
    <n v="1.0001893441982099E+19"/>
  </r>
  <r>
    <b v="0"/>
    <x v="0"/>
    <x v="5"/>
    <x v="5"/>
    <n v="0"/>
    <n v="6.6254701885355602E+18"/>
  </r>
  <r>
    <b v="0"/>
    <x v="0"/>
    <x v="6"/>
    <x v="6"/>
    <n v="0"/>
    <n v="1.08007346184943E+19"/>
  </r>
  <r>
    <b v="0"/>
    <x v="0"/>
    <x v="7"/>
    <x v="6"/>
    <n v="0"/>
    <n v="1.0016544902320099E+19"/>
  </r>
  <r>
    <b v="0"/>
    <x v="0"/>
    <x v="8"/>
    <x v="7"/>
    <n v="0"/>
    <n v="1.19802677449828E+19"/>
  </r>
  <r>
    <b v="0"/>
    <x v="0"/>
    <x v="9"/>
    <x v="8"/>
    <n v="0"/>
    <n v="1.4557536688057801E+19"/>
  </r>
  <r>
    <b v="0"/>
    <x v="0"/>
    <x v="10"/>
    <x v="9"/>
    <n v="0"/>
    <n v="1.1007297950049401E+19"/>
  </r>
  <r>
    <b v="0"/>
    <x v="0"/>
    <x v="11"/>
    <x v="1"/>
    <n v="0"/>
    <n v="5.32104474815219E+18"/>
  </r>
  <r>
    <b v="0"/>
    <x v="1"/>
    <x v="0"/>
    <x v="10"/>
    <n v="0"/>
    <n v="1.50953348502591E+19"/>
  </r>
  <r>
    <b v="0"/>
    <x v="1"/>
    <x v="1"/>
    <x v="11"/>
    <n v="0"/>
    <n v="1.71706843911202E+19"/>
  </r>
  <r>
    <b v="0"/>
    <x v="1"/>
    <x v="2"/>
    <x v="12"/>
    <n v="0"/>
    <n v="7.8696219445464504E+18"/>
  </r>
  <r>
    <b v="0"/>
    <x v="1"/>
    <x v="3"/>
    <x v="5"/>
    <n v="0"/>
    <n v="1.5132120738571999E+19"/>
  </r>
  <r>
    <b v="0"/>
    <x v="1"/>
    <x v="4"/>
    <x v="13"/>
    <n v="0"/>
    <n v="1.24462098249892E+19"/>
  </r>
  <r>
    <b v="0"/>
    <x v="1"/>
    <x v="5"/>
    <x v="14"/>
    <n v="0"/>
    <n v="2.0139015438275899E+18"/>
  </r>
  <r>
    <b v="0"/>
    <x v="1"/>
    <x v="6"/>
    <x v="15"/>
    <n v="0"/>
    <n v="1.80841024065263E+19"/>
  </r>
  <r>
    <b v="0"/>
    <x v="1"/>
    <x v="7"/>
    <x v="15"/>
    <n v="0"/>
    <n v="1.46810711806597E+19"/>
  </r>
  <r>
    <b v="0"/>
    <x v="1"/>
    <x v="8"/>
    <x v="16"/>
    <n v="0"/>
    <n v="9.1611675304087501E+18"/>
  </r>
  <r>
    <b v="0"/>
    <x v="1"/>
    <x v="9"/>
    <x v="17"/>
    <n v="0"/>
    <n v="9.4344708208838595E+18"/>
  </r>
  <r>
    <b v="0"/>
    <x v="1"/>
    <x v="10"/>
    <x v="18"/>
    <n v="0"/>
    <n v="1.4214248865787501E+19"/>
  </r>
  <r>
    <b v="0"/>
    <x v="1"/>
    <x v="11"/>
    <x v="19"/>
    <n v="0"/>
    <n v="1.25218688014353E+19"/>
  </r>
  <r>
    <b v="0"/>
    <x v="2"/>
    <x v="0"/>
    <x v="20"/>
    <n v="0"/>
    <n v="3.1881921069428797E+18"/>
  </r>
  <r>
    <b v="0"/>
    <x v="2"/>
    <x v="1"/>
    <x v="21"/>
    <n v="0"/>
    <n v="7.88024140220322E+18"/>
  </r>
  <r>
    <b v="0"/>
    <x v="2"/>
    <x v="2"/>
    <x v="22"/>
    <n v="0"/>
    <n v="9.15353426454959E+18"/>
  </r>
  <r>
    <b v="0"/>
    <x v="2"/>
    <x v="3"/>
    <x v="23"/>
    <n v="0"/>
    <n v="2.4778591448595599E+18"/>
  </r>
  <r>
    <b v="0"/>
    <x v="2"/>
    <x v="4"/>
    <x v="24"/>
    <n v="0"/>
    <n v="1.72184167533247E+19"/>
  </r>
  <r>
    <b v="0"/>
    <x v="2"/>
    <x v="5"/>
    <x v="22"/>
    <n v="0"/>
    <n v="1.35503933983958E+19"/>
  </r>
  <r>
    <b v="0"/>
    <x v="2"/>
    <x v="6"/>
    <x v="25"/>
    <n v="0"/>
    <n v="4.3853240359648302E+18"/>
  </r>
  <r>
    <b v="0"/>
    <x v="2"/>
    <x v="7"/>
    <x v="25"/>
    <n v="0"/>
    <n v="5.9466388561223404E+18"/>
  </r>
  <r>
    <b v="0"/>
    <x v="2"/>
    <x v="8"/>
    <x v="26"/>
    <n v="0"/>
    <n v="1.01963265932183E+19"/>
  </r>
  <r>
    <b v="0"/>
    <x v="2"/>
    <x v="9"/>
    <x v="27"/>
    <n v="0"/>
    <n v="9.9928511770475807E+18"/>
  </r>
  <r>
    <b v="0"/>
    <x v="2"/>
    <x v="10"/>
    <x v="28"/>
    <n v="0"/>
    <n v="1.67714782700067E+19"/>
  </r>
  <r>
    <b v="0"/>
    <x v="2"/>
    <x v="11"/>
    <x v="29"/>
    <n v="0"/>
    <n v="1.64609641821154E+19"/>
  </r>
  <r>
    <b v="0"/>
    <x v="3"/>
    <x v="0"/>
    <x v="30"/>
    <n v="0"/>
    <n v="1.5525558326879199E+19"/>
  </r>
  <r>
    <b v="0"/>
    <x v="3"/>
    <x v="1"/>
    <x v="31"/>
    <n v="0"/>
    <n v="1.6413313657776599E+19"/>
  </r>
  <r>
    <b v="0"/>
    <x v="3"/>
    <x v="2"/>
    <x v="32"/>
    <n v="0"/>
    <n v="2.39600565120222E+18"/>
  </r>
  <r>
    <b v="0"/>
    <x v="3"/>
    <x v="3"/>
    <x v="33"/>
    <n v="0"/>
    <n v="8.1211644373856502E+18"/>
  </r>
  <r>
    <b v="0"/>
    <x v="3"/>
    <x v="4"/>
    <x v="34"/>
    <n v="0"/>
    <n v="9.2102817076326001E+18"/>
  </r>
  <r>
    <b v="0"/>
    <x v="3"/>
    <x v="5"/>
    <x v="35"/>
    <n v="0"/>
    <n v="1.3398589216345E+19"/>
  </r>
  <r>
    <b v="0"/>
    <x v="3"/>
    <x v="6"/>
    <x v="36"/>
    <n v="0"/>
    <n v="3.5484061070273101E+18"/>
  </r>
  <r>
    <b v="0"/>
    <x v="3"/>
    <x v="7"/>
    <x v="37"/>
    <n v="0"/>
    <n v="1.8078198574805701E+19"/>
  </r>
  <r>
    <b v="0"/>
    <x v="3"/>
    <x v="8"/>
    <x v="38"/>
    <n v="0"/>
    <n v="1.51871798103057E+19"/>
  </r>
  <r>
    <b v="0"/>
    <x v="3"/>
    <x v="9"/>
    <x v="39"/>
    <n v="0"/>
    <n v="6.7005673836416205E+18"/>
  </r>
  <r>
    <b v="0"/>
    <x v="3"/>
    <x v="10"/>
    <x v="24"/>
    <n v="0"/>
    <n v="7.2460940142602895E+18"/>
  </r>
  <r>
    <b v="0"/>
    <x v="3"/>
    <x v="11"/>
    <x v="40"/>
    <n v="0"/>
    <n v="1.67603504474974E+19"/>
  </r>
  <r>
    <b v="0"/>
    <x v="4"/>
    <x v="0"/>
    <x v="41"/>
    <n v="0"/>
    <n v="1.35490341041559E+19"/>
  </r>
  <r>
    <b v="0"/>
    <x v="4"/>
    <x v="1"/>
    <x v="41"/>
    <n v="0"/>
    <n v="3.9398236729225702E+18"/>
  </r>
  <r>
    <b v="0"/>
    <x v="4"/>
    <x v="2"/>
    <x v="42"/>
    <n v="0"/>
    <n v="1.3100169842258999E+19"/>
  </r>
  <r>
    <b v="0"/>
    <x v="4"/>
    <x v="3"/>
    <x v="43"/>
    <n v="0"/>
    <n v="5.4751647635864596E+18"/>
  </r>
  <r>
    <b v="0"/>
    <x v="4"/>
    <x v="4"/>
    <x v="44"/>
    <n v="0"/>
    <n v="1.7236576876706699E+19"/>
  </r>
  <r>
    <b v="0"/>
    <x v="4"/>
    <x v="5"/>
    <x v="45"/>
    <n v="0"/>
    <n v="6.8599951278573804E+18"/>
  </r>
  <r>
    <b v="0"/>
    <x v="4"/>
    <x v="6"/>
    <x v="46"/>
    <n v="0"/>
    <n v="1.65784066133959E+19"/>
  </r>
  <r>
    <b v="0"/>
    <x v="4"/>
    <x v="7"/>
    <x v="47"/>
    <n v="0"/>
    <n v="8.8981291455271004E+18"/>
  </r>
  <r>
    <b v="0"/>
    <x v="4"/>
    <x v="8"/>
    <x v="48"/>
    <n v="0"/>
    <n v="5.0075448378649303E+18"/>
  </r>
  <r>
    <b v="0"/>
    <x v="4"/>
    <x v="9"/>
    <x v="49"/>
    <n v="0"/>
    <n v="1.1759410735178299E+19"/>
  </r>
  <r>
    <b v="0"/>
    <x v="4"/>
    <x v="10"/>
    <x v="31"/>
    <n v="0"/>
    <n v="1.1172320839548701E+19"/>
  </r>
  <r>
    <b v="0"/>
    <x v="4"/>
    <x v="11"/>
    <x v="50"/>
    <n v="0"/>
    <n v="4.5234870753817201E+18"/>
  </r>
  <r>
    <b v="0"/>
    <x v="5"/>
    <x v="0"/>
    <x v="51"/>
    <n v="0"/>
    <n v="6.7171675223779904E+17"/>
  </r>
  <r>
    <b v="0"/>
    <x v="5"/>
    <x v="1"/>
    <x v="52"/>
    <n v="0"/>
    <n v="2.4942293613497298E+18"/>
  </r>
  <r>
    <b v="0"/>
    <x v="5"/>
    <x v="2"/>
    <x v="43"/>
    <n v="0"/>
    <n v="9.4527219660557804E+18"/>
  </r>
  <r>
    <b v="0"/>
    <x v="5"/>
    <x v="3"/>
    <x v="53"/>
    <n v="0"/>
    <n v="1.0796347703684801E+19"/>
  </r>
  <r>
    <b v="0"/>
    <x v="5"/>
    <x v="4"/>
    <x v="54"/>
    <n v="0"/>
    <n v="7.9051921123880796E+18"/>
  </r>
  <r>
    <b v="0"/>
    <x v="5"/>
    <x v="5"/>
    <x v="46"/>
    <n v="0"/>
    <n v="1.4076163781838399E+19"/>
  </r>
  <r>
    <b v="0"/>
    <x v="5"/>
    <x v="6"/>
    <x v="55"/>
    <n v="0"/>
    <n v="1.7254512800271401E+19"/>
  </r>
  <r>
    <b v="0"/>
    <x v="5"/>
    <x v="7"/>
    <x v="56"/>
    <n v="0"/>
    <n v="1.48327587526801E+18"/>
  </r>
  <r>
    <b v="0"/>
    <x v="5"/>
    <x v="8"/>
    <x v="57"/>
    <n v="0"/>
    <n v="4.26487385902818E+18"/>
  </r>
  <r>
    <b v="0"/>
    <x v="5"/>
    <x v="9"/>
    <x v="44"/>
    <n v="0"/>
    <n v="8.04281645178065E+18"/>
  </r>
  <r>
    <b v="0"/>
    <x v="5"/>
    <x v="10"/>
    <x v="58"/>
    <n v="0"/>
    <n v="1.01948570279855E+19"/>
  </r>
  <r>
    <b v="0"/>
    <x v="5"/>
    <x v="11"/>
    <x v="44"/>
    <n v="0"/>
    <n v="6.2614012178083205E+18"/>
  </r>
  <r>
    <b v="0"/>
    <x v="6"/>
    <x v="0"/>
    <x v="37"/>
    <n v="0"/>
    <n v="2.8892011662361999E+18"/>
  </r>
  <r>
    <b v="0"/>
    <x v="6"/>
    <x v="1"/>
    <x v="59"/>
    <n v="0"/>
    <n v="6.2593524657250898E+18"/>
  </r>
  <r>
    <b v="0"/>
    <x v="6"/>
    <x v="2"/>
    <x v="60"/>
    <n v="0"/>
    <n v="1.0917308369116101E+19"/>
  </r>
  <r>
    <b v="0"/>
    <x v="6"/>
    <x v="3"/>
    <x v="61"/>
    <n v="0"/>
    <n v="1.1694165943556301E+19"/>
  </r>
  <r>
    <b v="0"/>
    <x v="6"/>
    <x v="4"/>
    <x v="62"/>
    <n v="0"/>
    <n v="1.59800953782145E+19"/>
  </r>
  <r>
    <b v="0"/>
    <x v="6"/>
    <x v="5"/>
    <x v="63"/>
    <n v="0"/>
    <n v="1.02886011195379E+19"/>
  </r>
  <r>
    <b v="0"/>
    <x v="6"/>
    <x v="6"/>
    <x v="64"/>
    <n v="0"/>
    <n v="2.8277645906982999E+18"/>
  </r>
  <r>
    <b v="0"/>
    <x v="6"/>
    <x v="7"/>
    <x v="65"/>
    <n v="0"/>
    <n v="1.2590945684610001E+19"/>
  </r>
  <r>
    <b v="0"/>
    <x v="6"/>
    <x v="8"/>
    <x v="66"/>
    <n v="0"/>
    <n v="1.74166838856548E+19"/>
  </r>
  <r>
    <b v="0"/>
    <x v="6"/>
    <x v="9"/>
    <x v="67"/>
    <n v="0"/>
    <n v="1.4339907197713299E+19"/>
  </r>
  <r>
    <b v="0"/>
    <x v="6"/>
    <x v="10"/>
    <x v="48"/>
    <n v="0"/>
    <n v="1.7227919137742399E+19"/>
  </r>
  <r>
    <b v="0"/>
    <x v="6"/>
    <x v="11"/>
    <x v="68"/>
    <n v="0"/>
    <n v="1.5540884399953299E+19"/>
  </r>
  <r>
    <b v="0"/>
    <x v="7"/>
    <x v="0"/>
    <x v="69"/>
    <n v="0"/>
    <n v="5.4147871145525699E+18"/>
  </r>
  <r>
    <b v="0"/>
    <x v="7"/>
    <x v="1"/>
    <x v="70"/>
    <n v="0"/>
    <n v="1.1748438900854999E+19"/>
  </r>
  <r>
    <b v="0"/>
    <x v="7"/>
    <x v="2"/>
    <x v="71"/>
    <n v="0"/>
    <n v="1.1420591236245299E+19"/>
  </r>
  <r>
    <b v="0"/>
    <x v="7"/>
    <x v="3"/>
    <x v="72"/>
    <n v="0"/>
    <n v="1.46000652923591E+19"/>
  </r>
  <r>
    <b v="0"/>
    <x v="7"/>
    <x v="4"/>
    <x v="73"/>
    <n v="0"/>
    <n v="1.1700124788139399E+19"/>
  </r>
  <r>
    <b v="0"/>
    <x v="7"/>
    <x v="5"/>
    <x v="74"/>
    <n v="0"/>
    <n v="2.0328081098806999E+18"/>
  </r>
  <r>
    <b v="0"/>
    <x v="7"/>
    <x v="6"/>
    <x v="75"/>
    <n v="0"/>
    <n v="1.1349076993110799E+18"/>
  </r>
  <r>
    <b v="0"/>
    <x v="7"/>
    <x v="7"/>
    <x v="76"/>
    <n v="0"/>
    <n v="1.35127708761374E+19"/>
  </r>
  <r>
    <b v="0"/>
    <x v="7"/>
    <x v="8"/>
    <x v="77"/>
    <n v="0"/>
    <n v="1.26284014141361E+18"/>
  </r>
  <r>
    <b v="0"/>
    <x v="7"/>
    <x v="9"/>
    <x v="78"/>
    <n v="0"/>
    <n v="7.3360942428029102E+18"/>
  </r>
  <r>
    <b v="0"/>
    <x v="7"/>
    <x v="10"/>
    <x v="79"/>
    <n v="0"/>
    <n v="1.1981498324920699E+18"/>
  </r>
  <r>
    <b v="0"/>
    <x v="7"/>
    <x v="11"/>
    <x v="78"/>
    <n v="0"/>
    <n v="3.8935414541343398E+17"/>
  </r>
  <r>
    <b v="0"/>
    <x v="8"/>
    <x v="0"/>
    <x v="63"/>
    <n v="0"/>
    <n v="5.6230267606574899E+18"/>
  </r>
  <r>
    <b v="0"/>
    <x v="8"/>
    <x v="1"/>
    <x v="80"/>
    <n v="0"/>
    <n v="1.2883863279636001E+19"/>
  </r>
  <r>
    <b v="0"/>
    <x v="8"/>
    <x v="2"/>
    <x v="81"/>
    <n v="0"/>
    <n v="5.9102138603944704E+18"/>
  </r>
  <r>
    <b v="0"/>
    <x v="8"/>
    <x v="3"/>
    <x v="82"/>
    <n v="0"/>
    <n v="1.71814121672669E+19"/>
  </r>
  <r>
    <b v="0"/>
    <x v="8"/>
    <x v="4"/>
    <x v="77"/>
    <n v="0"/>
    <n v="1.50566087235036E+19"/>
  </r>
  <r>
    <b v="0"/>
    <x v="8"/>
    <x v="5"/>
    <x v="83"/>
    <n v="0"/>
    <n v="1.8142664406889001E+19"/>
  </r>
  <r>
    <b v="0"/>
    <x v="8"/>
    <x v="6"/>
    <x v="84"/>
    <n v="0"/>
    <n v="2.3096132274715402E+18"/>
  </r>
  <r>
    <b v="0"/>
    <x v="8"/>
    <x v="7"/>
    <x v="85"/>
    <n v="0"/>
    <n v="3.1347023053631698E+18"/>
  </r>
  <r>
    <b v="0"/>
    <x v="8"/>
    <x v="8"/>
    <x v="86"/>
    <n v="0"/>
    <n v="1.7948207820945E+19"/>
  </r>
  <r>
    <b v="0"/>
    <x v="8"/>
    <x v="9"/>
    <x v="65"/>
    <n v="0"/>
    <n v="8.8039885900391496E+18"/>
  </r>
  <r>
    <b v="0"/>
    <x v="8"/>
    <x v="10"/>
    <x v="87"/>
    <n v="0"/>
    <n v="8406831213864830"/>
  </r>
  <r>
    <b v="0"/>
    <x v="8"/>
    <x v="11"/>
    <x v="88"/>
    <n v="0"/>
    <n v="6.0927654113823201E+18"/>
  </r>
  <r>
    <b v="0"/>
    <x v="9"/>
    <x v="0"/>
    <x v="89"/>
    <n v="0"/>
    <n v="3.4772240688402698E+18"/>
  </r>
  <r>
    <b v="0"/>
    <x v="9"/>
    <x v="1"/>
    <x v="73"/>
    <n v="0"/>
    <n v="7.6196199594929997E+17"/>
  </r>
  <r>
    <b v="0"/>
    <x v="9"/>
    <x v="2"/>
    <x v="90"/>
    <n v="0"/>
    <n v="8.3760302405744302E+18"/>
  </r>
  <r>
    <b v="0"/>
    <x v="9"/>
    <x v="3"/>
    <x v="82"/>
    <n v="0"/>
    <n v="5.2835480009342904E+18"/>
  </r>
  <r>
    <b v="0"/>
    <x v="9"/>
    <x v="4"/>
    <x v="91"/>
    <n v="0"/>
    <n v="1.21091048822073E+19"/>
  </r>
  <r>
    <b v="0"/>
    <x v="9"/>
    <x v="5"/>
    <x v="92"/>
    <n v="0"/>
    <n v="3.65169647785649E+18"/>
  </r>
  <r>
    <b v="0"/>
    <x v="9"/>
    <x v="6"/>
    <x v="93"/>
    <n v="0"/>
    <n v="1.3879844882896799E+18"/>
  </r>
  <r>
    <b v="0"/>
    <x v="9"/>
    <x v="7"/>
    <x v="94"/>
    <n v="0"/>
    <n v="7.9738945236035502E+18"/>
  </r>
  <r>
    <b v="0"/>
    <x v="9"/>
    <x v="8"/>
    <x v="86"/>
    <n v="0"/>
    <n v="1.16097480011434E+19"/>
  </r>
  <r>
    <b v="0"/>
    <x v="9"/>
    <x v="9"/>
    <x v="95"/>
    <n v="0"/>
    <n v="1.52441811206086E+19"/>
  </r>
  <r>
    <b v="0"/>
    <x v="9"/>
    <x v="10"/>
    <x v="96"/>
    <n v="0"/>
    <n v="6.0448333569039401E+18"/>
  </r>
  <r>
    <b v="0"/>
    <x v="9"/>
    <x v="11"/>
    <x v="97"/>
    <n v="0"/>
    <n v="1.0480892901015599E+19"/>
  </r>
  <r>
    <b v="0"/>
    <x v="10"/>
    <x v="0"/>
    <x v="98"/>
    <n v="0"/>
    <n v="1.4716471383467901E+19"/>
  </r>
  <r>
    <b v="0"/>
    <x v="10"/>
    <x v="1"/>
    <x v="99"/>
    <n v="0"/>
    <n v="1.99271299707299E+18"/>
  </r>
  <r>
    <b v="0"/>
    <x v="10"/>
    <x v="2"/>
    <x v="100"/>
    <n v="0"/>
    <n v="6.9216642297554196E+18"/>
  </r>
  <r>
    <b v="0"/>
    <x v="10"/>
    <x v="3"/>
    <x v="101"/>
    <n v="0"/>
    <n v="5.9523091292664105E+18"/>
  </r>
  <r>
    <b v="0"/>
    <x v="10"/>
    <x v="4"/>
    <x v="102"/>
    <n v="0"/>
    <n v="2.2253439971944399E+18"/>
  </r>
  <r>
    <b v="0"/>
    <x v="10"/>
    <x v="5"/>
    <x v="103"/>
    <n v="0"/>
    <n v="1.5545845805340701E+19"/>
  </r>
  <r>
    <b v="0"/>
    <x v="10"/>
    <x v="6"/>
    <x v="104"/>
    <n v="0"/>
    <n v="1.2585422142492899E+19"/>
  </r>
  <r>
    <b v="0"/>
    <x v="10"/>
    <x v="7"/>
    <x v="105"/>
    <n v="0"/>
    <n v="3.10719960483891E+18"/>
  </r>
  <r>
    <b v="0"/>
    <x v="10"/>
    <x v="8"/>
    <x v="106"/>
    <n v="0"/>
    <n v="5.5445181306301798E+18"/>
  </r>
  <r>
    <b v="0"/>
    <x v="10"/>
    <x v="9"/>
    <x v="107"/>
    <n v="0"/>
    <n v="9.6929677140116992E+18"/>
  </r>
  <r>
    <b v="0"/>
    <x v="10"/>
    <x v="10"/>
    <x v="90"/>
    <n v="0"/>
    <n v="3.5404394690569298E+18"/>
  </r>
  <r>
    <b v="0"/>
    <x v="10"/>
    <x v="11"/>
    <x v="76"/>
    <n v="0"/>
    <n v="1.3776575630717999E+19"/>
  </r>
  <r>
    <b v="0"/>
    <x v="11"/>
    <x v="0"/>
    <x v="108"/>
    <n v="0"/>
    <n v="1.12465900869359E+19"/>
  </r>
  <r>
    <b v="0"/>
    <x v="11"/>
    <x v="1"/>
    <x v="109"/>
    <n v="0"/>
    <n v="8.55625629926993E+18"/>
  </r>
  <r>
    <b v="0"/>
    <x v="11"/>
    <x v="2"/>
    <x v="110"/>
    <n v="0"/>
    <n v="1.69604704193436E+19"/>
  </r>
  <r>
    <b v="0"/>
    <x v="11"/>
    <x v="3"/>
    <x v="111"/>
    <n v="0"/>
    <n v="1.79938924952478E+19"/>
  </r>
  <r>
    <b v="0"/>
    <x v="11"/>
    <x v="4"/>
    <x v="103"/>
    <n v="0"/>
    <n v="1.3828657408882E+19"/>
  </r>
  <r>
    <b v="0"/>
    <x v="11"/>
    <x v="5"/>
    <x v="112"/>
    <n v="0"/>
    <n v="1.7083402374268299E+19"/>
  </r>
  <r>
    <b v="0"/>
    <x v="11"/>
    <x v="6"/>
    <x v="113"/>
    <n v="0"/>
    <n v="1.3886093648911499E+19"/>
  </r>
  <r>
    <b v="0"/>
    <x v="11"/>
    <x v="7"/>
    <x v="114"/>
    <n v="0"/>
    <n v="3.9848003611063101E+18"/>
  </r>
  <r>
    <b v="0"/>
    <x v="11"/>
    <x v="8"/>
    <x v="115"/>
    <n v="0"/>
    <n v="1.1562158297754499E+19"/>
  </r>
  <r>
    <b v="0"/>
    <x v="11"/>
    <x v="9"/>
    <x v="111"/>
    <n v="0"/>
    <n v="7.9502484054473697E+18"/>
  </r>
  <r>
    <b v="0"/>
    <x v="11"/>
    <x v="10"/>
    <x v="116"/>
    <n v="0"/>
    <n v="1.2669504106231099E+19"/>
  </r>
  <r>
    <b v="0"/>
    <x v="11"/>
    <x v="11"/>
    <x v="117"/>
    <n v="0"/>
    <n v="6.1158908136812001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G21" firstHeaderRow="0" firstDataRow="1" firstDataCol="3"/>
  <pivotFields count="6">
    <pivotField compact="0" outline="0" showAll="0"/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18">
        <item x="9"/>
        <item x="0"/>
        <item x="18"/>
        <item x="10"/>
        <item x="1"/>
        <item x="8"/>
        <item x="4"/>
        <item x="13"/>
        <item x="11"/>
        <item x="3"/>
        <item x="2"/>
        <item x="17"/>
        <item x="5"/>
        <item x="7"/>
        <item x="19"/>
        <item x="12"/>
        <item x="20"/>
        <item x="28"/>
        <item x="6"/>
        <item x="14"/>
        <item x="21"/>
        <item x="16"/>
        <item x="27"/>
        <item x="23"/>
        <item x="29"/>
        <item x="15"/>
        <item x="30"/>
        <item x="24"/>
        <item x="22"/>
        <item x="31"/>
        <item x="33"/>
        <item x="34"/>
        <item x="26"/>
        <item x="52"/>
        <item x="39"/>
        <item x="32"/>
        <item x="40"/>
        <item x="41"/>
        <item x="25"/>
        <item x="50"/>
        <item x="58"/>
        <item x="51"/>
        <item x="38"/>
        <item x="49"/>
        <item x="35"/>
        <item x="53"/>
        <item x="44"/>
        <item x="36"/>
        <item x="59"/>
        <item x="54"/>
        <item x="43"/>
        <item x="42"/>
        <item x="48"/>
        <item x="37"/>
        <item x="45"/>
        <item x="57"/>
        <item x="46"/>
        <item x="60"/>
        <item x="61"/>
        <item x="62"/>
        <item x="79"/>
        <item x="47"/>
        <item x="67"/>
        <item x="70"/>
        <item x="68"/>
        <item x="69"/>
        <item x="56"/>
        <item x="80"/>
        <item x="55"/>
        <item x="87"/>
        <item x="78"/>
        <item x="96"/>
        <item x="66"/>
        <item x="72"/>
        <item x="63"/>
        <item x="71"/>
        <item x="73"/>
        <item x="88"/>
        <item x="97"/>
        <item x="89"/>
        <item x="99"/>
        <item x="65"/>
        <item x="82"/>
        <item x="77"/>
        <item x="81"/>
        <item x="95"/>
        <item x="98"/>
        <item x="90"/>
        <item x="91"/>
        <item x="64"/>
        <item x="74"/>
        <item x="116"/>
        <item x="109"/>
        <item x="101"/>
        <item x="86"/>
        <item x="76"/>
        <item x="100"/>
        <item x="107"/>
        <item x="75"/>
        <item x="108"/>
        <item x="110"/>
        <item x="102"/>
        <item x="83"/>
        <item x="117"/>
        <item x="92"/>
        <item x="111"/>
        <item x="106"/>
        <item x="84"/>
        <item x="85"/>
        <item x="103"/>
        <item x="93"/>
        <item x="94"/>
        <item x="115"/>
        <item x="112"/>
        <item x="104"/>
        <item x="105"/>
        <item x="114"/>
        <item x="113"/>
      </items>
    </pivotField>
    <pivotField dataField="1" compact="0" outline="0" showAll="0"/>
    <pivotField compact="0" outline="0" showAll="0"/>
  </pivotFields>
  <rowFields count="3">
    <field x="1"/>
    <field x="2"/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4" subtotal="average" baseField="0" baseItem="1" numFmtId="164"/>
    <dataField name="% of Total Blanks" fld="4" showDataAs="percentOfTotal" baseField="0" baseItem="1" numFmtId="164"/>
  </dataFields>
  <formats count="40">
    <format dxfId="74">
      <pivotArea type="all" dataOnly="0" outline="0" fieldPosition="0"/>
    </format>
    <format dxfId="73">
      <pivotArea type="all" dataOnly="0" outline="0" fieldPosition="0"/>
    </format>
    <format dxfId="72">
      <pivotArea dataOnly="0" outline="0" fieldPosition="0">
        <references count="1">
          <reference field="4294967294" count="1">
            <x v="0"/>
          </reference>
        </references>
      </pivotArea>
    </format>
    <format dxfId="71">
      <pivotArea outline="0" fieldPosition="0">
        <references count="1">
          <reference field="4294967294" count="1">
            <x v="0"/>
          </reference>
        </references>
      </pivotArea>
    </format>
    <format dxfId="70">
      <pivotArea outline="0" fieldPosition="0">
        <references count="1">
          <reference field="4294967294" count="1">
            <x v="1"/>
          </reference>
        </references>
      </pivotArea>
    </format>
    <format dxfId="69">
      <pivotArea type="all" dataOnly="0" outline="0" fieldPosition="0"/>
    </format>
    <format dxfId="6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7">
      <pivotArea outline="0" fieldPosition="0">
        <references count="1">
          <reference field="4294967294" count="1" selected="0">
            <x v="1"/>
          </reference>
        </references>
      </pivotArea>
    </format>
    <format dxfId="32">
      <pivotArea field="1" type="button" dataOnly="0" labelOnly="1" outline="0" axis="axisRow" fieldPosition="0"/>
    </format>
    <format dxfId="31">
      <pivotArea field="2" type="button" dataOnly="0" labelOnly="1" outline="0" axis="axisRow" fieldPosition="1"/>
    </format>
    <format dxfId="30">
      <pivotArea field="3" type="button" dataOnly="0" labelOnly="1" outline="0" axis="axisRow" fieldPosition="2"/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2" type="button" dataOnly="0" labelOnly="1" outline="0" axis="axisRow" fieldPosition="1"/>
    </format>
    <format dxfId="25">
      <pivotArea field="3" type="button" dataOnly="0" labelOnly="1" outline="0" axis="axisRow" fieldPosition="2"/>
    </format>
    <format dxfId="24">
      <pivotArea dataOnly="0" labelOnly="1" outline="0" fieldPosition="0">
        <references count="1">
          <reference field="1" count="0"/>
        </references>
      </pivotArea>
    </format>
    <format dxfId="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1" type="button" dataOnly="0" labelOnly="1" outline="0" axis="axisRow" fieldPosition="0"/>
    </format>
    <format dxfId="19">
      <pivotArea field="2" type="button" dataOnly="0" labelOnly="1" outline="0" axis="axisRow" fieldPosition="1"/>
    </format>
    <format dxfId="18">
      <pivotArea field="3" type="button" dataOnly="0" labelOnly="1" outline="0" axis="axisRow" fieldPosition="2"/>
    </format>
    <format dxfId="17">
      <pivotArea dataOnly="0" labelOnly="1" outline="0" fieldPosition="0">
        <references count="1">
          <reference field="1" count="0"/>
        </references>
      </pivotArea>
    </format>
    <format dxfId="16">
      <pivotArea dataOnly="0" labelOnly="1" grandRow="1" outline="0" fieldPosition="0"/>
    </format>
    <format dxfId="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">
      <pivotArea field="1" type="button" dataOnly="0" labelOnly="1" outline="0" axis="axisRow" fieldPosition="0"/>
    </format>
    <format dxfId="13">
      <pivotArea dataOnly="0" labelOnly="1" outline="0" fieldPosition="0">
        <references count="1">
          <reference field="1" count="1">
            <x v="0"/>
          </reference>
        </references>
      </pivotArea>
    </format>
    <format dxfId="12">
      <pivotArea dataOnly="0" labelOnly="1" outline="0" fieldPosition="0">
        <references count="1">
          <reference field="1" count="1">
            <x v="1"/>
          </reference>
        </references>
      </pivotArea>
    </format>
    <format dxfId="11">
      <pivotArea dataOnly="0" labelOnly="1" outline="0" fieldPosition="0">
        <references count="1">
          <reference field="1" count="1">
            <x v="2"/>
          </reference>
        </references>
      </pivotArea>
    </format>
    <format dxfId="10">
      <pivotArea dataOnly="0" labelOnly="1" outline="0" fieldPosition="0">
        <references count="1">
          <reference field="1" count="1">
            <x v="3"/>
          </reference>
        </references>
      </pivotArea>
    </format>
    <format dxfId="9">
      <pivotArea dataOnly="0" labelOnly="1" outline="0" fieldPosition="0">
        <references count="1">
          <reference field="1" count="1">
            <x v="4"/>
          </reference>
        </references>
      </pivotArea>
    </format>
    <format dxfId="8">
      <pivotArea dataOnly="0" labelOnly="1" outline="0" fieldPosition="0">
        <references count="1">
          <reference field="1" count="1">
            <x v="5"/>
          </reference>
        </references>
      </pivotArea>
    </format>
    <format dxfId="7">
      <pivotArea dataOnly="0" labelOnly="1" outline="0" fieldPosition="0">
        <references count="1">
          <reference field="1" count="1">
            <x v="6"/>
          </reference>
        </references>
      </pivotArea>
    </format>
    <format dxfId="6">
      <pivotArea dataOnly="0" labelOnly="1" outline="0" fieldPosition="0">
        <references count="1">
          <reference field="1" count="1">
            <x v="7"/>
          </reference>
        </references>
      </pivotArea>
    </format>
    <format dxfId="5">
      <pivotArea dataOnly="0" labelOnly="1" outline="0" fieldPosition="0">
        <references count="1">
          <reference field="1" count="1">
            <x v="8"/>
          </reference>
        </references>
      </pivotArea>
    </format>
    <format dxfId="4">
      <pivotArea dataOnly="0" labelOnly="1" outline="0" fieldPosition="0">
        <references count="1">
          <reference field="1" count="1">
            <x v="9"/>
          </reference>
        </references>
      </pivotArea>
    </format>
    <format dxfId="3">
      <pivotArea dataOnly="0" labelOnly="1" outline="0" fieldPosition="0">
        <references count="1">
          <reference field="1" count="1">
            <x v="10"/>
          </reference>
        </references>
      </pivotArea>
    </format>
    <format dxfId="2">
      <pivotArea dataOnly="0" labelOnly="1" outline="0" fieldPosition="0">
        <references count="1">
          <reference field="1" count="1">
            <x v="11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E21" firstHeaderRow="1" firstDataRow="1" firstDataCol="3"/>
  <pivotFields count="6">
    <pivotField compact="0" outline="0" showAll="0"/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18">
        <item x="9"/>
        <item x="0"/>
        <item x="18"/>
        <item x="10"/>
        <item x="1"/>
        <item x="8"/>
        <item x="4"/>
        <item x="13"/>
        <item x="11"/>
        <item x="3"/>
        <item x="2"/>
        <item x="17"/>
        <item x="5"/>
        <item x="7"/>
        <item x="19"/>
        <item x="12"/>
        <item x="20"/>
        <item x="28"/>
        <item x="6"/>
        <item x="14"/>
        <item x="21"/>
        <item x="16"/>
        <item x="27"/>
        <item x="23"/>
        <item x="29"/>
        <item x="15"/>
        <item x="30"/>
        <item x="24"/>
        <item x="22"/>
        <item x="31"/>
        <item x="33"/>
        <item x="34"/>
        <item x="26"/>
        <item x="52"/>
        <item x="39"/>
        <item x="32"/>
        <item x="40"/>
        <item x="41"/>
        <item x="25"/>
        <item x="50"/>
        <item x="58"/>
        <item x="51"/>
        <item x="38"/>
        <item x="49"/>
        <item x="35"/>
        <item x="53"/>
        <item x="44"/>
        <item x="36"/>
        <item x="59"/>
        <item x="54"/>
        <item x="43"/>
        <item x="42"/>
        <item x="48"/>
        <item x="37"/>
        <item x="45"/>
        <item x="57"/>
        <item x="46"/>
        <item x="60"/>
        <item x="61"/>
        <item x="62"/>
        <item x="79"/>
        <item x="47"/>
        <item x="67"/>
        <item x="70"/>
        <item x="68"/>
        <item x="69"/>
        <item x="56"/>
        <item x="80"/>
        <item x="55"/>
        <item x="87"/>
        <item x="78"/>
        <item x="96"/>
        <item x="66"/>
        <item x="72"/>
        <item x="63"/>
        <item x="71"/>
        <item x="73"/>
        <item x="88"/>
        <item x="97"/>
        <item x="89"/>
        <item x="99"/>
        <item x="65"/>
        <item x="82"/>
        <item x="77"/>
        <item x="81"/>
        <item x="95"/>
        <item x="98"/>
        <item x="90"/>
        <item x="91"/>
        <item x="64"/>
        <item x="74"/>
        <item x="116"/>
        <item x="109"/>
        <item x="101"/>
        <item x="86"/>
        <item x="76"/>
        <item x="100"/>
        <item x="107"/>
        <item x="75"/>
        <item x="108"/>
        <item x="110"/>
        <item x="102"/>
        <item x="83"/>
        <item x="117"/>
        <item x="92"/>
        <item x="111"/>
        <item x="106"/>
        <item x="84"/>
        <item x="85"/>
        <item x="103"/>
        <item x="93"/>
        <item x="94"/>
        <item x="115"/>
        <item x="112"/>
        <item x="104"/>
        <item x="105"/>
        <item x="114"/>
        <item x="113"/>
      </items>
    </pivotField>
    <pivotField compact="0" outline="0" showAll="0"/>
    <pivotField compact="0" outline="0" showAll="0"/>
  </pivotFields>
  <rowFields count="3">
    <field x="1"/>
    <field x="2"/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formats count="24">
    <format dxfId="66">
      <pivotArea type="all" dataOnly="0" outline="0" fieldPosition="0"/>
    </format>
    <format dxfId="65">
      <pivotArea outline="0" collapsedLevelsAreSubtotals="1" fieldPosition="0"/>
    </format>
    <format dxfId="64">
      <pivotArea dataOnly="0" labelOnly="1" grandRow="1" outline="0" fieldPosition="0"/>
    </format>
    <format dxfId="53">
      <pivotArea field="1" type="button" dataOnly="0" labelOnly="1" outline="0" axis="axisRow" fieldPosition="0"/>
    </format>
    <format dxfId="52">
      <pivotArea field="2" type="button" dataOnly="0" labelOnly="1" outline="0" axis="axisRow" fieldPosition="1"/>
    </format>
    <format dxfId="51">
      <pivotArea field="3" type="button" dataOnly="0" labelOnly="1" outline="0" axis="axisRow" fieldPosition="2"/>
    </format>
    <format dxfId="50">
      <pivotArea type="all" dataOnly="0" outline="0" fieldPosition="0"/>
    </format>
    <format dxfId="49">
      <pivotArea field="2" type="button" dataOnly="0" labelOnly="1" outline="0" axis="axisRow" fieldPosition="1"/>
    </format>
    <format dxfId="48">
      <pivotArea field="3" type="button" dataOnly="0" labelOnly="1" outline="0" axis="axisRow" fieldPosition="2"/>
    </format>
    <format dxfId="47">
      <pivotArea dataOnly="0" labelOnly="1" outline="0" fieldPosition="0">
        <references count="1">
          <reference field="1" count="0"/>
        </references>
      </pivotArea>
    </format>
    <format dxfId="46">
      <pivotArea field="1" type="button" dataOnly="0" labelOnly="1" outline="0" axis="axisRow" fieldPosition="0"/>
    </format>
    <format dxfId="45">
      <pivotArea dataOnly="0" labelOnly="1" outline="0" fieldPosition="0">
        <references count="1">
          <reference field="1" count="1">
            <x v="0"/>
          </reference>
        </references>
      </pivotArea>
    </format>
    <format dxfId="44">
      <pivotArea dataOnly="0" labelOnly="1" outline="0" fieldPosition="0">
        <references count="1">
          <reference field="1" count="1">
            <x v="1"/>
          </reference>
        </references>
      </pivotArea>
    </format>
    <format dxfId="43">
      <pivotArea dataOnly="0" labelOnly="1" outline="0" fieldPosition="0">
        <references count="1">
          <reference field="1" count="1">
            <x v="2"/>
          </reference>
        </references>
      </pivotArea>
    </format>
    <format dxfId="42">
      <pivotArea dataOnly="0" labelOnly="1" outline="0" fieldPosition="0">
        <references count="1">
          <reference field="1" count="1">
            <x v="3"/>
          </reference>
        </references>
      </pivotArea>
    </format>
    <format dxfId="41">
      <pivotArea dataOnly="0" labelOnly="1" outline="0" fieldPosition="0">
        <references count="1">
          <reference field="1" count="1">
            <x v="4"/>
          </reference>
        </references>
      </pivotArea>
    </format>
    <format dxfId="40">
      <pivotArea dataOnly="0" labelOnly="1" outline="0" fieldPosition="0">
        <references count="1">
          <reference field="1" count="1">
            <x v="5"/>
          </reference>
        </references>
      </pivotArea>
    </format>
    <format dxfId="39">
      <pivotArea dataOnly="0" labelOnly="1" outline="0" fieldPosition="0">
        <references count="1">
          <reference field="1" count="1">
            <x v="6"/>
          </reference>
        </references>
      </pivotArea>
    </format>
    <format dxfId="38">
      <pivotArea dataOnly="0" labelOnly="1" outline="0" fieldPosition="0">
        <references count="1">
          <reference field="1" count="1">
            <x v="7"/>
          </reference>
        </references>
      </pivotArea>
    </format>
    <format dxfId="37">
      <pivotArea dataOnly="0" labelOnly="1" outline="0" fieldPosition="0">
        <references count="1">
          <reference field="1" count="1">
            <x v="8"/>
          </reference>
        </references>
      </pivotArea>
    </format>
    <format dxfId="36">
      <pivotArea dataOnly="0" labelOnly="1" outline="0" fieldPosition="0">
        <references count="1">
          <reference field="1" count="1">
            <x v="9"/>
          </reference>
        </references>
      </pivotArea>
    </format>
    <format dxfId="35">
      <pivotArea dataOnly="0" labelOnly="1" outline="0" fieldPosition="0">
        <references count="1">
          <reference field="1" count="1">
            <x v="10"/>
          </reference>
        </references>
      </pivotArea>
    </format>
    <format dxfId="34">
      <pivotArea dataOnly="0" labelOnly="1" outline="0" fieldPosition="0">
        <references count="1">
          <reference field="1" count="1">
            <x v="11"/>
          </reference>
        </references>
      </pivotArea>
    </format>
    <format dxfId="33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63" dataDxfId="109" headerRowBorderDxfId="110" headerRowCellStyle="Normal 2">
  <autoFilter ref="B10:AA13" xr:uid="{7EC467B7-DE9E-48DF-95B5-2995F1F6DE8F}"/>
  <tableColumns count="26">
    <tableColumn id="1" xr3:uid="{CDAE6949-9186-42E8-AEBE-1928381A0155}" name="Field" dataDxfId="108" dataCellStyle="Normal 2"/>
    <tableColumn id="2" xr3:uid="{24D139B7-BFC8-4DD9-8DE4-2245810E04F3}" name="Definition" dataDxfId="6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07"/>
    <tableColumn id="8" xr3:uid="{30CDB1E0-924C-48B4-82F4-9B3E3228BE95}" name="Distinct %" dataDxfId="106"/>
    <tableColumn id="12" xr3:uid="{03824906-BEA5-4B63-A981-21F959B6439E}" name="Missing %" dataDxfId="105" dataCellStyle="Percent 2"/>
    <tableColumn id="6" xr3:uid="{8DFFE5A0-8676-4576-AB4D-97E8B31EC097}" name="Memory Usage %" dataDxfId="104" dataCellStyle="Percent 2"/>
    <tableColumn id="5" xr3:uid="{DD50C3DA-F4A8-40F0-AFBD-DBF916650F7E}" name="Memory Usage" dataDxfId="103"/>
    <tableColumn id="7" xr3:uid="{A0CD56D0-07EF-46CA-BC46-D54CD5E746C7}" name="Distinct" dataDxfId="102"/>
    <tableColumn id="9" xr3:uid="{1C848176-6AC1-44A6-9B3B-F1C9E8BC32EA}" name="Count" dataDxfId="101"/>
    <tableColumn id="10" xr3:uid="{6C6E6A37-4969-459F-AC39-2193366810E2}" name="Count %" dataDxfId="100"/>
    <tableColumn id="11" xr3:uid="{CD47252D-0307-4513-AF7C-13CC4AA1FCD9}" name="Missing" dataDxfId="99"/>
    <tableColumn id="13" xr3:uid="{2B45F7F8-CE35-48A6-BB27-9684B5D7936D}" name="Mean" dataDxfId="98"/>
    <tableColumn id="14" xr3:uid="{293386E4-1FA6-4340-9DC6-54CC26209C0A}" name="Median" dataDxfId="97"/>
    <tableColumn id="15" xr3:uid="{29252F5E-4163-4D62-89FC-FF85F6C4755C}" name="Mode" dataDxfId="96"/>
    <tableColumn id="16" xr3:uid="{69FFA3C1-FD1E-4395-AF2E-177FDFCDE62A}" name="Standard Deviation" dataDxfId="95"/>
    <tableColumn id="17" xr3:uid="{2AAB37E9-8AE2-4771-B92B-C04BFABA0B4E}" name="Variance" dataDxfId="94"/>
    <tableColumn id="18" xr3:uid="{07151E41-6633-4A65-A7E1-091F027DEF95}" name="Min" dataDxfId="93"/>
    <tableColumn id="19" xr3:uid="{41A1FD5D-4E5C-45B3-A0C7-1820F89F417F}" name="5%" dataDxfId="92"/>
    <tableColumn id="20" xr3:uid="{50D70984-5A2E-4A19-9F2B-5DA0502339BC}" name="25%" dataDxfId="91"/>
    <tableColumn id="21" xr3:uid="{75FF5489-8FC0-4894-83BC-802076BF1066}" name="50%" dataDxfId="90"/>
    <tableColumn id="22" xr3:uid="{B7FA20A8-EE17-470E-93AD-54011230C113}" name="75%" dataDxfId="89"/>
    <tableColumn id="23" xr3:uid="{378BE758-7A3F-4C04-A75B-FE899B1B0BAD}" name="95%" dataDxfId="88"/>
    <tableColumn id="24" xr3:uid="{818594E7-DC84-4229-81F6-97C1E2E93633}" name="Max" dataDxfId="87"/>
    <tableColumn id="25" xr3:uid="{D8116583-A886-47C1-85E2-D28AD96194AD}" name="Range" dataDxfId="86"/>
    <tableColumn id="26" xr3:uid="{D061AC6A-EAB2-461F-8AB8-E743DC68E666}" name="IQR" dataDxfId="85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H222" totalsRowShown="0" headerRowDxfId="75" dataDxfId="57">
  <autoFilter ref="C78:H222" xr:uid="{DB263373-2B4F-4302-9CF6-5012CE3F1A47}"/>
  <tableColumns count="6">
    <tableColumn id="1" xr3:uid="{B87F6371-B38F-4AA9-8A9B-F1D62600E38F}" name="Record List" dataDxfId="56" dataCellStyle="Normal 2"/>
    <tableColumn id="2" xr3:uid="{55547D6A-0C4F-44F3-8DA7-D9918F9ECA79}" name="year" dataDxfId="60"/>
    <tableColumn id="8" xr3:uid="{5CEA6B82-08F7-4BBF-BE74-DD211F1E2384}" name="month" dataDxfId="59"/>
    <tableColumn id="3" xr3:uid="{6C0B3232-D5C0-4185-AF99-A47484E561D2}" name="passengers" dataDxfId="58"/>
    <tableColumn id="4" xr3:uid="{0BE49AE5-2072-449D-BF77-B6E4F3E1E8F4}" name="HasBlank" dataDxfId="55"/>
    <tableColumn id="5" xr3:uid="{15CD3548-31D8-4F61-89F9-7DF6D1439552}" name="Record Hash" dataDxfId="5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flights</v>
      </c>
      <c r="C2"/>
      <c r="AA2" s="92"/>
    </row>
    <row r="3" spans="2:27" ht="10.050000000000001" customHeight="1">
      <c r="B3"/>
      <c r="C3"/>
      <c r="AA3" s="93"/>
    </row>
    <row r="4" spans="2:27">
      <c r="B4" s="75" t="s">
        <v>25</v>
      </c>
      <c r="C4" s="40">
        <v>144</v>
      </c>
      <c r="AA4" s="94"/>
    </row>
    <row r="5" spans="2:27">
      <c r="B5" s="75" t="s">
        <v>26</v>
      </c>
      <c r="C5" s="41">
        <v>3</v>
      </c>
    </row>
    <row r="6" spans="2:27">
      <c r="B6" s="77" t="s">
        <v>4</v>
      </c>
      <c r="C6" s="41" t="s">
        <v>60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0</v>
      </c>
      <c r="D8" s="36"/>
    </row>
    <row r="9" spans="2:27" ht="24" customHeight="1">
      <c r="B9"/>
      <c r="C9"/>
    </row>
    <row r="10" spans="2:27" ht="34.950000000000003" customHeight="1">
      <c r="B10" s="115" t="s">
        <v>27</v>
      </c>
      <c r="C10" s="116" t="s">
        <v>28</v>
      </c>
      <c r="D10" s="116" t="s">
        <v>29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31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32</v>
      </c>
      <c r="U10" s="118" t="s">
        <v>33</v>
      </c>
      <c r="V10" s="118" t="s">
        <v>34</v>
      </c>
      <c r="W10" s="118" t="s">
        <v>35</v>
      </c>
      <c r="X10" s="118" t="s">
        <v>36</v>
      </c>
      <c r="Y10" s="117" t="s">
        <v>17</v>
      </c>
      <c r="Z10" s="117" t="s">
        <v>18</v>
      </c>
      <c r="AA10" s="117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61</v>
      </c>
      <c r="F11" s="43">
        <v>8.3333333333333301E-2</v>
      </c>
      <c r="G11" s="44">
        <v>0</v>
      </c>
      <c r="H11" s="43">
        <v>0.28571428571428498</v>
      </c>
      <c r="I11" s="45">
        <v>1152</v>
      </c>
      <c r="J11" s="45">
        <v>12</v>
      </c>
      <c r="K11" s="45">
        <v>144</v>
      </c>
      <c r="L11" s="46">
        <v>1</v>
      </c>
      <c r="M11" s="45">
        <v>0</v>
      </c>
      <c r="N11" s="109">
        <v>1954.5</v>
      </c>
      <c r="O11" s="109">
        <v>1954.5</v>
      </c>
      <c r="P11" s="109">
        <v>1949</v>
      </c>
      <c r="Q11" s="109">
        <v>3.4641016151377499</v>
      </c>
      <c r="R11" s="109">
        <v>11.999999999999901</v>
      </c>
      <c r="S11" s="109">
        <v>1949</v>
      </c>
      <c r="T11" s="109">
        <v>1949</v>
      </c>
      <c r="U11" s="109">
        <v>1951.75</v>
      </c>
      <c r="V11" s="109">
        <v>1954.5</v>
      </c>
      <c r="W11" s="109">
        <v>1957.25</v>
      </c>
      <c r="X11" s="109">
        <v>1960</v>
      </c>
      <c r="Y11" s="109">
        <v>1960</v>
      </c>
      <c r="Z11" s="109">
        <v>11</v>
      </c>
      <c r="AA11" s="109">
        <v>5.5</v>
      </c>
    </row>
    <row r="12" spans="2:27">
      <c r="B12" s="125" t="s">
        <v>57</v>
      </c>
      <c r="C12" s="126" t="str">
        <f>IF(INDEX(Definitions,1,MATCH(tbl_Overview[[#This Row],[Field]],Headers,0))="Definition","",INDEX(Definitions,1,MATCH(tbl_Overview[[#This Row],[Field]],Headers,0)))</f>
        <v/>
      </c>
      <c r="D12" s="127" t="str">
        <f>IF(INDEX(Notes,1,MATCH(tbl_Overview[[#This Row],[Field]],Headers,0))="Notes","",INDEX(Notes,1,MATCH(tbl_Overview[[#This Row],[Field]],Headers,0)))</f>
        <v/>
      </c>
      <c r="E12" s="82" t="s">
        <v>62</v>
      </c>
      <c r="F12" s="46">
        <v>8.3333333333333301E-2</v>
      </c>
      <c r="G12" s="128">
        <v>0</v>
      </c>
      <c r="H12" s="129">
        <v>0.14285714285714199</v>
      </c>
      <c r="I12" s="45">
        <v>576</v>
      </c>
      <c r="J12" s="45">
        <v>12</v>
      </c>
      <c r="K12" s="45">
        <v>144</v>
      </c>
      <c r="L12" s="46">
        <v>1</v>
      </c>
      <c r="M12" s="45">
        <v>0</v>
      </c>
      <c r="N12" s="109"/>
      <c r="O12" s="109"/>
      <c r="P12" s="109" t="s">
        <v>63</v>
      </c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</row>
    <row r="13" spans="2:27">
      <c r="B13" s="130" t="s">
        <v>58</v>
      </c>
      <c r="C13" s="131" t="str">
        <f>IF(INDEX(Definitions,1,MATCH(tbl_Overview[[#This Row],[Field]],Headers,0))="Definition","",INDEX(Definitions,1,MATCH(tbl_Overview[[#This Row],[Field]],Headers,0)))</f>
        <v/>
      </c>
      <c r="D13" s="132" t="str">
        <f>IF(INDEX(Notes,1,MATCH(tbl_Overview[[#This Row],[Field]],Headers,0))="Notes","",INDEX(Notes,1,MATCH(tbl_Overview[[#This Row],[Field]],Headers,0)))</f>
        <v/>
      </c>
      <c r="E13" s="133" t="s">
        <v>61</v>
      </c>
      <c r="F13" s="134">
        <v>0.81944444444444398</v>
      </c>
      <c r="G13" s="135">
        <v>0</v>
      </c>
      <c r="H13" s="136">
        <v>0.28571428571428498</v>
      </c>
      <c r="I13" s="137">
        <v>1152</v>
      </c>
      <c r="J13" s="137">
        <v>118</v>
      </c>
      <c r="K13" s="137">
        <v>144</v>
      </c>
      <c r="L13" s="134">
        <v>1</v>
      </c>
      <c r="M13" s="137">
        <v>0</v>
      </c>
      <c r="N13" s="138">
        <v>280.29861111111097</v>
      </c>
      <c r="O13" s="138">
        <v>265.5</v>
      </c>
      <c r="P13" s="138">
        <v>229</v>
      </c>
      <c r="Q13" s="138">
        <v>119.966316942943</v>
      </c>
      <c r="R13" s="138">
        <v>14391.917200854699</v>
      </c>
      <c r="S13" s="138">
        <v>104</v>
      </c>
      <c r="T13" s="138">
        <v>121.6</v>
      </c>
      <c r="U13" s="138">
        <v>180</v>
      </c>
      <c r="V13" s="138">
        <v>265.5</v>
      </c>
      <c r="W13" s="138">
        <v>360.5</v>
      </c>
      <c r="X13" s="138">
        <v>488.14999999999901</v>
      </c>
      <c r="Y13" s="138">
        <v>622</v>
      </c>
      <c r="Z13" s="138">
        <v>518</v>
      </c>
      <c r="AA13" s="138">
        <v>180.5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2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7" customWidth="1"/>
    <col min="3" max="3" width="25.77734375" style="6" customWidth="1"/>
    <col min="4" max="6" width="27.77734375" style="1" customWidth="1"/>
    <col min="7" max="8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5"/>
      <c r="C2" s="52"/>
      <c r="D2"/>
      <c r="E2"/>
    </row>
    <row r="3" spans="1:14" ht="36.6" customHeight="1">
      <c r="A3" s="54"/>
      <c r="B3" s="108" t="s">
        <v>0</v>
      </c>
      <c r="C3" s="66" t="s">
        <v>55</v>
      </c>
      <c r="D3"/>
      <c r="E3"/>
      <c r="F3" s="87"/>
      <c r="H3" s="84"/>
    </row>
    <row r="4" spans="1:14" ht="4.95" customHeight="1">
      <c r="A4" s="52"/>
      <c r="B4" s="95"/>
      <c r="C4" s="52"/>
      <c r="D4"/>
      <c r="E4"/>
      <c r="F4" s="86"/>
    </row>
    <row r="5" spans="1:14" ht="19.95" customHeight="1">
      <c r="A5" s="54"/>
      <c r="B5" s="65" t="s">
        <v>0</v>
      </c>
      <c r="C5" s="67" t="s">
        <v>29</v>
      </c>
      <c r="D5"/>
      <c r="E5"/>
      <c r="F5" s="88"/>
    </row>
    <row r="6" spans="1:14" ht="4.95" customHeight="1">
      <c r="A6" s="25"/>
      <c r="B6" s="60"/>
      <c r="C6" s="61"/>
      <c r="D6" s="54"/>
      <c r="E6" s="54"/>
      <c r="F6" s="54"/>
      <c r="G6" s="85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</row>
    <row r="9" spans="1:14" ht="37.799999999999997" hidden="1" customHeight="1" outlineLevel="1">
      <c r="A9" s="25"/>
      <c r="B9" s="96"/>
      <c r="C9" s="62" t="s">
        <v>1</v>
      </c>
      <c r="D9" s="59" t="s">
        <v>1</v>
      </c>
      <c r="E9" s="59" t="s">
        <v>1</v>
      </c>
      <c r="F9" s="59" t="s">
        <v>1</v>
      </c>
    </row>
    <row r="10" spans="1:14" ht="4.95" hidden="1" customHeight="1" outlineLevel="1">
      <c r="B10" s="23"/>
      <c r="C10" s="3"/>
      <c r="D10" s="47"/>
      <c r="E10" s="47"/>
      <c r="F10" s="47"/>
    </row>
    <row r="11" spans="1:14" s="81" customFormat="1" ht="30" customHeight="1" collapsed="1">
      <c r="A11" s="5"/>
      <c r="B11" s="119"/>
      <c r="C11" s="120" t="s">
        <v>2</v>
      </c>
      <c r="D11" s="121" t="s">
        <v>56</v>
      </c>
      <c r="E11" s="121" t="s">
        <v>57</v>
      </c>
      <c r="F11" s="121" t="s">
        <v>58</v>
      </c>
      <c r="G11" s="81" t="s">
        <v>54</v>
      </c>
      <c r="H11" s="81" t="s">
        <v>59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</row>
    <row r="14" spans="1:14" ht="4.95" customHeight="1" outlineLevel="1">
      <c r="A14" s="54"/>
      <c r="B14" s="56"/>
      <c r="C14" s="57"/>
      <c r="D14" s="54"/>
      <c r="E14" s="53"/>
      <c r="F14" s="53"/>
    </row>
    <row r="15" spans="1:14" ht="84.6" hidden="1" customHeight="1" outlineLevel="2">
      <c r="A15" s="54"/>
      <c r="B15" s="56"/>
      <c r="C15" s="64"/>
      <c r="D15" s="113" t="s">
        <v>24</v>
      </c>
      <c r="E15" s="114"/>
      <c r="F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</row>
    <row r="17" spans="1:9" hidden="1" outlineLevel="2">
      <c r="A17" s="54"/>
      <c r="B17" s="56"/>
      <c r="C17" s="78" t="s">
        <v>25</v>
      </c>
      <c r="D17" s="80">
        <v>144</v>
      </c>
      <c r="E17" s="38"/>
      <c r="F17" s="38"/>
    </row>
    <row r="18" spans="1:9" hidden="1" outlineLevel="2">
      <c r="A18" s="54"/>
      <c r="B18" s="56"/>
      <c r="C18" s="78" t="s">
        <v>45</v>
      </c>
      <c r="D18" s="80">
        <v>3</v>
      </c>
      <c r="E18" s="38"/>
      <c r="F18" s="38"/>
    </row>
    <row r="19" spans="1:9" ht="4.95" hidden="1" customHeight="1" outlineLevel="2">
      <c r="A19" s="54"/>
      <c r="B19" s="56"/>
      <c r="C19" s="58"/>
      <c r="D19" s="55"/>
      <c r="E19"/>
      <c r="F19"/>
    </row>
    <row r="20" spans="1:9" ht="19.95" customHeight="1" outlineLevel="1" collapsed="1">
      <c r="B20" s="65" t="s">
        <v>0</v>
      </c>
      <c r="C20" s="67" t="s">
        <v>50</v>
      </c>
      <c r="D20" s="79"/>
      <c r="E20"/>
      <c r="F20"/>
      <c r="I20" s="146"/>
    </row>
    <row r="21" spans="1:9" ht="4.95" customHeight="1" outlineLevel="1">
      <c r="B21" s="9"/>
      <c r="C21" s="28"/>
      <c r="D21" s="28"/>
      <c r="E21" s="28"/>
      <c r="F21" s="28"/>
    </row>
    <row r="22" spans="1:9" ht="14.4" hidden="1" customHeight="1" outlineLevel="2">
      <c r="A22" s="29"/>
      <c r="B22" s="30"/>
      <c r="C22" s="75" t="s">
        <v>3</v>
      </c>
      <c r="D22" s="107" t="s">
        <v>61</v>
      </c>
      <c r="E22" s="107" t="s">
        <v>62</v>
      </c>
      <c r="F22" s="107" t="s">
        <v>61</v>
      </c>
    </row>
    <row r="23" spans="1:9" ht="14.4" hidden="1" customHeight="1" outlineLevel="2">
      <c r="A23" s="29"/>
      <c r="B23" s="31"/>
      <c r="C23" s="73" t="s">
        <v>7</v>
      </c>
      <c r="D23" s="112">
        <v>8.3333333333333301E-2</v>
      </c>
      <c r="E23" s="112">
        <v>8.3333333333333301E-2</v>
      </c>
      <c r="F23" s="112">
        <v>0.81944444444444398</v>
      </c>
    </row>
    <row r="24" spans="1:9" ht="14.4" hidden="1" customHeight="1" outlineLevel="2">
      <c r="A24" s="29"/>
      <c r="B24" s="31"/>
      <c r="C24" s="73" t="s">
        <v>10</v>
      </c>
      <c r="D24" s="112">
        <v>0</v>
      </c>
      <c r="E24" s="112">
        <v>0</v>
      </c>
      <c r="F24" s="112">
        <v>0</v>
      </c>
    </row>
    <row r="25" spans="1:9" ht="14.4" hidden="1" customHeight="1" outlineLevel="2">
      <c r="B25" s="11"/>
      <c r="C25" s="77" t="s">
        <v>5</v>
      </c>
      <c r="D25" s="112">
        <v>0.28571428571428498</v>
      </c>
      <c r="E25" s="112">
        <v>0.14285714285714199</v>
      </c>
      <c r="F25" s="112">
        <v>0.28571428571428498</v>
      </c>
    </row>
    <row r="26" spans="1:9" ht="14.4" hidden="1" customHeight="1" outlineLevel="2">
      <c r="B26" s="11"/>
      <c r="C26" s="73" t="s">
        <v>4</v>
      </c>
      <c r="D26" s="110">
        <v>1152</v>
      </c>
      <c r="E26" s="110">
        <v>576</v>
      </c>
      <c r="F26" s="110">
        <v>1152</v>
      </c>
    </row>
    <row r="27" spans="1:9" ht="14.4" hidden="1" customHeight="1" outlineLevel="2">
      <c r="B27" s="11"/>
      <c r="C27" s="73" t="s">
        <v>6</v>
      </c>
      <c r="D27" s="110">
        <v>12</v>
      </c>
      <c r="E27" s="110">
        <v>12</v>
      </c>
      <c r="F27" s="110">
        <v>118</v>
      </c>
    </row>
    <row r="28" spans="1:9" ht="14.4" hidden="1" customHeight="1" outlineLevel="2">
      <c r="B28" s="11"/>
      <c r="C28" s="73" t="s">
        <v>8</v>
      </c>
      <c r="D28" s="110">
        <v>144</v>
      </c>
      <c r="E28" s="110">
        <v>144</v>
      </c>
      <c r="F28" s="110">
        <v>144</v>
      </c>
    </row>
    <row r="29" spans="1:9" ht="14.4" hidden="1" customHeight="1" outlineLevel="2">
      <c r="B29" s="11"/>
      <c r="C29" s="77" t="s">
        <v>9</v>
      </c>
      <c r="D29" s="111">
        <v>0</v>
      </c>
      <c r="E29" s="111">
        <v>0</v>
      </c>
      <c r="F29" s="111">
        <v>0</v>
      </c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7"/>
      <c r="C31" s="13"/>
      <c r="D31" s="14"/>
      <c r="E31" s="14"/>
      <c r="F31" s="14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65" t="s">
        <v>0</v>
      </c>
      <c r="C33" s="67" t="s">
        <v>49</v>
      </c>
      <c r="D33" s="6"/>
      <c r="E33" s="6"/>
      <c r="F33" s="6"/>
    </row>
    <row r="34" spans="1:6" ht="4.95" customHeight="1" outlineLevel="1">
      <c r="A34" s="16"/>
      <c r="B34" s="17"/>
      <c r="C34" s="18"/>
      <c r="D34" s="6"/>
      <c r="E34" s="6"/>
      <c r="F34" s="6"/>
    </row>
    <row r="35" spans="1:6" ht="14.4" hidden="1" customHeight="1" outlineLevel="2">
      <c r="B35" s="10"/>
      <c r="C35" s="75" t="s">
        <v>11</v>
      </c>
      <c r="D35" s="106">
        <v>1954.5</v>
      </c>
      <c r="E35" s="106"/>
      <c r="F35" s="106">
        <v>280.29861111111097</v>
      </c>
    </row>
    <row r="36" spans="1:6" ht="14.4" hidden="1" customHeight="1" outlineLevel="2">
      <c r="B36" s="11"/>
      <c r="C36" s="76" t="s">
        <v>12</v>
      </c>
      <c r="D36" s="105">
        <v>1954.5</v>
      </c>
      <c r="E36" s="105"/>
      <c r="F36" s="105">
        <v>265.5</v>
      </c>
    </row>
    <row r="37" spans="1:6" ht="14.4" hidden="1" customHeight="1" outlineLevel="2">
      <c r="B37" s="11"/>
      <c r="C37" s="73" t="s">
        <v>13</v>
      </c>
      <c r="D37" s="106">
        <v>1949</v>
      </c>
      <c r="E37" s="106" t="s">
        <v>63</v>
      </c>
      <c r="F37" s="106">
        <v>229</v>
      </c>
    </row>
    <row r="38" spans="1:6" ht="14.4" hidden="1" customHeight="1" outlineLevel="2">
      <c r="B38" s="11"/>
      <c r="C38" s="76" t="s">
        <v>14</v>
      </c>
      <c r="D38" s="105">
        <v>3.4641016151377499</v>
      </c>
      <c r="E38" s="105"/>
      <c r="F38" s="105">
        <v>119.966316942943</v>
      </c>
    </row>
    <row r="39" spans="1:6" ht="14.4" hidden="1" customHeight="1" outlineLevel="2">
      <c r="B39" s="11"/>
      <c r="C39" s="77" t="s">
        <v>15</v>
      </c>
      <c r="D39" s="106">
        <v>11.999999999999901</v>
      </c>
      <c r="E39" s="106"/>
      <c r="F39" s="106">
        <v>14391.917200854699</v>
      </c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6"/>
      <c r="B41" s="17"/>
      <c r="C41" s="13"/>
      <c r="D41" s="14"/>
      <c r="E41" s="14"/>
      <c r="F41" s="14"/>
    </row>
    <row r="42" spans="1:6" ht="4.95" hidden="1" customHeight="1" outlineLevel="2">
      <c r="A42" s="16"/>
      <c r="B42" s="17"/>
      <c r="C42" s="19"/>
      <c r="D42" s="6"/>
      <c r="E42" s="6"/>
      <c r="F42" s="6"/>
    </row>
    <row r="43" spans="1:6" ht="19.95" customHeight="1" outlineLevel="1" collapsed="1">
      <c r="B43" s="65" t="s">
        <v>0</v>
      </c>
      <c r="C43" s="67" t="s">
        <v>48</v>
      </c>
      <c r="D43" s="6"/>
      <c r="E43" s="6"/>
      <c r="F43" s="6"/>
    </row>
    <row r="44" spans="1:6" ht="4.95" customHeight="1" outlineLevel="1">
      <c r="A44" s="16"/>
      <c r="B44" s="17"/>
      <c r="C44" s="18"/>
      <c r="D44" s="6"/>
      <c r="E44" s="6"/>
      <c r="F44" s="6"/>
    </row>
    <row r="45" spans="1:6" ht="14.4" hidden="1" customHeight="1" outlineLevel="2">
      <c r="B45" s="10"/>
      <c r="C45" s="70" t="s">
        <v>16</v>
      </c>
      <c r="D45" s="105">
        <v>1949</v>
      </c>
      <c r="E45" s="105"/>
      <c r="F45" s="105">
        <v>104</v>
      </c>
    </row>
    <row r="46" spans="1:6" ht="14.4" hidden="1" customHeight="1" outlineLevel="2">
      <c r="B46" s="9"/>
      <c r="C46" s="71">
        <v>0.05</v>
      </c>
      <c r="D46" s="106">
        <v>1949</v>
      </c>
      <c r="E46" s="106"/>
      <c r="F46" s="106">
        <v>121.6</v>
      </c>
    </row>
    <row r="47" spans="1:6" ht="14.4" hidden="1" customHeight="1" outlineLevel="2">
      <c r="B47" s="9"/>
      <c r="C47" s="72">
        <v>0.25</v>
      </c>
      <c r="D47" s="105">
        <v>1951.75</v>
      </c>
      <c r="E47" s="105"/>
      <c r="F47" s="105">
        <v>180</v>
      </c>
    </row>
    <row r="48" spans="1:6" ht="14.4" hidden="1" customHeight="1" outlineLevel="2">
      <c r="B48" s="9"/>
      <c r="C48" s="71">
        <v>0.5</v>
      </c>
      <c r="D48" s="106">
        <v>1954.5</v>
      </c>
      <c r="E48" s="106"/>
      <c r="F48" s="106">
        <v>265.5</v>
      </c>
    </row>
    <row r="49" spans="1:6" ht="14.4" hidden="1" customHeight="1" outlineLevel="2">
      <c r="B49" s="9"/>
      <c r="C49" s="72">
        <v>0.75</v>
      </c>
      <c r="D49" s="105">
        <v>1957.25</v>
      </c>
      <c r="E49" s="105"/>
      <c r="F49" s="105">
        <v>360.5</v>
      </c>
    </row>
    <row r="50" spans="1:6" ht="14.4" hidden="1" customHeight="1" outlineLevel="2">
      <c r="B50" s="9"/>
      <c r="C50" s="71">
        <v>0.95</v>
      </c>
      <c r="D50" s="106">
        <v>1960</v>
      </c>
      <c r="E50" s="106"/>
      <c r="F50" s="106">
        <v>488.14999999999901</v>
      </c>
    </row>
    <row r="51" spans="1:6" ht="14.4" hidden="1" customHeight="1" outlineLevel="2">
      <c r="B51" s="9"/>
      <c r="C51" s="72" t="s">
        <v>17</v>
      </c>
      <c r="D51" s="105">
        <v>1960</v>
      </c>
      <c r="E51" s="105"/>
      <c r="F51" s="105">
        <v>622</v>
      </c>
    </row>
    <row r="52" spans="1:6" ht="14.4" hidden="1" customHeight="1" outlineLevel="2">
      <c r="B52" s="9"/>
      <c r="C52" s="73" t="s">
        <v>18</v>
      </c>
      <c r="D52" s="106">
        <v>11</v>
      </c>
      <c r="E52" s="106"/>
      <c r="F52" s="106">
        <v>518</v>
      </c>
    </row>
    <row r="53" spans="1:6" ht="14.4" hidden="1" customHeight="1" outlineLevel="2">
      <c r="B53" s="9"/>
      <c r="C53" s="74" t="s">
        <v>19</v>
      </c>
      <c r="D53" s="105">
        <v>5.5</v>
      </c>
      <c r="E53" s="105"/>
      <c r="F53" s="105">
        <v>180.5</v>
      </c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</row>
    <row r="56" spans="1:6" ht="4.95" customHeight="1" outlineLevel="1">
      <c r="A56" s="23"/>
      <c r="B56" s="17"/>
      <c r="D56" s="6"/>
      <c r="E56" s="6"/>
      <c r="F56" s="6"/>
    </row>
    <row r="57" spans="1:6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</row>
    <row r="58" spans="1:6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</row>
    <row r="59" spans="1:6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</row>
    <row r="60" spans="1:6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</row>
    <row r="61" spans="1:6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</row>
    <row r="62" spans="1:6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</row>
    <row r="63" spans="1:6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</row>
    <row r="64" spans="1:6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</row>
    <row r="65" spans="1:8" ht="4.95" hidden="1" customHeight="1" outlineLevel="2">
      <c r="B65" s="17"/>
      <c r="D65" s="6"/>
      <c r="E65" s="6"/>
      <c r="F65" s="6"/>
    </row>
    <row r="66" spans="1:8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</row>
    <row r="67" spans="1:8" ht="4.95" customHeight="1">
      <c r="A67" s="23"/>
      <c r="B67" s="7"/>
      <c r="C67" s="8"/>
      <c r="D67" s="6"/>
      <c r="E67" s="6"/>
      <c r="F67" s="6"/>
    </row>
    <row r="68" spans="1:8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8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8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8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8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8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8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8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8" ht="14.4" hidden="1" customHeight="1" outlineLevel="2">
      <c r="B76" s="98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8" ht="4.95" hidden="1" customHeight="1" outlineLevel="2">
      <c r="B77" s="17"/>
      <c r="C77" s="20"/>
      <c r="D77" s="21"/>
      <c r="E77" s="21"/>
      <c r="F77" s="21"/>
    </row>
    <row r="78" spans="1:8" ht="30" customHeight="1" collapsed="1">
      <c r="C78" s="122" t="s">
        <v>20</v>
      </c>
      <c r="D78" s="22" t="s">
        <v>56</v>
      </c>
      <c r="E78" s="22" t="s">
        <v>57</v>
      </c>
      <c r="F78" s="22" t="s">
        <v>58</v>
      </c>
      <c r="G78" s="122" t="s">
        <v>54</v>
      </c>
      <c r="H78" s="122" t="s">
        <v>59</v>
      </c>
    </row>
    <row r="79" spans="1:8">
      <c r="C79" s="24" t="b">
        <v>0</v>
      </c>
      <c r="D79" s="139">
        <v>1949</v>
      </c>
      <c r="E79" s="139" t="s">
        <v>63</v>
      </c>
      <c r="F79" s="139">
        <v>112</v>
      </c>
      <c r="G79" s="141">
        <v>0</v>
      </c>
      <c r="H79" s="141">
        <v>6.7761087167541504E+17</v>
      </c>
    </row>
    <row r="80" spans="1:8">
      <c r="C80" s="24" t="b">
        <v>0</v>
      </c>
      <c r="D80" s="139">
        <v>1949</v>
      </c>
      <c r="E80" s="139" t="s">
        <v>64</v>
      </c>
      <c r="F80" s="139">
        <v>118</v>
      </c>
      <c r="G80" s="141">
        <v>0</v>
      </c>
      <c r="H80" s="141">
        <v>1.07675909671627E+19</v>
      </c>
    </row>
    <row r="81" spans="3:8">
      <c r="C81" s="24" t="b">
        <v>0</v>
      </c>
      <c r="D81" s="139">
        <v>1949</v>
      </c>
      <c r="E81" s="140" t="s">
        <v>65</v>
      </c>
      <c r="F81" s="139">
        <v>132</v>
      </c>
      <c r="G81" s="141">
        <v>0</v>
      </c>
      <c r="H81" s="141">
        <v>6.1010855139316506E+17</v>
      </c>
    </row>
    <row r="82" spans="3:8">
      <c r="C82" s="24" t="b">
        <v>0</v>
      </c>
      <c r="D82" s="139">
        <v>1949</v>
      </c>
      <c r="E82" s="140" t="s">
        <v>66</v>
      </c>
      <c r="F82" s="139">
        <v>129</v>
      </c>
      <c r="G82" s="141">
        <v>0</v>
      </c>
      <c r="H82" s="141">
        <v>1.5815379321288301E+19</v>
      </c>
    </row>
    <row r="83" spans="3:8">
      <c r="C83" s="24" t="b">
        <v>0</v>
      </c>
      <c r="D83" s="139">
        <v>1949</v>
      </c>
      <c r="E83" s="140" t="s">
        <v>67</v>
      </c>
      <c r="F83" s="139">
        <v>121</v>
      </c>
      <c r="G83" s="141">
        <v>0</v>
      </c>
      <c r="H83" s="141">
        <v>1.0001893441982099E+19</v>
      </c>
    </row>
    <row r="84" spans="3:8">
      <c r="C84" s="24" t="b">
        <v>0</v>
      </c>
      <c r="D84" s="139">
        <v>1949</v>
      </c>
      <c r="E84" s="140" t="s">
        <v>68</v>
      </c>
      <c r="F84" s="139">
        <v>135</v>
      </c>
      <c r="G84" s="141">
        <v>0</v>
      </c>
      <c r="H84" s="141">
        <v>6.6254701885355602E+18</v>
      </c>
    </row>
    <row r="85" spans="3:8">
      <c r="C85" s="24" t="b">
        <v>0</v>
      </c>
      <c r="D85" s="139">
        <v>1949</v>
      </c>
      <c r="E85" s="140" t="s">
        <v>69</v>
      </c>
      <c r="F85" s="139">
        <v>148</v>
      </c>
      <c r="G85" s="141">
        <v>0</v>
      </c>
      <c r="H85" s="141">
        <v>1.08007346184943E+19</v>
      </c>
    </row>
    <row r="86" spans="3:8">
      <c r="C86" s="24" t="b">
        <v>0</v>
      </c>
      <c r="D86" s="139">
        <v>1949</v>
      </c>
      <c r="E86" s="140" t="s">
        <v>70</v>
      </c>
      <c r="F86" s="139">
        <v>148</v>
      </c>
      <c r="G86" s="141">
        <v>0</v>
      </c>
      <c r="H86" s="141">
        <v>1.0016544902320099E+19</v>
      </c>
    </row>
    <row r="87" spans="3:8">
      <c r="C87" s="24" t="b">
        <v>0</v>
      </c>
      <c r="D87" s="139">
        <v>1949</v>
      </c>
      <c r="E87" s="140" t="s">
        <v>71</v>
      </c>
      <c r="F87" s="139">
        <v>136</v>
      </c>
      <c r="G87" s="141">
        <v>0</v>
      </c>
      <c r="H87" s="141">
        <v>1.19802677449828E+19</v>
      </c>
    </row>
    <row r="88" spans="3:8">
      <c r="C88" s="24" t="b">
        <v>0</v>
      </c>
      <c r="D88" s="139">
        <v>1949</v>
      </c>
      <c r="E88" s="140" t="s">
        <v>72</v>
      </c>
      <c r="F88" s="139">
        <v>119</v>
      </c>
      <c r="G88" s="141">
        <v>0</v>
      </c>
      <c r="H88" s="141">
        <v>1.4557536688057801E+19</v>
      </c>
    </row>
    <row r="89" spans="3:8">
      <c r="C89" s="24" t="b">
        <v>0</v>
      </c>
      <c r="D89" s="139">
        <v>1949</v>
      </c>
      <c r="E89" s="140" t="s">
        <v>73</v>
      </c>
      <c r="F89" s="139">
        <v>104</v>
      </c>
      <c r="G89" s="141">
        <v>0</v>
      </c>
      <c r="H89" s="141">
        <v>1.1007297950049401E+19</v>
      </c>
    </row>
    <row r="90" spans="3:8">
      <c r="C90" s="24" t="b">
        <v>0</v>
      </c>
      <c r="D90" s="139">
        <v>1949</v>
      </c>
      <c r="E90" s="140" t="s">
        <v>74</v>
      </c>
      <c r="F90" s="139">
        <v>118</v>
      </c>
      <c r="G90" s="141">
        <v>0</v>
      </c>
      <c r="H90" s="141">
        <v>5.32104474815219E+18</v>
      </c>
    </row>
    <row r="91" spans="3:8">
      <c r="C91" s="24" t="b">
        <v>0</v>
      </c>
      <c r="D91" s="139">
        <v>1950</v>
      </c>
      <c r="E91" s="140" t="s">
        <v>63</v>
      </c>
      <c r="F91" s="139">
        <v>115</v>
      </c>
      <c r="G91" s="141">
        <v>0</v>
      </c>
      <c r="H91" s="141">
        <v>1.50953348502591E+19</v>
      </c>
    </row>
    <row r="92" spans="3:8">
      <c r="C92" s="24" t="b">
        <v>0</v>
      </c>
      <c r="D92" s="139">
        <v>1950</v>
      </c>
      <c r="E92" s="140" t="s">
        <v>64</v>
      </c>
      <c r="F92" s="139">
        <v>126</v>
      </c>
      <c r="G92" s="141">
        <v>0</v>
      </c>
      <c r="H92" s="141">
        <v>1.71706843911202E+19</v>
      </c>
    </row>
    <row r="93" spans="3:8">
      <c r="C93" s="24" t="b">
        <v>0</v>
      </c>
      <c r="D93" s="139">
        <v>1950</v>
      </c>
      <c r="E93" s="140" t="s">
        <v>65</v>
      </c>
      <c r="F93" s="139">
        <v>141</v>
      </c>
      <c r="G93" s="141">
        <v>0</v>
      </c>
      <c r="H93" s="141">
        <v>7.8696219445464504E+18</v>
      </c>
    </row>
    <row r="94" spans="3:8">
      <c r="C94" s="24" t="b">
        <v>0</v>
      </c>
      <c r="D94" s="139">
        <v>1950</v>
      </c>
      <c r="E94" s="140" t="s">
        <v>66</v>
      </c>
      <c r="F94" s="139">
        <v>135</v>
      </c>
      <c r="G94" s="141">
        <v>0</v>
      </c>
      <c r="H94" s="141">
        <v>1.5132120738571999E+19</v>
      </c>
    </row>
    <row r="95" spans="3:8">
      <c r="C95" s="24" t="b">
        <v>0</v>
      </c>
      <c r="D95" s="139">
        <v>1950</v>
      </c>
      <c r="E95" s="140" t="s">
        <v>67</v>
      </c>
      <c r="F95" s="139">
        <v>125</v>
      </c>
      <c r="G95" s="141">
        <v>0</v>
      </c>
      <c r="H95" s="141">
        <v>1.24462098249892E+19</v>
      </c>
    </row>
    <row r="96" spans="3:8">
      <c r="C96" s="24" t="b">
        <v>0</v>
      </c>
      <c r="D96" s="139">
        <v>1950</v>
      </c>
      <c r="E96" s="140" t="s">
        <v>68</v>
      </c>
      <c r="F96" s="139">
        <v>149</v>
      </c>
      <c r="G96" s="141">
        <v>0</v>
      </c>
      <c r="H96" s="141">
        <v>2.0139015438275899E+18</v>
      </c>
    </row>
    <row r="97" spans="3:8">
      <c r="C97" s="24" t="b">
        <v>0</v>
      </c>
      <c r="D97" s="139">
        <v>1950</v>
      </c>
      <c r="E97" s="140" t="s">
        <v>69</v>
      </c>
      <c r="F97" s="139">
        <v>170</v>
      </c>
      <c r="G97" s="141">
        <v>0</v>
      </c>
      <c r="H97" s="141">
        <v>1.80841024065263E+19</v>
      </c>
    </row>
    <row r="98" spans="3:8">
      <c r="C98" s="24" t="b">
        <v>0</v>
      </c>
      <c r="D98" s="139">
        <v>1950</v>
      </c>
      <c r="E98" s="140" t="s">
        <v>70</v>
      </c>
      <c r="F98" s="139">
        <v>170</v>
      </c>
      <c r="G98" s="141">
        <v>0</v>
      </c>
      <c r="H98" s="141">
        <v>1.46810711806597E+19</v>
      </c>
    </row>
    <row r="99" spans="3:8">
      <c r="C99" s="24" t="b">
        <v>0</v>
      </c>
      <c r="D99" s="139">
        <v>1950</v>
      </c>
      <c r="E99" s="140" t="s">
        <v>71</v>
      </c>
      <c r="F99" s="139">
        <v>158</v>
      </c>
      <c r="G99" s="141">
        <v>0</v>
      </c>
      <c r="H99" s="141">
        <v>9.1611675304087501E+18</v>
      </c>
    </row>
    <row r="100" spans="3:8">
      <c r="C100" s="24" t="b">
        <v>0</v>
      </c>
      <c r="D100" s="139">
        <v>1950</v>
      </c>
      <c r="E100" s="140" t="s">
        <v>72</v>
      </c>
      <c r="F100" s="139">
        <v>133</v>
      </c>
      <c r="G100" s="141">
        <v>0</v>
      </c>
      <c r="H100" s="141">
        <v>9.4344708208838595E+18</v>
      </c>
    </row>
    <row r="101" spans="3:8">
      <c r="C101" s="24" t="b">
        <v>0</v>
      </c>
      <c r="D101" s="139">
        <v>1950</v>
      </c>
      <c r="E101" s="140" t="s">
        <v>73</v>
      </c>
      <c r="F101" s="139">
        <v>114</v>
      </c>
      <c r="G101" s="141">
        <v>0</v>
      </c>
      <c r="H101" s="141">
        <v>1.4214248865787501E+19</v>
      </c>
    </row>
    <row r="102" spans="3:8">
      <c r="C102" s="24" t="b">
        <v>0</v>
      </c>
      <c r="D102" s="139">
        <v>1950</v>
      </c>
      <c r="E102" s="140" t="s">
        <v>74</v>
      </c>
      <c r="F102" s="139">
        <v>140</v>
      </c>
      <c r="G102" s="141">
        <v>0</v>
      </c>
      <c r="H102" s="141">
        <v>1.25218688014353E+19</v>
      </c>
    </row>
    <row r="103" spans="3:8">
      <c r="C103" s="24" t="b">
        <v>0</v>
      </c>
      <c r="D103" s="139">
        <v>1951</v>
      </c>
      <c r="E103" s="140" t="s">
        <v>63</v>
      </c>
      <c r="F103" s="139">
        <v>145</v>
      </c>
      <c r="G103" s="141">
        <v>0</v>
      </c>
      <c r="H103" s="141">
        <v>3.1881921069428797E+18</v>
      </c>
    </row>
    <row r="104" spans="3:8">
      <c r="C104" s="24" t="b">
        <v>0</v>
      </c>
      <c r="D104" s="139">
        <v>1951</v>
      </c>
      <c r="E104" s="140" t="s">
        <v>64</v>
      </c>
      <c r="F104" s="139">
        <v>150</v>
      </c>
      <c r="G104" s="141">
        <v>0</v>
      </c>
      <c r="H104" s="141">
        <v>7.88024140220322E+18</v>
      </c>
    </row>
    <row r="105" spans="3:8">
      <c r="C105" s="24" t="b">
        <v>0</v>
      </c>
      <c r="D105" s="139">
        <v>1951</v>
      </c>
      <c r="E105" s="140" t="s">
        <v>65</v>
      </c>
      <c r="F105" s="139">
        <v>178</v>
      </c>
      <c r="G105" s="141">
        <v>0</v>
      </c>
      <c r="H105" s="141">
        <v>9.15353426454959E+18</v>
      </c>
    </row>
    <row r="106" spans="3:8">
      <c r="C106" s="24" t="b">
        <v>0</v>
      </c>
      <c r="D106" s="139">
        <v>1951</v>
      </c>
      <c r="E106" s="140" t="s">
        <v>66</v>
      </c>
      <c r="F106" s="139">
        <v>163</v>
      </c>
      <c r="G106" s="141">
        <v>0</v>
      </c>
      <c r="H106" s="141">
        <v>2.4778591448595599E+18</v>
      </c>
    </row>
    <row r="107" spans="3:8">
      <c r="C107" s="24" t="b">
        <v>0</v>
      </c>
      <c r="D107" s="139">
        <v>1951</v>
      </c>
      <c r="E107" s="140" t="s">
        <v>67</v>
      </c>
      <c r="F107" s="139">
        <v>172</v>
      </c>
      <c r="G107" s="141">
        <v>0</v>
      </c>
      <c r="H107" s="141">
        <v>1.72184167533247E+19</v>
      </c>
    </row>
    <row r="108" spans="3:8">
      <c r="C108" s="24" t="b">
        <v>0</v>
      </c>
      <c r="D108" s="139">
        <v>1951</v>
      </c>
      <c r="E108" s="140" t="s">
        <v>68</v>
      </c>
      <c r="F108" s="139">
        <v>178</v>
      </c>
      <c r="G108" s="141">
        <v>0</v>
      </c>
      <c r="H108" s="141">
        <v>1.35503933983958E+19</v>
      </c>
    </row>
    <row r="109" spans="3:8">
      <c r="C109" s="24" t="b">
        <v>0</v>
      </c>
      <c r="D109" s="139">
        <v>1951</v>
      </c>
      <c r="E109" s="140" t="s">
        <v>69</v>
      </c>
      <c r="F109" s="139">
        <v>199</v>
      </c>
      <c r="G109" s="141">
        <v>0</v>
      </c>
      <c r="H109" s="141">
        <v>4.3853240359648302E+18</v>
      </c>
    </row>
    <row r="110" spans="3:8">
      <c r="C110" s="24" t="b">
        <v>0</v>
      </c>
      <c r="D110" s="139">
        <v>1951</v>
      </c>
      <c r="E110" s="140" t="s">
        <v>70</v>
      </c>
      <c r="F110" s="139">
        <v>199</v>
      </c>
      <c r="G110" s="141">
        <v>0</v>
      </c>
      <c r="H110" s="141">
        <v>5.9466388561223404E+18</v>
      </c>
    </row>
    <row r="111" spans="3:8">
      <c r="C111" s="24" t="b">
        <v>0</v>
      </c>
      <c r="D111" s="139">
        <v>1951</v>
      </c>
      <c r="E111" s="140" t="s">
        <v>71</v>
      </c>
      <c r="F111" s="139">
        <v>184</v>
      </c>
      <c r="G111" s="141">
        <v>0</v>
      </c>
      <c r="H111" s="141">
        <v>1.01963265932183E+19</v>
      </c>
    </row>
    <row r="112" spans="3:8">
      <c r="C112" s="24" t="b">
        <v>0</v>
      </c>
      <c r="D112" s="139">
        <v>1951</v>
      </c>
      <c r="E112" s="140" t="s">
        <v>72</v>
      </c>
      <c r="F112" s="139">
        <v>162</v>
      </c>
      <c r="G112" s="141">
        <v>0</v>
      </c>
      <c r="H112" s="141">
        <v>9.9928511770475807E+18</v>
      </c>
    </row>
    <row r="113" spans="3:8">
      <c r="C113" s="24" t="b">
        <v>0</v>
      </c>
      <c r="D113" s="139">
        <v>1951</v>
      </c>
      <c r="E113" s="140" t="s">
        <v>73</v>
      </c>
      <c r="F113" s="139">
        <v>146</v>
      </c>
      <c r="G113" s="141">
        <v>0</v>
      </c>
      <c r="H113" s="141">
        <v>1.67714782700067E+19</v>
      </c>
    </row>
    <row r="114" spans="3:8">
      <c r="C114" s="24" t="b">
        <v>0</v>
      </c>
      <c r="D114" s="139">
        <v>1951</v>
      </c>
      <c r="E114" s="140" t="s">
        <v>74</v>
      </c>
      <c r="F114" s="139">
        <v>166</v>
      </c>
      <c r="G114" s="141">
        <v>0</v>
      </c>
      <c r="H114" s="141">
        <v>1.64609641821154E+19</v>
      </c>
    </row>
    <row r="115" spans="3:8">
      <c r="C115" s="24" t="b">
        <v>0</v>
      </c>
      <c r="D115" s="139">
        <v>1952</v>
      </c>
      <c r="E115" s="140" t="s">
        <v>63</v>
      </c>
      <c r="F115" s="139">
        <v>171</v>
      </c>
      <c r="G115" s="141">
        <v>0</v>
      </c>
      <c r="H115" s="141">
        <v>1.5525558326879199E+19</v>
      </c>
    </row>
    <row r="116" spans="3:8">
      <c r="C116" s="24" t="b">
        <v>0</v>
      </c>
      <c r="D116" s="139">
        <v>1952</v>
      </c>
      <c r="E116" s="140" t="s">
        <v>64</v>
      </c>
      <c r="F116" s="139">
        <v>180</v>
      </c>
      <c r="G116" s="141">
        <v>0</v>
      </c>
      <c r="H116" s="141">
        <v>1.6413313657776599E+19</v>
      </c>
    </row>
    <row r="117" spans="3:8">
      <c r="C117" s="24" t="b">
        <v>0</v>
      </c>
      <c r="D117" s="139">
        <v>1952</v>
      </c>
      <c r="E117" s="140" t="s">
        <v>65</v>
      </c>
      <c r="F117" s="139">
        <v>193</v>
      </c>
      <c r="G117" s="141">
        <v>0</v>
      </c>
      <c r="H117" s="141">
        <v>2.39600565120222E+18</v>
      </c>
    </row>
    <row r="118" spans="3:8">
      <c r="C118" s="24" t="b">
        <v>0</v>
      </c>
      <c r="D118" s="139">
        <v>1952</v>
      </c>
      <c r="E118" s="140" t="s">
        <v>66</v>
      </c>
      <c r="F118" s="139">
        <v>181</v>
      </c>
      <c r="G118" s="141">
        <v>0</v>
      </c>
      <c r="H118" s="141">
        <v>8.1211644373856502E+18</v>
      </c>
    </row>
    <row r="119" spans="3:8">
      <c r="C119" s="24" t="b">
        <v>0</v>
      </c>
      <c r="D119" s="139">
        <v>1952</v>
      </c>
      <c r="E119" s="140" t="s">
        <v>67</v>
      </c>
      <c r="F119" s="139">
        <v>183</v>
      </c>
      <c r="G119" s="141">
        <v>0</v>
      </c>
      <c r="H119" s="141">
        <v>9.2102817076326001E+18</v>
      </c>
    </row>
    <row r="120" spans="3:8">
      <c r="C120" s="24" t="b">
        <v>0</v>
      </c>
      <c r="D120" s="139">
        <v>1952</v>
      </c>
      <c r="E120" s="140" t="s">
        <v>68</v>
      </c>
      <c r="F120" s="139">
        <v>218</v>
      </c>
      <c r="G120" s="141">
        <v>0</v>
      </c>
      <c r="H120" s="141">
        <v>1.3398589216345E+19</v>
      </c>
    </row>
    <row r="121" spans="3:8">
      <c r="C121" s="24" t="b">
        <v>0</v>
      </c>
      <c r="D121" s="139">
        <v>1952</v>
      </c>
      <c r="E121" s="140" t="s">
        <v>69</v>
      </c>
      <c r="F121" s="139">
        <v>230</v>
      </c>
      <c r="G121" s="141">
        <v>0</v>
      </c>
      <c r="H121" s="141">
        <v>3.5484061070273101E+18</v>
      </c>
    </row>
    <row r="122" spans="3:8">
      <c r="C122" s="24" t="b">
        <v>0</v>
      </c>
      <c r="D122" s="139">
        <v>1952</v>
      </c>
      <c r="E122" s="140" t="s">
        <v>70</v>
      </c>
      <c r="F122" s="139">
        <v>242</v>
      </c>
      <c r="G122" s="141">
        <v>0</v>
      </c>
      <c r="H122" s="141">
        <v>1.8078198574805701E+19</v>
      </c>
    </row>
    <row r="123" spans="3:8">
      <c r="C123" s="24" t="b">
        <v>0</v>
      </c>
      <c r="D123" s="139">
        <v>1952</v>
      </c>
      <c r="E123" s="140" t="s">
        <v>71</v>
      </c>
      <c r="F123" s="139">
        <v>209</v>
      </c>
      <c r="G123" s="141">
        <v>0</v>
      </c>
      <c r="H123" s="141">
        <v>1.51871798103057E+19</v>
      </c>
    </row>
    <row r="124" spans="3:8">
      <c r="C124" s="24" t="b">
        <v>0</v>
      </c>
      <c r="D124" s="139">
        <v>1952</v>
      </c>
      <c r="E124" s="140" t="s">
        <v>72</v>
      </c>
      <c r="F124" s="139">
        <v>191</v>
      </c>
      <c r="G124" s="141">
        <v>0</v>
      </c>
      <c r="H124" s="141">
        <v>6.7005673836416205E+18</v>
      </c>
    </row>
    <row r="125" spans="3:8">
      <c r="C125" s="24" t="b">
        <v>0</v>
      </c>
      <c r="D125" s="139">
        <v>1952</v>
      </c>
      <c r="E125" s="140" t="s">
        <v>73</v>
      </c>
      <c r="F125" s="139">
        <v>172</v>
      </c>
      <c r="G125" s="141">
        <v>0</v>
      </c>
      <c r="H125" s="141">
        <v>7.2460940142602895E+18</v>
      </c>
    </row>
    <row r="126" spans="3:8">
      <c r="C126" s="24" t="b">
        <v>0</v>
      </c>
      <c r="D126" s="139">
        <v>1952</v>
      </c>
      <c r="E126" s="140" t="s">
        <v>74</v>
      </c>
      <c r="F126" s="139">
        <v>194</v>
      </c>
      <c r="G126" s="141">
        <v>0</v>
      </c>
      <c r="H126" s="141">
        <v>1.67603504474974E+19</v>
      </c>
    </row>
    <row r="127" spans="3:8">
      <c r="C127" s="24" t="b">
        <v>0</v>
      </c>
      <c r="D127" s="139">
        <v>1953</v>
      </c>
      <c r="E127" s="140" t="s">
        <v>63</v>
      </c>
      <c r="F127" s="139">
        <v>196</v>
      </c>
      <c r="G127" s="141">
        <v>0</v>
      </c>
      <c r="H127" s="141">
        <v>1.35490341041559E+19</v>
      </c>
    </row>
    <row r="128" spans="3:8">
      <c r="C128" s="24" t="b">
        <v>0</v>
      </c>
      <c r="D128" s="139">
        <v>1953</v>
      </c>
      <c r="E128" s="140" t="s">
        <v>64</v>
      </c>
      <c r="F128" s="139">
        <v>196</v>
      </c>
      <c r="G128" s="141">
        <v>0</v>
      </c>
      <c r="H128" s="141">
        <v>3.9398236729225702E+18</v>
      </c>
    </row>
    <row r="129" spans="3:8">
      <c r="C129" s="24" t="b">
        <v>0</v>
      </c>
      <c r="D129" s="139">
        <v>1953</v>
      </c>
      <c r="E129" s="140" t="s">
        <v>65</v>
      </c>
      <c r="F129" s="139">
        <v>236</v>
      </c>
      <c r="G129" s="141">
        <v>0</v>
      </c>
      <c r="H129" s="141">
        <v>1.3100169842258999E+19</v>
      </c>
    </row>
    <row r="130" spans="3:8">
      <c r="C130" s="24" t="b">
        <v>0</v>
      </c>
      <c r="D130" s="139">
        <v>1953</v>
      </c>
      <c r="E130" s="140" t="s">
        <v>66</v>
      </c>
      <c r="F130" s="139">
        <v>235</v>
      </c>
      <c r="G130" s="141">
        <v>0</v>
      </c>
      <c r="H130" s="141">
        <v>5.4751647635864596E+18</v>
      </c>
    </row>
    <row r="131" spans="3:8">
      <c r="C131" s="24" t="b">
        <v>0</v>
      </c>
      <c r="D131" s="139">
        <v>1953</v>
      </c>
      <c r="E131" s="140" t="s">
        <v>67</v>
      </c>
      <c r="F131" s="139">
        <v>229</v>
      </c>
      <c r="G131" s="141">
        <v>0</v>
      </c>
      <c r="H131" s="141">
        <v>1.7236576876706699E+19</v>
      </c>
    </row>
    <row r="132" spans="3:8">
      <c r="C132" s="24" t="b">
        <v>0</v>
      </c>
      <c r="D132" s="139">
        <v>1953</v>
      </c>
      <c r="E132" s="140" t="s">
        <v>68</v>
      </c>
      <c r="F132" s="139">
        <v>243</v>
      </c>
      <c r="G132" s="141">
        <v>0</v>
      </c>
      <c r="H132" s="141">
        <v>6.8599951278573804E+18</v>
      </c>
    </row>
    <row r="133" spans="3:8">
      <c r="C133" s="24" t="b">
        <v>0</v>
      </c>
      <c r="D133" s="139">
        <v>1953</v>
      </c>
      <c r="E133" s="140" t="s">
        <v>69</v>
      </c>
      <c r="F133" s="139">
        <v>264</v>
      </c>
      <c r="G133" s="141">
        <v>0</v>
      </c>
      <c r="H133" s="141">
        <v>1.65784066133959E+19</v>
      </c>
    </row>
    <row r="134" spans="3:8">
      <c r="C134" s="24" t="b">
        <v>0</v>
      </c>
      <c r="D134" s="139">
        <v>1953</v>
      </c>
      <c r="E134" s="140" t="s">
        <v>70</v>
      </c>
      <c r="F134" s="139">
        <v>272</v>
      </c>
      <c r="G134" s="141">
        <v>0</v>
      </c>
      <c r="H134" s="141">
        <v>8.8981291455271004E+18</v>
      </c>
    </row>
    <row r="135" spans="3:8">
      <c r="C135" s="24" t="b">
        <v>0</v>
      </c>
      <c r="D135" s="139">
        <v>1953</v>
      </c>
      <c r="E135" s="140" t="s">
        <v>71</v>
      </c>
      <c r="F135" s="139">
        <v>237</v>
      </c>
      <c r="G135" s="141">
        <v>0</v>
      </c>
      <c r="H135" s="141">
        <v>5.0075448378649303E+18</v>
      </c>
    </row>
    <row r="136" spans="3:8">
      <c r="C136" s="24" t="b">
        <v>0</v>
      </c>
      <c r="D136" s="139">
        <v>1953</v>
      </c>
      <c r="E136" s="140" t="s">
        <v>72</v>
      </c>
      <c r="F136" s="139">
        <v>211</v>
      </c>
      <c r="G136" s="141">
        <v>0</v>
      </c>
      <c r="H136" s="141">
        <v>1.1759410735178299E+19</v>
      </c>
    </row>
    <row r="137" spans="3:8">
      <c r="C137" s="24" t="b">
        <v>0</v>
      </c>
      <c r="D137" s="139">
        <v>1953</v>
      </c>
      <c r="E137" s="140" t="s">
        <v>73</v>
      </c>
      <c r="F137" s="139">
        <v>180</v>
      </c>
      <c r="G137" s="141">
        <v>0</v>
      </c>
      <c r="H137" s="141">
        <v>1.1172320839548701E+19</v>
      </c>
    </row>
    <row r="138" spans="3:8">
      <c r="C138" s="24" t="b">
        <v>0</v>
      </c>
      <c r="D138" s="139">
        <v>1953</v>
      </c>
      <c r="E138" s="140" t="s">
        <v>74</v>
      </c>
      <c r="F138" s="139">
        <v>201</v>
      </c>
      <c r="G138" s="141">
        <v>0</v>
      </c>
      <c r="H138" s="141">
        <v>4.5234870753817201E+18</v>
      </c>
    </row>
    <row r="139" spans="3:8">
      <c r="C139" s="24" t="b">
        <v>0</v>
      </c>
      <c r="D139" s="139">
        <v>1954</v>
      </c>
      <c r="E139" s="140" t="s">
        <v>63</v>
      </c>
      <c r="F139" s="139">
        <v>204</v>
      </c>
      <c r="G139" s="141">
        <v>0</v>
      </c>
      <c r="H139" s="141">
        <v>6.7171675223779904E+17</v>
      </c>
    </row>
    <row r="140" spans="3:8">
      <c r="C140" s="24" t="b">
        <v>0</v>
      </c>
      <c r="D140" s="139">
        <v>1954</v>
      </c>
      <c r="E140" s="140" t="s">
        <v>64</v>
      </c>
      <c r="F140" s="139">
        <v>188</v>
      </c>
      <c r="G140" s="141">
        <v>0</v>
      </c>
      <c r="H140" s="141">
        <v>2.4942293613497298E+18</v>
      </c>
    </row>
    <row r="141" spans="3:8">
      <c r="C141" s="24" t="b">
        <v>0</v>
      </c>
      <c r="D141" s="139">
        <v>1954</v>
      </c>
      <c r="E141" s="140" t="s">
        <v>65</v>
      </c>
      <c r="F141" s="139">
        <v>235</v>
      </c>
      <c r="G141" s="141">
        <v>0</v>
      </c>
      <c r="H141" s="141">
        <v>9.4527219660557804E+18</v>
      </c>
    </row>
    <row r="142" spans="3:8">
      <c r="C142" s="24" t="b">
        <v>0</v>
      </c>
      <c r="D142" s="139">
        <v>1954</v>
      </c>
      <c r="E142" s="140" t="s">
        <v>66</v>
      </c>
      <c r="F142" s="139">
        <v>227</v>
      </c>
      <c r="G142" s="141">
        <v>0</v>
      </c>
      <c r="H142" s="141">
        <v>1.0796347703684801E+19</v>
      </c>
    </row>
    <row r="143" spans="3:8">
      <c r="C143" s="24" t="b">
        <v>0</v>
      </c>
      <c r="D143" s="139">
        <v>1954</v>
      </c>
      <c r="E143" s="140" t="s">
        <v>67</v>
      </c>
      <c r="F143" s="139">
        <v>234</v>
      </c>
      <c r="G143" s="141">
        <v>0</v>
      </c>
      <c r="H143" s="141">
        <v>7.9051921123880796E+18</v>
      </c>
    </row>
    <row r="144" spans="3:8">
      <c r="C144" s="24" t="b">
        <v>0</v>
      </c>
      <c r="D144" s="139">
        <v>1954</v>
      </c>
      <c r="E144" s="140" t="s">
        <v>68</v>
      </c>
      <c r="F144" s="139">
        <v>264</v>
      </c>
      <c r="G144" s="141">
        <v>0</v>
      </c>
      <c r="H144" s="141">
        <v>1.4076163781838399E+19</v>
      </c>
    </row>
    <row r="145" spans="3:8">
      <c r="C145" s="24" t="b">
        <v>0</v>
      </c>
      <c r="D145" s="139">
        <v>1954</v>
      </c>
      <c r="E145" s="140" t="s">
        <v>69</v>
      </c>
      <c r="F145" s="139">
        <v>302</v>
      </c>
      <c r="G145" s="141">
        <v>0</v>
      </c>
      <c r="H145" s="141">
        <v>1.7254512800271401E+19</v>
      </c>
    </row>
    <row r="146" spans="3:8">
      <c r="C146" s="24" t="b">
        <v>0</v>
      </c>
      <c r="D146" s="139">
        <v>1954</v>
      </c>
      <c r="E146" s="140" t="s">
        <v>70</v>
      </c>
      <c r="F146" s="139">
        <v>293</v>
      </c>
      <c r="G146" s="141">
        <v>0</v>
      </c>
      <c r="H146" s="141">
        <v>1.48327587526801E+18</v>
      </c>
    </row>
    <row r="147" spans="3:8">
      <c r="C147" s="24" t="b">
        <v>0</v>
      </c>
      <c r="D147" s="139">
        <v>1954</v>
      </c>
      <c r="E147" s="140" t="s">
        <v>71</v>
      </c>
      <c r="F147" s="139">
        <v>259</v>
      </c>
      <c r="G147" s="141">
        <v>0</v>
      </c>
      <c r="H147" s="141">
        <v>4.26487385902818E+18</v>
      </c>
    </row>
    <row r="148" spans="3:8">
      <c r="C148" s="24" t="b">
        <v>0</v>
      </c>
      <c r="D148" s="139">
        <v>1954</v>
      </c>
      <c r="E148" s="140" t="s">
        <v>72</v>
      </c>
      <c r="F148" s="139">
        <v>229</v>
      </c>
      <c r="G148" s="141">
        <v>0</v>
      </c>
      <c r="H148" s="141">
        <v>8.04281645178065E+18</v>
      </c>
    </row>
    <row r="149" spans="3:8">
      <c r="C149" s="24" t="b">
        <v>0</v>
      </c>
      <c r="D149" s="139">
        <v>1954</v>
      </c>
      <c r="E149" s="140" t="s">
        <v>73</v>
      </c>
      <c r="F149" s="139">
        <v>203</v>
      </c>
      <c r="G149" s="141">
        <v>0</v>
      </c>
      <c r="H149" s="141">
        <v>1.01948570279855E+19</v>
      </c>
    </row>
    <row r="150" spans="3:8">
      <c r="C150" s="24" t="b">
        <v>0</v>
      </c>
      <c r="D150" s="139">
        <v>1954</v>
      </c>
      <c r="E150" s="140" t="s">
        <v>74</v>
      </c>
      <c r="F150" s="139">
        <v>229</v>
      </c>
      <c r="G150" s="141">
        <v>0</v>
      </c>
      <c r="H150" s="141">
        <v>6.2614012178083205E+18</v>
      </c>
    </row>
    <row r="151" spans="3:8">
      <c r="C151" s="24" t="b">
        <v>0</v>
      </c>
      <c r="D151" s="139">
        <v>1955</v>
      </c>
      <c r="E151" s="140" t="s">
        <v>63</v>
      </c>
      <c r="F151" s="139">
        <v>242</v>
      </c>
      <c r="G151" s="141">
        <v>0</v>
      </c>
      <c r="H151" s="141">
        <v>2.8892011662361999E+18</v>
      </c>
    </row>
    <row r="152" spans="3:8">
      <c r="C152" s="24" t="b">
        <v>0</v>
      </c>
      <c r="D152" s="139">
        <v>1955</v>
      </c>
      <c r="E152" s="140" t="s">
        <v>64</v>
      </c>
      <c r="F152" s="139">
        <v>233</v>
      </c>
      <c r="G152" s="141">
        <v>0</v>
      </c>
      <c r="H152" s="141">
        <v>6.2593524657250898E+18</v>
      </c>
    </row>
    <row r="153" spans="3:8">
      <c r="C153" s="24" t="b">
        <v>0</v>
      </c>
      <c r="D153" s="139">
        <v>1955</v>
      </c>
      <c r="E153" s="140" t="s">
        <v>65</v>
      </c>
      <c r="F153" s="139">
        <v>267</v>
      </c>
      <c r="G153" s="141">
        <v>0</v>
      </c>
      <c r="H153" s="141">
        <v>1.0917308369116101E+19</v>
      </c>
    </row>
    <row r="154" spans="3:8">
      <c r="C154" s="24" t="b">
        <v>0</v>
      </c>
      <c r="D154" s="139">
        <v>1955</v>
      </c>
      <c r="E154" s="140" t="s">
        <v>66</v>
      </c>
      <c r="F154" s="139">
        <v>269</v>
      </c>
      <c r="G154" s="141">
        <v>0</v>
      </c>
      <c r="H154" s="141">
        <v>1.1694165943556301E+19</v>
      </c>
    </row>
    <row r="155" spans="3:8">
      <c r="C155" s="24" t="b">
        <v>0</v>
      </c>
      <c r="D155" s="139">
        <v>1955</v>
      </c>
      <c r="E155" s="140" t="s">
        <v>67</v>
      </c>
      <c r="F155" s="139">
        <v>270</v>
      </c>
      <c r="G155" s="141">
        <v>0</v>
      </c>
      <c r="H155" s="141">
        <v>1.59800953782145E+19</v>
      </c>
    </row>
    <row r="156" spans="3:8">
      <c r="C156" s="24" t="b">
        <v>0</v>
      </c>
      <c r="D156" s="139">
        <v>1955</v>
      </c>
      <c r="E156" s="140" t="s">
        <v>68</v>
      </c>
      <c r="F156" s="139">
        <v>315</v>
      </c>
      <c r="G156" s="141">
        <v>0</v>
      </c>
      <c r="H156" s="141">
        <v>1.02886011195379E+19</v>
      </c>
    </row>
    <row r="157" spans="3:8">
      <c r="C157" s="24" t="b">
        <v>0</v>
      </c>
      <c r="D157" s="139">
        <v>1955</v>
      </c>
      <c r="E157" s="140" t="s">
        <v>69</v>
      </c>
      <c r="F157" s="139">
        <v>364</v>
      </c>
      <c r="G157" s="141">
        <v>0</v>
      </c>
      <c r="H157" s="141">
        <v>2.8277645906982999E+18</v>
      </c>
    </row>
    <row r="158" spans="3:8">
      <c r="C158" s="24" t="b">
        <v>0</v>
      </c>
      <c r="D158" s="139">
        <v>1955</v>
      </c>
      <c r="E158" s="140" t="s">
        <v>70</v>
      </c>
      <c r="F158" s="139">
        <v>347</v>
      </c>
      <c r="G158" s="141">
        <v>0</v>
      </c>
      <c r="H158" s="141">
        <v>1.2590945684610001E+19</v>
      </c>
    </row>
    <row r="159" spans="3:8">
      <c r="C159" s="24" t="b">
        <v>0</v>
      </c>
      <c r="D159" s="139">
        <v>1955</v>
      </c>
      <c r="E159" s="140" t="s">
        <v>71</v>
      </c>
      <c r="F159" s="139">
        <v>312</v>
      </c>
      <c r="G159" s="141">
        <v>0</v>
      </c>
      <c r="H159" s="141">
        <v>1.74166838856548E+19</v>
      </c>
    </row>
    <row r="160" spans="3:8">
      <c r="C160" s="24" t="b">
        <v>0</v>
      </c>
      <c r="D160" s="139">
        <v>1955</v>
      </c>
      <c r="E160" s="140" t="s">
        <v>72</v>
      </c>
      <c r="F160" s="139">
        <v>274</v>
      </c>
      <c r="G160" s="141">
        <v>0</v>
      </c>
      <c r="H160" s="141">
        <v>1.4339907197713299E+19</v>
      </c>
    </row>
    <row r="161" spans="3:8">
      <c r="C161" s="24" t="b">
        <v>0</v>
      </c>
      <c r="D161" s="139">
        <v>1955</v>
      </c>
      <c r="E161" s="140" t="s">
        <v>73</v>
      </c>
      <c r="F161" s="139">
        <v>237</v>
      </c>
      <c r="G161" s="141">
        <v>0</v>
      </c>
      <c r="H161" s="141">
        <v>1.7227919137742399E+19</v>
      </c>
    </row>
    <row r="162" spans="3:8">
      <c r="C162" s="24" t="b">
        <v>0</v>
      </c>
      <c r="D162" s="139">
        <v>1955</v>
      </c>
      <c r="E162" s="140" t="s">
        <v>74</v>
      </c>
      <c r="F162" s="139">
        <v>278</v>
      </c>
      <c r="G162" s="141">
        <v>0</v>
      </c>
      <c r="H162" s="141">
        <v>1.5540884399953299E+19</v>
      </c>
    </row>
    <row r="163" spans="3:8">
      <c r="C163" s="24" t="b">
        <v>0</v>
      </c>
      <c r="D163" s="139">
        <v>1956</v>
      </c>
      <c r="E163" s="140" t="s">
        <v>63</v>
      </c>
      <c r="F163" s="139">
        <v>284</v>
      </c>
      <c r="G163" s="141">
        <v>0</v>
      </c>
      <c r="H163" s="141">
        <v>5.4147871145525699E+18</v>
      </c>
    </row>
    <row r="164" spans="3:8">
      <c r="C164" s="24" t="b">
        <v>0</v>
      </c>
      <c r="D164" s="139">
        <v>1956</v>
      </c>
      <c r="E164" s="140" t="s">
        <v>64</v>
      </c>
      <c r="F164" s="139">
        <v>277</v>
      </c>
      <c r="G164" s="141">
        <v>0</v>
      </c>
      <c r="H164" s="141">
        <v>1.1748438900854999E+19</v>
      </c>
    </row>
    <row r="165" spans="3:8">
      <c r="C165" s="24" t="b">
        <v>0</v>
      </c>
      <c r="D165" s="139">
        <v>1956</v>
      </c>
      <c r="E165" s="140" t="s">
        <v>65</v>
      </c>
      <c r="F165" s="139">
        <v>317</v>
      </c>
      <c r="G165" s="141">
        <v>0</v>
      </c>
      <c r="H165" s="141">
        <v>1.1420591236245299E+19</v>
      </c>
    </row>
    <row r="166" spans="3:8">
      <c r="C166" s="24" t="b">
        <v>0</v>
      </c>
      <c r="D166" s="139">
        <v>1956</v>
      </c>
      <c r="E166" s="140" t="s">
        <v>66</v>
      </c>
      <c r="F166" s="139">
        <v>313</v>
      </c>
      <c r="G166" s="141">
        <v>0</v>
      </c>
      <c r="H166" s="141">
        <v>1.46000652923591E+19</v>
      </c>
    </row>
    <row r="167" spans="3:8">
      <c r="C167" s="24" t="b">
        <v>0</v>
      </c>
      <c r="D167" s="139">
        <v>1956</v>
      </c>
      <c r="E167" s="140" t="s">
        <v>67</v>
      </c>
      <c r="F167" s="139">
        <v>318</v>
      </c>
      <c r="G167" s="141">
        <v>0</v>
      </c>
      <c r="H167" s="141">
        <v>1.1700124788139399E+19</v>
      </c>
    </row>
    <row r="168" spans="3:8">
      <c r="C168" s="24" t="b">
        <v>0</v>
      </c>
      <c r="D168" s="139">
        <v>1956</v>
      </c>
      <c r="E168" s="140" t="s">
        <v>68</v>
      </c>
      <c r="F168" s="139">
        <v>374</v>
      </c>
      <c r="G168" s="141">
        <v>0</v>
      </c>
      <c r="H168" s="141">
        <v>2.0328081098806999E+18</v>
      </c>
    </row>
    <row r="169" spans="3:8">
      <c r="C169" s="24" t="b">
        <v>0</v>
      </c>
      <c r="D169" s="139">
        <v>1956</v>
      </c>
      <c r="E169" s="140" t="s">
        <v>69</v>
      </c>
      <c r="F169" s="139">
        <v>413</v>
      </c>
      <c r="G169" s="141">
        <v>0</v>
      </c>
      <c r="H169" s="141">
        <v>1.1349076993110799E+18</v>
      </c>
    </row>
    <row r="170" spans="3:8">
      <c r="C170" s="24" t="b">
        <v>0</v>
      </c>
      <c r="D170" s="139">
        <v>1956</v>
      </c>
      <c r="E170" s="140" t="s">
        <v>70</v>
      </c>
      <c r="F170" s="139">
        <v>405</v>
      </c>
      <c r="G170" s="141">
        <v>0</v>
      </c>
      <c r="H170" s="141">
        <v>1.35127708761374E+19</v>
      </c>
    </row>
    <row r="171" spans="3:8">
      <c r="C171" s="24" t="b">
        <v>0</v>
      </c>
      <c r="D171" s="139">
        <v>1956</v>
      </c>
      <c r="E171" s="140" t="s">
        <v>71</v>
      </c>
      <c r="F171" s="139">
        <v>355</v>
      </c>
      <c r="G171" s="141">
        <v>0</v>
      </c>
      <c r="H171" s="141">
        <v>1.26284014141361E+18</v>
      </c>
    </row>
    <row r="172" spans="3:8">
      <c r="C172" s="24" t="b">
        <v>0</v>
      </c>
      <c r="D172" s="139">
        <v>1956</v>
      </c>
      <c r="E172" s="140" t="s">
        <v>72</v>
      </c>
      <c r="F172" s="139">
        <v>306</v>
      </c>
      <c r="G172" s="141">
        <v>0</v>
      </c>
      <c r="H172" s="141">
        <v>7.3360942428029102E+18</v>
      </c>
    </row>
    <row r="173" spans="3:8">
      <c r="C173" s="24" t="b">
        <v>0</v>
      </c>
      <c r="D173" s="139">
        <v>1956</v>
      </c>
      <c r="E173" s="140" t="s">
        <v>73</v>
      </c>
      <c r="F173" s="139">
        <v>271</v>
      </c>
      <c r="G173" s="141">
        <v>0</v>
      </c>
      <c r="H173" s="141">
        <v>1.1981498324920699E+18</v>
      </c>
    </row>
    <row r="174" spans="3:8">
      <c r="C174" s="24" t="b">
        <v>0</v>
      </c>
      <c r="D174" s="139">
        <v>1956</v>
      </c>
      <c r="E174" s="140" t="s">
        <v>74</v>
      </c>
      <c r="F174" s="139">
        <v>306</v>
      </c>
      <c r="G174" s="141">
        <v>0</v>
      </c>
      <c r="H174" s="141">
        <v>3.8935414541343398E+17</v>
      </c>
    </row>
    <row r="175" spans="3:8">
      <c r="C175" s="24" t="b">
        <v>0</v>
      </c>
      <c r="D175" s="139">
        <v>1957</v>
      </c>
      <c r="E175" s="140" t="s">
        <v>63</v>
      </c>
      <c r="F175" s="139">
        <v>315</v>
      </c>
      <c r="G175" s="141">
        <v>0</v>
      </c>
      <c r="H175" s="141">
        <v>5.6230267606574899E+18</v>
      </c>
    </row>
    <row r="176" spans="3:8">
      <c r="C176" s="24" t="b">
        <v>0</v>
      </c>
      <c r="D176" s="139">
        <v>1957</v>
      </c>
      <c r="E176" s="140" t="s">
        <v>64</v>
      </c>
      <c r="F176" s="139">
        <v>301</v>
      </c>
      <c r="G176" s="141">
        <v>0</v>
      </c>
      <c r="H176" s="141">
        <v>1.2883863279636001E+19</v>
      </c>
    </row>
    <row r="177" spans="3:8">
      <c r="C177" s="24" t="b">
        <v>0</v>
      </c>
      <c r="D177" s="139">
        <v>1957</v>
      </c>
      <c r="E177" s="140" t="s">
        <v>65</v>
      </c>
      <c r="F177" s="139">
        <v>356</v>
      </c>
      <c r="G177" s="141">
        <v>0</v>
      </c>
      <c r="H177" s="141">
        <v>5.9102138603944704E+18</v>
      </c>
    </row>
    <row r="178" spans="3:8">
      <c r="C178" s="24" t="b">
        <v>0</v>
      </c>
      <c r="D178" s="139">
        <v>1957</v>
      </c>
      <c r="E178" s="140" t="s">
        <v>66</v>
      </c>
      <c r="F178" s="139">
        <v>348</v>
      </c>
      <c r="G178" s="141">
        <v>0</v>
      </c>
      <c r="H178" s="141">
        <v>1.71814121672669E+19</v>
      </c>
    </row>
    <row r="179" spans="3:8">
      <c r="C179" s="24" t="b">
        <v>0</v>
      </c>
      <c r="D179" s="139">
        <v>1957</v>
      </c>
      <c r="E179" s="140" t="s">
        <v>67</v>
      </c>
      <c r="F179" s="139">
        <v>355</v>
      </c>
      <c r="G179" s="141">
        <v>0</v>
      </c>
      <c r="H179" s="141">
        <v>1.50566087235036E+19</v>
      </c>
    </row>
    <row r="180" spans="3:8">
      <c r="C180" s="24" t="b">
        <v>0</v>
      </c>
      <c r="D180" s="139">
        <v>1957</v>
      </c>
      <c r="E180" s="140" t="s">
        <v>68</v>
      </c>
      <c r="F180" s="139">
        <v>422</v>
      </c>
      <c r="G180" s="141">
        <v>0</v>
      </c>
      <c r="H180" s="141">
        <v>1.8142664406889001E+19</v>
      </c>
    </row>
    <row r="181" spans="3:8">
      <c r="C181" s="24" t="b">
        <v>0</v>
      </c>
      <c r="D181" s="139">
        <v>1957</v>
      </c>
      <c r="E181" s="140" t="s">
        <v>69</v>
      </c>
      <c r="F181" s="139">
        <v>465</v>
      </c>
      <c r="G181" s="141">
        <v>0</v>
      </c>
      <c r="H181" s="141">
        <v>2.3096132274715402E+18</v>
      </c>
    </row>
    <row r="182" spans="3:8">
      <c r="C182" s="24" t="b">
        <v>0</v>
      </c>
      <c r="D182" s="139">
        <v>1957</v>
      </c>
      <c r="E182" s="140" t="s">
        <v>70</v>
      </c>
      <c r="F182" s="139">
        <v>467</v>
      </c>
      <c r="G182" s="141">
        <v>0</v>
      </c>
      <c r="H182" s="141">
        <v>3.1347023053631698E+18</v>
      </c>
    </row>
    <row r="183" spans="3:8">
      <c r="C183" s="24" t="b">
        <v>0</v>
      </c>
      <c r="D183" s="139">
        <v>1957</v>
      </c>
      <c r="E183" s="140" t="s">
        <v>71</v>
      </c>
      <c r="F183" s="139">
        <v>404</v>
      </c>
      <c r="G183" s="141">
        <v>0</v>
      </c>
      <c r="H183" s="141">
        <v>1.7948207820945E+19</v>
      </c>
    </row>
    <row r="184" spans="3:8">
      <c r="C184" s="24" t="b">
        <v>0</v>
      </c>
      <c r="D184" s="139">
        <v>1957</v>
      </c>
      <c r="E184" s="140" t="s">
        <v>72</v>
      </c>
      <c r="F184" s="139">
        <v>347</v>
      </c>
      <c r="G184" s="141">
        <v>0</v>
      </c>
      <c r="H184" s="141">
        <v>8.8039885900391496E+18</v>
      </c>
    </row>
    <row r="185" spans="3:8">
      <c r="C185" s="24" t="b">
        <v>0</v>
      </c>
      <c r="D185" s="139">
        <v>1957</v>
      </c>
      <c r="E185" s="140" t="s">
        <v>73</v>
      </c>
      <c r="F185" s="139">
        <v>305</v>
      </c>
      <c r="G185" s="141">
        <v>0</v>
      </c>
      <c r="H185" s="141">
        <v>8406831213864830</v>
      </c>
    </row>
    <row r="186" spans="3:8">
      <c r="C186" s="24" t="b">
        <v>0</v>
      </c>
      <c r="D186" s="139">
        <v>1957</v>
      </c>
      <c r="E186" s="140" t="s">
        <v>74</v>
      </c>
      <c r="F186" s="139">
        <v>336</v>
      </c>
      <c r="G186" s="141">
        <v>0</v>
      </c>
      <c r="H186" s="141">
        <v>6.0927654113823201E+18</v>
      </c>
    </row>
    <row r="187" spans="3:8">
      <c r="C187" s="24" t="b">
        <v>0</v>
      </c>
      <c r="D187" s="139">
        <v>1958</v>
      </c>
      <c r="E187" s="140" t="s">
        <v>63</v>
      </c>
      <c r="F187" s="139">
        <v>340</v>
      </c>
      <c r="G187" s="141">
        <v>0</v>
      </c>
      <c r="H187" s="141">
        <v>3.4772240688402698E+18</v>
      </c>
    </row>
    <row r="188" spans="3:8">
      <c r="C188" s="24" t="b">
        <v>0</v>
      </c>
      <c r="D188" s="139">
        <v>1958</v>
      </c>
      <c r="E188" s="140" t="s">
        <v>64</v>
      </c>
      <c r="F188" s="139">
        <v>318</v>
      </c>
      <c r="G188" s="141">
        <v>0</v>
      </c>
      <c r="H188" s="141">
        <v>7.6196199594929997E+17</v>
      </c>
    </row>
    <row r="189" spans="3:8">
      <c r="C189" s="24" t="b">
        <v>0</v>
      </c>
      <c r="D189" s="139">
        <v>1958</v>
      </c>
      <c r="E189" s="140" t="s">
        <v>65</v>
      </c>
      <c r="F189" s="139">
        <v>362</v>
      </c>
      <c r="G189" s="141">
        <v>0</v>
      </c>
      <c r="H189" s="141">
        <v>8.3760302405744302E+18</v>
      </c>
    </row>
    <row r="190" spans="3:8">
      <c r="C190" s="24" t="b">
        <v>0</v>
      </c>
      <c r="D190" s="139">
        <v>1958</v>
      </c>
      <c r="E190" s="140" t="s">
        <v>66</v>
      </c>
      <c r="F190" s="139">
        <v>348</v>
      </c>
      <c r="G190" s="141">
        <v>0</v>
      </c>
      <c r="H190" s="141">
        <v>5.2835480009342904E+18</v>
      </c>
    </row>
    <row r="191" spans="3:8">
      <c r="C191" s="24" t="b">
        <v>0</v>
      </c>
      <c r="D191" s="139">
        <v>1958</v>
      </c>
      <c r="E191" s="140" t="s">
        <v>67</v>
      </c>
      <c r="F191" s="139">
        <v>363</v>
      </c>
      <c r="G191" s="141">
        <v>0</v>
      </c>
      <c r="H191" s="141">
        <v>1.21091048822073E+19</v>
      </c>
    </row>
    <row r="192" spans="3:8">
      <c r="C192" s="24" t="b">
        <v>0</v>
      </c>
      <c r="D192" s="139">
        <v>1958</v>
      </c>
      <c r="E192" s="140" t="s">
        <v>68</v>
      </c>
      <c r="F192" s="139">
        <v>435</v>
      </c>
      <c r="G192" s="141">
        <v>0</v>
      </c>
      <c r="H192" s="141">
        <v>3.65169647785649E+18</v>
      </c>
    </row>
    <row r="193" spans="3:8">
      <c r="C193" s="24" t="b">
        <v>0</v>
      </c>
      <c r="D193" s="139">
        <v>1958</v>
      </c>
      <c r="E193" s="140" t="s">
        <v>69</v>
      </c>
      <c r="F193" s="139">
        <v>491</v>
      </c>
      <c r="G193" s="141">
        <v>0</v>
      </c>
      <c r="H193" s="141">
        <v>1.3879844882896799E+18</v>
      </c>
    </row>
    <row r="194" spans="3:8">
      <c r="C194" s="24" t="b">
        <v>0</v>
      </c>
      <c r="D194" s="139">
        <v>1958</v>
      </c>
      <c r="E194" s="140" t="s">
        <v>70</v>
      </c>
      <c r="F194" s="139">
        <v>505</v>
      </c>
      <c r="G194" s="141">
        <v>0</v>
      </c>
      <c r="H194" s="141">
        <v>7.9738945236035502E+18</v>
      </c>
    </row>
    <row r="195" spans="3:8">
      <c r="C195" s="24" t="b">
        <v>0</v>
      </c>
      <c r="D195" s="139">
        <v>1958</v>
      </c>
      <c r="E195" s="140" t="s">
        <v>71</v>
      </c>
      <c r="F195" s="139">
        <v>404</v>
      </c>
      <c r="G195" s="141">
        <v>0</v>
      </c>
      <c r="H195" s="141">
        <v>1.16097480011434E+19</v>
      </c>
    </row>
    <row r="196" spans="3:8">
      <c r="C196" s="24" t="b">
        <v>0</v>
      </c>
      <c r="D196" s="139">
        <v>1958</v>
      </c>
      <c r="E196" s="140" t="s">
        <v>72</v>
      </c>
      <c r="F196" s="139">
        <v>359</v>
      </c>
      <c r="G196" s="141">
        <v>0</v>
      </c>
      <c r="H196" s="141">
        <v>1.52441811206086E+19</v>
      </c>
    </row>
    <row r="197" spans="3:8">
      <c r="C197" s="24" t="b">
        <v>0</v>
      </c>
      <c r="D197" s="139">
        <v>1958</v>
      </c>
      <c r="E197" s="140" t="s">
        <v>73</v>
      </c>
      <c r="F197" s="139">
        <v>310</v>
      </c>
      <c r="G197" s="141">
        <v>0</v>
      </c>
      <c r="H197" s="141">
        <v>6.0448333569039401E+18</v>
      </c>
    </row>
    <row r="198" spans="3:8">
      <c r="C198" s="24" t="b">
        <v>0</v>
      </c>
      <c r="D198" s="139">
        <v>1958</v>
      </c>
      <c r="E198" s="140" t="s">
        <v>74</v>
      </c>
      <c r="F198" s="139">
        <v>337</v>
      </c>
      <c r="G198" s="141">
        <v>0</v>
      </c>
      <c r="H198" s="141">
        <v>1.0480892901015599E+19</v>
      </c>
    </row>
    <row r="199" spans="3:8">
      <c r="C199" s="24" t="b">
        <v>0</v>
      </c>
      <c r="D199" s="139">
        <v>1959</v>
      </c>
      <c r="E199" s="140" t="s">
        <v>63</v>
      </c>
      <c r="F199" s="139">
        <v>360</v>
      </c>
      <c r="G199" s="141">
        <v>0</v>
      </c>
      <c r="H199" s="141">
        <v>1.4716471383467901E+19</v>
      </c>
    </row>
    <row r="200" spans="3:8">
      <c r="C200" s="24" t="b">
        <v>0</v>
      </c>
      <c r="D200" s="139">
        <v>1959</v>
      </c>
      <c r="E200" s="140" t="s">
        <v>64</v>
      </c>
      <c r="F200" s="139">
        <v>342</v>
      </c>
      <c r="G200" s="141">
        <v>0</v>
      </c>
      <c r="H200" s="141">
        <v>1.99271299707299E+18</v>
      </c>
    </row>
    <row r="201" spans="3:8">
      <c r="C201" s="24" t="b">
        <v>0</v>
      </c>
      <c r="D201" s="139">
        <v>1959</v>
      </c>
      <c r="E201" s="140" t="s">
        <v>65</v>
      </c>
      <c r="F201" s="139">
        <v>406</v>
      </c>
      <c r="G201" s="141">
        <v>0</v>
      </c>
      <c r="H201" s="141">
        <v>6.9216642297554196E+18</v>
      </c>
    </row>
    <row r="202" spans="3:8">
      <c r="C202" s="24" t="b">
        <v>0</v>
      </c>
      <c r="D202" s="139">
        <v>1959</v>
      </c>
      <c r="E202" s="140" t="s">
        <v>66</v>
      </c>
      <c r="F202" s="139">
        <v>396</v>
      </c>
      <c r="G202" s="141">
        <v>0</v>
      </c>
      <c r="H202" s="141">
        <v>5.9523091292664105E+18</v>
      </c>
    </row>
    <row r="203" spans="3:8">
      <c r="C203" s="24" t="b">
        <v>0</v>
      </c>
      <c r="D203" s="139">
        <v>1959</v>
      </c>
      <c r="E203" s="140" t="s">
        <v>67</v>
      </c>
      <c r="F203" s="139">
        <v>420</v>
      </c>
      <c r="G203" s="141">
        <v>0</v>
      </c>
      <c r="H203" s="141">
        <v>2.2253439971944399E+18</v>
      </c>
    </row>
    <row r="204" spans="3:8">
      <c r="C204" s="24" t="b">
        <v>0</v>
      </c>
      <c r="D204" s="139">
        <v>1959</v>
      </c>
      <c r="E204" s="140" t="s">
        <v>68</v>
      </c>
      <c r="F204" s="139">
        <v>472</v>
      </c>
      <c r="G204" s="141">
        <v>0</v>
      </c>
      <c r="H204" s="141">
        <v>1.5545845805340701E+19</v>
      </c>
    </row>
    <row r="205" spans="3:8">
      <c r="C205" s="24" t="b">
        <v>0</v>
      </c>
      <c r="D205" s="139">
        <v>1959</v>
      </c>
      <c r="E205" s="140" t="s">
        <v>69</v>
      </c>
      <c r="F205" s="139">
        <v>548</v>
      </c>
      <c r="G205" s="141">
        <v>0</v>
      </c>
      <c r="H205" s="141">
        <v>1.2585422142492899E+19</v>
      </c>
    </row>
    <row r="206" spans="3:8">
      <c r="C206" s="24" t="b">
        <v>0</v>
      </c>
      <c r="D206" s="139">
        <v>1959</v>
      </c>
      <c r="E206" s="140" t="s">
        <v>70</v>
      </c>
      <c r="F206" s="139">
        <v>559</v>
      </c>
      <c r="G206" s="141">
        <v>0</v>
      </c>
      <c r="H206" s="141">
        <v>3.10719960483891E+18</v>
      </c>
    </row>
    <row r="207" spans="3:8">
      <c r="C207" s="24" t="b">
        <v>0</v>
      </c>
      <c r="D207" s="139">
        <v>1959</v>
      </c>
      <c r="E207" s="140" t="s">
        <v>71</v>
      </c>
      <c r="F207" s="139">
        <v>463</v>
      </c>
      <c r="G207" s="141">
        <v>0</v>
      </c>
      <c r="H207" s="141">
        <v>5.5445181306301798E+18</v>
      </c>
    </row>
    <row r="208" spans="3:8">
      <c r="C208" s="24" t="b">
        <v>0</v>
      </c>
      <c r="D208" s="139">
        <v>1959</v>
      </c>
      <c r="E208" s="140" t="s">
        <v>72</v>
      </c>
      <c r="F208" s="139">
        <v>407</v>
      </c>
      <c r="G208" s="141">
        <v>0</v>
      </c>
      <c r="H208" s="141">
        <v>9.6929677140116992E+18</v>
      </c>
    </row>
    <row r="209" spans="3:8">
      <c r="C209" s="24" t="b">
        <v>0</v>
      </c>
      <c r="D209" s="139">
        <v>1959</v>
      </c>
      <c r="E209" s="140" t="s">
        <v>73</v>
      </c>
      <c r="F209" s="139">
        <v>362</v>
      </c>
      <c r="G209" s="141">
        <v>0</v>
      </c>
      <c r="H209" s="141">
        <v>3.5404394690569298E+18</v>
      </c>
    </row>
    <row r="210" spans="3:8">
      <c r="C210" s="24" t="b">
        <v>0</v>
      </c>
      <c r="D210" s="139">
        <v>1959</v>
      </c>
      <c r="E210" s="140" t="s">
        <v>74</v>
      </c>
      <c r="F210" s="139">
        <v>405</v>
      </c>
      <c r="G210" s="141">
        <v>0</v>
      </c>
      <c r="H210" s="141">
        <v>1.3776575630717999E+19</v>
      </c>
    </row>
    <row r="211" spans="3:8">
      <c r="C211" s="24" t="b">
        <v>0</v>
      </c>
      <c r="D211" s="139">
        <v>1960</v>
      </c>
      <c r="E211" s="140" t="s">
        <v>63</v>
      </c>
      <c r="F211" s="139">
        <v>417</v>
      </c>
      <c r="G211" s="141">
        <v>0</v>
      </c>
      <c r="H211" s="141">
        <v>1.12465900869359E+19</v>
      </c>
    </row>
    <row r="212" spans="3:8">
      <c r="C212" s="24" t="b">
        <v>0</v>
      </c>
      <c r="D212" s="139">
        <v>1960</v>
      </c>
      <c r="E212" s="140" t="s">
        <v>64</v>
      </c>
      <c r="F212" s="139">
        <v>391</v>
      </c>
      <c r="G212" s="141">
        <v>0</v>
      </c>
      <c r="H212" s="141">
        <v>8.55625629926993E+18</v>
      </c>
    </row>
    <row r="213" spans="3:8">
      <c r="C213" s="24" t="b">
        <v>0</v>
      </c>
      <c r="D213" s="139">
        <v>1960</v>
      </c>
      <c r="E213" s="140" t="s">
        <v>65</v>
      </c>
      <c r="F213" s="139">
        <v>419</v>
      </c>
      <c r="G213" s="141">
        <v>0</v>
      </c>
      <c r="H213" s="141">
        <v>1.69604704193436E+19</v>
      </c>
    </row>
    <row r="214" spans="3:8">
      <c r="C214" s="24" t="b">
        <v>0</v>
      </c>
      <c r="D214" s="139">
        <v>1960</v>
      </c>
      <c r="E214" s="140" t="s">
        <v>66</v>
      </c>
      <c r="F214" s="139">
        <v>461</v>
      </c>
      <c r="G214" s="141">
        <v>0</v>
      </c>
      <c r="H214" s="141">
        <v>1.79938924952478E+19</v>
      </c>
    </row>
    <row r="215" spans="3:8">
      <c r="C215" s="24" t="b">
        <v>0</v>
      </c>
      <c r="D215" s="139">
        <v>1960</v>
      </c>
      <c r="E215" s="140" t="s">
        <v>67</v>
      </c>
      <c r="F215" s="139">
        <v>472</v>
      </c>
      <c r="G215" s="141">
        <v>0</v>
      </c>
      <c r="H215" s="141">
        <v>1.3828657408882E+19</v>
      </c>
    </row>
    <row r="216" spans="3:8">
      <c r="C216" s="24" t="b">
        <v>0</v>
      </c>
      <c r="D216" s="139">
        <v>1960</v>
      </c>
      <c r="E216" s="140" t="s">
        <v>68</v>
      </c>
      <c r="F216" s="139">
        <v>535</v>
      </c>
      <c r="G216" s="141">
        <v>0</v>
      </c>
      <c r="H216" s="141">
        <v>1.7083402374268299E+19</v>
      </c>
    </row>
    <row r="217" spans="3:8">
      <c r="C217" s="24" t="b">
        <v>0</v>
      </c>
      <c r="D217" s="139">
        <v>1960</v>
      </c>
      <c r="E217" s="140" t="s">
        <v>69</v>
      </c>
      <c r="F217" s="139">
        <v>622</v>
      </c>
      <c r="G217" s="141">
        <v>0</v>
      </c>
      <c r="H217" s="141">
        <v>1.3886093648911499E+19</v>
      </c>
    </row>
    <row r="218" spans="3:8">
      <c r="C218" s="24" t="b">
        <v>0</v>
      </c>
      <c r="D218" s="139">
        <v>1960</v>
      </c>
      <c r="E218" s="140" t="s">
        <v>70</v>
      </c>
      <c r="F218" s="139">
        <v>606</v>
      </c>
      <c r="G218" s="141">
        <v>0</v>
      </c>
      <c r="H218" s="141">
        <v>3.9848003611063101E+18</v>
      </c>
    </row>
    <row r="219" spans="3:8">
      <c r="C219" s="24" t="b">
        <v>0</v>
      </c>
      <c r="D219" s="139">
        <v>1960</v>
      </c>
      <c r="E219" s="140" t="s">
        <v>71</v>
      </c>
      <c r="F219" s="139">
        <v>508</v>
      </c>
      <c r="G219" s="141">
        <v>0</v>
      </c>
      <c r="H219" s="141">
        <v>1.1562158297754499E+19</v>
      </c>
    </row>
    <row r="220" spans="3:8">
      <c r="C220" s="24" t="b">
        <v>0</v>
      </c>
      <c r="D220" s="139">
        <v>1960</v>
      </c>
      <c r="E220" s="140" t="s">
        <v>72</v>
      </c>
      <c r="F220" s="139">
        <v>461</v>
      </c>
      <c r="G220" s="141">
        <v>0</v>
      </c>
      <c r="H220" s="141">
        <v>7.9502484054473697E+18</v>
      </c>
    </row>
    <row r="221" spans="3:8">
      <c r="C221" s="24" t="b">
        <v>0</v>
      </c>
      <c r="D221" s="139">
        <v>1960</v>
      </c>
      <c r="E221" s="140" t="s">
        <v>73</v>
      </c>
      <c r="F221" s="139">
        <v>390</v>
      </c>
      <c r="G221" s="141">
        <v>0</v>
      </c>
      <c r="H221" s="141">
        <v>1.2669504106231099E+19</v>
      </c>
    </row>
    <row r="222" spans="3:8">
      <c r="C222" s="24" t="b">
        <v>0</v>
      </c>
      <c r="D222" s="139">
        <v>1960</v>
      </c>
      <c r="E222" s="140" t="s">
        <v>74</v>
      </c>
      <c r="F222" s="139">
        <v>432</v>
      </c>
      <c r="G222" s="141">
        <v>0</v>
      </c>
      <c r="H222" s="141">
        <v>6.1158908136812001E+18</v>
      </c>
    </row>
  </sheetData>
  <mergeCells count="1">
    <mergeCell ref="D15:E15"/>
  </mergeCells>
  <phoneticPr fontId="15" type="noConversion"/>
  <conditionalFormatting sqref="D22:F29 D35:F39 D45:F53">
    <cfRule type="cellIs" dxfId="84" priority="54" operator="equal">
      <formula>0</formula>
    </cfRule>
  </conditionalFormatting>
  <conditionalFormatting sqref="C79:C222">
    <cfRule type="cellIs" dxfId="83" priority="50" operator="equal">
      <formula>FALSE</formula>
    </cfRule>
    <cfRule type="cellIs" dxfId="82" priority="51" operator="notEqual">
      <formula>FALSE</formula>
    </cfRule>
  </conditionalFormatting>
  <conditionalFormatting sqref="D9:F9">
    <cfRule type="cellIs" dxfId="81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80" priority="25"/>
  </conditionalFormatting>
  <conditionalFormatting sqref="D7:F7">
    <cfRule type="cellIs" dxfId="79" priority="18" operator="notEqual">
      <formula>"Definition"</formula>
    </cfRule>
  </conditionalFormatting>
  <conditionalFormatting sqref="D15">
    <cfRule type="cellIs" dxfId="78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77" priority="48" operator="equal">
      <formula>FALSE</formula>
    </cfRule>
    <cfRule type="cellIs" dxfId="76" priority="49" operator="notEqual">
      <formula>FALSE</formula>
    </cfRule>
  </conditionalFormatting>
  <conditionalFormatting sqref="G78:H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21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1.109375" bestFit="1" customWidth="1"/>
    <col min="5" max="5" width="13.21875" bestFit="1" customWidth="1"/>
    <col min="6" max="7" width="15.77734375" customWidth="1"/>
    <col min="8" max="9" width="9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2" t="str">
        <f>Name</f>
        <v>flights</v>
      </c>
      <c r="E2" s="103"/>
      <c r="G2" s="103"/>
      <c r="H2" s="103"/>
      <c r="I2" s="103"/>
      <c r="J2" s="103"/>
      <c r="K2" s="103"/>
      <c r="L2" s="103"/>
      <c r="M2" s="103"/>
      <c r="N2" s="103"/>
      <c r="O2" s="103"/>
      <c r="P2" s="104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99"/>
    </row>
    <row r="8" spans="2:17" ht="36.6" customHeight="1">
      <c r="C8" s="144" t="s">
        <v>56</v>
      </c>
      <c r="D8" s="143" t="s">
        <v>57</v>
      </c>
      <c r="E8" s="143" t="s">
        <v>58</v>
      </c>
      <c r="F8" s="100" t="s">
        <v>52</v>
      </c>
      <c r="G8" s="100" t="s">
        <v>53</v>
      </c>
    </row>
    <row r="9" spans="2:17" ht="15" customHeight="1">
      <c r="C9" s="142">
        <v>1949</v>
      </c>
      <c r="D9" s="93"/>
      <c r="E9" s="93"/>
      <c r="F9" s="101">
        <v>0</v>
      </c>
      <c r="G9" s="145"/>
    </row>
    <row r="10" spans="2:17" ht="15" customHeight="1">
      <c r="C10" s="142">
        <v>1950</v>
      </c>
      <c r="D10" s="93"/>
      <c r="E10" s="93"/>
      <c r="F10" s="101">
        <v>0</v>
      </c>
      <c r="G10" s="145"/>
    </row>
    <row r="11" spans="2:17" ht="15" customHeight="1">
      <c r="C11" s="142">
        <v>1951</v>
      </c>
      <c r="D11" s="93"/>
      <c r="E11" s="93"/>
      <c r="F11" s="101">
        <v>0</v>
      </c>
      <c r="G11" s="145"/>
    </row>
    <row r="12" spans="2:17" ht="15" customHeight="1">
      <c r="C12" s="142">
        <v>1952</v>
      </c>
      <c r="D12" s="93"/>
      <c r="E12" s="93"/>
      <c r="F12" s="101">
        <v>0</v>
      </c>
      <c r="G12" s="145"/>
    </row>
    <row r="13" spans="2:17" ht="15" customHeight="1">
      <c r="C13" s="142">
        <v>1953</v>
      </c>
      <c r="D13" s="93"/>
      <c r="E13" s="93"/>
      <c r="F13" s="101">
        <v>0</v>
      </c>
      <c r="G13" s="145"/>
    </row>
    <row r="14" spans="2:17">
      <c r="C14" s="142">
        <v>1954</v>
      </c>
      <c r="D14" s="93"/>
      <c r="E14" s="93"/>
      <c r="F14" s="101">
        <v>0</v>
      </c>
      <c r="G14" s="145"/>
    </row>
    <row r="15" spans="2:17">
      <c r="C15" s="142">
        <v>1955</v>
      </c>
      <c r="D15" s="93"/>
      <c r="E15" s="93"/>
      <c r="F15" s="101">
        <v>0</v>
      </c>
      <c r="G15" s="145"/>
    </row>
    <row r="16" spans="2:17">
      <c r="C16" s="142">
        <v>1956</v>
      </c>
      <c r="D16" s="93"/>
      <c r="E16" s="93"/>
      <c r="F16" s="101">
        <v>0</v>
      </c>
      <c r="G16" s="145"/>
    </row>
    <row r="17" spans="3:7">
      <c r="C17" s="142">
        <v>1957</v>
      </c>
      <c r="D17" s="93"/>
      <c r="E17" s="93"/>
      <c r="F17" s="101">
        <v>0</v>
      </c>
      <c r="G17" s="145"/>
    </row>
    <row r="18" spans="3:7">
      <c r="C18" s="142">
        <v>1958</v>
      </c>
      <c r="D18" s="93"/>
      <c r="E18" s="93"/>
      <c r="F18" s="101">
        <v>0</v>
      </c>
      <c r="G18" s="145"/>
    </row>
    <row r="19" spans="3:7">
      <c r="C19" s="142">
        <v>1959</v>
      </c>
      <c r="D19" s="93"/>
      <c r="E19" s="93"/>
      <c r="F19" s="101">
        <v>0</v>
      </c>
      <c r="G19" s="145"/>
    </row>
    <row r="20" spans="3:7">
      <c r="C20" s="142">
        <v>1960</v>
      </c>
      <c r="D20" s="93"/>
      <c r="E20" s="93"/>
      <c r="F20" s="101">
        <v>0</v>
      </c>
      <c r="G20" s="145"/>
    </row>
    <row r="21" spans="3:7">
      <c r="C21" s="142" t="s">
        <v>75</v>
      </c>
      <c r="D21" s="93"/>
      <c r="E21" s="93"/>
      <c r="F21" s="101">
        <v>0</v>
      </c>
      <c r="G21" s="145"/>
    </row>
  </sheetData>
  <conditionalFormatting pivot="1" sqref="F9:F21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G9:G21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21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1.109375" bestFit="1" customWidth="1"/>
    <col min="5" max="5" width="14.6640625" bestFit="1" customWidth="1"/>
    <col min="6" max="7" width="12.441406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2" t="str">
        <f>Name</f>
        <v>flights</v>
      </c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4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99"/>
    </row>
    <row r="8" spans="2:17" ht="36.6" customHeight="1">
      <c r="C8" s="144" t="s">
        <v>56</v>
      </c>
      <c r="D8" s="143" t="s">
        <v>57</v>
      </c>
      <c r="E8" s="143" t="s">
        <v>58</v>
      </c>
    </row>
    <row r="9" spans="2:17" ht="15" customHeight="1">
      <c r="C9" s="142">
        <v>1949</v>
      </c>
      <c r="D9" s="93"/>
      <c r="E9" s="93"/>
    </row>
    <row r="10" spans="2:17" ht="15" customHeight="1">
      <c r="C10" s="142">
        <v>1950</v>
      </c>
      <c r="D10" s="93"/>
      <c r="E10" s="93"/>
    </row>
    <row r="11" spans="2:17" ht="15" customHeight="1">
      <c r="C11" s="142">
        <v>1951</v>
      </c>
      <c r="D11" s="93"/>
      <c r="E11" s="93"/>
    </row>
    <row r="12" spans="2:17" ht="15" customHeight="1">
      <c r="C12" s="142">
        <v>1952</v>
      </c>
      <c r="D12" s="93"/>
      <c r="E12" s="93"/>
    </row>
    <row r="13" spans="2:17" ht="15" customHeight="1">
      <c r="C13" s="142">
        <v>1953</v>
      </c>
      <c r="D13" s="93"/>
      <c r="E13" s="93"/>
    </row>
    <row r="14" spans="2:17">
      <c r="C14" s="142">
        <v>1954</v>
      </c>
      <c r="D14" s="93"/>
      <c r="E14" s="93"/>
    </row>
    <row r="15" spans="2:17">
      <c r="C15" s="142">
        <v>1955</v>
      </c>
      <c r="D15" s="93"/>
      <c r="E15" s="93"/>
    </row>
    <row r="16" spans="2:17">
      <c r="C16" s="142">
        <v>1956</v>
      </c>
      <c r="D16" s="93"/>
      <c r="E16" s="93"/>
    </row>
    <row r="17" spans="3:5">
      <c r="C17" s="142">
        <v>1957</v>
      </c>
      <c r="D17" s="93"/>
      <c r="E17" s="93"/>
    </row>
    <row r="18" spans="3:5">
      <c r="C18" s="142">
        <v>1958</v>
      </c>
      <c r="D18" s="93"/>
      <c r="E18" s="93"/>
    </row>
    <row r="19" spans="3:5">
      <c r="C19" s="142">
        <v>1959</v>
      </c>
      <c r="D19" s="93"/>
      <c r="E19" s="93"/>
    </row>
    <row r="20" spans="3:5">
      <c r="C20" s="142">
        <v>1960</v>
      </c>
      <c r="D20" s="93"/>
      <c r="E20" s="93"/>
    </row>
    <row r="21" spans="3:5">
      <c r="C21" s="142" t="s">
        <v>75</v>
      </c>
      <c r="D21" s="93"/>
      <c r="E21" s="93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7"/>
    </row>
    <row r="3" spans="1:16" ht="4.95" customHeight="1">
      <c r="B3" s="1"/>
      <c r="C3" s="4"/>
      <c r="P3" s="86"/>
    </row>
    <row r="4" spans="1:16" ht="19.95" customHeight="1">
      <c r="B4" s="1"/>
      <c r="C4" s="4"/>
      <c r="P4" s="88"/>
    </row>
    <row r="5" spans="1:16" ht="4.95" customHeight="1">
      <c r="B5" s="1"/>
      <c r="C5" s="4"/>
    </row>
    <row r="6" spans="1:16" ht="34.950000000000003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91"/>
      <c r="P2" s="87"/>
    </row>
    <row r="3" spans="2:16" ht="4.95" customHeight="1">
      <c r="B3" s="34"/>
      <c r="C3" s="89"/>
      <c r="D3" s="90"/>
      <c r="P3" s="86"/>
    </row>
    <row r="4" spans="2:16" ht="19.95" customHeight="1">
      <c r="B4" s="34"/>
      <c r="C4" s="89"/>
      <c r="D4" s="90"/>
      <c r="P4" s="88"/>
    </row>
    <row r="5" spans="2:16" ht="4.95" customHeight="1">
      <c r="B5" s="1"/>
      <c r="C5" s="4"/>
    </row>
    <row r="6" spans="2:16" s="5" customFormat="1" ht="30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2026-05-26T00:05:57Z</dcterms:modified>
</cp:coreProperties>
</file>