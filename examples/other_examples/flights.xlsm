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287FB67-85B1-4570-AA52-B1275816752F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Analysis'!$E$15:$G$15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Analysis'!$E$58:$G$58</definedName>
    <definedName name="FieldList1" localSheetId="5">#REF!</definedName>
    <definedName name="FieldList1" localSheetId="4">#REF!</definedName>
    <definedName name="FieldList2" localSheetId="0">'Field Analysis'!$E$59:$G$59</definedName>
    <definedName name="FieldList2" localSheetId="5">#REF!</definedName>
    <definedName name="FieldList2" localSheetId="4">#REF!</definedName>
    <definedName name="FieldList3" localSheetId="0">'Field Analysis'!$E$60:$G$60</definedName>
    <definedName name="FieldList3" localSheetId="5">#REF!</definedName>
    <definedName name="FieldList3" localSheetId="4">#REF!</definedName>
    <definedName name="FieldList4" localSheetId="0">'Field Analysis'!$E$61:$G$61</definedName>
    <definedName name="FieldList4" localSheetId="5">#REF!</definedName>
    <definedName name="FieldList4" localSheetId="4">#REF!</definedName>
    <definedName name="FieldList5" localSheetId="0">'Field Analysis'!$E$62:$G$62</definedName>
    <definedName name="FieldList5" localSheetId="5">#REF!</definedName>
    <definedName name="FieldList5" localSheetId="4">#REF!</definedName>
    <definedName name="FieldList6" localSheetId="0">'Field Analysis'!$E$63:$G$63</definedName>
    <definedName name="FieldList6" localSheetId="5">#REF!</definedName>
    <definedName name="FieldList6" localSheetId="4">#REF!</definedName>
    <definedName name="FieldList7" localSheetId="0">'Field Analysis'!$E$64:$G$64</definedName>
    <definedName name="FieldList7" localSheetId="5">#REF!</definedName>
    <definedName name="FieldList7" localSheetId="4">#REF!</definedName>
    <definedName name="FieldList8" localSheetId="0">'Field Analysis'!$E$65:$G$65</definedName>
    <definedName name="FieldList8" localSheetId="5">#REF!</definedName>
    <definedName name="FieldList8" localSheetId="4">#REF!</definedName>
    <definedName name="FieldLists" localSheetId="0">'Field Analysis'!$D$58:$G$65</definedName>
    <definedName name="FieldRange" localSheetId="0">'Field Analysis'!$E$79:$G$79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Analysis'!$E$19:$G$19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Analysis'!$E$17:$G$17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<sst xmlns="http://schemas.openxmlformats.org/spreadsheetml/2006/main" count="337" uniqueCount="143">
  <si>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</si>
  <si>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</si>
  <si>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</si>
  <si>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</si>
  <si>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</si>
  <si>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</si>
  <si>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</si>
  <si>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</si>
  <si>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</si>
  <si>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</si>
  <si>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</si>
  <si>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</si>
  <si>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</si>
  <si>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</si>
  <si>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</si>
  <si>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</si>
  <si>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</si>
  <si>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</si>
  <si>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</si>
  <si>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</si>
  <si>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</si>
  <si>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</si>
  <si>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</si>
  <si>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</si>
  <si>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</si>
  <si>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</si>
  <si>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</si>
  <si>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</si>
  <si>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</si>
  <si>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</si>
  <si>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</si>
  <si>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</si>
  <si>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</si>
  <si>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</si>
  <si>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</si>
  <si>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</si>
  <si>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</si>
  <si>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</si>
  <si>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</si>
  <si>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</si>
  <si>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</si>
  <si>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</si>
  <si>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</si>
  <si>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</si>
  <si>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</si>
  <si>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</si>
  <si>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</si>
  <si>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</si>
  <si>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</si>
  <si>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</si>
  <si>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</si>
  <si>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</si>
  <si>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</si>
  <si>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</si>
  <si>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</si>
  <si>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</si>
  <si>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</si>
  <si>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</si>
  <si>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</si>
  <si>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</si>
  <si>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</si>
  <si>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</si>
  <si>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</si>
  <si>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</si>
  <si>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</si>
  <si>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</si>
  <si>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</si>
  <si>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</si>
  <si>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</si>
  <si>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</si>
  <si>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</si>
  <si>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</si>
  <si>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</si>
  <si>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</si>
  <si>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</si>
  <si>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</si>
  <si>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</si>
  <si>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</si>
  <si>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</si>
  <si>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Flights</t>
  </si>
  <si>
    <t>year</t>
  </si>
  <si>
    <t>month</t>
  </si>
  <si>
    <t>passengers</t>
  </si>
  <si>
    <t>index</t>
  </si>
  <si>
    <t>Record Hash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</si>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</sst>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98F3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2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98F3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1"/>
      <tableStyleElement type="headerRow" dxfId="110"/>
      <tableStyleElement type="totalRow" dxfId="109"/>
    </tableStyle>
    <tableStyle name="DarkTable" pivot="0" count="2" xr9:uid="{97C242D2-6F6D-4549-9428-17456D609B35}">
      <tableStyleElement type="wholeTable" dxfId="108"/>
      <tableStyleElement type="headerRow" dxfId="107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82B23974-BA82-6F7F-58F7-620A2E56A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30403240-32C5-5A27-5CA5-DC57FFBE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month">
          <a:extLst>
            <a:ext uri="{FF2B5EF4-FFF2-40B4-BE49-F238E27FC236}">
              <a16:creationId xmlns:a16="http://schemas.microsoft.com/office/drawing/2014/main" id="{54B0B042-8417-C61D-4642-95E0077FA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passengers">
          <a:extLst>
            <a:ext uri="{FF2B5EF4-FFF2-40B4-BE49-F238E27FC236}">
              <a16:creationId xmlns:a16="http://schemas.microsoft.com/office/drawing/2014/main" id="{15538BBF-53FA-D21B-FA31-2702AB1D6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passengers">
          <a:extLst>
            <a:ext uri="{FF2B5EF4-FFF2-40B4-BE49-F238E27FC236}">
              <a16:creationId xmlns:a16="http://schemas.microsoft.com/office/drawing/2014/main" id="{68711763-86CD-30A5-35FB-8A574D6AE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297673611" createdVersion="8" refreshedVersion="8" minRefreshableVersion="3" recordCount="1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year" numFmtId="0">
      <sharedItems containsSemiMixedTypes="0" containsString="0" containsNumber="1" containsInteger="1" minValue="1949" maxValue="1960" count="12">
        <n v="1949"/>
        <n v="1950"/>
        <n v="1951"/>
        <n v="1952"/>
        <n v="1953"/>
        <n v="1954"/>
        <n v="1955"/>
        <n v="1956"/>
        <n v="1957"/>
        <n v="1958"/>
        <n v="1959"/>
        <n v="1960"/>
      </sharedItems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passengers" numFmtId="0">
      <sharedItems containsSemiMixedTypes="0" containsString="0" containsNumber="1" containsInteger="1" minValue="104" maxValue="622" count="118">
        <n v="112"/>
        <n v="118"/>
        <n v="132"/>
        <n v="129"/>
        <n v="121"/>
        <n v="135"/>
        <n v="148"/>
        <n v="136"/>
        <n v="119"/>
        <n v="104"/>
        <n v="115"/>
        <n v="126"/>
        <n v="141"/>
        <n v="125"/>
        <n v="149"/>
        <n v="170"/>
        <n v="158"/>
        <n v="133"/>
        <n v="114"/>
        <n v="140"/>
        <n v="145"/>
        <n v="150"/>
        <n v="178"/>
        <n v="163"/>
        <n v="172"/>
        <n v="199"/>
        <n v="184"/>
        <n v="162"/>
        <n v="146"/>
        <n v="166"/>
        <n v="171"/>
        <n v="180"/>
        <n v="193"/>
        <n v="181"/>
        <n v="183"/>
        <n v="218"/>
        <n v="230"/>
        <n v="242"/>
        <n v="209"/>
        <n v="191"/>
        <n v="194"/>
        <n v="196"/>
        <n v="236"/>
        <n v="235"/>
        <n v="229"/>
        <n v="243"/>
        <n v="264"/>
        <n v="272"/>
        <n v="237"/>
        <n v="211"/>
        <n v="201"/>
        <n v="204"/>
        <n v="188"/>
        <n v="227"/>
        <n v="234"/>
        <n v="302"/>
        <n v="293"/>
        <n v="259"/>
        <n v="203"/>
        <n v="233"/>
        <n v="267"/>
        <n v="269"/>
        <n v="270"/>
        <n v="315"/>
        <n v="364"/>
        <n v="347"/>
        <n v="312"/>
        <n v="274"/>
        <n v="278"/>
        <n v="284"/>
        <n v="277"/>
        <n v="317"/>
        <n v="313"/>
        <n v="318"/>
        <n v="374"/>
        <n v="413"/>
        <n v="405"/>
        <n v="355"/>
        <n v="306"/>
        <n v="271"/>
        <n v="301"/>
        <n v="356"/>
        <n v="348"/>
        <n v="422"/>
        <n v="465"/>
        <n v="467"/>
        <n v="404"/>
        <n v="305"/>
        <n v="336"/>
        <n v="340"/>
        <n v="362"/>
        <n v="363"/>
        <n v="435"/>
        <n v="491"/>
        <n v="505"/>
        <n v="359"/>
        <n v="310"/>
        <n v="337"/>
        <n v="360"/>
        <n v="342"/>
        <n v="406"/>
        <n v="396"/>
        <n v="420"/>
        <n v="472"/>
        <n v="548"/>
        <n v="559"/>
        <n v="463"/>
        <n v="407"/>
        <n v="417"/>
        <n v="391"/>
        <n v="419"/>
        <n v="461"/>
        <n v="535"/>
        <n v="622"/>
        <n v="606"/>
        <n v="508"/>
        <n v="390"/>
        <n v="432"/>
      </sharedItems>
    </cacheField>
    <cacheField name="index" numFmtId="0">
      <sharedItems containsSemiMixedTypes="0" containsString="0" containsNumber="1" containsInteger="1" minValue="0" maxValue="1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210519181460902E+17" maxValue="1.84200528748704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b v="0"/>
    <x v="0"/>
    <x v="0"/>
    <x v="0"/>
    <n v="0"/>
    <n v="0"/>
    <n v="4.8210264564575795E+18"/>
  </r>
  <r>
    <b v="0"/>
    <x v="0"/>
    <x v="1"/>
    <x v="1"/>
    <n v="1"/>
    <n v="0"/>
    <n v="2.7563807469938458E+18"/>
  </r>
  <r>
    <b v="0"/>
    <x v="0"/>
    <x v="2"/>
    <x v="2"/>
    <n v="2"/>
    <n v="0"/>
    <n v="1.8266136810747267E+19"/>
  </r>
  <r>
    <b v="0"/>
    <x v="0"/>
    <x v="3"/>
    <x v="3"/>
    <n v="3"/>
    <n v="0"/>
    <n v="2.1226255611438664E+18"/>
  </r>
  <r>
    <b v="0"/>
    <x v="0"/>
    <x v="4"/>
    <x v="4"/>
    <n v="4"/>
    <n v="0"/>
    <n v="1.7677554668458713E+19"/>
  </r>
  <r>
    <b v="0"/>
    <x v="0"/>
    <x v="5"/>
    <x v="5"/>
    <n v="5"/>
    <n v="0"/>
    <n v="8.1408271597021778E+18"/>
  </r>
  <r>
    <b v="0"/>
    <x v="0"/>
    <x v="6"/>
    <x v="6"/>
    <n v="6"/>
    <n v="0"/>
    <n v="1.3412064421289701E+19"/>
  </r>
  <r>
    <b v="0"/>
    <x v="0"/>
    <x v="7"/>
    <x v="6"/>
    <n v="7"/>
    <n v="0"/>
    <n v="1.4777041125089913E+19"/>
  </r>
  <r>
    <b v="0"/>
    <x v="0"/>
    <x v="8"/>
    <x v="7"/>
    <n v="8"/>
    <n v="0"/>
    <n v="6.1756711115529452E+18"/>
  </r>
  <r>
    <b v="0"/>
    <x v="0"/>
    <x v="9"/>
    <x v="8"/>
    <n v="9"/>
    <n v="0"/>
    <n v="8.5670222310252687E+18"/>
  </r>
  <r>
    <b v="0"/>
    <x v="0"/>
    <x v="10"/>
    <x v="9"/>
    <n v="10"/>
    <n v="0"/>
    <n v="2.9210519181460902E+17"/>
  </r>
  <r>
    <b v="0"/>
    <x v="0"/>
    <x v="11"/>
    <x v="1"/>
    <n v="11"/>
    <n v="0"/>
    <n v="9.3934735283988029E+18"/>
  </r>
  <r>
    <b v="0"/>
    <x v="1"/>
    <x v="0"/>
    <x v="10"/>
    <n v="12"/>
    <n v="0"/>
    <n v="4.363894869622484E+18"/>
  </r>
  <r>
    <b v="0"/>
    <x v="1"/>
    <x v="1"/>
    <x v="11"/>
    <n v="13"/>
    <n v="0"/>
    <n v="1.3074566502932836E+19"/>
  </r>
  <r>
    <b v="0"/>
    <x v="1"/>
    <x v="2"/>
    <x v="12"/>
    <n v="14"/>
    <n v="0"/>
    <n v="2.2969651763646641E+18"/>
  </r>
  <r>
    <b v="0"/>
    <x v="1"/>
    <x v="3"/>
    <x v="5"/>
    <n v="15"/>
    <n v="0"/>
    <n v="7.1192537249832079E+18"/>
  </r>
  <r>
    <b v="0"/>
    <x v="1"/>
    <x v="4"/>
    <x v="13"/>
    <n v="16"/>
    <n v="0"/>
    <n v="1.3342902635054897E+19"/>
  </r>
  <r>
    <b v="0"/>
    <x v="1"/>
    <x v="5"/>
    <x v="14"/>
    <n v="17"/>
    <n v="0"/>
    <n v="5.8518194938455665E+18"/>
  </r>
  <r>
    <b v="0"/>
    <x v="1"/>
    <x v="6"/>
    <x v="15"/>
    <n v="18"/>
    <n v="0"/>
    <n v="6.1521087752581345E+18"/>
  </r>
  <r>
    <b v="0"/>
    <x v="1"/>
    <x v="7"/>
    <x v="15"/>
    <n v="19"/>
    <n v="0"/>
    <n v="7.0590670112476344E+18"/>
  </r>
  <r>
    <b v="0"/>
    <x v="1"/>
    <x v="8"/>
    <x v="16"/>
    <n v="20"/>
    <n v="0"/>
    <n v="2.0731513428732536E+18"/>
  </r>
  <r>
    <b v="0"/>
    <x v="1"/>
    <x v="9"/>
    <x v="17"/>
    <n v="21"/>
    <n v="0"/>
    <n v="1.6964090771569699E+19"/>
  </r>
  <r>
    <b v="0"/>
    <x v="1"/>
    <x v="10"/>
    <x v="18"/>
    <n v="22"/>
    <n v="0"/>
    <n v="6.639001489384107E+18"/>
  </r>
  <r>
    <b v="0"/>
    <x v="1"/>
    <x v="11"/>
    <x v="19"/>
    <n v="23"/>
    <n v="0"/>
    <n v="5.8445993446599107E+18"/>
  </r>
  <r>
    <b v="0"/>
    <x v="2"/>
    <x v="0"/>
    <x v="20"/>
    <n v="24"/>
    <n v="0"/>
    <n v="1.7004119044158449E+18"/>
  </r>
  <r>
    <b v="0"/>
    <x v="2"/>
    <x v="1"/>
    <x v="21"/>
    <n v="25"/>
    <n v="0"/>
    <n v="4.6255913980153702E+18"/>
  </r>
  <r>
    <b v="0"/>
    <x v="2"/>
    <x v="2"/>
    <x v="22"/>
    <n v="26"/>
    <n v="0"/>
    <n v="5.5889818951411999E+18"/>
  </r>
  <r>
    <b v="0"/>
    <x v="2"/>
    <x v="3"/>
    <x v="23"/>
    <n v="27"/>
    <n v="0"/>
    <n v="7.5041717805299087E+18"/>
  </r>
  <r>
    <b v="0"/>
    <x v="2"/>
    <x v="4"/>
    <x v="24"/>
    <n v="28"/>
    <n v="0"/>
    <n v="6.8716558031070536E+18"/>
  </r>
  <r>
    <b v="0"/>
    <x v="2"/>
    <x v="5"/>
    <x v="22"/>
    <n v="29"/>
    <n v="0"/>
    <n v="2.6634263864644029E+18"/>
  </r>
  <r>
    <b v="0"/>
    <x v="2"/>
    <x v="6"/>
    <x v="25"/>
    <n v="30"/>
    <n v="0"/>
    <n v="3.4258370557728461E+18"/>
  </r>
  <r>
    <b v="0"/>
    <x v="2"/>
    <x v="7"/>
    <x v="25"/>
    <n v="31"/>
    <n v="0"/>
    <n v="1.1654336151782894E+19"/>
  </r>
  <r>
    <b v="0"/>
    <x v="2"/>
    <x v="8"/>
    <x v="26"/>
    <n v="32"/>
    <n v="0"/>
    <n v="1.3693261236933289E+18"/>
  </r>
  <r>
    <b v="0"/>
    <x v="2"/>
    <x v="9"/>
    <x v="27"/>
    <n v="33"/>
    <n v="0"/>
    <n v="1.732220304866585E+19"/>
  </r>
  <r>
    <b v="0"/>
    <x v="2"/>
    <x v="10"/>
    <x v="28"/>
    <n v="34"/>
    <n v="0"/>
    <n v="9.585132410446377E+18"/>
  </r>
  <r>
    <b v="0"/>
    <x v="2"/>
    <x v="11"/>
    <x v="29"/>
    <n v="35"/>
    <n v="0"/>
    <n v="8.2880690482903265E+18"/>
  </r>
  <r>
    <b v="0"/>
    <x v="3"/>
    <x v="0"/>
    <x v="30"/>
    <n v="36"/>
    <n v="0"/>
    <n v="1.5186550056238799E+19"/>
  </r>
  <r>
    <b v="0"/>
    <x v="3"/>
    <x v="1"/>
    <x v="31"/>
    <n v="37"/>
    <n v="0"/>
    <n v="1.7238687213781354E+19"/>
  </r>
  <r>
    <b v="0"/>
    <x v="3"/>
    <x v="2"/>
    <x v="32"/>
    <n v="38"/>
    <n v="0"/>
    <n v="1.298614805610204E+19"/>
  </r>
  <r>
    <b v="0"/>
    <x v="3"/>
    <x v="3"/>
    <x v="33"/>
    <n v="39"/>
    <n v="0"/>
    <n v="1.4306400697623632E+19"/>
  </r>
  <r>
    <b v="0"/>
    <x v="3"/>
    <x v="4"/>
    <x v="34"/>
    <n v="40"/>
    <n v="0"/>
    <n v="7.0654309074513316E+18"/>
  </r>
  <r>
    <b v="0"/>
    <x v="3"/>
    <x v="5"/>
    <x v="35"/>
    <n v="41"/>
    <n v="0"/>
    <n v="1.3821568053033437E+19"/>
  </r>
  <r>
    <b v="0"/>
    <x v="3"/>
    <x v="6"/>
    <x v="36"/>
    <n v="42"/>
    <n v="0"/>
    <n v="1.6178364516103416E+19"/>
  </r>
  <r>
    <b v="0"/>
    <x v="3"/>
    <x v="7"/>
    <x v="37"/>
    <n v="43"/>
    <n v="0"/>
    <n v="1.049754227077207E+19"/>
  </r>
  <r>
    <b v="0"/>
    <x v="3"/>
    <x v="8"/>
    <x v="38"/>
    <n v="44"/>
    <n v="0"/>
    <n v="1.3073018301262217E+19"/>
  </r>
  <r>
    <b v="0"/>
    <x v="3"/>
    <x v="9"/>
    <x v="39"/>
    <n v="45"/>
    <n v="0"/>
    <n v="1.080713913624073E+19"/>
  </r>
  <r>
    <b v="0"/>
    <x v="3"/>
    <x v="10"/>
    <x v="24"/>
    <n v="46"/>
    <n v="0"/>
    <n v="7.9277533236807485E+18"/>
  </r>
  <r>
    <b v="0"/>
    <x v="3"/>
    <x v="11"/>
    <x v="40"/>
    <n v="47"/>
    <n v="0"/>
    <n v="1.7402826909637767E+19"/>
  </r>
  <r>
    <b v="0"/>
    <x v="4"/>
    <x v="0"/>
    <x v="41"/>
    <n v="48"/>
    <n v="0"/>
    <n v="2.2775794352510328E+18"/>
  </r>
  <r>
    <b v="0"/>
    <x v="4"/>
    <x v="1"/>
    <x v="41"/>
    <n v="49"/>
    <n v="0"/>
    <n v="1.1845484659263113E+19"/>
  </r>
  <r>
    <b v="0"/>
    <x v="4"/>
    <x v="2"/>
    <x v="42"/>
    <n v="50"/>
    <n v="0"/>
    <n v="8.723681243960276E+18"/>
  </r>
  <r>
    <b v="0"/>
    <x v="4"/>
    <x v="3"/>
    <x v="43"/>
    <n v="51"/>
    <n v="0"/>
    <n v="2.9334812551275249E+18"/>
  </r>
  <r>
    <b v="0"/>
    <x v="4"/>
    <x v="4"/>
    <x v="44"/>
    <n v="52"/>
    <n v="0"/>
    <n v="3.9819570375579412E+18"/>
  </r>
  <r>
    <b v="0"/>
    <x v="4"/>
    <x v="5"/>
    <x v="45"/>
    <n v="53"/>
    <n v="0"/>
    <n v="1.0458646387732131E+18"/>
  </r>
  <r>
    <b v="0"/>
    <x v="4"/>
    <x v="6"/>
    <x v="46"/>
    <n v="54"/>
    <n v="0"/>
    <n v="9.6098062037963366E+18"/>
  </r>
  <r>
    <b v="0"/>
    <x v="4"/>
    <x v="7"/>
    <x v="47"/>
    <n v="55"/>
    <n v="0"/>
    <n v="3.322241660526551E+18"/>
  </r>
  <r>
    <b v="0"/>
    <x v="4"/>
    <x v="8"/>
    <x v="48"/>
    <n v="56"/>
    <n v="0"/>
    <n v="3.5491815877600625E+18"/>
  </r>
  <r>
    <b v="0"/>
    <x v="4"/>
    <x v="9"/>
    <x v="49"/>
    <n v="57"/>
    <n v="0"/>
    <n v="4.2836035826764585E+18"/>
  </r>
  <r>
    <b v="0"/>
    <x v="4"/>
    <x v="10"/>
    <x v="31"/>
    <n v="58"/>
    <n v="0"/>
    <n v="8.726814637252523E+18"/>
  </r>
  <r>
    <b v="0"/>
    <x v="4"/>
    <x v="11"/>
    <x v="50"/>
    <n v="59"/>
    <n v="0"/>
    <n v="1.6430847952785893E+19"/>
  </r>
  <r>
    <b v="0"/>
    <x v="5"/>
    <x v="0"/>
    <x v="51"/>
    <n v="60"/>
    <n v="0"/>
    <n v="1.1923925103148259E+19"/>
  </r>
  <r>
    <b v="0"/>
    <x v="5"/>
    <x v="1"/>
    <x v="52"/>
    <n v="61"/>
    <n v="0"/>
    <n v="1.3827670094751943E+19"/>
  </r>
  <r>
    <b v="0"/>
    <x v="5"/>
    <x v="2"/>
    <x v="43"/>
    <n v="62"/>
    <n v="0"/>
    <n v="3.9403339551994885E+18"/>
  </r>
  <r>
    <b v="0"/>
    <x v="5"/>
    <x v="3"/>
    <x v="53"/>
    <n v="63"/>
    <n v="0"/>
    <n v="4.085779666755582E+18"/>
  </r>
  <r>
    <b v="0"/>
    <x v="5"/>
    <x v="4"/>
    <x v="54"/>
    <n v="64"/>
    <n v="0"/>
    <n v="1.2129725057540807E+19"/>
  </r>
  <r>
    <b v="0"/>
    <x v="5"/>
    <x v="5"/>
    <x v="46"/>
    <n v="65"/>
    <n v="0"/>
    <n v="8.5940933863721513E+18"/>
  </r>
  <r>
    <b v="0"/>
    <x v="5"/>
    <x v="6"/>
    <x v="55"/>
    <n v="66"/>
    <n v="0"/>
    <n v="3.5709227267395763E+18"/>
  </r>
  <r>
    <b v="0"/>
    <x v="5"/>
    <x v="7"/>
    <x v="56"/>
    <n v="67"/>
    <n v="0"/>
    <n v="8.6086719807844004E+18"/>
  </r>
  <r>
    <b v="0"/>
    <x v="5"/>
    <x v="8"/>
    <x v="57"/>
    <n v="68"/>
    <n v="0"/>
    <n v="1.0390810981836894E+19"/>
  </r>
  <r>
    <b v="0"/>
    <x v="5"/>
    <x v="9"/>
    <x v="44"/>
    <n v="69"/>
    <n v="0"/>
    <n v="1.8312823047403387E+19"/>
  </r>
  <r>
    <b v="0"/>
    <x v="5"/>
    <x v="10"/>
    <x v="58"/>
    <n v="70"/>
    <n v="0"/>
    <n v="1.1263167915727649E+19"/>
  </r>
  <r>
    <b v="0"/>
    <x v="5"/>
    <x v="11"/>
    <x v="44"/>
    <n v="71"/>
    <n v="0"/>
    <n v="1.0802865914444218E+19"/>
  </r>
  <r>
    <b v="0"/>
    <x v="6"/>
    <x v="0"/>
    <x v="37"/>
    <n v="72"/>
    <n v="0"/>
    <n v="5.8467690614494556E+18"/>
  </r>
  <r>
    <b v="0"/>
    <x v="6"/>
    <x v="1"/>
    <x v="59"/>
    <n v="73"/>
    <n v="0"/>
    <n v="1.1653231264553425E+19"/>
  </r>
  <r>
    <b v="0"/>
    <x v="6"/>
    <x v="2"/>
    <x v="60"/>
    <n v="74"/>
    <n v="0"/>
    <n v="1.2733117318971591E+19"/>
  </r>
  <r>
    <b v="0"/>
    <x v="6"/>
    <x v="3"/>
    <x v="61"/>
    <n v="75"/>
    <n v="0"/>
    <n v="1.5414697803041548E+19"/>
  </r>
  <r>
    <b v="0"/>
    <x v="6"/>
    <x v="4"/>
    <x v="62"/>
    <n v="76"/>
    <n v="0"/>
    <n v="1.4093332804917871E+19"/>
  </r>
  <r>
    <b v="0"/>
    <x v="6"/>
    <x v="5"/>
    <x v="63"/>
    <n v="77"/>
    <n v="0"/>
    <n v="1.6525807932842053E+18"/>
  </r>
  <r>
    <b v="0"/>
    <x v="6"/>
    <x v="6"/>
    <x v="64"/>
    <n v="78"/>
    <n v="0"/>
    <n v="4.9333988894163384E+18"/>
  </r>
  <r>
    <b v="0"/>
    <x v="6"/>
    <x v="7"/>
    <x v="65"/>
    <n v="79"/>
    <n v="0"/>
    <n v="7.9088863629533153E+18"/>
  </r>
  <r>
    <b v="0"/>
    <x v="6"/>
    <x v="8"/>
    <x v="66"/>
    <n v="80"/>
    <n v="0"/>
    <n v="4.9218520047074394E+17"/>
  </r>
  <r>
    <b v="0"/>
    <x v="6"/>
    <x v="9"/>
    <x v="67"/>
    <n v="81"/>
    <n v="0"/>
    <n v="1.0534410656292966E+19"/>
  </r>
  <r>
    <b v="0"/>
    <x v="6"/>
    <x v="10"/>
    <x v="48"/>
    <n v="82"/>
    <n v="0"/>
    <n v="1.243843548849227E+19"/>
  </r>
  <r>
    <b v="0"/>
    <x v="6"/>
    <x v="11"/>
    <x v="68"/>
    <n v="83"/>
    <n v="0"/>
    <n v="3.237588160225534E+18"/>
  </r>
  <r>
    <b v="0"/>
    <x v="7"/>
    <x v="0"/>
    <x v="69"/>
    <n v="84"/>
    <n v="0"/>
    <n v="1.4459930366899378E+19"/>
  </r>
  <r>
    <b v="0"/>
    <x v="7"/>
    <x v="1"/>
    <x v="70"/>
    <n v="85"/>
    <n v="0"/>
    <n v="1.20559983080814E+19"/>
  </r>
  <r>
    <b v="0"/>
    <x v="7"/>
    <x v="2"/>
    <x v="71"/>
    <n v="86"/>
    <n v="0"/>
    <n v="1.7035530065347228E+19"/>
  </r>
  <r>
    <b v="0"/>
    <x v="7"/>
    <x v="3"/>
    <x v="72"/>
    <n v="87"/>
    <n v="0"/>
    <n v="3.2359064867261478E+17"/>
  </r>
  <r>
    <b v="0"/>
    <x v="7"/>
    <x v="4"/>
    <x v="73"/>
    <n v="88"/>
    <n v="0"/>
    <n v="1.6973540743497757E+19"/>
  </r>
  <r>
    <b v="0"/>
    <x v="7"/>
    <x v="5"/>
    <x v="74"/>
    <n v="89"/>
    <n v="0"/>
    <n v="8.6182656839557765E+18"/>
  </r>
  <r>
    <b v="0"/>
    <x v="7"/>
    <x v="6"/>
    <x v="75"/>
    <n v="90"/>
    <n v="0"/>
    <n v="1.0607049310443762E+19"/>
  </r>
  <r>
    <b v="0"/>
    <x v="7"/>
    <x v="7"/>
    <x v="76"/>
    <n v="91"/>
    <n v="0"/>
    <n v="1.277578350161255E+19"/>
  </r>
  <r>
    <b v="0"/>
    <x v="7"/>
    <x v="8"/>
    <x v="77"/>
    <n v="92"/>
    <n v="0"/>
    <n v="3.394800673764802E+18"/>
  </r>
  <r>
    <b v="0"/>
    <x v="7"/>
    <x v="9"/>
    <x v="78"/>
    <n v="93"/>
    <n v="0"/>
    <n v="1.6289692921427792E+19"/>
  </r>
  <r>
    <b v="0"/>
    <x v="7"/>
    <x v="10"/>
    <x v="79"/>
    <n v="94"/>
    <n v="0"/>
    <n v="5.0150047750500813E+18"/>
  </r>
  <r>
    <b v="0"/>
    <x v="7"/>
    <x v="11"/>
    <x v="78"/>
    <n v="95"/>
    <n v="0"/>
    <n v="9.6694258967602135E+18"/>
  </r>
  <r>
    <b v="0"/>
    <x v="8"/>
    <x v="0"/>
    <x v="63"/>
    <n v="96"/>
    <n v="0"/>
    <n v="8.246506430746581E+18"/>
  </r>
  <r>
    <b v="0"/>
    <x v="8"/>
    <x v="1"/>
    <x v="80"/>
    <n v="97"/>
    <n v="0"/>
    <n v="1.5511184361747441E+18"/>
  </r>
  <r>
    <b v="0"/>
    <x v="8"/>
    <x v="2"/>
    <x v="81"/>
    <n v="98"/>
    <n v="0"/>
    <n v="5.5342148360317686E+18"/>
  </r>
  <r>
    <b v="0"/>
    <x v="8"/>
    <x v="3"/>
    <x v="82"/>
    <n v="99"/>
    <n v="0"/>
    <n v="1.817261675891233E+19"/>
  </r>
  <r>
    <b v="0"/>
    <x v="8"/>
    <x v="4"/>
    <x v="77"/>
    <n v="100"/>
    <n v="0"/>
    <n v="1.3526971010072787E+19"/>
  </r>
  <r>
    <b v="0"/>
    <x v="8"/>
    <x v="5"/>
    <x v="83"/>
    <n v="101"/>
    <n v="0"/>
    <n v="3.2552223336991245E+17"/>
  </r>
  <r>
    <b v="0"/>
    <x v="8"/>
    <x v="6"/>
    <x v="84"/>
    <n v="102"/>
    <n v="0"/>
    <n v="1.5646774449666097E+19"/>
  </r>
  <r>
    <b v="0"/>
    <x v="8"/>
    <x v="7"/>
    <x v="85"/>
    <n v="103"/>
    <n v="0"/>
    <n v="2.0097896555348308E+18"/>
  </r>
  <r>
    <b v="0"/>
    <x v="8"/>
    <x v="8"/>
    <x v="86"/>
    <n v="104"/>
    <n v="0"/>
    <n v="1.8420052874870452E+19"/>
  </r>
  <r>
    <b v="0"/>
    <x v="8"/>
    <x v="9"/>
    <x v="65"/>
    <n v="105"/>
    <n v="0"/>
    <n v="9.1560989133367283E+17"/>
  </r>
  <r>
    <b v="0"/>
    <x v="8"/>
    <x v="10"/>
    <x v="87"/>
    <n v="106"/>
    <n v="0"/>
    <n v="1.645590997300652E+19"/>
  </r>
  <r>
    <b v="0"/>
    <x v="8"/>
    <x v="11"/>
    <x v="88"/>
    <n v="107"/>
    <n v="0"/>
    <n v="1.1676507037953618E+19"/>
  </r>
  <r>
    <b v="0"/>
    <x v="9"/>
    <x v="0"/>
    <x v="89"/>
    <n v="108"/>
    <n v="0"/>
    <n v="7.6568298493438556E+18"/>
  </r>
  <r>
    <b v="0"/>
    <x v="9"/>
    <x v="1"/>
    <x v="73"/>
    <n v="109"/>
    <n v="0"/>
    <n v="7.9764700753351178E+18"/>
  </r>
  <r>
    <b v="0"/>
    <x v="9"/>
    <x v="2"/>
    <x v="90"/>
    <n v="110"/>
    <n v="0"/>
    <n v="1.0720266573856023E+19"/>
  </r>
  <r>
    <b v="0"/>
    <x v="9"/>
    <x v="3"/>
    <x v="82"/>
    <n v="111"/>
    <n v="0"/>
    <n v="1.1318578992330334E+19"/>
  </r>
  <r>
    <b v="0"/>
    <x v="9"/>
    <x v="4"/>
    <x v="91"/>
    <n v="112"/>
    <n v="0"/>
    <n v="1.6532081637504688E+19"/>
  </r>
  <r>
    <b v="0"/>
    <x v="9"/>
    <x v="5"/>
    <x v="92"/>
    <n v="113"/>
    <n v="0"/>
    <n v="1.199808070334174E+19"/>
  </r>
  <r>
    <b v="0"/>
    <x v="9"/>
    <x v="6"/>
    <x v="93"/>
    <n v="114"/>
    <n v="0"/>
    <n v="1.4459952385127291E+19"/>
  </r>
  <r>
    <b v="0"/>
    <x v="9"/>
    <x v="7"/>
    <x v="94"/>
    <n v="115"/>
    <n v="0"/>
    <n v="1.3574347824991304E+18"/>
  </r>
  <r>
    <b v="0"/>
    <x v="9"/>
    <x v="8"/>
    <x v="86"/>
    <n v="116"/>
    <n v="0"/>
    <n v="1.8007793266676093E+19"/>
  </r>
  <r>
    <b v="0"/>
    <x v="9"/>
    <x v="9"/>
    <x v="95"/>
    <n v="117"/>
    <n v="0"/>
    <n v="1.1064098945906188E+18"/>
  </r>
  <r>
    <b v="0"/>
    <x v="9"/>
    <x v="10"/>
    <x v="96"/>
    <n v="118"/>
    <n v="0"/>
    <n v="8.2322010593714627E+18"/>
  </r>
  <r>
    <b v="0"/>
    <x v="9"/>
    <x v="11"/>
    <x v="97"/>
    <n v="119"/>
    <n v="0"/>
    <n v="1.4015850092891574E+19"/>
  </r>
  <r>
    <b v="0"/>
    <x v="10"/>
    <x v="0"/>
    <x v="98"/>
    <n v="120"/>
    <n v="0"/>
    <n v="9.8969433399383693E+17"/>
  </r>
  <r>
    <b v="0"/>
    <x v="10"/>
    <x v="1"/>
    <x v="99"/>
    <n v="121"/>
    <n v="0"/>
    <n v="1.5686926236676471E+19"/>
  </r>
  <r>
    <b v="0"/>
    <x v="10"/>
    <x v="2"/>
    <x v="100"/>
    <n v="122"/>
    <n v="0"/>
    <n v="1.5206139214406048E+19"/>
  </r>
  <r>
    <b v="0"/>
    <x v="10"/>
    <x v="3"/>
    <x v="101"/>
    <n v="123"/>
    <n v="0"/>
    <n v="3.7623100397567334E+18"/>
  </r>
  <r>
    <b v="0"/>
    <x v="10"/>
    <x v="4"/>
    <x v="102"/>
    <n v="124"/>
    <n v="0"/>
    <n v="1.4853567162121892E+19"/>
  </r>
  <r>
    <b v="0"/>
    <x v="10"/>
    <x v="5"/>
    <x v="103"/>
    <n v="125"/>
    <n v="0"/>
    <n v="5.6338791080685353E+18"/>
  </r>
  <r>
    <b v="0"/>
    <x v="10"/>
    <x v="6"/>
    <x v="104"/>
    <n v="126"/>
    <n v="0"/>
    <n v="1.3761319359614695E+19"/>
  </r>
  <r>
    <b v="0"/>
    <x v="10"/>
    <x v="7"/>
    <x v="105"/>
    <n v="127"/>
    <n v="0"/>
    <n v="1.649199336680985E+19"/>
  </r>
  <r>
    <b v="0"/>
    <x v="10"/>
    <x v="8"/>
    <x v="106"/>
    <n v="128"/>
    <n v="0"/>
    <n v="1.2246199741386525E+19"/>
  </r>
  <r>
    <b v="0"/>
    <x v="10"/>
    <x v="9"/>
    <x v="107"/>
    <n v="129"/>
    <n v="0"/>
    <n v="2.0698604905002772E+18"/>
  </r>
  <r>
    <b v="0"/>
    <x v="10"/>
    <x v="10"/>
    <x v="90"/>
    <n v="130"/>
    <n v="0"/>
    <n v="1.8960544838023122E+18"/>
  </r>
  <r>
    <b v="0"/>
    <x v="10"/>
    <x v="11"/>
    <x v="76"/>
    <n v="131"/>
    <n v="0"/>
    <n v="1.6286211864483135E+19"/>
  </r>
  <r>
    <b v="0"/>
    <x v="11"/>
    <x v="0"/>
    <x v="108"/>
    <n v="132"/>
    <n v="0"/>
    <n v="1.4504815288353337E+19"/>
  </r>
  <r>
    <b v="0"/>
    <x v="11"/>
    <x v="1"/>
    <x v="109"/>
    <n v="133"/>
    <n v="0"/>
    <n v="1.6609066421284108E+19"/>
  </r>
  <r>
    <b v="0"/>
    <x v="11"/>
    <x v="2"/>
    <x v="110"/>
    <n v="134"/>
    <n v="0"/>
    <n v="3.7828394837840195E+18"/>
  </r>
  <r>
    <b v="0"/>
    <x v="11"/>
    <x v="3"/>
    <x v="111"/>
    <n v="135"/>
    <n v="0"/>
    <n v="8.5926897261318164E+18"/>
  </r>
  <r>
    <b v="0"/>
    <x v="11"/>
    <x v="4"/>
    <x v="103"/>
    <n v="136"/>
    <n v="0"/>
    <n v="8.1658205365673093E+18"/>
  </r>
  <r>
    <b v="0"/>
    <x v="11"/>
    <x v="5"/>
    <x v="112"/>
    <n v="137"/>
    <n v="0"/>
    <n v="1.0064943164466572E+18"/>
  </r>
  <r>
    <b v="0"/>
    <x v="11"/>
    <x v="6"/>
    <x v="113"/>
    <n v="138"/>
    <n v="0"/>
    <n v="1.1156638186853546E+19"/>
  </r>
  <r>
    <b v="0"/>
    <x v="11"/>
    <x v="7"/>
    <x v="114"/>
    <n v="139"/>
    <n v="0"/>
    <n v="1.8155038513400218E+19"/>
  </r>
  <r>
    <b v="0"/>
    <x v="11"/>
    <x v="8"/>
    <x v="115"/>
    <n v="140"/>
    <n v="0"/>
    <n v="1.7649547216349522E+19"/>
  </r>
  <r>
    <b v="0"/>
    <x v="11"/>
    <x v="9"/>
    <x v="111"/>
    <n v="141"/>
    <n v="0"/>
    <n v="6.6642665771574548E+18"/>
  </r>
  <r>
    <b v="0"/>
    <x v="11"/>
    <x v="10"/>
    <x v="116"/>
    <n v="142"/>
    <n v="0"/>
    <n v="4.9129556652804403E+18"/>
  </r>
  <r>
    <b v="0"/>
    <x v="11"/>
    <x v="11"/>
    <x v="117"/>
    <n v="143"/>
    <n v="0"/>
    <n v="7.694577369831644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22" firstHeaderRow="0" firstDataRow="1" firstDataCol="3"/>
  <pivotFields count="7">
    <pivotField compact="0" outline="0" showAll="0"/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39"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9">
      <pivotArea type="all" dataOnly="0" outline="0" fieldPosition="0"/>
    </format>
    <format dxfId="68">
      <pivotArea dataOnly="0" outline="0" fieldPosition="0">
        <references count="1">
          <reference field="4294967294" count="1">
            <x v="0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  <format dxfId="66">
      <pivotArea outline="0" fieldPosition="0">
        <references count="1">
          <reference field="4294967294" count="1">
            <x v="1"/>
          </reference>
        </references>
      </pivotArea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outline="0" fieldPosition="0">
        <references count="1">
          <reference field="4294967294" count="1" selected="0">
            <x v="1"/>
          </reference>
        </references>
      </pivotArea>
    </format>
    <format dxfId="61">
      <pivotArea dataOnly="0" outline="0" fieldPosition="0">
        <references count="1">
          <reference field="4294967294" count="1">
            <x v="1"/>
          </reference>
        </references>
      </pivotArea>
    </format>
    <format dxfId="60">
      <pivotArea type="all" dataOnly="0" outline="0" fieldPosition="0"/>
    </format>
    <format dxfId="59">
      <pivotArea type="all" dataOnly="0" outline="0" fieldPosition="0"/>
    </format>
    <format dxfId="58">
      <pivotArea outline="0" fieldPosition="0">
        <references count="1">
          <reference field="4294967294" count="1"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1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field="1" type="button" dataOnly="0" labelOnly="1" outline="0" axis="axisRow" fieldPosition="0"/>
    </format>
    <format dxfId="16">
      <pivotArea dataOnly="0" labelOnly="1" outline="0" fieldPosition="0">
        <references count="1">
          <reference field="1" count="1">
            <x v="0"/>
          </reference>
        </references>
      </pivotArea>
    </format>
    <format dxfId="15">
      <pivotArea dataOnly="0" labelOnly="1" outline="0" fieldPosition="0">
        <references count="1">
          <reference field="1" count="1">
            <x v="1"/>
          </reference>
        </references>
      </pivotArea>
    </format>
    <format dxfId="14">
      <pivotArea dataOnly="0" labelOnly="1" outline="0" fieldPosition="0">
        <references count="1">
          <reference field="1" count="1">
            <x v="2"/>
          </reference>
        </references>
      </pivotArea>
    </format>
    <format dxfId="13">
      <pivotArea dataOnly="0" labelOnly="1" outline="0" fieldPosition="0">
        <references count="1">
          <reference field="1" count="1">
            <x v="3"/>
          </reference>
        </references>
      </pivotArea>
    </format>
    <format dxfId="12">
      <pivotArea dataOnly="0" labelOnly="1" outline="0" fieldPosition="0">
        <references count="1">
          <reference field="1" count="1">
            <x v="4"/>
          </reference>
        </references>
      </pivotArea>
    </format>
    <format dxfId="11">
      <pivotArea dataOnly="0" labelOnly="1" outline="0" fieldPosition="0">
        <references count="1">
          <reference field="1" count="1">
            <x v="5"/>
          </reference>
        </references>
      </pivotArea>
    </format>
    <format dxfId="10">
      <pivotArea dataOnly="0" labelOnly="1" outline="0" fieldPosition="0">
        <references count="1">
          <reference field="1" count="1">
            <x v="6"/>
          </reference>
        </references>
      </pivotArea>
    </format>
    <format dxfId="9">
      <pivotArea dataOnly="0" labelOnly="1" outline="0" fieldPosition="0">
        <references count="1">
          <reference field="1" count="1">
            <x v="7"/>
          </reference>
        </references>
      </pivotArea>
    </format>
    <format dxfId="8">
      <pivotArea dataOnly="0" labelOnly="1" outline="0" fieldPosition="0">
        <references count="1">
          <reference field="1" count="1">
            <x v="8"/>
          </reference>
        </references>
      </pivotArea>
    </format>
    <format dxfId="7">
      <pivotArea dataOnly="0" labelOnly="1" outline="0" fieldPosition="0">
        <references count="1">
          <reference field="1" count="1">
            <x v="9"/>
          </reference>
        </references>
      </pivotArea>
    </format>
    <format dxfId="6">
      <pivotArea dataOnly="0" labelOnly="1" outline="0" fieldPosition="0">
        <references count="1">
          <reference field="1" count="1">
            <x v="10"/>
          </reference>
        </references>
      </pivotArea>
    </format>
    <format dxfId="5">
      <pivotArea dataOnly="0" labelOnly="1" outline="0" fieldPosition="0">
        <references count="1">
          <reference field="1" count="1">
            <x v="1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223" totalsRowShown="0" headerRowDxfId="29" dataDxfId="28" headerRowCellStyle="DarkHeader" dataCellStyle="Normal">
  <autoFilter ref="D79:J223" xr:uid="{DB1D1E60-5E37-456A-AD85-0649D531840E}"/>
  <tableColumns count="7">
    <tableColumn id="1" xr3:uid="{57EDF41E-F06D-4819-BADE-3D62DE46F06C}" name="Record List" dataDxfId="26" dataCellStyle="Normal"/>
    <tableColumn id="2" xr3:uid="{CF70C9CE-83FE-40FA-8089-C68B39CF665A}" name="year" dataDxfId="27" dataCellStyle="Normal"/>
    <tableColumn id="3" xr3:uid="{B8654690-502A-4FAF-9205-0118DABCB954}" name="month" dataDxfId="30" dataCellStyle="Normal"/>
    <tableColumn id="4" xr3:uid="{5A5BA001-2F93-4E62-880C-C4E8BDB17EEB}" name="passengers" dataDxfId="25" dataCellStyle="Normal"/>
    <tableColumn id="5" xr3:uid="{7B290ABE-A0E0-43C5-B418-3C2F1C3B8FDD}" name="index" dataDxfId="24" dataCellStyle="Normal"/>
    <tableColumn id="6" xr3:uid="{4D658E5E-E821-4FF4-BAFC-41C99F0042BC}" name="HasBlank" dataDxfId="23" dataCellStyle="Normal"/>
    <tableColumn id="7" xr3:uid="{CA2A344A-AC18-4D51-BE86-A98E814ABB8A}" name="Record Hash" dataDxfId="2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33" dataDxfId="98" headerRowBorderDxfId="99">
  <autoFilter ref="B11:AA14" xr:uid="{034D1C74-BE18-490E-B396-097D407DA97D}"/>
  <tableColumns count="26">
    <tableColumn id="1" xr3:uid="{010A8E62-502A-4B19-B37A-BF59E03A068A}" name="Field" dataDxfId="97"/>
    <tableColumn id="2" xr3:uid="{AD236665-EC7C-404F-8915-AD7CD5510D0F}" name="Definition" dataDxfId="3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6"/>
    <tableColumn id="5" xr3:uid="{5006D683-9D12-4B97-9EF2-6D41AF6E0B35}" name="Distinct %" dataDxfId="95"/>
    <tableColumn id="6" xr3:uid="{3AFB42F8-9976-44FF-9239-74914D5BE035}" name="Missing %" dataDxfId="94"/>
    <tableColumn id="7" xr3:uid="{4BA41102-DB06-4180-9754-C88722FE82BD}" name="Memory Usage %" dataDxfId="93"/>
    <tableColumn id="8" xr3:uid="{D22319BD-3A80-40F3-84FC-A6D1627B2F29}" name="Memory Usage" dataDxfId="92"/>
    <tableColumn id="9" xr3:uid="{77FAEE19-B6C7-4056-8EF3-5EB877C820C4}" name="Distinct" dataDxfId="91"/>
    <tableColumn id="10" xr3:uid="{54FF47BF-594E-417B-9028-64A4DFE4D389}" name="Count" dataDxfId="90"/>
    <tableColumn id="11" xr3:uid="{54E587FE-36DC-4522-91DC-8B81B386217B}" name="Count %" dataDxfId="89"/>
    <tableColumn id="12" xr3:uid="{0DE21D83-93B1-480C-BE9C-379DA0E532C7}" name="Missing" dataDxfId="88"/>
    <tableColumn id="13" xr3:uid="{C4B407B9-B7FB-4DFC-A6B3-885C816BAF99}" name="Mean" dataDxfId="87"/>
    <tableColumn id="14" xr3:uid="{9796FD8E-D568-43E1-AC6E-BFAE7C7B7017}" name="Median" dataDxfId="86"/>
    <tableColumn id="15" xr3:uid="{A6A7BCED-DD2F-4B41-A84C-2F2674A38A53}" name="Mode" dataDxfId="85"/>
    <tableColumn id="16" xr3:uid="{46607FA5-244C-49C2-997C-B64EB2E94FDE}" name="Standard Deviation" dataDxfId="84"/>
    <tableColumn id="17" xr3:uid="{80BA1782-4C46-45CE-B3FB-40B70BA09AF9}" name="Variance" dataDxfId="83"/>
    <tableColumn id="18" xr3:uid="{EC3C5A76-EF95-419C-87A8-D8885B542521}" name="Min" dataDxfId="82"/>
    <tableColumn id="19" xr3:uid="{BFE545F8-810C-4F0A-A0B2-FF0AB9764A07}" name="5%" dataDxfId="81"/>
    <tableColumn id="20" xr3:uid="{77D31A9B-57B1-4422-8EF9-6320F00E0DB9}" name="25%" dataDxfId="80"/>
    <tableColumn id="21" xr3:uid="{7A350787-F0EA-4E65-B596-5D7253E75CD6}" name="50%" dataDxfId="79"/>
    <tableColumn id="22" xr3:uid="{FB4C260E-A19F-4908-9DBF-DB4AC630982A}" name="75%" dataDxfId="78"/>
    <tableColumn id="23" xr3:uid="{FBECC9F1-5BC8-4774-9475-EB2D6D28F1E2}" name="95%" dataDxfId="77"/>
    <tableColumn id="24" xr3:uid="{839CD532-ED80-4544-A8C8-E9E036764A84}" name="Max" dataDxfId="76"/>
    <tableColumn id="25" xr3:uid="{9DDA1FD6-82B1-4FBE-8BBD-B40C331930D2}" name="Range" dataDxfId="75"/>
    <tableColumn id="26" xr3:uid="{902A027A-FD65-44D4-B3D0-5B3883ACFA39}" name="IQR" dataDxfId="7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56" dataDxfId="54" headerRowBorderDxfId="55" tableBorderDxfId="53" totalsRowBorderDxfId="52">
  <tableColumns count="3">
    <tableColumn id="1" xr3:uid="{FFACC0FF-000E-4785-9C1A-22F01E7C2644}" name="Production Section" dataDxfId="51" dataCellStyle="DarkHeader"/>
    <tableColumn id="2" xr3:uid="{6A06C42D-D4AD-45CE-A81D-0918B410EAA9}" name="Production Time in Seconds" dataDxfId="50"/>
    <tableColumn id="3" xr3:uid="{2643AF23-A2E5-4438-810D-7531CB2D2E4E}" name="% of Production Time" dataDxfId="49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47" headerRowBorderDxfId="48" tableBorderDxfId="46">
  <tableColumns count="2">
    <tableColumn id="1" xr3:uid="{9623C5AE-E7C2-4493-9B72-08667C9B2C60}" name="Environment Variable" dataDxfId="45" dataCellStyle="DarkHeader"/>
    <tableColumn id="2" xr3:uid="{E5E357AA-48FB-47EA-928A-80845B0CD7C9}" name="Value" dataDxfId="44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43" tableBorderDxfId="42" totalsRowBorderDxfId="41">
  <autoFilter ref="G10:H21" xr:uid="{A6117933-3C15-4FC8-ADF4-0EC66304DEE1}"/>
  <tableColumns count="2">
    <tableColumn id="1" xr3:uid="{EC70458D-5C3D-497C-AA06-AFCBD688FBDA}" name="Input Argument" dataDxfId="40" dataCellStyle="DarkHeader"/>
    <tableColumn id="2" xr3:uid="{FCA8AE27-3D46-4152-9A03-0F3EFBA2366A}" name="Value" dataDxfId="39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38" tableBorderDxfId="37" totalsRowBorderDxfId="36">
  <autoFilter ref="J10:K11" xr:uid="{6AF89CD0-DF40-4046-87D4-2BF660DDE636}"/>
  <tableColumns count="2">
    <tableColumn id="1" xr3:uid="{27FA7240-202E-4FAB-AD4A-DC169AFD6F56}" name="Error Type" dataDxfId="35" dataCellStyle="DarkHeader"/>
    <tableColumn id="2" xr3:uid="{C21354E4-3682-4AA0-B73A-2E689C89258C}" name="Value" dataDxfId="34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144</v>
      </c>
    </row>
    <row r="10" spans="1:23" ht="15" hidden="1" customHeight="1" outlineLevel="1">
      <c r="D10" s="3" t="s">
        <v>53</v>
      </c>
      <c r="E10" s="28">
        <v>3</v>
      </c>
    </row>
    <row r="11" spans="1:23" ht="15" hidden="1" customHeight="1" outlineLevel="1">
      <c r="D11" s="3" t="s">
        <v>12</v>
      </c>
      <c r="E11" s="28" t="s">
        <v>85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</row>
    <row r="16" spans="1:23" ht="10.199999999999999" hidden="1" customHeight="1" outlineLevel="1"/>
    <row r="17" spans="1:10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</row>
    <row r="18" spans="1:10" ht="10.199999999999999" hidden="1" customHeight="1" outlineLevel="1"/>
    <row r="19" spans="1:10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26" t="s">
        <v>83</v>
      </c>
      <c r="I19" s="26" t="s">
        <v>38</v>
      </c>
      <c r="J19" s="26" t="s">
        <v>84</v>
      </c>
    </row>
    <row r="20" spans="1:10" ht="10.199999999999999" customHeight="1"/>
    <row r="21" spans="1:10" ht="14.4" outlineLevel="1">
      <c r="C21" s="51" t="s">
        <v>78</v>
      </c>
      <c r="D21" s="2" t="s">
        <v>7</v>
      </c>
    </row>
    <row r="22" spans="1:10" ht="10.199999999999999" customHeight="1" outlineLevel="1"/>
    <row r="23" spans="1:10" ht="15" hidden="1" customHeight="1" outlineLevel="2">
      <c r="D23" s="22" t="s">
        <v>8</v>
      </c>
      <c r="E23" s="12" t="s">
        <v>86</v>
      </c>
      <c r="F23" s="12" t="s">
        <v>87</v>
      </c>
      <c r="G23" s="12" t="s">
        <v>86</v>
      </c>
    </row>
    <row r="24" spans="1:10" ht="15" hidden="1" customHeight="1" outlineLevel="2">
      <c r="D24" s="3" t="s">
        <v>9</v>
      </c>
      <c r="E24" s="13">
        <v>8.3333333333333301E-2</v>
      </c>
      <c r="F24" s="13">
        <v>8.3333333333333301E-2</v>
      </c>
      <c r="G24" s="13">
        <v>0.81944444444444398</v>
      </c>
    </row>
    <row r="25" spans="1:10" ht="15" hidden="1" customHeight="1" outlineLevel="2">
      <c r="D25" s="21" t="s">
        <v>10</v>
      </c>
      <c r="E25" s="13">
        <v>0</v>
      </c>
      <c r="F25" s="13">
        <v>0</v>
      </c>
      <c r="G25" s="13">
        <v>0</v>
      </c>
    </row>
    <row r="26" spans="1:10" ht="15" hidden="1" customHeight="1" outlineLevel="2">
      <c r="D26" s="21" t="s">
        <v>11</v>
      </c>
      <c r="E26" s="13">
        <v>0.28571428571428498</v>
      </c>
      <c r="F26" s="13">
        <v>0.14285714285714199</v>
      </c>
      <c r="G26" s="13">
        <v>0.28571428571428498</v>
      </c>
    </row>
    <row r="27" spans="1:10" ht="15" hidden="1" customHeight="1" outlineLevel="2">
      <c r="D27" s="21" t="s">
        <v>12</v>
      </c>
      <c r="E27" s="14">
        <v>1152</v>
      </c>
      <c r="F27" s="14">
        <v>576</v>
      </c>
      <c r="G27" s="14">
        <v>1152</v>
      </c>
    </row>
    <row r="28" spans="1:10" ht="15" hidden="1" customHeight="1" outlineLevel="2">
      <c r="D28" s="21" t="s">
        <v>13</v>
      </c>
      <c r="E28" s="14">
        <v>12</v>
      </c>
      <c r="F28" s="14">
        <v>12</v>
      </c>
      <c r="G28" s="14">
        <v>118</v>
      </c>
    </row>
    <row r="29" spans="1:10" ht="15" hidden="1" customHeight="1" outlineLevel="2">
      <c r="D29" s="22" t="s">
        <v>14</v>
      </c>
      <c r="E29" s="14">
        <v>144</v>
      </c>
      <c r="F29" s="14">
        <v>144</v>
      </c>
      <c r="G29" s="14">
        <v>144</v>
      </c>
    </row>
    <row r="30" spans="1:10" ht="15" hidden="1" customHeight="1" outlineLevel="2">
      <c r="D30" s="3" t="s">
        <v>15</v>
      </c>
      <c r="E30" s="14">
        <v>0</v>
      </c>
      <c r="F30" s="14">
        <v>0</v>
      </c>
      <c r="G30" s="14">
        <v>0</v>
      </c>
    </row>
    <row r="31" spans="1:10" ht="10.199999999999999" hidden="1" customHeight="1" outlineLevel="2"/>
    <row r="32" spans="1:10" ht="150" hidden="1" customHeight="1" outlineLevel="2"/>
    <row r="33" spans="3:7" ht="10.199999999999999" hidden="1" customHeight="1" outlineLevel="2"/>
    <row r="34" spans="3:7" ht="14.4" outlineLevel="1" collapsed="1">
      <c r="C34" s="51" t="s">
        <v>78</v>
      </c>
      <c r="D34" s="2" t="s">
        <v>16</v>
      </c>
    </row>
    <row r="35" spans="3:7" ht="10.199999999999999" customHeight="1" outlineLevel="1"/>
    <row r="36" spans="3:7" ht="15" hidden="1" customHeight="1" outlineLevel="2">
      <c r="D36" s="3" t="s">
        <v>17</v>
      </c>
      <c r="E36" s="15">
        <v>1954.5</v>
      </c>
      <c r="F36" s="15"/>
      <c r="G36" s="15">
        <v>280.29861111111097</v>
      </c>
    </row>
    <row r="37" spans="3:7" ht="15" hidden="1" customHeight="1" outlineLevel="2">
      <c r="D37" s="21" t="s">
        <v>18</v>
      </c>
      <c r="E37" s="15">
        <v>1954.5</v>
      </c>
      <c r="F37" s="15"/>
      <c r="G37" s="15">
        <v>265.5</v>
      </c>
    </row>
    <row r="38" spans="3:7" ht="15" hidden="1" customHeight="1" outlineLevel="2">
      <c r="D38" s="21" t="s">
        <v>19</v>
      </c>
      <c r="E38" s="15">
        <v>1949</v>
      </c>
      <c r="F38" s="15" t="s">
        <v>88</v>
      </c>
      <c r="G38" s="15">
        <v>229</v>
      </c>
    </row>
    <row r="39" spans="3:7" ht="15" hidden="1" customHeight="1" outlineLevel="2">
      <c r="D39" s="3" t="s">
        <v>20</v>
      </c>
      <c r="E39" s="15">
        <v>3.4641016151377499</v>
      </c>
      <c r="F39" s="15"/>
      <c r="G39" s="15">
        <v>119.966316942943</v>
      </c>
    </row>
    <row r="40" spans="3:7" ht="15" hidden="1" customHeight="1" outlineLevel="2">
      <c r="D40" s="23" t="s">
        <v>21</v>
      </c>
      <c r="E40" s="15">
        <v>11.999999999999901</v>
      </c>
      <c r="F40" s="15"/>
      <c r="G40" s="15">
        <v>14391.917200854699</v>
      </c>
    </row>
    <row r="41" spans="3:7" ht="10.199999999999999" hidden="1" customHeight="1" outlineLevel="2"/>
    <row r="42" spans="3:7" ht="150" hidden="1" customHeight="1" outlineLevel="2"/>
    <row r="43" spans="3:7" ht="10.199999999999999" hidden="1" customHeight="1" outlineLevel="2"/>
    <row r="44" spans="3:7" ht="14.4" outlineLevel="1" collapsed="1">
      <c r="C44" s="51" t="s">
        <v>78</v>
      </c>
      <c r="D44" s="2" t="s">
        <v>22</v>
      </c>
    </row>
    <row r="45" spans="3:7" ht="10.050000000000001" customHeight="1" outlineLevel="1"/>
    <row r="46" spans="3:7" ht="15" hidden="1" customHeight="1" outlineLevel="2">
      <c r="D46" s="3" t="s">
        <v>23</v>
      </c>
      <c r="E46" s="15">
        <v>1949</v>
      </c>
      <c r="F46" s="15"/>
      <c r="G46" s="15">
        <v>104</v>
      </c>
    </row>
    <row r="47" spans="3:7" ht="15" hidden="1" customHeight="1" outlineLevel="2">
      <c r="D47" s="21">
        <v>0.05</v>
      </c>
      <c r="E47" s="15">
        <v>1949</v>
      </c>
      <c r="F47" s="15"/>
      <c r="G47" s="15">
        <v>121.6</v>
      </c>
    </row>
    <row r="48" spans="3:7" ht="15" hidden="1" customHeight="1" outlineLevel="2">
      <c r="D48" s="22">
        <v>0.25</v>
      </c>
      <c r="E48" s="15">
        <v>1951.75</v>
      </c>
      <c r="F48" s="15"/>
      <c r="G48" s="15">
        <v>180</v>
      </c>
    </row>
    <row r="49" spans="3:7" ht="15" hidden="1" customHeight="1" outlineLevel="2">
      <c r="D49" s="3">
        <v>0.5</v>
      </c>
      <c r="E49" s="15">
        <v>1954.5</v>
      </c>
      <c r="F49" s="15"/>
      <c r="G49" s="15">
        <v>265.5</v>
      </c>
    </row>
    <row r="50" spans="3:7" ht="15" hidden="1" customHeight="1" outlineLevel="2">
      <c r="D50" s="21">
        <v>0.75</v>
      </c>
      <c r="E50" s="15">
        <v>1957.25</v>
      </c>
      <c r="F50" s="15"/>
      <c r="G50" s="15">
        <v>360.5</v>
      </c>
    </row>
    <row r="51" spans="3:7" ht="15" hidden="1" customHeight="1" outlineLevel="2">
      <c r="D51" s="21">
        <v>0.95</v>
      </c>
      <c r="E51" s="15">
        <v>1960</v>
      </c>
      <c r="F51" s="15"/>
      <c r="G51" s="15">
        <v>488.14999999999901</v>
      </c>
    </row>
    <row r="52" spans="3:7" ht="15" hidden="1" customHeight="1" outlineLevel="2">
      <c r="D52" s="3" t="s">
        <v>24</v>
      </c>
      <c r="E52" s="15">
        <v>1960</v>
      </c>
      <c r="F52" s="15"/>
      <c r="G52" s="15">
        <v>622</v>
      </c>
    </row>
    <row r="53" spans="3:7" ht="15" hidden="1" customHeight="1" outlineLevel="2">
      <c r="D53" s="21" t="s">
        <v>25</v>
      </c>
      <c r="E53" s="15">
        <v>11</v>
      </c>
      <c r="F53" s="15"/>
      <c r="G53" s="15">
        <v>518</v>
      </c>
    </row>
    <row r="54" spans="3:7" ht="15" hidden="1" customHeight="1" outlineLevel="2">
      <c r="D54" s="3" t="s">
        <v>26</v>
      </c>
      <c r="E54" s="15">
        <v>5.5</v>
      </c>
      <c r="F54" s="15"/>
      <c r="G54" s="15">
        <v>180.5</v>
      </c>
    </row>
    <row r="55" spans="3:7" ht="10.199999999999999" hidden="1" customHeight="1" outlineLevel="2"/>
    <row r="56" spans="3:7" ht="14.4" outlineLevel="1" collapsed="1">
      <c r="C56" s="51" t="s">
        <v>78</v>
      </c>
      <c r="D56" s="2" t="s">
        <v>27</v>
      </c>
    </row>
    <row r="57" spans="3:7" ht="10.050000000000001" customHeight="1" outlineLevel="1"/>
    <row r="58" spans="3:7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</row>
    <row r="59" spans="3:7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</row>
    <row r="60" spans="3:7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</row>
    <row r="61" spans="3:7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</row>
    <row r="62" spans="3:7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</row>
    <row r="63" spans="3:7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</row>
    <row r="64" spans="3:7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</row>
    <row r="65" spans="3:10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</row>
    <row r="66" spans="3:10" ht="10.199999999999999" hidden="1" customHeight="1" outlineLevel="2"/>
    <row r="67" spans="3:10" ht="14.4" outlineLevel="1" collapsed="1">
      <c r="C67" s="51" t="s">
        <v>78</v>
      </c>
      <c r="D67" s="2" t="s">
        <v>36</v>
      </c>
    </row>
    <row r="68" spans="3:10" ht="10.050000000000001" customHeight="1" outlineLevel="1"/>
    <row r="69" spans="3:10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0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0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0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0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0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0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0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0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0" ht="10.199999999999999" hidden="1" customHeight="1" outlineLevel="1" collapsed="1"/>
    <row r="79" spans="3:10" ht="30" customHeight="1">
      <c r="D79" s="127" t="s">
        <v>37</v>
      </c>
      <c r="E79" s="121" t="s">
        <v>80</v>
      </c>
      <c r="F79" s="121" t="s">
        <v>81</v>
      </c>
      <c r="G79" s="121" t="s">
        <v>82</v>
      </c>
      <c r="H79" s="127" t="s">
        <v>83</v>
      </c>
      <c r="I79" s="127" t="s">
        <v>38</v>
      </c>
      <c r="J79" s="127" t="s">
        <v>84</v>
      </c>
    </row>
    <row r="80" spans="3:10" ht="15" customHeight="1">
      <c r="D80" s="128" t="b">
        <v>0</v>
      </c>
      <c r="E80" s="122">
        <v>1949</v>
      </c>
      <c r="F80" s="122" t="s">
        <v>88</v>
      </c>
      <c r="G80" s="122">
        <v>112</v>
      </c>
      <c r="H80" s="131">
        <v>0</v>
      </c>
      <c r="I80" s="131">
        <v>0</v>
      </c>
      <c r="J80" s="131">
        <v>4.8210264564575795E+18</v>
      </c>
    </row>
    <row r="81" spans="4:10" ht="15" customHeight="1">
      <c r="D81" s="128" t="b">
        <v>0</v>
      </c>
      <c r="E81" s="122">
        <v>1949</v>
      </c>
      <c r="F81" s="122" t="s">
        <v>89</v>
      </c>
      <c r="G81" s="122">
        <v>118</v>
      </c>
      <c r="H81" s="131">
        <v>1</v>
      </c>
      <c r="I81" s="131">
        <v>0</v>
      </c>
      <c r="J81" s="131">
        <v>2.7563807469938458E+18</v>
      </c>
    </row>
    <row r="82" spans="4:10" ht="15" customHeight="1">
      <c r="D82" s="129" t="b">
        <v>0</v>
      </c>
      <c r="E82" s="123">
        <v>1949</v>
      </c>
      <c r="F82" s="124" t="s">
        <v>90</v>
      </c>
      <c r="G82" s="124">
        <v>132</v>
      </c>
      <c r="H82" s="131">
        <v>2</v>
      </c>
      <c r="I82" s="131">
        <v>0</v>
      </c>
      <c r="J82" s="131">
        <v>1.8266136810747267E+19</v>
      </c>
    </row>
    <row r="83" spans="4:10" ht="15" customHeight="1">
      <c r="D83" s="129" t="b">
        <v>0</v>
      </c>
      <c r="E83" s="123">
        <v>1949</v>
      </c>
      <c r="F83" s="124" t="s">
        <v>91</v>
      </c>
      <c r="G83" s="124">
        <v>129</v>
      </c>
      <c r="H83" s="131">
        <v>3</v>
      </c>
      <c r="I83" s="131">
        <v>0</v>
      </c>
      <c r="J83" s="131">
        <v>2.1226255611438664E+18</v>
      </c>
    </row>
    <row r="84" spans="4:10" ht="15" customHeight="1">
      <c r="D84" s="129" t="b">
        <v>0</v>
      </c>
      <c r="E84" s="123">
        <v>1949</v>
      </c>
      <c r="F84" s="124" t="s">
        <v>92</v>
      </c>
      <c r="G84" s="124">
        <v>121</v>
      </c>
      <c r="H84" s="131">
        <v>4</v>
      </c>
      <c r="I84" s="131">
        <v>0</v>
      </c>
      <c r="J84" s="131">
        <v>1.7677554668458713E+19</v>
      </c>
    </row>
    <row r="85" spans="4:10" ht="15" customHeight="1">
      <c r="D85" s="129" t="b">
        <v>0</v>
      </c>
      <c r="E85" s="123">
        <v>1949</v>
      </c>
      <c r="F85" s="124" t="s">
        <v>93</v>
      </c>
      <c r="G85" s="124">
        <v>135</v>
      </c>
      <c r="H85" s="131">
        <v>5</v>
      </c>
      <c r="I85" s="131">
        <v>0</v>
      </c>
      <c r="J85" s="131">
        <v>8.1408271597021778E+18</v>
      </c>
    </row>
    <row r="86" spans="4:10" ht="15" customHeight="1">
      <c r="D86" s="129" t="b">
        <v>0</v>
      </c>
      <c r="E86" s="123">
        <v>1949</v>
      </c>
      <c r="F86" s="124" t="s">
        <v>94</v>
      </c>
      <c r="G86" s="124">
        <v>148</v>
      </c>
      <c r="H86" s="131">
        <v>6</v>
      </c>
      <c r="I86" s="131">
        <v>0</v>
      </c>
      <c r="J86" s="131">
        <v>1.3412064421289701E+19</v>
      </c>
    </row>
    <row r="87" spans="4:10" ht="15" customHeight="1">
      <c r="D87" s="129" t="b">
        <v>0</v>
      </c>
      <c r="E87" s="123">
        <v>1949</v>
      </c>
      <c r="F87" s="124" t="s">
        <v>95</v>
      </c>
      <c r="G87" s="124">
        <v>148</v>
      </c>
      <c r="H87" s="131">
        <v>7</v>
      </c>
      <c r="I87" s="131">
        <v>0</v>
      </c>
      <c r="J87" s="131">
        <v>1.4777041125089913E+19</v>
      </c>
    </row>
    <row r="88" spans="4:10" ht="15" customHeight="1">
      <c r="D88" s="129" t="b">
        <v>0</v>
      </c>
      <c r="E88" s="123">
        <v>1949</v>
      </c>
      <c r="F88" s="124" t="s">
        <v>96</v>
      </c>
      <c r="G88" s="124">
        <v>136</v>
      </c>
      <c r="H88" s="131">
        <v>8</v>
      </c>
      <c r="I88" s="131">
        <v>0</v>
      </c>
      <c r="J88" s="131">
        <v>6.1756711115529452E+18</v>
      </c>
    </row>
    <row r="89" spans="4:10" ht="15" customHeight="1">
      <c r="D89" s="129" t="b">
        <v>0</v>
      </c>
      <c r="E89" s="123">
        <v>1949</v>
      </c>
      <c r="F89" s="124" t="s">
        <v>97</v>
      </c>
      <c r="G89" s="124">
        <v>119</v>
      </c>
      <c r="H89" s="131">
        <v>9</v>
      </c>
      <c r="I89" s="131">
        <v>0</v>
      </c>
      <c r="J89" s="131">
        <v>8.5670222310252687E+18</v>
      </c>
    </row>
    <row r="90" spans="4:10" ht="15" customHeight="1">
      <c r="D90" s="129" t="b">
        <v>0</v>
      </c>
      <c r="E90" s="123">
        <v>1949</v>
      </c>
      <c r="F90" s="124" t="s">
        <v>98</v>
      </c>
      <c r="G90" s="124">
        <v>104</v>
      </c>
      <c r="H90" s="131">
        <v>10</v>
      </c>
      <c r="I90" s="131">
        <v>0</v>
      </c>
      <c r="J90" s="131">
        <v>2.9210519181460902E+17</v>
      </c>
    </row>
    <row r="91" spans="4:10" ht="15" customHeight="1">
      <c r="D91" s="129" t="b">
        <v>0</v>
      </c>
      <c r="E91" s="123">
        <v>1949</v>
      </c>
      <c r="F91" s="124" t="s">
        <v>99</v>
      </c>
      <c r="G91" s="124">
        <v>118</v>
      </c>
      <c r="H91" s="131">
        <v>11</v>
      </c>
      <c r="I91" s="131">
        <v>0</v>
      </c>
      <c r="J91" s="131">
        <v>9.3934735283988029E+18</v>
      </c>
    </row>
    <row r="92" spans="4:10" ht="15" customHeight="1">
      <c r="D92" s="129" t="b">
        <v>0</v>
      </c>
      <c r="E92" s="123">
        <v>1950</v>
      </c>
      <c r="F92" s="124" t="s">
        <v>88</v>
      </c>
      <c r="G92" s="124">
        <v>115</v>
      </c>
      <c r="H92" s="131">
        <v>12</v>
      </c>
      <c r="I92" s="131">
        <v>0</v>
      </c>
      <c r="J92" s="131">
        <v>4.363894869622484E+18</v>
      </c>
    </row>
    <row r="93" spans="4:10" ht="15" customHeight="1">
      <c r="D93" s="129" t="b">
        <v>0</v>
      </c>
      <c r="E93" s="123">
        <v>1950</v>
      </c>
      <c r="F93" s="124" t="s">
        <v>89</v>
      </c>
      <c r="G93" s="124">
        <v>126</v>
      </c>
      <c r="H93" s="131">
        <v>13</v>
      </c>
      <c r="I93" s="131">
        <v>0</v>
      </c>
      <c r="J93" s="131">
        <v>1.3074566502932836E+19</v>
      </c>
    </row>
    <row r="94" spans="4:10" ht="15" customHeight="1">
      <c r="D94" s="129" t="b">
        <v>0</v>
      </c>
      <c r="E94" s="123">
        <v>1950</v>
      </c>
      <c r="F94" s="124" t="s">
        <v>90</v>
      </c>
      <c r="G94" s="124">
        <v>141</v>
      </c>
      <c r="H94" s="131">
        <v>14</v>
      </c>
      <c r="I94" s="131">
        <v>0</v>
      </c>
      <c r="J94" s="131">
        <v>2.2969651763646641E+18</v>
      </c>
    </row>
    <row r="95" spans="4:10" ht="15" customHeight="1">
      <c r="D95" s="129" t="b">
        <v>0</v>
      </c>
      <c r="E95" s="123">
        <v>1950</v>
      </c>
      <c r="F95" s="124" t="s">
        <v>91</v>
      </c>
      <c r="G95" s="124">
        <v>135</v>
      </c>
      <c r="H95" s="131">
        <v>15</v>
      </c>
      <c r="I95" s="131">
        <v>0</v>
      </c>
      <c r="J95" s="131">
        <v>7.1192537249832079E+18</v>
      </c>
    </row>
    <row r="96" spans="4:10" ht="15" customHeight="1">
      <c r="D96" s="129" t="b">
        <v>0</v>
      </c>
      <c r="E96" s="123">
        <v>1950</v>
      </c>
      <c r="F96" s="124" t="s">
        <v>92</v>
      </c>
      <c r="G96" s="124">
        <v>125</v>
      </c>
      <c r="H96" s="131">
        <v>16</v>
      </c>
      <c r="I96" s="131">
        <v>0</v>
      </c>
      <c r="J96" s="131">
        <v>1.3342902635054897E+19</v>
      </c>
    </row>
    <row r="97" spans="4:10" ht="15" customHeight="1">
      <c r="D97" s="129" t="b">
        <v>0</v>
      </c>
      <c r="E97" s="123">
        <v>1950</v>
      </c>
      <c r="F97" s="124" t="s">
        <v>93</v>
      </c>
      <c r="G97" s="124">
        <v>149</v>
      </c>
      <c r="H97" s="131">
        <v>17</v>
      </c>
      <c r="I97" s="131">
        <v>0</v>
      </c>
      <c r="J97" s="131">
        <v>5.8518194938455665E+18</v>
      </c>
    </row>
    <row r="98" spans="4:10" ht="15" customHeight="1">
      <c r="D98" s="129" t="b">
        <v>0</v>
      </c>
      <c r="E98" s="123">
        <v>1950</v>
      </c>
      <c r="F98" s="124" t="s">
        <v>94</v>
      </c>
      <c r="G98" s="124">
        <v>170</v>
      </c>
      <c r="H98" s="131">
        <v>18</v>
      </c>
      <c r="I98" s="131">
        <v>0</v>
      </c>
      <c r="J98" s="131">
        <v>6.1521087752581345E+18</v>
      </c>
    </row>
    <row r="99" spans="4:10" ht="15" customHeight="1">
      <c r="D99" s="129" t="b">
        <v>0</v>
      </c>
      <c r="E99" s="123">
        <v>1950</v>
      </c>
      <c r="F99" s="124" t="s">
        <v>95</v>
      </c>
      <c r="G99" s="124">
        <v>170</v>
      </c>
      <c r="H99" s="131">
        <v>19</v>
      </c>
      <c r="I99" s="131">
        <v>0</v>
      </c>
      <c r="J99" s="131">
        <v>7.0590670112476344E+18</v>
      </c>
    </row>
    <row r="100" spans="4:10" ht="15" customHeight="1">
      <c r="D100" s="129" t="b">
        <v>0</v>
      </c>
      <c r="E100" s="123">
        <v>1950</v>
      </c>
      <c r="F100" s="124" t="s">
        <v>96</v>
      </c>
      <c r="G100" s="124">
        <v>158</v>
      </c>
      <c r="H100" s="131">
        <v>20</v>
      </c>
      <c r="I100" s="131">
        <v>0</v>
      </c>
      <c r="J100" s="131">
        <v>2.0731513428732536E+18</v>
      </c>
    </row>
    <row r="101" spans="4:10" ht="15" customHeight="1">
      <c r="D101" s="129" t="b">
        <v>0</v>
      </c>
      <c r="E101" s="123">
        <v>1950</v>
      </c>
      <c r="F101" s="124" t="s">
        <v>97</v>
      </c>
      <c r="G101" s="124">
        <v>133</v>
      </c>
      <c r="H101" s="131">
        <v>21</v>
      </c>
      <c r="I101" s="131">
        <v>0</v>
      </c>
      <c r="J101" s="131">
        <v>1.6964090771569699E+19</v>
      </c>
    </row>
    <row r="102" spans="4:10" ht="15" customHeight="1">
      <c r="D102" s="129" t="b">
        <v>0</v>
      </c>
      <c r="E102" s="123">
        <v>1950</v>
      </c>
      <c r="F102" s="124" t="s">
        <v>98</v>
      </c>
      <c r="G102" s="124">
        <v>114</v>
      </c>
      <c r="H102" s="131">
        <v>22</v>
      </c>
      <c r="I102" s="131">
        <v>0</v>
      </c>
      <c r="J102" s="131">
        <v>6.639001489384107E+18</v>
      </c>
    </row>
    <row r="103" spans="4:10" ht="15" customHeight="1">
      <c r="D103" s="129" t="b">
        <v>0</v>
      </c>
      <c r="E103" s="123">
        <v>1950</v>
      </c>
      <c r="F103" s="124" t="s">
        <v>99</v>
      </c>
      <c r="G103" s="124">
        <v>140</v>
      </c>
      <c r="H103" s="131">
        <v>23</v>
      </c>
      <c r="I103" s="131">
        <v>0</v>
      </c>
      <c r="J103" s="131">
        <v>5.8445993446599107E+18</v>
      </c>
    </row>
    <row r="104" spans="4:10" ht="15" customHeight="1">
      <c r="D104" s="129" t="b">
        <v>0</v>
      </c>
      <c r="E104" s="123">
        <v>1951</v>
      </c>
      <c r="F104" s="124" t="s">
        <v>88</v>
      </c>
      <c r="G104" s="124">
        <v>145</v>
      </c>
      <c r="H104" s="131">
        <v>24</v>
      </c>
      <c r="I104" s="131">
        <v>0</v>
      </c>
      <c r="J104" s="131">
        <v>1.7004119044158449E+18</v>
      </c>
    </row>
    <row r="105" spans="4:10" ht="15" customHeight="1">
      <c r="D105" s="129" t="b">
        <v>0</v>
      </c>
      <c r="E105" s="123">
        <v>1951</v>
      </c>
      <c r="F105" s="124" t="s">
        <v>89</v>
      </c>
      <c r="G105" s="124">
        <v>150</v>
      </c>
      <c r="H105" s="131">
        <v>25</v>
      </c>
      <c r="I105" s="131">
        <v>0</v>
      </c>
      <c r="J105" s="131">
        <v>4.6255913980153702E+18</v>
      </c>
    </row>
    <row r="106" spans="4:10" ht="15" customHeight="1">
      <c r="D106" s="129" t="b">
        <v>0</v>
      </c>
      <c r="E106" s="123">
        <v>1951</v>
      </c>
      <c r="F106" s="124" t="s">
        <v>90</v>
      </c>
      <c r="G106" s="124">
        <v>178</v>
      </c>
      <c r="H106" s="131">
        <v>26</v>
      </c>
      <c r="I106" s="131">
        <v>0</v>
      </c>
      <c r="J106" s="131">
        <v>5.5889818951411999E+18</v>
      </c>
    </row>
    <row r="107" spans="4:10" ht="15" customHeight="1">
      <c r="D107" s="129" t="b">
        <v>0</v>
      </c>
      <c r="E107" s="123">
        <v>1951</v>
      </c>
      <c r="F107" s="124" t="s">
        <v>91</v>
      </c>
      <c r="G107" s="124">
        <v>163</v>
      </c>
      <c r="H107" s="131">
        <v>27</v>
      </c>
      <c r="I107" s="131">
        <v>0</v>
      </c>
      <c r="J107" s="131">
        <v>7.5041717805299087E+18</v>
      </c>
    </row>
    <row r="108" spans="4:10" ht="15" customHeight="1">
      <c r="D108" s="129" t="b">
        <v>0</v>
      </c>
      <c r="E108" s="123">
        <v>1951</v>
      </c>
      <c r="F108" s="124" t="s">
        <v>92</v>
      </c>
      <c r="G108" s="124">
        <v>172</v>
      </c>
      <c r="H108" s="131">
        <v>28</v>
      </c>
      <c r="I108" s="131">
        <v>0</v>
      </c>
      <c r="J108" s="131">
        <v>6.8716558031070536E+18</v>
      </c>
    </row>
    <row r="109" spans="4:10" ht="15" customHeight="1">
      <c r="D109" s="129" t="b">
        <v>0</v>
      </c>
      <c r="E109" s="123">
        <v>1951</v>
      </c>
      <c r="F109" s="124" t="s">
        <v>93</v>
      </c>
      <c r="G109" s="124">
        <v>178</v>
      </c>
      <c r="H109" s="131">
        <v>29</v>
      </c>
      <c r="I109" s="131">
        <v>0</v>
      </c>
      <c r="J109" s="131">
        <v>2.6634263864644029E+18</v>
      </c>
    </row>
    <row r="110" spans="4:10" ht="15" customHeight="1">
      <c r="D110" s="129" t="b">
        <v>0</v>
      </c>
      <c r="E110" s="123">
        <v>1951</v>
      </c>
      <c r="F110" s="124" t="s">
        <v>94</v>
      </c>
      <c r="G110" s="124">
        <v>199</v>
      </c>
      <c r="H110" s="131">
        <v>30</v>
      </c>
      <c r="I110" s="131">
        <v>0</v>
      </c>
      <c r="J110" s="131">
        <v>3.4258370557728461E+18</v>
      </c>
    </row>
    <row r="111" spans="4:10" ht="15" customHeight="1">
      <c r="D111" s="129" t="b">
        <v>0</v>
      </c>
      <c r="E111" s="123">
        <v>1951</v>
      </c>
      <c r="F111" s="124" t="s">
        <v>95</v>
      </c>
      <c r="G111" s="124">
        <v>199</v>
      </c>
      <c r="H111" s="131">
        <v>31</v>
      </c>
      <c r="I111" s="131">
        <v>0</v>
      </c>
      <c r="J111" s="131">
        <v>1.1654336151782894E+19</v>
      </c>
    </row>
    <row r="112" spans="4:10" ht="15" customHeight="1">
      <c r="D112" s="129" t="b">
        <v>0</v>
      </c>
      <c r="E112" s="123">
        <v>1951</v>
      </c>
      <c r="F112" s="124" t="s">
        <v>96</v>
      </c>
      <c r="G112" s="124">
        <v>184</v>
      </c>
      <c r="H112" s="131">
        <v>32</v>
      </c>
      <c r="I112" s="131">
        <v>0</v>
      </c>
      <c r="J112" s="131">
        <v>1.3693261236933289E+18</v>
      </c>
    </row>
    <row r="113" spans="4:10" ht="15" customHeight="1">
      <c r="D113" s="129" t="b">
        <v>0</v>
      </c>
      <c r="E113" s="123">
        <v>1951</v>
      </c>
      <c r="F113" s="124" t="s">
        <v>97</v>
      </c>
      <c r="G113" s="124">
        <v>162</v>
      </c>
      <c r="H113" s="131">
        <v>33</v>
      </c>
      <c r="I113" s="131">
        <v>0</v>
      </c>
      <c r="J113" s="131">
        <v>1.732220304866585E+19</v>
      </c>
    </row>
    <row r="114" spans="4:10" ht="15" customHeight="1">
      <c r="D114" s="129" t="b">
        <v>0</v>
      </c>
      <c r="E114" s="123">
        <v>1951</v>
      </c>
      <c r="F114" s="124" t="s">
        <v>98</v>
      </c>
      <c r="G114" s="124">
        <v>146</v>
      </c>
      <c r="H114" s="131">
        <v>34</v>
      </c>
      <c r="I114" s="131">
        <v>0</v>
      </c>
      <c r="J114" s="131">
        <v>9.585132410446377E+18</v>
      </c>
    </row>
    <row r="115" spans="4:10" ht="15" customHeight="1">
      <c r="D115" s="129" t="b">
        <v>0</v>
      </c>
      <c r="E115" s="123">
        <v>1951</v>
      </c>
      <c r="F115" s="124" t="s">
        <v>99</v>
      </c>
      <c r="G115" s="124">
        <v>166</v>
      </c>
      <c r="H115" s="131">
        <v>35</v>
      </c>
      <c r="I115" s="131">
        <v>0</v>
      </c>
      <c r="J115" s="131">
        <v>8.2880690482903265E+18</v>
      </c>
    </row>
    <row r="116" spans="4:10" ht="15" customHeight="1">
      <c r="D116" s="129" t="b">
        <v>0</v>
      </c>
      <c r="E116" s="123">
        <v>1952</v>
      </c>
      <c r="F116" s="124" t="s">
        <v>88</v>
      </c>
      <c r="G116" s="124">
        <v>171</v>
      </c>
      <c r="H116" s="131">
        <v>36</v>
      </c>
      <c r="I116" s="131">
        <v>0</v>
      </c>
      <c r="J116" s="131">
        <v>1.5186550056238799E+19</v>
      </c>
    </row>
    <row r="117" spans="4:10" ht="15" customHeight="1">
      <c r="D117" s="129" t="b">
        <v>0</v>
      </c>
      <c r="E117" s="123">
        <v>1952</v>
      </c>
      <c r="F117" s="124" t="s">
        <v>89</v>
      </c>
      <c r="G117" s="124">
        <v>180</v>
      </c>
      <c r="H117" s="131">
        <v>37</v>
      </c>
      <c r="I117" s="131">
        <v>0</v>
      </c>
      <c r="J117" s="131">
        <v>1.7238687213781354E+19</v>
      </c>
    </row>
    <row r="118" spans="4:10" ht="15" customHeight="1">
      <c r="D118" s="129" t="b">
        <v>0</v>
      </c>
      <c r="E118" s="123">
        <v>1952</v>
      </c>
      <c r="F118" s="124" t="s">
        <v>90</v>
      </c>
      <c r="G118" s="124">
        <v>193</v>
      </c>
      <c r="H118" s="131">
        <v>38</v>
      </c>
      <c r="I118" s="131">
        <v>0</v>
      </c>
      <c r="J118" s="131">
        <v>1.298614805610204E+19</v>
      </c>
    </row>
    <row r="119" spans="4:10" ht="15" customHeight="1">
      <c r="D119" s="129" t="b">
        <v>0</v>
      </c>
      <c r="E119" s="123">
        <v>1952</v>
      </c>
      <c r="F119" s="124" t="s">
        <v>91</v>
      </c>
      <c r="G119" s="124">
        <v>181</v>
      </c>
      <c r="H119" s="131">
        <v>39</v>
      </c>
      <c r="I119" s="131">
        <v>0</v>
      </c>
      <c r="J119" s="131">
        <v>1.4306400697623632E+19</v>
      </c>
    </row>
    <row r="120" spans="4:10" ht="15" customHeight="1">
      <c r="D120" s="129" t="b">
        <v>0</v>
      </c>
      <c r="E120" s="123">
        <v>1952</v>
      </c>
      <c r="F120" s="124" t="s">
        <v>92</v>
      </c>
      <c r="G120" s="124">
        <v>183</v>
      </c>
      <c r="H120" s="131">
        <v>40</v>
      </c>
      <c r="I120" s="131">
        <v>0</v>
      </c>
      <c r="J120" s="131">
        <v>7.0654309074513316E+18</v>
      </c>
    </row>
    <row r="121" spans="4:10" ht="15" customHeight="1">
      <c r="D121" s="129" t="b">
        <v>0</v>
      </c>
      <c r="E121" s="123">
        <v>1952</v>
      </c>
      <c r="F121" s="124" t="s">
        <v>93</v>
      </c>
      <c r="G121" s="124">
        <v>218</v>
      </c>
      <c r="H121" s="131">
        <v>41</v>
      </c>
      <c r="I121" s="131">
        <v>0</v>
      </c>
      <c r="J121" s="131">
        <v>1.3821568053033437E+19</v>
      </c>
    </row>
    <row r="122" spans="4:10" ht="15" customHeight="1">
      <c r="D122" s="129" t="b">
        <v>0</v>
      </c>
      <c r="E122" s="123">
        <v>1952</v>
      </c>
      <c r="F122" s="124" t="s">
        <v>94</v>
      </c>
      <c r="G122" s="124">
        <v>230</v>
      </c>
      <c r="H122" s="131">
        <v>42</v>
      </c>
      <c r="I122" s="131">
        <v>0</v>
      </c>
      <c r="J122" s="131">
        <v>1.6178364516103416E+19</v>
      </c>
    </row>
    <row r="123" spans="4:10" ht="15" customHeight="1">
      <c r="D123" s="129" t="b">
        <v>0</v>
      </c>
      <c r="E123" s="123">
        <v>1952</v>
      </c>
      <c r="F123" s="124" t="s">
        <v>95</v>
      </c>
      <c r="G123" s="124">
        <v>242</v>
      </c>
      <c r="H123" s="131">
        <v>43</v>
      </c>
      <c r="I123" s="131">
        <v>0</v>
      </c>
      <c r="J123" s="131">
        <v>1.049754227077207E+19</v>
      </c>
    </row>
    <row r="124" spans="4:10" ht="15" customHeight="1">
      <c r="D124" s="129" t="b">
        <v>0</v>
      </c>
      <c r="E124" s="123">
        <v>1952</v>
      </c>
      <c r="F124" s="124" t="s">
        <v>96</v>
      </c>
      <c r="G124" s="124">
        <v>209</v>
      </c>
      <c r="H124" s="131">
        <v>44</v>
      </c>
      <c r="I124" s="131">
        <v>0</v>
      </c>
      <c r="J124" s="131">
        <v>1.3073018301262217E+19</v>
      </c>
    </row>
    <row r="125" spans="4:10" ht="15" customHeight="1">
      <c r="D125" s="129" t="b">
        <v>0</v>
      </c>
      <c r="E125" s="123">
        <v>1952</v>
      </c>
      <c r="F125" s="124" t="s">
        <v>97</v>
      </c>
      <c r="G125" s="124">
        <v>191</v>
      </c>
      <c r="H125" s="131">
        <v>45</v>
      </c>
      <c r="I125" s="131">
        <v>0</v>
      </c>
      <c r="J125" s="131">
        <v>1.080713913624073E+19</v>
      </c>
    </row>
    <row r="126" spans="4:10" ht="15" customHeight="1">
      <c r="D126" s="129" t="b">
        <v>0</v>
      </c>
      <c r="E126" s="123">
        <v>1952</v>
      </c>
      <c r="F126" s="124" t="s">
        <v>98</v>
      </c>
      <c r="G126" s="124">
        <v>172</v>
      </c>
      <c r="H126" s="131">
        <v>46</v>
      </c>
      <c r="I126" s="131">
        <v>0</v>
      </c>
      <c r="J126" s="131">
        <v>7.9277533236807485E+18</v>
      </c>
    </row>
    <row r="127" spans="4:10" ht="15" customHeight="1">
      <c r="D127" s="129" t="b">
        <v>0</v>
      </c>
      <c r="E127" s="123">
        <v>1952</v>
      </c>
      <c r="F127" s="124" t="s">
        <v>99</v>
      </c>
      <c r="G127" s="124">
        <v>194</v>
      </c>
      <c r="H127" s="131">
        <v>47</v>
      </c>
      <c r="I127" s="131">
        <v>0</v>
      </c>
      <c r="J127" s="131">
        <v>1.7402826909637767E+19</v>
      </c>
    </row>
    <row r="128" spans="4:10" ht="15" customHeight="1">
      <c r="D128" s="129" t="b">
        <v>0</v>
      </c>
      <c r="E128" s="123">
        <v>1953</v>
      </c>
      <c r="F128" s="124" t="s">
        <v>88</v>
      </c>
      <c r="G128" s="124">
        <v>196</v>
      </c>
      <c r="H128" s="131">
        <v>48</v>
      </c>
      <c r="I128" s="131">
        <v>0</v>
      </c>
      <c r="J128" s="131">
        <v>2.2775794352510328E+18</v>
      </c>
    </row>
    <row r="129" spans="4:10" ht="15" customHeight="1">
      <c r="D129" s="129" t="b">
        <v>0</v>
      </c>
      <c r="E129" s="123">
        <v>1953</v>
      </c>
      <c r="F129" s="124" t="s">
        <v>89</v>
      </c>
      <c r="G129" s="124">
        <v>196</v>
      </c>
      <c r="H129" s="131">
        <v>49</v>
      </c>
      <c r="I129" s="131">
        <v>0</v>
      </c>
      <c r="J129" s="131">
        <v>1.1845484659263113E+19</v>
      </c>
    </row>
    <row r="130" spans="4:10" ht="15" customHeight="1">
      <c r="D130" s="129" t="b">
        <v>0</v>
      </c>
      <c r="E130" s="123">
        <v>1953</v>
      </c>
      <c r="F130" s="124" t="s">
        <v>90</v>
      </c>
      <c r="G130" s="124">
        <v>236</v>
      </c>
      <c r="H130" s="131">
        <v>50</v>
      </c>
      <c r="I130" s="131">
        <v>0</v>
      </c>
      <c r="J130" s="131">
        <v>8.723681243960276E+18</v>
      </c>
    </row>
    <row r="131" spans="4:10" ht="15" customHeight="1">
      <c r="D131" s="129" t="b">
        <v>0</v>
      </c>
      <c r="E131" s="123">
        <v>1953</v>
      </c>
      <c r="F131" s="124" t="s">
        <v>91</v>
      </c>
      <c r="G131" s="124">
        <v>235</v>
      </c>
      <c r="H131" s="131">
        <v>51</v>
      </c>
      <c r="I131" s="131">
        <v>0</v>
      </c>
      <c r="J131" s="131">
        <v>2.9334812551275249E+18</v>
      </c>
    </row>
    <row r="132" spans="4:10" ht="15" customHeight="1">
      <c r="D132" s="129" t="b">
        <v>0</v>
      </c>
      <c r="E132" s="123">
        <v>1953</v>
      </c>
      <c r="F132" s="124" t="s">
        <v>92</v>
      </c>
      <c r="G132" s="124">
        <v>229</v>
      </c>
      <c r="H132" s="131">
        <v>52</v>
      </c>
      <c r="I132" s="131">
        <v>0</v>
      </c>
      <c r="J132" s="131">
        <v>3.9819570375579412E+18</v>
      </c>
    </row>
    <row r="133" spans="4:10" ht="15" customHeight="1">
      <c r="D133" s="129" t="b">
        <v>0</v>
      </c>
      <c r="E133" s="123">
        <v>1953</v>
      </c>
      <c r="F133" s="124" t="s">
        <v>93</v>
      </c>
      <c r="G133" s="124">
        <v>243</v>
      </c>
      <c r="H133" s="131">
        <v>53</v>
      </c>
      <c r="I133" s="131">
        <v>0</v>
      </c>
      <c r="J133" s="131">
        <v>1.0458646387732131E+18</v>
      </c>
    </row>
    <row r="134" spans="4:10" ht="15" customHeight="1">
      <c r="D134" s="129" t="b">
        <v>0</v>
      </c>
      <c r="E134" s="123">
        <v>1953</v>
      </c>
      <c r="F134" s="124" t="s">
        <v>94</v>
      </c>
      <c r="G134" s="124">
        <v>264</v>
      </c>
      <c r="H134" s="131">
        <v>54</v>
      </c>
      <c r="I134" s="131">
        <v>0</v>
      </c>
      <c r="J134" s="131">
        <v>9.6098062037963366E+18</v>
      </c>
    </row>
    <row r="135" spans="4:10" ht="15" customHeight="1">
      <c r="D135" s="129" t="b">
        <v>0</v>
      </c>
      <c r="E135" s="123">
        <v>1953</v>
      </c>
      <c r="F135" s="124" t="s">
        <v>95</v>
      </c>
      <c r="G135" s="124">
        <v>272</v>
      </c>
      <c r="H135" s="131">
        <v>55</v>
      </c>
      <c r="I135" s="131">
        <v>0</v>
      </c>
      <c r="J135" s="131">
        <v>3.322241660526551E+18</v>
      </c>
    </row>
    <row r="136" spans="4:10" ht="15" customHeight="1">
      <c r="D136" s="129" t="b">
        <v>0</v>
      </c>
      <c r="E136" s="123">
        <v>1953</v>
      </c>
      <c r="F136" s="124" t="s">
        <v>96</v>
      </c>
      <c r="G136" s="124">
        <v>237</v>
      </c>
      <c r="H136" s="131">
        <v>56</v>
      </c>
      <c r="I136" s="131">
        <v>0</v>
      </c>
      <c r="J136" s="131">
        <v>3.5491815877600625E+18</v>
      </c>
    </row>
    <row r="137" spans="4:10" ht="15" customHeight="1">
      <c r="D137" s="129" t="b">
        <v>0</v>
      </c>
      <c r="E137" s="123">
        <v>1953</v>
      </c>
      <c r="F137" s="124" t="s">
        <v>97</v>
      </c>
      <c r="G137" s="124">
        <v>211</v>
      </c>
      <c r="H137" s="131">
        <v>57</v>
      </c>
      <c r="I137" s="131">
        <v>0</v>
      </c>
      <c r="J137" s="131">
        <v>4.2836035826764585E+18</v>
      </c>
    </row>
    <row r="138" spans="4:10" ht="15" customHeight="1">
      <c r="D138" s="129" t="b">
        <v>0</v>
      </c>
      <c r="E138" s="123">
        <v>1953</v>
      </c>
      <c r="F138" s="124" t="s">
        <v>98</v>
      </c>
      <c r="G138" s="124">
        <v>180</v>
      </c>
      <c r="H138" s="131">
        <v>58</v>
      </c>
      <c r="I138" s="131">
        <v>0</v>
      </c>
      <c r="J138" s="131">
        <v>8.726814637252523E+18</v>
      </c>
    </row>
    <row r="139" spans="4:10" ht="15" customHeight="1">
      <c r="D139" s="129" t="b">
        <v>0</v>
      </c>
      <c r="E139" s="123">
        <v>1953</v>
      </c>
      <c r="F139" s="124" t="s">
        <v>99</v>
      </c>
      <c r="G139" s="124">
        <v>201</v>
      </c>
      <c r="H139" s="131">
        <v>59</v>
      </c>
      <c r="I139" s="131">
        <v>0</v>
      </c>
      <c r="J139" s="131">
        <v>1.6430847952785893E+19</v>
      </c>
    </row>
    <row r="140" spans="4:10" ht="15" customHeight="1">
      <c r="D140" s="129" t="b">
        <v>0</v>
      </c>
      <c r="E140" s="123">
        <v>1954</v>
      </c>
      <c r="F140" s="124" t="s">
        <v>88</v>
      </c>
      <c r="G140" s="124">
        <v>204</v>
      </c>
      <c r="H140" s="131">
        <v>60</v>
      </c>
      <c r="I140" s="131">
        <v>0</v>
      </c>
      <c r="J140" s="131">
        <v>1.1923925103148259E+19</v>
      </c>
    </row>
    <row r="141" spans="4:10" ht="15" customHeight="1">
      <c r="D141" s="129" t="b">
        <v>0</v>
      </c>
      <c r="E141" s="123">
        <v>1954</v>
      </c>
      <c r="F141" s="124" t="s">
        <v>89</v>
      </c>
      <c r="G141" s="124">
        <v>188</v>
      </c>
      <c r="H141" s="131">
        <v>61</v>
      </c>
      <c r="I141" s="131">
        <v>0</v>
      </c>
      <c r="J141" s="131">
        <v>1.3827670094751943E+19</v>
      </c>
    </row>
    <row r="142" spans="4:10" ht="15" customHeight="1">
      <c r="D142" s="129" t="b">
        <v>0</v>
      </c>
      <c r="E142" s="123">
        <v>1954</v>
      </c>
      <c r="F142" s="124" t="s">
        <v>90</v>
      </c>
      <c r="G142" s="124">
        <v>235</v>
      </c>
      <c r="H142" s="131">
        <v>62</v>
      </c>
      <c r="I142" s="131">
        <v>0</v>
      </c>
      <c r="J142" s="131">
        <v>3.9403339551994885E+18</v>
      </c>
    </row>
    <row r="143" spans="4:10" ht="15" customHeight="1">
      <c r="D143" s="129" t="b">
        <v>0</v>
      </c>
      <c r="E143" s="123">
        <v>1954</v>
      </c>
      <c r="F143" s="124" t="s">
        <v>91</v>
      </c>
      <c r="G143" s="124">
        <v>227</v>
      </c>
      <c r="H143" s="131">
        <v>63</v>
      </c>
      <c r="I143" s="131">
        <v>0</v>
      </c>
      <c r="J143" s="131">
        <v>4.085779666755582E+18</v>
      </c>
    </row>
    <row r="144" spans="4:10" ht="15" customHeight="1">
      <c r="D144" s="129" t="b">
        <v>0</v>
      </c>
      <c r="E144" s="123">
        <v>1954</v>
      </c>
      <c r="F144" s="124" t="s">
        <v>92</v>
      </c>
      <c r="G144" s="124">
        <v>234</v>
      </c>
      <c r="H144" s="131">
        <v>64</v>
      </c>
      <c r="I144" s="131">
        <v>0</v>
      </c>
      <c r="J144" s="131">
        <v>1.2129725057540807E+19</v>
      </c>
    </row>
    <row r="145" spans="4:10" ht="15" customHeight="1">
      <c r="D145" s="129" t="b">
        <v>0</v>
      </c>
      <c r="E145" s="123">
        <v>1954</v>
      </c>
      <c r="F145" s="124" t="s">
        <v>93</v>
      </c>
      <c r="G145" s="124">
        <v>264</v>
      </c>
      <c r="H145" s="131">
        <v>65</v>
      </c>
      <c r="I145" s="131">
        <v>0</v>
      </c>
      <c r="J145" s="131">
        <v>8.5940933863721513E+18</v>
      </c>
    </row>
    <row r="146" spans="4:10" ht="15" customHeight="1">
      <c r="D146" s="129" t="b">
        <v>0</v>
      </c>
      <c r="E146" s="123">
        <v>1954</v>
      </c>
      <c r="F146" s="124" t="s">
        <v>94</v>
      </c>
      <c r="G146" s="124">
        <v>302</v>
      </c>
      <c r="H146" s="131">
        <v>66</v>
      </c>
      <c r="I146" s="131">
        <v>0</v>
      </c>
      <c r="J146" s="131">
        <v>3.5709227267395763E+18</v>
      </c>
    </row>
    <row r="147" spans="4:10" ht="15" customHeight="1">
      <c r="D147" s="129" t="b">
        <v>0</v>
      </c>
      <c r="E147" s="123">
        <v>1954</v>
      </c>
      <c r="F147" s="124" t="s">
        <v>95</v>
      </c>
      <c r="G147" s="124">
        <v>293</v>
      </c>
      <c r="H147" s="131">
        <v>67</v>
      </c>
      <c r="I147" s="131">
        <v>0</v>
      </c>
      <c r="J147" s="131">
        <v>8.6086719807844004E+18</v>
      </c>
    </row>
    <row r="148" spans="4:10" ht="15" customHeight="1">
      <c r="D148" s="129" t="b">
        <v>0</v>
      </c>
      <c r="E148" s="123">
        <v>1954</v>
      </c>
      <c r="F148" s="124" t="s">
        <v>96</v>
      </c>
      <c r="G148" s="124">
        <v>259</v>
      </c>
      <c r="H148" s="131">
        <v>68</v>
      </c>
      <c r="I148" s="131">
        <v>0</v>
      </c>
      <c r="J148" s="131">
        <v>1.0390810981836894E+19</v>
      </c>
    </row>
    <row r="149" spans="4:10" ht="15" customHeight="1">
      <c r="D149" s="129" t="b">
        <v>0</v>
      </c>
      <c r="E149" s="123">
        <v>1954</v>
      </c>
      <c r="F149" s="124" t="s">
        <v>97</v>
      </c>
      <c r="G149" s="124">
        <v>229</v>
      </c>
      <c r="H149" s="131">
        <v>69</v>
      </c>
      <c r="I149" s="131">
        <v>0</v>
      </c>
      <c r="J149" s="131">
        <v>1.8312823047403387E+19</v>
      </c>
    </row>
    <row r="150" spans="4:10" ht="15" customHeight="1">
      <c r="D150" s="129" t="b">
        <v>0</v>
      </c>
      <c r="E150" s="123">
        <v>1954</v>
      </c>
      <c r="F150" s="124" t="s">
        <v>98</v>
      </c>
      <c r="G150" s="124">
        <v>203</v>
      </c>
      <c r="H150" s="131">
        <v>70</v>
      </c>
      <c r="I150" s="131">
        <v>0</v>
      </c>
      <c r="J150" s="131">
        <v>1.1263167915727649E+19</v>
      </c>
    </row>
    <row r="151" spans="4:10" ht="15" customHeight="1">
      <c r="D151" s="129" t="b">
        <v>0</v>
      </c>
      <c r="E151" s="123">
        <v>1954</v>
      </c>
      <c r="F151" s="124" t="s">
        <v>99</v>
      </c>
      <c r="G151" s="124">
        <v>229</v>
      </c>
      <c r="H151" s="131">
        <v>71</v>
      </c>
      <c r="I151" s="131">
        <v>0</v>
      </c>
      <c r="J151" s="131">
        <v>1.0802865914444218E+19</v>
      </c>
    </row>
    <row r="152" spans="4:10" ht="15" customHeight="1">
      <c r="D152" s="129" t="b">
        <v>0</v>
      </c>
      <c r="E152" s="123">
        <v>1955</v>
      </c>
      <c r="F152" s="124" t="s">
        <v>88</v>
      </c>
      <c r="G152" s="124">
        <v>242</v>
      </c>
      <c r="H152" s="131">
        <v>72</v>
      </c>
      <c r="I152" s="131">
        <v>0</v>
      </c>
      <c r="J152" s="131">
        <v>5.8467690614494556E+18</v>
      </c>
    </row>
    <row r="153" spans="4:10" ht="15" customHeight="1">
      <c r="D153" s="129" t="b">
        <v>0</v>
      </c>
      <c r="E153" s="123">
        <v>1955</v>
      </c>
      <c r="F153" s="124" t="s">
        <v>89</v>
      </c>
      <c r="G153" s="124">
        <v>233</v>
      </c>
      <c r="H153" s="131">
        <v>73</v>
      </c>
      <c r="I153" s="131">
        <v>0</v>
      </c>
      <c r="J153" s="131">
        <v>1.1653231264553425E+19</v>
      </c>
    </row>
    <row r="154" spans="4:10" ht="15" customHeight="1">
      <c r="D154" s="129" t="b">
        <v>0</v>
      </c>
      <c r="E154" s="123">
        <v>1955</v>
      </c>
      <c r="F154" s="124" t="s">
        <v>90</v>
      </c>
      <c r="G154" s="124">
        <v>267</v>
      </c>
      <c r="H154" s="131">
        <v>74</v>
      </c>
      <c r="I154" s="131">
        <v>0</v>
      </c>
      <c r="J154" s="131">
        <v>1.2733117318971591E+19</v>
      </c>
    </row>
    <row r="155" spans="4:10" ht="15" customHeight="1">
      <c r="D155" s="129" t="b">
        <v>0</v>
      </c>
      <c r="E155" s="123">
        <v>1955</v>
      </c>
      <c r="F155" s="124" t="s">
        <v>91</v>
      </c>
      <c r="G155" s="124">
        <v>269</v>
      </c>
      <c r="H155" s="131">
        <v>75</v>
      </c>
      <c r="I155" s="131">
        <v>0</v>
      </c>
      <c r="J155" s="131">
        <v>1.5414697803041548E+19</v>
      </c>
    </row>
    <row r="156" spans="4:10" ht="15" customHeight="1">
      <c r="D156" s="129" t="b">
        <v>0</v>
      </c>
      <c r="E156" s="123">
        <v>1955</v>
      </c>
      <c r="F156" s="124" t="s">
        <v>92</v>
      </c>
      <c r="G156" s="124">
        <v>270</v>
      </c>
      <c r="H156" s="131">
        <v>76</v>
      </c>
      <c r="I156" s="131">
        <v>0</v>
      </c>
      <c r="J156" s="131">
        <v>1.4093332804917871E+19</v>
      </c>
    </row>
    <row r="157" spans="4:10" ht="15" customHeight="1">
      <c r="D157" s="129" t="b">
        <v>0</v>
      </c>
      <c r="E157" s="123">
        <v>1955</v>
      </c>
      <c r="F157" s="124" t="s">
        <v>93</v>
      </c>
      <c r="G157" s="124">
        <v>315</v>
      </c>
      <c r="H157" s="131">
        <v>77</v>
      </c>
      <c r="I157" s="131">
        <v>0</v>
      </c>
      <c r="J157" s="131">
        <v>1.6525807932842053E+18</v>
      </c>
    </row>
    <row r="158" spans="4:10" ht="15" customHeight="1">
      <c r="D158" s="129" t="b">
        <v>0</v>
      </c>
      <c r="E158" s="123">
        <v>1955</v>
      </c>
      <c r="F158" s="124" t="s">
        <v>94</v>
      </c>
      <c r="G158" s="124">
        <v>364</v>
      </c>
      <c r="H158" s="131">
        <v>78</v>
      </c>
      <c r="I158" s="131">
        <v>0</v>
      </c>
      <c r="J158" s="131">
        <v>4.9333988894163384E+18</v>
      </c>
    </row>
    <row r="159" spans="4:10" ht="15" customHeight="1">
      <c r="D159" s="129" t="b">
        <v>0</v>
      </c>
      <c r="E159" s="123">
        <v>1955</v>
      </c>
      <c r="F159" s="124" t="s">
        <v>95</v>
      </c>
      <c r="G159" s="124">
        <v>347</v>
      </c>
      <c r="H159" s="131">
        <v>79</v>
      </c>
      <c r="I159" s="131">
        <v>0</v>
      </c>
      <c r="J159" s="131">
        <v>7.9088863629533153E+18</v>
      </c>
    </row>
    <row r="160" spans="4:10" ht="15" customHeight="1">
      <c r="D160" s="129" t="b">
        <v>0</v>
      </c>
      <c r="E160" s="123">
        <v>1955</v>
      </c>
      <c r="F160" s="124" t="s">
        <v>96</v>
      </c>
      <c r="G160" s="124">
        <v>312</v>
      </c>
      <c r="H160" s="131">
        <v>80</v>
      </c>
      <c r="I160" s="131">
        <v>0</v>
      </c>
      <c r="J160" s="131">
        <v>4.9218520047074394E+17</v>
      </c>
    </row>
    <row r="161" spans="4:10" ht="15" customHeight="1">
      <c r="D161" s="129" t="b">
        <v>0</v>
      </c>
      <c r="E161" s="123">
        <v>1955</v>
      </c>
      <c r="F161" s="124" t="s">
        <v>97</v>
      </c>
      <c r="G161" s="124">
        <v>274</v>
      </c>
      <c r="H161" s="131">
        <v>81</v>
      </c>
      <c r="I161" s="131">
        <v>0</v>
      </c>
      <c r="J161" s="131">
        <v>1.0534410656292966E+19</v>
      </c>
    </row>
    <row r="162" spans="4:10" ht="15" customHeight="1">
      <c r="D162" s="129" t="b">
        <v>0</v>
      </c>
      <c r="E162" s="123">
        <v>1955</v>
      </c>
      <c r="F162" s="124" t="s">
        <v>98</v>
      </c>
      <c r="G162" s="124">
        <v>237</v>
      </c>
      <c r="H162" s="131">
        <v>82</v>
      </c>
      <c r="I162" s="131">
        <v>0</v>
      </c>
      <c r="J162" s="131">
        <v>1.243843548849227E+19</v>
      </c>
    </row>
    <row r="163" spans="4:10" ht="15" customHeight="1">
      <c r="D163" s="129" t="b">
        <v>0</v>
      </c>
      <c r="E163" s="123">
        <v>1955</v>
      </c>
      <c r="F163" s="124" t="s">
        <v>99</v>
      </c>
      <c r="G163" s="124">
        <v>278</v>
      </c>
      <c r="H163" s="131">
        <v>83</v>
      </c>
      <c r="I163" s="131">
        <v>0</v>
      </c>
      <c r="J163" s="131">
        <v>3.237588160225534E+18</v>
      </c>
    </row>
    <row r="164" spans="4:10" ht="15" customHeight="1">
      <c r="D164" s="129" t="b">
        <v>0</v>
      </c>
      <c r="E164" s="123">
        <v>1956</v>
      </c>
      <c r="F164" s="124" t="s">
        <v>88</v>
      </c>
      <c r="G164" s="124">
        <v>284</v>
      </c>
      <c r="H164" s="131">
        <v>84</v>
      </c>
      <c r="I164" s="131">
        <v>0</v>
      </c>
      <c r="J164" s="131">
        <v>1.4459930366899378E+19</v>
      </c>
    </row>
    <row r="165" spans="4:10" ht="15" customHeight="1">
      <c r="D165" s="129" t="b">
        <v>0</v>
      </c>
      <c r="E165" s="123">
        <v>1956</v>
      </c>
      <c r="F165" s="124" t="s">
        <v>89</v>
      </c>
      <c r="G165" s="124">
        <v>277</v>
      </c>
      <c r="H165" s="131">
        <v>85</v>
      </c>
      <c r="I165" s="131">
        <v>0</v>
      </c>
      <c r="J165" s="131">
        <v>1.20559983080814E+19</v>
      </c>
    </row>
    <row r="166" spans="4:10" ht="15" customHeight="1">
      <c r="D166" s="129" t="b">
        <v>0</v>
      </c>
      <c r="E166" s="123">
        <v>1956</v>
      </c>
      <c r="F166" s="124" t="s">
        <v>90</v>
      </c>
      <c r="G166" s="124">
        <v>317</v>
      </c>
      <c r="H166" s="131">
        <v>86</v>
      </c>
      <c r="I166" s="131">
        <v>0</v>
      </c>
      <c r="J166" s="131">
        <v>1.7035530065347228E+19</v>
      </c>
    </row>
    <row r="167" spans="4:10" ht="15" customHeight="1">
      <c r="D167" s="129" t="b">
        <v>0</v>
      </c>
      <c r="E167" s="123">
        <v>1956</v>
      </c>
      <c r="F167" s="124" t="s">
        <v>91</v>
      </c>
      <c r="G167" s="124">
        <v>313</v>
      </c>
      <c r="H167" s="131">
        <v>87</v>
      </c>
      <c r="I167" s="131">
        <v>0</v>
      </c>
      <c r="J167" s="131">
        <v>3.2359064867261478E+17</v>
      </c>
    </row>
    <row r="168" spans="4:10" ht="15" customHeight="1">
      <c r="D168" s="129" t="b">
        <v>0</v>
      </c>
      <c r="E168" s="123">
        <v>1956</v>
      </c>
      <c r="F168" s="124" t="s">
        <v>92</v>
      </c>
      <c r="G168" s="124">
        <v>318</v>
      </c>
      <c r="H168" s="131">
        <v>88</v>
      </c>
      <c r="I168" s="131">
        <v>0</v>
      </c>
      <c r="J168" s="131">
        <v>1.6973540743497757E+19</v>
      </c>
    </row>
    <row r="169" spans="4:10" ht="15" customHeight="1">
      <c r="D169" s="129" t="b">
        <v>0</v>
      </c>
      <c r="E169" s="123">
        <v>1956</v>
      </c>
      <c r="F169" s="124" t="s">
        <v>93</v>
      </c>
      <c r="G169" s="124">
        <v>374</v>
      </c>
      <c r="H169" s="131">
        <v>89</v>
      </c>
      <c r="I169" s="131">
        <v>0</v>
      </c>
      <c r="J169" s="131">
        <v>8.6182656839557765E+18</v>
      </c>
    </row>
    <row r="170" spans="4:10" ht="15" customHeight="1">
      <c r="D170" s="129" t="b">
        <v>0</v>
      </c>
      <c r="E170" s="123">
        <v>1956</v>
      </c>
      <c r="F170" s="124" t="s">
        <v>94</v>
      </c>
      <c r="G170" s="124">
        <v>413</v>
      </c>
      <c r="H170" s="131">
        <v>90</v>
      </c>
      <c r="I170" s="131">
        <v>0</v>
      </c>
      <c r="J170" s="131">
        <v>1.0607049310443762E+19</v>
      </c>
    </row>
    <row r="171" spans="4:10" ht="15" customHeight="1">
      <c r="D171" s="129" t="b">
        <v>0</v>
      </c>
      <c r="E171" s="123">
        <v>1956</v>
      </c>
      <c r="F171" s="124" t="s">
        <v>95</v>
      </c>
      <c r="G171" s="124">
        <v>405</v>
      </c>
      <c r="H171" s="131">
        <v>91</v>
      </c>
      <c r="I171" s="131">
        <v>0</v>
      </c>
      <c r="J171" s="131">
        <v>1.277578350161255E+19</v>
      </c>
    </row>
    <row r="172" spans="4:10" ht="15" customHeight="1">
      <c r="D172" s="129" t="b">
        <v>0</v>
      </c>
      <c r="E172" s="123">
        <v>1956</v>
      </c>
      <c r="F172" s="124" t="s">
        <v>96</v>
      </c>
      <c r="G172" s="124">
        <v>355</v>
      </c>
      <c r="H172" s="131">
        <v>92</v>
      </c>
      <c r="I172" s="131">
        <v>0</v>
      </c>
      <c r="J172" s="131">
        <v>3.394800673764802E+18</v>
      </c>
    </row>
    <row r="173" spans="4:10" ht="15" customHeight="1">
      <c r="D173" s="129" t="b">
        <v>0</v>
      </c>
      <c r="E173" s="123">
        <v>1956</v>
      </c>
      <c r="F173" s="124" t="s">
        <v>97</v>
      </c>
      <c r="G173" s="124">
        <v>306</v>
      </c>
      <c r="H173" s="131">
        <v>93</v>
      </c>
      <c r="I173" s="131">
        <v>0</v>
      </c>
      <c r="J173" s="131">
        <v>1.6289692921427792E+19</v>
      </c>
    </row>
    <row r="174" spans="4:10" ht="15" customHeight="1">
      <c r="D174" s="129" t="b">
        <v>0</v>
      </c>
      <c r="E174" s="123">
        <v>1956</v>
      </c>
      <c r="F174" s="124" t="s">
        <v>98</v>
      </c>
      <c r="G174" s="124">
        <v>271</v>
      </c>
      <c r="H174" s="131">
        <v>94</v>
      </c>
      <c r="I174" s="131">
        <v>0</v>
      </c>
      <c r="J174" s="131">
        <v>5.0150047750500813E+18</v>
      </c>
    </row>
    <row r="175" spans="4:10" ht="15" customHeight="1">
      <c r="D175" s="129" t="b">
        <v>0</v>
      </c>
      <c r="E175" s="123">
        <v>1956</v>
      </c>
      <c r="F175" s="124" t="s">
        <v>99</v>
      </c>
      <c r="G175" s="124">
        <v>306</v>
      </c>
      <c r="H175" s="131">
        <v>95</v>
      </c>
      <c r="I175" s="131">
        <v>0</v>
      </c>
      <c r="J175" s="131">
        <v>9.6694258967602135E+18</v>
      </c>
    </row>
    <row r="176" spans="4:10" ht="15" customHeight="1">
      <c r="D176" s="129" t="b">
        <v>0</v>
      </c>
      <c r="E176" s="123">
        <v>1957</v>
      </c>
      <c r="F176" s="124" t="s">
        <v>88</v>
      </c>
      <c r="G176" s="124">
        <v>315</v>
      </c>
      <c r="H176" s="131">
        <v>96</v>
      </c>
      <c r="I176" s="131">
        <v>0</v>
      </c>
      <c r="J176" s="131">
        <v>8.246506430746581E+18</v>
      </c>
    </row>
    <row r="177" spans="4:10" ht="15" customHeight="1">
      <c r="D177" s="129" t="b">
        <v>0</v>
      </c>
      <c r="E177" s="123">
        <v>1957</v>
      </c>
      <c r="F177" s="124" t="s">
        <v>89</v>
      </c>
      <c r="G177" s="124">
        <v>301</v>
      </c>
      <c r="H177" s="131">
        <v>97</v>
      </c>
      <c r="I177" s="131">
        <v>0</v>
      </c>
      <c r="J177" s="131">
        <v>1.5511184361747441E+18</v>
      </c>
    </row>
    <row r="178" spans="4:10" ht="15" customHeight="1">
      <c r="D178" s="129" t="b">
        <v>0</v>
      </c>
      <c r="E178" s="123">
        <v>1957</v>
      </c>
      <c r="F178" s="124" t="s">
        <v>90</v>
      </c>
      <c r="G178" s="124">
        <v>356</v>
      </c>
      <c r="H178" s="131">
        <v>98</v>
      </c>
      <c r="I178" s="131">
        <v>0</v>
      </c>
      <c r="J178" s="131">
        <v>5.5342148360317686E+18</v>
      </c>
    </row>
    <row r="179" spans="4:10" ht="15" customHeight="1">
      <c r="D179" s="129" t="b">
        <v>0</v>
      </c>
      <c r="E179" s="123">
        <v>1957</v>
      </c>
      <c r="F179" s="124" t="s">
        <v>91</v>
      </c>
      <c r="G179" s="124">
        <v>348</v>
      </c>
      <c r="H179" s="131">
        <v>99</v>
      </c>
      <c r="I179" s="131">
        <v>0</v>
      </c>
      <c r="J179" s="131">
        <v>1.817261675891233E+19</v>
      </c>
    </row>
    <row r="180" spans="4:10" ht="15" customHeight="1">
      <c r="D180" s="129" t="b">
        <v>0</v>
      </c>
      <c r="E180" s="123">
        <v>1957</v>
      </c>
      <c r="F180" s="124" t="s">
        <v>92</v>
      </c>
      <c r="G180" s="124">
        <v>355</v>
      </c>
      <c r="H180" s="131">
        <v>100</v>
      </c>
      <c r="I180" s="131">
        <v>0</v>
      </c>
      <c r="J180" s="131">
        <v>1.3526971010072787E+19</v>
      </c>
    </row>
    <row r="181" spans="4:10" ht="15" customHeight="1">
      <c r="D181" s="129" t="b">
        <v>0</v>
      </c>
      <c r="E181" s="123">
        <v>1957</v>
      </c>
      <c r="F181" s="124" t="s">
        <v>93</v>
      </c>
      <c r="G181" s="124">
        <v>422</v>
      </c>
      <c r="H181" s="131">
        <v>101</v>
      </c>
      <c r="I181" s="131">
        <v>0</v>
      </c>
      <c r="J181" s="131">
        <v>3.2552223336991245E+17</v>
      </c>
    </row>
    <row r="182" spans="4:10" ht="15" customHeight="1">
      <c r="D182" s="129" t="b">
        <v>0</v>
      </c>
      <c r="E182" s="123">
        <v>1957</v>
      </c>
      <c r="F182" s="124" t="s">
        <v>94</v>
      </c>
      <c r="G182" s="124">
        <v>465</v>
      </c>
      <c r="H182" s="131">
        <v>102</v>
      </c>
      <c r="I182" s="131">
        <v>0</v>
      </c>
      <c r="J182" s="131">
        <v>1.5646774449666097E+19</v>
      </c>
    </row>
    <row r="183" spans="4:10" ht="15" customHeight="1">
      <c r="D183" s="129" t="b">
        <v>0</v>
      </c>
      <c r="E183" s="123">
        <v>1957</v>
      </c>
      <c r="F183" s="124" t="s">
        <v>95</v>
      </c>
      <c r="G183" s="124">
        <v>467</v>
      </c>
      <c r="H183" s="131">
        <v>103</v>
      </c>
      <c r="I183" s="131">
        <v>0</v>
      </c>
      <c r="J183" s="131">
        <v>2.0097896555348308E+18</v>
      </c>
    </row>
    <row r="184" spans="4:10" ht="15" customHeight="1">
      <c r="D184" s="129" t="b">
        <v>0</v>
      </c>
      <c r="E184" s="123">
        <v>1957</v>
      </c>
      <c r="F184" s="124" t="s">
        <v>96</v>
      </c>
      <c r="G184" s="124">
        <v>404</v>
      </c>
      <c r="H184" s="131">
        <v>104</v>
      </c>
      <c r="I184" s="131">
        <v>0</v>
      </c>
      <c r="J184" s="131">
        <v>1.8420052874870452E+19</v>
      </c>
    </row>
    <row r="185" spans="4:10" ht="15" customHeight="1">
      <c r="D185" s="129" t="b">
        <v>0</v>
      </c>
      <c r="E185" s="123">
        <v>1957</v>
      </c>
      <c r="F185" s="124" t="s">
        <v>97</v>
      </c>
      <c r="G185" s="124">
        <v>347</v>
      </c>
      <c r="H185" s="131">
        <v>105</v>
      </c>
      <c r="I185" s="131">
        <v>0</v>
      </c>
      <c r="J185" s="131">
        <v>9.1560989133367283E+17</v>
      </c>
    </row>
    <row r="186" spans="4:10" ht="15" customHeight="1">
      <c r="D186" s="129" t="b">
        <v>0</v>
      </c>
      <c r="E186" s="123">
        <v>1957</v>
      </c>
      <c r="F186" s="124" t="s">
        <v>98</v>
      </c>
      <c r="G186" s="124">
        <v>305</v>
      </c>
      <c r="H186" s="131">
        <v>106</v>
      </c>
      <c r="I186" s="131">
        <v>0</v>
      </c>
      <c r="J186" s="131">
        <v>1.645590997300652E+19</v>
      </c>
    </row>
    <row r="187" spans="4:10" ht="15" customHeight="1">
      <c r="D187" s="129" t="b">
        <v>0</v>
      </c>
      <c r="E187" s="123">
        <v>1957</v>
      </c>
      <c r="F187" s="124" t="s">
        <v>99</v>
      </c>
      <c r="G187" s="124">
        <v>336</v>
      </c>
      <c r="H187" s="131">
        <v>107</v>
      </c>
      <c r="I187" s="131">
        <v>0</v>
      </c>
      <c r="J187" s="131">
        <v>1.1676507037953618E+19</v>
      </c>
    </row>
    <row r="188" spans="4:10" ht="15" customHeight="1">
      <c r="D188" s="129" t="b">
        <v>0</v>
      </c>
      <c r="E188" s="123">
        <v>1958</v>
      </c>
      <c r="F188" s="124" t="s">
        <v>88</v>
      </c>
      <c r="G188" s="124">
        <v>340</v>
      </c>
      <c r="H188" s="131">
        <v>108</v>
      </c>
      <c r="I188" s="131">
        <v>0</v>
      </c>
      <c r="J188" s="131">
        <v>7.6568298493438556E+18</v>
      </c>
    </row>
    <row r="189" spans="4:10" ht="15" customHeight="1">
      <c r="D189" s="129" t="b">
        <v>0</v>
      </c>
      <c r="E189" s="123">
        <v>1958</v>
      </c>
      <c r="F189" s="124" t="s">
        <v>89</v>
      </c>
      <c r="G189" s="124">
        <v>318</v>
      </c>
      <c r="H189" s="131">
        <v>109</v>
      </c>
      <c r="I189" s="131">
        <v>0</v>
      </c>
      <c r="J189" s="131">
        <v>7.9764700753351178E+18</v>
      </c>
    </row>
    <row r="190" spans="4:10" ht="15" customHeight="1">
      <c r="D190" s="129" t="b">
        <v>0</v>
      </c>
      <c r="E190" s="123">
        <v>1958</v>
      </c>
      <c r="F190" s="124" t="s">
        <v>90</v>
      </c>
      <c r="G190" s="124">
        <v>362</v>
      </c>
      <c r="H190" s="131">
        <v>110</v>
      </c>
      <c r="I190" s="131">
        <v>0</v>
      </c>
      <c r="J190" s="131">
        <v>1.0720266573856023E+19</v>
      </c>
    </row>
    <row r="191" spans="4:10" ht="15" customHeight="1">
      <c r="D191" s="129" t="b">
        <v>0</v>
      </c>
      <c r="E191" s="123">
        <v>1958</v>
      </c>
      <c r="F191" s="124" t="s">
        <v>91</v>
      </c>
      <c r="G191" s="124">
        <v>348</v>
      </c>
      <c r="H191" s="131">
        <v>111</v>
      </c>
      <c r="I191" s="131">
        <v>0</v>
      </c>
      <c r="J191" s="131">
        <v>1.1318578992330334E+19</v>
      </c>
    </row>
    <row r="192" spans="4:10" ht="15" customHeight="1">
      <c r="D192" s="129" t="b">
        <v>0</v>
      </c>
      <c r="E192" s="123">
        <v>1958</v>
      </c>
      <c r="F192" s="124" t="s">
        <v>92</v>
      </c>
      <c r="G192" s="124">
        <v>363</v>
      </c>
      <c r="H192" s="131">
        <v>112</v>
      </c>
      <c r="I192" s="131">
        <v>0</v>
      </c>
      <c r="J192" s="131">
        <v>1.6532081637504688E+19</v>
      </c>
    </row>
    <row r="193" spans="4:10" ht="15" customHeight="1">
      <c r="D193" s="129" t="b">
        <v>0</v>
      </c>
      <c r="E193" s="123">
        <v>1958</v>
      </c>
      <c r="F193" s="124" t="s">
        <v>93</v>
      </c>
      <c r="G193" s="124">
        <v>435</v>
      </c>
      <c r="H193" s="131">
        <v>113</v>
      </c>
      <c r="I193" s="131">
        <v>0</v>
      </c>
      <c r="J193" s="131">
        <v>1.199808070334174E+19</v>
      </c>
    </row>
    <row r="194" spans="4:10" ht="15" customHeight="1">
      <c r="D194" s="129" t="b">
        <v>0</v>
      </c>
      <c r="E194" s="123">
        <v>1958</v>
      </c>
      <c r="F194" s="124" t="s">
        <v>94</v>
      </c>
      <c r="G194" s="124">
        <v>491</v>
      </c>
      <c r="H194" s="131">
        <v>114</v>
      </c>
      <c r="I194" s="131">
        <v>0</v>
      </c>
      <c r="J194" s="131">
        <v>1.4459952385127291E+19</v>
      </c>
    </row>
    <row r="195" spans="4:10" ht="15" customHeight="1">
      <c r="D195" s="129" t="b">
        <v>0</v>
      </c>
      <c r="E195" s="123">
        <v>1958</v>
      </c>
      <c r="F195" s="124" t="s">
        <v>95</v>
      </c>
      <c r="G195" s="124">
        <v>505</v>
      </c>
      <c r="H195" s="131">
        <v>115</v>
      </c>
      <c r="I195" s="131">
        <v>0</v>
      </c>
      <c r="J195" s="131">
        <v>1.3574347824991304E+18</v>
      </c>
    </row>
    <row r="196" spans="4:10" ht="15" customHeight="1">
      <c r="D196" s="129" t="b">
        <v>0</v>
      </c>
      <c r="E196" s="123">
        <v>1958</v>
      </c>
      <c r="F196" s="124" t="s">
        <v>96</v>
      </c>
      <c r="G196" s="124">
        <v>404</v>
      </c>
      <c r="H196" s="131">
        <v>116</v>
      </c>
      <c r="I196" s="131">
        <v>0</v>
      </c>
      <c r="J196" s="131">
        <v>1.8007793266676093E+19</v>
      </c>
    </row>
    <row r="197" spans="4:10" ht="15" customHeight="1">
      <c r="D197" s="129" t="b">
        <v>0</v>
      </c>
      <c r="E197" s="123">
        <v>1958</v>
      </c>
      <c r="F197" s="124" t="s">
        <v>97</v>
      </c>
      <c r="G197" s="124">
        <v>359</v>
      </c>
      <c r="H197" s="131">
        <v>117</v>
      </c>
      <c r="I197" s="131">
        <v>0</v>
      </c>
      <c r="J197" s="131">
        <v>1.1064098945906188E+18</v>
      </c>
    </row>
    <row r="198" spans="4:10" ht="15" customHeight="1">
      <c r="D198" s="129" t="b">
        <v>0</v>
      </c>
      <c r="E198" s="123">
        <v>1958</v>
      </c>
      <c r="F198" s="124" t="s">
        <v>98</v>
      </c>
      <c r="G198" s="124">
        <v>310</v>
      </c>
      <c r="H198" s="131">
        <v>118</v>
      </c>
      <c r="I198" s="131">
        <v>0</v>
      </c>
      <c r="J198" s="131">
        <v>8.2322010593714627E+18</v>
      </c>
    </row>
    <row r="199" spans="4:10" ht="15" customHeight="1">
      <c r="D199" s="129" t="b">
        <v>0</v>
      </c>
      <c r="E199" s="123">
        <v>1958</v>
      </c>
      <c r="F199" s="124" t="s">
        <v>99</v>
      </c>
      <c r="G199" s="124">
        <v>337</v>
      </c>
      <c r="H199" s="131">
        <v>119</v>
      </c>
      <c r="I199" s="131">
        <v>0</v>
      </c>
      <c r="J199" s="131">
        <v>1.4015850092891574E+19</v>
      </c>
    </row>
    <row r="200" spans="4:10" ht="15" customHeight="1">
      <c r="D200" s="129" t="b">
        <v>0</v>
      </c>
      <c r="E200" s="123">
        <v>1959</v>
      </c>
      <c r="F200" s="124" t="s">
        <v>88</v>
      </c>
      <c r="G200" s="124">
        <v>360</v>
      </c>
      <c r="H200" s="131">
        <v>120</v>
      </c>
      <c r="I200" s="131">
        <v>0</v>
      </c>
      <c r="J200" s="131">
        <v>9.8969433399383693E+17</v>
      </c>
    </row>
    <row r="201" spans="4:10" ht="15" customHeight="1">
      <c r="D201" s="129" t="b">
        <v>0</v>
      </c>
      <c r="E201" s="123">
        <v>1959</v>
      </c>
      <c r="F201" s="124" t="s">
        <v>89</v>
      </c>
      <c r="G201" s="124">
        <v>342</v>
      </c>
      <c r="H201" s="131">
        <v>121</v>
      </c>
      <c r="I201" s="131">
        <v>0</v>
      </c>
      <c r="J201" s="131">
        <v>1.5686926236676471E+19</v>
      </c>
    </row>
    <row r="202" spans="4:10" ht="15" customHeight="1">
      <c r="D202" s="129" t="b">
        <v>0</v>
      </c>
      <c r="E202" s="123">
        <v>1959</v>
      </c>
      <c r="F202" s="124" t="s">
        <v>90</v>
      </c>
      <c r="G202" s="124">
        <v>406</v>
      </c>
      <c r="H202" s="131">
        <v>122</v>
      </c>
      <c r="I202" s="131">
        <v>0</v>
      </c>
      <c r="J202" s="131">
        <v>1.5206139214406048E+19</v>
      </c>
    </row>
    <row r="203" spans="4:10" ht="15" customHeight="1">
      <c r="D203" s="129" t="b">
        <v>0</v>
      </c>
      <c r="E203" s="123">
        <v>1959</v>
      </c>
      <c r="F203" s="124" t="s">
        <v>91</v>
      </c>
      <c r="G203" s="124">
        <v>396</v>
      </c>
      <c r="H203" s="131">
        <v>123</v>
      </c>
      <c r="I203" s="131">
        <v>0</v>
      </c>
      <c r="J203" s="131">
        <v>3.7623100397567334E+18</v>
      </c>
    </row>
    <row r="204" spans="4:10" ht="15" customHeight="1">
      <c r="D204" s="129" t="b">
        <v>0</v>
      </c>
      <c r="E204" s="123">
        <v>1959</v>
      </c>
      <c r="F204" s="124" t="s">
        <v>92</v>
      </c>
      <c r="G204" s="124">
        <v>420</v>
      </c>
      <c r="H204" s="131">
        <v>124</v>
      </c>
      <c r="I204" s="131">
        <v>0</v>
      </c>
      <c r="J204" s="131">
        <v>1.4853567162121892E+19</v>
      </c>
    </row>
    <row r="205" spans="4:10" ht="15" customHeight="1">
      <c r="D205" s="129" t="b">
        <v>0</v>
      </c>
      <c r="E205" s="123">
        <v>1959</v>
      </c>
      <c r="F205" s="124" t="s">
        <v>93</v>
      </c>
      <c r="G205" s="124">
        <v>472</v>
      </c>
      <c r="H205" s="131">
        <v>125</v>
      </c>
      <c r="I205" s="131">
        <v>0</v>
      </c>
      <c r="J205" s="131">
        <v>5.6338791080685353E+18</v>
      </c>
    </row>
    <row r="206" spans="4:10" ht="15" customHeight="1">
      <c r="D206" s="129" t="b">
        <v>0</v>
      </c>
      <c r="E206" s="123">
        <v>1959</v>
      </c>
      <c r="F206" s="124" t="s">
        <v>94</v>
      </c>
      <c r="G206" s="124">
        <v>548</v>
      </c>
      <c r="H206" s="131">
        <v>126</v>
      </c>
      <c r="I206" s="131">
        <v>0</v>
      </c>
      <c r="J206" s="131">
        <v>1.3761319359614695E+19</v>
      </c>
    </row>
    <row r="207" spans="4:10" ht="15" customHeight="1">
      <c r="D207" s="129" t="b">
        <v>0</v>
      </c>
      <c r="E207" s="123">
        <v>1959</v>
      </c>
      <c r="F207" s="124" t="s">
        <v>95</v>
      </c>
      <c r="G207" s="124">
        <v>559</v>
      </c>
      <c r="H207" s="131">
        <v>127</v>
      </c>
      <c r="I207" s="131">
        <v>0</v>
      </c>
      <c r="J207" s="131">
        <v>1.649199336680985E+19</v>
      </c>
    </row>
    <row r="208" spans="4:10" ht="15" customHeight="1">
      <c r="D208" s="129" t="b">
        <v>0</v>
      </c>
      <c r="E208" s="123">
        <v>1959</v>
      </c>
      <c r="F208" s="124" t="s">
        <v>96</v>
      </c>
      <c r="G208" s="124">
        <v>463</v>
      </c>
      <c r="H208" s="131">
        <v>128</v>
      </c>
      <c r="I208" s="131">
        <v>0</v>
      </c>
      <c r="J208" s="131">
        <v>1.2246199741386525E+19</v>
      </c>
    </row>
    <row r="209" spans="4:10" ht="15" customHeight="1">
      <c r="D209" s="129" t="b">
        <v>0</v>
      </c>
      <c r="E209" s="123">
        <v>1959</v>
      </c>
      <c r="F209" s="124" t="s">
        <v>97</v>
      </c>
      <c r="G209" s="124">
        <v>407</v>
      </c>
      <c r="H209" s="131">
        <v>129</v>
      </c>
      <c r="I209" s="131">
        <v>0</v>
      </c>
      <c r="J209" s="131">
        <v>2.0698604905002772E+18</v>
      </c>
    </row>
    <row r="210" spans="4:10" ht="15" customHeight="1">
      <c r="D210" s="129" t="b">
        <v>0</v>
      </c>
      <c r="E210" s="123">
        <v>1959</v>
      </c>
      <c r="F210" s="124" t="s">
        <v>98</v>
      </c>
      <c r="G210" s="124">
        <v>362</v>
      </c>
      <c r="H210" s="131">
        <v>130</v>
      </c>
      <c r="I210" s="131">
        <v>0</v>
      </c>
      <c r="J210" s="131">
        <v>1.8960544838023122E+18</v>
      </c>
    </row>
    <row r="211" spans="4:10" ht="15" customHeight="1">
      <c r="D211" s="129" t="b">
        <v>0</v>
      </c>
      <c r="E211" s="123">
        <v>1959</v>
      </c>
      <c r="F211" s="124" t="s">
        <v>99</v>
      </c>
      <c r="G211" s="124">
        <v>405</v>
      </c>
      <c r="H211" s="131">
        <v>131</v>
      </c>
      <c r="I211" s="131">
        <v>0</v>
      </c>
      <c r="J211" s="131">
        <v>1.6286211864483135E+19</v>
      </c>
    </row>
    <row r="212" spans="4:10" ht="15" customHeight="1">
      <c r="D212" s="129" t="b">
        <v>0</v>
      </c>
      <c r="E212" s="123">
        <v>1960</v>
      </c>
      <c r="F212" s="124" t="s">
        <v>88</v>
      </c>
      <c r="G212" s="124">
        <v>417</v>
      </c>
      <c r="H212" s="131">
        <v>132</v>
      </c>
      <c r="I212" s="131">
        <v>0</v>
      </c>
      <c r="J212" s="131">
        <v>1.4504815288353337E+19</v>
      </c>
    </row>
    <row r="213" spans="4:10" ht="15" customHeight="1">
      <c r="D213" s="129" t="b">
        <v>0</v>
      </c>
      <c r="E213" s="123">
        <v>1960</v>
      </c>
      <c r="F213" s="124" t="s">
        <v>89</v>
      </c>
      <c r="G213" s="124">
        <v>391</v>
      </c>
      <c r="H213" s="131">
        <v>133</v>
      </c>
      <c r="I213" s="131">
        <v>0</v>
      </c>
      <c r="J213" s="131">
        <v>1.6609066421284108E+19</v>
      </c>
    </row>
    <row r="214" spans="4:10" ht="15" customHeight="1">
      <c r="D214" s="129" t="b">
        <v>0</v>
      </c>
      <c r="E214" s="123">
        <v>1960</v>
      </c>
      <c r="F214" s="124" t="s">
        <v>90</v>
      </c>
      <c r="G214" s="124">
        <v>419</v>
      </c>
      <c r="H214" s="131">
        <v>134</v>
      </c>
      <c r="I214" s="131">
        <v>0</v>
      </c>
      <c r="J214" s="131">
        <v>3.7828394837840195E+18</v>
      </c>
    </row>
    <row r="215" spans="4:10" ht="15" customHeight="1">
      <c r="D215" s="129" t="b">
        <v>0</v>
      </c>
      <c r="E215" s="123">
        <v>1960</v>
      </c>
      <c r="F215" s="124" t="s">
        <v>91</v>
      </c>
      <c r="G215" s="124">
        <v>461</v>
      </c>
      <c r="H215" s="131">
        <v>135</v>
      </c>
      <c r="I215" s="131">
        <v>0</v>
      </c>
      <c r="J215" s="131">
        <v>8.5926897261318164E+18</v>
      </c>
    </row>
    <row r="216" spans="4:10" ht="15" customHeight="1">
      <c r="D216" s="129" t="b">
        <v>0</v>
      </c>
      <c r="E216" s="123">
        <v>1960</v>
      </c>
      <c r="F216" s="124" t="s">
        <v>92</v>
      </c>
      <c r="G216" s="124">
        <v>472</v>
      </c>
      <c r="H216" s="131">
        <v>136</v>
      </c>
      <c r="I216" s="131">
        <v>0</v>
      </c>
      <c r="J216" s="131">
        <v>8.1658205365673093E+18</v>
      </c>
    </row>
    <row r="217" spans="4:10" ht="15" customHeight="1">
      <c r="D217" s="129" t="b">
        <v>0</v>
      </c>
      <c r="E217" s="123">
        <v>1960</v>
      </c>
      <c r="F217" s="124" t="s">
        <v>93</v>
      </c>
      <c r="G217" s="124">
        <v>535</v>
      </c>
      <c r="H217" s="131">
        <v>137</v>
      </c>
      <c r="I217" s="131">
        <v>0</v>
      </c>
      <c r="J217" s="131">
        <v>1.0064943164466572E+18</v>
      </c>
    </row>
    <row r="218" spans="4:10" ht="15" customHeight="1">
      <c r="D218" s="129" t="b">
        <v>0</v>
      </c>
      <c r="E218" s="123">
        <v>1960</v>
      </c>
      <c r="F218" s="124" t="s">
        <v>94</v>
      </c>
      <c r="G218" s="124">
        <v>622</v>
      </c>
      <c r="H218" s="131">
        <v>138</v>
      </c>
      <c r="I218" s="131">
        <v>0</v>
      </c>
      <c r="J218" s="131">
        <v>1.1156638186853546E+19</v>
      </c>
    </row>
    <row r="219" spans="4:10" ht="15" customHeight="1">
      <c r="D219" s="129" t="b">
        <v>0</v>
      </c>
      <c r="E219" s="123">
        <v>1960</v>
      </c>
      <c r="F219" s="124" t="s">
        <v>95</v>
      </c>
      <c r="G219" s="124">
        <v>606</v>
      </c>
      <c r="H219" s="131">
        <v>139</v>
      </c>
      <c r="I219" s="131">
        <v>0</v>
      </c>
      <c r="J219" s="131">
        <v>1.8155038513400218E+19</v>
      </c>
    </row>
    <row r="220" spans="4:10" ht="15" customHeight="1">
      <c r="D220" s="129" t="b">
        <v>0</v>
      </c>
      <c r="E220" s="123">
        <v>1960</v>
      </c>
      <c r="F220" s="124" t="s">
        <v>96</v>
      </c>
      <c r="G220" s="124">
        <v>508</v>
      </c>
      <c r="H220" s="131">
        <v>140</v>
      </c>
      <c r="I220" s="131">
        <v>0</v>
      </c>
      <c r="J220" s="131">
        <v>1.7649547216349522E+19</v>
      </c>
    </row>
    <row r="221" spans="4:10" ht="15" customHeight="1">
      <c r="D221" s="129" t="b">
        <v>0</v>
      </c>
      <c r="E221" s="123">
        <v>1960</v>
      </c>
      <c r="F221" s="124" t="s">
        <v>97</v>
      </c>
      <c r="G221" s="124">
        <v>461</v>
      </c>
      <c r="H221" s="131">
        <v>141</v>
      </c>
      <c r="I221" s="131">
        <v>0</v>
      </c>
      <c r="J221" s="131">
        <v>6.6642665771574548E+18</v>
      </c>
    </row>
    <row r="222" spans="4:10" ht="15" customHeight="1">
      <c r="D222" s="129" t="b">
        <v>0</v>
      </c>
      <c r="E222" s="123">
        <v>1960</v>
      </c>
      <c r="F222" s="124" t="s">
        <v>98</v>
      </c>
      <c r="G222" s="124">
        <v>390</v>
      </c>
      <c r="H222" s="131">
        <v>142</v>
      </c>
      <c r="I222" s="131">
        <v>0</v>
      </c>
      <c r="J222" s="131">
        <v>4.9129556652804403E+18</v>
      </c>
    </row>
    <row r="223" spans="4:10" ht="15" customHeight="1">
      <c r="D223" s="130" t="b">
        <v>0</v>
      </c>
      <c r="E223" s="125">
        <v>1960</v>
      </c>
      <c r="F223" s="126" t="s">
        <v>99</v>
      </c>
      <c r="G223" s="126">
        <v>432</v>
      </c>
      <c r="H223" s="131">
        <v>143</v>
      </c>
      <c r="I223" s="131">
        <v>0</v>
      </c>
      <c r="J223" s="131">
        <v>7.6945773698316442E+18</v>
      </c>
    </row>
  </sheetData>
  <mergeCells count="1">
    <mergeCell ref="E7:F7"/>
  </mergeCells>
  <phoneticPr fontId="33" type="noConversion"/>
  <conditionalFormatting sqref="E23:G30 E36:G40 E46:G54">
    <cfRule type="cellIs" dxfId="106" priority="19" operator="equal">
      <formula>0</formula>
    </cfRule>
  </conditionalFormatting>
  <conditionalFormatting sqref="D80:D223">
    <cfRule type="cellIs" dxfId="105" priority="18" operator="notEqual">
      <formula>FALSE</formula>
    </cfRule>
  </conditionalFormatting>
  <conditionalFormatting sqref="E17:G17">
    <cfRule type="cellIs" dxfId="104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3" priority="13"/>
  </conditionalFormatting>
  <conditionalFormatting sqref="E15:G15">
    <cfRule type="cellIs" dxfId="102" priority="11" operator="notEqual">
      <formula>"Definition"</formula>
    </cfRule>
  </conditionalFormatting>
  <conditionalFormatting sqref="E7">
    <cfRule type="cellIs" dxfId="101" priority="10" operator="notEqual">
      <formula>"Dataset Description"</formula>
    </cfRule>
  </conditionalFormatting>
  <conditionalFormatting sqref="E58:G65">
    <cfRule type="cellIs" dxfId="100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144</v>
      </c>
      <c r="AA5" s="6"/>
    </row>
    <row r="6" spans="1:27" ht="15" customHeight="1">
      <c r="B6" s="29" t="s">
        <v>53</v>
      </c>
      <c r="C6" s="28">
        <v>3</v>
      </c>
    </row>
    <row r="7" spans="1:27" ht="15" customHeight="1">
      <c r="B7" s="29" t="s">
        <v>12</v>
      </c>
      <c r="C7" s="28" t="s">
        <v>85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86</v>
      </c>
      <c r="F12" s="47">
        <v>8.3333333333333301E-2</v>
      </c>
      <c r="G12" s="47">
        <v>0</v>
      </c>
      <c r="H12" s="47">
        <v>0.28571428571428498</v>
      </c>
      <c r="I12" s="44">
        <v>1152</v>
      </c>
      <c r="J12" s="44">
        <v>12</v>
      </c>
      <c r="K12" s="44">
        <v>144</v>
      </c>
      <c r="L12" s="45">
        <v>1</v>
      </c>
      <c r="M12" s="44">
        <v>0</v>
      </c>
      <c r="N12" s="46">
        <v>1954.5</v>
      </c>
      <c r="O12" s="46">
        <v>1954.5</v>
      </c>
      <c r="P12" s="46">
        <v>1949</v>
      </c>
      <c r="Q12" s="46">
        <v>3.4641016151377499</v>
      </c>
      <c r="R12" s="46">
        <v>11.999999999999901</v>
      </c>
      <c r="S12" s="46">
        <v>1949</v>
      </c>
      <c r="T12" s="46">
        <v>1949</v>
      </c>
      <c r="U12" s="46">
        <v>1951.75</v>
      </c>
      <c r="V12" s="46">
        <v>1954.5</v>
      </c>
      <c r="W12" s="46">
        <v>1957.25</v>
      </c>
      <c r="X12" s="46">
        <v>1960</v>
      </c>
      <c r="Y12" s="46">
        <v>1960</v>
      </c>
      <c r="Z12" s="46">
        <v>11</v>
      </c>
      <c r="AA12" s="46">
        <v>5.5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87</v>
      </c>
      <c r="F13" s="109">
        <v>8.3333333333333301E-2</v>
      </c>
      <c r="G13" s="109">
        <v>0</v>
      </c>
      <c r="H13" s="109">
        <v>0.14285714285714199</v>
      </c>
      <c r="I13" s="110">
        <v>576</v>
      </c>
      <c r="J13" s="110">
        <v>12</v>
      </c>
      <c r="K13" s="110">
        <v>144</v>
      </c>
      <c r="L13" s="111">
        <v>1</v>
      </c>
      <c r="M13" s="110">
        <v>0</v>
      </c>
      <c r="N13" s="112"/>
      <c r="O13" s="112"/>
      <c r="P13" s="112" t="s">
        <v>88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>
      <c r="B14" s="113" t="s">
        <v>82</v>
      </c>
      <c r="C14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15" t="s">
        <v>86</v>
      </c>
      <c r="F14" s="116">
        <v>0.81944444444444398</v>
      </c>
      <c r="G14" s="116">
        <v>0</v>
      </c>
      <c r="H14" s="116">
        <v>0.28571428571428498</v>
      </c>
      <c r="I14" s="117">
        <v>1152</v>
      </c>
      <c r="J14" s="117">
        <v>118</v>
      </c>
      <c r="K14" s="117">
        <v>144</v>
      </c>
      <c r="L14" s="118">
        <v>1</v>
      </c>
      <c r="M14" s="117">
        <v>0</v>
      </c>
      <c r="N14" s="119">
        <v>280.29861111111097</v>
      </c>
      <c r="O14" s="119">
        <v>265.5</v>
      </c>
      <c r="P14" s="119">
        <v>229</v>
      </c>
      <c r="Q14" s="119">
        <v>119.966316942943</v>
      </c>
      <c r="R14" s="119">
        <v>14391.917200854699</v>
      </c>
      <c r="S14" s="119">
        <v>104</v>
      </c>
      <c r="T14" s="119">
        <v>121.6</v>
      </c>
      <c r="U14" s="119">
        <v>180</v>
      </c>
      <c r="V14" s="119">
        <v>265.5</v>
      </c>
      <c r="W14" s="119">
        <v>360.5</v>
      </c>
      <c r="X14" s="119">
        <v>488.14999999999901</v>
      </c>
      <c r="Y14" s="119">
        <v>622</v>
      </c>
      <c r="Z14" s="119">
        <v>518</v>
      </c>
      <c r="AA14" s="119">
        <v>180.5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2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2.109375" bestFit="1" customWidth="1"/>
    <col min="5" max="5" width="15.77734375" bestFit="1" customWidth="1"/>
    <col min="6" max="8" width="13.77734375" customWidth="1"/>
    <col min="9" max="9" width="9.33203125" customWidth="1"/>
    <col min="10" max="10" width="10.664062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Flights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4" t="s">
        <v>80</v>
      </c>
      <c r="D9" s="133" t="s">
        <v>81</v>
      </c>
      <c r="E9" s="133" t="s">
        <v>82</v>
      </c>
      <c r="F9" s="135" t="s">
        <v>47</v>
      </c>
      <c r="G9" s="135" t="s">
        <v>48</v>
      </c>
      <c r="H9" s="135" t="s">
        <v>52</v>
      </c>
    </row>
    <row r="10" spans="1:17" ht="15" customHeight="1">
      <c r="C10" s="132">
        <v>1949</v>
      </c>
      <c r="D10" s="5"/>
      <c r="E10" s="5"/>
      <c r="F10" s="136">
        <v>0</v>
      </c>
      <c r="G10" s="137"/>
      <c r="H10" s="138">
        <v>8.3333333333333329E-2</v>
      </c>
    </row>
    <row r="11" spans="1:17" ht="15" customHeight="1">
      <c r="C11" s="132">
        <v>1950</v>
      </c>
      <c r="D11" s="5"/>
      <c r="E11" s="5"/>
      <c r="F11" s="136">
        <v>0</v>
      </c>
      <c r="G11" s="137"/>
      <c r="H11" s="138">
        <v>8.3333333333333329E-2</v>
      </c>
    </row>
    <row r="12" spans="1:17" ht="15" customHeight="1">
      <c r="C12" s="132">
        <v>1951</v>
      </c>
      <c r="D12" s="5"/>
      <c r="E12" s="5"/>
      <c r="F12" s="136">
        <v>0</v>
      </c>
      <c r="G12" s="137"/>
      <c r="H12" s="138">
        <v>8.3333333333333329E-2</v>
      </c>
    </row>
    <row r="13" spans="1:17" ht="15" customHeight="1">
      <c r="C13" s="132">
        <v>1952</v>
      </c>
      <c r="D13" s="5"/>
      <c r="E13" s="5"/>
      <c r="F13" s="136">
        <v>0</v>
      </c>
      <c r="G13" s="137"/>
      <c r="H13" s="138">
        <v>8.3333333333333329E-2</v>
      </c>
    </row>
    <row r="14" spans="1:17" ht="15" customHeight="1">
      <c r="C14" s="132">
        <v>1953</v>
      </c>
      <c r="D14" s="5"/>
      <c r="E14" s="5"/>
      <c r="F14" s="136">
        <v>0</v>
      </c>
      <c r="G14" s="137"/>
      <c r="H14" s="138">
        <v>8.3333333333333329E-2</v>
      </c>
    </row>
    <row r="15" spans="1:17" ht="15" customHeight="1">
      <c r="C15" s="132">
        <v>1954</v>
      </c>
      <c r="D15" s="5"/>
      <c r="E15" s="5"/>
      <c r="F15" s="136">
        <v>0</v>
      </c>
      <c r="G15" s="137"/>
      <c r="H15" s="138">
        <v>8.3333333333333329E-2</v>
      </c>
    </row>
    <row r="16" spans="1:17" ht="15" customHeight="1">
      <c r="C16" s="132">
        <v>1955</v>
      </c>
      <c r="D16" s="5"/>
      <c r="E16" s="5"/>
      <c r="F16" s="136">
        <v>0</v>
      </c>
      <c r="G16" s="137"/>
      <c r="H16" s="138">
        <v>8.3333333333333329E-2</v>
      </c>
    </row>
    <row r="17" spans="3:8" ht="15" customHeight="1">
      <c r="C17" s="132">
        <v>1956</v>
      </c>
      <c r="D17" s="5"/>
      <c r="E17" s="5"/>
      <c r="F17" s="136">
        <v>0</v>
      </c>
      <c r="G17" s="137"/>
      <c r="H17" s="138">
        <v>8.3333333333333329E-2</v>
      </c>
    </row>
    <row r="18" spans="3:8" ht="15" customHeight="1">
      <c r="C18" s="132">
        <v>1957</v>
      </c>
      <c r="D18" s="5"/>
      <c r="E18" s="5"/>
      <c r="F18" s="136">
        <v>0</v>
      </c>
      <c r="G18" s="137"/>
      <c r="H18" s="138">
        <v>8.3333333333333329E-2</v>
      </c>
    </row>
    <row r="19" spans="3:8" ht="15" customHeight="1">
      <c r="C19" s="132">
        <v>1958</v>
      </c>
      <c r="D19" s="5"/>
      <c r="E19" s="5"/>
      <c r="F19" s="136">
        <v>0</v>
      </c>
      <c r="G19" s="137"/>
      <c r="H19" s="138">
        <v>8.3333333333333329E-2</v>
      </c>
    </row>
    <row r="20" spans="3:8" ht="15" customHeight="1">
      <c r="C20" s="132">
        <v>1959</v>
      </c>
      <c r="D20" s="5"/>
      <c r="E20" s="5"/>
      <c r="F20" s="136">
        <v>0</v>
      </c>
      <c r="G20" s="137"/>
      <c r="H20" s="138">
        <v>8.3333333333333329E-2</v>
      </c>
    </row>
    <row r="21" spans="3:8" ht="15" customHeight="1">
      <c r="C21" s="132">
        <v>1960</v>
      </c>
      <c r="D21" s="5"/>
      <c r="E21" s="5"/>
      <c r="F21" s="136">
        <v>0</v>
      </c>
      <c r="G21" s="137"/>
      <c r="H21" s="138">
        <v>8.3333333333333329E-2</v>
      </c>
    </row>
    <row r="22" spans="3:8" ht="15" customHeight="1">
      <c r="C22" s="132" t="s">
        <v>100</v>
      </c>
      <c r="D22" s="5"/>
      <c r="E22" s="5"/>
      <c r="F22" s="136">
        <v>0</v>
      </c>
      <c r="G22" s="137"/>
      <c r="H22" s="138">
        <v>1</v>
      </c>
    </row>
  </sheetData>
  <conditionalFormatting pivot="1" sqref="F10:F2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2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101</v>
      </c>
      <c r="E11" s="71" t="s">
        <v>102</v>
      </c>
      <c r="G11" s="81" t="s">
        <v>124</v>
      </c>
      <c r="H11" s="84" t="s">
        <v>79</v>
      </c>
      <c r="I11" s="68"/>
      <c r="J11" s="82" t="s">
        <v>137</v>
      </c>
      <c r="K11" s="83" t="s">
        <v>138</v>
      </c>
      <c r="L11" s="68"/>
      <c r="M11" s="59"/>
    </row>
    <row r="12" spans="2:13" ht="15" hidden="1" customHeight="1" outlineLevel="1">
      <c r="D12" s="70" t="s">
        <v>103</v>
      </c>
      <c r="E12" s="71" t="s">
        <v>104</v>
      </c>
      <c r="G12" s="70" t="s">
        <v>125</v>
      </c>
      <c r="H12" s="85" t="s">
        <v>126</v>
      </c>
      <c r="I12" s="68"/>
      <c r="J12" s="82"/>
      <c r="K12" s="83"/>
      <c r="L12" s="68"/>
    </row>
    <row r="13" spans="2:13" ht="15" hidden="1" customHeight="1" outlineLevel="1">
      <c r="D13" s="70" t="s">
        <v>105</v>
      </c>
      <c r="E13" s="71">
        <v>16</v>
      </c>
      <c r="G13" s="70" t="s">
        <v>127</v>
      </c>
      <c r="H13" s="139" t="s">
        <v>128</v>
      </c>
    </row>
    <row r="14" spans="2:13" ht="15" hidden="1" customHeight="1" outlineLevel="1">
      <c r="D14" s="70" t="s">
        <v>106</v>
      </c>
      <c r="E14" s="71" t="b">
        <v>0</v>
      </c>
      <c r="G14" s="70" t="s">
        <v>129</v>
      </c>
      <c r="H14" s="139" t="s">
        <v>128</v>
      </c>
    </row>
    <row r="15" spans="2:13" ht="15" hidden="1" customHeight="1" outlineLevel="1">
      <c r="D15" s="70" t="s">
        <v>107</v>
      </c>
      <c r="E15" s="71" t="b">
        <v>1</v>
      </c>
      <c r="G15" s="70" t="s">
        <v>130</v>
      </c>
      <c r="H15" s="139" t="b">
        <v>0</v>
      </c>
    </row>
    <row r="16" spans="2:13" ht="15" hidden="1" customHeight="1" outlineLevel="1">
      <c r="D16" s="70" t="s">
        <v>108</v>
      </c>
      <c r="E16" s="71" t="s">
        <v>109</v>
      </c>
      <c r="G16" s="70" t="s">
        <v>131</v>
      </c>
      <c r="H16" s="139" t="b">
        <v>1</v>
      </c>
    </row>
    <row r="17" spans="3:26" ht="15" hidden="1" customHeight="1" outlineLevel="1">
      <c r="D17" s="70" t="s">
        <v>110</v>
      </c>
      <c r="E17" s="71">
        <v>46182</v>
      </c>
      <c r="G17" s="70" t="s">
        <v>132</v>
      </c>
      <c r="H17" s="139" t="s">
        <v>133</v>
      </c>
    </row>
    <row r="18" spans="3:26" ht="15" hidden="1" customHeight="1" outlineLevel="1">
      <c r="D18" s="70" t="s">
        <v>111</v>
      </c>
      <c r="E18" s="71">
        <v>11</v>
      </c>
      <c r="G18" s="70" t="s">
        <v>134</v>
      </c>
      <c r="H18" s="139" t="b">
        <v>0</v>
      </c>
    </row>
    <row r="19" spans="3:26" ht="15" hidden="1" customHeight="1" outlineLevel="1">
      <c r="D19" s="70" t="s">
        <v>112</v>
      </c>
      <c r="E19" s="71" t="s">
        <v>113</v>
      </c>
      <c r="G19" s="70" t="s">
        <v>135</v>
      </c>
      <c r="H19" s="139" t="b">
        <v>0</v>
      </c>
    </row>
    <row r="20" spans="3:26" ht="15" hidden="1" customHeight="1" outlineLevel="1">
      <c r="D20" s="70" t="s">
        <v>114</v>
      </c>
      <c r="E20" s="71" t="s">
        <v>115</v>
      </c>
      <c r="G20" s="70" t="s">
        <v>136</v>
      </c>
      <c r="H20" s="139" t="b">
        <v>0</v>
      </c>
    </row>
    <row r="21" spans="3:26" ht="15" hidden="1" customHeight="1" outlineLevel="1">
      <c r="C21" s="60"/>
      <c r="D21" s="70" t="s">
        <v>116</v>
      </c>
      <c r="E21" s="71" t="s">
        <v>117</v>
      </c>
      <c r="G21" s="86" t="s">
        <v>106</v>
      </c>
      <c r="H21" s="140" t="b">
        <v>0</v>
      </c>
    </row>
    <row r="22" spans="3:26" ht="15" hidden="1" customHeight="1" outlineLevel="1">
      <c r="D22" s="70" t="s">
        <v>118</v>
      </c>
      <c r="E22" s="71" t="s">
        <v>119</v>
      </c>
    </row>
    <row r="23" spans="3:26" ht="15" hidden="1" customHeight="1" outlineLevel="1">
      <c r="D23" s="70" t="s">
        <v>120</v>
      </c>
      <c r="E23" s="71" t="s">
        <v>121</v>
      </c>
    </row>
    <row r="24" spans="3:26" ht="15" hidden="1" customHeight="1" outlineLevel="1">
      <c r="D24" s="70" t="s">
        <v>122</v>
      </c>
      <c r="E24" s="71">
        <v>201</v>
      </c>
      <c r="L24" s="68"/>
    </row>
    <row r="25" spans="3:26" ht="15" hidden="1" customHeight="1" outlineLevel="1">
      <c r="D25" s="86" t="s">
        <v>123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1.3828277587890625E-5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3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144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7.547924280166626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5.5447194576263428</v>
      </c>
      <c r="F35" s="87">
        <v>0.73460063907956274</v>
      </c>
    </row>
    <row r="36" spans="3:6" ht="15" customHeight="1">
      <c r="D36" s="79" t="s">
        <v>139</v>
      </c>
      <c r="E36" s="89">
        <v>0.49322104454040527</v>
      </c>
      <c r="F36" s="87">
        <v>6.5345144564262256E-2</v>
      </c>
    </row>
    <row r="37" spans="3:6" ht="15" customHeight="1">
      <c r="D37" s="79" t="s">
        <v>140</v>
      </c>
      <c r="E37" s="89">
        <v>0.25626420974731445</v>
      </c>
      <c r="F37" s="87">
        <v>3.3951555834744733E-2</v>
      </c>
    </row>
    <row r="38" spans="3:6" ht="15" customHeight="1">
      <c r="D38" s="79" t="s">
        <v>141</v>
      </c>
      <c r="E38" s="89">
        <v>0.22005391120910645</v>
      </c>
      <c r="F38" s="87">
        <v>2.915417904215644E-2</v>
      </c>
    </row>
    <row r="39" spans="3:6" ht="15" customHeight="1">
      <c r="D39" s="79" t="s">
        <v>73</v>
      </c>
      <c r="E39" s="89">
        <v>0.19141936302185059</v>
      </c>
      <c r="F39" s="87">
        <v>2.5360487123410092E-2</v>
      </c>
    </row>
    <row r="40" spans="3:6" ht="15" customHeight="1">
      <c r="D40" s="79" t="s">
        <v>74</v>
      </c>
      <c r="E40" s="89">
        <v>0.70521426200866699</v>
      </c>
      <c r="F40" s="87">
        <v>9.3431390265750799E-2</v>
      </c>
    </row>
    <row r="41" spans="3:6" ht="15" customHeight="1">
      <c r="D41" s="80" t="s">
        <v>142</v>
      </c>
      <c r="E41" s="90">
        <v>0.10030770301818848</v>
      </c>
      <c r="F41" s="88">
        <v>1.3289419474670548E-2</v>
      </c>
    </row>
    <row r="42" spans="3:6" ht="15" customHeight="1">
      <c r="D42" s="141" t="s">
        <v>75</v>
      </c>
      <c r="E42" s="90">
        <v>3.671574592590332E-2</v>
      </c>
      <c r="F42" s="88">
        <v>4.8643417629280214E-3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2026-06-09T23:09:05Z</dcterms:modified>
</cp:coreProperties>
</file>