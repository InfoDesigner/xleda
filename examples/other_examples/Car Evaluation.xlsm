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richData/richValueRel.xml" ContentType="application/vnd.ms-excel.richvaluerel+xml"/>
  <Override PartName="/xl/richData/rdrichvalue.xml" ContentType="application/vnd.ms-excel.rdrichvalue+xml"/>
  <Override PartName="/xl/richData/rdrichvaluestructure.xml" ContentType="application/vnd.ms-excel.rdrichvaluestructure+xml"/>
  <Override PartName="/xl/richData/rdRichValueTypes.xml" ContentType="application/vnd.ms-excel.rdrichvaluetypes+xml"/>
  <Override PartName="/xl/drawings/drawing1.xml" ContentType="application/vnd.openxmlformats-officedocument.drawing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pivotTables/pivotTable1.xml" ContentType="application/vnd.openxmlformats-officedocument.spreadsheetml.pivotTable+xml"/>
  <Override PartName="/xl/drawings/drawing2.xml" ContentType="application/vnd.openxmlformats-officedocument.drawing+xml"/>
  <Override PartName="/xl/tables/table3.xml" ContentType="application/vnd.openxmlformats-officedocument.spreadsheetml.table+xml"/>
  <Override PartName="/xl/tables/table4.xml" ContentType="application/vnd.openxmlformats-officedocument.spreadsheetml.table+xml"/>
  <Override PartName="/xl/tables/table5.xml" ContentType="application/vnd.openxmlformats-officedocument.spreadsheetml.table+xml"/>
  <Override PartName="/xl/tables/table6.xml" ContentType="application/vnd.openxmlformats-officedocument.spreadsheetml.table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xl/vbaProject.bin" ContentType="application/vnd.ms-office.vbaProject"/>
  <Override PartName="/xl/webextensions/taskpanes.xml" ContentType="application/vnd.ms-office.webextensiontaskpanes+xml"/>
  <Override PartName="/xl/webextensions/webextension1.xml" ContentType="application/vnd.ms-office.webextensio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package/2006/relationships/metadata/core-properties" Target="docProps/core.xml"/><Relationship Id="rId2" Type="http://schemas.microsoft.com/office/2011/relationships/webextensiontaskpanes" Target="xl/webextensions/taskpanes.xml"/><Relationship Id="rId1" Type="http://schemas.openxmlformats.org/officeDocument/2006/relationships/officeDocument" Target="xl/workbook.xml"/><Relationship Id="rId4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10531" codeName="{643B0D74-A683-FBA9-23B4-8A0AA6E0B6B9}"/>
  <workbookPr codeName="ThisWorkbook"/>
  <mc:AlternateContent xmlns:mc="http://schemas.openxmlformats.org/markup-compatibility/2006">
    <mc:Choice Requires="x15">
      <x15ac:absPath xmlns:x15ac="http://schemas.microsoft.com/office/spreadsheetml/2010/11/ac" url="/Users/mrivers/Python/xleda/examples/other_examples/"/>
    </mc:Choice>
  </mc:AlternateContent>
  <xr:revisionPtr revIDLastSave="0" documentId="8_{00DBFEF6-417B-9248-AB22-3D01E16EF14C}" xr6:coauthVersionLast="47" xr6:coauthVersionMax="47" xr10:uidLastSave="{00000000-0000-0000-0000-000000000000}"/>
  <bookViews>
    <workbookView xWindow="0" yWindow="600" windowWidth="38400" windowHeight="19480" xr2:uid="{040F3586-419E-4585-8ACE-6588AD7C95BD}"/>
  </bookViews>
  <sheets>
    <sheet name="Field Analysis" sheetId="25" r:id="rId1"/>
    <sheet name="Overview" sheetId="27" r:id="rId2"/>
    <sheet name="Pivot" sheetId="28" r:id="rId3"/>
    <sheet name="debug" sheetId="32" r:id="rId4"/>
    <sheet name="SinglePlot" sheetId="30" state="hidden" r:id="rId5"/>
    <sheet name="MultiplePlots" sheetId="31" state="hidden" r:id="rId6"/>
  </sheets>
  <functionGroups builtInGroupCount="19"/>
  <definedNames>
    <definedName name="Compiled_Lists" localSheetId="0">'Field Analysis'!$D$69:$D$78</definedName>
    <definedName name="Composition" localSheetId="0">'Field Analysis'!$D$23:$D$33</definedName>
    <definedName name="CompositionTable" localSheetId="0">'Field Analysis'!$E$32</definedName>
    <definedName name="Config" localSheetId="3">debug!$C$5:$C$23</definedName>
    <definedName name="DarkHeader" localSheetId="0">'Field Analysis'!$E$79</definedName>
    <definedName name="Data_Description" localSheetId="0">'Field Analysis'!$D$7:$D$18</definedName>
    <definedName name="debug_metadata" localSheetId="3">debug!$D$28</definedName>
    <definedName name="DefaultWarn" localSheetId="2">Pivot!$C$8</definedName>
    <definedName name="Definitions" localSheetId="0">'Field Analysis'!$E$15:$K$15</definedName>
    <definedName name="Description" localSheetId="0">'Field Analysis'!$E$7</definedName>
    <definedName name="Dimensions" localSheetId="0">'Field Analysis'!$E$9</definedName>
    <definedName name="Field_Analysis" localSheetId="0">'Field Analysis'!$E$20:$E$78</definedName>
    <definedName name="Field_Lists" localSheetId="0">'Field Analysis'!$D$58:$D$66</definedName>
    <definedName name="FieldList1" localSheetId="0">'Field Analysis'!$E$58:$K$58</definedName>
    <definedName name="FieldList1" localSheetId="5">#REF!</definedName>
    <definedName name="FieldList1" localSheetId="4">#REF!</definedName>
    <definedName name="FieldList2" localSheetId="0">'Field Analysis'!$E$59:$K$59</definedName>
    <definedName name="FieldList2" localSheetId="5">#REF!</definedName>
    <definedName name="FieldList2" localSheetId="4">#REF!</definedName>
    <definedName name="FieldList3" localSheetId="0">'Field Analysis'!$E$60:$K$60</definedName>
    <definedName name="FieldList3" localSheetId="5">#REF!</definedName>
    <definedName name="FieldList3" localSheetId="4">#REF!</definedName>
    <definedName name="FieldList4" localSheetId="0">'Field Analysis'!$E$61:$K$61</definedName>
    <definedName name="FieldList4" localSheetId="5">#REF!</definedName>
    <definedName name="FieldList4" localSheetId="4">#REF!</definedName>
    <definedName name="FieldList5" localSheetId="0">'Field Analysis'!$E$62:$K$62</definedName>
    <definedName name="FieldList5" localSheetId="5">#REF!</definedName>
    <definedName name="FieldList5" localSheetId="4">#REF!</definedName>
    <definedName name="FieldList6" localSheetId="0">'Field Analysis'!$E$63:$K$63</definedName>
    <definedName name="FieldList6" localSheetId="5">#REF!</definedName>
    <definedName name="FieldList6" localSheetId="4">#REF!</definedName>
    <definedName name="FieldList7" localSheetId="0">'Field Analysis'!$E$64:$K$64</definedName>
    <definedName name="FieldList7" localSheetId="5">#REF!</definedName>
    <definedName name="FieldList7" localSheetId="4">#REF!</definedName>
    <definedName name="FieldList8" localSheetId="0">'Field Analysis'!$E$65:$K$65</definedName>
    <definedName name="FieldList8" localSheetId="5">#REF!</definedName>
    <definedName name="FieldList8" localSheetId="4">#REF!</definedName>
    <definedName name="FieldLists" localSheetId="0">'Field Analysis'!$D$58:$K$65</definedName>
    <definedName name="FieldRange" localSheetId="0">'Field Analysis'!$E$79:$K$79</definedName>
    <definedName name="FieldRange" localSheetId="5">#REF!</definedName>
    <definedName name="FieldRange" localSheetId="4">#REF!</definedName>
    <definedName name="FormatRange" localSheetId="0">'Field Analysis'!$G:$G</definedName>
    <definedName name="Headers" localSheetId="0">'Field Analysis'!$E$19:$K$19</definedName>
    <definedName name="Headers_Start" localSheetId="0">'Field Analysis'!$E$19</definedName>
    <definedName name="Histogram" localSheetId="0">'Field Analysis'!$E$42</definedName>
    <definedName name="LightHeader" localSheetId="0">'Field Analysis'!$D$79</definedName>
    <definedName name="LightHeader" localSheetId="5">#REF!</definedName>
    <definedName name="LightHeader" localSheetId="4">#REF!</definedName>
    <definedName name="Metadata">Overview!$C$5:$C$9</definedName>
    <definedName name="MultiplePlots" localSheetId="5">MultiplePlots!$D$9</definedName>
    <definedName name="MultiplePlotsTitle" localSheetId="5">MultiplePlots!$C$2</definedName>
    <definedName name="Name" localSheetId="0">'Field Analysis'!$C$3</definedName>
    <definedName name="Name" localSheetId="5">#REF!</definedName>
    <definedName name="Name" localSheetId="1">Overview!$B$3</definedName>
    <definedName name="Name" localSheetId="2">Pivot!$C$3</definedName>
    <definedName name="Name" localSheetId="4">#REF!</definedName>
    <definedName name="Notes" localSheetId="0">'Field Analysis'!$E$17:$K$17</definedName>
    <definedName name="Percentiles" localSheetId="0">'Field Analysis'!$D$46:$D$55</definedName>
    <definedName name="Performance">debug!$C$28:$C$46</definedName>
    <definedName name="SerializedLists" localSheetId="0">'Field Analysis'!$E$69:$E$78</definedName>
    <definedName name="SinglePlot" localSheetId="4">SinglePlot!$C$8</definedName>
    <definedName name="SinglePlotTitle" localSheetId="4">SinglePlot!$C$2</definedName>
    <definedName name="Summary_Stats" localSheetId="0">'Field Analysis'!$D$36:$D$43</definedName>
    <definedName name="Theme" localSheetId="0">'Field Analysis'!$C$19:$K$19</definedName>
    <definedName name="Theme" localSheetId="5">MultiplePlots!$B$6:$P$6</definedName>
    <definedName name="Theme" localSheetId="1">Overview!$B$11:$AA$11</definedName>
    <definedName name="Theme" localSheetId="2">Pivot!$B$5:$Q$5</definedName>
    <definedName name="Theme" localSheetId="4">SinglePlot!$B$6:$P$6</definedName>
    <definedName name="Toggles" localSheetId="3">debug!$B$3</definedName>
    <definedName name="Toggles" localSheetId="0">'Field Analysis'!$C$5,'Field Analysis'!$C$21,'Field Analysis'!$C$34,'Field Analysis'!$C$44,'Field Analysis'!$C$56,'Field Analysis'!$C$67</definedName>
    <definedName name="Toggles" localSheetId="5">#REF!,#REF!,#REF!,#REF!,#REF!,#REF!,#REF!</definedName>
    <definedName name="Toggles" localSheetId="4">#REF!,#REF!,#REF!,#REF!,#REF!,#REF!,#REF!</definedName>
    <definedName name="TopToggle" localSheetId="0">'Field Analysis'!$B$3</definedName>
    <definedName name="Warning" localSheetId="0">'Field Analysis'!$D$1</definedName>
    <definedName name="Warning" localSheetId="1">Overview!$B$1</definedName>
    <definedName name="Warning" localSheetId="2">Pivot!$B$1</definedName>
  </definedNames>
  <calcPr calcId="191029" iterateDelta="1E-4"/>
  <pivotCaches>
    <pivotCache cacheId="14" r:id="rId7"/>
  </pivotCaches>
  <extLst>
    <ext xmlns:x14="http://schemas.microsoft.com/office/spreadsheetml/2009/9/main" uri="{8193D73E-4604-4355-AFF4-8A2333D13BE4}">
      <x14:definedNames>
        <x14:definedName name="PythonDict">
          <x14:argumentDescriptions count="1">
            <x14:argumentDescription index="0">Range: A two column range</x14:argumentDescription>
          </x14:argumentDescriptions>
        </x14:definedName>
        <x14:definedName name="PythonList">
          <x14:argumentDescriptions count="1">
            <x14:argumentDescription index="0">Range: A range of any size</x14:argumentDescription>
          </x14:argumentDescriptions>
        </x14:definedName>
      </x14:definedNames>
    </ext>
    <ext xmlns:x14="http://schemas.microsoft.com/office/spreadsheetml/2009/9/main" uri="{79F54976-1DA5-4618-B147-4CDE4B953A38}">
      <x14:workbookPr/>
    </ex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D12" i="27" l="1"/>
  <c r="D13" i="27"/>
  <c r="D14" i="27"/>
  <c r="D15" i="27"/>
  <c r="D16" i="27"/>
  <c r="D17" i="27"/>
  <c r="D18" i="27"/>
  <c r="C12" i="27"/>
  <c r="C13" i="27"/>
  <c r="C14" i="27"/>
  <c r="C15" i="27"/>
  <c r="C16" i="27"/>
  <c r="C17" i="27"/>
  <c r="C18" i="27"/>
  <c r="C3" i="28"/>
  <c r="E77" i="25" a="1"/>
  <c r="E77" i="25" s="1"/>
  <c r="D77" i="25"/>
  <c r="E76" i="25" l="1" a="1"/>
  <c r="E76" i="25" s="1"/>
  <c r="D76" i="25"/>
  <c r="E75" i="25" a="1"/>
  <c r="E75" i="25" s="1"/>
  <c r="D75" i="25"/>
  <c r="E74" i="25"/>
  <c r="D74" i="25"/>
  <c r="E73" i="25"/>
  <c r="D73" i="25"/>
  <c r="E72" i="25"/>
  <c r="D72" i="25"/>
  <c r="E71" i="25"/>
  <c r="D71" i="25"/>
  <c r="E70" i="25"/>
  <c r="D70" i="25"/>
  <c r="E69" i="25"/>
  <c r="D69" i="25"/>
</calcChain>
</file>

<file path=xl/metadata.xml><?xml version="1.0" encoding="utf-8"?>
<metadata xmlns="http://schemas.openxmlformats.org/spreadsheetml/2006/main" xmlns:xlrd="http://schemas.microsoft.com/office/spreadsheetml/2017/richdata" xmlns:xda="http://schemas.microsoft.com/office/spreadsheetml/2017/dynamicarray">
  <metadataTypes count="2">
    <metadataType name="XLDAPR" minSupportedVersion="120000" copy="1" pasteAll="1" pasteValues="1" merge="1" splitFirst="1" rowColShift="1" clearFormats="1" clearComments="1" assign="1" coerce="1" cellMeta="1"/>
    <metadataType name="XLRICHVALUE" minSupportedVersion="120000" copy="1" pasteAll="1" pasteValues="1" merge="1" splitFirst="1" rowColShift="1" clearFormats="1" clearComments="1" assign="1" coerce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futureMetadata name="XLRICHVALUE" count="1">
    <bk>
      <extLst>
        <ext uri="{3e2802c4-a4d2-4d8b-9148-e3be6c30e623}">
          <xlrd:rvb i="0"/>
        </ext>
      </extLst>
    </bk>
  </futureMetadata>
  <cellMetadata count="1">
    <bk>
      <rc t="1" v="0"/>
    </bk>
  </cellMetadata>
  <valueMetadata count="1">
    <bk>
      <rc t="2" v="0"/>
    </bk>
  </valueMetadata>
</metadata>
</file>

<file path=xl/sharedStrings.xml><?xml version="1.0" encoding="utf-8"?>
<sst xmlns="http://schemas.openxmlformats.org/spreadsheetml/2006/main" count="9887" uniqueCount="148">
  <si>
    <t>Warning</t>
  </si>
  <si>
    <t>Field Notes</t>
  </si>
  <si>
    <t>Definitions</t>
  </si>
  <si>
    <t>Notes</t>
  </si>
  <si>
    <t xml:space="preserve"> </t>
  </si>
  <si>
    <t>Data Description</t>
  </si>
  <si>
    <t>Rows</t>
  </si>
  <si>
    <t>Composition</t>
  </si>
  <si>
    <t>Data type</t>
  </si>
  <si>
    <t>Distinct %</t>
  </si>
  <si>
    <t>Missing %</t>
  </si>
  <si>
    <t>Memory Usage %</t>
  </si>
  <si>
    <t>Memory Usage</t>
  </si>
  <si>
    <t>Distinct</t>
  </si>
  <si>
    <t>Count</t>
  </si>
  <si>
    <t>Missing</t>
  </si>
  <si>
    <t>Summary Stats</t>
  </si>
  <si>
    <t>Mean</t>
  </si>
  <si>
    <t>Median</t>
  </si>
  <si>
    <t>Mode</t>
  </si>
  <si>
    <t>Standard Deviation</t>
  </si>
  <si>
    <t>Variance</t>
  </si>
  <si>
    <t>Percentiles</t>
  </si>
  <si>
    <t>Min</t>
  </si>
  <si>
    <t>Max</t>
  </si>
  <si>
    <t>Range</t>
  </si>
  <si>
    <t>IQR</t>
  </si>
  <si>
    <t>Field Lists</t>
  </si>
  <si>
    <t>FieldList1</t>
  </si>
  <si>
    <t>FieldList2</t>
  </si>
  <si>
    <t>FieldList3</t>
  </si>
  <si>
    <t>FieldList4</t>
  </si>
  <si>
    <t>FieldList5</t>
  </si>
  <si>
    <t>FieldList6</t>
  </si>
  <si>
    <t>FIeldList7</t>
  </si>
  <si>
    <t>FIeldList8</t>
  </si>
  <si>
    <t>Compiled Lists</t>
  </si>
  <si>
    <t>Record List</t>
  </si>
  <si>
    <t>HasBlank</t>
  </si>
  <si>
    <t>Field</t>
  </si>
  <si>
    <t>Definition</t>
  </si>
  <si>
    <t>Count %</t>
  </si>
  <si>
    <t>5%</t>
  </si>
  <si>
    <t>25%</t>
  </si>
  <si>
    <t>50%</t>
  </si>
  <si>
    <t>75%</t>
  </si>
  <si>
    <t>95%</t>
  </si>
  <si>
    <t>Has Blank %</t>
  </si>
  <si>
    <t>% of Total Blanks</t>
  </si>
  <si>
    <t>Note</t>
  </si>
  <si>
    <t>SinglePlotTitle</t>
  </si>
  <si>
    <t>MultiplePlotsTitle</t>
  </si>
  <si>
    <t>% of Records</t>
  </si>
  <si>
    <t>Columns</t>
  </si>
  <si>
    <t>Distinct Record %</t>
  </si>
  <si>
    <t>Missing Values %</t>
  </si>
  <si>
    <t>Dataset Description</t>
  </si>
  <si>
    <t>Performance</t>
  </si>
  <si>
    <t>Config</t>
  </si>
  <si>
    <t>Environment Details</t>
  </si>
  <si>
    <t>Configuration Details</t>
  </si>
  <si>
    <t>Errors</t>
  </si>
  <si>
    <t>Environment Variable</t>
  </si>
  <si>
    <t>Value</t>
  </si>
  <si>
    <t>Dataframes Included</t>
  </si>
  <si>
    <t>Plots Included</t>
  </si>
  <si>
    <t>Columns Included</t>
  </si>
  <si>
    <t>Rows Included</t>
  </si>
  <si>
    <t>Production Time</t>
  </si>
  <si>
    <t>Production Section</t>
  </si>
  <si>
    <t>Production Time in Seconds</t>
  </si>
  <si>
    <t>% of Production Time</t>
  </si>
  <si>
    <t>Creating Workbook</t>
  </si>
  <si>
    <t>Adding Source Data</t>
  </si>
  <si>
    <t>Adding Plots</t>
  </si>
  <si>
    <t>Configuring Workbook</t>
  </si>
  <si>
    <t>Input Argument</t>
  </si>
  <si>
    <t>Error Type</t>
  </si>
  <si>
    <t>►</t>
  </si>
  <si>
    <t>Car Evaluation</t>
  </si>
  <si>
    <t>buying</t>
  </si>
  <si>
    <t>maint</t>
  </si>
  <si>
    <t>doors</t>
  </si>
  <si>
    <t>persons</t>
  </si>
  <si>
    <t>lug_boot</t>
  </si>
  <si>
    <t>safety</t>
  </si>
  <si>
    <t>class</t>
  </si>
  <si>
    <t>index</t>
  </si>
  <si>
    <t>Record Hash</t>
  </si>
  <si>
    <t>136,671 bytes</t>
  </si>
  <si>
    <t>str</t>
  </si>
  <si>
    <t>high</t>
  </si>
  <si>
    <t>big</t>
  </si>
  <si>
    <t>unacc</t>
  </si>
  <si>
    <t>vhigh</t>
  </si>
  <si>
    <t>small</t>
  </si>
  <si>
    <t>low</t>
  </si>
  <si>
    <t>med</t>
  </si>
  <si>
    <t>more</t>
  </si>
  <si>
    <t>5more</t>
  </si>
  <si>
    <t>acc</t>
  </si>
  <si>
    <t>vgood</t>
  </si>
  <si>
    <t>good</t>
  </si>
  <si>
    <t>Grand Total</t>
  </si>
  <si>
    <t>os</t>
  </si>
  <si>
    <t>Darwin</t>
  </si>
  <si>
    <t>env_type</t>
  </si>
  <si>
    <t>Terminal or IDE</t>
  </si>
  <si>
    <t>excel_version</t>
  </si>
  <si>
    <t>debug</t>
  </si>
  <si>
    <t>compatible</t>
  </si>
  <si>
    <t>junk_drawer</t>
  </si>
  <si>
    <t>Trash</t>
  </si>
  <si>
    <t>date</t>
  </si>
  <si>
    <t>#m/#d/2026</t>
  </si>
  <si>
    <t>os_release</t>
  </si>
  <si>
    <t>25.6.0</t>
  </si>
  <si>
    <t>os_version</t>
  </si>
  <si>
    <t>Darwin Kernel Version 25.6.0: Fri May 15 01:56:12 PDT 2026; root:xnu-12377.160.49.0.1~42/RELEASE_ARM64_T8103</t>
  </si>
  <si>
    <t>architecture</t>
  </si>
  <si>
    <t>arm64</t>
  </si>
  <si>
    <t>processor</t>
  </si>
  <si>
    <t>arm</t>
  </si>
  <si>
    <t>python_version</t>
  </si>
  <si>
    <t>3.14.0</t>
  </si>
  <si>
    <t>python_implementation</t>
  </si>
  <si>
    <t>CPython</t>
  </si>
  <si>
    <t>console_columns</t>
  </si>
  <si>
    <t>console_lines</t>
  </si>
  <si>
    <t>name</t>
  </si>
  <si>
    <t>theme_color</t>
  </si>
  <si>
    <t>random</t>
  </si>
  <si>
    <t>add_plots</t>
  </si>
  <si>
    <t>[]</t>
  </si>
  <si>
    <t>add_dfs</t>
  </si>
  <si>
    <t>large_report</t>
  </si>
  <si>
    <t>overwrite</t>
  </si>
  <si>
    <t>wb_path</t>
  </si>
  <si>
    <t>examples/other_examples</t>
  </si>
  <si>
    <t>open_wb</t>
  </si>
  <si>
    <t>no_vba</t>
  </si>
  <si>
    <t>export</t>
  </si>
  <si>
    <t>No Errors occurred</t>
  </si>
  <si>
    <t>N/A</t>
  </si>
  <si>
    <t>Configure Template</t>
  </si>
  <si>
    <t>Adding Field Metadata</t>
  </si>
  <si>
    <t>Adding Overview</t>
  </si>
  <si>
    <t>Configure Pivots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</si>
</sst>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xmlns:xr9="http://schemas.microsoft.com/office/spreadsheetml/2016/revision9" mc:Ignorable="x14ac x16r2 xr xr9">
  <numFmts count="2">
    <numFmt numFmtId="164" formatCode="0.0%"/>
    <numFmt numFmtId="165" formatCode="#,##0.0"/>
  </numFmts>
  <fonts count="38" x14ac:knownFonts="1">
    <font>
      <sz val="11"/>
      <color theme="0"/>
      <name val="Calibri"/>
      <family val="2"/>
      <scheme val="minor"/>
    </font>
    <font>
      <u/>
      <sz val="10"/>
      <color theme="0"/>
      <name val="Calibri"/>
      <family val="2"/>
      <scheme val="minor"/>
    </font>
    <font>
      <b/>
      <i/>
      <sz val="10"/>
      <color rgb="FFDCE6F2"/>
      <name val="Calibri"/>
      <family val="2"/>
      <scheme val="minor"/>
    </font>
    <font>
      <i/>
      <sz val="10"/>
      <color theme="1" tint="0.24994659260841701"/>
      <name val="Calibri"/>
      <family val="2"/>
      <scheme val="minor"/>
    </font>
    <font>
      <b/>
      <sz val="12"/>
      <color theme="0"/>
      <name val="Calibri"/>
      <family val="2"/>
      <scheme val="minor"/>
    </font>
    <font>
      <sz val="10"/>
      <color theme="0"/>
      <name val="Calibri"/>
      <family val="2"/>
    </font>
    <font>
      <b/>
      <sz val="28"/>
      <color theme="0"/>
      <name val="Calibri"/>
      <family val="2"/>
      <scheme val="minor"/>
    </font>
    <font>
      <i/>
      <sz val="11"/>
      <color theme="1" tint="0.499984740745262"/>
      <name val="Calibri"/>
      <family val="2"/>
      <scheme val="minor"/>
    </font>
    <font>
      <sz val="10"/>
      <color theme="0"/>
      <name val="Calibri"/>
      <family val="2"/>
      <scheme val="minor"/>
    </font>
    <font>
      <b/>
      <sz val="10"/>
      <color theme="0"/>
      <name val="Calibri"/>
      <family val="2"/>
    </font>
    <font>
      <sz val="11"/>
      <name val="Calibri"/>
      <family val="2"/>
      <scheme val="minor"/>
    </font>
    <font>
      <i/>
      <sz val="10"/>
      <color theme="1" tint="0.39997558519241921"/>
      <name val="Calibri"/>
      <family val="2"/>
      <scheme val="minor"/>
    </font>
    <font>
      <b/>
      <sz val="36"/>
      <color theme="0"/>
      <name val="Calibri"/>
      <family val="2"/>
      <scheme val="minor"/>
    </font>
    <font>
      <sz val="10"/>
      <color rgb="FF000000"/>
      <name val="Calibri"/>
      <family val="2"/>
      <scheme val="minor"/>
    </font>
    <font>
      <b/>
      <sz val="16"/>
      <color rgb="FF000000"/>
      <name val="Calibri"/>
      <family val="2"/>
      <scheme val="minor"/>
    </font>
    <font>
      <sz val="10"/>
      <name val="Calibri"/>
      <family val="2"/>
      <scheme val="minor"/>
    </font>
    <font>
      <b/>
      <sz val="14"/>
      <color theme="0"/>
      <name val="Calibri"/>
      <family val="2"/>
    </font>
    <font>
      <i/>
      <sz val="10"/>
      <color theme="1" tint="0.34998626667073579"/>
      <name val="Calibri"/>
      <family val="2"/>
      <scheme val="minor"/>
    </font>
    <font>
      <i/>
      <sz val="11"/>
      <color theme="1" tint="0.39994506668294322"/>
      <name val="Calibri"/>
      <family val="2"/>
      <scheme val="minor"/>
    </font>
    <font>
      <sz val="11"/>
      <color theme="1" tint="0.39997558519241921"/>
      <name val="Calibri"/>
      <family val="2"/>
      <scheme val="minor"/>
    </font>
    <font>
      <sz val="8"/>
      <color theme="0"/>
      <name val="Calibri"/>
      <family val="2"/>
      <scheme val="minor"/>
    </font>
    <font>
      <sz val="11"/>
      <color theme="0"/>
      <name val="Calibri"/>
      <family val="2"/>
      <scheme val="minor"/>
    </font>
    <font>
      <sz val="9"/>
      <color theme="0"/>
      <name val="Calibri"/>
      <family val="2"/>
      <scheme val="minor"/>
    </font>
    <font>
      <i/>
      <sz val="10"/>
      <color theme="1" tint="0.79998168889431442"/>
      <name val="Calibri"/>
      <family val="2"/>
      <scheme val="minor"/>
    </font>
    <font>
      <b/>
      <sz val="11"/>
      <color theme="1" tint="0.79998168889431442"/>
      <name val="Calibri"/>
      <family val="2"/>
      <scheme val="minor"/>
    </font>
    <font>
      <b/>
      <sz val="16"/>
      <color theme="1" tint="0.79998168889431442"/>
      <name val="Calibri"/>
      <family val="2"/>
      <scheme val="minor"/>
    </font>
    <font>
      <i/>
      <sz val="11"/>
      <color theme="0"/>
      <name val="Calibri"/>
      <family val="2"/>
      <scheme val="minor"/>
    </font>
    <font>
      <sz val="11"/>
      <color theme="0"/>
      <name val="Wingdings 3"/>
      <charset val="2"/>
    </font>
    <font>
      <sz val="18"/>
      <color theme="1" tint="0.39997558519241921"/>
      <name val="Calibri"/>
      <family val="2"/>
      <scheme val="minor"/>
    </font>
    <font>
      <b/>
      <sz val="11"/>
      <color rgb="FFD8D8D8"/>
      <name val="Calibri"/>
      <family val="2"/>
      <scheme val="minor"/>
    </font>
    <font>
      <b/>
      <sz val="14"/>
      <color rgb="FFD8D8D8"/>
      <name val="Calibri"/>
      <family val="2"/>
      <scheme val="minor"/>
    </font>
    <font>
      <sz val="11"/>
      <color rgb="FF000000"/>
      <name val="Calibri"/>
      <family val="2"/>
      <scheme val="minor"/>
    </font>
    <font>
      <b/>
      <sz val="12"/>
      <color rgb="FF000000"/>
      <name val="Calibri"/>
      <family val="2"/>
      <scheme val="minor"/>
    </font>
    <font>
      <sz val="8"/>
      <name val="Calibri"/>
      <family val="2"/>
      <scheme val="minor"/>
    </font>
    <font>
      <b/>
      <sz val="12"/>
      <color rgb="FF898989"/>
      <name val="Calibri"/>
      <family val="2"/>
      <scheme val="minor"/>
    </font>
    <font>
      <i/>
      <sz val="11"/>
      <color rgb="FF898989"/>
      <name val="Calibri"/>
      <family val="2"/>
      <scheme val="minor"/>
    </font>
    <font>
      <sz val="11"/>
      <color rgb="FF898989"/>
      <name val="Calibri"/>
      <family val="2"/>
      <scheme val="minor"/>
    </font>
    <font>
      <sz val="10"/>
      <color rgb="FF898989"/>
      <name val="Calibri"/>
      <family val="2"/>
      <scheme val="minor"/>
    </font>
  </fonts>
  <fills count="12">
    <fill>
      <patternFill patternType="none"/>
    </fill>
    <fill>
      <patternFill patternType="gray125"/>
    </fill>
    <fill>
      <patternFill patternType="solid">
        <fgColor rgb="FF000000"/>
        <bgColor indexed="64"/>
      </patternFill>
    </fill>
    <fill>
      <patternFill patternType="solid">
        <fgColor rgb="FF000000"/>
        <bgColor theme="1" tint="0.249977111117893"/>
      </patternFill>
    </fill>
    <fill>
      <patternFill patternType="solid">
        <fgColor rgb="FF000000"/>
        <bgColor theme="1" tint="0.44999542222357858"/>
      </patternFill>
    </fill>
    <fill>
      <patternFill patternType="solid">
        <fgColor rgb="FFFFC000"/>
        <bgColor indexed="64"/>
      </patternFill>
    </fill>
    <fill>
      <patternFill patternType="solid">
        <fgColor theme="1" tint="-0.499984740745262"/>
        <bgColor indexed="64"/>
      </patternFill>
    </fill>
    <fill>
      <patternFill patternType="solid">
        <fgColor rgb="FF060606"/>
        <bgColor indexed="64"/>
      </patternFill>
    </fill>
    <fill>
      <patternFill patternType="solid">
        <fgColor rgb="FF262626"/>
        <bgColor indexed="64"/>
      </patternFill>
    </fill>
    <fill>
      <patternFill patternType="solid">
        <fgColor rgb="FF000000"/>
        <bgColor rgb="FF000000"/>
      </patternFill>
    </fill>
    <fill>
      <patternFill patternType="solid">
        <fgColor rgb="FFC4CDBD"/>
        <bgColor indexed="64"/>
      </patternFill>
    </fill>
    <fill>
      <patternFill patternType="solid">
        <fgColor rgb="FF262626"/>
        <bgColor theme="1" tint="0.249977111117893"/>
      </patternFill>
    </fill>
  </fills>
  <borders count="26">
    <border>
      <left/>
      <right/>
      <top/>
      <bottom/>
      <diagonal/>
    </border>
    <border>
      <left style="thin">
        <color theme="1" tint="0.24994659260841701"/>
      </left>
      <right style="thin">
        <color theme="1" tint="0.24994659260841701"/>
      </right>
      <top/>
      <bottom/>
      <diagonal/>
    </border>
    <border>
      <left style="thin">
        <color theme="1" tint="-0.249977111117893"/>
      </left>
      <right style="thin">
        <color theme="1" tint="-0.249977111117893"/>
      </right>
      <top style="thin">
        <color theme="1" tint="-0.249977111117893"/>
      </top>
      <bottom style="thin">
        <color theme="1" tint="-0.249977111117893"/>
      </bottom>
      <diagonal/>
    </border>
    <border>
      <left/>
      <right/>
      <top style="thin">
        <color theme="1" tint="-0.249977111117893"/>
      </top>
      <bottom/>
      <diagonal/>
    </border>
    <border>
      <left/>
      <right/>
      <top/>
      <bottom style="thin">
        <color theme="1" tint="-0.249977111117893"/>
      </bottom>
      <diagonal/>
    </border>
    <border>
      <left/>
      <right/>
      <top style="thin">
        <color theme="1" tint="-0.249977111117893"/>
      </top>
      <bottom style="thin">
        <color theme="1" tint="-0.249977111117893"/>
      </bottom>
      <diagonal/>
    </border>
    <border>
      <left/>
      <right style="thin">
        <color theme="1" tint="-0.249977111117893"/>
      </right>
      <top style="thin">
        <color theme="1" tint="-0.249977111117893"/>
      </top>
      <bottom style="thin">
        <color theme="1" tint="-0.249977111117893"/>
      </bottom>
      <diagonal/>
    </border>
    <border>
      <left/>
      <right style="thin">
        <color theme="1" tint="-0.249977111117893"/>
      </right>
      <top/>
      <bottom style="thin">
        <color theme="1" tint="-0.249977111117893"/>
      </bottom>
      <diagonal/>
    </border>
    <border>
      <left/>
      <right style="thin">
        <color theme="1" tint="-0.249977111117893"/>
      </right>
      <top style="thin">
        <color theme="1" tint="-0.249977111117893"/>
      </top>
      <bottom/>
      <diagonal/>
    </border>
    <border>
      <left/>
      <right style="thin">
        <color theme="1" tint="-0.249977111117893"/>
      </right>
      <top/>
      <bottom/>
      <diagonal/>
    </border>
    <border>
      <left style="thin">
        <color theme="1" tint="-0.249977111117893"/>
      </left>
      <right style="thin">
        <color theme="1" tint="-0.249977111117893"/>
      </right>
      <top/>
      <bottom/>
      <diagonal/>
    </border>
    <border>
      <left/>
      <right/>
      <top style="thin">
        <color theme="1" tint="-0.499984740745262"/>
      </top>
      <bottom style="thin">
        <color theme="1" tint="-0.499984740745262"/>
      </bottom>
      <diagonal/>
    </border>
    <border>
      <left/>
      <right/>
      <top/>
      <bottom style="thin">
        <color theme="1" tint="-0.499984740745262"/>
      </bottom>
      <diagonal/>
    </border>
    <border>
      <left/>
      <right/>
      <top style="thin">
        <color theme="1" tint="-0.499984740745262"/>
      </top>
      <bottom/>
      <diagonal/>
    </border>
    <border>
      <left style="thin">
        <color theme="1" tint="-0.499984740745262"/>
      </left>
      <right style="thin">
        <color theme="1" tint="-0.499984740745262"/>
      </right>
      <top style="thin">
        <color theme="1" tint="-0.499984740745262"/>
      </top>
      <bottom style="thin">
        <color theme="1" tint="-0.499984740745262"/>
      </bottom>
      <diagonal/>
    </border>
    <border>
      <left style="thin">
        <color theme="1" tint="-0.249977111117893"/>
      </left>
      <right/>
      <top style="thin">
        <color theme="1" tint="-0.249977111117893"/>
      </top>
      <bottom style="thin">
        <color theme="1" tint="-0.249977111117893"/>
      </bottom>
      <diagonal/>
    </border>
    <border>
      <left style="thin">
        <color theme="1" tint="-0.249977111117893"/>
      </left>
      <right style="thin">
        <color theme="1" tint="-0.249977111117893"/>
      </right>
      <top style="thin">
        <color theme="1" tint="-0.249977111117893"/>
      </top>
      <bottom/>
      <diagonal/>
    </border>
    <border>
      <left/>
      <right style="thin">
        <color rgb="FF262626"/>
      </right>
      <top/>
      <bottom/>
      <diagonal/>
    </border>
    <border>
      <left/>
      <right style="thin">
        <color theme="1" tint="-0.499984740745262"/>
      </right>
      <top/>
      <bottom style="thin">
        <color theme="1" tint="-0.499984740745262"/>
      </bottom>
      <diagonal/>
    </border>
    <border>
      <left style="thin">
        <color theme="1" tint="-0.499984740745262"/>
      </left>
      <right style="thin">
        <color theme="1" tint="-0.499984740745262"/>
      </right>
      <top/>
      <bottom style="thin">
        <color theme="1" tint="-0.499984740745262"/>
      </bottom>
      <diagonal/>
    </border>
    <border>
      <left/>
      <right style="thin">
        <color theme="1" tint="-0.499984740745262"/>
      </right>
      <top style="thin">
        <color theme="1" tint="-0.499984740745262"/>
      </top>
      <bottom style="thin">
        <color theme="1" tint="-0.499984740745262"/>
      </bottom>
      <diagonal/>
    </border>
    <border>
      <left style="thin">
        <color theme="1" tint="-0.499984740745262"/>
      </left>
      <right/>
      <top/>
      <bottom style="thin">
        <color theme="1" tint="-0.499984740745262"/>
      </bottom>
      <diagonal/>
    </border>
    <border>
      <left style="thin">
        <color theme="1" tint="-0.499984740745262"/>
      </left>
      <right/>
      <top style="thin">
        <color theme="1" tint="-0.499984740745262"/>
      </top>
      <bottom style="thin">
        <color theme="1" tint="-0.499984740745262"/>
      </bottom>
      <diagonal/>
    </border>
    <border>
      <left/>
      <right style="thin">
        <color theme="1" tint="-0.499984740745262"/>
      </right>
      <top style="thin">
        <color theme="1" tint="-0.499984740745262"/>
      </top>
      <bottom/>
      <diagonal/>
    </border>
    <border>
      <left style="thin">
        <color theme="1" tint="-0.499984740745262"/>
      </left>
      <right style="thin">
        <color theme="1" tint="-0.499984740745262"/>
      </right>
      <top style="thin">
        <color theme="1" tint="-0.499984740745262"/>
      </top>
      <bottom/>
      <diagonal/>
    </border>
    <border>
      <left style="thin">
        <color theme="1" tint="-0.499984740745262"/>
      </left>
      <right/>
      <top style="thin">
        <color theme="1" tint="-0.499984740745262"/>
      </top>
      <bottom/>
      <diagonal/>
    </border>
  </borders>
  <cellStyleXfs count="9">
    <xf numFmtId="0" fontId="0" fillId="2" borderId="0"/>
    <xf numFmtId="0" fontId="1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2" borderId="0" applyProtection="0">
      <alignment horizontal="left" vertical="center"/>
    </xf>
    <xf numFmtId="0" fontId="2" fillId="2" borderId="11" applyProtection="0">
      <alignment horizontal="right" vertical="center"/>
    </xf>
    <xf numFmtId="0" fontId="3" fillId="2" borderId="1" applyProtection="0">
      <alignment horizontal="center" vertical="center"/>
    </xf>
    <xf numFmtId="0" fontId="18" fillId="2" borderId="14">
      <alignment horizontal="center" vertical="center"/>
    </xf>
    <xf numFmtId="0" fontId="4" fillId="2" borderId="0" applyProtection="0">
      <alignment horizontal="center" vertical="center" wrapText="1"/>
    </xf>
    <xf numFmtId="9" fontId="21" fillId="0" borderId="0" applyFont="0" applyFill="0" applyBorder="0" applyAlignment="0" applyProtection="0"/>
  </cellStyleXfs>
  <cellXfs count="143">
    <xf numFmtId="0" fontId="0" fillId="2" borderId="0" xfId="0"/>
    <xf numFmtId="0" fontId="0" fillId="2" borderId="0" xfId="0" applyAlignment="1">
      <alignment vertical="center" textRotation="180"/>
    </xf>
    <xf numFmtId="0" fontId="2" fillId="2" borderId="0" xfId="3">
      <alignment horizontal="left" vertical="center"/>
    </xf>
    <xf numFmtId="0" fontId="2" fillId="2" borderId="0" xfId="4" applyBorder="1">
      <alignment horizontal="right" vertical="center"/>
    </xf>
    <xf numFmtId="0" fontId="9" fillId="4" borderId="0" xfId="0" applyFont="1" applyFill="1" applyAlignment="1">
      <alignment horizontal="right" wrapText="1"/>
    </xf>
    <xf numFmtId="0" fontId="0" fillId="2" borderId="0" xfId="0" applyAlignment="1">
      <alignment horizontal="center" vertical="center"/>
    </xf>
    <xf numFmtId="0" fontId="7" fillId="2" borderId="0" xfId="0" applyFont="1" applyAlignment="1">
      <alignment horizontal="center" vertical="center"/>
    </xf>
    <xf numFmtId="0" fontId="6" fillId="2" borderId="0" xfId="0" applyFont="1" applyAlignment="1">
      <alignment horizontal="left" vertical="center"/>
    </xf>
    <xf numFmtId="0" fontId="0" fillId="2" borderId="0" xfId="0" applyAlignment="1">
      <alignment horizontal="right"/>
    </xf>
    <xf numFmtId="0" fontId="0" fillId="2" borderId="0" xfId="0" applyAlignment="1">
      <alignment textRotation="180"/>
    </xf>
    <xf numFmtId="0" fontId="8" fillId="2" borderId="0" xfId="0" applyFont="1"/>
    <xf numFmtId="0" fontId="5" fillId="2" borderId="0" xfId="0" applyFont="1" applyAlignment="1">
      <alignment horizontal="right" vertical="center" indent="7"/>
    </xf>
    <xf numFmtId="0" fontId="7" fillId="2" borderId="0" xfId="0" applyFont="1"/>
    <xf numFmtId="0" fontId="0" fillId="2" borderId="2" xfId="0" applyBorder="1" applyAlignment="1">
      <alignment horizontal="center" vertical="center"/>
    </xf>
    <xf numFmtId="164" fontId="0" fillId="2" borderId="2" xfId="0" applyNumberFormat="1" applyBorder="1" applyAlignment="1">
      <alignment horizontal="center" vertical="center"/>
    </xf>
    <xf numFmtId="3" fontId="0" fillId="2" borderId="2" xfId="0" applyNumberFormat="1" applyBorder="1" applyAlignment="1">
      <alignment horizontal="center" vertical="center"/>
    </xf>
    <xf numFmtId="4" fontId="0" fillId="2" borderId="2" xfId="0" applyNumberFormat="1" applyBorder="1" applyAlignment="1">
      <alignment horizontal="center" vertical="center"/>
    </xf>
    <xf numFmtId="0" fontId="0" fillId="5" borderId="0" xfId="0" applyFill="1"/>
    <xf numFmtId="0" fontId="10" fillId="5" borderId="0" xfId="0" applyFont="1" applyFill="1" applyAlignment="1">
      <alignment vertical="center"/>
    </xf>
    <xf numFmtId="0" fontId="2" fillId="2" borderId="3" xfId="4" applyBorder="1">
      <alignment horizontal="right" vertical="center"/>
    </xf>
    <xf numFmtId="0" fontId="2" fillId="2" borderId="4" xfId="4" applyBorder="1">
      <alignment horizontal="right" vertical="center"/>
    </xf>
    <xf numFmtId="0" fontId="2" fillId="2" borderId="5" xfId="4" applyBorder="1">
      <alignment horizontal="right" vertical="center"/>
    </xf>
    <xf numFmtId="0" fontId="2" fillId="2" borderId="6" xfId="4" applyBorder="1">
      <alignment horizontal="right" vertical="center"/>
    </xf>
    <xf numFmtId="0" fontId="2" fillId="2" borderId="7" xfId="4" applyBorder="1">
      <alignment horizontal="right" vertical="center"/>
    </xf>
    <xf numFmtId="0" fontId="2" fillId="2" borderId="8" xfId="4" applyBorder="1">
      <alignment horizontal="right" vertical="center"/>
    </xf>
    <xf numFmtId="0" fontId="2" fillId="2" borderId="9" xfId="4" applyBorder="1">
      <alignment horizontal="right" vertical="center"/>
    </xf>
    <xf numFmtId="0" fontId="6" fillId="2" borderId="0" xfId="0" applyFont="1" applyAlignment="1">
      <alignment vertical="center"/>
    </xf>
    <xf numFmtId="0" fontId="4" fillId="2" borderId="0" xfId="0" applyFont="1" applyAlignment="1">
      <alignment horizontal="center" vertical="center" wrapText="1"/>
    </xf>
    <xf numFmtId="3" fontId="0" fillId="2" borderId="4" xfId="0" applyNumberFormat="1" applyBorder="1" applyAlignment="1">
      <alignment horizontal="center"/>
    </xf>
    <xf numFmtId="3" fontId="8" fillId="2" borderId="5" xfId="0" applyNumberFormat="1" applyFont="1" applyBorder="1" applyAlignment="1">
      <alignment horizontal="center" vertical="center"/>
    </xf>
    <xf numFmtId="0" fontId="2" fillId="2" borderId="11" xfId="4">
      <alignment horizontal="right" vertical="center"/>
    </xf>
    <xf numFmtId="0" fontId="2" fillId="2" borderId="12" xfId="4" applyBorder="1">
      <alignment horizontal="right" vertical="center"/>
    </xf>
    <xf numFmtId="0" fontId="2" fillId="2" borderId="13" xfId="4" applyBorder="1">
      <alignment horizontal="right" vertical="center"/>
    </xf>
    <xf numFmtId="0" fontId="12" fillId="2" borderId="0" xfId="0" applyFont="1" applyAlignment="1">
      <alignment horizontal="left" vertical="center"/>
    </xf>
    <xf numFmtId="0" fontId="7" fillId="2" borderId="0" xfId="0" applyFont="1" applyAlignment="1">
      <alignment horizontal="right" vertical="top"/>
    </xf>
    <xf numFmtId="0" fontId="8" fillId="2" borderId="0" xfId="0" applyFont="1" applyAlignment="1">
      <alignment vertical="top"/>
    </xf>
    <xf numFmtId="0" fontId="15" fillId="2" borderId="0" xfId="0" applyFont="1" applyAlignment="1">
      <alignment horizontal="left" vertical="center" wrapText="1" indent="1"/>
    </xf>
    <xf numFmtId="0" fontId="16" fillId="2" borderId="0" xfId="0" applyFont="1" applyAlignment="1">
      <alignment horizontal="right" vertical="top" textRotation="180"/>
    </xf>
    <xf numFmtId="0" fontId="17" fillId="2" borderId="0" xfId="0" applyFont="1" applyAlignment="1">
      <alignment horizontal="right" vertical="center"/>
    </xf>
    <xf numFmtId="0" fontId="0" fillId="2" borderId="0" xfId="0" applyAlignment="1">
      <alignment horizontal="right" textRotation="180"/>
    </xf>
    <xf numFmtId="0" fontId="13" fillId="8" borderId="0" xfId="0" applyFont="1" applyFill="1" applyAlignment="1">
      <alignment wrapText="1"/>
    </xf>
    <xf numFmtId="0" fontId="14" fillId="8" borderId="0" xfId="0" applyFont="1" applyFill="1" applyAlignment="1">
      <alignment vertical="center" wrapText="1"/>
    </xf>
    <xf numFmtId="0" fontId="18" fillId="2" borderId="14" xfId="6">
      <alignment horizontal="center" vertical="center"/>
    </xf>
    <xf numFmtId="0" fontId="0" fillId="2" borderId="14" xfId="0" applyBorder="1" applyAlignment="1">
      <alignment horizontal="left" indent="1"/>
    </xf>
    <xf numFmtId="0" fontId="0" fillId="2" borderId="14" xfId="0" applyBorder="1" applyAlignment="1">
      <alignment horizontal="center" vertical="center" wrapText="1"/>
    </xf>
    <xf numFmtId="3" fontId="0" fillId="2" borderId="14" xfId="0" applyNumberFormat="1" applyBorder="1" applyAlignment="1">
      <alignment horizontal="center" vertical="center" wrapText="1"/>
    </xf>
    <xf numFmtId="164" fontId="0" fillId="2" borderId="14" xfId="0" applyNumberFormat="1" applyBorder="1" applyAlignment="1">
      <alignment horizontal="center" vertical="center" wrapText="1"/>
    </xf>
    <xf numFmtId="4" fontId="0" fillId="2" borderId="14" xfId="0" applyNumberFormat="1" applyBorder="1" applyAlignment="1">
      <alignment horizontal="center" vertical="center" wrapText="1"/>
    </xf>
    <xf numFmtId="164" fontId="5" fillId="3" borderId="14" xfId="0" applyNumberFormat="1" applyFont="1" applyFill="1" applyBorder="1" applyAlignment="1">
      <alignment horizontal="center" vertical="top" wrapText="1"/>
    </xf>
    <xf numFmtId="164" fontId="5" fillId="3" borderId="5" xfId="0" applyNumberFormat="1" applyFont="1" applyFill="1" applyBorder="1" applyAlignment="1">
      <alignment horizontal="center" vertical="center" wrapText="1"/>
    </xf>
    <xf numFmtId="164" fontId="5" fillId="3" borderId="0" xfId="0" applyNumberFormat="1" applyFont="1" applyFill="1" applyAlignment="1">
      <alignment horizontal="center" vertical="center" wrapText="1"/>
    </xf>
    <xf numFmtId="0" fontId="19" fillId="8" borderId="14" xfId="0" applyFont="1" applyFill="1" applyBorder="1" applyAlignment="1">
      <alignment horizontal="left" indent="1"/>
    </xf>
    <xf numFmtId="0" fontId="20" fillId="2" borderId="0" xfId="0" applyFont="1" applyAlignment="1">
      <alignment horizontal="right" vertical="center"/>
    </xf>
    <xf numFmtId="3" fontId="0" fillId="2" borderId="4" xfId="0" applyNumberFormat="1" applyBorder="1" applyAlignment="1">
      <alignment horizontal="center" vertical="center"/>
    </xf>
    <xf numFmtId="0" fontId="3" fillId="2" borderId="0" xfId="5" applyBorder="1" applyAlignment="1">
      <alignment horizontal="center" vertical="center" wrapText="1"/>
    </xf>
    <xf numFmtId="0" fontId="3" fillId="2" borderId="10" xfId="5" applyBorder="1" applyAlignment="1">
      <alignment horizontal="center" vertical="center" wrapText="1"/>
    </xf>
    <xf numFmtId="0" fontId="11" fillId="2" borderId="9" xfId="5" applyFont="1" applyBorder="1" applyAlignment="1">
      <alignment horizontal="center" vertical="center" wrapText="1"/>
    </xf>
    <xf numFmtId="0" fontId="11" fillId="2" borderId="0" xfId="5" applyFont="1" applyBorder="1" applyAlignment="1">
      <alignment horizontal="center" vertical="center" wrapText="1"/>
    </xf>
    <xf numFmtId="0" fontId="11" fillId="2" borderId="10" xfId="5" applyFont="1" applyBorder="1" applyAlignment="1">
      <alignment horizontal="center" vertical="center" wrapText="1"/>
    </xf>
    <xf numFmtId="0" fontId="23" fillId="2" borderId="0" xfId="0" applyFont="1"/>
    <xf numFmtId="165" fontId="23" fillId="2" borderId="0" xfId="0" applyNumberFormat="1" applyFont="1" applyAlignment="1">
      <alignment horizontal="center" vertical="center" wrapText="1"/>
    </xf>
    <xf numFmtId="0" fontId="25" fillId="2" borderId="0" xfId="0" applyFont="1" applyAlignment="1">
      <alignment horizontal="left" vertical="center"/>
    </xf>
    <xf numFmtId="0" fontId="22" fillId="2" borderId="0" xfId="0" applyFont="1" applyAlignment="1">
      <alignment horizontal="left"/>
    </xf>
    <xf numFmtId="0" fontId="22" fillId="2" borderId="0" xfId="0" applyFont="1"/>
    <xf numFmtId="0" fontId="4" fillId="2" borderId="0" xfId="0" applyFont="1" applyAlignment="1">
      <alignment horizontal="left" vertical="center"/>
    </xf>
    <xf numFmtId="0" fontId="23" fillId="2" borderId="0" xfId="7" applyFont="1" applyAlignment="1">
      <alignment horizontal="left" vertical="center" wrapText="1" indent="1"/>
    </xf>
    <xf numFmtId="3" fontId="26" fillId="2" borderId="0" xfId="0" applyNumberFormat="1" applyFont="1" applyAlignment="1">
      <alignment horizontal="center" vertical="center"/>
    </xf>
    <xf numFmtId="3" fontId="23" fillId="2" borderId="0" xfId="0" applyNumberFormat="1" applyFont="1" applyAlignment="1">
      <alignment horizontal="center" vertical="center"/>
    </xf>
    <xf numFmtId="3" fontId="23" fillId="2" borderId="0" xfId="0" applyNumberFormat="1" applyFont="1" applyAlignment="1">
      <alignment horizontal="center" vertical="center" wrapText="1"/>
    </xf>
    <xf numFmtId="3" fontId="0" fillId="2" borderId="0" xfId="0" applyNumberFormat="1"/>
    <xf numFmtId="3" fontId="6" fillId="2" borderId="0" xfId="0" applyNumberFormat="1" applyFont="1" applyAlignment="1">
      <alignment vertical="center"/>
    </xf>
    <xf numFmtId="3" fontId="11" fillId="9" borderId="20" xfId="7" applyNumberFormat="1" applyFont="1" applyFill="1" applyBorder="1" applyAlignment="1">
      <alignment horizontal="left" vertical="center" wrapText="1" indent="1"/>
    </xf>
    <xf numFmtId="3" fontId="19" fillId="2" borderId="0" xfId="0" applyNumberFormat="1" applyFont="1" applyAlignment="1">
      <alignment horizontal="left"/>
    </xf>
    <xf numFmtId="3" fontId="22" fillId="2" borderId="0" xfId="0" applyNumberFormat="1" applyFont="1" applyAlignment="1">
      <alignment horizontal="left"/>
    </xf>
    <xf numFmtId="3" fontId="22" fillId="2" borderId="0" xfId="0" applyNumberFormat="1" applyFont="1"/>
    <xf numFmtId="3" fontId="23" fillId="2" borderId="0" xfId="7" applyNumberFormat="1" applyFont="1" applyAlignment="1">
      <alignment horizontal="left" vertical="center" wrapText="1" indent="1"/>
    </xf>
    <xf numFmtId="3" fontId="0" fillId="2" borderId="0" xfId="0" applyNumberFormat="1" applyAlignment="1">
      <alignment horizontal="left" indent="2"/>
    </xf>
    <xf numFmtId="3" fontId="24" fillId="6" borderId="18" xfId="7" applyNumberFormat="1" applyFont="1" applyFill="1" applyBorder="1" applyAlignment="1">
      <alignment horizontal="left" vertical="center" wrapText="1" indent="1"/>
    </xf>
    <xf numFmtId="3" fontId="24" fillId="6" borderId="19" xfId="7" applyNumberFormat="1" applyFont="1" applyFill="1" applyBorder="1">
      <alignment horizontal="center" vertical="center" wrapText="1"/>
    </xf>
    <xf numFmtId="3" fontId="24" fillId="6" borderId="21" xfId="7" applyNumberFormat="1" applyFont="1" applyFill="1" applyBorder="1">
      <alignment horizontal="center" vertical="center" wrapText="1"/>
    </xf>
    <xf numFmtId="3" fontId="23" fillId="2" borderId="20" xfId="7" applyNumberFormat="1" applyFont="1" applyBorder="1" applyAlignment="1">
      <alignment horizontal="left" vertical="center" wrapText="1" indent="1"/>
    </xf>
    <xf numFmtId="3" fontId="23" fillId="2" borderId="23" xfId="7" applyNumberFormat="1" applyFont="1" applyBorder="1" applyAlignment="1">
      <alignment horizontal="left" vertical="center" wrapText="1" indent="1"/>
    </xf>
    <xf numFmtId="3" fontId="11" fillId="9" borderId="18" xfId="7" applyNumberFormat="1" applyFont="1" applyFill="1" applyBorder="1" applyAlignment="1">
      <alignment horizontal="left" vertical="center" wrapText="1" indent="1"/>
    </xf>
    <xf numFmtId="3" fontId="23" fillId="9" borderId="23" xfId="7" applyNumberFormat="1" applyFont="1" applyFill="1" applyBorder="1" applyAlignment="1">
      <alignment horizontal="left" vertical="center" wrapText="1" indent="1"/>
    </xf>
    <xf numFmtId="3" fontId="23" fillId="9" borderId="25" xfId="7" applyNumberFormat="1" applyFont="1" applyFill="1" applyBorder="1" applyAlignment="1">
      <alignment horizontal="left" vertical="center" wrapText="1" indent="1"/>
    </xf>
    <xf numFmtId="3" fontId="11" fillId="9" borderId="21" xfId="7" applyNumberFormat="1" applyFont="1" applyFill="1" applyBorder="1">
      <alignment horizontal="center" vertical="center" wrapText="1"/>
    </xf>
    <xf numFmtId="3" fontId="11" fillId="9" borderId="22" xfId="7" applyNumberFormat="1" applyFont="1" applyFill="1" applyBorder="1">
      <alignment horizontal="center" vertical="center" wrapText="1"/>
    </xf>
    <xf numFmtId="3" fontId="11" fillId="9" borderId="23" xfId="7" applyNumberFormat="1" applyFont="1" applyFill="1" applyBorder="1" applyAlignment="1">
      <alignment horizontal="left" vertical="center" wrapText="1" indent="1"/>
    </xf>
    <xf numFmtId="164" fontId="23" fillId="2" borderId="22" xfId="8" applyNumberFormat="1" applyFont="1" applyFill="1" applyBorder="1" applyAlignment="1">
      <alignment horizontal="center" vertical="center"/>
    </xf>
    <xf numFmtId="164" fontId="23" fillId="2" borderId="25" xfId="8" applyNumberFormat="1" applyFont="1" applyFill="1" applyBorder="1" applyAlignment="1">
      <alignment horizontal="center" vertical="center"/>
    </xf>
    <xf numFmtId="165" fontId="23" fillId="2" borderId="14" xfId="0" applyNumberFormat="1" applyFont="1" applyBorder="1" applyAlignment="1">
      <alignment horizontal="center"/>
    </xf>
    <xf numFmtId="165" fontId="23" fillId="2" borderId="24" xfId="0" applyNumberFormat="1" applyFont="1" applyBorder="1" applyAlignment="1">
      <alignment horizontal="center"/>
    </xf>
    <xf numFmtId="3" fontId="6" fillId="2" borderId="0" xfId="0" applyNumberFormat="1" applyFont="1" applyAlignment="1">
      <alignment vertical="center" textRotation="180"/>
    </xf>
    <xf numFmtId="3" fontId="27" fillId="2" borderId="0" xfId="0" applyNumberFormat="1" applyFont="1"/>
    <xf numFmtId="0" fontId="19" fillId="2" borderId="0" xfId="0" applyFont="1" applyAlignment="1">
      <alignment vertical="center"/>
    </xf>
    <xf numFmtId="0" fontId="28" fillId="2" borderId="0" xfId="0" applyFont="1" applyAlignment="1">
      <alignment vertical="center"/>
    </xf>
    <xf numFmtId="3" fontId="29" fillId="6" borderId="18" xfId="7" applyNumberFormat="1" applyFont="1" applyFill="1" applyBorder="1" applyAlignment="1">
      <alignment horizontal="left" vertical="center" wrapText="1" indent="1"/>
    </xf>
    <xf numFmtId="3" fontId="30" fillId="2" borderId="0" xfId="7" applyNumberFormat="1" applyFont="1" applyAlignment="1">
      <alignment horizontal="left" vertical="center" wrapText="1" indent="1"/>
    </xf>
    <xf numFmtId="0" fontId="3" fillId="2" borderId="0" xfId="5" applyBorder="1" applyAlignment="1">
      <alignment horizontal="left" vertical="center" wrapText="1" indent="1"/>
    </xf>
    <xf numFmtId="0" fontId="3" fillId="2" borderId="17" xfId="5" applyBorder="1" applyAlignment="1">
      <alignment horizontal="left" vertical="center" wrapText="1" indent="1"/>
    </xf>
    <xf numFmtId="3" fontId="1" fillId="2" borderId="0" xfId="1" applyNumberFormat="1" applyFill="1" applyAlignment="1">
      <alignment horizontal="right"/>
    </xf>
    <xf numFmtId="3" fontId="30" fillId="2" borderId="0" xfId="7" applyNumberFormat="1" applyFont="1" applyAlignment="1">
      <alignment horizontal="left" vertical="center" wrapText="1"/>
    </xf>
    <xf numFmtId="0" fontId="31" fillId="10" borderId="0" xfId="0" applyFont="1" applyFill="1"/>
    <xf numFmtId="0" fontId="32" fillId="10" borderId="0" xfId="0" applyFont="1" applyFill="1" applyAlignment="1">
      <alignment horizontal="center" vertical="center"/>
    </xf>
    <xf numFmtId="0" fontId="31" fillId="10" borderId="16" xfId="0" applyFont="1" applyFill="1" applyBorder="1" applyAlignment="1">
      <alignment horizontal="left" vertical="center" indent="1"/>
    </xf>
    <xf numFmtId="0" fontId="31" fillId="10" borderId="16" xfId="0" applyFont="1" applyFill="1" applyBorder="1" applyAlignment="1">
      <alignment horizontal="center" vertical="center" wrapText="1"/>
    </xf>
    <xf numFmtId="0" fontId="0" fillId="2" borderId="14" xfId="0" applyFill="1" applyBorder="1" applyAlignment="1">
      <alignment horizontal="left" indent="1"/>
    </xf>
    <xf numFmtId="0" fontId="0" fillId="2" borderId="14" xfId="0" applyFill="1" applyBorder="1" applyAlignment="1">
      <alignment horizontal="center" vertical="center" wrapText="1"/>
    </xf>
    <xf numFmtId="164" fontId="8" fillId="3" borderId="14" xfId="0" applyNumberFormat="1" applyFont="1" applyFill="1" applyBorder="1" applyAlignment="1">
      <alignment horizontal="center" vertical="top" wrapText="1"/>
    </xf>
    <xf numFmtId="3" fontId="0" fillId="2" borderId="14" xfId="0" applyNumberFormat="1" applyFill="1" applyBorder="1" applyAlignment="1">
      <alignment horizontal="center" vertical="center" wrapText="1"/>
    </xf>
    <xf numFmtId="164" fontId="0" fillId="2" borderId="14" xfId="0" applyNumberFormat="1" applyFill="1" applyBorder="1" applyAlignment="1">
      <alignment horizontal="center" vertical="center" wrapText="1"/>
    </xf>
    <xf numFmtId="4" fontId="0" fillId="2" borderId="14" xfId="0" applyNumberFormat="1" applyFill="1" applyBorder="1" applyAlignment="1">
      <alignment horizontal="center" vertical="center" wrapText="1"/>
    </xf>
    <xf numFmtId="0" fontId="0" fillId="2" borderId="24" xfId="0" applyFill="1" applyBorder="1" applyAlignment="1">
      <alignment horizontal="left" indent="1"/>
    </xf>
    <xf numFmtId="0" fontId="19" fillId="8" borderId="24" xfId="0" applyFont="1" applyFill="1" applyBorder="1" applyAlignment="1">
      <alignment horizontal="left" indent="1"/>
    </xf>
    <xf numFmtId="0" fontId="0" fillId="2" borderId="24" xfId="0" applyFill="1" applyBorder="1" applyAlignment="1">
      <alignment horizontal="center" vertical="center" wrapText="1"/>
    </xf>
    <xf numFmtId="164" fontId="8" fillId="3" borderId="24" xfId="0" applyNumberFormat="1" applyFont="1" applyFill="1" applyBorder="1" applyAlignment="1">
      <alignment horizontal="center" vertical="top" wrapText="1"/>
    </xf>
    <xf numFmtId="3" fontId="0" fillId="2" borderId="24" xfId="0" applyNumberFormat="1" applyFill="1" applyBorder="1" applyAlignment="1">
      <alignment horizontal="center" vertical="center" wrapText="1"/>
    </xf>
    <xf numFmtId="164" fontId="0" fillId="2" borderId="24" xfId="0" applyNumberFormat="1" applyFill="1" applyBorder="1" applyAlignment="1">
      <alignment horizontal="center" vertical="center" wrapText="1"/>
    </xf>
    <xf numFmtId="4" fontId="0" fillId="2" borderId="24" xfId="0" applyNumberFormat="1" applyFill="1" applyBorder="1" applyAlignment="1">
      <alignment horizontal="center" vertical="center" wrapText="1"/>
    </xf>
    <xf numFmtId="9" fontId="31" fillId="10" borderId="16" xfId="0" applyNumberFormat="1" applyFont="1" applyFill="1" applyBorder="1" applyAlignment="1">
      <alignment horizontal="center" vertical="center" wrapText="1"/>
    </xf>
    <xf numFmtId="0" fontId="4" fillId="7" borderId="0" xfId="7" applyFill="1" applyAlignment="1">
      <alignment horizontal="center" vertical="center" wrapText="1"/>
    </xf>
    <xf numFmtId="0" fontId="4" fillId="2" borderId="0" xfId="7" applyAlignment="1">
      <alignment horizontal="center" vertical="center" wrapText="1"/>
    </xf>
    <xf numFmtId="0" fontId="0" fillId="2" borderId="14" xfId="0" applyBorder="1" applyAlignment="1">
      <alignment horizontal="center"/>
    </xf>
    <xf numFmtId="0" fontId="0" fillId="2" borderId="0" xfId="0" applyFill="1" applyAlignment="1">
      <alignment horizontal="center"/>
    </xf>
    <xf numFmtId="0" fontId="0" fillId="2" borderId="20" xfId="0" applyFill="1" applyBorder="1" applyAlignment="1">
      <alignment horizontal="center"/>
    </xf>
    <xf numFmtId="0" fontId="0" fillId="2" borderId="14" xfId="0" applyFill="1" applyBorder="1" applyAlignment="1">
      <alignment horizontal="center"/>
    </xf>
    <xf numFmtId="0" fontId="0" fillId="2" borderId="23" xfId="0" applyFill="1" applyBorder="1" applyAlignment="1">
      <alignment horizontal="center"/>
    </xf>
    <xf numFmtId="0" fontId="0" fillId="2" borderId="24" xfId="0" applyFill="1" applyBorder="1" applyAlignment="1">
      <alignment horizontal="center"/>
    </xf>
    <xf numFmtId="0" fontId="34" fillId="8" borderId="0" xfId="7" applyFont="1" applyFill="1" applyAlignment="1">
      <alignment horizontal="center" vertical="center" wrapText="1"/>
    </xf>
    <xf numFmtId="0" fontId="35" fillId="8" borderId="15" xfId="0" applyFont="1" applyFill="1" applyBorder="1" applyAlignment="1">
      <alignment horizontal="center"/>
    </xf>
    <xf numFmtId="0" fontId="35" fillId="8" borderId="2" xfId="0" applyFont="1" applyFill="1" applyBorder="1" applyAlignment="1">
      <alignment horizontal="center"/>
    </xf>
    <xf numFmtId="0" fontId="35" fillId="8" borderId="16" xfId="0" applyFont="1" applyFill="1" applyBorder="1" applyAlignment="1">
      <alignment horizontal="center"/>
    </xf>
    <xf numFmtId="0" fontId="36" fillId="8" borderId="0" xfId="0" applyFont="1" applyFill="1" applyAlignment="1">
      <alignment horizontal="center"/>
    </xf>
    <xf numFmtId="0" fontId="0" fillId="2" borderId="0" xfId="0" applyAlignment="1">
      <alignment horizontal="left" vertical="center"/>
    </xf>
    <xf numFmtId="0" fontId="0" fillId="2" borderId="0" xfId="0" pivotButton="1" applyAlignment="1">
      <alignment horizontal="center" vertical="center" wrapText="1"/>
    </xf>
    <xf numFmtId="0" fontId="0" fillId="2" borderId="0" xfId="0" pivotButton="1" applyAlignment="1">
      <alignment horizontal="left" vertical="center" wrapText="1"/>
    </xf>
    <xf numFmtId="0" fontId="36" fillId="8" borderId="0" xfId="0" applyFont="1" applyFill="1" applyAlignment="1">
      <alignment horizontal="center" vertical="center" wrapText="1"/>
    </xf>
    <xf numFmtId="164" fontId="36" fillId="8" borderId="0" xfId="0" applyNumberFormat="1" applyFont="1" applyFill="1" applyAlignment="1">
      <alignment horizontal="center" vertical="center"/>
    </xf>
    <xf numFmtId="164" fontId="37" fillId="11" borderId="0" xfId="0" applyNumberFormat="1" applyFont="1" applyFill="1" applyAlignment="1">
      <alignment horizontal="center" vertical="center" wrapText="1"/>
    </xf>
    <xf numFmtId="10" fontId="36" fillId="8" borderId="0" xfId="0" applyNumberFormat="1" applyFont="1" applyFill="1" applyAlignment="1">
      <alignment horizontal="center" vertical="center"/>
    </xf>
    <xf numFmtId="3" fontId="11" fillId="9" borderId="22" xfId="7" applyNumberFormat="1" applyFont="1" applyFill="1" applyBorder="1" applyAlignment="1">
      <alignment horizontal="center" vertical="center" wrapText="1"/>
    </xf>
    <xf numFmtId="3" fontId="11" fillId="9" borderId="25" xfId="7" applyNumberFormat="1" applyFont="1" applyFill="1" applyBorder="1" applyAlignment="1">
      <alignment horizontal="center" vertical="center" wrapText="1"/>
    </xf>
    <xf numFmtId="3" fontId="23" fillId="2" borderId="23" xfId="7" applyNumberFormat="1" applyFont="1" applyFill="1" applyBorder="1" applyAlignment="1">
      <alignment horizontal="left" vertical="center" wrapText="1" indent="1"/>
    </xf>
  </cellXfs>
  <cellStyles count="9">
    <cellStyle name="DarkHeader" xfId="7" xr:uid="{E2F6A325-2B6F-491C-8710-28B3E934C509}"/>
    <cellStyle name="FalseFlag" xfId="6" xr:uid="{BD988031-97DA-4A1A-AF98-493153F33599}"/>
    <cellStyle name="Followed Hyperlink" xfId="2" builtinId="9" customBuiltin="1"/>
    <cellStyle name="Hyperlink" xfId="1" builtinId="8" customBuiltin="1"/>
    <cellStyle name="Normal" xfId="0" builtinId="0" customBuiltin="1"/>
    <cellStyle name="NoteField" xfId="5" xr:uid="{77D69A19-857B-442A-9B0A-501771EE9A4D}"/>
    <cellStyle name="Percent" xfId="8" builtinId="5"/>
    <cellStyle name="SubItem" xfId="4" xr:uid="{D21B07FD-5F6D-4154-8AB7-63D035214F3C}"/>
    <cellStyle name="SubSectionTItle" xfId="3" xr:uid="{8B04109E-AD21-4C71-8EF5-077A68DD2476}"/>
  </cellStyles>
  <dxfs count="114">
    <dxf>
      <font>
        <color rgb="FF898989"/>
      </font>
    </dxf>
    <dxf>
      <font>
        <color rgb="FF898989"/>
      </font>
    </dxf>
    <dxf>
      <fill>
        <patternFill>
          <bgColor rgb="FF262626"/>
        </patternFill>
      </fill>
    </dxf>
    <dxf>
      <fill>
        <patternFill>
          <bgColor rgb="FF262626"/>
        </patternFill>
      </fill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wrapText="1"/>
    </dxf>
    <dxf>
      <alignment wrapText="1"/>
    </dxf>
    <dxf>
      <alignment wrapText="1"/>
    </dxf>
    <dxf>
      <alignment wrapText="1"/>
    </dxf>
    <dxf>
      <alignment wrapText="1"/>
    </dxf>
    <dxf>
      <alignment wrapText="1"/>
    </dxf>
    <dxf>
      <alignment wrapText="1"/>
    </dxf>
    <dxf>
      <alignment wrapText="1"/>
    </dxf>
    <dxf>
      <font>
        <color rgb="FF898989"/>
      </font>
      <fill>
        <patternFill patternType="solid">
          <fgColor indexed="64"/>
          <bgColor rgb="FF262626"/>
        </patternFill>
      </fill>
      <alignment horizontal="center" textRotation="0" indent="0" justifyLastLine="0" shrinkToFit="0" readingOrder="0"/>
    </dxf>
    <dxf>
      <font>
        <color rgb="FF898989"/>
      </font>
      <fill>
        <patternFill patternType="solid">
          <fgColor indexed="64"/>
          <bgColor rgb="FF262626"/>
        </patternFill>
      </fill>
      <alignment horizontal="center" textRotation="0" indent="0" justifyLastLine="0" shrinkToFit="0" readingOrder="0"/>
    </dxf>
    <dxf>
      <font>
        <color rgb="FF898989"/>
      </font>
      <fill>
        <patternFill patternType="solid">
          <fgColor indexed="64"/>
          <bgColor rgb="FF262626"/>
        </patternFill>
      </fill>
      <alignment horizontal="center" textRotation="0" indent="0" justifyLastLine="0" shrinkToFit="0" readingOrder="0"/>
    </dxf>
    <dxf>
      <fill>
        <patternFill patternType="solid">
          <fgColor indexed="64"/>
          <bgColor rgb="FF000000"/>
        </patternFill>
      </fill>
      <alignment horizontal="center" textRotation="0" indent="0" justifyLastLine="0" shrinkToFit="0" readingOrder="0"/>
    </dxf>
    <dxf>
      <font>
        <i/>
        <strike val="0"/>
        <outline val="0"/>
        <shadow val="0"/>
        <u val="none"/>
        <vertAlign val="baseline"/>
        <sz val="11"/>
        <color rgb="FF898989"/>
        <name val="Calibri"/>
        <family val="2"/>
        <scheme val="minor"/>
      </font>
      <fill>
        <patternFill patternType="solid">
          <fgColor indexed="64"/>
          <bgColor rgb="FF262626"/>
        </patternFill>
      </fill>
      <alignment horizontal="center" textRotation="0" indent="0" justifyLastLine="0" shrinkToFit="0" readingOrder="0"/>
      <border diagonalUp="0" diagonalDown="0" outline="0">
        <left style="thin">
          <color theme="1" tint="-0.249977111117893"/>
        </left>
        <right style="thin">
          <color theme="1" tint="-0.249977111117893"/>
        </right>
        <top style="thin">
          <color theme="1" tint="-0.249977111117893"/>
        </top>
        <bottom style="thin">
          <color theme="1" tint="-0.249977111117893"/>
        </bottom>
      </border>
    </dxf>
    <dxf>
      <fill>
        <patternFill patternType="solid">
          <fgColor indexed="64"/>
          <bgColor rgb="FF000000"/>
        </patternFill>
      </fill>
      <alignment horizontal="center" textRotation="0" indent="0" justifyLastLine="0" shrinkToFit="0" readingOrder="0"/>
      <border diagonalUp="0" diagonalDown="0" outline="0">
        <left/>
        <right style="thin">
          <color theme="1" tint="-0.499984740745262"/>
        </right>
        <top style="thin">
          <color theme="1" tint="-0.499984740745262"/>
        </top>
        <bottom style="thin">
          <color theme="1" tint="-0.499984740745262"/>
        </bottom>
      </border>
    </dxf>
    <dxf>
      <fill>
        <patternFill patternType="solid">
          <fgColor indexed="64"/>
          <bgColor rgb="FF000000"/>
        </patternFill>
      </fill>
      <alignment horizontal="center" textRotation="0" indent="0" justifyLastLine="0" shrinkToFit="0" readingOrder="0"/>
    </dxf>
    <dxf>
      <alignment horizontal="center" textRotation="0" indent="0" justifyLastLine="0" shrinkToFit="0" readingOrder="0"/>
    </dxf>
    <dxf>
      <fill>
        <patternFill patternType="solid">
          <fgColor indexed="64"/>
          <bgColor rgb="FF000000"/>
        </patternFill>
      </fill>
      <alignment horizontal="center" textRotation="0" indent="0" justifyLastLine="0" shrinkToFit="0" readingOrder="0"/>
    </dxf>
    <dxf>
      <fill>
        <patternFill patternType="solid">
          <fgColor indexed="64"/>
          <bgColor rgb="FF000000"/>
        </patternFill>
      </fill>
      <alignment horizontal="center" textRotation="0" indent="0" justifyLastLine="0" shrinkToFit="0" readingOrder="0"/>
    </dxf>
    <dxf>
      <fill>
        <patternFill patternType="solid">
          <fgColor indexed="64"/>
          <bgColor rgb="FF000000"/>
        </patternFill>
      </fill>
      <alignment horizontal="center" textRotation="0" indent="0" justifyLastLine="0" shrinkToFit="0" readingOrder="0"/>
    </dxf>
    <dxf>
      <fill>
        <patternFill patternType="solid">
          <fgColor indexed="64"/>
          <bgColor rgb="FF000000"/>
        </patternFill>
      </fill>
      <alignment horizontal="center" textRotation="0" indent="0" justifyLastLine="0" shrinkToFit="0" readingOrder="0"/>
      <border diagonalUp="0" diagonalDown="0" outline="0">
        <left style="thin">
          <color theme="1" tint="-0.499984740745262"/>
        </left>
        <right style="thin">
          <color theme="1" tint="-0.499984740745262"/>
        </right>
        <top style="thin">
          <color theme="1" tint="-0.499984740745262"/>
        </top>
        <bottom style="thin">
          <color theme="1" tint="-0.499984740745262"/>
        </bottom>
      </border>
    </dxf>
    <dxf>
      <fill>
        <patternFill patternType="solid">
          <fgColor indexed="64"/>
          <bgColor rgb="FF000000"/>
        </patternFill>
      </fill>
      <alignment horizontal="center" textRotation="0" indent="0" justifyLastLine="0" shrinkToFit="0" readingOrder="0"/>
      <border diagonalUp="0" diagonalDown="0" outline="0">
        <left style="thin">
          <color theme="1" tint="-0.499984740745262"/>
        </left>
        <right style="thin">
          <color theme="1" tint="-0.499984740745262"/>
        </right>
        <top style="thin">
          <color theme="1" tint="-0.499984740745262"/>
        </top>
        <bottom style="thin">
          <color theme="1" tint="-0.499984740745262"/>
        </bottom>
      </border>
    </dxf>
    <dxf>
      <font>
        <strike val="0"/>
        <outline val="0"/>
        <shadow val="0"/>
        <u val="none"/>
        <vertAlign val="baseline"/>
        <sz val="11"/>
        <color theme="1" tint="0.39997558519241921"/>
        <name val="Calibri"/>
        <family val="2"/>
        <scheme val="minor"/>
      </font>
      <numFmt numFmtId="0" formatCode="General"/>
      <fill>
        <patternFill patternType="solid">
          <fgColor indexed="64"/>
          <bgColor rgb="FF262626"/>
        </patternFill>
      </fill>
      <alignment horizontal="left" vertical="bottom" textRotation="0" wrapText="0" relativeIndent="1" justifyLastLine="0" shrinkToFit="0" readingOrder="0"/>
      <border diagonalUp="0" diagonalDown="0">
        <left style="thin">
          <color theme="1" tint="-0.499984740745262"/>
        </left>
        <right style="thin">
          <color theme="1" tint="-0.499984740745262"/>
        </right>
        <top style="thin">
          <color theme="1" tint="-0.499984740745262"/>
        </top>
        <bottom style="thin">
          <color theme="1" tint="-0.499984740745262"/>
        </bottom>
      </border>
    </dxf>
    <dxf>
      <font>
        <strike val="0"/>
        <outline val="0"/>
        <shadow val="0"/>
        <u val="none"/>
        <vertAlign val="baseline"/>
        <sz val="11"/>
        <color theme="1" tint="0.39997558519241921"/>
        <name val="Calibri"/>
        <family val="2"/>
        <scheme val="minor"/>
      </font>
      <numFmt numFmtId="0" formatCode="General"/>
      <fill>
        <patternFill patternType="solid">
          <fgColor indexed="64"/>
          <bgColor rgb="FF262626"/>
        </patternFill>
      </fill>
      <alignment horizontal="left" vertical="bottom" textRotation="0" wrapText="0" relativeIndent="1" justifyLastLine="0" shrinkToFit="0" readingOrder="0"/>
      <border diagonalUp="0" diagonalDown="0">
        <left style="thin">
          <color theme="1" tint="-0.499984740745262"/>
        </left>
        <right style="thin">
          <color theme="1" tint="-0.499984740745262"/>
        </right>
        <top style="thin">
          <color theme="1" tint="-0.499984740745262"/>
        </top>
        <bottom style="thin">
          <color theme="1" tint="-0.499984740745262"/>
        </bottom>
      </border>
    </dxf>
    <dxf>
      <font>
        <color rgb="FF000000"/>
      </font>
      <fill>
        <patternFill patternType="solid">
          <fgColor indexed="64"/>
          <bgColor rgb="FFC4CDBD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theme="1" tint="-0.249977111117893"/>
        </left>
        <right style="thin">
          <color theme="1" tint="-0.249977111117893"/>
        </right>
        <top/>
        <bottom/>
      </border>
    </dxf>
    <dxf>
      <font>
        <color theme="0"/>
      </font>
      <fill>
        <patternFill patternType="solid">
          <bgColor rgb="FF1EAC1D"/>
        </patternFill>
      </fill>
    </dxf>
    <dxf>
      <font>
        <color theme="1" tint="0.499984740745262"/>
      </font>
      <fill>
        <patternFill patternType="solid">
          <bgColor rgb="FF000000"/>
        </patternFill>
      </fill>
    </dxf>
    <dxf>
      <font>
        <b val="0"/>
        <i/>
        <strike val="0"/>
        <condense val="0"/>
        <extend val="0"/>
        <outline val="0"/>
        <shadow val="0"/>
        <u val="none"/>
        <vertAlign val="baseline"/>
        <sz val="10"/>
        <color theme="1" tint="0.79998168889431442"/>
        <name val="Calibri"/>
        <family val="2"/>
        <scheme val="minor"/>
      </font>
      <numFmt numFmtId="3" formatCode="#,##0"/>
      <fill>
        <patternFill patternType="solid">
          <fgColor rgb="FF000000"/>
          <bgColor rgb="FF000000"/>
        </patternFill>
      </fill>
      <alignment horizontal="left" vertical="center" textRotation="0" wrapText="1" indent="1" justifyLastLine="0" shrinkToFit="0" readingOrder="0"/>
      <border diagonalUp="0" diagonalDown="0">
        <left style="thin">
          <color theme="1" tint="-0.499984740745262"/>
        </left>
        <right/>
        <top style="thin">
          <color theme="1" tint="-0.499984740745262"/>
        </top>
        <bottom/>
        <vertical/>
        <horizontal/>
      </border>
    </dxf>
    <dxf>
      <font>
        <b val="0"/>
        <i/>
        <strike val="0"/>
        <condense val="0"/>
        <extend val="0"/>
        <outline val="0"/>
        <shadow val="0"/>
        <u val="none"/>
        <vertAlign val="baseline"/>
        <sz val="10"/>
        <color theme="1" tint="0.79998168889431442"/>
        <name val="Calibri"/>
        <family val="2"/>
        <scheme val="minor"/>
      </font>
      <numFmt numFmtId="3" formatCode="#,##0"/>
      <fill>
        <patternFill patternType="solid">
          <fgColor rgb="FF000000"/>
          <bgColor rgb="FF000000"/>
        </patternFill>
      </fill>
      <alignment horizontal="left" vertical="center" textRotation="0" wrapText="1" indent="1" justifyLastLine="0" shrinkToFit="0" readingOrder="0"/>
      <border diagonalUp="0" diagonalDown="0">
        <left/>
        <right style="thin">
          <color theme="1" tint="-0.499984740745262"/>
        </right>
        <top style="thin">
          <color theme="1" tint="-0.499984740745262"/>
        </top>
        <bottom/>
        <vertical/>
        <horizontal/>
      </border>
    </dxf>
    <dxf>
      <border outline="0">
        <top style="thin">
          <color theme="1" tint="-0.499984740745262"/>
        </top>
      </border>
    </dxf>
    <dxf>
      <border outline="0">
        <left style="thin">
          <color theme="1" tint="-0.499984740745262"/>
        </left>
        <right style="thin">
          <color theme="1" tint="-0.499984740745262"/>
        </right>
        <top style="thin">
          <color theme="1" tint="-0.499984740745262"/>
        </top>
        <bottom style="thin">
          <color theme="1" tint="-0.499984740745262"/>
        </bottom>
      </border>
    </dxf>
    <dxf>
      <border outline="0">
        <bottom style="thin">
          <color theme="1" tint="-0.499984740745262"/>
        </bottom>
      </border>
    </dxf>
    <dxf>
      <font>
        <b val="0"/>
        <i/>
        <strike val="0"/>
        <condense val="0"/>
        <extend val="0"/>
        <outline val="0"/>
        <shadow val="0"/>
        <u val="none"/>
        <vertAlign val="baseline"/>
        <sz val="10"/>
        <color theme="1" tint="0.39997558519241921"/>
        <name val="Calibri"/>
        <family val="2"/>
        <scheme val="minor"/>
      </font>
      <numFmt numFmtId="3" formatCode="#,##0"/>
      <fill>
        <patternFill patternType="solid">
          <fgColor rgb="FF000000"/>
          <bgColor rgb="FF000000"/>
        </patternFill>
      </fill>
      <alignment horizontal="center" vertical="center" textRotation="0" wrapText="1" indent="0" justifyLastLine="0" shrinkToFit="0" readingOrder="0"/>
      <border diagonalUp="0" diagonalDown="0" outline="0">
        <left style="thin">
          <color theme="1" tint="-0.499984740745262"/>
        </left>
        <right/>
        <top style="thin">
          <color theme="1" tint="-0.499984740745262"/>
        </top>
        <bottom style="thin">
          <color theme="1" tint="-0.499984740745262"/>
        </bottom>
      </border>
    </dxf>
    <dxf>
      <font>
        <b val="0"/>
        <i/>
        <strike val="0"/>
        <condense val="0"/>
        <extend val="0"/>
        <outline val="0"/>
        <shadow val="0"/>
        <u val="none"/>
        <vertAlign val="baseline"/>
        <sz val="10"/>
        <color theme="1" tint="0.39997558519241921"/>
        <name val="Calibri"/>
        <family val="2"/>
        <scheme val="minor"/>
      </font>
      <numFmt numFmtId="3" formatCode="#,##0"/>
      <fill>
        <patternFill patternType="solid">
          <fgColor rgb="FF000000"/>
          <bgColor rgb="FF000000"/>
        </patternFill>
      </fill>
      <alignment horizontal="left" vertical="center" textRotation="0" wrapText="1" indent="1" justifyLastLine="0" shrinkToFit="0" readingOrder="0"/>
      <border diagonalUp="0" diagonalDown="0" outline="0">
        <left/>
        <right style="thin">
          <color theme="1" tint="-0.499984740745262"/>
        </right>
        <top style="thin">
          <color theme="1" tint="-0.499984740745262"/>
        </top>
        <bottom style="thin">
          <color theme="1" tint="-0.499984740745262"/>
        </bottom>
      </border>
    </dxf>
    <dxf>
      <border outline="0">
        <top style="thin">
          <color theme="1" tint="-0.499984740745262"/>
        </top>
      </border>
    </dxf>
    <dxf>
      <border outline="0">
        <bottom style="thin">
          <color theme="1" tint="-0.499984740745262"/>
        </bottom>
      </border>
    </dxf>
    <dxf>
      <border outline="0">
        <bottom style="thin">
          <color theme="1" tint="-0.499984740745262"/>
        </bottom>
      </border>
    </dxf>
    <dxf>
      <font>
        <strike val="0"/>
        <outline val="0"/>
        <shadow val="0"/>
        <u val="none"/>
        <vertAlign val="baseline"/>
        <color theme="1" tint="0.39997558519241921"/>
        <name val="Calibri"/>
        <family val="2"/>
        <scheme val="minor"/>
      </font>
      <numFmt numFmtId="3" formatCode="#,##0"/>
      <alignment horizontal="left" vertical="bottom" textRotation="0" wrapText="0" indent="0" justifyLastLine="0" shrinkToFit="0" readingOrder="0"/>
    </dxf>
    <dxf>
      <font>
        <b val="0"/>
        <i/>
        <strike val="0"/>
        <condense val="0"/>
        <extend val="0"/>
        <outline val="0"/>
        <shadow val="0"/>
        <u val="none"/>
        <vertAlign val="baseline"/>
        <sz val="10"/>
        <color theme="1" tint="0.39997558519241921"/>
        <name val="Calibri"/>
        <family val="2"/>
        <scheme val="minor"/>
      </font>
      <numFmt numFmtId="3" formatCode="#,##0"/>
      <fill>
        <patternFill patternType="solid">
          <fgColor rgb="FF000000"/>
          <bgColor rgb="FF000000"/>
        </patternFill>
      </fill>
      <alignment horizontal="left" vertical="center" textRotation="0" wrapText="1" indent="1" justifyLastLine="0" shrinkToFit="0" readingOrder="0"/>
      <border diagonalUp="0" diagonalDown="0" outline="0">
        <left/>
        <right style="thin">
          <color theme="1" tint="-0.499984740745262"/>
        </right>
        <top style="thin">
          <color theme="1" tint="-0.499984740745262"/>
        </top>
        <bottom style="thin">
          <color theme="1" tint="-0.499984740745262"/>
        </bottom>
      </border>
    </dxf>
    <dxf>
      <border outline="0">
        <left style="thin">
          <color rgb="FF1D1D1D"/>
        </left>
        <top style="thin">
          <color rgb="FF1D1D1D"/>
        </top>
      </border>
    </dxf>
    <dxf>
      <font>
        <strike val="0"/>
        <outline val="0"/>
        <shadow val="0"/>
        <u val="none"/>
        <vertAlign val="baseline"/>
        <color theme="1" tint="0.39997558519241921"/>
        <name val="Calibri"/>
        <family val="2"/>
        <scheme val="minor"/>
      </font>
      <numFmt numFmtId="3" formatCode="#,##0"/>
    </dxf>
    <dxf>
      <border outline="0">
        <bottom style="thin">
          <color theme="1" tint="-0.499984740745262"/>
        </bottom>
      </border>
    </dxf>
    <dxf>
      <font>
        <b val="0"/>
        <i/>
        <strike val="0"/>
        <condense val="0"/>
        <extend val="0"/>
        <outline val="0"/>
        <shadow val="0"/>
        <u val="none"/>
        <vertAlign val="baseline"/>
        <sz val="10"/>
        <color theme="1" tint="0.79998168889431442"/>
        <name val="Calibri"/>
        <family val="2"/>
        <scheme val="minor"/>
      </font>
      <numFmt numFmtId="164" formatCode="0.0%"/>
      <fill>
        <patternFill patternType="solid">
          <fgColor indexed="64"/>
          <bgColor rgb="FF000000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theme="1" tint="-0.499984740745262"/>
        </left>
        <right/>
        <top style="thin">
          <color theme="1" tint="-0.499984740745262"/>
        </top>
        <bottom style="thin">
          <color theme="1" tint="-0.499984740745262"/>
        </bottom>
      </border>
    </dxf>
    <dxf>
      <font>
        <i/>
        <strike val="0"/>
        <outline val="0"/>
        <shadow val="0"/>
        <u val="none"/>
        <vertAlign val="baseline"/>
        <sz val="10"/>
        <color theme="1" tint="0.79998168889431442"/>
        <name val="Calibri"/>
        <family val="2"/>
        <scheme val="minor"/>
      </font>
      <numFmt numFmtId="165" formatCode="#,##0.0"/>
      <alignment horizontal="center" vertical="bottom" textRotation="0" wrapText="0" indent="0" justifyLastLine="0" shrinkToFit="0" readingOrder="0"/>
      <border diagonalUp="0" diagonalDown="0">
        <left style="thin">
          <color theme="1" tint="-0.499984740745262"/>
        </left>
        <right style="thin">
          <color theme="1" tint="-0.499984740745262"/>
        </right>
        <top style="thin">
          <color theme="1" tint="-0.499984740745262"/>
        </top>
        <bottom style="thin">
          <color theme="1" tint="-0.499984740745262"/>
        </bottom>
      </border>
    </dxf>
    <dxf>
      <font>
        <b val="0"/>
        <i/>
        <strike val="0"/>
        <condense val="0"/>
        <extend val="0"/>
        <outline val="0"/>
        <shadow val="0"/>
        <u val="none"/>
        <vertAlign val="baseline"/>
        <sz val="10"/>
        <color theme="1" tint="0.79998168889431442"/>
        <name val="Calibri"/>
        <family val="2"/>
        <scheme val="minor"/>
      </font>
      <numFmt numFmtId="3" formatCode="#,##0"/>
      <fill>
        <patternFill patternType="solid">
          <fgColor indexed="64"/>
          <bgColor rgb="FF000000"/>
        </patternFill>
      </fill>
      <alignment horizontal="left" vertical="center" textRotation="0" wrapText="1" indent="1" justifyLastLine="0" shrinkToFit="0" readingOrder="0"/>
      <border diagonalUp="0" diagonalDown="0" outline="0">
        <left/>
        <right style="thin">
          <color theme="1" tint="-0.499984740745262"/>
        </right>
        <top style="thin">
          <color theme="1" tint="-0.499984740745262"/>
        </top>
        <bottom style="thin">
          <color theme="1" tint="-0.499984740745262"/>
        </bottom>
      </border>
    </dxf>
    <dxf>
      <border outline="0">
        <top style="thin">
          <color rgb="FF1D1D1D"/>
        </top>
      </border>
    </dxf>
    <dxf>
      <border outline="0">
        <left style="thin">
          <color rgb="FF1D1D1D"/>
        </left>
        <right style="thin">
          <color rgb="FF1D1D1D"/>
        </right>
        <top style="thin">
          <color rgb="FF1D1D1D"/>
        </top>
        <bottom style="thin">
          <color rgb="FF1D1D1D"/>
        </bottom>
      </border>
    </dxf>
    <dxf>
      <font>
        <i/>
        <strike val="0"/>
        <outline val="0"/>
        <shadow val="0"/>
        <u val="none"/>
        <vertAlign val="baseline"/>
        <sz val="10"/>
        <color rgb="FFD8D8D8"/>
        <name val="Calibri"/>
        <family val="2"/>
        <scheme val="none"/>
      </font>
      <numFmt numFmtId="3" formatCode="#,##0"/>
    </dxf>
    <dxf>
      <border outline="0">
        <bottom style="thin">
          <color rgb="FF1D1D1D"/>
        </bottom>
      </border>
    </dxf>
    <dxf>
      <font>
        <strike val="0"/>
        <outline val="0"/>
        <shadow val="0"/>
        <u val="none"/>
        <vertAlign val="baseline"/>
        <sz val="11"/>
        <color theme="1" tint="0.79998168889431442"/>
        <name val="Calibri"/>
        <family val="2"/>
        <scheme val="minor"/>
      </font>
      <numFmt numFmtId="3" formatCode="#,##0"/>
      <fill>
        <patternFill patternType="solid">
          <fgColor indexed="64"/>
          <bgColor theme="1" tint="-0.499984740745262"/>
        </patternFill>
      </fill>
    </dxf>
    <dxf>
      <alignment horizontal="center"/>
    </dxf>
    <dxf>
      <numFmt numFmtId="14" formatCode="0.00%"/>
    </dxf>
    <dxf>
      <alignment vertical="center"/>
    </dxf>
    <dxf>
      <alignment horizontal="center"/>
    </dxf>
    <dxf>
      <fill>
        <patternFill>
          <bgColor rgb="FF000000"/>
        </patternFill>
      </fill>
    </dxf>
    <dxf>
      <font>
        <sz val="10"/>
        <color theme="0"/>
      </font>
      <fill>
        <patternFill patternType="solid">
          <fgColor theme="1" tint="0.249977111117893"/>
          <bgColor theme="1"/>
        </patternFill>
      </fill>
      <alignment vertical="top" wrapText="1"/>
    </dxf>
    <dxf>
      <alignment horizontal="center"/>
    </dxf>
    <dxf>
      <alignment horizontal="center"/>
    </dxf>
    <dxf>
      <alignment horizontal="center"/>
    </dxf>
    <dxf>
      <numFmt numFmtId="164" formatCode="0.0%"/>
    </dxf>
    <dxf>
      <numFmt numFmtId="164" formatCode="0.0%"/>
    </dxf>
    <dxf>
      <alignment horizontal="center"/>
    </dxf>
    <dxf>
      <alignment horizontal="center"/>
    </dxf>
    <dxf>
      <alignment vertical="center"/>
    </dxf>
    <dxf>
      <alignment vertical="center"/>
    </dxf>
    <dxf>
      <alignment vertical="center"/>
    </dxf>
    <dxf>
      <alignment vertical="center"/>
    </dxf>
    <dxf>
      <numFmt numFmtId="4" formatCode="#,##0.00"/>
      <fill>
        <patternFill patternType="solid">
          <bgColor rgb="FF000000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theme="1" tint="-0.499984740745262"/>
        </left>
        <right style="thin">
          <color theme="1" tint="-0.499984740745262"/>
        </right>
        <top style="thin">
          <color theme="1" tint="-0.499984740745262"/>
        </top>
        <bottom style="thin">
          <color theme="1" tint="-0.499984740745262"/>
        </bottom>
        <vertical style="thin">
          <color theme="1" tint="-0.499984740745262"/>
        </vertical>
        <horizontal style="thin">
          <color theme="1" tint="-0.499984740745262"/>
        </horizontal>
      </border>
    </dxf>
    <dxf>
      <numFmt numFmtId="4" formatCode="#,##0.00"/>
      <fill>
        <patternFill patternType="solid">
          <bgColor rgb="FF000000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theme="1" tint="-0.499984740745262"/>
        </left>
        <right style="thin">
          <color theme="1" tint="-0.499984740745262"/>
        </right>
        <top style="thin">
          <color theme="1" tint="-0.499984740745262"/>
        </top>
        <bottom style="thin">
          <color theme="1" tint="-0.499984740745262"/>
        </bottom>
        <vertical style="thin">
          <color theme="1" tint="-0.499984740745262"/>
        </vertical>
        <horizontal style="thin">
          <color theme="1" tint="-0.499984740745262"/>
        </horizontal>
      </border>
    </dxf>
    <dxf>
      <numFmt numFmtId="4" formatCode="#,##0.00"/>
      <fill>
        <patternFill patternType="solid">
          <bgColor rgb="FF000000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theme="1" tint="-0.499984740745262"/>
        </left>
        <right style="thin">
          <color theme="1" tint="-0.499984740745262"/>
        </right>
        <top style="thin">
          <color theme="1" tint="-0.499984740745262"/>
        </top>
        <bottom style="thin">
          <color theme="1" tint="-0.499984740745262"/>
        </bottom>
        <vertical style="thin">
          <color theme="1" tint="-0.499984740745262"/>
        </vertical>
        <horizontal style="thin">
          <color theme="1" tint="-0.499984740745262"/>
        </horizontal>
      </border>
    </dxf>
    <dxf>
      <numFmt numFmtId="4" formatCode="#,##0.00"/>
      <fill>
        <patternFill patternType="solid">
          <bgColor rgb="FF000000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theme="1" tint="-0.499984740745262"/>
        </left>
        <right style="thin">
          <color theme="1" tint="-0.499984740745262"/>
        </right>
        <top style="thin">
          <color theme="1" tint="-0.499984740745262"/>
        </top>
        <bottom style="thin">
          <color theme="1" tint="-0.499984740745262"/>
        </bottom>
        <vertical style="thin">
          <color theme="1" tint="-0.499984740745262"/>
        </vertical>
        <horizontal style="thin">
          <color theme="1" tint="-0.499984740745262"/>
        </horizontal>
      </border>
    </dxf>
    <dxf>
      <numFmt numFmtId="4" formatCode="#,##0.00"/>
      <fill>
        <patternFill patternType="solid">
          <bgColor rgb="FF000000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theme="1" tint="-0.499984740745262"/>
        </left>
        <right style="thin">
          <color theme="1" tint="-0.499984740745262"/>
        </right>
        <top style="thin">
          <color theme="1" tint="-0.499984740745262"/>
        </top>
        <bottom style="thin">
          <color theme="1" tint="-0.499984740745262"/>
        </bottom>
        <vertical style="thin">
          <color theme="1" tint="-0.499984740745262"/>
        </vertical>
        <horizontal style="thin">
          <color theme="1" tint="-0.499984740745262"/>
        </horizontal>
      </border>
    </dxf>
    <dxf>
      <numFmt numFmtId="4" formatCode="#,##0.00"/>
      <fill>
        <patternFill patternType="solid">
          <bgColor rgb="FF000000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theme="1" tint="-0.499984740745262"/>
        </left>
        <right style="thin">
          <color theme="1" tint="-0.499984740745262"/>
        </right>
        <top style="thin">
          <color theme="1" tint="-0.499984740745262"/>
        </top>
        <bottom style="thin">
          <color theme="1" tint="-0.499984740745262"/>
        </bottom>
        <vertical style="thin">
          <color theme="1" tint="-0.499984740745262"/>
        </vertical>
        <horizontal style="thin">
          <color theme="1" tint="-0.499984740745262"/>
        </horizontal>
      </border>
    </dxf>
    <dxf>
      <numFmt numFmtId="4" formatCode="#,##0.00"/>
      <fill>
        <patternFill patternType="solid">
          <bgColor rgb="FF000000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theme="1" tint="-0.499984740745262"/>
        </left>
        <right style="thin">
          <color theme="1" tint="-0.499984740745262"/>
        </right>
        <top style="thin">
          <color theme="1" tint="-0.499984740745262"/>
        </top>
        <bottom style="thin">
          <color theme="1" tint="-0.499984740745262"/>
        </bottom>
        <vertical style="thin">
          <color theme="1" tint="-0.499984740745262"/>
        </vertical>
        <horizontal style="thin">
          <color theme="1" tint="-0.499984740745262"/>
        </horizontal>
      </border>
    </dxf>
    <dxf>
      <numFmt numFmtId="4" formatCode="#,##0.00"/>
      <fill>
        <patternFill patternType="solid">
          <bgColor rgb="FF000000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theme="1" tint="-0.499984740745262"/>
        </left>
        <right style="thin">
          <color theme="1" tint="-0.499984740745262"/>
        </right>
        <top style="thin">
          <color theme="1" tint="-0.499984740745262"/>
        </top>
        <bottom style="thin">
          <color theme="1" tint="-0.499984740745262"/>
        </bottom>
        <vertical style="thin">
          <color theme="1" tint="-0.499984740745262"/>
        </vertical>
        <horizontal style="thin">
          <color theme="1" tint="-0.499984740745262"/>
        </horizontal>
      </border>
    </dxf>
    <dxf>
      <numFmt numFmtId="4" formatCode="#,##0.00"/>
      <fill>
        <patternFill patternType="solid">
          <bgColor rgb="FF000000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theme="1" tint="-0.499984740745262"/>
        </left>
        <right style="thin">
          <color theme="1" tint="-0.499984740745262"/>
        </right>
        <top style="thin">
          <color theme="1" tint="-0.499984740745262"/>
        </top>
        <bottom style="thin">
          <color theme="1" tint="-0.499984740745262"/>
        </bottom>
        <vertical style="thin">
          <color theme="1" tint="-0.499984740745262"/>
        </vertical>
        <horizontal style="thin">
          <color theme="1" tint="-0.499984740745262"/>
        </horizontal>
      </border>
    </dxf>
    <dxf>
      <numFmt numFmtId="4" formatCode="#,##0.00"/>
      <fill>
        <patternFill patternType="solid">
          <bgColor rgb="FF000000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theme="1" tint="-0.499984740745262"/>
        </left>
        <right style="thin">
          <color theme="1" tint="-0.499984740745262"/>
        </right>
        <top style="thin">
          <color theme="1" tint="-0.499984740745262"/>
        </top>
        <bottom style="thin">
          <color theme="1" tint="-0.499984740745262"/>
        </bottom>
        <vertical style="thin">
          <color theme="1" tint="-0.499984740745262"/>
        </vertical>
        <horizontal style="thin">
          <color theme="1" tint="-0.499984740745262"/>
        </horizontal>
      </border>
    </dxf>
    <dxf>
      <numFmt numFmtId="4" formatCode="#,##0.00"/>
      <fill>
        <patternFill patternType="solid">
          <bgColor rgb="FF000000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theme="1" tint="-0.499984740745262"/>
        </left>
        <right style="thin">
          <color theme="1" tint="-0.499984740745262"/>
        </right>
        <top style="thin">
          <color theme="1" tint="-0.499984740745262"/>
        </top>
        <bottom style="thin">
          <color theme="1" tint="-0.499984740745262"/>
        </bottom>
        <vertical style="thin">
          <color theme="1" tint="-0.499984740745262"/>
        </vertical>
        <horizontal style="thin">
          <color theme="1" tint="-0.499984740745262"/>
        </horizontal>
      </border>
    </dxf>
    <dxf>
      <numFmt numFmtId="4" formatCode="#,##0.00"/>
      <fill>
        <patternFill patternType="solid">
          <bgColor rgb="FF000000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theme="1" tint="-0.499984740745262"/>
        </left>
        <right style="thin">
          <color theme="1" tint="-0.499984740745262"/>
        </right>
        <top style="thin">
          <color theme="1" tint="-0.499984740745262"/>
        </top>
        <bottom style="thin">
          <color theme="1" tint="-0.499984740745262"/>
        </bottom>
        <vertical style="thin">
          <color theme="1" tint="-0.499984740745262"/>
        </vertical>
        <horizontal style="thin">
          <color theme="1" tint="-0.499984740745262"/>
        </horizontal>
      </border>
    </dxf>
    <dxf>
      <numFmt numFmtId="4" formatCode="#,##0.00"/>
      <fill>
        <patternFill patternType="solid">
          <bgColor rgb="FF000000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theme="1" tint="-0.499984740745262"/>
        </left>
        <right style="thin">
          <color theme="1" tint="-0.499984740745262"/>
        </right>
        <top style="thin">
          <color theme="1" tint="-0.499984740745262"/>
        </top>
        <bottom style="thin">
          <color theme="1" tint="-0.499984740745262"/>
        </bottom>
        <vertical style="thin">
          <color theme="1" tint="-0.499984740745262"/>
        </vertical>
        <horizontal style="thin">
          <color theme="1" tint="-0.499984740745262"/>
        </horizontal>
      </border>
    </dxf>
    <dxf>
      <numFmt numFmtId="4" formatCode="#,##0.00"/>
      <fill>
        <patternFill patternType="solid">
          <bgColor rgb="FF000000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theme="1" tint="-0.499984740745262"/>
        </left>
        <right style="thin">
          <color theme="1" tint="-0.499984740745262"/>
        </right>
        <top style="thin">
          <color theme="1" tint="-0.499984740745262"/>
        </top>
        <bottom style="thin">
          <color theme="1" tint="-0.499984740745262"/>
        </bottom>
        <vertical style="thin">
          <color theme="1" tint="-0.499984740745262"/>
        </vertical>
        <horizontal style="thin">
          <color theme="1" tint="-0.499984740745262"/>
        </horizontal>
      </border>
    </dxf>
    <dxf>
      <numFmt numFmtId="3" formatCode="#,##0"/>
      <fill>
        <patternFill patternType="solid">
          <bgColor rgb="FF000000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theme="1" tint="-0.499984740745262"/>
        </left>
        <right style="thin">
          <color theme="1" tint="-0.499984740745262"/>
        </right>
        <top style="thin">
          <color theme="1" tint="-0.499984740745262"/>
        </top>
        <bottom style="thin">
          <color theme="1" tint="-0.499984740745262"/>
        </bottom>
        <vertical style="thin">
          <color theme="1" tint="-0.499984740745262"/>
        </vertical>
        <horizontal style="thin">
          <color theme="1" tint="-0.499984740745262"/>
        </horizontal>
      </border>
    </dxf>
    <dxf>
      <numFmt numFmtId="164" formatCode="0.0%"/>
      <fill>
        <patternFill patternType="solid">
          <bgColor rgb="FF000000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theme="1" tint="-0.499984740745262"/>
        </left>
        <right style="thin">
          <color theme="1" tint="-0.499984740745262"/>
        </right>
        <top style="thin">
          <color theme="1" tint="-0.499984740745262"/>
        </top>
        <bottom style="thin">
          <color theme="1" tint="-0.499984740745262"/>
        </bottom>
        <vertical style="thin">
          <color theme="1" tint="-0.499984740745262"/>
        </vertical>
        <horizontal style="thin">
          <color theme="1" tint="-0.499984740745262"/>
        </horizontal>
      </border>
    </dxf>
    <dxf>
      <numFmt numFmtId="3" formatCode="#,##0"/>
      <fill>
        <patternFill patternType="solid">
          <bgColor rgb="FF000000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theme="1" tint="-0.499984740745262"/>
        </left>
        <right style="thin">
          <color theme="1" tint="-0.499984740745262"/>
        </right>
        <top style="thin">
          <color theme="1" tint="-0.499984740745262"/>
        </top>
        <bottom style="thin">
          <color theme="1" tint="-0.499984740745262"/>
        </bottom>
        <vertical style="thin">
          <color theme="1" tint="-0.499984740745262"/>
        </vertical>
        <horizontal style="thin">
          <color theme="1" tint="-0.499984740745262"/>
        </horizontal>
      </border>
    </dxf>
    <dxf>
      <numFmt numFmtId="3" formatCode="#,##0"/>
      <fill>
        <patternFill patternType="solid">
          <bgColor rgb="FF000000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theme="1" tint="-0.499984740745262"/>
        </left>
        <right style="thin">
          <color theme="1" tint="-0.499984740745262"/>
        </right>
        <top style="thin">
          <color theme="1" tint="-0.499984740745262"/>
        </top>
        <bottom style="thin">
          <color theme="1" tint="-0.499984740745262"/>
        </bottom>
        <vertical style="thin">
          <color theme="1" tint="-0.499984740745262"/>
        </vertical>
        <horizontal style="thin">
          <color theme="1" tint="-0.499984740745262"/>
        </horizontal>
      </border>
    </dxf>
    <dxf>
      <numFmt numFmtId="3" formatCode="#,##0"/>
      <fill>
        <patternFill patternType="solid">
          <bgColor rgb="FF000000"/>
        </patternFill>
      </fill>
      <alignment horizontal="center" vertical="center" textRotation="0" wrapText="1" indent="0" justifyLastLine="0" shrinkToFit="0" readingOrder="0"/>
      <border diagonalUp="0" diagonalDown="0" outline="0">
        <left style="thin">
          <color theme="1" tint="-0.499984740745262"/>
        </left>
        <right style="thin">
          <color theme="1" tint="-0.499984740745262"/>
        </right>
        <top style="thin">
          <color theme="1" tint="-0.499984740745262"/>
        </top>
        <bottom style="thin">
          <color theme="1" tint="-0.499984740745262"/>
        </bottom>
      </border>
    </dxf>
    <dxf>
      <font>
        <sz val="10"/>
        <color theme="0"/>
      </font>
      <numFmt numFmtId="164" formatCode="0.0%"/>
      <fill>
        <patternFill patternType="solid">
          <fgColor theme="1" tint="0.249977111117893"/>
          <bgColor rgb="FF000000"/>
        </patternFill>
      </fill>
      <alignment horizontal="center" vertical="top" textRotation="0" wrapText="1" indent="0" justifyLastLine="0" shrinkToFit="0" readingOrder="0"/>
      <border diagonalUp="0" diagonalDown="0">
        <left style="thin">
          <color theme="1" tint="-0.499984740745262"/>
        </left>
        <right style="thin">
          <color theme="1" tint="-0.499984740745262"/>
        </right>
        <top style="thin">
          <color theme="1" tint="-0.499984740745262"/>
        </top>
        <bottom style="thin">
          <color theme="1" tint="-0.499984740745262"/>
        </bottom>
      </border>
    </dxf>
    <dxf>
      <font>
        <sz val="10"/>
        <color theme="0"/>
      </font>
      <numFmt numFmtId="164" formatCode="0.0%"/>
      <fill>
        <patternFill patternType="solid">
          <fgColor theme="1" tint="0.249977111117893"/>
          <bgColor rgb="FF000000"/>
        </patternFill>
      </fill>
      <alignment horizontal="center" vertical="top" textRotation="0" wrapText="1" indent="0" justifyLastLine="0" shrinkToFit="0" readingOrder="0"/>
      <border diagonalUp="0" diagonalDown="0">
        <left style="thin">
          <color theme="1" tint="-0.499984740745262"/>
        </left>
        <right style="thin">
          <color theme="1" tint="-0.499984740745262"/>
        </right>
        <top style="thin">
          <color theme="1" tint="-0.499984740745262"/>
        </top>
        <bottom style="thin">
          <color theme="1" tint="-0.499984740745262"/>
        </bottom>
      </border>
    </dxf>
    <dxf>
      <font>
        <sz val="10"/>
        <color theme="0"/>
      </font>
      <numFmt numFmtId="164" formatCode="0.0%"/>
      <fill>
        <patternFill patternType="solid">
          <fgColor theme="1" tint="0.249977111117893"/>
          <bgColor rgb="FF000000"/>
        </patternFill>
      </fill>
      <alignment horizontal="center" vertical="top" textRotation="0" wrapText="1" indent="0" justifyLastLine="0" shrinkToFit="0" readingOrder="0"/>
      <border diagonalUp="0" diagonalDown="0">
        <left style="thin">
          <color theme="1" tint="-0.499984740745262"/>
        </left>
        <right style="thin">
          <color theme="1" tint="-0.499984740745262"/>
        </right>
        <top style="thin">
          <color theme="1" tint="-0.499984740745262"/>
        </top>
        <bottom style="thin">
          <color theme="1" tint="-0.499984740745262"/>
        </bottom>
      </border>
    </dxf>
    <dxf>
      <fill>
        <patternFill patternType="solid">
          <bgColor rgb="FF000000"/>
        </patternFill>
      </fill>
      <alignment horizontal="center" vertical="center" textRotation="0" wrapText="1" indent="0" justifyLastLine="0" shrinkToFit="0" readingOrder="0"/>
      <border diagonalUp="0" diagonalDown="0" outline="0">
        <left style="thin">
          <color theme="1" tint="-0.499984740745262"/>
        </left>
        <right style="thin">
          <color theme="1" tint="-0.499984740745262"/>
        </right>
        <top style="thin">
          <color theme="1" tint="-0.499984740745262"/>
        </top>
        <bottom style="thin">
          <color theme="1" tint="-0.499984740745262"/>
        </bottom>
      </border>
    </dxf>
    <dxf>
      <fill>
        <patternFill patternType="solid">
          <bgColor rgb="FF000000"/>
        </patternFill>
      </fill>
      <alignment horizontal="left" vertical="bottom" textRotation="0" wrapText="0" relativeIndent="1" justifyLastLine="0" shrinkToFit="0" readingOrder="0"/>
      <border diagonalUp="0" diagonalDown="0" outline="0">
        <left style="thin">
          <color theme="1" tint="-0.499984740745262"/>
        </left>
        <right style="thin">
          <color theme="1" tint="-0.499984740745262"/>
        </right>
        <top style="thin">
          <color theme="1" tint="-0.499984740745262"/>
        </top>
        <bottom style="thin">
          <color theme="1" tint="-0.499984740745262"/>
        </bottom>
      </border>
    </dxf>
    <dxf>
      <fill>
        <patternFill patternType="solid">
          <bgColor rgb="FF000000"/>
        </patternFill>
      </fill>
    </dxf>
    <dxf>
      <border>
        <bottom style="thin">
          <color theme="1" tint="-0.249977111117893"/>
        </bottom>
      </border>
    </dxf>
    <dxf>
      <font>
        <color theme="0"/>
      </font>
      <fill>
        <patternFill patternType="solid">
          <bgColor rgb="FF1EAC1D"/>
        </patternFill>
      </fill>
    </dxf>
    <dxf>
      <font>
        <color theme="0"/>
      </font>
      <fill>
        <patternFill>
          <bgColor rgb="FF000000"/>
        </patternFill>
      </fill>
    </dxf>
    <dxf>
      <font>
        <color theme="0"/>
      </font>
      <fill>
        <patternFill>
          <bgColor rgb="FF000000"/>
        </patternFill>
      </fill>
    </dxf>
    <dxf>
      <font>
        <color rgb="FF9C0006"/>
      </font>
      <numFmt numFmtId="166" formatCode="&quot;List names must be unique&quot;"/>
      <fill>
        <patternFill>
          <bgColor rgb="FFFFC7CE"/>
        </patternFill>
      </fill>
    </dxf>
    <dxf>
      <font>
        <color theme="0"/>
      </font>
      <fill>
        <patternFill>
          <bgColor rgb="FF000000"/>
        </patternFill>
      </fill>
    </dxf>
    <dxf>
      <font>
        <color theme="0"/>
      </font>
      <fill>
        <patternFill patternType="solid">
          <bgColor rgb="FF1EAC1D"/>
        </patternFill>
      </fill>
    </dxf>
    <dxf>
      <font>
        <color theme="1" tint="0.499984740745262"/>
      </font>
      <fill>
        <patternFill patternType="solid">
          <bgColor rgb="FF000000"/>
        </patternFill>
      </fill>
    </dxf>
    <dxf>
      <font>
        <b/>
        <i val="0"/>
        <strike val="0"/>
        <color theme="0"/>
      </font>
      <fill>
        <patternFill patternType="solid">
          <fgColor auto="1"/>
          <bgColor rgb="FF000000"/>
        </patternFill>
      </fill>
      <border>
        <left style="medium">
          <color theme="1" tint="-0.24994659260841701"/>
        </left>
        <right style="medium">
          <color theme="1" tint="-0.24994659260841701"/>
        </right>
        <top style="medium">
          <color theme="1" tint="-0.24994659260841701"/>
        </top>
        <bottom style="medium">
          <color theme="1" tint="-0.24994659260841701"/>
        </bottom>
        <vertical style="medium">
          <color theme="1" tint="-0.24994659260841701"/>
        </vertical>
        <horizontal style="medium">
          <color theme="1" tint="-0.24994659260841701"/>
        </horizontal>
      </border>
    </dxf>
    <dxf>
      <font>
        <color theme="0"/>
      </font>
      <fill>
        <patternFill patternType="solid">
          <fgColor rgb="FF000000"/>
          <bgColor rgb="FF000000"/>
        </patternFill>
      </fill>
      <border>
        <left style="thin">
          <color theme="1" tint="-0.499984740745262"/>
        </left>
        <right style="thin">
          <color theme="1" tint="-0.499984740745262"/>
        </right>
        <top style="thin">
          <color theme="1" tint="-0.499984740745262"/>
        </top>
        <bottom style="thin">
          <color theme="1" tint="-0.499984740745262"/>
        </bottom>
        <vertical style="thin">
          <color theme="1" tint="-0.499984740745262"/>
        </vertical>
        <horizontal style="thin">
          <color theme="1" tint="-0.499984740745262"/>
        </horizontal>
      </border>
    </dxf>
    <dxf>
      <font>
        <color theme="0"/>
      </font>
      <fill>
        <patternFill patternType="solid">
          <fgColor theme="1"/>
          <bgColor rgb="FF000000"/>
        </patternFill>
      </fill>
      <border diagonalUp="0" diagonalDown="0">
        <left style="thin">
          <color theme="1" tint="-0.24994659260841701"/>
        </left>
        <right style="thin">
          <color theme="1" tint="-0.24994659260841701"/>
        </right>
        <top style="thin">
          <color theme="1" tint="-0.24994659260841701"/>
        </top>
        <bottom style="thin">
          <color theme="1" tint="-0.24994659260841701"/>
        </bottom>
        <vertical style="thin">
          <color theme="1" tint="-0.24994659260841701"/>
        </vertical>
        <horizontal style="thin">
          <color theme="1" tint="-0.24994659260841701"/>
        </horizontal>
      </border>
    </dxf>
    <dxf>
      <font>
        <b/>
        <i val="0"/>
        <color theme="0"/>
      </font>
      <fill>
        <patternFill patternType="solid">
          <fgColor auto="1"/>
          <bgColor theme="1" tint="-0.499984740745262"/>
        </patternFill>
      </fill>
      <border>
        <left style="thin">
          <color theme="1" tint="-0.499984740745262"/>
        </left>
        <right style="thin">
          <color theme="1" tint="-0.499984740745262"/>
        </right>
        <top style="thin">
          <color theme="1" tint="-0.499984740745262"/>
        </top>
        <bottom style="thin">
          <color theme="1" tint="-0.499984740745262"/>
        </bottom>
        <vertical style="thin">
          <color theme="1" tint="-0.499984740745262"/>
        </vertical>
        <horizontal style="thin">
          <color theme="1" tint="-0.499984740745262"/>
        </horizontal>
      </border>
    </dxf>
    <dxf>
      <font>
        <color theme="0"/>
      </font>
      <fill>
        <patternFill patternType="solid">
          <fgColor auto="1"/>
          <bgColor rgb="FF000000"/>
        </patternFill>
      </fill>
      <border>
        <left style="thin">
          <color theme="1" tint="-0.499984740745262"/>
        </left>
        <right style="thin">
          <color theme="1" tint="-0.499984740745262"/>
        </right>
        <top style="thin">
          <color theme="1" tint="-0.499984740745262"/>
        </top>
        <bottom style="thin">
          <color theme="1" tint="-0.499984740745262"/>
        </bottom>
        <vertical style="thin">
          <color theme="1" tint="-0.499984740745262"/>
        </vertical>
        <horizontal style="thin">
          <color theme="1" tint="-0.499984740745262"/>
        </horizontal>
      </border>
    </dxf>
  </dxfs>
  <tableStyles count="2" defaultTableStyle="DarkTable" defaultPivotStyle="DarkPivot">
    <tableStyle name="DarkPivot" table="0" count="3" xr9:uid="{F2CB4A64-8CC4-48DA-B721-DC29E793B33C}">
      <tableStyleElement type="wholeTable" dxfId="113"/>
      <tableStyleElement type="headerRow" dxfId="112"/>
      <tableStyleElement type="totalRow" dxfId="111"/>
    </tableStyle>
    <tableStyle name="DarkTable" pivot="0" count="2" xr9:uid="{97C242D2-6F6D-4549-9428-17456D609B35}">
      <tableStyleElement type="wholeTable" dxfId="110"/>
      <tableStyleElement type="headerRow" dxfId="109"/>
    </tableStyle>
  </tableStyles>
  <colors>
    <mruColors>
      <color rgb="FF000000"/>
      <color rgb="FFD8D8D8"/>
      <color rgb="FF5D1955"/>
      <color rgb="FF262626"/>
      <color rgb="FF1EAC1D"/>
      <color rgb="FF060606"/>
      <color rgb="FF565656"/>
      <color rgb="FFCCCC00"/>
      <color rgb="FFFFFFCC"/>
      <color rgb="FFFFFF99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theme" Target="theme/theme1.xml"/><Relationship Id="rId13" Type="http://schemas.microsoft.com/office/2017/06/relationships/rdRichValue" Target="richData/rdrichvalue.xml"/><Relationship Id="rId1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pivotCacheDefinition" Target="pivotCache/pivotCacheDefinition1.xml"/><Relationship Id="rId12" Type="http://schemas.microsoft.com/office/2022/10/relationships/richValueRel" Target="richData/richValueRel.xml"/><Relationship Id="rId17" Type="http://schemas.openxmlformats.org/officeDocument/2006/relationships/customXml" Target="../customXml/item1.xml"/><Relationship Id="rId2" Type="http://schemas.openxmlformats.org/officeDocument/2006/relationships/worksheet" Target="worksheets/sheet2.xml"/><Relationship Id="rId16" Type="http://schemas.openxmlformats.org/officeDocument/2006/relationships/calcChain" Target="calcChain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heetMetadata" Target="metadata.xml"/><Relationship Id="rId5" Type="http://schemas.openxmlformats.org/officeDocument/2006/relationships/worksheet" Target="worksheets/sheet5.xml"/><Relationship Id="rId15" Type="http://schemas.microsoft.com/office/2017/06/relationships/rdRichValueTypes" Target="richData/rdRichValueTypes.xml"/><Relationship Id="rId10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styles" Target="styles.xml"/><Relationship Id="rId14" Type="http://schemas.microsoft.com/office/2017/06/relationships/rdRichValueStructure" Target="richData/rdrichvaluestructure.xml"/></Relationships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image" Target="../media/image4.png"/><Relationship Id="rId2" Type="http://schemas.openxmlformats.org/officeDocument/2006/relationships/image" Target="../media/image3.png"/><Relationship Id="rId1" Type="http://schemas.openxmlformats.org/officeDocument/2006/relationships/image" Target="../media/image2.png"/><Relationship Id="rId6" Type="http://schemas.openxmlformats.org/officeDocument/2006/relationships/image" Target="../media/image7.png"/><Relationship Id="rId5" Type="http://schemas.openxmlformats.org/officeDocument/2006/relationships/image" Target="../media/image6.png"/><Relationship Id="rId4" Type="http://schemas.openxmlformats.org/officeDocument/2006/relationships/image" Target="../media/image5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105537</xdr:colOff>
      <xdr:row>2</xdr:row>
      <xdr:rowOff>29337</xdr:rowOff>
    </xdr:from>
    <xdr:to>
      <xdr:col>3</xdr:col>
      <xdr:colOff>2005203</xdr:colOff>
      <xdr:row>2</xdr:row>
      <xdr:rowOff>557403</xdr:rowOff>
    </xdr:to>
    <xdr:sp macro="[0]!ToggleSection" textlink="">
      <xdr:nvSpPr>
        <xdr:cNvPr id="2" name="Field Analysis">
          <a:extLst>
            <a:ext uri="{FF2B5EF4-FFF2-40B4-BE49-F238E27FC236}">
              <a16:creationId xmlns:a16="http://schemas.microsoft.com/office/drawing/2014/main" id="{AAD21EB8-97FA-4F07-B953-2B1EACD3EE5F}"/>
            </a:ext>
          </a:extLst>
        </xdr:cNvPr>
        <xdr:cNvSpPr>
          <a:spLocks/>
        </xdr:cNvSpPr>
      </xdr:nvSpPr>
      <xdr:spPr>
        <a:xfrm>
          <a:off x="501777" y="151257"/>
          <a:ext cx="1663446" cy="436626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l"/>
          <a:endParaRPr lang="en-US" sz="2400" b="1"/>
        </a:p>
      </xdr:txBody>
    </xdr:sp>
    <xdr:clientData/>
  </xdr:twoCellAnchor>
  <xdr:twoCellAnchor>
    <xdr:from>
      <xdr:col>3</xdr:col>
      <xdr:colOff>88392</xdr:colOff>
      <xdr:row>20</xdr:row>
      <xdr:rowOff>11430</xdr:rowOff>
    </xdr:from>
    <xdr:to>
      <xdr:col>3</xdr:col>
      <xdr:colOff>1679448</xdr:colOff>
      <xdr:row>20</xdr:row>
      <xdr:rowOff>240030</xdr:rowOff>
    </xdr:to>
    <xdr:sp macro="[0]!ToggleSection" textlink="">
      <xdr:nvSpPr>
        <xdr:cNvPr id="3" name="Composition">
          <a:extLst>
            <a:ext uri="{FF2B5EF4-FFF2-40B4-BE49-F238E27FC236}">
              <a16:creationId xmlns:a16="http://schemas.microsoft.com/office/drawing/2014/main" id="{19E93C40-C710-4E72-974A-0B53E31F60E3}"/>
            </a:ext>
          </a:extLst>
        </xdr:cNvPr>
        <xdr:cNvSpPr>
          <a:spLocks/>
        </xdr:cNvSpPr>
      </xdr:nvSpPr>
      <xdr:spPr>
        <a:xfrm>
          <a:off x="484632" y="4674870"/>
          <a:ext cx="1591056" cy="228600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lvl="0" algn="l"/>
          <a:endParaRPr lang="en-US" sz="1200" b="1">
            <a:solidFill>
              <a:schemeClr val="accent1">
                <a:lumMod val="20000"/>
                <a:lumOff val="80000"/>
              </a:schemeClr>
            </a:solidFill>
          </a:endParaRPr>
        </a:p>
      </xdr:txBody>
    </xdr:sp>
    <xdr:clientData/>
  </xdr:twoCellAnchor>
  <xdr:twoCellAnchor>
    <xdr:from>
      <xdr:col>3</xdr:col>
      <xdr:colOff>88392</xdr:colOff>
      <xdr:row>33</xdr:row>
      <xdr:rowOff>11430</xdr:rowOff>
    </xdr:from>
    <xdr:to>
      <xdr:col>3</xdr:col>
      <xdr:colOff>1679448</xdr:colOff>
      <xdr:row>33</xdr:row>
      <xdr:rowOff>240030</xdr:rowOff>
    </xdr:to>
    <xdr:sp macro="[0]!ToggleSection" textlink="">
      <xdr:nvSpPr>
        <xdr:cNvPr id="4" name="Summary Stats">
          <a:extLst>
            <a:ext uri="{FF2B5EF4-FFF2-40B4-BE49-F238E27FC236}">
              <a16:creationId xmlns:a16="http://schemas.microsoft.com/office/drawing/2014/main" id="{9EEF259A-1E72-4B76-858B-B9E0AF1688A3}"/>
            </a:ext>
          </a:extLst>
        </xdr:cNvPr>
        <xdr:cNvSpPr>
          <a:spLocks/>
        </xdr:cNvSpPr>
      </xdr:nvSpPr>
      <xdr:spPr>
        <a:xfrm>
          <a:off x="484632" y="8538210"/>
          <a:ext cx="1591056" cy="228600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l"/>
          <a:endParaRPr lang="en-US" sz="1200" b="1">
            <a:solidFill>
              <a:schemeClr val="accent1">
                <a:lumMod val="20000"/>
                <a:lumOff val="80000"/>
              </a:schemeClr>
            </a:solidFill>
          </a:endParaRPr>
        </a:p>
      </xdr:txBody>
    </xdr:sp>
    <xdr:clientData/>
  </xdr:twoCellAnchor>
  <xdr:twoCellAnchor>
    <xdr:from>
      <xdr:col>3</xdr:col>
      <xdr:colOff>88392</xdr:colOff>
      <xdr:row>43</xdr:row>
      <xdr:rowOff>11430</xdr:rowOff>
    </xdr:from>
    <xdr:to>
      <xdr:col>3</xdr:col>
      <xdr:colOff>1679448</xdr:colOff>
      <xdr:row>43</xdr:row>
      <xdr:rowOff>240030</xdr:rowOff>
    </xdr:to>
    <xdr:sp macro="[0]!ToggleSection" textlink="">
      <xdr:nvSpPr>
        <xdr:cNvPr id="5" name="Percentiles">
          <a:extLst>
            <a:ext uri="{FF2B5EF4-FFF2-40B4-BE49-F238E27FC236}">
              <a16:creationId xmlns:a16="http://schemas.microsoft.com/office/drawing/2014/main" id="{F4B45ED1-00FA-4CD8-B801-6B4780085F5A}"/>
            </a:ext>
          </a:extLst>
        </xdr:cNvPr>
        <xdr:cNvSpPr>
          <a:spLocks/>
        </xdr:cNvSpPr>
      </xdr:nvSpPr>
      <xdr:spPr>
        <a:xfrm>
          <a:off x="484632" y="11852910"/>
          <a:ext cx="1591056" cy="228600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l"/>
          <a:endParaRPr lang="en-US" sz="1200" b="1">
            <a:solidFill>
              <a:schemeClr val="accent1">
                <a:lumMod val="20000"/>
                <a:lumOff val="80000"/>
              </a:schemeClr>
            </a:solidFill>
          </a:endParaRPr>
        </a:p>
      </xdr:txBody>
    </xdr:sp>
    <xdr:clientData/>
  </xdr:twoCellAnchor>
  <xdr:twoCellAnchor>
    <xdr:from>
      <xdr:col>3</xdr:col>
      <xdr:colOff>88392</xdr:colOff>
      <xdr:row>55</xdr:row>
      <xdr:rowOff>11430</xdr:rowOff>
    </xdr:from>
    <xdr:to>
      <xdr:col>3</xdr:col>
      <xdr:colOff>1679448</xdr:colOff>
      <xdr:row>55</xdr:row>
      <xdr:rowOff>240030</xdr:rowOff>
    </xdr:to>
    <xdr:sp macro="[0]!ToggleSection" textlink="">
      <xdr:nvSpPr>
        <xdr:cNvPr id="6" name="Field Lists">
          <a:extLst>
            <a:ext uri="{FF2B5EF4-FFF2-40B4-BE49-F238E27FC236}">
              <a16:creationId xmlns:a16="http://schemas.microsoft.com/office/drawing/2014/main" id="{F0E37346-6444-4787-8886-3A0E8BF611B3}"/>
            </a:ext>
          </a:extLst>
        </xdr:cNvPr>
        <xdr:cNvSpPr>
          <a:spLocks/>
        </xdr:cNvSpPr>
      </xdr:nvSpPr>
      <xdr:spPr>
        <a:xfrm>
          <a:off x="484632" y="13933170"/>
          <a:ext cx="1591056" cy="228600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l"/>
          <a:endParaRPr lang="en-US" sz="1200" b="1">
            <a:solidFill>
              <a:schemeClr val="accent1">
                <a:lumMod val="20000"/>
                <a:lumOff val="80000"/>
              </a:schemeClr>
            </a:solidFill>
          </a:endParaRPr>
        </a:p>
      </xdr:txBody>
    </xdr:sp>
    <xdr:clientData/>
  </xdr:twoCellAnchor>
  <xdr:twoCellAnchor>
    <xdr:from>
      <xdr:col>3</xdr:col>
      <xdr:colOff>88392</xdr:colOff>
      <xdr:row>66</xdr:row>
      <xdr:rowOff>11430</xdr:rowOff>
    </xdr:from>
    <xdr:to>
      <xdr:col>3</xdr:col>
      <xdr:colOff>1679448</xdr:colOff>
      <xdr:row>66</xdr:row>
      <xdr:rowOff>240030</xdr:rowOff>
    </xdr:to>
    <xdr:sp macro="[0]!ToggleSection" textlink="">
      <xdr:nvSpPr>
        <xdr:cNvPr id="7" name="Compiled Lists">
          <a:extLst>
            <a:ext uri="{FF2B5EF4-FFF2-40B4-BE49-F238E27FC236}">
              <a16:creationId xmlns:a16="http://schemas.microsoft.com/office/drawing/2014/main" id="{DEBF7C82-F8FC-4343-8AE4-B3BDD7A4A8B1}"/>
            </a:ext>
          </a:extLst>
        </xdr:cNvPr>
        <xdr:cNvSpPr>
          <a:spLocks/>
        </xdr:cNvSpPr>
      </xdr:nvSpPr>
      <xdr:spPr>
        <a:xfrm>
          <a:off x="484632" y="15830550"/>
          <a:ext cx="1591056" cy="228600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l"/>
          <a:endParaRPr lang="en-US" sz="1200" b="1" baseline="0">
            <a:solidFill>
              <a:schemeClr val="accent1">
                <a:lumMod val="20000"/>
                <a:lumOff val="80000"/>
              </a:schemeClr>
            </a:solidFill>
          </a:endParaRPr>
        </a:p>
      </xdr:txBody>
    </xdr:sp>
    <xdr:clientData/>
  </xdr:twoCellAnchor>
  <xdr:twoCellAnchor>
    <xdr:from>
      <xdr:col>3</xdr:col>
      <xdr:colOff>88392</xdr:colOff>
      <xdr:row>4</xdr:row>
      <xdr:rowOff>11430</xdr:rowOff>
    </xdr:from>
    <xdr:to>
      <xdr:col>3</xdr:col>
      <xdr:colOff>1679448</xdr:colOff>
      <xdr:row>4</xdr:row>
      <xdr:rowOff>240030</xdr:rowOff>
    </xdr:to>
    <xdr:sp macro="[0]!ToggleSection" textlink="">
      <xdr:nvSpPr>
        <xdr:cNvPr id="10" name="Data Description">
          <a:extLst>
            <a:ext uri="{FF2B5EF4-FFF2-40B4-BE49-F238E27FC236}">
              <a16:creationId xmlns:a16="http://schemas.microsoft.com/office/drawing/2014/main" id="{64E88DDB-40F6-4854-9B76-AEBE1DBCAC61}"/>
            </a:ext>
          </a:extLst>
        </xdr:cNvPr>
        <xdr:cNvSpPr>
          <a:spLocks/>
        </xdr:cNvSpPr>
      </xdr:nvSpPr>
      <xdr:spPr>
        <a:xfrm>
          <a:off x="525421" y="2902548"/>
          <a:ext cx="1591056" cy="180975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lvl="0" algn="l"/>
          <a:endParaRPr lang="en-US" sz="1200" b="1">
            <a:solidFill>
              <a:schemeClr val="accent1">
                <a:lumMod val="20000"/>
                <a:lumOff val="80000"/>
              </a:schemeClr>
            </a:solidFill>
          </a:endParaRPr>
        </a:p>
      </xdr:txBody>
    </xdr:sp>
    <xdr:clientData/>
  </xdr:twoCellAnchor>
  <xdr:twoCellAnchor>
    <xdr:from>
      <xdr:col>4</xdr:col>
      <xdr:colOff>105410</xdr:colOff>
      <xdr:row>31</xdr:row>
      <xdr:rowOff>95250</xdr:rowOff>
    </xdr:from>
    <xdr:to>
      <xdr:col>4</xdr:col>
      <xdr:colOff>2002790</xdr:colOff>
      <xdr:row>31</xdr:row>
      <xdr:rowOff>1809750</xdr:rowOff>
    </xdr:to>
    <xdr:pic>
      <xdr:nvPicPr>
        <xdr:cNvPr id="9" name="composition_buying">
          <a:extLst>
            <a:ext uri="{FF2B5EF4-FFF2-40B4-BE49-F238E27FC236}">
              <a16:creationId xmlns:a16="http://schemas.microsoft.com/office/drawing/2014/main" id="{AD81D7E5-BF02-5137-319E-1CC1E0853C7C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556510" y="1962150"/>
          <a:ext cx="1897380" cy="1714500"/>
        </a:xfrm>
        <a:prstGeom prst="rect">
          <a:avLst/>
        </a:prstGeom>
      </xdr:spPr>
    </xdr:pic>
    <xdr:clientData/>
  </xdr:twoCellAnchor>
  <xdr:twoCellAnchor>
    <xdr:from>
      <xdr:col>5</xdr:col>
      <xdr:colOff>105410</xdr:colOff>
      <xdr:row>31</xdr:row>
      <xdr:rowOff>95250</xdr:rowOff>
    </xdr:from>
    <xdr:to>
      <xdr:col>5</xdr:col>
      <xdr:colOff>2002790</xdr:colOff>
      <xdr:row>31</xdr:row>
      <xdr:rowOff>1809750</xdr:rowOff>
    </xdr:to>
    <xdr:pic>
      <xdr:nvPicPr>
        <xdr:cNvPr id="12" name="composition_maint">
          <a:extLst>
            <a:ext uri="{FF2B5EF4-FFF2-40B4-BE49-F238E27FC236}">
              <a16:creationId xmlns:a16="http://schemas.microsoft.com/office/drawing/2014/main" id="{465E565E-95E5-70BC-87A2-6713DAAD9AC7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664710" y="1962150"/>
          <a:ext cx="1897380" cy="1714500"/>
        </a:xfrm>
        <a:prstGeom prst="rect">
          <a:avLst/>
        </a:prstGeom>
      </xdr:spPr>
    </xdr:pic>
    <xdr:clientData/>
  </xdr:twoCellAnchor>
  <xdr:twoCellAnchor>
    <xdr:from>
      <xdr:col>6</xdr:col>
      <xdr:colOff>105410</xdr:colOff>
      <xdr:row>31</xdr:row>
      <xdr:rowOff>95250</xdr:rowOff>
    </xdr:from>
    <xdr:to>
      <xdr:col>6</xdr:col>
      <xdr:colOff>2002790</xdr:colOff>
      <xdr:row>31</xdr:row>
      <xdr:rowOff>1809750</xdr:rowOff>
    </xdr:to>
    <xdr:pic>
      <xdr:nvPicPr>
        <xdr:cNvPr id="14" name="composition_doors">
          <a:extLst>
            <a:ext uri="{FF2B5EF4-FFF2-40B4-BE49-F238E27FC236}">
              <a16:creationId xmlns:a16="http://schemas.microsoft.com/office/drawing/2014/main" id="{622382D3-BDEE-EF10-B2F5-D4F6ED93D6C7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772910" y="1962150"/>
          <a:ext cx="1897380" cy="1714500"/>
        </a:xfrm>
        <a:prstGeom prst="rect">
          <a:avLst/>
        </a:prstGeom>
      </xdr:spPr>
    </xdr:pic>
    <xdr:clientData/>
  </xdr:twoCellAnchor>
  <xdr:twoCellAnchor>
    <xdr:from>
      <xdr:col>7</xdr:col>
      <xdr:colOff>105410</xdr:colOff>
      <xdr:row>31</xdr:row>
      <xdr:rowOff>95250</xdr:rowOff>
    </xdr:from>
    <xdr:to>
      <xdr:col>7</xdr:col>
      <xdr:colOff>2002790</xdr:colOff>
      <xdr:row>31</xdr:row>
      <xdr:rowOff>1809750</xdr:rowOff>
    </xdr:to>
    <xdr:pic>
      <xdr:nvPicPr>
        <xdr:cNvPr id="16" name="composition_persons">
          <a:extLst>
            <a:ext uri="{FF2B5EF4-FFF2-40B4-BE49-F238E27FC236}">
              <a16:creationId xmlns:a16="http://schemas.microsoft.com/office/drawing/2014/main" id="{9BAE63DC-9D93-9AB2-5C0E-93987C383EC8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8881110" y="1962150"/>
          <a:ext cx="1897380" cy="1714500"/>
        </a:xfrm>
        <a:prstGeom prst="rect">
          <a:avLst/>
        </a:prstGeom>
      </xdr:spPr>
    </xdr:pic>
    <xdr:clientData/>
  </xdr:twoCellAnchor>
  <xdr:twoCellAnchor>
    <xdr:from>
      <xdr:col>8</xdr:col>
      <xdr:colOff>105410</xdr:colOff>
      <xdr:row>31</xdr:row>
      <xdr:rowOff>95250</xdr:rowOff>
    </xdr:from>
    <xdr:to>
      <xdr:col>8</xdr:col>
      <xdr:colOff>2002790</xdr:colOff>
      <xdr:row>31</xdr:row>
      <xdr:rowOff>1809750</xdr:rowOff>
    </xdr:to>
    <xdr:pic>
      <xdr:nvPicPr>
        <xdr:cNvPr id="18" name="composition_lug_boot">
          <a:extLst>
            <a:ext uri="{FF2B5EF4-FFF2-40B4-BE49-F238E27FC236}">
              <a16:creationId xmlns:a16="http://schemas.microsoft.com/office/drawing/2014/main" id="{DF3F120B-A084-FA66-21B1-58B81B674BD4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4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0989310" y="1962150"/>
          <a:ext cx="1897380" cy="1714500"/>
        </a:xfrm>
        <a:prstGeom prst="rect">
          <a:avLst/>
        </a:prstGeom>
      </xdr:spPr>
    </xdr:pic>
    <xdr:clientData/>
  </xdr:twoCellAnchor>
  <xdr:twoCellAnchor>
    <xdr:from>
      <xdr:col>9</xdr:col>
      <xdr:colOff>105411</xdr:colOff>
      <xdr:row>31</xdr:row>
      <xdr:rowOff>95250</xdr:rowOff>
    </xdr:from>
    <xdr:to>
      <xdr:col>9</xdr:col>
      <xdr:colOff>2002791</xdr:colOff>
      <xdr:row>31</xdr:row>
      <xdr:rowOff>1809750</xdr:rowOff>
    </xdr:to>
    <xdr:pic>
      <xdr:nvPicPr>
        <xdr:cNvPr id="20" name="composition_safety">
          <a:extLst>
            <a:ext uri="{FF2B5EF4-FFF2-40B4-BE49-F238E27FC236}">
              <a16:creationId xmlns:a16="http://schemas.microsoft.com/office/drawing/2014/main" id="{27D00392-DE06-2882-1EF8-2AAAF5452ED7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5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3097511" y="1962150"/>
          <a:ext cx="1897380" cy="1714500"/>
        </a:xfrm>
        <a:prstGeom prst="rect">
          <a:avLst/>
        </a:prstGeom>
      </xdr:spPr>
    </xdr:pic>
    <xdr:clientData/>
  </xdr:twoCellAnchor>
  <xdr:twoCellAnchor>
    <xdr:from>
      <xdr:col>10</xdr:col>
      <xdr:colOff>105411</xdr:colOff>
      <xdr:row>31</xdr:row>
      <xdr:rowOff>95250</xdr:rowOff>
    </xdr:from>
    <xdr:to>
      <xdr:col>10</xdr:col>
      <xdr:colOff>2002791</xdr:colOff>
      <xdr:row>31</xdr:row>
      <xdr:rowOff>1809750</xdr:rowOff>
    </xdr:to>
    <xdr:pic>
      <xdr:nvPicPr>
        <xdr:cNvPr id="22" name="composition_class">
          <a:extLst>
            <a:ext uri="{FF2B5EF4-FFF2-40B4-BE49-F238E27FC236}">
              <a16:creationId xmlns:a16="http://schemas.microsoft.com/office/drawing/2014/main" id="{E9B06037-5FD8-F0CA-7B42-219CC40355BC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6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5205711" y="1962150"/>
          <a:ext cx="1897380" cy="1714500"/>
        </a:xfrm>
        <a:prstGeom prst="rect">
          <a:avLst/>
        </a:prstGeom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0</xdr:colOff>
      <xdr:row>2</xdr:row>
      <xdr:rowOff>0</xdr:rowOff>
    </xdr:from>
    <xdr:to>
      <xdr:col>2</xdr:col>
      <xdr:colOff>1848866</xdr:colOff>
      <xdr:row>2</xdr:row>
      <xdr:rowOff>439166</xdr:rowOff>
    </xdr:to>
    <xdr:sp macro="[0]!ToggleSection" textlink="">
      <xdr:nvSpPr>
        <xdr:cNvPr id="3" name="Config">
          <a:extLst>
            <a:ext uri="{FF2B5EF4-FFF2-40B4-BE49-F238E27FC236}">
              <a16:creationId xmlns:a16="http://schemas.microsoft.com/office/drawing/2014/main" id="{BCE19974-CB82-484B-A96D-AB4C3B13B7FD}"/>
            </a:ext>
          </a:extLst>
        </xdr:cNvPr>
        <xdr:cNvSpPr>
          <a:spLocks/>
        </xdr:cNvSpPr>
      </xdr:nvSpPr>
      <xdr:spPr>
        <a:xfrm>
          <a:off x="711200" y="381000"/>
          <a:ext cx="1848866" cy="439166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l"/>
          <a:endParaRPr lang="en-US" sz="2400" b="1"/>
        </a:p>
      </xdr:txBody>
    </xdr:sp>
    <xdr:clientData/>
  </xdr:twoCellAnchor>
</xdr:wsDr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MRivers" refreshedDate="46181.71443078704" createdVersion="8" refreshedVersion="8" minRefreshableVersion="3" recordCount="1728" xr:uid="{00DEDBB6-1F4A-4C10-B2D2-FF41FE7983D3}">
  <cacheSource type="worksheet">
    <worksheetSource name="tbl_SourceData"/>
  </cacheSource>
  <cacheFields count="11">
    <cacheField name="Record List" numFmtId="0">
      <sharedItems count="1">
        <b v="0"/>
      </sharedItems>
    </cacheField>
    <cacheField name="buying" numFmtId="0">
      <sharedItems count="4">
        <s v="vhigh"/>
        <s v="high"/>
        <s v="med"/>
        <s v="low"/>
      </sharedItems>
    </cacheField>
    <cacheField name="maint" numFmtId="0">
      <sharedItems count="4">
        <s v="vhigh"/>
        <s v="high"/>
        <s v="med"/>
        <s v="low"/>
      </sharedItems>
    </cacheField>
    <cacheField name="doors" numFmtId="0">
      <sharedItems containsMixedTypes="1" containsNumber="1" containsInteger="1" minValue="2" maxValue="4" count="4">
        <n v="2"/>
        <n v="3"/>
        <n v="4"/>
        <s v="5more"/>
      </sharedItems>
    </cacheField>
    <cacheField name="persons" numFmtId="0">
      <sharedItems containsMixedTypes="1" containsNumber="1" containsInteger="1" minValue="2" maxValue="4" count="3">
        <n v="2"/>
        <n v="4"/>
        <s v="more"/>
      </sharedItems>
    </cacheField>
    <cacheField name="lug_boot" numFmtId="0">
      <sharedItems count="3">
        <s v="small"/>
        <s v="med"/>
        <s v="big"/>
      </sharedItems>
    </cacheField>
    <cacheField name="safety" numFmtId="0">
      <sharedItems count="3">
        <s v="low"/>
        <s v="med"/>
        <s v="high"/>
      </sharedItems>
    </cacheField>
    <cacheField name="class" numFmtId="0">
      <sharedItems count="4">
        <s v="unacc"/>
        <s v="acc"/>
        <s v="vgood"/>
        <s v="good"/>
      </sharedItems>
    </cacheField>
    <cacheField name="index" numFmtId="0">
      <sharedItems containsSemiMixedTypes="0" containsString="0" containsNumber="1" containsInteger="1" minValue="0" maxValue="1727" count="1728">
        <n v="0"/>
        <n v="1"/>
        <n v="2"/>
        <n v="3"/>
        <n v="4"/>
        <n v="5"/>
        <n v="6"/>
        <n v="7"/>
        <n v="8"/>
        <n v="9"/>
        <n v="10"/>
        <n v="11"/>
        <n v="12"/>
        <n v="13"/>
        <n v="14"/>
        <n v="15"/>
        <n v="16"/>
        <n v="17"/>
        <n v="18"/>
        <n v="19"/>
        <n v="20"/>
        <n v="21"/>
        <n v="22"/>
        <n v="23"/>
        <n v="24"/>
        <n v="25"/>
        <n v="26"/>
        <n v="27"/>
        <n v="28"/>
        <n v="29"/>
        <n v="30"/>
        <n v="31"/>
        <n v="32"/>
        <n v="33"/>
        <n v="34"/>
        <n v="35"/>
        <n v="36"/>
        <n v="37"/>
        <n v="38"/>
        <n v="39"/>
        <n v="40"/>
        <n v="41"/>
        <n v="42"/>
        <n v="43"/>
        <n v="44"/>
        <n v="45"/>
        <n v="46"/>
        <n v="47"/>
        <n v="48"/>
        <n v="49"/>
        <n v="50"/>
        <n v="51"/>
        <n v="52"/>
        <n v="53"/>
        <n v="54"/>
        <n v="55"/>
        <n v="56"/>
        <n v="57"/>
        <n v="58"/>
        <n v="59"/>
        <n v="60"/>
        <n v="61"/>
        <n v="62"/>
        <n v="63"/>
        <n v="64"/>
        <n v="65"/>
        <n v="66"/>
        <n v="67"/>
        <n v="68"/>
        <n v="69"/>
        <n v="70"/>
        <n v="71"/>
        <n v="72"/>
        <n v="73"/>
        <n v="74"/>
        <n v="75"/>
        <n v="76"/>
        <n v="77"/>
        <n v="78"/>
        <n v="79"/>
        <n v="80"/>
        <n v="81"/>
        <n v="82"/>
        <n v="83"/>
        <n v="84"/>
        <n v="85"/>
        <n v="86"/>
        <n v="87"/>
        <n v="88"/>
        <n v="89"/>
        <n v="90"/>
        <n v="91"/>
        <n v="92"/>
        <n v="93"/>
        <n v="94"/>
        <n v="95"/>
        <n v="96"/>
        <n v="97"/>
        <n v="98"/>
        <n v="99"/>
        <n v="100"/>
        <n v="101"/>
        <n v="102"/>
        <n v="103"/>
        <n v="104"/>
        <n v="105"/>
        <n v="106"/>
        <n v="107"/>
        <n v="108"/>
        <n v="109"/>
        <n v="110"/>
        <n v="111"/>
        <n v="112"/>
        <n v="113"/>
        <n v="114"/>
        <n v="115"/>
        <n v="116"/>
        <n v="117"/>
        <n v="118"/>
        <n v="119"/>
        <n v="120"/>
        <n v="121"/>
        <n v="122"/>
        <n v="123"/>
        <n v="124"/>
        <n v="125"/>
        <n v="126"/>
        <n v="127"/>
        <n v="128"/>
        <n v="129"/>
        <n v="130"/>
        <n v="131"/>
        <n v="132"/>
        <n v="133"/>
        <n v="134"/>
        <n v="135"/>
        <n v="136"/>
        <n v="137"/>
        <n v="138"/>
        <n v="139"/>
        <n v="140"/>
        <n v="141"/>
        <n v="142"/>
        <n v="143"/>
        <n v="144"/>
        <n v="145"/>
        <n v="146"/>
        <n v="147"/>
        <n v="148"/>
        <n v="149"/>
        <n v="150"/>
        <n v="151"/>
        <n v="152"/>
        <n v="153"/>
        <n v="154"/>
        <n v="155"/>
        <n v="156"/>
        <n v="157"/>
        <n v="158"/>
        <n v="159"/>
        <n v="160"/>
        <n v="161"/>
        <n v="162"/>
        <n v="163"/>
        <n v="164"/>
        <n v="165"/>
        <n v="166"/>
        <n v="167"/>
        <n v="168"/>
        <n v="169"/>
        <n v="170"/>
        <n v="171"/>
        <n v="172"/>
        <n v="173"/>
        <n v="174"/>
        <n v="175"/>
        <n v="176"/>
        <n v="177"/>
        <n v="178"/>
        <n v="179"/>
        <n v="180"/>
        <n v="181"/>
        <n v="182"/>
        <n v="183"/>
        <n v="184"/>
        <n v="185"/>
        <n v="186"/>
        <n v="187"/>
        <n v="188"/>
        <n v="189"/>
        <n v="190"/>
        <n v="191"/>
        <n v="192"/>
        <n v="193"/>
        <n v="194"/>
        <n v="195"/>
        <n v="196"/>
        <n v="197"/>
        <n v="198"/>
        <n v="199"/>
        <n v="200"/>
        <n v="201"/>
        <n v="202"/>
        <n v="203"/>
        <n v="204"/>
        <n v="205"/>
        <n v="206"/>
        <n v="207"/>
        <n v="208"/>
        <n v="209"/>
        <n v="210"/>
        <n v="211"/>
        <n v="212"/>
        <n v="213"/>
        <n v="214"/>
        <n v="215"/>
        <n v="216"/>
        <n v="217"/>
        <n v="218"/>
        <n v="219"/>
        <n v="220"/>
        <n v="221"/>
        <n v="222"/>
        <n v="223"/>
        <n v="224"/>
        <n v="225"/>
        <n v="226"/>
        <n v="227"/>
        <n v="228"/>
        <n v="229"/>
        <n v="230"/>
        <n v="231"/>
        <n v="232"/>
        <n v="233"/>
        <n v="234"/>
        <n v="235"/>
        <n v="236"/>
        <n v="237"/>
        <n v="238"/>
        <n v="239"/>
        <n v="240"/>
        <n v="241"/>
        <n v="242"/>
        <n v="243"/>
        <n v="244"/>
        <n v="245"/>
        <n v="246"/>
        <n v="247"/>
        <n v="248"/>
        <n v="249"/>
        <n v="250"/>
        <n v="251"/>
        <n v="252"/>
        <n v="253"/>
        <n v="254"/>
        <n v="255"/>
        <n v="256"/>
        <n v="257"/>
        <n v="258"/>
        <n v="259"/>
        <n v="260"/>
        <n v="261"/>
        <n v="262"/>
        <n v="263"/>
        <n v="264"/>
        <n v="265"/>
        <n v="266"/>
        <n v="267"/>
        <n v="268"/>
        <n v="269"/>
        <n v="270"/>
        <n v="271"/>
        <n v="272"/>
        <n v="273"/>
        <n v="274"/>
        <n v="275"/>
        <n v="276"/>
        <n v="277"/>
        <n v="278"/>
        <n v="279"/>
        <n v="280"/>
        <n v="281"/>
        <n v="282"/>
        <n v="283"/>
        <n v="284"/>
        <n v="285"/>
        <n v="286"/>
        <n v="287"/>
        <n v="288"/>
        <n v="289"/>
        <n v="290"/>
        <n v="291"/>
        <n v="292"/>
        <n v="293"/>
        <n v="294"/>
        <n v="295"/>
        <n v="296"/>
        <n v="297"/>
        <n v="298"/>
        <n v="299"/>
        <n v="300"/>
        <n v="301"/>
        <n v="302"/>
        <n v="303"/>
        <n v="304"/>
        <n v="305"/>
        <n v="306"/>
        <n v="307"/>
        <n v="308"/>
        <n v="309"/>
        <n v="310"/>
        <n v="311"/>
        <n v="312"/>
        <n v="313"/>
        <n v="314"/>
        <n v="315"/>
        <n v="316"/>
        <n v="317"/>
        <n v="318"/>
        <n v="319"/>
        <n v="320"/>
        <n v="321"/>
        <n v="322"/>
        <n v="323"/>
        <n v="324"/>
        <n v="325"/>
        <n v="326"/>
        <n v="327"/>
        <n v="328"/>
        <n v="329"/>
        <n v="330"/>
        <n v="331"/>
        <n v="332"/>
        <n v="333"/>
        <n v="334"/>
        <n v="335"/>
        <n v="336"/>
        <n v="337"/>
        <n v="338"/>
        <n v="339"/>
        <n v="340"/>
        <n v="341"/>
        <n v="342"/>
        <n v="343"/>
        <n v="344"/>
        <n v="345"/>
        <n v="346"/>
        <n v="347"/>
        <n v="348"/>
        <n v="349"/>
        <n v="350"/>
        <n v="351"/>
        <n v="352"/>
        <n v="353"/>
        <n v="354"/>
        <n v="355"/>
        <n v="356"/>
        <n v="357"/>
        <n v="358"/>
        <n v="359"/>
        <n v="360"/>
        <n v="361"/>
        <n v="362"/>
        <n v="363"/>
        <n v="364"/>
        <n v="365"/>
        <n v="366"/>
        <n v="367"/>
        <n v="368"/>
        <n v="369"/>
        <n v="370"/>
        <n v="371"/>
        <n v="372"/>
        <n v="373"/>
        <n v="374"/>
        <n v="375"/>
        <n v="376"/>
        <n v="377"/>
        <n v="378"/>
        <n v="379"/>
        <n v="380"/>
        <n v="381"/>
        <n v="382"/>
        <n v="383"/>
        <n v="384"/>
        <n v="385"/>
        <n v="386"/>
        <n v="387"/>
        <n v="388"/>
        <n v="389"/>
        <n v="390"/>
        <n v="391"/>
        <n v="392"/>
        <n v="393"/>
        <n v="394"/>
        <n v="395"/>
        <n v="396"/>
        <n v="397"/>
        <n v="398"/>
        <n v="399"/>
        <n v="400"/>
        <n v="401"/>
        <n v="402"/>
        <n v="403"/>
        <n v="404"/>
        <n v="405"/>
        <n v="406"/>
        <n v="407"/>
        <n v="408"/>
        <n v="409"/>
        <n v="410"/>
        <n v="411"/>
        <n v="412"/>
        <n v="413"/>
        <n v="414"/>
        <n v="415"/>
        <n v="416"/>
        <n v="417"/>
        <n v="418"/>
        <n v="419"/>
        <n v="420"/>
        <n v="421"/>
        <n v="422"/>
        <n v="423"/>
        <n v="424"/>
        <n v="425"/>
        <n v="426"/>
        <n v="427"/>
        <n v="428"/>
        <n v="429"/>
        <n v="430"/>
        <n v="431"/>
        <n v="432"/>
        <n v="433"/>
        <n v="434"/>
        <n v="435"/>
        <n v="436"/>
        <n v="437"/>
        <n v="438"/>
        <n v="439"/>
        <n v="440"/>
        <n v="441"/>
        <n v="442"/>
        <n v="443"/>
        <n v="444"/>
        <n v="445"/>
        <n v="446"/>
        <n v="447"/>
        <n v="448"/>
        <n v="449"/>
        <n v="450"/>
        <n v="451"/>
        <n v="452"/>
        <n v="453"/>
        <n v="454"/>
        <n v="455"/>
        <n v="456"/>
        <n v="457"/>
        <n v="458"/>
        <n v="459"/>
        <n v="460"/>
        <n v="461"/>
        <n v="462"/>
        <n v="463"/>
        <n v="464"/>
        <n v="465"/>
        <n v="466"/>
        <n v="467"/>
        <n v="468"/>
        <n v="469"/>
        <n v="470"/>
        <n v="471"/>
        <n v="472"/>
        <n v="473"/>
        <n v="474"/>
        <n v="475"/>
        <n v="476"/>
        <n v="477"/>
        <n v="478"/>
        <n v="479"/>
        <n v="480"/>
        <n v="481"/>
        <n v="482"/>
        <n v="483"/>
        <n v="484"/>
        <n v="485"/>
        <n v="486"/>
        <n v="487"/>
        <n v="488"/>
        <n v="489"/>
        <n v="490"/>
        <n v="491"/>
        <n v="492"/>
        <n v="493"/>
        <n v="494"/>
        <n v="495"/>
        <n v="496"/>
        <n v="497"/>
        <n v="498"/>
        <n v="499"/>
        <n v="500"/>
        <n v="501"/>
        <n v="502"/>
        <n v="503"/>
        <n v="504"/>
        <n v="505"/>
        <n v="506"/>
        <n v="507"/>
        <n v="508"/>
        <n v="509"/>
        <n v="510"/>
        <n v="511"/>
        <n v="512"/>
        <n v="513"/>
        <n v="514"/>
        <n v="515"/>
        <n v="516"/>
        <n v="517"/>
        <n v="518"/>
        <n v="519"/>
        <n v="520"/>
        <n v="521"/>
        <n v="522"/>
        <n v="523"/>
        <n v="524"/>
        <n v="525"/>
        <n v="526"/>
        <n v="527"/>
        <n v="528"/>
        <n v="529"/>
        <n v="530"/>
        <n v="531"/>
        <n v="532"/>
        <n v="533"/>
        <n v="534"/>
        <n v="535"/>
        <n v="536"/>
        <n v="537"/>
        <n v="538"/>
        <n v="539"/>
        <n v="540"/>
        <n v="541"/>
        <n v="542"/>
        <n v="543"/>
        <n v="544"/>
        <n v="545"/>
        <n v="546"/>
        <n v="547"/>
        <n v="548"/>
        <n v="549"/>
        <n v="550"/>
        <n v="551"/>
        <n v="552"/>
        <n v="553"/>
        <n v="554"/>
        <n v="555"/>
        <n v="556"/>
        <n v="557"/>
        <n v="558"/>
        <n v="559"/>
        <n v="560"/>
        <n v="561"/>
        <n v="562"/>
        <n v="563"/>
        <n v="564"/>
        <n v="565"/>
        <n v="566"/>
        <n v="567"/>
        <n v="568"/>
        <n v="569"/>
        <n v="570"/>
        <n v="571"/>
        <n v="572"/>
        <n v="573"/>
        <n v="574"/>
        <n v="575"/>
        <n v="576"/>
        <n v="577"/>
        <n v="578"/>
        <n v="579"/>
        <n v="580"/>
        <n v="581"/>
        <n v="582"/>
        <n v="583"/>
        <n v="584"/>
        <n v="585"/>
        <n v="586"/>
        <n v="587"/>
        <n v="588"/>
        <n v="589"/>
        <n v="590"/>
        <n v="591"/>
        <n v="592"/>
        <n v="593"/>
        <n v="594"/>
        <n v="595"/>
        <n v="596"/>
        <n v="597"/>
        <n v="598"/>
        <n v="599"/>
        <n v="600"/>
        <n v="601"/>
        <n v="602"/>
        <n v="603"/>
        <n v="604"/>
        <n v="605"/>
        <n v="606"/>
        <n v="607"/>
        <n v="608"/>
        <n v="609"/>
        <n v="610"/>
        <n v="611"/>
        <n v="612"/>
        <n v="613"/>
        <n v="614"/>
        <n v="615"/>
        <n v="616"/>
        <n v="617"/>
        <n v="618"/>
        <n v="619"/>
        <n v="620"/>
        <n v="621"/>
        <n v="622"/>
        <n v="623"/>
        <n v="624"/>
        <n v="625"/>
        <n v="626"/>
        <n v="627"/>
        <n v="628"/>
        <n v="629"/>
        <n v="630"/>
        <n v="631"/>
        <n v="632"/>
        <n v="633"/>
        <n v="634"/>
        <n v="635"/>
        <n v="636"/>
        <n v="637"/>
        <n v="638"/>
        <n v="639"/>
        <n v="640"/>
        <n v="641"/>
        <n v="642"/>
        <n v="643"/>
        <n v="644"/>
        <n v="645"/>
        <n v="646"/>
        <n v="647"/>
        <n v="648"/>
        <n v="649"/>
        <n v="650"/>
        <n v="651"/>
        <n v="652"/>
        <n v="653"/>
        <n v="654"/>
        <n v="655"/>
        <n v="656"/>
        <n v="657"/>
        <n v="658"/>
        <n v="659"/>
        <n v="660"/>
        <n v="661"/>
        <n v="662"/>
        <n v="663"/>
        <n v="664"/>
        <n v="665"/>
        <n v="666"/>
        <n v="667"/>
        <n v="668"/>
        <n v="669"/>
        <n v="670"/>
        <n v="671"/>
        <n v="672"/>
        <n v="673"/>
        <n v="674"/>
        <n v="675"/>
        <n v="676"/>
        <n v="677"/>
        <n v="678"/>
        <n v="679"/>
        <n v="680"/>
        <n v="681"/>
        <n v="682"/>
        <n v="683"/>
        <n v="684"/>
        <n v="685"/>
        <n v="686"/>
        <n v="687"/>
        <n v="688"/>
        <n v="689"/>
        <n v="690"/>
        <n v="691"/>
        <n v="692"/>
        <n v="693"/>
        <n v="694"/>
        <n v="695"/>
        <n v="696"/>
        <n v="697"/>
        <n v="698"/>
        <n v="699"/>
        <n v="700"/>
        <n v="701"/>
        <n v="702"/>
        <n v="703"/>
        <n v="704"/>
        <n v="705"/>
        <n v="706"/>
        <n v="707"/>
        <n v="708"/>
        <n v="709"/>
        <n v="710"/>
        <n v="711"/>
        <n v="712"/>
        <n v="713"/>
        <n v="714"/>
        <n v="715"/>
        <n v="716"/>
        <n v="717"/>
        <n v="718"/>
        <n v="719"/>
        <n v="720"/>
        <n v="721"/>
        <n v="722"/>
        <n v="723"/>
        <n v="724"/>
        <n v="725"/>
        <n v="726"/>
        <n v="727"/>
        <n v="728"/>
        <n v="729"/>
        <n v="730"/>
        <n v="731"/>
        <n v="732"/>
        <n v="733"/>
        <n v="734"/>
        <n v="735"/>
        <n v="736"/>
        <n v="737"/>
        <n v="738"/>
        <n v="739"/>
        <n v="740"/>
        <n v="741"/>
        <n v="742"/>
        <n v="743"/>
        <n v="744"/>
        <n v="745"/>
        <n v="746"/>
        <n v="747"/>
        <n v="748"/>
        <n v="749"/>
        <n v="750"/>
        <n v="751"/>
        <n v="752"/>
        <n v="753"/>
        <n v="754"/>
        <n v="755"/>
        <n v="756"/>
        <n v="757"/>
        <n v="758"/>
        <n v="759"/>
        <n v="760"/>
        <n v="761"/>
        <n v="762"/>
        <n v="763"/>
        <n v="764"/>
        <n v="765"/>
        <n v="766"/>
        <n v="767"/>
        <n v="768"/>
        <n v="769"/>
        <n v="770"/>
        <n v="771"/>
        <n v="772"/>
        <n v="773"/>
        <n v="774"/>
        <n v="775"/>
        <n v="776"/>
        <n v="777"/>
        <n v="778"/>
        <n v="779"/>
        <n v="780"/>
        <n v="781"/>
        <n v="782"/>
        <n v="783"/>
        <n v="784"/>
        <n v="785"/>
        <n v="786"/>
        <n v="787"/>
        <n v="788"/>
        <n v="789"/>
        <n v="790"/>
        <n v="791"/>
        <n v="792"/>
        <n v="793"/>
        <n v="794"/>
        <n v="795"/>
        <n v="796"/>
        <n v="797"/>
        <n v="798"/>
        <n v="799"/>
        <n v="800"/>
        <n v="801"/>
        <n v="802"/>
        <n v="803"/>
        <n v="804"/>
        <n v="805"/>
        <n v="806"/>
        <n v="807"/>
        <n v="808"/>
        <n v="809"/>
        <n v="810"/>
        <n v="811"/>
        <n v="812"/>
        <n v="813"/>
        <n v="814"/>
        <n v="815"/>
        <n v="816"/>
        <n v="817"/>
        <n v="818"/>
        <n v="819"/>
        <n v="820"/>
        <n v="821"/>
        <n v="822"/>
        <n v="823"/>
        <n v="824"/>
        <n v="825"/>
        <n v="826"/>
        <n v="827"/>
        <n v="828"/>
        <n v="829"/>
        <n v="830"/>
        <n v="831"/>
        <n v="832"/>
        <n v="833"/>
        <n v="834"/>
        <n v="835"/>
        <n v="836"/>
        <n v="837"/>
        <n v="838"/>
        <n v="839"/>
        <n v="840"/>
        <n v="841"/>
        <n v="842"/>
        <n v="843"/>
        <n v="844"/>
        <n v="845"/>
        <n v="846"/>
        <n v="847"/>
        <n v="848"/>
        <n v="849"/>
        <n v="850"/>
        <n v="851"/>
        <n v="852"/>
        <n v="853"/>
        <n v="854"/>
        <n v="855"/>
        <n v="856"/>
        <n v="857"/>
        <n v="858"/>
        <n v="859"/>
        <n v="860"/>
        <n v="861"/>
        <n v="862"/>
        <n v="863"/>
        <n v="864"/>
        <n v="865"/>
        <n v="866"/>
        <n v="867"/>
        <n v="868"/>
        <n v="869"/>
        <n v="870"/>
        <n v="871"/>
        <n v="872"/>
        <n v="873"/>
        <n v="874"/>
        <n v="875"/>
        <n v="876"/>
        <n v="877"/>
        <n v="878"/>
        <n v="879"/>
        <n v="880"/>
        <n v="881"/>
        <n v="882"/>
        <n v="883"/>
        <n v="884"/>
        <n v="885"/>
        <n v="886"/>
        <n v="887"/>
        <n v="888"/>
        <n v="889"/>
        <n v="890"/>
        <n v="891"/>
        <n v="892"/>
        <n v="893"/>
        <n v="894"/>
        <n v="895"/>
        <n v="896"/>
        <n v="897"/>
        <n v="898"/>
        <n v="899"/>
        <n v="900"/>
        <n v="901"/>
        <n v="902"/>
        <n v="903"/>
        <n v="904"/>
        <n v="905"/>
        <n v="906"/>
        <n v="907"/>
        <n v="908"/>
        <n v="909"/>
        <n v="910"/>
        <n v="911"/>
        <n v="912"/>
        <n v="913"/>
        <n v="914"/>
        <n v="915"/>
        <n v="916"/>
        <n v="917"/>
        <n v="918"/>
        <n v="919"/>
        <n v="920"/>
        <n v="921"/>
        <n v="922"/>
        <n v="923"/>
        <n v="924"/>
        <n v="925"/>
        <n v="926"/>
        <n v="927"/>
        <n v="928"/>
        <n v="929"/>
        <n v="930"/>
        <n v="931"/>
        <n v="932"/>
        <n v="933"/>
        <n v="934"/>
        <n v="935"/>
        <n v="936"/>
        <n v="937"/>
        <n v="938"/>
        <n v="939"/>
        <n v="940"/>
        <n v="941"/>
        <n v="942"/>
        <n v="943"/>
        <n v="944"/>
        <n v="945"/>
        <n v="946"/>
        <n v="947"/>
        <n v="948"/>
        <n v="949"/>
        <n v="950"/>
        <n v="951"/>
        <n v="952"/>
        <n v="953"/>
        <n v="954"/>
        <n v="955"/>
        <n v="956"/>
        <n v="957"/>
        <n v="958"/>
        <n v="959"/>
        <n v="960"/>
        <n v="961"/>
        <n v="962"/>
        <n v="963"/>
        <n v="964"/>
        <n v="965"/>
        <n v="966"/>
        <n v="967"/>
        <n v="968"/>
        <n v="969"/>
        <n v="970"/>
        <n v="971"/>
        <n v="972"/>
        <n v="973"/>
        <n v="974"/>
        <n v="975"/>
        <n v="976"/>
        <n v="977"/>
        <n v="978"/>
        <n v="979"/>
        <n v="980"/>
        <n v="981"/>
        <n v="982"/>
        <n v="983"/>
        <n v="984"/>
        <n v="985"/>
        <n v="986"/>
        <n v="987"/>
        <n v="988"/>
        <n v="989"/>
        <n v="990"/>
        <n v="991"/>
        <n v="992"/>
        <n v="993"/>
        <n v="994"/>
        <n v="995"/>
        <n v="996"/>
        <n v="997"/>
        <n v="998"/>
        <n v="999"/>
        <n v="1000"/>
        <n v="1001"/>
        <n v="1002"/>
        <n v="1003"/>
        <n v="1004"/>
        <n v="1005"/>
        <n v="1006"/>
        <n v="1007"/>
        <n v="1008"/>
        <n v="1009"/>
        <n v="1010"/>
        <n v="1011"/>
        <n v="1012"/>
        <n v="1013"/>
        <n v="1014"/>
        <n v="1015"/>
        <n v="1016"/>
        <n v="1017"/>
        <n v="1018"/>
        <n v="1019"/>
        <n v="1020"/>
        <n v="1021"/>
        <n v="1022"/>
        <n v="1023"/>
        <n v="1024"/>
        <n v="1025"/>
        <n v="1026"/>
        <n v="1027"/>
        <n v="1028"/>
        <n v="1029"/>
        <n v="1030"/>
        <n v="1031"/>
        <n v="1032"/>
        <n v="1033"/>
        <n v="1034"/>
        <n v="1035"/>
        <n v="1036"/>
        <n v="1037"/>
        <n v="1038"/>
        <n v="1039"/>
        <n v="1040"/>
        <n v="1041"/>
        <n v="1042"/>
        <n v="1043"/>
        <n v="1044"/>
        <n v="1045"/>
        <n v="1046"/>
        <n v="1047"/>
        <n v="1048"/>
        <n v="1049"/>
        <n v="1050"/>
        <n v="1051"/>
        <n v="1052"/>
        <n v="1053"/>
        <n v="1054"/>
        <n v="1055"/>
        <n v="1056"/>
        <n v="1057"/>
        <n v="1058"/>
        <n v="1059"/>
        <n v="1060"/>
        <n v="1061"/>
        <n v="1062"/>
        <n v="1063"/>
        <n v="1064"/>
        <n v="1065"/>
        <n v="1066"/>
        <n v="1067"/>
        <n v="1068"/>
        <n v="1069"/>
        <n v="1070"/>
        <n v="1071"/>
        <n v="1072"/>
        <n v="1073"/>
        <n v="1074"/>
        <n v="1075"/>
        <n v="1076"/>
        <n v="1077"/>
        <n v="1078"/>
        <n v="1079"/>
        <n v="1080"/>
        <n v="1081"/>
        <n v="1082"/>
        <n v="1083"/>
        <n v="1084"/>
        <n v="1085"/>
        <n v="1086"/>
        <n v="1087"/>
        <n v="1088"/>
        <n v="1089"/>
        <n v="1090"/>
        <n v="1091"/>
        <n v="1092"/>
        <n v="1093"/>
        <n v="1094"/>
        <n v="1095"/>
        <n v="1096"/>
        <n v="1097"/>
        <n v="1098"/>
        <n v="1099"/>
        <n v="1100"/>
        <n v="1101"/>
        <n v="1102"/>
        <n v="1103"/>
        <n v="1104"/>
        <n v="1105"/>
        <n v="1106"/>
        <n v="1107"/>
        <n v="1108"/>
        <n v="1109"/>
        <n v="1110"/>
        <n v="1111"/>
        <n v="1112"/>
        <n v="1113"/>
        <n v="1114"/>
        <n v="1115"/>
        <n v="1116"/>
        <n v="1117"/>
        <n v="1118"/>
        <n v="1119"/>
        <n v="1120"/>
        <n v="1121"/>
        <n v="1122"/>
        <n v="1123"/>
        <n v="1124"/>
        <n v="1125"/>
        <n v="1126"/>
        <n v="1127"/>
        <n v="1128"/>
        <n v="1129"/>
        <n v="1130"/>
        <n v="1131"/>
        <n v="1132"/>
        <n v="1133"/>
        <n v="1134"/>
        <n v="1135"/>
        <n v="1136"/>
        <n v="1137"/>
        <n v="1138"/>
        <n v="1139"/>
        <n v="1140"/>
        <n v="1141"/>
        <n v="1142"/>
        <n v="1143"/>
        <n v="1144"/>
        <n v="1145"/>
        <n v="1146"/>
        <n v="1147"/>
        <n v="1148"/>
        <n v="1149"/>
        <n v="1150"/>
        <n v="1151"/>
        <n v="1152"/>
        <n v="1153"/>
        <n v="1154"/>
        <n v="1155"/>
        <n v="1156"/>
        <n v="1157"/>
        <n v="1158"/>
        <n v="1159"/>
        <n v="1160"/>
        <n v="1161"/>
        <n v="1162"/>
        <n v="1163"/>
        <n v="1164"/>
        <n v="1165"/>
        <n v="1166"/>
        <n v="1167"/>
        <n v="1168"/>
        <n v="1169"/>
        <n v="1170"/>
        <n v="1171"/>
        <n v="1172"/>
        <n v="1173"/>
        <n v="1174"/>
        <n v="1175"/>
        <n v="1176"/>
        <n v="1177"/>
        <n v="1178"/>
        <n v="1179"/>
        <n v="1180"/>
        <n v="1181"/>
        <n v="1182"/>
        <n v="1183"/>
        <n v="1184"/>
        <n v="1185"/>
        <n v="1186"/>
        <n v="1187"/>
        <n v="1188"/>
        <n v="1189"/>
        <n v="1190"/>
        <n v="1191"/>
        <n v="1192"/>
        <n v="1193"/>
        <n v="1194"/>
        <n v="1195"/>
        <n v="1196"/>
        <n v="1197"/>
        <n v="1198"/>
        <n v="1199"/>
        <n v="1200"/>
        <n v="1201"/>
        <n v="1202"/>
        <n v="1203"/>
        <n v="1204"/>
        <n v="1205"/>
        <n v="1206"/>
        <n v="1207"/>
        <n v="1208"/>
        <n v="1209"/>
        <n v="1210"/>
        <n v="1211"/>
        <n v="1212"/>
        <n v="1213"/>
        <n v="1214"/>
        <n v="1215"/>
        <n v="1216"/>
        <n v="1217"/>
        <n v="1218"/>
        <n v="1219"/>
        <n v="1220"/>
        <n v="1221"/>
        <n v="1222"/>
        <n v="1223"/>
        <n v="1224"/>
        <n v="1225"/>
        <n v="1226"/>
        <n v="1227"/>
        <n v="1228"/>
        <n v="1229"/>
        <n v="1230"/>
        <n v="1231"/>
        <n v="1232"/>
        <n v="1233"/>
        <n v="1234"/>
        <n v="1235"/>
        <n v="1236"/>
        <n v="1237"/>
        <n v="1238"/>
        <n v="1239"/>
        <n v="1240"/>
        <n v="1241"/>
        <n v="1242"/>
        <n v="1243"/>
        <n v="1244"/>
        <n v="1245"/>
        <n v="1246"/>
        <n v="1247"/>
        <n v="1248"/>
        <n v="1249"/>
        <n v="1250"/>
        <n v="1251"/>
        <n v="1252"/>
        <n v="1253"/>
        <n v="1254"/>
        <n v="1255"/>
        <n v="1256"/>
        <n v="1257"/>
        <n v="1258"/>
        <n v="1259"/>
        <n v="1260"/>
        <n v="1261"/>
        <n v="1262"/>
        <n v="1263"/>
        <n v="1264"/>
        <n v="1265"/>
        <n v="1266"/>
        <n v="1267"/>
        <n v="1268"/>
        <n v="1269"/>
        <n v="1270"/>
        <n v="1271"/>
        <n v="1272"/>
        <n v="1273"/>
        <n v="1274"/>
        <n v="1275"/>
        <n v="1276"/>
        <n v="1277"/>
        <n v="1278"/>
        <n v="1279"/>
        <n v="1280"/>
        <n v="1281"/>
        <n v="1282"/>
        <n v="1283"/>
        <n v="1284"/>
        <n v="1285"/>
        <n v="1286"/>
        <n v="1287"/>
        <n v="1288"/>
        <n v="1289"/>
        <n v="1290"/>
        <n v="1291"/>
        <n v="1292"/>
        <n v="1293"/>
        <n v="1294"/>
        <n v="1295"/>
        <n v="1296"/>
        <n v="1297"/>
        <n v="1298"/>
        <n v="1299"/>
        <n v="1300"/>
        <n v="1301"/>
        <n v="1302"/>
        <n v="1303"/>
        <n v="1304"/>
        <n v="1305"/>
        <n v="1306"/>
        <n v="1307"/>
        <n v="1308"/>
        <n v="1309"/>
        <n v="1310"/>
        <n v="1311"/>
        <n v="1312"/>
        <n v="1313"/>
        <n v="1314"/>
        <n v="1315"/>
        <n v="1316"/>
        <n v="1317"/>
        <n v="1318"/>
        <n v="1319"/>
        <n v="1320"/>
        <n v="1321"/>
        <n v="1322"/>
        <n v="1323"/>
        <n v="1324"/>
        <n v="1325"/>
        <n v="1326"/>
        <n v="1327"/>
        <n v="1328"/>
        <n v="1329"/>
        <n v="1330"/>
        <n v="1331"/>
        <n v="1332"/>
        <n v="1333"/>
        <n v="1334"/>
        <n v="1335"/>
        <n v="1336"/>
        <n v="1337"/>
        <n v="1338"/>
        <n v="1339"/>
        <n v="1340"/>
        <n v="1341"/>
        <n v="1342"/>
        <n v="1343"/>
        <n v="1344"/>
        <n v="1345"/>
        <n v="1346"/>
        <n v="1347"/>
        <n v="1348"/>
        <n v="1349"/>
        <n v="1350"/>
        <n v="1351"/>
        <n v="1352"/>
        <n v="1353"/>
        <n v="1354"/>
        <n v="1355"/>
        <n v="1356"/>
        <n v="1357"/>
        <n v="1358"/>
        <n v="1359"/>
        <n v="1360"/>
        <n v="1361"/>
        <n v="1362"/>
        <n v="1363"/>
        <n v="1364"/>
        <n v="1365"/>
        <n v="1366"/>
        <n v="1367"/>
        <n v="1368"/>
        <n v="1369"/>
        <n v="1370"/>
        <n v="1371"/>
        <n v="1372"/>
        <n v="1373"/>
        <n v="1374"/>
        <n v="1375"/>
        <n v="1376"/>
        <n v="1377"/>
        <n v="1378"/>
        <n v="1379"/>
        <n v="1380"/>
        <n v="1381"/>
        <n v="1382"/>
        <n v="1383"/>
        <n v="1384"/>
        <n v="1385"/>
        <n v="1386"/>
        <n v="1387"/>
        <n v="1388"/>
        <n v="1389"/>
        <n v="1390"/>
        <n v="1391"/>
        <n v="1392"/>
        <n v="1393"/>
        <n v="1394"/>
        <n v="1395"/>
        <n v="1396"/>
        <n v="1397"/>
        <n v="1398"/>
        <n v="1399"/>
        <n v="1400"/>
        <n v="1401"/>
        <n v="1402"/>
        <n v="1403"/>
        <n v="1404"/>
        <n v="1405"/>
        <n v="1406"/>
        <n v="1407"/>
        <n v="1408"/>
        <n v="1409"/>
        <n v="1410"/>
        <n v="1411"/>
        <n v="1412"/>
        <n v="1413"/>
        <n v="1414"/>
        <n v="1415"/>
        <n v="1416"/>
        <n v="1417"/>
        <n v="1418"/>
        <n v="1419"/>
        <n v="1420"/>
        <n v="1421"/>
        <n v="1422"/>
        <n v="1423"/>
        <n v="1424"/>
        <n v="1425"/>
        <n v="1426"/>
        <n v="1427"/>
        <n v="1428"/>
        <n v="1429"/>
        <n v="1430"/>
        <n v="1431"/>
        <n v="1432"/>
        <n v="1433"/>
        <n v="1434"/>
        <n v="1435"/>
        <n v="1436"/>
        <n v="1437"/>
        <n v="1438"/>
        <n v="1439"/>
        <n v="1440"/>
        <n v="1441"/>
        <n v="1442"/>
        <n v="1443"/>
        <n v="1444"/>
        <n v="1445"/>
        <n v="1446"/>
        <n v="1447"/>
        <n v="1448"/>
        <n v="1449"/>
        <n v="1450"/>
        <n v="1451"/>
        <n v="1452"/>
        <n v="1453"/>
        <n v="1454"/>
        <n v="1455"/>
        <n v="1456"/>
        <n v="1457"/>
        <n v="1458"/>
        <n v="1459"/>
        <n v="1460"/>
        <n v="1461"/>
        <n v="1462"/>
        <n v="1463"/>
        <n v="1464"/>
        <n v="1465"/>
        <n v="1466"/>
        <n v="1467"/>
        <n v="1468"/>
        <n v="1469"/>
        <n v="1470"/>
        <n v="1471"/>
        <n v="1472"/>
        <n v="1473"/>
        <n v="1474"/>
        <n v="1475"/>
        <n v="1476"/>
        <n v="1477"/>
        <n v="1478"/>
        <n v="1479"/>
        <n v="1480"/>
        <n v="1481"/>
        <n v="1482"/>
        <n v="1483"/>
        <n v="1484"/>
        <n v="1485"/>
        <n v="1486"/>
        <n v="1487"/>
        <n v="1488"/>
        <n v="1489"/>
        <n v="1490"/>
        <n v="1491"/>
        <n v="1492"/>
        <n v="1493"/>
        <n v="1494"/>
        <n v="1495"/>
        <n v="1496"/>
        <n v="1497"/>
        <n v="1498"/>
        <n v="1499"/>
        <n v="1500"/>
        <n v="1501"/>
        <n v="1502"/>
        <n v="1503"/>
        <n v="1504"/>
        <n v="1505"/>
        <n v="1506"/>
        <n v="1507"/>
        <n v="1508"/>
        <n v="1509"/>
        <n v="1510"/>
        <n v="1511"/>
        <n v="1512"/>
        <n v="1513"/>
        <n v="1514"/>
        <n v="1515"/>
        <n v="1516"/>
        <n v="1517"/>
        <n v="1518"/>
        <n v="1519"/>
        <n v="1520"/>
        <n v="1521"/>
        <n v="1522"/>
        <n v="1523"/>
        <n v="1524"/>
        <n v="1525"/>
        <n v="1526"/>
        <n v="1527"/>
        <n v="1528"/>
        <n v="1529"/>
        <n v="1530"/>
        <n v="1531"/>
        <n v="1532"/>
        <n v="1533"/>
        <n v="1534"/>
        <n v="1535"/>
        <n v="1536"/>
        <n v="1537"/>
        <n v="1538"/>
        <n v="1539"/>
        <n v="1540"/>
        <n v="1541"/>
        <n v="1542"/>
        <n v="1543"/>
        <n v="1544"/>
        <n v="1545"/>
        <n v="1546"/>
        <n v="1547"/>
        <n v="1548"/>
        <n v="1549"/>
        <n v="1550"/>
        <n v="1551"/>
        <n v="1552"/>
        <n v="1553"/>
        <n v="1554"/>
        <n v="1555"/>
        <n v="1556"/>
        <n v="1557"/>
        <n v="1558"/>
        <n v="1559"/>
        <n v="1560"/>
        <n v="1561"/>
        <n v="1562"/>
        <n v="1563"/>
        <n v="1564"/>
        <n v="1565"/>
        <n v="1566"/>
        <n v="1567"/>
        <n v="1568"/>
        <n v="1569"/>
        <n v="1570"/>
        <n v="1571"/>
        <n v="1572"/>
        <n v="1573"/>
        <n v="1574"/>
        <n v="1575"/>
        <n v="1576"/>
        <n v="1577"/>
        <n v="1578"/>
        <n v="1579"/>
        <n v="1580"/>
        <n v="1581"/>
        <n v="1582"/>
        <n v="1583"/>
        <n v="1584"/>
        <n v="1585"/>
        <n v="1586"/>
        <n v="1587"/>
        <n v="1588"/>
        <n v="1589"/>
        <n v="1590"/>
        <n v="1591"/>
        <n v="1592"/>
        <n v="1593"/>
        <n v="1594"/>
        <n v="1595"/>
        <n v="1596"/>
        <n v="1597"/>
        <n v="1598"/>
        <n v="1599"/>
        <n v="1600"/>
        <n v="1601"/>
        <n v="1602"/>
        <n v="1603"/>
        <n v="1604"/>
        <n v="1605"/>
        <n v="1606"/>
        <n v="1607"/>
        <n v="1608"/>
        <n v="1609"/>
        <n v="1610"/>
        <n v="1611"/>
        <n v="1612"/>
        <n v="1613"/>
        <n v="1614"/>
        <n v="1615"/>
        <n v="1616"/>
        <n v="1617"/>
        <n v="1618"/>
        <n v="1619"/>
        <n v="1620"/>
        <n v="1621"/>
        <n v="1622"/>
        <n v="1623"/>
        <n v="1624"/>
        <n v="1625"/>
        <n v="1626"/>
        <n v="1627"/>
        <n v="1628"/>
        <n v="1629"/>
        <n v="1630"/>
        <n v="1631"/>
        <n v="1632"/>
        <n v="1633"/>
        <n v="1634"/>
        <n v="1635"/>
        <n v="1636"/>
        <n v="1637"/>
        <n v="1638"/>
        <n v="1639"/>
        <n v="1640"/>
        <n v="1641"/>
        <n v="1642"/>
        <n v="1643"/>
        <n v="1644"/>
        <n v="1645"/>
        <n v="1646"/>
        <n v="1647"/>
        <n v="1648"/>
        <n v="1649"/>
        <n v="1650"/>
        <n v="1651"/>
        <n v="1652"/>
        <n v="1653"/>
        <n v="1654"/>
        <n v="1655"/>
        <n v="1656"/>
        <n v="1657"/>
        <n v="1658"/>
        <n v="1659"/>
        <n v="1660"/>
        <n v="1661"/>
        <n v="1662"/>
        <n v="1663"/>
        <n v="1664"/>
        <n v="1665"/>
        <n v="1666"/>
        <n v="1667"/>
        <n v="1668"/>
        <n v="1669"/>
        <n v="1670"/>
        <n v="1671"/>
        <n v="1672"/>
        <n v="1673"/>
        <n v="1674"/>
        <n v="1675"/>
        <n v="1676"/>
        <n v="1677"/>
        <n v="1678"/>
        <n v="1679"/>
        <n v="1680"/>
        <n v="1681"/>
        <n v="1682"/>
        <n v="1683"/>
        <n v="1684"/>
        <n v="1685"/>
        <n v="1686"/>
        <n v="1687"/>
        <n v="1688"/>
        <n v="1689"/>
        <n v="1690"/>
        <n v="1691"/>
        <n v="1692"/>
        <n v="1693"/>
        <n v="1694"/>
        <n v="1695"/>
        <n v="1696"/>
        <n v="1697"/>
        <n v="1698"/>
        <n v="1699"/>
        <n v="1700"/>
        <n v="1701"/>
        <n v="1702"/>
        <n v="1703"/>
        <n v="1704"/>
        <n v="1705"/>
        <n v="1706"/>
        <n v="1707"/>
        <n v="1708"/>
        <n v="1709"/>
        <n v="1710"/>
        <n v="1711"/>
        <n v="1712"/>
        <n v="1713"/>
        <n v="1714"/>
        <n v="1715"/>
        <n v="1716"/>
        <n v="1717"/>
        <n v="1718"/>
        <n v="1719"/>
        <n v="1720"/>
        <n v="1721"/>
        <n v="1722"/>
        <n v="1723"/>
        <n v="1724"/>
        <n v="1725"/>
        <n v="1726"/>
        <n v="1727"/>
      </sharedItems>
    </cacheField>
    <cacheField name="HasBlank" numFmtId="0">
      <sharedItems containsSemiMixedTypes="0" containsString="0" containsNumber="1" containsInteger="1" minValue="0" maxValue="0" count="1">
        <n v="0"/>
      </sharedItems>
    </cacheField>
    <cacheField name="Record Hash" numFmtId="0">
      <sharedItems containsSemiMixedTypes="0" containsString="0" containsNumber="1" containsInteger="1" minValue="2.6196053641951764E+16" maxValue="1.8445920976651612E+19" count="1728">
        <n v="1.3133697411618935E+19"/>
        <n v="8.0693070611885066E+18"/>
        <n v="7.7464487814607032E+18"/>
        <n v="1.3521715960034032E+19"/>
        <n v="2.968651537565633E+18"/>
        <n v="2.751250382764418E+18"/>
        <n v="1.2815623620917905E+19"/>
        <n v="3.3923062409321114E+18"/>
        <n v="1.5902521162847002E+17"/>
        <n v="7.5549643120105144E+18"/>
        <n v="3.2550429866194673E+18"/>
        <n v="4.8500369611998034E+18"/>
        <n v="9.5881506341029683E+18"/>
        <n v="6.8095099841719112E+18"/>
        <n v="3.9888955232039997E+18"/>
        <n v="3.2696995764500516E+18"/>
        <n v="8.6276464158559867E+18"/>
        <n v="1.4491170516863134E+19"/>
        <n v="1.7427317518457833E+19"/>
        <n v="1.785708336111734E+19"/>
        <n v="1.2436039290828583E+19"/>
        <n v="8.3241806829933199E+18"/>
        <n v="1.5802049012781228E+19"/>
        <n v="1.1548498063459676E+19"/>
        <n v="1.0216536131571739E+19"/>
        <n v="4.9213778311526164E+18"/>
        <n v="1.2973075384672858E+18"/>
        <n v="7.8963551881298524E+18"/>
        <n v="7.7225716287328317E+18"/>
        <n v="6.0831655733990543E+18"/>
        <n v="1.1364710261995336E+19"/>
        <n v="1.0185531336781183E+19"/>
        <n v="1.6763010041216227E+19"/>
        <n v="4.1197245791264589E+18"/>
        <n v="1.4479132597592881E+19"/>
        <n v="1.9320816387548508E+18"/>
        <n v="7.8998029278460129E+18"/>
        <n v="1.723978447142647E+19"/>
        <n v="1.1580604770854328E+19"/>
        <n v="3.5070062262974112E+17"/>
        <n v="5.9769838426347991E+18"/>
        <n v="1.4148016285700272E+19"/>
        <n v="1.3154297598439231E+19"/>
        <n v="3.2304581756024448E+18"/>
        <n v="1.7356058806951334E+19"/>
        <n v="1.1641930788898595E+19"/>
        <n v="7.5094397684830751E+18"/>
        <n v="2.8153615860931441E+18"/>
        <n v="8.7257567148405852E+18"/>
        <n v="8.6977580509942374E+17"/>
        <n v="1.2072621811743295E+19"/>
        <n v="1.2553536168064862E+19"/>
        <n v="2.0942308618225149E+18"/>
        <n v="1.5204856243555451E+19"/>
        <n v="1.0771643108687895E+19"/>
        <n v="5.9279934054682388E+18"/>
        <n v="1.5580807802804683E+19"/>
        <n v="1.360195190645873E+19"/>
        <n v="4.8503701456618056E+18"/>
        <n v="1.82303046922037E+19"/>
        <n v="1.340400365314047E+19"/>
        <n v="1.7473420154919588E+19"/>
        <n v="2.5244207965047818E+18"/>
        <n v="9.4925760492338053E+18"/>
        <n v="1.7086489630791205E+19"/>
        <n v="3.9382553435116339E+18"/>
        <n v="1.8286215098922265E+19"/>
        <n v="7.639309744201557E+18"/>
        <n v="9.1127329450100183E+18"/>
        <n v="1.2028591277770664E+19"/>
        <n v="9.1970131364233636E+18"/>
        <n v="1.4798970437690513E+19"/>
        <n v="1.2595202493185991E+19"/>
        <n v="1.5020006897712523E+19"/>
        <n v="1.9865934501274601E+18"/>
        <n v="7.7355484601243863E+18"/>
        <n v="6.730395491488939E+18"/>
        <n v="1.4366726243761304E+19"/>
        <n v="1.4341548597799565E+19"/>
        <n v="2.6196053641951764E+16"/>
        <n v="2.9910476284391209E+18"/>
        <n v="8.8607404838522143E+18"/>
        <n v="1.1212048784560941E+19"/>
        <n v="2.3429886550015155E+18"/>
        <n v="1.6581453123572134E+18"/>
        <n v="6.731602389980727E+17"/>
        <n v="1.1532720999655295E+19"/>
        <n v="1.2450163528863035E+19"/>
        <n v="1.566513853765682E+19"/>
        <n v="2.8060236881395026E+18"/>
        <n v="4.503813646773077E+18"/>
        <n v="2.6604374555495393E+18"/>
        <n v="1.515068310601044E+19"/>
        <n v="3.7660170017418926E+18"/>
        <n v="7.6019801698242826E+18"/>
        <n v="5.034010344728023E+18"/>
        <n v="1.4193849638934129E+18"/>
        <n v="1.3839584596271493E+19"/>
        <n v="1.5584001283030864E+19"/>
        <n v="7.3698725899046564E+18"/>
        <n v="1.2045050170332867E+19"/>
        <n v="2.2718119682429286E+18"/>
        <n v="1.3486149087848055E+19"/>
        <n v="1.51546632467996E+19"/>
        <n v="1.7115584511633902E+19"/>
        <n v="1.7900982762723246E+19"/>
        <n v="8.8708144087232584E+18"/>
        <n v="1.227080616915743E+18"/>
        <n v="1.8547439154465055E+18"/>
        <n v="8.7747557479626947E+18"/>
        <n v="8.9569731748387366E+17"/>
        <n v="7.2973647904241807E+18"/>
        <n v="5.750954208560809E+17"/>
        <n v="1.4434435632895007E+18"/>
        <n v="3.1473440321988157E+18"/>
        <n v="1.7194262550989087E+19"/>
        <n v="5.9785924541965844E+18"/>
        <n v="1.7518756171936219E+19"/>
        <n v="1.3604788633452618E+19"/>
        <n v="1.3827140927585204E+19"/>
        <n v="1.5849844282153755E+19"/>
        <n v="2.9185442637893647E+18"/>
        <n v="5.3649934374265303E+18"/>
        <n v="8.6656823348733658E+17"/>
        <n v="1.8172412292520298E+19"/>
        <n v="8.4690302446125005E+18"/>
        <n v="7.9565830775493745E+18"/>
        <n v="1.7659784810660014E+19"/>
        <n v="1.5235726812795761E+19"/>
        <n v="1.1742728724180181E+19"/>
        <n v="1.1775166491903832E+19"/>
        <n v="1.9572341892906414E+18"/>
        <n v="1.609761560589697E+19"/>
        <n v="4.0331265153268275E+18"/>
        <n v="3.4948786929608673E+18"/>
        <n v="3.8364667861392302E+18"/>
        <n v="7.2854906129119826E+18"/>
        <n v="1.0876948891249083E+18"/>
        <n v="1.2615419091619168E+19"/>
        <n v="5.5401676407709839E+18"/>
        <n v="1.4492377498607694E+19"/>
        <n v="1.4899345506376864E+19"/>
        <n v="1.3210317192519342E+19"/>
        <n v="4.522081543454591E+18"/>
        <n v="7.5105441205172388E+18"/>
        <n v="1.2300402199556833E+18"/>
        <n v="1.8348255610505129E+18"/>
        <n v="1.109920671361767E+19"/>
        <n v="1.6728901268563931E+19"/>
        <n v="3.5951825595537751E+18"/>
        <n v="3.5968807986627802E+17"/>
        <n v="1.2303568330192093E+19"/>
        <n v="1.2708132073868042E+19"/>
        <n v="3.7780547437659709E+18"/>
        <n v="1.233522225372491E+19"/>
        <n v="1.5286437103977601E+19"/>
        <n v="9.4705714450501898E+18"/>
        <n v="1.4171982731276673E+19"/>
        <n v="1.2515447202006342E+17"/>
        <n v="4.6107446038128942E+18"/>
        <n v="1.7037703447272825E+19"/>
        <n v="1.0945987982591906E+19"/>
        <n v="1.0027106433911546E+19"/>
        <n v="4.1295975244988575E+18"/>
        <n v="1.6890851577701691E+19"/>
        <n v="1.4362907189551852E+19"/>
        <n v="1.4337923970328318E+19"/>
        <n v="6.8350810739044987E+18"/>
        <n v="1.6691371947253871E+19"/>
        <n v="1.7182108402968887E+19"/>
        <n v="5.0248087904310579E+18"/>
        <n v="8.7497729399785789E+18"/>
        <n v="1.8326278981871702E+19"/>
        <n v="9.6035652810765558E+18"/>
        <n v="6.4672321965187482E+18"/>
        <n v="1.0493863285939558E+19"/>
        <n v="1.6145148510147457E+19"/>
        <n v="9.9289890910739374E+18"/>
        <n v="4.5597994206796887E+18"/>
        <n v="1.4439908885688844E+19"/>
        <n v="8.593491650085033E+18"/>
        <n v="1.1677265015041069E+19"/>
        <n v="1.3581801519458505E+19"/>
        <n v="5.9286490421849846E+18"/>
        <n v="1.0919173746949523E+19"/>
        <n v="1.1147639430812742E+19"/>
        <n v="2.6063070053479782E+18"/>
        <n v="1.0542970455399526E+19"/>
        <n v="6.660806373404802E+18"/>
        <n v="2.2403773488239849E+18"/>
        <n v="3.4592747381847255E+18"/>
        <n v="1.338458032307993E+19"/>
        <n v="1.7784591074490132E+19"/>
        <n v="1.2535979661752312E+18"/>
        <n v="8.6013733204806221E+17"/>
        <n v="7.7596419303343718E+17"/>
        <n v="5.0781142600497224E+18"/>
        <n v="9.1240692509495306E+18"/>
        <n v="9.3071426852187832E+18"/>
        <n v="7.3997237213648998E+18"/>
        <n v="4.1868860367524357E+18"/>
        <n v="1.1165952886230684E+19"/>
        <n v="1.2398438125236398E+19"/>
        <n v="1.8562137366821819E+18"/>
        <n v="8.6685242248566292E+18"/>
        <n v="4.6257492060498131E+17"/>
        <n v="1.664408970493661E+19"/>
        <n v="2.852000745327765E+18"/>
        <n v="1.6666773399689011E+19"/>
        <n v="8.8441643419496909E+18"/>
        <n v="1.3907740450334956E+19"/>
        <n v="1.4028672723916329E+19"/>
        <n v="8.3934586404800676E+18"/>
        <n v="4.6389112122152192E+18"/>
        <n v="1.5144468899984325E+19"/>
        <n v="1.7161460280801829E+19"/>
        <n v="4.0249832942172616E+18"/>
        <n v="5.8202894612570675E+18"/>
        <n v="1.0935045488419609E+19"/>
        <n v="1.639523197118739E+19"/>
        <n v="1.6612296469279037E+19"/>
        <n v="1.4957040597431101E+19"/>
        <n v="1.8083414273493381E+19"/>
        <n v="1.7148267064202508E+19"/>
        <n v="1.8019664367999379E+19"/>
        <n v="1.0910557798213802E+18"/>
        <n v="7.0690804757212938E+18"/>
        <n v="8.444430466858241E+18"/>
        <n v="6.2744987166504489E+18"/>
        <n v="1.1687904360858706E+19"/>
        <n v="1.7841054865634542E+19"/>
        <n v="1.3341384017961384E+19"/>
        <n v="3.3170602816819799E+18"/>
        <n v="9.0205869284329124E+18"/>
        <n v="2.9807402481013586E+18"/>
        <n v="3.2400519804772859E+18"/>
        <n v="1.4560326105561295E+19"/>
        <n v="1.1265201975621333E+19"/>
        <n v="4.2789780703373527E+18"/>
        <n v="1.1394657658314179E+19"/>
        <n v="1.0075281683843873E+19"/>
        <n v="3.8179257518042931E+18"/>
        <n v="1.4299430456585253E+19"/>
        <n v="6.0092617955495741E+18"/>
        <n v="9.3701565509857485E+18"/>
        <n v="1.7400639770490278E+19"/>
        <n v="1.359409554790279E+19"/>
        <n v="6.2128655969943828E+18"/>
        <n v="6.499333230597121E+18"/>
        <n v="1.6759024573337209E+19"/>
        <n v="8.806876247495639E+18"/>
        <n v="1.011045009105791E+19"/>
        <n v="4.2195734881572603E+18"/>
        <n v="3.6790793878357084E+18"/>
        <n v="1.3576552632731359E+19"/>
        <n v="9.7519221185825874E+18"/>
        <n v="1.7349674597283946E+19"/>
        <n v="1.4376912359296545E+19"/>
        <n v="1.8283790327917156E+19"/>
        <n v="1.0840853318693794E+19"/>
        <n v="1.4824088052473434E+19"/>
        <n v="1.0603246071605639E+19"/>
        <n v="1.4009563781406243E+19"/>
        <n v="8.1462543592332237E+18"/>
        <n v="1.3775670799681479E+19"/>
        <n v="6.3725202690244485E+18"/>
        <n v="1.5963926044690579E+19"/>
        <n v="1.4184007137867203E+18"/>
        <n v="3.5688229596969185E+18"/>
        <n v="1.0424403218125421E+19"/>
        <n v="1.4714579433162324E+19"/>
        <n v="1.1608306962704511E+19"/>
        <n v="9.8012877614838702E+18"/>
        <n v="1.3716855069460503E+19"/>
        <n v="1.5966676047871571E+17"/>
        <n v="7.5564784862454804E+18"/>
        <n v="9.5894717188978957E+17"/>
        <n v="1.4565225154535039E+19"/>
        <n v="7.6395417002333962E+18"/>
        <n v="3.3102805279897257E+18"/>
        <n v="1.3389069264088844E+19"/>
        <n v="6.1443185017759273E+18"/>
        <n v="9.1427215333503867E+18"/>
        <n v="9.4123791702640845E+18"/>
        <n v="1.2691725290221509E+19"/>
        <n v="1.549039429144611E+19"/>
        <n v="1.4037800467768613E+19"/>
        <n v="5.3600621635045847E+18"/>
        <n v="3.7507104140721427E+17"/>
        <n v="1.1176217096870998E+19"/>
        <n v="1.3670012952132248E+19"/>
        <n v="4.9983010922676009E+18"/>
        <n v="5.2031328486927022E+18"/>
        <n v="1.7681788966125197E+17"/>
        <n v="1.676634192629983E+19"/>
        <n v="7.4666871455007724E+18"/>
        <n v="1.7864666697275118E+19"/>
        <n v="9.4117173540657377E+18"/>
        <n v="1.3259512928080816E+19"/>
        <n v="3.4265141113625528E+18"/>
        <n v="1.2467335875825072E+19"/>
        <n v="3.8350181276576399E+18"/>
        <n v="1.0190886916701153E+19"/>
        <n v="8.8322728035567104E+18"/>
        <n v="6.259097775003861E+18"/>
        <n v="8.8853553599287183E+18"/>
        <n v="6.5218342460157819E+18"/>
        <n v="1.8307205738916745E+19"/>
        <n v="3.6092934042888612E+18"/>
        <n v="7.4541708347354511E+18"/>
        <n v="6.35780176981901E+18"/>
        <n v="1.2959584990580763E+19"/>
        <n v="3.6528146399671757E+18"/>
        <n v="2.6604925609609687E+18"/>
        <n v="2.0468281450568287E+18"/>
        <n v="1.0307311833428707E+19"/>
        <n v="1.55942411746489E+19"/>
        <n v="1.0516268951275999E+19"/>
        <n v="1.1599571944579045E+19"/>
        <n v="1.6000410039027395E+19"/>
        <n v="4.8760452123719639E+18"/>
        <n v="1.1211728739302965E+19"/>
        <n v="1.5815742876986444E+19"/>
        <n v="4.4320835442475668E+18"/>
        <n v="6.5089460576143186E+18"/>
        <n v="1.5158879184210204E+18"/>
        <n v="3.1763868195869706E+18"/>
        <n v="1.8262055047695137E+19"/>
        <n v="1.611945316130866E+19"/>
        <n v="1.3113066346945745E+19"/>
        <n v="3.061088929167337E+18"/>
        <n v="8.1827722194572826E+17"/>
        <n v="1.6004680459064635E+19"/>
        <n v="1.091259524333015E+19"/>
        <n v="1.6534578848210031E+19"/>
        <n v="1.3624223476314192E+19"/>
        <n v="1.3493813308591978E+19"/>
        <n v="1.2593680528316688E+19"/>
        <n v="8.3269124898908826E+18"/>
        <n v="2.69341932196333E+18"/>
        <n v="2.1177086583147622E+18"/>
        <n v="1.1393884535498369E+19"/>
        <n v="2.1875751798286436E+18"/>
        <n v="2.367458807013929E+18"/>
        <n v="1.4805461822166866E+19"/>
        <n v="1.476751383251764E+19"/>
        <n v="1.019927699197475E+19"/>
        <n v="2.8932811073143726E+18"/>
        <n v="1.6472008348357976E+19"/>
        <n v="1.0389578309320921E+19"/>
        <n v="1.4126211026307873E+19"/>
        <n v="1.3510367097083781E+19"/>
        <n v="1.741709419964713E+19"/>
        <n v="2.358050792880236E+18"/>
        <n v="7.0118512364406605E+17"/>
        <n v="7.4581754960385935E+18"/>
        <n v="1.1006356718761213E+18"/>
        <n v="8.2026168661706762E+18"/>
        <n v="1.2581577381782634E+19"/>
        <n v="1.5147412987406004E+19"/>
        <n v="1.555648892021103E+19"/>
        <n v="1.4229612380205438E+17"/>
        <n v="6.8955592199138176E+17"/>
        <n v="1.6137300745612085E+19"/>
        <n v="4.1592353939393951E+18"/>
        <n v="8.4426040837575398E+17"/>
        <n v="4.2385682442962565E+18"/>
        <n v="1.0708851424865482E+18"/>
        <n v="1.0302180229209448E+19"/>
        <n v="1.5810811310843877E+19"/>
        <n v="1.4740121602476562E+19"/>
        <n v="3.0716825698254346E+18"/>
        <n v="9.2419369357316915E+18"/>
        <n v="1.0296844598801185E+19"/>
        <n v="9.2157135097078866E+18"/>
        <n v="1.5318648637117741E+19"/>
        <n v="7.9368184358098483E+18"/>
        <n v="2.9789393021459988E+18"/>
        <n v="1.2247682723834796E+19"/>
        <n v="1.1495445446547122E+19"/>
        <n v="8.8887648880178524E+18"/>
        <n v="3.6479592601012234E+18"/>
        <n v="1.2450942872207473E+19"/>
        <n v="4.5391087635938668E+18"/>
        <n v="2.3830057721699215E+18"/>
        <n v="3.2110132935576018E+18"/>
        <n v="1.3973778675716162E+19"/>
        <n v="1.3355809250506514E+19"/>
        <n v="5.5018610652699935E+18"/>
        <n v="2.1927310930335176E+18"/>
        <n v="2.6884526185241938E+18"/>
        <n v="9.0158142404961014E+18"/>
        <n v="6.4590701703066399E+18"/>
        <n v="1.030937791264299E+19"/>
        <n v="4.0345332705746668E+18"/>
        <n v="1.7631606082773131E+19"/>
        <n v="1.1785757220038377E+19"/>
        <n v="1.5348582724677747E+19"/>
        <n v="3.7780935179991424E+17"/>
        <n v="1.8031321749483172E+18"/>
        <n v="1.4213963253545161E+19"/>
        <n v="1.2423916041983574E+19"/>
        <n v="4.7918775268611379E+18"/>
        <n v="1.3406556850789487E+19"/>
        <n v="4.9635925552008141E+18"/>
        <n v="6.6219758953082962E+18"/>
        <n v="1.6773143447516187E+19"/>
        <n v="9.4196727564627558E+18"/>
        <n v="3.2094244433331953E+18"/>
        <n v="1.4985772448228675E+18"/>
        <n v="1.1617679869024836E+19"/>
        <n v="1.682845992335273E+19"/>
        <n v="1.4566135513024813E+19"/>
        <n v="1.779721192513282E+19"/>
        <n v="1.2488758264450138E+19"/>
        <n v="5.7022804016862249E+18"/>
        <n v="1.2639998365605231E+19"/>
        <n v="1.7095631364965775E+19"/>
        <n v="6.2318077877406515E+18"/>
        <n v="8.201378413852544E+18"/>
        <n v="1.1478412764040036E+19"/>
        <n v="5.6579714409468232E+18"/>
        <n v="1.1281238701567136E+19"/>
        <n v="1.8026297712123021E+19"/>
        <n v="1.2746733836606492E+18"/>
        <n v="1.7491458938796569E+19"/>
        <n v="1.3646370404451365E+19"/>
        <n v="2.6125008455490966E+17"/>
        <n v="5.1438228802886236E+18"/>
        <n v="1.1515459580473659E+19"/>
        <n v="1.8297249419532947E+19"/>
        <n v="1.5311122877213542E+19"/>
        <n v="1.4262839269004351E+19"/>
        <n v="3.3739162897224044E+18"/>
        <n v="2.0828748237818145E+18"/>
        <n v="5.6862979445617193E+18"/>
        <n v="4.2879146048822743E+18"/>
        <n v="3.4973371995749683E+17"/>
        <n v="5.3770220677354982E+17"/>
        <n v="1.3424361662601239E+19"/>
        <n v="9.6203338885059789E+18"/>
        <n v="4.1701345291611315E+18"/>
        <n v="7.1118451087514061E+18"/>
        <n v="1.4980955569152129E+19"/>
        <n v="3.6350871676720517E+18"/>
        <n v="1.339895765188334E+19"/>
        <n v="1.7432756381392296E+19"/>
        <n v="5.6212879133425142E+18"/>
        <n v="1.4328945918387558E+19"/>
        <n v="2.074305953743391E+18"/>
        <n v="1.48675521066263E+19"/>
        <n v="3.4365589717398067E+17"/>
        <n v="1.1980531207923966E+19"/>
        <n v="1.6114080679808283E+19"/>
        <n v="6.9698146519097664E+17"/>
        <n v="7.8757425311688008E+18"/>
        <n v="1.4994449913318361E+19"/>
        <n v="7.5705923893146706E+18"/>
        <n v="1.3092937238704335E+19"/>
        <n v="1.126801298674903E+19"/>
        <n v="5.7511501012004045E+18"/>
        <n v="1.4479107924931039E+19"/>
        <n v="4.4458294344005274E+18"/>
        <n v="3.661387414121111E+18"/>
        <n v="1.7330123798911949E+19"/>
        <n v="7.7816867964140073E+18"/>
        <n v="2.8990727294854303E+18"/>
        <n v="9.4757271713173955E+18"/>
        <n v="1.3920983035599315E+19"/>
        <n v="4.9586097651519683E+18"/>
        <n v="9.5160088404997693E+18"/>
        <n v="9.9642636937926308E+18"/>
        <n v="7.2298040881189171E+18"/>
        <n v="3.3489148631472937E+18"/>
        <n v="7.6449202706417367E+18"/>
        <n v="1.831801547233005E+19"/>
        <n v="3.8370214548538573E+18"/>
        <n v="1.4448211906242159E+19"/>
        <n v="1.1788227117049311E+19"/>
        <n v="2.9005250668281129E+18"/>
        <n v="4.1466890516582185E+18"/>
        <n v="1.9115488240889976E+18"/>
        <n v="7.4231601641087355E+18"/>
        <n v="3.9465580784614989E+17"/>
        <n v="1.3998251879291763E+19"/>
        <n v="2.5837194748316662E+18"/>
        <n v="1.5855891107692024E+19"/>
        <n v="8.6165231132377938E+18"/>
        <n v="3.0962541833368504E+18"/>
        <n v="1.3027973793313405E+19"/>
        <n v="1.6569491798674487E+19"/>
        <n v="7.7913959703938775E+18"/>
        <n v="9.3441573127247278E+18"/>
        <n v="4.8194230495264543E+18"/>
        <n v="2.7443981067691848E+18"/>
        <n v="1.0674353189335714E+19"/>
        <n v="8.9905737926407537E+18"/>
        <n v="2.710812207192553E+18"/>
        <n v="5.410850856203734E+18"/>
        <n v="4.4811946862163517E+18"/>
        <n v="1.3321521661608327E+19"/>
        <n v="1.4508543843990028E+19"/>
        <n v="2.8306587827503703E+18"/>
        <n v="4.4955911912376955E+18"/>
        <n v="5.8135788854707548E+18"/>
        <n v="4.3247925250743291E+18"/>
        <n v="1.5932476120140562E+19"/>
        <n v="4.1882828876401772E+18"/>
        <n v="8.0162434735140628E+18"/>
        <n v="9.1316284669084736E+17"/>
        <n v="7.49105601464928E+17"/>
        <n v="5.1250530665302282E+18"/>
        <n v="6.4431582523722076E+18"/>
        <n v="4.1664963249383322E+18"/>
        <n v="1.6107402479304522E+19"/>
        <n v="1.4487433962187016E+19"/>
        <n v="1.4573491806070327E+19"/>
        <n v="1.3820930799382174E+19"/>
        <n v="1.6530979604552376E+19"/>
        <n v="2.3043403594044242E+18"/>
        <n v="2.559820763019989E+18"/>
        <n v="1.6199230732412244E+19"/>
        <n v="8.1574079519505254E+18"/>
        <n v="1.7952573769122861E+19"/>
        <n v="1.7364238105973041E+19"/>
        <n v="1.0713373071871957E+19"/>
        <n v="1.7490109028259957E+19"/>
        <n v="1.0728598552915565E+19"/>
        <n v="1.2504371569571312E+19"/>
        <n v="1.1746092234709934E+19"/>
        <n v="9.5571122405774029E+18"/>
        <n v="4.8706892520664044E+18"/>
        <n v="3.637000350250092E+18"/>
        <n v="7.6640665100621696E+16"/>
        <n v="1.4616693618786834E+19"/>
        <n v="7.2632073617581691E+18"/>
        <n v="8.4575031015491994E+18"/>
        <n v="1.7976288643425651E+19"/>
        <n v="3.3891151163316291E+18"/>
        <n v="7.982374773430528E+18"/>
        <n v="1.3842291384645452E+19"/>
        <n v="3.8008942518559498E+18"/>
        <n v="4.0934634020373729E+18"/>
        <n v="9.3673247389559767E+18"/>
        <n v="2.5684104213767101E+18"/>
        <n v="1.4141048790436041E+19"/>
        <n v="6.3156885126335232E+18"/>
        <n v="7.2084932102477189E+18"/>
        <n v="1.361966996500779E+19"/>
        <n v="5.0766020411783383E+18"/>
        <n v="6.5737584700060846E+18"/>
        <n v="1.3952493250352175E+19"/>
        <n v="1.7998279287155788E+19"/>
        <n v="5.6410449656105533E+18"/>
        <n v="1.6279984673219109E+19"/>
        <n v="6.2108406638076498E+18"/>
        <n v="3.1779708173461499E+18"/>
        <n v="7.7532834762044375E+18"/>
        <n v="1.078300564175111E+19"/>
        <n v="1.0002884874303646E+19"/>
        <n v="1.2752975386302241E+19"/>
        <n v="2.2827550856531986E+18"/>
        <n v="1.277278710858315E+19"/>
        <n v="9.0098859578859223E+18"/>
        <n v="1.2379760553446998E+19"/>
        <n v="1.763669471199069E+19"/>
        <n v="4.9341242918470943E+18"/>
        <n v="1.2073115965397049E+19"/>
        <n v="4.1045318758456837E+18"/>
        <n v="2.3456343582390646E+18"/>
        <n v="1.7463424076725027E+19"/>
        <n v="1.0705998672021823E+19"/>
        <n v="5.75066850195456E+18"/>
        <n v="1.552883797734537E+19"/>
        <n v="1.1362961370158133E+19"/>
        <n v="7.9931259917578537E+18"/>
        <n v="1.4425524054718169E+19"/>
        <n v="6.8794516398590403E+18"/>
        <n v="8.3169037276355727E+18"/>
        <n v="6.3334228074637629E+18"/>
        <n v="9.6368707416408904E+18"/>
        <n v="3.0514741659637572E+16"/>
        <n v="2.5269139573997967E+18"/>
        <n v="1.4532085843202666E+19"/>
        <n v="1.3297141231380294E+19"/>
        <n v="1.3564345293054073E+19"/>
        <n v="2.5533079831547628E+18"/>
        <n v="9.7740741505585541E+18"/>
        <n v="1.4907259688253649E+19"/>
        <n v="1.1120429582200635E+19"/>
        <n v="1.1152372832191425E+19"/>
        <n v="1.5161107270299214E+19"/>
        <n v="1.4374720682297E+19"/>
        <n v="8.2385690793942784E+18"/>
        <n v="1.7995221747685468E+19"/>
        <n v="1.4455409492137236E+19"/>
        <n v="9.1533972599134403E+18"/>
        <n v="8.3249454498853632E+18"/>
        <n v="9.860427174457858E+18"/>
        <n v="6.9312986716926802E+18"/>
        <n v="3.4430885131871903E+18"/>
        <n v="3.4486995063264522E+18"/>
        <n v="1.4138128980294902E+19"/>
        <n v="1.5914580089463349E+19"/>
        <n v="2.4444905601296691E+18"/>
        <n v="2.5051118136508196E+18"/>
        <n v="1.114581507142185E+19"/>
        <n v="1.3276422939799456E+19"/>
        <n v="1.1054323240530639E+19"/>
        <n v="1.5441468970177681E+19"/>
        <n v="1.8396202115039449E+19"/>
        <n v="9.5968842385376522E+18"/>
        <n v="1.3600359848557396E+19"/>
        <n v="1.5627376877190611E+19"/>
        <n v="1.1764080278473478E+19"/>
        <n v="8.9147837245907528E+18"/>
        <n v="7.9619266683722885E+18"/>
        <n v="2.2793195074016015E+18"/>
        <n v="1.6296140675670888E+19"/>
        <n v="1.7357754788856183E+19"/>
        <n v="5.0898351711342008E+18"/>
        <n v="1.0927020211621971E+18"/>
        <n v="6.8503149553600502E+18"/>
        <n v="1.6679900406838925E+19"/>
        <n v="1.2218464885408031E+18"/>
        <n v="6.3220734520613192E+18"/>
        <n v="3.7767905883393495E+18"/>
        <n v="1.5219788386663145E+18"/>
        <n v="1.4689588294559738E+19"/>
        <n v="8.896584112427092E+18"/>
        <n v="1.3958722795964586E+19"/>
        <n v="6.6575087603081933E+18"/>
        <n v="1.7982478734202081E+19"/>
        <n v="1.6189295727659213E+19"/>
        <n v="1.2627980444965629E+18"/>
        <n v="6.0500616407620209E+18"/>
        <n v="1.5002051399062843E+19"/>
        <n v="1.4898191806734029E+19"/>
        <n v="1.649349086248764E+19"/>
        <n v="5.4081005428401091E+18"/>
        <n v="1.4521660823124089E+19"/>
        <n v="1.4324344072696142E+19"/>
        <n v="1.2947202056848583E+19"/>
        <n v="3.0687561408596209E+18"/>
        <n v="1.5460176559237124E+19"/>
        <n v="9.1981803334009928E+18"/>
        <n v="1.3225976763952607E+19"/>
        <n v="1.6537302223678237E+19"/>
        <n v="5.3708671300202179E+18"/>
        <n v="7.8800201242739845E+18"/>
        <n v="4.0762797856681569E+18"/>
        <n v="1.3354774883646425E+19"/>
        <n v="1.6817794597100751E+19"/>
        <n v="3.3298642413581097E+18"/>
        <n v="3.3062960588010342E+17"/>
        <n v="6.181046286976511E+18"/>
        <n v="4.0761569014761892E+18"/>
        <n v="8.2082796675418102E+18"/>
        <n v="4.1388253694040673E+18"/>
        <n v="1.6765302828219953E+19"/>
        <n v="8.7756762235909939E+18"/>
        <n v="9.844898502820735E+18"/>
        <n v="7.8785766661696276E+18"/>
        <n v="1.5156784651498828E+19"/>
        <n v="9.506641377965654E+18"/>
        <n v="8.1756026119925688E+18"/>
        <n v="2.4646719144795095E+18"/>
        <n v="1.1340219557895124E+18"/>
        <n v="8.9725600208051569E+18"/>
        <n v="8.9578065250934106E+17"/>
        <n v="4.400880449462892E+18"/>
        <n v="2.7175592810588605E+18"/>
        <n v="1.0442707084485693E+19"/>
        <n v="2.7658573587225626E+18"/>
        <n v="8.9753749695635261E+18"/>
        <n v="6.0018365467649495E+18"/>
        <n v="1.5726319638733801E+19"/>
        <n v="1.7831304220298904E+19"/>
        <n v="1.7112387781724858E+19"/>
        <n v="6.5877830451131853E+18"/>
        <n v="1.4573637524209668E+19"/>
        <n v="1.0687480804312697E+19"/>
        <n v="1.4071243557980189E+19"/>
        <n v="6.3369467101993554E+18"/>
        <n v="1.285016716743875E+19"/>
        <n v="3.419931107417918E+18"/>
        <n v="6.6963285858861046E+18"/>
        <n v="1.3608054171445731E+19"/>
        <n v="9.0331614522625997E+18"/>
        <n v="1.2066352240525877E+19"/>
        <n v="4.7351998233697475E+18"/>
        <n v="1.4534952629591091E+19"/>
        <n v="1.5687331744132311E+19"/>
        <n v="1.0708758416339104E+19"/>
        <n v="1.1208550192820414E+19"/>
        <n v="1.5669221411328459E+19"/>
        <n v="6.7527399345859011E+18"/>
        <n v="9.395841978919893E+18"/>
        <n v="1.5665823362453893E+19"/>
        <n v="1.7381684161699471E+19"/>
        <n v="4.6799619241378693E+18"/>
        <n v="3.0774642162002888E+18"/>
        <n v="1.693146785896184E+19"/>
        <n v="9.4974790697520824E+18"/>
        <n v="1.3523563100722162E+19"/>
        <n v="1.1221138770489651E+19"/>
        <n v="1.0032281086671835E+19"/>
        <n v="5.3033608631737836E+18"/>
        <n v="1.2473945420403655E+19"/>
        <n v="1.032727152450946E+19"/>
        <n v="1.6843858329159201E+19"/>
        <n v="1.6048084235809686E+19"/>
        <n v="3.7503255030785311E+18"/>
        <n v="2.1004069203483907E+18"/>
        <n v="5.3643829041791498E+18"/>
        <n v="4.813540873955201E+18"/>
        <n v="8.3534719145821819E+18"/>
        <n v="1.6620748356371983E+18"/>
        <n v="3.3778664319514798E+18"/>
        <n v="2.803317340855937E+18"/>
        <n v="1.1870065069678512E+19"/>
        <n v="1.3351825163501361E+19"/>
        <n v="3.9041142480964004E+18"/>
        <n v="1.596204390389155E+19"/>
        <n v="1.1951758744846764E+19"/>
        <n v="2.5008673134613468E+18"/>
        <n v="2.0383973447055631E+18"/>
        <n v="5.9456296024671373E+17"/>
        <n v="1.615824074212606E+19"/>
        <n v="1.2022016334568782E+19"/>
        <n v="9.08785313238707E+18"/>
        <n v="1.2830362949605282E+19"/>
        <n v="1.3374002711003017E+19"/>
        <n v="1.5632075290557047E+19"/>
        <n v="1.3657788890241513E+19"/>
        <n v="1.3870090037599359E+19"/>
        <n v="1.1264958870338886E+19"/>
        <n v="1.3525489015370068E+18"/>
        <n v="3.9801049485490335E+18"/>
        <n v="1.7430116747603888E+19"/>
        <n v="2.9455715803594182E+17"/>
        <n v="7.564557872976937E+18"/>
        <n v="1.3740285493432103E+19"/>
        <n v="4.5636341684928865E+18"/>
        <n v="1.6421197956200507E+19"/>
        <n v="3.130232911151103E+18"/>
        <n v="1.667243091753235E+19"/>
        <n v="3.9045373691463869E+18"/>
        <n v="1.5524974719395779E+19"/>
        <n v="1.5541612191387378E+19"/>
        <n v="3.8416893951157228E+18"/>
        <n v="1.5007282566661431E+19"/>
        <n v="1.8136470705062599E+19"/>
        <n v="1.2248651166102381E+19"/>
        <n v="9.0008904259591598E+18"/>
        <n v="9.5972359757047931E+18"/>
        <n v="1.5203830836748161E+19"/>
        <n v="1.5740425087584438E+18"/>
        <n v="1.5519013307517786E+19"/>
        <n v="2.1438851394085816E+18"/>
        <n v="1.0424009955317852E+19"/>
        <n v="1.7042541170342083E+19"/>
        <n v="9.3862885143181804E+18"/>
        <n v="1.4768340107001512E+19"/>
        <n v="1.6751517829991023E+19"/>
        <n v="1.4773439896492909E+19"/>
        <n v="8.8942546981663457E+18"/>
        <n v="3.2951768314981524E+18"/>
        <n v="6.6002641301599662E+18"/>
        <n v="1.6793771836297458E+19"/>
        <n v="8.9795478007881759E+18"/>
        <n v="1.1490681668512887E+19"/>
        <n v="8.57430585589265E+18"/>
        <n v="6.0980231930946642E+18"/>
        <n v="1.978628498160704E+18"/>
        <n v="6.8025696114342287E+18"/>
        <n v="1.4321056372720909E+18"/>
        <n v="1.5181203186746225E+19"/>
        <n v="2.5264722285442601E+18"/>
        <n v="1.7800662112171164E+19"/>
        <n v="1.3543944557838334E+19"/>
        <n v="1.2930409579033758E+19"/>
        <n v="1.2421702835056949E+19"/>
        <n v="3.5300310410682358E+18"/>
        <n v="1.038863614946084E+19"/>
        <n v="3.8916047669167017E+18"/>
        <n v="1.3840116185572602E+19"/>
        <n v="1.0449916081454283E+19"/>
        <n v="2.7963502087232952E+18"/>
        <n v="2.8025196535170196E+18"/>
        <n v="8.1604529170594007E+18"/>
        <n v="1.111046025126886E+19"/>
        <n v="1.2184612624753676E+19"/>
        <n v="1.6684766848548119E+19"/>
        <n v="8.6752661312682363E+18"/>
        <n v="9.0151727166520412E+18"/>
        <n v="8.7789691494339195E+18"/>
        <n v="1.7988026061606371E+19"/>
        <n v="7.9556239310876047E+18"/>
        <n v="7.1714527484832205E+18"/>
        <n v="1.6989233062672601E+19"/>
        <n v="1.6627551872463847E+19"/>
        <n v="1.0370536108959295E+19"/>
        <n v="1.1920703338589366E+19"/>
        <n v="8.9525183197588879E+18"/>
        <n v="3.5601576229335588E+18"/>
        <n v="1.2602986395642122E+19"/>
        <n v="4.405517628254059E+18"/>
        <n v="1.4452546209807847E+19"/>
        <n v="1.7506492016438596E+19"/>
        <n v="1.2820919616774326E+19"/>
        <n v="1.7207469100658303E+19"/>
        <n v="1.8037652529813844E+19"/>
        <n v="5.0892656342214267E+18"/>
        <n v="1.1613869492331633E+19"/>
        <n v="1.5815877140319441E+19"/>
        <n v="5.8598070181283348E+18"/>
        <n v="5.1502865157157202E+18"/>
        <n v="2.7600168200011459E+18"/>
        <n v="3.7487189381633884E+18"/>
        <n v="1.3901720723956498E+19"/>
        <n v="1.2878443405183441E+19"/>
        <n v="4.1679481002432717E+18"/>
        <n v="6.3203441586615183E+18"/>
        <n v="3.6158637399140465E+18"/>
        <n v="7.5183743165242624E+18"/>
        <n v="5.9587782126090619E+18"/>
        <n v="1.2936109964525596E+18"/>
        <n v="1.0134997252104565E+19"/>
        <n v="7.0271381486887045E+18"/>
        <n v="1.2145456848492837E+19"/>
        <n v="5.7478338763232123E+18"/>
        <n v="1.041026615540797E+19"/>
        <n v="1.2191543729384888E+19"/>
        <n v="6.967085286567511E+18"/>
        <n v="6.4986725490995681E+18"/>
        <n v="4.2653846631332859E+18"/>
        <n v="6.387919335726422E+18"/>
        <n v="7.8869172603550351E+18"/>
        <n v="5.1517737432938527E+18"/>
        <n v="2.0099769615502884E+18"/>
        <n v="1.6401856686075517E+19"/>
        <n v="1.425410717493113E+19"/>
        <n v="6.5346254062499604E+18"/>
        <n v="1.52083050499927E+19"/>
        <n v="1.0836316076699369E+18"/>
        <n v="1.7721251513864809E+18"/>
        <n v="1.1673351293162666E+19"/>
        <n v="2.6692188769196362E+17"/>
        <n v="5.2138921745880945E+18"/>
        <n v="1.7555773039326511E+19"/>
        <n v="4.4423513427125294E+18"/>
        <n v="1.7094164718420146E+19"/>
        <n v="1.6491709980099164E+19"/>
        <n v="1.7231904501003241E+19"/>
        <n v="5.8809966972860621E+18"/>
        <n v="5.5455132583611894E+18"/>
        <n v="1.1539262387069624E+19"/>
        <n v="6.4731258614748467E+18"/>
        <n v="8.562581253321387E+18"/>
        <n v="1.1077293184794327E+19"/>
        <n v="1.6633853516343065E+19"/>
        <n v="9.7830588507142902E+18"/>
        <n v="1.0607145129559077E+18"/>
        <n v="8.1495934036147743E+18"/>
        <n v="1.8211811804755517E+19"/>
        <n v="1.2000005135370145E+18"/>
        <n v="5.5580373165127875E+18"/>
        <n v="1.2552911113616198E+19"/>
        <n v="1.5727263953896817E+19"/>
        <n v="1.6926056023989846E+19"/>
        <n v="7.7863714550679235E+18"/>
        <n v="1.3071513613441776E+19"/>
        <n v="5.0633246332018708E+18"/>
        <n v="8.8734332786999941E+18"/>
        <n v="1.2834820580596189E+19"/>
        <n v="1.7515800841005664E+19"/>
        <n v="1.6232645051526009E+19"/>
        <n v="8.0827937738065306E+18"/>
        <n v="1.1200787168751669E+19"/>
        <n v="4.541186054497451E+18"/>
        <n v="2.5680387567715942E+18"/>
        <n v="1.0607499566086984E+19"/>
        <n v="1.3588628131780794E+19"/>
        <n v="1.0992756964303379E+18"/>
        <n v="1.6645978484386142E+19"/>
        <n v="1.0138308277915519E+19"/>
        <n v="1.0028669835182275E+19"/>
        <n v="1.6539894792226628E+19"/>
        <n v="1.1878021301430919E+19"/>
        <n v="1.7346060790746862E+18"/>
        <n v="1.2889128038152505E+19"/>
        <n v="3.1848978852377892E+18"/>
        <n v="1.6636368015084206E+19"/>
        <n v="1.8162602094000243E+19"/>
        <n v="1.5604435444167868E+19"/>
        <n v="2.02500398283871E+18"/>
        <n v="1.2749474215265462E+19"/>
        <n v="1.6315100914969074E+19"/>
        <n v="1.7161726174351426E+19"/>
        <n v="1.5082251734678338E+19"/>
        <n v="8.1227961003276227E+18"/>
        <n v="6.2328200379934024E+18"/>
        <n v="1.3947981175758596E+19"/>
        <n v="4.333516654667647E+18"/>
        <n v="1.3037886457031213E+19"/>
        <n v="8.884568474007808E+17"/>
        <n v="7.4302115703605463E+18"/>
        <n v="4.7671912105661061E+18"/>
        <n v="1.2310714171032824E+19"/>
        <n v="1.2816601324435833E+19"/>
        <n v="9.5031389922186936E+18"/>
        <n v="1.0493883414295243E+19"/>
        <n v="8.0068477825882194E+18"/>
        <n v="9.4957359277426565E+18"/>
        <n v="1.6371136349035725E+19"/>
        <n v="1.5909320327445844E+19"/>
        <n v="1.3296814754873211E+19"/>
        <n v="1.0763234442610629E+19"/>
        <n v="1.1124639494630283E+19"/>
        <n v="7.8893927051041802E+18"/>
        <n v="1.5921790621592068E+19"/>
        <n v="1.5197288551196885E+19"/>
        <n v="1.2412877186863198E+19"/>
        <n v="2.3289162473619497E+18"/>
        <n v="2.0241483758357235E+18"/>
        <n v="1.1374331304842203E+19"/>
        <n v="1.6131017875420502E+19"/>
        <n v="7.2323021867153377E+18"/>
        <n v="1.0121409750142011E+19"/>
        <n v="2.5426131814796503E+18"/>
        <n v="1.3149368829965908E+19"/>
        <n v="1.4345911718874221E+19"/>
        <n v="2.9646109826829184E+18"/>
        <n v="6.9486109683102177E+18"/>
        <n v="1.2652864073259903E+19"/>
        <n v="1.7956410902991976E+19"/>
        <n v="2.8874539455154959E+18"/>
        <n v="6.0636208212542771E+18"/>
        <n v="2.8070968195078431E+18"/>
        <n v="1.122859338961492E+18"/>
        <n v="7.7017672061496525E+18"/>
        <n v="9.1158815867174738E+18"/>
        <n v="1.3371020726762275E+19"/>
        <n v="8.1738971945369293E+18"/>
        <n v="1.483884468040157E+19"/>
        <n v="2.1213290491781798E+18"/>
        <n v="1.7134001436799412E+19"/>
        <n v="9.4425054805920584E+18"/>
        <n v="2.6871180458828713E+18"/>
        <n v="5.0724807042025032E+18"/>
        <n v="4.3938487463691756E+18"/>
        <n v="6.5057766567528868E+18"/>
        <n v="1.8811442648599593E+18"/>
        <n v="5.373461840749227E+18"/>
        <n v="7.1576952234914355E+18"/>
        <n v="6.7957566899921838E+18"/>
        <n v="1.1522811165203614E+19"/>
        <n v="7.9199220699344415E+18"/>
        <n v="1.9425516559460337E+18"/>
        <n v="1.5310544463757744E+19"/>
        <n v="4.0920890890682619E+18"/>
        <n v="7.0821539499843418E+17"/>
        <n v="4.1942221342054313E+18"/>
        <n v="9.2703294447672013E+18"/>
        <n v="7.9414366012236913E+18"/>
        <n v="9.4658123376401203E+18"/>
        <n v="3.5161318133862712E+18"/>
        <n v="1.1592915915632777E+19"/>
        <n v="6.4550030771619052E+18"/>
        <n v="2.9036078526451599E+18"/>
        <n v="8.1310457876854753E+18"/>
        <n v="1.3148118984482185E+19"/>
        <n v="6.4055051217854392E+18"/>
        <n v="1.5786920748850057E+19"/>
        <n v="2.7116658679440045E+17"/>
        <n v="6.0194770609438989E+17"/>
        <n v="1.5153920115278989E+19"/>
        <n v="1.4780971963082658E+19"/>
        <n v="5.282149939349674E+18"/>
        <n v="4.8262841026102753E+18"/>
        <n v="3.2968898559633856E+17"/>
        <n v="7.8331828293399921E+18"/>
        <n v="2.4629013824133885E+17"/>
        <n v="1.7037111969276874E+17"/>
        <n v="1.4849794305223389E+19"/>
        <n v="4.9824737362688102E+18"/>
        <n v="1.8019246734818128E+19"/>
        <n v="2.3424288350105006E+18"/>
        <n v="1.8205916909042538E+19"/>
        <n v="1.5843798183029509E+18"/>
        <n v="1.1238151289935131E+19"/>
        <n v="1.8296413411451197E+19"/>
        <n v="1.722596652324598E+19"/>
        <n v="1.0464010594931331E+19"/>
        <n v="1.663092408310697E+19"/>
        <n v="4.0636044623567887E+18"/>
        <n v="2.9568526228702147E+18"/>
        <n v="5.3323618330315807E+18"/>
        <n v="1.4288006940193421E+19"/>
        <n v="4.953912164985898E+18"/>
        <n v="8.7945466692221686E+18"/>
        <n v="1.8252508144851014E+19"/>
        <n v="6.4733045365350144E+18"/>
        <n v="1.2112360384138097E+19"/>
        <n v="3.3306495862766684E+18"/>
        <n v="1.7505530121298188E+19"/>
        <n v="6.6609075372290744E+18"/>
        <n v="1.7737125881375269E+19"/>
        <n v="1.3456579643801514E+19"/>
        <n v="1.4140641768394721E+18"/>
        <n v="4.8762739479537101E+18"/>
        <n v="1.3163262204846017E+19"/>
        <n v="1.6227433228119493E+19"/>
        <n v="6.2322502075554755E+18"/>
        <n v="8.9828175966337085E+18"/>
        <n v="1.6478539814670208E+18"/>
        <n v="1.8175709717605505E+19"/>
        <n v="1.7963496964124257E+18"/>
        <n v="1.832399428643156E+19"/>
        <n v="8.9131536785011876E+18"/>
        <n v="3.7015499921946895E+18"/>
        <n v="5.7221492001538591E+18"/>
        <n v="1.1824521847417762E+19"/>
        <n v="1.5663807744000897E+19"/>
        <n v="8.1386918226531799E+18"/>
        <n v="1.4681895374859356E+18"/>
        <n v="1.7898253874176535E+19"/>
        <n v="1.7683568416485955E+18"/>
        <n v="1.3449294889064696E+19"/>
        <n v="1.5557854101903364E+19"/>
        <n v="1.3834426178598945E+19"/>
        <n v="1.1761079649211705E+19"/>
        <n v="6.7825782810478899E+18"/>
        <n v="5.5659769572415283E+18"/>
        <n v="1.2543540313123533E+19"/>
        <n v="3.6435292911101763E+18"/>
        <n v="1.2305280186554937E+19"/>
        <n v="2.8108854406925292E+18"/>
        <n v="9.0865729988823419E+18"/>
        <n v="1.3218767846658626E+19"/>
        <n v="1.0768435569306673E+19"/>
        <n v="1.6128277375491881E+19"/>
        <n v="1.0483434145039878E+18"/>
        <n v="9.0613579804888412E+18"/>
        <n v="3.5514019745793644E+18"/>
        <n v="5.1084730781710848E+17"/>
        <n v="3.2097906698031841E+18"/>
        <n v="1.6203533642583839E+19"/>
        <n v="1.4422445767709067E+19"/>
        <n v="6.4484310173595668E+18"/>
        <n v="4.2337469418841805E+18"/>
        <n v="2.9781701953588014E+18"/>
        <n v="6.0892280577848443E+18"/>
        <n v="1.1188515753173074E+19"/>
        <n v="1.0355745213738193E+19"/>
        <n v="2.0053491482497989E+18"/>
        <n v="2.4923302875345239E+18"/>
        <n v="1.4928936751634055E+19"/>
        <n v="7.9542686132461425E+18"/>
        <n v="2.5062923197576238E+18"/>
        <n v="1.2244403771253826E+19"/>
        <n v="7.621549384009602E+18"/>
        <n v="1.7449871498550204E+19"/>
        <n v="1.1929858667225565E+19"/>
        <n v="1.1580258115809145E+19"/>
        <n v="4.4086897966820982E+18"/>
        <n v="1.392543908642365E+19"/>
        <n v="1.3903997865964874E+19"/>
        <n v="1.026237113970292E+18"/>
        <n v="1.8770121598481869E+18"/>
        <n v="1.3913174222823291E+19"/>
        <n v="2.8463835842518374E+18"/>
        <n v="9.5312261616504422E+18"/>
        <n v="1.0940933169409212E+19"/>
        <n v="1.5118098592937183E+19"/>
        <n v="2.3542890034036884E+18"/>
        <n v="8.6405792400192358E+18"/>
        <n v="5.9669246266169856E+18"/>
        <n v="1.3021729748738621E+19"/>
        <n v="1.3178001732707181E+19"/>
        <n v="8.6711043298615798E+18"/>
        <n v="2.2696067938133056E+18"/>
        <n v="1.4667242444435431E+19"/>
        <n v="1.2965591626285556E+19"/>
        <n v="2.7399616275215519E+18"/>
        <n v="7.0215907657171302E+18"/>
        <n v="5.366400456230101E+18"/>
        <n v="4.5922170760722038E+18"/>
        <n v="1.1166186653514156E+19"/>
        <n v="1.3972039237388724E+19"/>
        <n v="8.0476686283711836E+18"/>
        <n v="3.3190835806615174E+17"/>
        <n v="2.8425054198279104E+17"/>
        <n v="1.5085579549688132E+19"/>
        <n v="4.8912569848103404E+18"/>
        <n v="6.0921142475809843E+18"/>
        <n v="2.7859951807905582E+18"/>
        <n v="6.2297174429979587E+18"/>
        <n v="5.1457017370504366E+18"/>
        <n v="7.5325293069340805E+18"/>
        <n v="3.026239370074902E+18"/>
        <n v="7.319964383425579E+18"/>
        <n v="1.2903425685232032E+19"/>
        <n v="1.3820264569797327E+19"/>
        <n v="5.4813640715187599E+18"/>
        <n v="1.6476511723314799E+19"/>
        <n v="8.9600132001038285E+18"/>
        <n v="8.874582392008062E+18"/>
        <n v="6.2619929925134848E+18"/>
        <n v="1.2559657755492559E+19"/>
        <n v="9.6778369779483464E+18"/>
        <n v="1.66547740609466E+19"/>
        <n v="6.1481518140528701E+18"/>
        <n v="3.075747783831552E+18"/>
        <n v="4.4601052131857357E+18"/>
        <n v="4.0331197319277261E+18"/>
        <n v="1.6620468994396199E+19"/>
        <n v="1.3154479787171285E+19"/>
        <n v="4.1366709125792594E+18"/>
        <n v="8.9235296302636063E+18"/>
        <n v="7.7254373050421412E+18"/>
        <n v="1.0154827622908393E+19"/>
        <n v="5.0274528549549885E+18"/>
        <n v="8.0099969591300178E+18"/>
        <n v="1.5510535594152444E+19"/>
        <n v="1.2078575105165763E+19"/>
        <n v="1.6292763842589002E+19"/>
        <n v="5.6322599944028856E+18"/>
        <n v="6.368974378703018E+18"/>
        <n v="2.6924294298934769E+18"/>
        <n v="1.6312114223009249E+19"/>
        <n v="1.0707791126413571E+18"/>
        <n v="1.4448291800298889E+19"/>
        <n v="1.0566587104811438E+19"/>
        <n v="1.0447531359620235E+19"/>
        <n v="1.7249833676437197E+19"/>
        <n v="1.2431174467809264E+19"/>
        <n v="1.6695961263210609E+18"/>
        <n v="1.4155210885294176E+19"/>
        <n v="1.4887123075521233E+19"/>
        <n v="1.852284824980352E+18"/>
        <n v="9.4299560569697014E+18"/>
        <n v="1.1095798916477731E+19"/>
        <n v="1.562175589395917E+19"/>
        <n v="3.81110548890592E+18"/>
        <n v="9.510786887395883E+18"/>
        <n v="1.5550108877903423E+19"/>
        <n v="8.8825410443605719E+18"/>
        <n v="1.3286241061755341E+19"/>
        <n v="8.006235323550848E+18"/>
        <n v="1.160679777374847E+19"/>
        <n v="7.100264224029056E+18"/>
        <n v="1.5503346881752663E+18"/>
        <n v="1.7029228657686968E+19"/>
        <n v="1.6677097095198226E+19"/>
        <n v="2.4725425131701688E+18"/>
        <n v="1.3477306995096181E+19"/>
        <n v="1.8012267944036096E+18"/>
        <n v="1.2498242428553908E+19"/>
        <n v="1.7431597813162469E+19"/>
        <n v="8.8245603511655608E+18"/>
        <n v="1.1897453418797693E+19"/>
        <n v="1.1641763392653853E+19"/>
        <n v="1.0916419165521347E+19"/>
        <n v="1.1731544702578831E+19"/>
        <n v="1.701697200045048E+19"/>
        <n v="3.8367736564256942E+18"/>
        <n v="9.0566156023458406E+17"/>
        <n v="2.1017175762610531E+17"/>
        <n v="1.6658040545641986E+19"/>
        <n v="1.5997108618226543E+19"/>
        <n v="2.6366756398999066E+18"/>
        <n v="1.2949485001941512E+19"/>
        <n v="1.0519265088586281E+19"/>
        <n v="1.0492380181583528E+19"/>
        <n v="1.1290775508321618E+19"/>
        <n v="1.4444969303005919E+19"/>
        <n v="1.6205497442536442E+19"/>
        <n v="1.2375554425425592E+19"/>
        <n v="7.3267353604020941E+17"/>
        <n v="1.5841787263185917E+18"/>
        <n v="7.3265528520081111E+18"/>
        <n v="7.6445128341025434E+18"/>
        <n v="9.5961192775833539E+18"/>
        <n v="6.2185232765724467E+18"/>
        <n v="1.5593959710035964E+19"/>
        <n v="1.6628962877696606E+19"/>
        <n v="1.752516791242529E+19"/>
        <n v="9.292442300222551E+17"/>
        <n v="3.4658461404585114E+18"/>
        <n v="1.0481391161621135E+19"/>
        <n v="7.2991261242119895E+18"/>
        <n v="1.5257172188749173E+19"/>
        <n v="1.1577617329612315E+19"/>
        <n v="1.3487861632875416E+17"/>
        <n v="1.4015330190735188E+18"/>
        <n v="5.2627104047756155E+18"/>
        <n v="1.1626365374228527E+19"/>
        <n v="5.317101526239743E+18"/>
        <n v="7.3826204647772457E+18"/>
        <n v="9.4636037020434493E+18"/>
        <n v="6.5145388413529364E+18"/>
        <n v="3.1595540898749036E+18"/>
        <n v="8.1217078818998743E+18"/>
        <n v="1.1958307930192282E+19"/>
        <n v="1.4055922459379485E+19"/>
        <n v="1.0346175607812891E+19"/>
        <n v="1.2783325709493934E+19"/>
        <n v="6.4182290819124357E+18"/>
        <n v="6.1210537143635415E+18"/>
        <n v="3.0913805175409664E+18"/>
        <n v="1.3948166469725229E+19"/>
        <n v="1.5171386334560406E+19"/>
        <n v="1.2092751157120532E+19"/>
        <n v="2.4639995893124357E+18"/>
        <n v="8.1245872155005069E+17"/>
        <n v="1.4927796543625431E+18"/>
        <n v="1.7621625165376893E+18"/>
        <n v="5.5806198892643983E+18"/>
        <n v="1.3734879052899596E+19"/>
        <n v="1.3467143553844867E+19"/>
        <n v="1.5881277043178353E+18"/>
        <n v="1.6697802640500849E+19"/>
        <n v="9.6595309900549939E+18"/>
        <n v="1.6999345741588296E+19"/>
        <n v="8.4165537274030633E+18"/>
        <n v="1.5686828451111438E+19"/>
        <n v="1.3700347229891764E+19"/>
        <n v="6.3897429874880584E+18"/>
        <n v="1.7702048514684051E+19"/>
        <n v="3.3167639263927572E+18"/>
        <n v="1.6561238844898626E+19"/>
        <n v="1.4385791693494972E+19"/>
        <n v="1.1898871614460703E+19"/>
        <n v="2.1253311807431104E+18"/>
        <n v="8.7600211119425669E+18"/>
        <n v="1.2797330375948681E+19"/>
        <n v="1.2629996334738282E+19"/>
        <n v="1.7746158872358454E+18"/>
        <n v="1.6605470637842219E+19"/>
        <n v="5.6141161717009029E+18"/>
        <n v="5.2046947999988429E+18"/>
        <n v="1.1057950516407551E+18"/>
        <n v="1.5316032473155254E+19"/>
        <n v="4.9522103702758666E+18"/>
        <n v="2.3290277639300792E+18"/>
        <n v="1.2008722332460552E+18"/>
        <n v="1.3343592247075633E+19"/>
        <n v="3.1490061310687918E+18"/>
        <n v="3.4049860439603881E+18"/>
        <n v="6.5142818928459674E+18"/>
        <n v="1.3498330121136824E+19"/>
        <n v="1.8251120284505985E+19"/>
        <n v="1.2682635857611069E+19"/>
        <n v="1.7389521517115886E+19"/>
        <n v="5.4463179249501594E+18"/>
        <n v="8.0529051259280251E+18"/>
        <n v="1.5221600015170605E+19"/>
        <n v="1.2568599301863399E+19"/>
        <n v="5.9113950638202747E+18"/>
        <n v="1.2928693349440715E+19"/>
        <n v="1.0224018787505934E+19"/>
        <n v="1.3886056836394899E+19"/>
        <n v="1.6420248706957775E+19"/>
        <n v="7.9764881934561475E+18"/>
        <n v="3.2370002713819812E+18"/>
        <n v="1.0465636709211365E+19"/>
        <n v="2.4373936891413929E+18"/>
        <n v="8.9428826564841306E+17"/>
        <n v="4.820544710118612E+18"/>
        <n v="3.6772230924952801E+18"/>
        <n v="1.2891524032821359E+19"/>
        <n v="9.6242383222387692E+18"/>
        <n v="1.5214678080007199E+19"/>
        <n v="1.7652070220967051E+19"/>
        <n v="1.3082210832518719E+19"/>
        <n v="6.993101073147648E+18"/>
        <n v="1.3661859599321715E+19"/>
        <n v="1.1028393812285641E+19"/>
        <n v="1.448719564340803E+19"/>
        <n v="1.3488589335984466E+19"/>
        <n v="3.1013504355982792E+18"/>
        <n v="8.2586619753351188E+18"/>
        <n v="8.2394291304588718E+18"/>
        <n v="2.8148520545658214E+18"/>
        <n v="2.7616306618623795E+18"/>
        <n v="1.3873645638083764E+19"/>
        <n v="9.3527509644962898E+18"/>
        <n v="1.0159716200026049E+19"/>
        <n v="1.3738805986134307E+19"/>
        <n v="1.6043453240524734E+19"/>
        <n v="1.5612943434409257E+18"/>
        <n v="4.4428717781884032E+17"/>
        <n v="9.1365969166571448E+18"/>
        <n v="6.7161965528692173E+18"/>
        <n v="9.263504731949781E+18"/>
        <n v="2.690984978503828E+18"/>
        <n v="1.7036260560316499E+17"/>
        <n v="7.3453261672681574E+18"/>
        <n v="1.1823063538482631E+19"/>
        <n v="1.2669736709645128E+19"/>
        <n v="9.6830053847395226E+18"/>
        <n v="1.3898373924473311E+19"/>
        <n v="1.8383358986595017E+19"/>
        <n v="1.4964409523698573E+19"/>
        <n v="1.4013415817344479E+19"/>
        <n v="1.5048741517950669E+17"/>
        <n v="9.9663009283179356E+18"/>
        <n v="7.6814299484102595E+18"/>
        <n v="5.9094321846298481E+18"/>
        <n v="3.581003285668737E+18"/>
        <n v="3.1949995527301478E+18"/>
        <n v="1.0509424485028671E+19"/>
        <n v="8.3408005757218836E+18"/>
        <n v="8.6501763265706419E+17"/>
        <n v="1.4156189517436195E+19"/>
        <n v="1.562395462814867E+19"/>
        <n v="4.4764774700644675E+18"/>
        <n v="4.4633900542251597E+18"/>
        <n v="1.2570401538150322E+19"/>
        <n v="3.734709105476137E+17"/>
        <n v="1.6649235636287728E+19"/>
        <n v="3.021348582517717E+18"/>
        <n v="1.5972900379780246E+19"/>
        <n v="5.9703855857701059E+18"/>
        <n v="1.5803574939087406E+18"/>
        <n v="1.3757372219250924E+19"/>
        <n v="5.4280569492168998E+17"/>
        <n v="2.2242379937855319E+18"/>
        <n v="1.3416991876906977E+19"/>
        <n v="1.6607205622619535E+18"/>
        <n v="4.9163330872259256E+18"/>
        <n v="3.3051926034662697E+18"/>
        <n v="2.4772628273380096E+18"/>
        <n v="2.6610377852846198E+18"/>
        <n v="1.5420879299687012E+19"/>
        <n v="1.0380137367304528E+19"/>
        <n v="9.1907026909455462E+18"/>
        <n v="1.4063578081605226E+19"/>
        <n v="1.4598061482171356E+18"/>
        <n v="9.5052660893243023E+18"/>
        <n v="5.6194897859461827E+18"/>
        <n v="1.1481150429310026E+19"/>
        <n v="1.2028323976724539E+19"/>
        <n v="1.2423880575301186E+19"/>
        <n v="3.2158166629276134E+18"/>
        <n v="1.7984349886670809E+19"/>
        <n v="1.1409693316234099E+19"/>
        <n v="3.1027317833505638E+18"/>
        <n v="7.8865184694416691E+18"/>
        <n v="3.8308939744939712E+17"/>
        <n v="1.8332535638537609E+19"/>
        <n v="1.3830927903779975E+19"/>
        <n v="1.5097277276769933E+19"/>
        <n v="1.7495805549199225E+19"/>
        <n v="8.1523561855302564E+18"/>
        <n v="6.215487775145899E+18"/>
        <n v="1.2628107422616848E+19"/>
        <n v="1.6564747897027584E+19"/>
        <n v="3.0720541682585933E+18"/>
        <n v="1.4037845114333161E+19"/>
        <n v="1.7530982365573513E+19"/>
        <n v="1.3738174166702842E+19"/>
        <n v="1.0067552545004151E+19"/>
        <n v="5.2778678743544883E+18"/>
        <n v="5.5199539526893486E+18"/>
        <n v="5.7559023801375877E+18"/>
        <n v="1.6649793282264338E+19"/>
        <n v="1.1951850982408761E+19"/>
        <n v="1.1128049656112331E+19"/>
        <n v="1.1747957659544901E+18"/>
        <n v="1.2615786163696435E+19"/>
        <n v="1.130620450090795E+19"/>
        <n v="1.40305356666751E+19"/>
        <n v="1.5861577071624186E+19"/>
        <n v="7.6441433350892677E+18"/>
        <n v="7.3376564728502774E+18"/>
        <n v="1.834536855296164E+19"/>
        <n v="1.1384515012388551E+19"/>
        <n v="1.3590233711566881E+19"/>
        <n v="9.6798568890905764E+18"/>
        <n v="1.5788048186583402E+19"/>
        <n v="5.445235862180396E+18"/>
        <n v="1.5939062027130434E+19"/>
        <n v="2.9088889273998822E+18"/>
        <n v="6.2892256797310792E+18"/>
        <n v="1.2189016366322498E+19"/>
        <n v="3.374263428684693E+18"/>
        <n v="7.9479222797926011E+18"/>
        <n v="7.2721593871170652E+18"/>
        <n v="1.0582318168194081E+19"/>
        <n v="1.1133106584082733E+19"/>
        <n v="4.8008556504775107E+18"/>
        <n v="4.5383692526905385E+18"/>
        <n v="6.9673385867123917E+18"/>
        <n v="2.2416186942067994E+18"/>
        <n v="1.1113672683583109E+17"/>
        <n v="1.1150389037167972E+19"/>
        <n v="9.6687474991826458E+17"/>
        <n v="9.4991135571099648E+18"/>
        <n v="3.0398952380961659E+18"/>
        <n v="1.1972726581755101E+19"/>
        <n v="7.3728752722060728E+18"/>
        <n v="1.2976963102475344E+19"/>
        <n v="2.7231712779032402E+18"/>
        <n v="4.8372739036990577E+18"/>
        <n v="1.8730938770871747E+18"/>
        <n v="5.7072448855192125E+18"/>
        <n v="1.1012985381765755E+19"/>
        <n v="1.3064658660660427E+19"/>
        <n v="1.5627946296890253E+19"/>
        <n v="6.2827493431248374E+18"/>
        <n v="4.228102917939817E+17"/>
        <n v="1.2319281364489705E+19"/>
        <n v="5.7880872055732838E+18"/>
        <n v="1.2419844530850087E+19"/>
        <n v="2.7962897021186191E+18"/>
        <n v="7.1014691262150574E+18"/>
        <n v="1.0755342326375848E+19"/>
        <n v="1.9216944148666629E+18"/>
        <n v="1.1593258071521198E+18"/>
        <n v="3.0153387594245166E+18"/>
        <n v="1.5987936609564568E+19"/>
        <n v="6.2145044623186995E+18"/>
        <n v="1.567147084954718E+19"/>
        <n v="5.2528030885224438E+18"/>
        <n v="1.553592550564351E+19"/>
        <n v="2.6579983194890496E+18"/>
        <n v="8.0718318108078797E+18"/>
        <n v="2.888220484727273E+18"/>
        <n v="1.1987327681131301E+19"/>
        <n v="1.6259492251590961E+19"/>
        <n v="1.4258672256723829E+19"/>
        <n v="1.8257966346250277E+19"/>
        <n v="1.3383592662918595E+19"/>
        <n v="7.4949077488817367E+18"/>
        <n v="1.6999202332878803E+19"/>
        <n v="1.2039866436192033E+19"/>
        <n v="7.1490898847346258E+18"/>
        <n v="1.7578344010718351E+19"/>
        <n v="5.3537648486249165E+18"/>
        <n v="6.9296599454300549E+18"/>
        <n v="1.5811728659631567E+19"/>
        <n v="1.3737684688552518E+19"/>
        <n v="1.7919475647292E+19"/>
        <n v="9.6948249367360922E+18"/>
        <n v="1.0051240177238759E+19"/>
        <n v="5.0058488719857244E+18"/>
        <n v="4.3028336618156672E+18"/>
        <n v="1.5284753455255654E+19"/>
        <n v="1.4924090393136663E+19"/>
        <n v="1.4192732350817534E+19"/>
        <n v="7.6373447191982003E+17"/>
        <n v="3.4009397017434765E+17"/>
        <n v="2.6363021549886556E+18"/>
        <n v="1.7029889299065154E+19"/>
        <n v="4.7228735839684741E+18"/>
        <n v="1.2901677330236068E+19"/>
        <n v="4.5990264808178408E+16"/>
        <n v="1.0416534213450459E+19"/>
        <n v="1.5948769535191671E+19"/>
        <n v="1.414184707048279E+19"/>
        <n v="1.4439449089715966E+19"/>
        <n v="8.8163785896688671E+18"/>
        <n v="9.9690432394751324E+18"/>
        <n v="1.2021285980335596E+19"/>
        <n v="1.026415740318286E+19"/>
        <n v="1.3503484367623789E+19"/>
        <n v="1.5023488596860674E+19"/>
        <n v="1.4065097709659179E+19"/>
        <n v="1.3095366750290981E+19"/>
        <n v="2.7950488052414833E+18"/>
        <n v="1.8445920976651612E+19"/>
        <n v="2.0339826226448801E+18"/>
        <n v="1.7654083933998707E+18"/>
        <n v="1.6824756613751267E+19"/>
        <n v="1.0447596320302111E+19"/>
        <n v="1.0075737232506616E+19"/>
        <n v="8.034126138712824E+16"/>
        <n v="1.723312022643719E+19"/>
        <n v="1.7371442863357823E+19"/>
        <n v="1.5439561337930856E+19"/>
        <n v="3.1627670213127578E+18"/>
        <n v="1.4559616833700608E+19"/>
        <n v="1.6375485355376785E+19"/>
        <n v="8.8814018389101251E+18"/>
        <n v="1.11594226438691E+19"/>
        <n v="1.3155980213599189E+19"/>
        <n v="1.7886775214532233E+19"/>
        <n v="1.2785866516477778E+19"/>
        <n v="1.6319223252878088E+18"/>
        <n v="4.159710723375126E+18"/>
        <n v="7.0013024839909407E+18"/>
        <n v="1.2819096523889121E+19"/>
        <n v="9.2996157026705472E+17"/>
        <n v="5.4274823079601367E+18"/>
        <n v="1.8365218484252447E+18"/>
        <n v="1.6847943617031072E+17"/>
        <n v="1.3747370558412954E+19"/>
        <n v="1.8184642983566387E+19"/>
        <n v="1.0473907090597036E+19"/>
        <n v="1.2819315229762816E+19"/>
        <n v="4.5759294557294776E+18"/>
        <n v="5.0455330277669079E+18"/>
        <n v="1.5096164555750226E+19"/>
        <n v="1.3154574846261248E+19"/>
        <n v="1.5221068952341926E+19"/>
        <n v="1.1400243975090176E+19"/>
        <n v="1.8178994084690911E+19"/>
        <n v="7.9554743926536008E+18"/>
        <n v="1.2278395663172528E+19"/>
        <n v="1.6195754556265419E+19"/>
        <n v="4.3916195228014355E+17"/>
        <n v="4.3605945848012557E+17"/>
        <n v="6.1971629411897989E+18"/>
        <n v="2.2822384258566039E+18"/>
        <n v="1.272563608642782E+19"/>
        <n v="1.7755476845089067E+19"/>
        <n v="4.7890614447758316E+18"/>
        <n v="5.923365086516457E+17"/>
        <n v="1.3107935443819383E+19"/>
        <n v="6.5942672627089951E+18"/>
        <n v="4.1166749545575334E+17"/>
        <n v="1.5189514173243056E+19"/>
        <n v="1.6606051557502038E+19"/>
        <n v="2.5843243645169777E+18"/>
        <n v="1.5234797864663079E+19"/>
        <n v="2.7009004658392682E+17"/>
        <n v="2.7481375585766154E+18"/>
        <n v="1.3022234013383434E+19"/>
        <n v="5.0019325209013535E+18"/>
        <n v="1.707852441602286E+19"/>
        <n v="6.3593081041815782E+17"/>
        <n v="1.7297423284753154E+19"/>
        <n v="3.4628638332005805E+17"/>
        <n v="1.1993607229711247E+19"/>
        <n v="3.8290323519504635E+18"/>
        <n v="7.4518994369673277E+18"/>
        <n v="6.9155265948756572E+18"/>
        <n v="1.3836636519192482E+19"/>
        <n v="1.3419420101300455E+19"/>
        <n v="8.5443703859336366E+18"/>
        <n v="6.749327132253738E+18"/>
        <n v="1.6270208312969509E+19"/>
        <n v="5.8837439080785091E+18"/>
        <n v="5.7345072216640604E+18"/>
        <n v="7.6323451526970194E+18"/>
        <n v="3.0482058612574408E+18"/>
        <n v="4.2032936707010038E+18"/>
        <n v="2.0669058232740495E+18"/>
        <n v="5.7248989003330202E+18"/>
        <n v="9.4465895595109929E+18"/>
        <n v="1.3090357216741796E+18"/>
        <n v="2.638416843722135E+18"/>
        <n v="1.8134148723304829E+19"/>
        <n v="1.7010332541876281E+19"/>
        <n v="1.6473604655065977E+19"/>
        <n v="5.4853818808089989E+18"/>
        <n v="1.8084340429320884E+19"/>
        <n v="1.5116079515136162E+19"/>
        <n v="5.2835179397620173E+18"/>
        <n v="7.1936172549307177E+18"/>
        <n v="9.123197810117291E+18"/>
        <n v="1.3012164599669772E+19"/>
        <n v="1.5076881620937505E+19"/>
        <n v="1.6493423137005117E+18"/>
        <n v="8.8480670537520978E+18"/>
        <n v="1.2098446856693228E+19"/>
        <n v="6.2095844093338296E+18"/>
        <n v="4.5232655702573266E+18"/>
        <n v="9.7125864315234591E+18"/>
        <n v="1.4144271004418136E+19"/>
        <n v="1.4240558667691672E+19"/>
        <n v="4.5694169841793961E+18"/>
        <n v="4.4542113063948549E+18"/>
        <n v="8.1213571478197187E+18"/>
        <n v="1.7849922302972369E+19"/>
        <n v="1.6616705232886461E+18"/>
        <n v="1.0282292655611558E+19"/>
        <n v="3.3881790958641267E+17"/>
        <n v="5.594140189976318E+18"/>
        <n v="1.2731308671529198E+19"/>
        <n v="1.2852037777841842E+19"/>
        <n v="6.5395091737667205E+18"/>
        <n v="5.5131571440237025E+18"/>
        <n v="1.7636246899390986E+19"/>
        <n v="1.227426443989702E+19"/>
        <n v="9.4676098691593728E+18"/>
        <n v="7.7739786336809958E+17"/>
        <n v="5.3389197211816458E+18"/>
        <n v="1.2841567529951969E+19"/>
        <n v="1.8343030314618571E+19"/>
        <n v="5.3699999773781842E+18"/>
        <n v="8.6802013304655043E+18"/>
        <n v="1.2752312146195192E+19"/>
        <n v="1.1700894689376152E+19"/>
        <n v="3.2465344376231096E+18"/>
        <n v="1.0002108742113184E+19"/>
        <n v="1.5582006359835328E+18"/>
        <n v="1.5588796850351069E+19"/>
        <n v="5.513800691427415E+18"/>
        <n v="2.2567955021573606E+18"/>
        <n v="3.665787768228074E+18"/>
        <n v="1.4514588770006452E+19"/>
        <n v="1.5980781679421858E+19"/>
        <n v="1.0939414507172003E+18"/>
        <n v="9.8083848188739871E+18"/>
        <n v="3.0707348369578552E+18"/>
        <n v="1.3848398026844207E+19"/>
        <n v="5.638469383361706E+18"/>
        <n v="1.0421800180373281E+19"/>
        <n v="1.0149431472001221E+19"/>
        <n v="1.4038489632577618E+19"/>
        <n v="1.0343826491320752E+19"/>
        <n v="3.9647428500845926E+18"/>
        <n v="4.0109813957365664E+17"/>
        <n v="1.7636779271386227E+19"/>
        <n v="1.1160003905329904E+19"/>
        <n v="8.9692403250334454E+18"/>
        <n v="1.3504854536615137E+19"/>
        <n v="2.535571696319956E+18"/>
        <n v="7.1430539321669356E+18"/>
        <n v="1.8114904154463384E+19"/>
        <n v="2.0174712389670897E+18"/>
        <n v="1.631642373063298E+19"/>
        <n v="1.1389115704750807E+19"/>
        <n v="1.5306778473998703E+19"/>
        <n v="5.1700847504501658E+18"/>
        <n v="4.0992557991839872E+18"/>
        <n v="8.0207324911256402E+18"/>
        <n v="3.6452037794893235E+18"/>
        <n v="5.2904406069050655E+18"/>
        <n v="1.0284927227076995E+19"/>
        <n v="1.3434557400976398E+19"/>
        <n v="1.2358389500715788E+19"/>
        <n v="7.6754871872810086E+18"/>
        <n v="6.1716952419238011E+18"/>
        <n v="7.5585146259121946E+17"/>
        <n v="7.3301898753684142E+18"/>
        <n v="1.5871449559109868E+19"/>
        <n v="1.3038588584675936E+19"/>
        <n v="1.0554486467724704E+19"/>
        <n v="9.4444502664833459E+17"/>
        <n v="9.2530452587606139E+18"/>
        <n v="3.3714488033774444E+18"/>
        <n v="8.4974625095600159E+18"/>
        <n v="1.0729780823051536E+19"/>
        <n v="2.5599316458864558E+18"/>
        <n v="3.1363049105032965E+18"/>
        <n v="5.3368890049430876E+18"/>
        <n v="7.0701798264914135E+18"/>
        <n v="5.8508240941815081E+18"/>
        <n v="6.8915454267777505E+18"/>
        <n v="1.6463149934598224E+19"/>
        <n v="8.6208013708893788E+18"/>
        <n v="1.3737964617450031E+19"/>
        <n v="8.3353735314348728E+18"/>
        <n v="1.6127529722940613E+19"/>
        <n v="9.281332902850943E+18"/>
        <n v="1.7483768335881923E+19"/>
        <n v="1.3108480913946243E+19"/>
        <n v="9.305385778520789E+18"/>
        <n v="2.1078084364404016E+17"/>
        <n v="1.117769135249111E+19"/>
        <n v="1.4945752430058508E+19"/>
        <n v="5.1296837247026647E+18"/>
        <n v="4.5029078232907827E+18"/>
        <n v="1.4950083344350073E+19"/>
        <n v="7.8425414710552699E+18"/>
        <n v="1.821778456075658E+19"/>
        <n v="1.55246726684032E+19"/>
        <n v="9.323970339766231E+18"/>
        <n v="1.3721439493771641E+19"/>
        <n v="6.7637448556280842E+18"/>
        <n v="1.2015010508922132E+19"/>
        <n v="6.1803316385354383E+18"/>
        <n v="1.744198678204715E+19"/>
        <n v="2.6573016876843167E+18"/>
        <n v="6.5763534171711795E+18"/>
        <n v="3.2635940716800922E+18"/>
        <n v="7.2315284655144151E+18"/>
        <n v="1.8386772457767457E+19"/>
        <n v="1.3411294436293778E+18"/>
        <n v="1.3110622194408163E+19"/>
        <n v="1.0898260437412671E+19"/>
        <n v="1.0517990146989965E+19"/>
        <n v="1.7645685317112814E+19"/>
        <n v="2.0999514290107461E+18"/>
        <n v="5.7432329113207213E+17"/>
        <n v="1.8241327836839733E+19"/>
        <n v="1.1732011119300661E+19"/>
        <n v="1.0598699875994243E+19"/>
        <n v="1.6366876265188037E+18"/>
        <n v="6.5161492987903857E+18"/>
        <n v="1.4220258523897178E+19"/>
        <n v="3.1839540204686996E+18"/>
        <n v="6.3008900806287299E+18"/>
        <n v="2.2690104090570895E+18"/>
        <n v="1.5910342921351277E+19"/>
        <n v="6.7782273057675192E+18"/>
        <n v="1.4260986836204579E+19"/>
        <n v="1.8173052402328764E+19"/>
        <n v="1.1776155941869328E+19"/>
        <n v="9.5607140845107958E+18"/>
        <n v="1.2780150489585494E+19"/>
        <n v="2.2638169398429488E+17"/>
        <n v="4.0829173812931354E+18"/>
        <n v="1.8428142295270193E+19"/>
        <n v="4.0896072278598482E+18"/>
        <n v="1.4510267206139253E+19"/>
        <n v="4.5723273014350515E+18"/>
        <n v="1.5224228786886926E+19"/>
        <n v="5.9290793074608118E+18"/>
        <n v="1.1481385592981828E+19"/>
        <n v="8.5371116805000218E+17"/>
        <n v="9.8367270187080561E+18"/>
        <n v="1.3767790361349054E+19"/>
        <n v="1.4797717597300814E+19"/>
        <n v="3.628640536253803E+18"/>
        <n v="5.3291995346809088E+18"/>
        <n v="1.4054464075268798E+19"/>
        <n v="1.2031515770448378E+19"/>
        <n v="1.2275367667122522E+19"/>
        <n v="4.5743817418523566E+18"/>
        <n v="1.6294640081152397E+18"/>
        <n v="1.6822785150654202E+19"/>
        <n v="1.5033202833957761E+19"/>
      </sharedItems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1728">
  <r>
    <x v="0"/>
    <x v="0"/>
    <x v="0"/>
    <x v="0"/>
    <x v="0"/>
    <x v="0"/>
    <x v="0"/>
    <x v="0"/>
    <x v="0"/>
    <x v="0"/>
    <x v="0"/>
  </r>
  <r>
    <x v="0"/>
    <x v="0"/>
    <x v="0"/>
    <x v="0"/>
    <x v="0"/>
    <x v="0"/>
    <x v="1"/>
    <x v="0"/>
    <x v="1"/>
    <x v="0"/>
    <x v="1"/>
  </r>
  <r>
    <x v="0"/>
    <x v="0"/>
    <x v="0"/>
    <x v="0"/>
    <x v="0"/>
    <x v="0"/>
    <x v="2"/>
    <x v="0"/>
    <x v="2"/>
    <x v="0"/>
    <x v="2"/>
  </r>
  <r>
    <x v="0"/>
    <x v="0"/>
    <x v="0"/>
    <x v="0"/>
    <x v="0"/>
    <x v="1"/>
    <x v="0"/>
    <x v="0"/>
    <x v="3"/>
    <x v="0"/>
    <x v="3"/>
  </r>
  <r>
    <x v="0"/>
    <x v="0"/>
    <x v="0"/>
    <x v="0"/>
    <x v="0"/>
    <x v="1"/>
    <x v="1"/>
    <x v="0"/>
    <x v="4"/>
    <x v="0"/>
    <x v="4"/>
  </r>
  <r>
    <x v="0"/>
    <x v="0"/>
    <x v="0"/>
    <x v="0"/>
    <x v="0"/>
    <x v="1"/>
    <x v="2"/>
    <x v="0"/>
    <x v="5"/>
    <x v="0"/>
    <x v="5"/>
  </r>
  <r>
    <x v="0"/>
    <x v="0"/>
    <x v="0"/>
    <x v="0"/>
    <x v="0"/>
    <x v="2"/>
    <x v="0"/>
    <x v="0"/>
    <x v="6"/>
    <x v="0"/>
    <x v="6"/>
  </r>
  <r>
    <x v="0"/>
    <x v="0"/>
    <x v="0"/>
    <x v="0"/>
    <x v="0"/>
    <x v="2"/>
    <x v="1"/>
    <x v="0"/>
    <x v="7"/>
    <x v="0"/>
    <x v="7"/>
  </r>
  <r>
    <x v="0"/>
    <x v="0"/>
    <x v="0"/>
    <x v="0"/>
    <x v="0"/>
    <x v="2"/>
    <x v="2"/>
    <x v="0"/>
    <x v="8"/>
    <x v="0"/>
    <x v="8"/>
  </r>
  <r>
    <x v="0"/>
    <x v="0"/>
    <x v="0"/>
    <x v="0"/>
    <x v="1"/>
    <x v="0"/>
    <x v="0"/>
    <x v="0"/>
    <x v="9"/>
    <x v="0"/>
    <x v="9"/>
  </r>
  <r>
    <x v="0"/>
    <x v="0"/>
    <x v="0"/>
    <x v="0"/>
    <x v="1"/>
    <x v="0"/>
    <x v="1"/>
    <x v="0"/>
    <x v="10"/>
    <x v="0"/>
    <x v="10"/>
  </r>
  <r>
    <x v="0"/>
    <x v="0"/>
    <x v="0"/>
    <x v="0"/>
    <x v="1"/>
    <x v="0"/>
    <x v="2"/>
    <x v="0"/>
    <x v="11"/>
    <x v="0"/>
    <x v="11"/>
  </r>
  <r>
    <x v="0"/>
    <x v="0"/>
    <x v="0"/>
    <x v="0"/>
    <x v="1"/>
    <x v="1"/>
    <x v="0"/>
    <x v="0"/>
    <x v="12"/>
    <x v="0"/>
    <x v="12"/>
  </r>
  <r>
    <x v="0"/>
    <x v="0"/>
    <x v="0"/>
    <x v="0"/>
    <x v="1"/>
    <x v="1"/>
    <x v="1"/>
    <x v="0"/>
    <x v="13"/>
    <x v="0"/>
    <x v="13"/>
  </r>
  <r>
    <x v="0"/>
    <x v="0"/>
    <x v="0"/>
    <x v="0"/>
    <x v="1"/>
    <x v="1"/>
    <x v="2"/>
    <x v="0"/>
    <x v="14"/>
    <x v="0"/>
    <x v="14"/>
  </r>
  <r>
    <x v="0"/>
    <x v="0"/>
    <x v="0"/>
    <x v="0"/>
    <x v="1"/>
    <x v="2"/>
    <x v="0"/>
    <x v="0"/>
    <x v="15"/>
    <x v="0"/>
    <x v="15"/>
  </r>
  <r>
    <x v="0"/>
    <x v="0"/>
    <x v="0"/>
    <x v="0"/>
    <x v="1"/>
    <x v="2"/>
    <x v="1"/>
    <x v="0"/>
    <x v="16"/>
    <x v="0"/>
    <x v="16"/>
  </r>
  <r>
    <x v="0"/>
    <x v="0"/>
    <x v="0"/>
    <x v="0"/>
    <x v="1"/>
    <x v="2"/>
    <x v="2"/>
    <x v="0"/>
    <x v="17"/>
    <x v="0"/>
    <x v="17"/>
  </r>
  <r>
    <x v="0"/>
    <x v="0"/>
    <x v="0"/>
    <x v="0"/>
    <x v="2"/>
    <x v="0"/>
    <x v="0"/>
    <x v="0"/>
    <x v="18"/>
    <x v="0"/>
    <x v="18"/>
  </r>
  <r>
    <x v="0"/>
    <x v="0"/>
    <x v="0"/>
    <x v="0"/>
    <x v="2"/>
    <x v="0"/>
    <x v="1"/>
    <x v="0"/>
    <x v="19"/>
    <x v="0"/>
    <x v="19"/>
  </r>
  <r>
    <x v="0"/>
    <x v="0"/>
    <x v="0"/>
    <x v="0"/>
    <x v="2"/>
    <x v="0"/>
    <x v="2"/>
    <x v="0"/>
    <x v="20"/>
    <x v="0"/>
    <x v="20"/>
  </r>
  <r>
    <x v="0"/>
    <x v="0"/>
    <x v="0"/>
    <x v="0"/>
    <x v="2"/>
    <x v="1"/>
    <x v="0"/>
    <x v="0"/>
    <x v="21"/>
    <x v="0"/>
    <x v="21"/>
  </r>
  <r>
    <x v="0"/>
    <x v="0"/>
    <x v="0"/>
    <x v="0"/>
    <x v="2"/>
    <x v="1"/>
    <x v="1"/>
    <x v="0"/>
    <x v="22"/>
    <x v="0"/>
    <x v="22"/>
  </r>
  <r>
    <x v="0"/>
    <x v="0"/>
    <x v="0"/>
    <x v="0"/>
    <x v="2"/>
    <x v="1"/>
    <x v="2"/>
    <x v="0"/>
    <x v="23"/>
    <x v="0"/>
    <x v="23"/>
  </r>
  <r>
    <x v="0"/>
    <x v="0"/>
    <x v="0"/>
    <x v="0"/>
    <x v="2"/>
    <x v="2"/>
    <x v="0"/>
    <x v="0"/>
    <x v="24"/>
    <x v="0"/>
    <x v="24"/>
  </r>
  <r>
    <x v="0"/>
    <x v="0"/>
    <x v="0"/>
    <x v="0"/>
    <x v="2"/>
    <x v="2"/>
    <x v="1"/>
    <x v="0"/>
    <x v="25"/>
    <x v="0"/>
    <x v="25"/>
  </r>
  <r>
    <x v="0"/>
    <x v="0"/>
    <x v="0"/>
    <x v="0"/>
    <x v="2"/>
    <x v="2"/>
    <x v="2"/>
    <x v="0"/>
    <x v="26"/>
    <x v="0"/>
    <x v="26"/>
  </r>
  <r>
    <x v="0"/>
    <x v="0"/>
    <x v="0"/>
    <x v="1"/>
    <x v="0"/>
    <x v="0"/>
    <x v="0"/>
    <x v="0"/>
    <x v="27"/>
    <x v="0"/>
    <x v="27"/>
  </r>
  <r>
    <x v="0"/>
    <x v="0"/>
    <x v="0"/>
    <x v="1"/>
    <x v="0"/>
    <x v="0"/>
    <x v="1"/>
    <x v="0"/>
    <x v="28"/>
    <x v="0"/>
    <x v="28"/>
  </r>
  <r>
    <x v="0"/>
    <x v="0"/>
    <x v="0"/>
    <x v="1"/>
    <x v="0"/>
    <x v="0"/>
    <x v="2"/>
    <x v="0"/>
    <x v="29"/>
    <x v="0"/>
    <x v="29"/>
  </r>
  <r>
    <x v="0"/>
    <x v="0"/>
    <x v="0"/>
    <x v="1"/>
    <x v="0"/>
    <x v="1"/>
    <x v="0"/>
    <x v="0"/>
    <x v="30"/>
    <x v="0"/>
    <x v="30"/>
  </r>
  <r>
    <x v="0"/>
    <x v="0"/>
    <x v="0"/>
    <x v="1"/>
    <x v="0"/>
    <x v="1"/>
    <x v="1"/>
    <x v="0"/>
    <x v="31"/>
    <x v="0"/>
    <x v="31"/>
  </r>
  <r>
    <x v="0"/>
    <x v="0"/>
    <x v="0"/>
    <x v="1"/>
    <x v="0"/>
    <x v="1"/>
    <x v="2"/>
    <x v="0"/>
    <x v="32"/>
    <x v="0"/>
    <x v="32"/>
  </r>
  <r>
    <x v="0"/>
    <x v="0"/>
    <x v="0"/>
    <x v="1"/>
    <x v="0"/>
    <x v="2"/>
    <x v="0"/>
    <x v="0"/>
    <x v="33"/>
    <x v="0"/>
    <x v="33"/>
  </r>
  <r>
    <x v="0"/>
    <x v="0"/>
    <x v="0"/>
    <x v="1"/>
    <x v="0"/>
    <x v="2"/>
    <x v="1"/>
    <x v="0"/>
    <x v="34"/>
    <x v="0"/>
    <x v="34"/>
  </r>
  <r>
    <x v="0"/>
    <x v="0"/>
    <x v="0"/>
    <x v="1"/>
    <x v="0"/>
    <x v="2"/>
    <x v="2"/>
    <x v="0"/>
    <x v="35"/>
    <x v="0"/>
    <x v="35"/>
  </r>
  <r>
    <x v="0"/>
    <x v="0"/>
    <x v="0"/>
    <x v="1"/>
    <x v="1"/>
    <x v="0"/>
    <x v="0"/>
    <x v="0"/>
    <x v="36"/>
    <x v="0"/>
    <x v="36"/>
  </r>
  <r>
    <x v="0"/>
    <x v="0"/>
    <x v="0"/>
    <x v="1"/>
    <x v="1"/>
    <x v="0"/>
    <x v="1"/>
    <x v="0"/>
    <x v="37"/>
    <x v="0"/>
    <x v="37"/>
  </r>
  <r>
    <x v="0"/>
    <x v="0"/>
    <x v="0"/>
    <x v="1"/>
    <x v="1"/>
    <x v="0"/>
    <x v="2"/>
    <x v="0"/>
    <x v="38"/>
    <x v="0"/>
    <x v="38"/>
  </r>
  <r>
    <x v="0"/>
    <x v="0"/>
    <x v="0"/>
    <x v="1"/>
    <x v="1"/>
    <x v="1"/>
    <x v="0"/>
    <x v="0"/>
    <x v="39"/>
    <x v="0"/>
    <x v="39"/>
  </r>
  <r>
    <x v="0"/>
    <x v="0"/>
    <x v="0"/>
    <x v="1"/>
    <x v="1"/>
    <x v="1"/>
    <x v="1"/>
    <x v="0"/>
    <x v="40"/>
    <x v="0"/>
    <x v="40"/>
  </r>
  <r>
    <x v="0"/>
    <x v="0"/>
    <x v="0"/>
    <x v="1"/>
    <x v="1"/>
    <x v="1"/>
    <x v="2"/>
    <x v="0"/>
    <x v="41"/>
    <x v="0"/>
    <x v="41"/>
  </r>
  <r>
    <x v="0"/>
    <x v="0"/>
    <x v="0"/>
    <x v="1"/>
    <x v="1"/>
    <x v="2"/>
    <x v="0"/>
    <x v="0"/>
    <x v="42"/>
    <x v="0"/>
    <x v="42"/>
  </r>
  <r>
    <x v="0"/>
    <x v="0"/>
    <x v="0"/>
    <x v="1"/>
    <x v="1"/>
    <x v="2"/>
    <x v="1"/>
    <x v="0"/>
    <x v="43"/>
    <x v="0"/>
    <x v="43"/>
  </r>
  <r>
    <x v="0"/>
    <x v="0"/>
    <x v="0"/>
    <x v="1"/>
    <x v="1"/>
    <x v="2"/>
    <x v="2"/>
    <x v="0"/>
    <x v="44"/>
    <x v="0"/>
    <x v="44"/>
  </r>
  <r>
    <x v="0"/>
    <x v="0"/>
    <x v="0"/>
    <x v="1"/>
    <x v="2"/>
    <x v="0"/>
    <x v="0"/>
    <x v="0"/>
    <x v="45"/>
    <x v="0"/>
    <x v="45"/>
  </r>
  <r>
    <x v="0"/>
    <x v="0"/>
    <x v="0"/>
    <x v="1"/>
    <x v="2"/>
    <x v="0"/>
    <x v="1"/>
    <x v="0"/>
    <x v="46"/>
    <x v="0"/>
    <x v="46"/>
  </r>
  <r>
    <x v="0"/>
    <x v="0"/>
    <x v="0"/>
    <x v="1"/>
    <x v="2"/>
    <x v="0"/>
    <x v="2"/>
    <x v="0"/>
    <x v="47"/>
    <x v="0"/>
    <x v="47"/>
  </r>
  <r>
    <x v="0"/>
    <x v="0"/>
    <x v="0"/>
    <x v="1"/>
    <x v="2"/>
    <x v="1"/>
    <x v="0"/>
    <x v="0"/>
    <x v="48"/>
    <x v="0"/>
    <x v="48"/>
  </r>
  <r>
    <x v="0"/>
    <x v="0"/>
    <x v="0"/>
    <x v="1"/>
    <x v="2"/>
    <x v="1"/>
    <x v="1"/>
    <x v="0"/>
    <x v="49"/>
    <x v="0"/>
    <x v="49"/>
  </r>
  <r>
    <x v="0"/>
    <x v="0"/>
    <x v="0"/>
    <x v="1"/>
    <x v="2"/>
    <x v="1"/>
    <x v="2"/>
    <x v="0"/>
    <x v="50"/>
    <x v="0"/>
    <x v="50"/>
  </r>
  <r>
    <x v="0"/>
    <x v="0"/>
    <x v="0"/>
    <x v="1"/>
    <x v="2"/>
    <x v="2"/>
    <x v="0"/>
    <x v="0"/>
    <x v="51"/>
    <x v="0"/>
    <x v="51"/>
  </r>
  <r>
    <x v="0"/>
    <x v="0"/>
    <x v="0"/>
    <x v="1"/>
    <x v="2"/>
    <x v="2"/>
    <x v="1"/>
    <x v="0"/>
    <x v="52"/>
    <x v="0"/>
    <x v="52"/>
  </r>
  <r>
    <x v="0"/>
    <x v="0"/>
    <x v="0"/>
    <x v="1"/>
    <x v="2"/>
    <x v="2"/>
    <x v="2"/>
    <x v="0"/>
    <x v="53"/>
    <x v="0"/>
    <x v="53"/>
  </r>
  <r>
    <x v="0"/>
    <x v="0"/>
    <x v="0"/>
    <x v="2"/>
    <x v="0"/>
    <x v="0"/>
    <x v="0"/>
    <x v="0"/>
    <x v="54"/>
    <x v="0"/>
    <x v="54"/>
  </r>
  <r>
    <x v="0"/>
    <x v="0"/>
    <x v="0"/>
    <x v="2"/>
    <x v="0"/>
    <x v="0"/>
    <x v="1"/>
    <x v="0"/>
    <x v="55"/>
    <x v="0"/>
    <x v="55"/>
  </r>
  <r>
    <x v="0"/>
    <x v="0"/>
    <x v="0"/>
    <x v="2"/>
    <x v="0"/>
    <x v="0"/>
    <x v="2"/>
    <x v="0"/>
    <x v="56"/>
    <x v="0"/>
    <x v="56"/>
  </r>
  <r>
    <x v="0"/>
    <x v="0"/>
    <x v="0"/>
    <x v="2"/>
    <x v="0"/>
    <x v="1"/>
    <x v="0"/>
    <x v="0"/>
    <x v="57"/>
    <x v="0"/>
    <x v="57"/>
  </r>
  <r>
    <x v="0"/>
    <x v="0"/>
    <x v="0"/>
    <x v="2"/>
    <x v="0"/>
    <x v="1"/>
    <x v="1"/>
    <x v="0"/>
    <x v="58"/>
    <x v="0"/>
    <x v="58"/>
  </r>
  <r>
    <x v="0"/>
    <x v="0"/>
    <x v="0"/>
    <x v="2"/>
    <x v="0"/>
    <x v="1"/>
    <x v="2"/>
    <x v="0"/>
    <x v="59"/>
    <x v="0"/>
    <x v="59"/>
  </r>
  <r>
    <x v="0"/>
    <x v="0"/>
    <x v="0"/>
    <x v="2"/>
    <x v="0"/>
    <x v="2"/>
    <x v="0"/>
    <x v="0"/>
    <x v="60"/>
    <x v="0"/>
    <x v="60"/>
  </r>
  <r>
    <x v="0"/>
    <x v="0"/>
    <x v="0"/>
    <x v="2"/>
    <x v="0"/>
    <x v="2"/>
    <x v="1"/>
    <x v="0"/>
    <x v="61"/>
    <x v="0"/>
    <x v="61"/>
  </r>
  <r>
    <x v="0"/>
    <x v="0"/>
    <x v="0"/>
    <x v="2"/>
    <x v="0"/>
    <x v="2"/>
    <x v="2"/>
    <x v="0"/>
    <x v="62"/>
    <x v="0"/>
    <x v="62"/>
  </r>
  <r>
    <x v="0"/>
    <x v="0"/>
    <x v="0"/>
    <x v="2"/>
    <x v="1"/>
    <x v="0"/>
    <x v="0"/>
    <x v="0"/>
    <x v="63"/>
    <x v="0"/>
    <x v="63"/>
  </r>
  <r>
    <x v="0"/>
    <x v="0"/>
    <x v="0"/>
    <x v="2"/>
    <x v="1"/>
    <x v="0"/>
    <x v="1"/>
    <x v="0"/>
    <x v="64"/>
    <x v="0"/>
    <x v="64"/>
  </r>
  <r>
    <x v="0"/>
    <x v="0"/>
    <x v="0"/>
    <x v="2"/>
    <x v="1"/>
    <x v="0"/>
    <x v="2"/>
    <x v="0"/>
    <x v="65"/>
    <x v="0"/>
    <x v="65"/>
  </r>
  <r>
    <x v="0"/>
    <x v="0"/>
    <x v="0"/>
    <x v="2"/>
    <x v="1"/>
    <x v="1"/>
    <x v="0"/>
    <x v="0"/>
    <x v="66"/>
    <x v="0"/>
    <x v="66"/>
  </r>
  <r>
    <x v="0"/>
    <x v="0"/>
    <x v="0"/>
    <x v="2"/>
    <x v="1"/>
    <x v="1"/>
    <x v="1"/>
    <x v="0"/>
    <x v="67"/>
    <x v="0"/>
    <x v="67"/>
  </r>
  <r>
    <x v="0"/>
    <x v="0"/>
    <x v="0"/>
    <x v="2"/>
    <x v="1"/>
    <x v="1"/>
    <x v="2"/>
    <x v="0"/>
    <x v="68"/>
    <x v="0"/>
    <x v="68"/>
  </r>
  <r>
    <x v="0"/>
    <x v="0"/>
    <x v="0"/>
    <x v="2"/>
    <x v="1"/>
    <x v="2"/>
    <x v="0"/>
    <x v="0"/>
    <x v="69"/>
    <x v="0"/>
    <x v="69"/>
  </r>
  <r>
    <x v="0"/>
    <x v="0"/>
    <x v="0"/>
    <x v="2"/>
    <x v="1"/>
    <x v="2"/>
    <x v="1"/>
    <x v="0"/>
    <x v="70"/>
    <x v="0"/>
    <x v="70"/>
  </r>
  <r>
    <x v="0"/>
    <x v="0"/>
    <x v="0"/>
    <x v="2"/>
    <x v="1"/>
    <x v="2"/>
    <x v="2"/>
    <x v="0"/>
    <x v="71"/>
    <x v="0"/>
    <x v="71"/>
  </r>
  <r>
    <x v="0"/>
    <x v="0"/>
    <x v="0"/>
    <x v="2"/>
    <x v="2"/>
    <x v="0"/>
    <x v="0"/>
    <x v="0"/>
    <x v="72"/>
    <x v="0"/>
    <x v="72"/>
  </r>
  <r>
    <x v="0"/>
    <x v="0"/>
    <x v="0"/>
    <x v="2"/>
    <x v="2"/>
    <x v="0"/>
    <x v="1"/>
    <x v="0"/>
    <x v="73"/>
    <x v="0"/>
    <x v="73"/>
  </r>
  <r>
    <x v="0"/>
    <x v="0"/>
    <x v="0"/>
    <x v="2"/>
    <x v="2"/>
    <x v="0"/>
    <x v="2"/>
    <x v="0"/>
    <x v="74"/>
    <x v="0"/>
    <x v="74"/>
  </r>
  <r>
    <x v="0"/>
    <x v="0"/>
    <x v="0"/>
    <x v="2"/>
    <x v="2"/>
    <x v="1"/>
    <x v="0"/>
    <x v="0"/>
    <x v="75"/>
    <x v="0"/>
    <x v="75"/>
  </r>
  <r>
    <x v="0"/>
    <x v="0"/>
    <x v="0"/>
    <x v="2"/>
    <x v="2"/>
    <x v="1"/>
    <x v="1"/>
    <x v="0"/>
    <x v="76"/>
    <x v="0"/>
    <x v="76"/>
  </r>
  <r>
    <x v="0"/>
    <x v="0"/>
    <x v="0"/>
    <x v="2"/>
    <x v="2"/>
    <x v="1"/>
    <x v="2"/>
    <x v="0"/>
    <x v="77"/>
    <x v="0"/>
    <x v="77"/>
  </r>
  <r>
    <x v="0"/>
    <x v="0"/>
    <x v="0"/>
    <x v="2"/>
    <x v="2"/>
    <x v="2"/>
    <x v="0"/>
    <x v="0"/>
    <x v="78"/>
    <x v="0"/>
    <x v="78"/>
  </r>
  <r>
    <x v="0"/>
    <x v="0"/>
    <x v="0"/>
    <x v="2"/>
    <x v="2"/>
    <x v="2"/>
    <x v="1"/>
    <x v="0"/>
    <x v="79"/>
    <x v="0"/>
    <x v="79"/>
  </r>
  <r>
    <x v="0"/>
    <x v="0"/>
    <x v="0"/>
    <x v="2"/>
    <x v="2"/>
    <x v="2"/>
    <x v="2"/>
    <x v="0"/>
    <x v="80"/>
    <x v="0"/>
    <x v="80"/>
  </r>
  <r>
    <x v="0"/>
    <x v="0"/>
    <x v="0"/>
    <x v="3"/>
    <x v="0"/>
    <x v="0"/>
    <x v="0"/>
    <x v="0"/>
    <x v="81"/>
    <x v="0"/>
    <x v="81"/>
  </r>
  <r>
    <x v="0"/>
    <x v="0"/>
    <x v="0"/>
    <x v="3"/>
    <x v="0"/>
    <x v="0"/>
    <x v="1"/>
    <x v="0"/>
    <x v="82"/>
    <x v="0"/>
    <x v="82"/>
  </r>
  <r>
    <x v="0"/>
    <x v="0"/>
    <x v="0"/>
    <x v="3"/>
    <x v="0"/>
    <x v="0"/>
    <x v="2"/>
    <x v="0"/>
    <x v="83"/>
    <x v="0"/>
    <x v="83"/>
  </r>
  <r>
    <x v="0"/>
    <x v="0"/>
    <x v="0"/>
    <x v="3"/>
    <x v="0"/>
    <x v="1"/>
    <x v="0"/>
    <x v="0"/>
    <x v="84"/>
    <x v="0"/>
    <x v="84"/>
  </r>
  <r>
    <x v="0"/>
    <x v="0"/>
    <x v="0"/>
    <x v="3"/>
    <x v="0"/>
    <x v="1"/>
    <x v="1"/>
    <x v="0"/>
    <x v="85"/>
    <x v="0"/>
    <x v="85"/>
  </r>
  <r>
    <x v="0"/>
    <x v="0"/>
    <x v="0"/>
    <x v="3"/>
    <x v="0"/>
    <x v="1"/>
    <x v="2"/>
    <x v="0"/>
    <x v="86"/>
    <x v="0"/>
    <x v="86"/>
  </r>
  <r>
    <x v="0"/>
    <x v="0"/>
    <x v="0"/>
    <x v="3"/>
    <x v="0"/>
    <x v="2"/>
    <x v="0"/>
    <x v="0"/>
    <x v="87"/>
    <x v="0"/>
    <x v="87"/>
  </r>
  <r>
    <x v="0"/>
    <x v="0"/>
    <x v="0"/>
    <x v="3"/>
    <x v="0"/>
    <x v="2"/>
    <x v="1"/>
    <x v="0"/>
    <x v="88"/>
    <x v="0"/>
    <x v="88"/>
  </r>
  <r>
    <x v="0"/>
    <x v="0"/>
    <x v="0"/>
    <x v="3"/>
    <x v="0"/>
    <x v="2"/>
    <x v="2"/>
    <x v="0"/>
    <x v="89"/>
    <x v="0"/>
    <x v="89"/>
  </r>
  <r>
    <x v="0"/>
    <x v="0"/>
    <x v="0"/>
    <x v="3"/>
    <x v="1"/>
    <x v="0"/>
    <x v="0"/>
    <x v="0"/>
    <x v="90"/>
    <x v="0"/>
    <x v="90"/>
  </r>
  <r>
    <x v="0"/>
    <x v="0"/>
    <x v="0"/>
    <x v="3"/>
    <x v="1"/>
    <x v="0"/>
    <x v="1"/>
    <x v="0"/>
    <x v="91"/>
    <x v="0"/>
    <x v="91"/>
  </r>
  <r>
    <x v="0"/>
    <x v="0"/>
    <x v="0"/>
    <x v="3"/>
    <x v="1"/>
    <x v="0"/>
    <x v="2"/>
    <x v="0"/>
    <x v="92"/>
    <x v="0"/>
    <x v="92"/>
  </r>
  <r>
    <x v="0"/>
    <x v="0"/>
    <x v="0"/>
    <x v="3"/>
    <x v="1"/>
    <x v="1"/>
    <x v="0"/>
    <x v="0"/>
    <x v="93"/>
    <x v="0"/>
    <x v="93"/>
  </r>
  <r>
    <x v="0"/>
    <x v="0"/>
    <x v="0"/>
    <x v="3"/>
    <x v="1"/>
    <x v="1"/>
    <x v="1"/>
    <x v="0"/>
    <x v="94"/>
    <x v="0"/>
    <x v="94"/>
  </r>
  <r>
    <x v="0"/>
    <x v="0"/>
    <x v="0"/>
    <x v="3"/>
    <x v="1"/>
    <x v="1"/>
    <x v="2"/>
    <x v="0"/>
    <x v="95"/>
    <x v="0"/>
    <x v="95"/>
  </r>
  <r>
    <x v="0"/>
    <x v="0"/>
    <x v="0"/>
    <x v="3"/>
    <x v="1"/>
    <x v="2"/>
    <x v="0"/>
    <x v="0"/>
    <x v="96"/>
    <x v="0"/>
    <x v="96"/>
  </r>
  <r>
    <x v="0"/>
    <x v="0"/>
    <x v="0"/>
    <x v="3"/>
    <x v="1"/>
    <x v="2"/>
    <x v="1"/>
    <x v="0"/>
    <x v="97"/>
    <x v="0"/>
    <x v="97"/>
  </r>
  <r>
    <x v="0"/>
    <x v="0"/>
    <x v="0"/>
    <x v="3"/>
    <x v="1"/>
    <x v="2"/>
    <x v="2"/>
    <x v="0"/>
    <x v="98"/>
    <x v="0"/>
    <x v="98"/>
  </r>
  <r>
    <x v="0"/>
    <x v="0"/>
    <x v="0"/>
    <x v="3"/>
    <x v="2"/>
    <x v="0"/>
    <x v="0"/>
    <x v="0"/>
    <x v="99"/>
    <x v="0"/>
    <x v="99"/>
  </r>
  <r>
    <x v="0"/>
    <x v="0"/>
    <x v="0"/>
    <x v="3"/>
    <x v="2"/>
    <x v="0"/>
    <x v="1"/>
    <x v="0"/>
    <x v="100"/>
    <x v="0"/>
    <x v="100"/>
  </r>
  <r>
    <x v="0"/>
    <x v="0"/>
    <x v="0"/>
    <x v="3"/>
    <x v="2"/>
    <x v="0"/>
    <x v="2"/>
    <x v="0"/>
    <x v="101"/>
    <x v="0"/>
    <x v="101"/>
  </r>
  <r>
    <x v="0"/>
    <x v="0"/>
    <x v="0"/>
    <x v="3"/>
    <x v="2"/>
    <x v="1"/>
    <x v="0"/>
    <x v="0"/>
    <x v="102"/>
    <x v="0"/>
    <x v="102"/>
  </r>
  <r>
    <x v="0"/>
    <x v="0"/>
    <x v="0"/>
    <x v="3"/>
    <x v="2"/>
    <x v="1"/>
    <x v="1"/>
    <x v="0"/>
    <x v="103"/>
    <x v="0"/>
    <x v="103"/>
  </r>
  <r>
    <x v="0"/>
    <x v="0"/>
    <x v="0"/>
    <x v="3"/>
    <x v="2"/>
    <x v="1"/>
    <x v="2"/>
    <x v="0"/>
    <x v="104"/>
    <x v="0"/>
    <x v="104"/>
  </r>
  <r>
    <x v="0"/>
    <x v="0"/>
    <x v="0"/>
    <x v="3"/>
    <x v="2"/>
    <x v="2"/>
    <x v="0"/>
    <x v="0"/>
    <x v="105"/>
    <x v="0"/>
    <x v="105"/>
  </r>
  <r>
    <x v="0"/>
    <x v="0"/>
    <x v="0"/>
    <x v="3"/>
    <x v="2"/>
    <x v="2"/>
    <x v="1"/>
    <x v="0"/>
    <x v="106"/>
    <x v="0"/>
    <x v="106"/>
  </r>
  <r>
    <x v="0"/>
    <x v="0"/>
    <x v="0"/>
    <x v="3"/>
    <x v="2"/>
    <x v="2"/>
    <x v="2"/>
    <x v="0"/>
    <x v="107"/>
    <x v="0"/>
    <x v="107"/>
  </r>
  <r>
    <x v="0"/>
    <x v="0"/>
    <x v="1"/>
    <x v="0"/>
    <x v="0"/>
    <x v="0"/>
    <x v="0"/>
    <x v="0"/>
    <x v="108"/>
    <x v="0"/>
    <x v="108"/>
  </r>
  <r>
    <x v="0"/>
    <x v="0"/>
    <x v="1"/>
    <x v="0"/>
    <x v="0"/>
    <x v="0"/>
    <x v="1"/>
    <x v="0"/>
    <x v="109"/>
    <x v="0"/>
    <x v="109"/>
  </r>
  <r>
    <x v="0"/>
    <x v="0"/>
    <x v="1"/>
    <x v="0"/>
    <x v="0"/>
    <x v="0"/>
    <x v="2"/>
    <x v="0"/>
    <x v="110"/>
    <x v="0"/>
    <x v="110"/>
  </r>
  <r>
    <x v="0"/>
    <x v="0"/>
    <x v="1"/>
    <x v="0"/>
    <x v="0"/>
    <x v="1"/>
    <x v="0"/>
    <x v="0"/>
    <x v="111"/>
    <x v="0"/>
    <x v="111"/>
  </r>
  <r>
    <x v="0"/>
    <x v="0"/>
    <x v="1"/>
    <x v="0"/>
    <x v="0"/>
    <x v="1"/>
    <x v="1"/>
    <x v="0"/>
    <x v="112"/>
    <x v="0"/>
    <x v="112"/>
  </r>
  <r>
    <x v="0"/>
    <x v="0"/>
    <x v="1"/>
    <x v="0"/>
    <x v="0"/>
    <x v="1"/>
    <x v="2"/>
    <x v="0"/>
    <x v="113"/>
    <x v="0"/>
    <x v="113"/>
  </r>
  <r>
    <x v="0"/>
    <x v="0"/>
    <x v="1"/>
    <x v="0"/>
    <x v="0"/>
    <x v="2"/>
    <x v="0"/>
    <x v="0"/>
    <x v="114"/>
    <x v="0"/>
    <x v="114"/>
  </r>
  <r>
    <x v="0"/>
    <x v="0"/>
    <x v="1"/>
    <x v="0"/>
    <x v="0"/>
    <x v="2"/>
    <x v="1"/>
    <x v="0"/>
    <x v="115"/>
    <x v="0"/>
    <x v="115"/>
  </r>
  <r>
    <x v="0"/>
    <x v="0"/>
    <x v="1"/>
    <x v="0"/>
    <x v="0"/>
    <x v="2"/>
    <x v="2"/>
    <x v="0"/>
    <x v="116"/>
    <x v="0"/>
    <x v="116"/>
  </r>
  <r>
    <x v="0"/>
    <x v="0"/>
    <x v="1"/>
    <x v="0"/>
    <x v="1"/>
    <x v="0"/>
    <x v="0"/>
    <x v="0"/>
    <x v="117"/>
    <x v="0"/>
    <x v="117"/>
  </r>
  <r>
    <x v="0"/>
    <x v="0"/>
    <x v="1"/>
    <x v="0"/>
    <x v="1"/>
    <x v="0"/>
    <x v="1"/>
    <x v="0"/>
    <x v="118"/>
    <x v="0"/>
    <x v="118"/>
  </r>
  <r>
    <x v="0"/>
    <x v="0"/>
    <x v="1"/>
    <x v="0"/>
    <x v="1"/>
    <x v="0"/>
    <x v="2"/>
    <x v="0"/>
    <x v="119"/>
    <x v="0"/>
    <x v="119"/>
  </r>
  <r>
    <x v="0"/>
    <x v="0"/>
    <x v="1"/>
    <x v="0"/>
    <x v="1"/>
    <x v="1"/>
    <x v="0"/>
    <x v="0"/>
    <x v="120"/>
    <x v="0"/>
    <x v="120"/>
  </r>
  <r>
    <x v="0"/>
    <x v="0"/>
    <x v="1"/>
    <x v="0"/>
    <x v="1"/>
    <x v="1"/>
    <x v="1"/>
    <x v="0"/>
    <x v="121"/>
    <x v="0"/>
    <x v="121"/>
  </r>
  <r>
    <x v="0"/>
    <x v="0"/>
    <x v="1"/>
    <x v="0"/>
    <x v="1"/>
    <x v="1"/>
    <x v="2"/>
    <x v="0"/>
    <x v="122"/>
    <x v="0"/>
    <x v="122"/>
  </r>
  <r>
    <x v="0"/>
    <x v="0"/>
    <x v="1"/>
    <x v="0"/>
    <x v="1"/>
    <x v="2"/>
    <x v="0"/>
    <x v="0"/>
    <x v="123"/>
    <x v="0"/>
    <x v="123"/>
  </r>
  <r>
    <x v="0"/>
    <x v="0"/>
    <x v="1"/>
    <x v="0"/>
    <x v="1"/>
    <x v="2"/>
    <x v="1"/>
    <x v="0"/>
    <x v="124"/>
    <x v="0"/>
    <x v="124"/>
  </r>
  <r>
    <x v="0"/>
    <x v="0"/>
    <x v="1"/>
    <x v="0"/>
    <x v="1"/>
    <x v="2"/>
    <x v="2"/>
    <x v="0"/>
    <x v="125"/>
    <x v="0"/>
    <x v="125"/>
  </r>
  <r>
    <x v="0"/>
    <x v="0"/>
    <x v="1"/>
    <x v="0"/>
    <x v="2"/>
    <x v="0"/>
    <x v="0"/>
    <x v="0"/>
    <x v="126"/>
    <x v="0"/>
    <x v="126"/>
  </r>
  <r>
    <x v="0"/>
    <x v="0"/>
    <x v="1"/>
    <x v="0"/>
    <x v="2"/>
    <x v="0"/>
    <x v="1"/>
    <x v="0"/>
    <x v="127"/>
    <x v="0"/>
    <x v="127"/>
  </r>
  <r>
    <x v="0"/>
    <x v="0"/>
    <x v="1"/>
    <x v="0"/>
    <x v="2"/>
    <x v="0"/>
    <x v="2"/>
    <x v="0"/>
    <x v="128"/>
    <x v="0"/>
    <x v="128"/>
  </r>
  <r>
    <x v="0"/>
    <x v="0"/>
    <x v="1"/>
    <x v="0"/>
    <x v="2"/>
    <x v="1"/>
    <x v="0"/>
    <x v="0"/>
    <x v="129"/>
    <x v="0"/>
    <x v="129"/>
  </r>
  <r>
    <x v="0"/>
    <x v="0"/>
    <x v="1"/>
    <x v="0"/>
    <x v="2"/>
    <x v="1"/>
    <x v="1"/>
    <x v="0"/>
    <x v="130"/>
    <x v="0"/>
    <x v="130"/>
  </r>
  <r>
    <x v="0"/>
    <x v="0"/>
    <x v="1"/>
    <x v="0"/>
    <x v="2"/>
    <x v="1"/>
    <x v="2"/>
    <x v="0"/>
    <x v="131"/>
    <x v="0"/>
    <x v="131"/>
  </r>
  <r>
    <x v="0"/>
    <x v="0"/>
    <x v="1"/>
    <x v="0"/>
    <x v="2"/>
    <x v="2"/>
    <x v="0"/>
    <x v="0"/>
    <x v="132"/>
    <x v="0"/>
    <x v="132"/>
  </r>
  <r>
    <x v="0"/>
    <x v="0"/>
    <x v="1"/>
    <x v="0"/>
    <x v="2"/>
    <x v="2"/>
    <x v="1"/>
    <x v="0"/>
    <x v="133"/>
    <x v="0"/>
    <x v="133"/>
  </r>
  <r>
    <x v="0"/>
    <x v="0"/>
    <x v="1"/>
    <x v="0"/>
    <x v="2"/>
    <x v="2"/>
    <x v="2"/>
    <x v="0"/>
    <x v="134"/>
    <x v="0"/>
    <x v="134"/>
  </r>
  <r>
    <x v="0"/>
    <x v="0"/>
    <x v="1"/>
    <x v="1"/>
    <x v="0"/>
    <x v="0"/>
    <x v="0"/>
    <x v="0"/>
    <x v="135"/>
    <x v="0"/>
    <x v="135"/>
  </r>
  <r>
    <x v="0"/>
    <x v="0"/>
    <x v="1"/>
    <x v="1"/>
    <x v="0"/>
    <x v="0"/>
    <x v="1"/>
    <x v="0"/>
    <x v="136"/>
    <x v="0"/>
    <x v="136"/>
  </r>
  <r>
    <x v="0"/>
    <x v="0"/>
    <x v="1"/>
    <x v="1"/>
    <x v="0"/>
    <x v="0"/>
    <x v="2"/>
    <x v="0"/>
    <x v="137"/>
    <x v="0"/>
    <x v="137"/>
  </r>
  <r>
    <x v="0"/>
    <x v="0"/>
    <x v="1"/>
    <x v="1"/>
    <x v="0"/>
    <x v="1"/>
    <x v="0"/>
    <x v="0"/>
    <x v="138"/>
    <x v="0"/>
    <x v="138"/>
  </r>
  <r>
    <x v="0"/>
    <x v="0"/>
    <x v="1"/>
    <x v="1"/>
    <x v="0"/>
    <x v="1"/>
    <x v="1"/>
    <x v="0"/>
    <x v="139"/>
    <x v="0"/>
    <x v="139"/>
  </r>
  <r>
    <x v="0"/>
    <x v="0"/>
    <x v="1"/>
    <x v="1"/>
    <x v="0"/>
    <x v="1"/>
    <x v="2"/>
    <x v="0"/>
    <x v="140"/>
    <x v="0"/>
    <x v="140"/>
  </r>
  <r>
    <x v="0"/>
    <x v="0"/>
    <x v="1"/>
    <x v="1"/>
    <x v="0"/>
    <x v="2"/>
    <x v="0"/>
    <x v="0"/>
    <x v="141"/>
    <x v="0"/>
    <x v="141"/>
  </r>
  <r>
    <x v="0"/>
    <x v="0"/>
    <x v="1"/>
    <x v="1"/>
    <x v="0"/>
    <x v="2"/>
    <x v="1"/>
    <x v="0"/>
    <x v="142"/>
    <x v="0"/>
    <x v="142"/>
  </r>
  <r>
    <x v="0"/>
    <x v="0"/>
    <x v="1"/>
    <x v="1"/>
    <x v="0"/>
    <x v="2"/>
    <x v="2"/>
    <x v="0"/>
    <x v="143"/>
    <x v="0"/>
    <x v="143"/>
  </r>
  <r>
    <x v="0"/>
    <x v="0"/>
    <x v="1"/>
    <x v="1"/>
    <x v="1"/>
    <x v="0"/>
    <x v="0"/>
    <x v="0"/>
    <x v="144"/>
    <x v="0"/>
    <x v="144"/>
  </r>
  <r>
    <x v="0"/>
    <x v="0"/>
    <x v="1"/>
    <x v="1"/>
    <x v="1"/>
    <x v="0"/>
    <x v="1"/>
    <x v="0"/>
    <x v="145"/>
    <x v="0"/>
    <x v="145"/>
  </r>
  <r>
    <x v="0"/>
    <x v="0"/>
    <x v="1"/>
    <x v="1"/>
    <x v="1"/>
    <x v="0"/>
    <x v="2"/>
    <x v="0"/>
    <x v="146"/>
    <x v="0"/>
    <x v="146"/>
  </r>
  <r>
    <x v="0"/>
    <x v="0"/>
    <x v="1"/>
    <x v="1"/>
    <x v="1"/>
    <x v="1"/>
    <x v="0"/>
    <x v="0"/>
    <x v="147"/>
    <x v="0"/>
    <x v="147"/>
  </r>
  <r>
    <x v="0"/>
    <x v="0"/>
    <x v="1"/>
    <x v="1"/>
    <x v="1"/>
    <x v="1"/>
    <x v="1"/>
    <x v="0"/>
    <x v="148"/>
    <x v="0"/>
    <x v="148"/>
  </r>
  <r>
    <x v="0"/>
    <x v="0"/>
    <x v="1"/>
    <x v="1"/>
    <x v="1"/>
    <x v="1"/>
    <x v="2"/>
    <x v="0"/>
    <x v="149"/>
    <x v="0"/>
    <x v="149"/>
  </r>
  <r>
    <x v="0"/>
    <x v="0"/>
    <x v="1"/>
    <x v="1"/>
    <x v="1"/>
    <x v="2"/>
    <x v="0"/>
    <x v="0"/>
    <x v="150"/>
    <x v="0"/>
    <x v="150"/>
  </r>
  <r>
    <x v="0"/>
    <x v="0"/>
    <x v="1"/>
    <x v="1"/>
    <x v="1"/>
    <x v="2"/>
    <x v="1"/>
    <x v="0"/>
    <x v="151"/>
    <x v="0"/>
    <x v="151"/>
  </r>
  <r>
    <x v="0"/>
    <x v="0"/>
    <x v="1"/>
    <x v="1"/>
    <x v="1"/>
    <x v="2"/>
    <x v="2"/>
    <x v="0"/>
    <x v="152"/>
    <x v="0"/>
    <x v="152"/>
  </r>
  <r>
    <x v="0"/>
    <x v="0"/>
    <x v="1"/>
    <x v="1"/>
    <x v="2"/>
    <x v="0"/>
    <x v="0"/>
    <x v="0"/>
    <x v="153"/>
    <x v="0"/>
    <x v="153"/>
  </r>
  <r>
    <x v="0"/>
    <x v="0"/>
    <x v="1"/>
    <x v="1"/>
    <x v="2"/>
    <x v="0"/>
    <x v="1"/>
    <x v="0"/>
    <x v="154"/>
    <x v="0"/>
    <x v="154"/>
  </r>
  <r>
    <x v="0"/>
    <x v="0"/>
    <x v="1"/>
    <x v="1"/>
    <x v="2"/>
    <x v="0"/>
    <x v="2"/>
    <x v="0"/>
    <x v="155"/>
    <x v="0"/>
    <x v="155"/>
  </r>
  <r>
    <x v="0"/>
    <x v="0"/>
    <x v="1"/>
    <x v="1"/>
    <x v="2"/>
    <x v="1"/>
    <x v="0"/>
    <x v="0"/>
    <x v="156"/>
    <x v="0"/>
    <x v="156"/>
  </r>
  <r>
    <x v="0"/>
    <x v="0"/>
    <x v="1"/>
    <x v="1"/>
    <x v="2"/>
    <x v="1"/>
    <x v="1"/>
    <x v="0"/>
    <x v="157"/>
    <x v="0"/>
    <x v="157"/>
  </r>
  <r>
    <x v="0"/>
    <x v="0"/>
    <x v="1"/>
    <x v="1"/>
    <x v="2"/>
    <x v="1"/>
    <x v="2"/>
    <x v="0"/>
    <x v="158"/>
    <x v="0"/>
    <x v="158"/>
  </r>
  <r>
    <x v="0"/>
    <x v="0"/>
    <x v="1"/>
    <x v="1"/>
    <x v="2"/>
    <x v="2"/>
    <x v="0"/>
    <x v="0"/>
    <x v="159"/>
    <x v="0"/>
    <x v="159"/>
  </r>
  <r>
    <x v="0"/>
    <x v="0"/>
    <x v="1"/>
    <x v="1"/>
    <x v="2"/>
    <x v="2"/>
    <x v="1"/>
    <x v="0"/>
    <x v="160"/>
    <x v="0"/>
    <x v="160"/>
  </r>
  <r>
    <x v="0"/>
    <x v="0"/>
    <x v="1"/>
    <x v="1"/>
    <x v="2"/>
    <x v="2"/>
    <x v="2"/>
    <x v="0"/>
    <x v="161"/>
    <x v="0"/>
    <x v="161"/>
  </r>
  <r>
    <x v="0"/>
    <x v="0"/>
    <x v="1"/>
    <x v="2"/>
    <x v="0"/>
    <x v="0"/>
    <x v="0"/>
    <x v="0"/>
    <x v="162"/>
    <x v="0"/>
    <x v="162"/>
  </r>
  <r>
    <x v="0"/>
    <x v="0"/>
    <x v="1"/>
    <x v="2"/>
    <x v="0"/>
    <x v="0"/>
    <x v="1"/>
    <x v="0"/>
    <x v="163"/>
    <x v="0"/>
    <x v="163"/>
  </r>
  <r>
    <x v="0"/>
    <x v="0"/>
    <x v="1"/>
    <x v="2"/>
    <x v="0"/>
    <x v="0"/>
    <x v="2"/>
    <x v="0"/>
    <x v="164"/>
    <x v="0"/>
    <x v="164"/>
  </r>
  <r>
    <x v="0"/>
    <x v="0"/>
    <x v="1"/>
    <x v="2"/>
    <x v="0"/>
    <x v="1"/>
    <x v="0"/>
    <x v="0"/>
    <x v="165"/>
    <x v="0"/>
    <x v="165"/>
  </r>
  <r>
    <x v="0"/>
    <x v="0"/>
    <x v="1"/>
    <x v="2"/>
    <x v="0"/>
    <x v="1"/>
    <x v="1"/>
    <x v="0"/>
    <x v="166"/>
    <x v="0"/>
    <x v="166"/>
  </r>
  <r>
    <x v="0"/>
    <x v="0"/>
    <x v="1"/>
    <x v="2"/>
    <x v="0"/>
    <x v="1"/>
    <x v="2"/>
    <x v="0"/>
    <x v="167"/>
    <x v="0"/>
    <x v="167"/>
  </r>
  <r>
    <x v="0"/>
    <x v="0"/>
    <x v="1"/>
    <x v="2"/>
    <x v="0"/>
    <x v="2"/>
    <x v="0"/>
    <x v="0"/>
    <x v="168"/>
    <x v="0"/>
    <x v="168"/>
  </r>
  <r>
    <x v="0"/>
    <x v="0"/>
    <x v="1"/>
    <x v="2"/>
    <x v="0"/>
    <x v="2"/>
    <x v="1"/>
    <x v="0"/>
    <x v="169"/>
    <x v="0"/>
    <x v="169"/>
  </r>
  <r>
    <x v="0"/>
    <x v="0"/>
    <x v="1"/>
    <x v="2"/>
    <x v="0"/>
    <x v="2"/>
    <x v="2"/>
    <x v="0"/>
    <x v="170"/>
    <x v="0"/>
    <x v="170"/>
  </r>
  <r>
    <x v="0"/>
    <x v="0"/>
    <x v="1"/>
    <x v="2"/>
    <x v="1"/>
    <x v="0"/>
    <x v="0"/>
    <x v="0"/>
    <x v="171"/>
    <x v="0"/>
    <x v="171"/>
  </r>
  <r>
    <x v="0"/>
    <x v="0"/>
    <x v="1"/>
    <x v="2"/>
    <x v="1"/>
    <x v="0"/>
    <x v="1"/>
    <x v="0"/>
    <x v="172"/>
    <x v="0"/>
    <x v="172"/>
  </r>
  <r>
    <x v="0"/>
    <x v="0"/>
    <x v="1"/>
    <x v="2"/>
    <x v="1"/>
    <x v="0"/>
    <x v="2"/>
    <x v="0"/>
    <x v="173"/>
    <x v="0"/>
    <x v="173"/>
  </r>
  <r>
    <x v="0"/>
    <x v="0"/>
    <x v="1"/>
    <x v="2"/>
    <x v="1"/>
    <x v="1"/>
    <x v="0"/>
    <x v="0"/>
    <x v="174"/>
    <x v="0"/>
    <x v="174"/>
  </r>
  <r>
    <x v="0"/>
    <x v="0"/>
    <x v="1"/>
    <x v="2"/>
    <x v="1"/>
    <x v="1"/>
    <x v="1"/>
    <x v="0"/>
    <x v="175"/>
    <x v="0"/>
    <x v="175"/>
  </r>
  <r>
    <x v="0"/>
    <x v="0"/>
    <x v="1"/>
    <x v="2"/>
    <x v="1"/>
    <x v="1"/>
    <x v="2"/>
    <x v="0"/>
    <x v="176"/>
    <x v="0"/>
    <x v="176"/>
  </r>
  <r>
    <x v="0"/>
    <x v="0"/>
    <x v="1"/>
    <x v="2"/>
    <x v="1"/>
    <x v="2"/>
    <x v="0"/>
    <x v="0"/>
    <x v="177"/>
    <x v="0"/>
    <x v="177"/>
  </r>
  <r>
    <x v="0"/>
    <x v="0"/>
    <x v="1"/>
    <x v="2"/>
    <x v="1"/>
    <x v="2"/>
    <x v="1"/>
    <x v="0"/>
    <x v="178"/>
    <x v="0"/>
    <x v="178"/>
  </r>
  <r>
    <x v="0"/>
    <x v="0"/>
    <x v="1"/>
    <x v="2"/>
    <x v="1"/>
    <x v="2"/>
    <x v="2"/>
    <x v="0"/>
    <x v="179"/>
    <x v="0"/>
    <x v="179"/>
  </r>
  <r>
    <x v="0"/>
    <x v="0"/>
    <x v="1"/>
    <x v="2"/>
    <x v="2"/>
    <x v="0"/>
    <x v="0"/>
    <x v="0"/>
    <x v="180"/>
    <x v="0"/>
    <x v="180"/>
  </r>
  <r>
    <x v="0"/>
    <x v="0"/>
    <x v="1"/>
    <x v="2"/>
    <x v="2"/>
    <x v="0"/>
    <x v="1"/>
    <x v="0"/>
    <x v="181"/>
    <x v="0"/>
    <x v="181"/>
  </r>
  <r>
    <x v="0"/>
    <x v="0"/>
    <x v="1"/>
    <x v="2"/>
    <x v="2"/>
    <x v="0"/>
    <x v="2"/>
    <x v="0"/>
    <x v="182"/>
    <x v="0"/>
    <x v="182"/>
  </r>
  <r>
    <x v="0"/>
    <x v="0"/>
    <x v="1"/>
    <x v="2"/>
    <x v="2"/>
    <x v="1"/>
    <x v="0"/>
    <x v="0"/>
    <x v="183"/>
    <x v="0"/>
    <x v="183"/>
  </r>
  <r>
    <x v="0"/>
    <x v="0"/>
    <x v="1"/>
    <x v="2"/>
    <x v="2"/>
    <x v="1"/>
    <x v="1"/>
    <x v="0"/>
    <x v="184"/>
    <x v="0"/>
    <x v="184"/>
  </r>
  <r>
    <x v="0"/>
    <x v="0"/>
    <x v="1"/>
    <x v="2"/>
    <x v="2"/>
    <x v="1"/>
    <x v="2"/>
    <x v="0"/>
    <x v="185"/>
    <x v="0"/>
    <x v="185"/>
  </r>
  <r>
    <x v="0"/>
    <x v="0"/>
    <x v="1"/>
    <x v="2"/>
    <x v="2"/>
    <x v="2"/>
    <x v="0"/>
    <x v="0"/>
    <x v="186"/>
    <x v="0"/>
    <x v="186"/>
  </r>
  <r>
    <x v="0"/>
    <x v="0"/>
    <x v="1"/>
    <x v="2"/>
    <x v="2"/>
    <x v="2"/>
    <x v="1"/>
    <x v="0"/>
    <x v="187"/>
    <x v="0"/>
    <x v="187"/>
  </r>
  <r>
    <x v="0"/>
    <x v="0"/>
    <x v="1"/>
    <x v="2"/>
    <x v="2"/>
    <x v="2"/>
    <x v="2"/>
    <x v="0"/>
    <x v="188"/>
    <x v="0"/>
    <x v="188"/>
  </r>
  <r>
    <x v="0"/>
    <x v="0"/>
    <x v="1"/>
    <x v="3"/>
    <x v="0"/>
    <x v="0"/>
    <x v="0"/>
    <x v="0"/>
    <x v="189"/>
    <x v="0"/>
    <x v="189"/>
  </r>
  <r>
    <x v="0"/>
    <x v="0"/>
    <x v="1"/>
    <x v="3"/>
    <x v="0"/>
    <x v="0"/>
    <x v="1"/>
    <x v="0"/>
    <x v="190"/>
    <x v="0"/>
    <x v="190"/>
  </r>
  <r>
    <x v="0"/>
    <x v="0"/>
    <x v="1"/>
    <x v="3"/>
    <x v="0"/>
    <x v="0"/>
    <x v="2"/>
    <x v="0"/>
    <x v="191"/>
    <x v="0"/>
    <x v="191"/>
  </r>
  <r>
    <x v="0"/>
    <x v="0"/>
    <x v="1"/>
    <x v="3"/>
    <x v="0"/>
    <x v="1"/>
    <x v="0"/>
    <x v="0"/>
    <x v="192"/>
    <x v="0"/>
    <x v="192"/>
  </r>
  <r>
    <x v="0"/>
    <x v="0"/>
    <x v="1"/>
    <x v="3"/>
    <x v="0"/>
    <x v="1"/>
    <x v="1"/>
    <x v="0"/>
    <x v="193"/>
    <x v="0"/>
    <x v="193"/>
  </r>
  <r>
    <x v="0"/>
    <x v="0"/>
    <x v="1"/>
    <x v="3"/>
    <x v="0"/>
    <x v="1"/>
    <x v="2"/>
    <x v="0"/>
    <x v="194"/>
    <x v="0"/>
    <x v="194"/>
  </r>
  <r>
    <x v="0"/>
    <x v="0"/>
    <x v="1"/>
    <x v="3"/>
    <x v="0"/>
    <x v="2"/>
    <x v="0"/>
    <x v="0"/>
    <x v="195"/>
    <x v="0"/>
    <x v="195"/>
  </r>
  <r>
    <x v="0"/>
    <x v="0"/>
    <x v="1"/>
    <x v="3"/>
    <x v="0"/>
    <x v="2"/>
    <x v="1"/>
    <x v="0"/>
    <x v="196"/>
    <x v="0"/>
    <x v="196"/>
  </r>
  <r>
    <x v="0"/>
    <x v="0"/>
    <x v="1"/>
    <x v="3"/>
    <x v="0"/>
    <x v="2"/>
    <x v="2"/>
    <x v="0"/>
    <x v="197"/>
    <x v="0"/>
    <x v="197"/>
  </r>
  <r>
    <x v="0"/>
    <x v="0"/>
    <x v="1"/>
    <x v="3"/>
    <x v="1"/>
    <x v="0"/>
    <x v="0"/>
    <x v="0"/>
    <x v="198"/>
    <x v="0"/>
    <x v="198"/>
  </r>
  <r>
    <x v="0"/>
    <x v="0"/>
    <x v="1"/>
    <x v="3"/>
    <x v="1"/>
    <x v="0"/>
    <x v="1"/>
    <x v="0"/>
    <x v="199"/>
    <x v="0"/>
    <x v="199"/>
  </r>
  <r>
    <x v="0"/>
    <x v="0"/>
    <x v="1"/>
    <x v="3"/>
    <x v="1"/>
    <x v="0"/>
    <x v="2"/>
    <x v="0"/>
    <x v="200"/>
    <x v="0"/>
    <x v="200"/>
  </r>
  <r>
    <x v="0"/>
    <x v="0"/>
    <x v="1"/>
    <x v="3"/>
    <x v="1"/>
    <x v="1"/>
    <x v="0"/>
    <x v="0"/>
    <x v="201"/>
    <x v="0"/>
    <x v="201"/>
  </r>
  <r>
    <x v="0"/>
    <x v="0"/>
    <x v="1"/>
    <x v="3"/>
    <x v="1"/>
    <x v="1"/>
    <x v="1"/>
    <x v="0"/>
    <x v="202"/>
    <x v="0"/>
    <x v="202"/>
  </r>
  <r>
    <x v="0"/>
    <x v="0"/>
    <x v="1"/>
    <x v="3"/>
    <x v="1"/>
    <x v="1"/>
    <x v="2"/>
    <x v="0"/>
    <x v="203"/>
    <x v="0"/>
    <x v="203"/>
  </r>
  <r>
    <x v="0"/>
    <x v="0"/>
    <x v="1"/>
    <x v="3"/>
    <x v="1"/>
    <x v="2"/>
    <x v="0"/>
    <x v="0"/>
    <x v="204"/>
    <x v="0"/>
    <x v="204"/>
  </r>
  <r>
    <x v="0"/>
    <x v="0"/>
    <x v="1"/>
    <x v="3"/>
    <x v="1"/>
    <x v="2"/>
    <x v="1"/>
    <x v="0"/>
    <x v="205"/>
    <x v="0"/>
    <x v="205"/>
  </r>
  <r>
    <x v="0"/>
    <x v="0"/>
    <x v="1"/>
    <x v="3"/>
    <x v="1"/>
    <x v="2"/>
    <x v="2"/>
    <x v="0"/>
    <x v="206"/>
    <x v="0"/>
    <x v="206"/>
  </r>
  <r>
    <x v="0"/>
    <x v="0"/>
    <x v="1"/>
    <x v="3"/>
    <x v="2"/>
    <x v="0"/>
    <x v="0"/>
    <x v="0"/>
    <x v="207"/>
    <x v="0"/>
    <x v="207"/>
  </r>
  <r>
    <x v="0"/>
    <x v="0"/>
    <x v="1"/>
    <x v="3"/>
    <x v="2"/>
    <x v="0"/>
    <x v="1"/>
    <x v="0"/>
    <x v="208"/>
    <x v="0"/>
    <x v="208"/>
  </r>
  <r>
    <x v="0"/>
    <x v="0"/>
    <x v="1"/>
    <x v="3"/>
    <x v="2"/>
    <x v="0"/>
    <x v="2"/>
    <x v="0"/>
    <x v="209"/>
    <x v="0"/>
    <x v="209"/>
  </r>
  <r>
    <x v="0"/>
    <x v="0"/>
    <x v="1"/>
    <x v="3"/>
    <x v="2"/>
    <x v="1"/>
    <x v="0"/>
    <x v="0"/>
    <x v="210"/>
    <x v="0"/>
    <x v="210"/>
  </r>
  <r>
    <x v="0"/>
    <x v="0"/>
    <x v="1"/>
    <x v="3"/>
    <x v="2"/>
    <x v="1"/>
    <x v="1"/>
    <x v="0"/>
    <x v="211"/>
    <x v="0"/>
    <x v="211"/>
  </r>
  <r>
    <x v="0"/>
    <x v="0"/>
    <x v="1"/>
    <x v="3"/>
    <x v="2"/>
    <x v="1"/>
    <x v="2"/>
    <x v="0"/>
    <x v="212"/>
    <x v="0"/>
    <x v="212"/>
  </r>
  <r>
    <x v="0"/>
    <x v="0"/>
    <x v="1"/>
    <x v="3"/>
    <x v="2"/>
    <x v="2"/>
    <x v="0"/>
    <x v="0"/>
    <x v="213"/>
    <x v="0"/>
    <x v="213"/>
  </r>
  <r>
    <x v="0"/>
    <x v="0"/>
    <x v="1"/>
    <x v="3"/>
    <x v="2"/>
    <x v="2"/>
    <x v="1"/>
    <x v="0"/>
    <x v="214"/>
    <x v="0"/>
    <x v="214"/>
  </r>
  <r>
    <x v="0"/>
    <x v="0"/>
    <x v="1"/>
    <x v="3"/>
    <x v="2"/>
    <x v="2"/>
    <x v="2"/>
    <x v="0"/>
    <x v="215"/>
    <x v="0"/>
    <x v="215"/>
  </r>
  <r>
    <x v="0"/>
    <x v="0"/>
    <x v="2"/>
    <x v="0"/>
    <x v="0"/>
    <x v="0"/>
    <x v="0"/>
    <x v="0"/>
    <x v="216"/>
    <x v="0"/>
    <x v="216"/>
  </r>
  <r>
    <x v="0"/>
    <x v="0"/>
    <x v="2"/>
    <x v="0"/>
    <x v="0"/>
    <x v="0"/>
    <x v="1"/>
    <x v="0"/>
    <x v="217"/>
    <x v="0"/>
    <x v="217"/>
  </r>
  <r>
    <x v="0"/>
    <x v="0"/>
    <x v="2"/>
    <x v="0"/>
    <x v="0"/>
    <x v="0"/>
    <x v="2"/>
    <x v="0"/>
    <x v="218"/>
    <x v="0"/>
    <x v="218"/>
  </r>
  <r>
    <x v="0"/>
    <x v="0"/>
    <x v="2"/>
    <x v="0"/>
    <x v="0"/>
    <x v="1"/>
    <x v="0"/>
    <x v="0"/>
    <x v="219"/>
    <x v="0"/>
    <x v="219"/>
  </r>
  <r>
    <x v="0"/>
    <x v="0"/>
    <x v="2"/>
    <x v="0"/>
    <x v="0"/>
    <x v="1"/>
    <x v="1"/>
    <x v="0"/>
    <x v="220"/>
    <x v="0"/>
    <x v="220"/>
  </r>
  <r>
    <x v="0"/>
    <x v="0"/>
    <x v="2"/>
    <x v="0"/>
    <x v="0"/>
    <x v="1"/>
    <x v="2"/>
    <x v="0"/>
    <x v="221"/>
    <x v="0"/>
    <x v="221"/>
  </r>
  <r>
    <x v="0"/>
    <x v="0"/>
    <x v="2"/>
    <x v="0"/>
    <x v="0"/>
    <x v="2"/>
    <x v="0"/>
    <x v="0"/>
    <x v="222"/>
    <x v="0"/>
    <x v="222"/>
  </r>
  <r>
    <x v="0"/>
    <x v="0"/>
    <x v="2"/>
    <x v="0"/>
    <x v="0"/>
    <x v="2"/>
    <x v="1"/>
    <x v="0"/>
    <x v="223"/>
    <x v="0"/>
    <x v="223"/>
  </r>
  <r>
    <x v="0"/>
    <x v="0"/>
    <x v="2"/>
    <x v="0"/>
    <x v="0"/>
    <x v="2"/>
    <x v="2"/>
    <x v="0"/>
    <x v="224"/>
    <x v="0"/>
    <x v="224"/>
  </r>
  <r>
    <x v="0"/>
    <x v="0"/>
    <x v="2"/>
    <x v="0"/>
    <x v="1"/>
    <x v="0"/>
    <x v="0"/>
    <x v="0"/>
    <x v="225"/>
    <x v="0"/>
    <x v="225"/>
  </r>
  <r>
    <x v="0"/>
    <x v="0"/>
    <x v="2"/>
    <x v="0"/>
    <x v="1"/>
    <x v="0"/>
    <x v="1"/>
    <x v="0"/>
    <x v="226"/>
    <x v="0"/>
    <x v="226"/>
  </r>
  <r>
    <x v="0"/>
    <x v="0"/>
    <x v="2"/>
    <x v="0"/>
    <x v="1"/>
    <x v="0"/>
    <x v="2"/>
    <x v="1"/>
    <x v="227"/>
    <x v="0"/>
    <x v="227"/>
  </r>
  <r>
    <x v="0"/>
    <x v="0"/>
    <x v="2"/>
    <x v="0"/>
    <x v="1"/>
    <x v="1"/>
    <x v="0"/>
    <x v="0"/>
    <x v="228"/>
    <x v="0"/>
    <x v="228"/>
  </r>
  <r>
    <x v="0"/>
    <x v="0"/>
    <x v="2"/>
    <x v="0"/>
    <x v="1"/>
    <x v="1"/>
    <x v="1"/>
    <x v="0"/>
    <x v="229"/>
    <x v="0"/>
    <x v="229"/>
  </r>
  <r>
    <x v="0"/>
    <x v="0"/>
    <x v="2"/>
    <x v="0"/>
    <x v="1"/>
    <x v="1"/>
    <x v="2"/>
    <x v="1"/>
    <x v="230"/>
    <x v="0"/>
    <x v="230"/>
  </r>
  <r>
    <x v="0"/>
    <x v="0"/>
    <x v="2"/>
    <x v="0"/>
    <x v="1"/>
    <x v="2"/>
    <x v="0"/>
    <x v="0"/>
    <x v="231"/>
    <x v="0"/>
    <x v="231"/>
  </r>
  <r>
    <x v="0"/>
    <x v="0"/>
    <x v="2"/>
    <x v="0"/>
    <x v="1"/>
    <x v="2"/>
    <x v="1"/>
    <x v="1"/>
    <x v="232"/>
    <x v="0"/>
    <x v="232"/>
  </r>
  <r>
    <x v="0"/>
    <x v="0"/>
    <x v="2"/>
    <x v="0"/>
    <x v="1"/>
    <x v="2"/>
    <x v="2"/>
    <x v="1"/>
    <x v="233"/>
    <x v="0"/>
    <x v="233"/>
  </r>
  <r>
    <x v="0"/>
    <x v="0"/>
    <x v="2"/>
    <x v="0"/>
    <x v="2"/>
    <x v="0"/>
    <x v="0"/>
    <x v="0"/>
    <x v="234"/>
    <x v="0"/>
    <x v="234"/>
  </r>
  <r>
    <x v="0"/>
    <x v="0"/>
    <x v="2"/>
    <x v="0"/>
    <x v="2"/>
    <x v="0"/>
    <x v="1"/>
    <x v="0"/>
    <x v="235"/>
    <x v="0"/>
    <x v="235"/>
  </r>
  <r>
    <x v="0"/>
    <x v="0"/>
    <x v="2"/>
    <x v="0"/>
    <x v="2"/>
    <x v="0"/>
    <x v="2"/>
    <x v="0"/>
    <x v="236"/>
    <x v="0"/>
    <x v="236"/>
  </r>
  <r>
    <x v="0"/>
    <x v="0"/>
    <x v="2"/>
    <x v="0"/>
    <x v="2"/>
    <x v="1"/>
    <x v="0"/>
    <x v="0"/>
    <x v="237"/>
    <x v="0"/>
    <x v="237"/>
  </r>
  <r>
    <x v="0"/>
    <x v="0"/>
    <x v="2"/>
    <x v="0"/>
    <x v="2"/>
    <x v="1"/>
    <x v="1"/>
    <x v="0"/>
    <x v="238"/>
    <x v="0"/>
    <x v="238"/>
  </r>
  <r>
    <x v="0"/>
    <x v="0"/>
    <x v="2"/>
    <x v="0"/>
    <x v="2"/>
    <x v="1"/>
    <x v="2"/>
    <x v="1"/>
    <x v="239"/>
    <x v="0"/>
    <x v="239"/>
  </r>
  <r>
    <x v="0"/>
    <x v="0"/>
    <x v="2"/>
    <x v="0"/>
    <x v="2"/>
    <x v="2"/>
    <x v="0"/>
    <x v="0"/>
    <x v="240"/>
    <x v="0"/>
    <x v="240"/>
  </r>
  <r>
    <x v="0"/>
    <x v="0"/>
    <x v="2"/>
    <x v="0"/>
    <x v="2"/>
    <x v="2"/>
    <x v="1"/>
    <x v="1"/>
    <x v="241"/>
    <x v="0"/>
    <x v="241"/>
  </r>
  <r>
    <x v="0"/>
    <x v="0"/>
    <x v="2"/>
    <x v="0"/>
    <x v="2"/>
    <x v="2"/>
    <x v="2"/>
    <x v="1"/>
    <x v="242"/>
    <x v="0"/>
    <x v="242"/>
  </r>
  <r>
    <x v="0"/>
    <x v="0"/>
    <x v="2"/>
    <x v="1"/>
    <x v="0"/>
    <x v="0"/>
    <x v="0"/>
    <x v="0"/>
    <x v="243"/>
    <x v="0"/>
    <x v="243"/>
  </r>
  <r>
    <x v="0"/>
    <x v="0"/>
    <x v="2"/>
    <x v="1"/>
    <x v="0"/>
    <x v="0"/>
    <x v="1"/>
    <x v="0"/>
    <x v="244"/>
    <x v="0"/>
    <x v="244"/>
  </r>
  <r>
    <x v="0"/>
    <x v="0"/>
    <x v="2"/>
    <x v="1"/>
    <x v="0"/>
    <x v="0"/>
    <x v="2"/>
    <x v="0"/>
    <x v="245"/>
    <x v="0"/>
    <x v="245"/>
  </r>
  <r>
    <x v="0"/>
    <x v="0"/>
    <x v="2"/>
    <x v="1"/>
    <x v="0"/>
    <x v="1"/>
    <x v="0"/>
    <x v="0"/>
    <x v="246"/>
    <x v="0"/>
    <x v="246"/>
  </r>
  <r>
    <x v="0"/>
    <x v="0"/>
    <x v="2"/>
    <x v="1"/>
    <x v="0"/>
    <x v="1"/>
    <x v="1"/>
    <x v="0"/>
    <x v="247"/>
    <x v="0"/>
    <x v="247"/>
  </r>
  <r>
    <x v="0"/>
    <x v="0"/>
    <x v="2"/>
    <x v="1"/>
    <x v="0"/>
    <x v="1"/>
    <x v="2"/>
    <x v="0"/>
    <x v="248"/>
    <x v="0"/>
    <x v="248"/>
  </r>
  <r>
    <x v="0"/>
    <x v="0"/>
    <x v="2"/>
    <x v="1"/>
    <x v="0"/>
    <x v="2"/>
    <x v="0"/>
    <x v="0"/>
    <x v="249"/>
    <x v="0"/>
    <x v="249"/>
  </r>
  <r>
    <x v="0"/>
    <x v="0"/>
    <x v="2"/>
    <x v="1"/>
    <x v="0"/>
    <x v="2"/>
    <x v="1"/>
    <x v="0"/>
    <x v="250"/>
    <x v="0"/>
    <x v="250"/>
  </r>
  <r>
    <x v="0"/>
    <x v="0"/>
    <x v="2"/>
    <x v="1"/>
    <x v="0"/>
    <x v="2"/>
    <x v="2"/>
    <x v="0"/>
    <x v="251"/>
    <x v="0"/>
    <x v="251"/>
  </r>
  <r>
    <x v="0"/>
    <x v="0"/>
    <x v="2"/>
    <x v="1"/>
    <x v="1"/>
    <x v="0"/>
    <x v="0"/>
    <x v="0"/>
    <x v="252"/>
    <x v="0"/>
    <x v="252"/>
  </r>
  <r>
    <x v="0"/>
    <x v="0"/>
    <x v="2"/>
    <x v="1"/>
    <x v="1"/>
    <x v="0"/>
    <x v="1"/>
    <x v="0"/>
    <x v="253"/>
    <x v="0"/>
    <x v="253"/>
  </r>
  <r>
    <x v="0"/>
    <x v="0"/>
    <x v="2"/>
    <x v="1"/>
    <x v="1"/>
    <x v="0"/>
    <x v="2"/>
    <x v="1"/>
    <x v="254"/>
    <x v="0"/>
    <x v="254"/>
  </r>
  <r>
    <x v="0"/>
    <x v="0"/>
    <x v="2"/>
    <x v="1"/>
    <x v="1"/>
    <x v="1"/>
    <x v="0"/>
    <x v="0"/>
    <x v="255"/>
    <x v="0"/>
    <x v="255"/>
  </r>
  <r>
    <x v="0"/>
    <x v="0"/>
    <x v="2"/>
    <x v="1"/>
    <x v="1"/>
    <x v="1"/>
    <x v="1"/>
    <x v="0"/>
    <x v="256"/>
    <x v="0"/>
    <x v="256"/>
  </r>
  <r>
    <x v="0"/>
    <x v="0"/>
    <x v="2"/>
    <x v="1"/>
    <x v="1"/>
    <x v="1"/>
    <x v="2"/>
    <x v="1"/>
    <x v="257"/>
    <x v="0"/>
    <x v="257"/>
  </r>
  <r>
    <x v="0"/>
    <x v="0"/>
    <x v="2"/>
    <x v="1"/>
    <x v="1"/>
    <x v="2"/>
    <x v="0"/>
    <x v="0"/>
    <x v="258"/>
    <x v="0"/>
    <x v="258"/>
  </r>
  <r>
    <x v="0"/>
    <x v="0"/>
    <x v="2"/>
    <x v="1"/>
    <x v="1"/>
    <x v="2"/>
    <x v="1"/>
    <x v="1"/>
    <x v="259"/>
    <x v="0"/>
    <x v="259"/>
  </r>
  <r>
    <x v="0"/>
    <x v="0"/>
    <x v="2"/>
    <x v="1"/>
    <x v="1"/>
    <x v="2"/>
    <x v="2"/>
    <x v="1"/>
    <x v="260"/>
    <x v="0"/>
    <x v="260"/>
  </r>
  <r>
    <x v="0"/>
    <x v="0"/>
    <x v="2"/>
    <x v="1"/>
    <x v="2"/>
    <x v="0"/>
    <x v="0"/>
    <x v="0"/>
    <x v="261"/>
    <x v="0"/>
    <x v="261"/>
  </r>
  <r>
    <x v="0"/>
    <x v="0"/>
    <x v="2"/>
    <x v="1"/>
    <x v="2"/>
    <x v="0"/>
    <x v="1"/>
    <x v="0"/>
    <x v="262"/>
    <x v="0"/>
    <x v="262"/>
  </r>
  <r>
    <x v="0"/>
    <x v="0"/>
    <x v="2"/>
    <x v="1"/>
    <x v="2"/>
    <x v="0"/>
    <x v="2"/>
    <x v="1"/>
    <x v="263"/>
    <x v="0"/>
    <x v="263"/>
  </r>
  <r>
    <x v="0"/>
    <x v="0"/>
    <x v="2"/>
    <x v="1"/>
    <x v="2"/>
    <x v="1"/>
    <x v="0"/>
    <x v="0"/>
    <x v="264"/>
    <x v="0"/>
    <x v="264"/>
  </r>
  <r>
    <x v="0"/>
    <x v="0"/>
    <x v="2"/>
    <x v="1"/>
    <x v="2"/>
    <x v="1"/>
    <x v="1"/>
    <x v="1"/>
    <x v="265"/>
    <x v="0"/>
    <x v="265"/>
  </r>
  <r>
    <x v="0"/>
    <x v="0"/>
    <x v="2"/>
    <x v="1"/>
    <x v="2"/>
    <x v="1"/>
    <x v="2"/>
    <x v="1"/>
    <x v="266"/>
    <x v="0"/>
    <x v="266"/>
  </r>
  <r>
    <x v="0"/>
    <x v="0"/>
    <x v="2"/>
    <x v="1"/>
    <x v="2"/>
    <x v="2"/>
    <x v="0"/>
    <x v="0"/>
    <x v="267"/>
    <x v="0"/>
    <x v="267"/>
  </r>
  <r>
    <x v="0"/>
    <x v="0"/>
    <x v="2"/>
    <x v="1"/>
    <x v="2"/>
    <x v="2"/>
    <x v="1"/>
    <x v="1"/>
    <x v="268"/>
    <x v="0"/>
    <x v="268"/>
  </r>
  <r>
    <x v="0"/>
    <x v="0"/>
    <x v="2"/>
    <x v="1"/>
    <x v="2"/>
    <x v="2"/>
    <x v="2"/>
    <x v="1"/>
    <x v="269"/>
    <x v="0"/>
    <x v="269"/>
  </r>
  <r>
    <x v="0"/>
    <x v="0"/>
    <x v="2"/>
    <x v="2"/>
    <x v="0"/>
    <x v="0"/>
    <x v="0"/>
    <x v="0"/>
    <x v="270"/>
    <x v="0"/>
    <x v="270"/>
  </r>
  <r>
    <x v="0"/>
    <x v="0"/>
    <x v="2"/>
    <x v="2"/>
    <x v="0"/>
    <x v="0"/>
    <x v="1"/>
    <x v="0"/>
    <x v="271"/>
    <x v="0"/>
    <x v="271"/>
  </r>
  <r>
    <x v="0"/>
    <x v="0"/>
    <x v="2"/>
    <x v="2"/>
    <x v="0"/>
    <x v="0"/>
    <x v="2"/>
    <x v="0"/>
    <x v="272"/>
    <x v="0"/>
    <x v="272"/>
  </r>
  <r>
    <x v="0"/>
    <x v="0"/>
    <x v="2"/>
    <x v="2"/>
    <x v="0"/>
    <x v="1"/>
    <x v="0"/>
    <x v="0"/>
    <x v="273"/>
    <x v="0"/>
    <x v="273"/>
  </r>
  <r>
    <x v="0"/>
    <x v="0"/>
    <x v="2"/>
    <x v="2"/>
    <x v="0"/>
    <x v="1"/>
    <x v="1"/>
    <x v="0"/>
    <x v="274"/>
    <x v="0"/>
    <x v="274"/>
  </r>
  <r>
    <x v="0"/>
    <x v="0"/>
    <x v="2"/>
    <x v="2"/>
    <x v="0"/>
    <x v="1"/>
    <x v="2"/>
    <x v="0"/>
    <x v="275"/>
    <x v="0"/>
    <x v="275"/>
  </r>
  <r>
    <x v="0"/>
    <x v="0"/>
    <x v="2"/>
    <x v="2"/>
    <x v="0"/>
    <x v="2"/>
    <x v="0"/>
    <x v="0"/>
    <x v="276"/>
    <x v="0"/>
    <x v="276"/>
  </r>
  <r>
    <x v="0"/>
    <x v="0"/>
    <x v="2"/>
    <x v="2"/>
    <x v="0"/>
    <x v="2"/>
    <x v="1"/>
    <x v="0"/>
    <x v="277"/>
    <x v="0"/>
    <x v="277"/>
  </r>
  <r>
    <x v="0"/>
    <x v="0"/>
    <x v="2"/>
    <x v="2"/>
    <x v="0"/>
    <x v="2"/>
    <x v="2"/>
    <x v="0"/>
    <x v="278"/>
    <x v="0"/>
    <x v="278"/>
  </r>
  <r>
    <x v="0"/>
    <x v="0"/>
    <x v="2"/>
    <x v="2"/>
    <x v="1"/>
    <x v="0"/>
    <x v="0"/>
    <x v="0"/>
    <x v="279"/>
    <x v="0"/>
    <x v="279"/>
  </r>
  <r>
    <x v="0"/>
    <x v="0"/>
    <x v="2"/>
    <x v="2"/>
    <x v="1"/>
    <x v="0"/>
    <x v="1"/>
    <x v="0"/>
    <x v="280"/>
    <x v="0"/>
    <x v="280"/>
  </r>
  <r>
    <x v="0"/>
    <x v="0"/>
    <x v="2"/>
    <x v="2"/>
    <x v="1"/>
    <x v="0"/>
    <x v="2"/>
    <x v="1"/>
    <x v="281"/>
    <x v="0"/>
    <x v="281"/>
  </r>
  <r>
    <x v="0"/>
    <x v="0"/>
    <x v="2"/>
    <x v="2"/>
    <x v="1"/>
    <x v="1"/>
    <x v="0"/>
    <x v="0"/>
    <x v="282"/>
    <x v="0"/>
    <x v="282"/>
  </r>
  <r>
    <x v="0"/>
    <x v="0"/>
    <x v="2"/>
    <x v="2"/>
    <x v="1"/>
    <x v="1"/>
    <x v="1"/>
    <x v="1"/>
    <x v="283"/>
    <x v="0"/>
    <x v="283"/>
  </r>
  <r>
    <x v="0"/>
    <x v="0"/>
    <x v="2"/>
    <x v="2"/>
    <x v="1"/>
    <x v="1"/>
    <x v="2"/>
    <x v="1"/>
    <x v="284"/>
    <x v="0"/>
    <x v="284"/>
  </r>
  <r>
    <x v="0"/>
    <x v="0"/>
    <x v="2"/>
    <x v="2"/>
    <x v="1"/>
    <x v="2"/>
    <x v="0"/>
    <x v="0"/>
    <x v="285"/>
    <x v="0"/>
    <x v="285"/>
  </r>
  <r>
    <x v="0"/>
    <x v="0"/>
    <x v="2"/>
    <x v="2"/>
    <x v="1"/>
    <x v="2"/>
    <x v="1"/>
    <x v="1"/>
    <x v="286"/>
    <x v="0"/>
    <x v="286"/>
  </r>
  <r>
    <x v="0"/>
    <x v="0"/>
    <x v="2"/>
    <x v="2"/>
    <x v="1"/>
    <x v="2"/>
    <x v="2"/>
    <x v="1"/>
    <x v="287"/>
    <x v="0"/>
    <x v="287"/>
  </r>
  <r>
    <x v="0"/>
    <x v="0"/>
    <x v="2"/>
    <x v="2"/>
    <x v="2"/>
    <x v="0"/>
    <x v="0"/>
    <x v="0"/>
    <x v="288"/>
    <x v="0"/>
    <x v="288"/>
  </r>
  <r>
    <x v="0"/>
    <x v="0"/>
    <x v="2"/>
    <x v="2"/>
    <x v="2"/>
    <x v="0"/>
    <x v="1"/>
    <x v="0"/>
    <x v="289"/>
    <x v="0"/>
    <x v="289"/>
  </r>
  <r>
    <x v="0"/>
    <x v="0"/>
    <x v="2"/>
    <x v="2"/>
    <x v="2"/>
    <x v="0"/>
    <x v="2"/>
    <x v="1"/>
    <x v="290"/>
    <x v="0"/>
    <x v="290"/>
  </r>
  <r>
    <x v="0"/>
    <x v="0"/>
    <x v="2"/>
    <x v="2"/>
    <x v="2"/>
    <x v="1"/>
    <x v="0"/>
    <x v="0"/>
    <x v="291"/>
    <x v="0"/>
    <x v="291"/>
  </r>
  <r>
    <x v="0"/>
    <x v="0"/>
    <x v="2"/>
    <x v="2"/>
    <x v="2"/>
    <x v="1"/>
    <x v="1"/>
    <x v="1"/>
    <x v="292"/>
    <x v="0"/>
    <x v="292"/>
  </r>
  <r>
    <x v="0"/>
    <x v="0"/>
    <x v="2"/>
    <x v="2"/>
    <x v="2"/>
    <x v="1"/>
    <x v="2"/>
    <x v="1"/>
    <x v="293"/>
    <x v="0"/>
    <x v="293"/>
  </r>
  <r>
    <x v="0"/>
    <x v="0"/>
    <x v="2"/>
    <x v="2"/>
    <x v="2"/>
    <x v="2"/>
    <x v="0"/>
    <x v="0"/>
    <x v="294"/>
    <x v="0"/>
    <x v="294"/>
  </r>
  <r>
    <x v="0"/>
    <x v="0"/>
    <x v="2"/>
    <x v="2"/>
    <x v="2"/>
    <x v="2"/>
    <x v="1"/>
    <x v="1"/>
    <x v="295"/>
    <x v="0"/>
    <x v="295"/>
  </r>
  <r>
    <x v="0"/>
    <x v="0"/>
    <x v="2"/>
    <x v="2"/>
    <x v="2"/>
    <x v="2"/>
    <x v="2"/>
    <x v="1"/>
    <x v="296"/>
    <x v="0"/>
    <x v="296"/>
  </r>
  <r>
    <x v="0"/>
    <x v="0"/>
    <x v="2"/>
    <x v="3"/>
    <x v="0"/>
    <x v="0"/>
    <x v="0"/>
    <x v="0"/>
    <x v="297"/>
    <x v="0"/>
    <x v="297"/>
  </r>
  <r>
    <x v="0"/>
    <x v="0"/>
    <x v="2"/>
    <x v="3"/>
    <x v="0"/>
    <x v="0"/>
    <x v="1"/>
    <x v="0"/>
    <x v="298"/>
    <x v="0"/>
    <x v="298"/>
  </r>
  <r>
    <x v="0"/>
    <x v="0"/>
    <x v="2"/>
    <x v="3"/>
    <x v="0"/>
    <x v="0"/>
    <x v="2"/>
    <x v="0"/>
    <x v="299"/>
    <x v="0"/>
    <x v="299"/>
  </r>
  <r>
    <x v="0"/>
    <x v="0"/>
    <x v="2"/>
    <x v="3"/>
    <x v="0"/>
    <x v="1"/>
    <x v="0"/>
    <x v="0"/>
    <x v="300"/>
    <x v="0"/>
    <x v="300"/>
  </r>
  <r>
    <x v="0"/>
    <x v="0"/>
    <x v="2"/>
    <x v="3"/>
    <x v="0"/>
    <x v="1"/>
    <x v="1"/>
    <x v="0"/>
    <x v="301"/>
    <x v="0"/>
    <x v="301"/>
  </r>
  <r>
    <x v="0"/>
    <x v="0"/>
    <x v="2"/>
    <x v="3"/>
    <x v="0"/>
    <x v="1"/>
    <x v="2"/>
    <x v="0"/>
    <x v="302"/>
    <x v="0"/>
    <x v="302"/>
  </r>
  <r>
    <x v="0"/>
    <x v="0"/>
    <x v="2"/>
    <x v="3"/>
    <x v="0"/>
    <x v="2"/>
    <x v="0"/>
    <x v="0"/>
    <x v="303"/>
    <x v="0"/>
    <x v="303"/>
  </r>
  <r>
    <x v="0"/>
    <x v="0"/>
    <x v="2"/>
    <x v="3"/>
    <x v="0"/>
    <x v="2"/>
    <x v="1"/>
    <x v="0"/>
    <x v="304"/>
    <x v="0"/>
    <x v="304"/>
  </r>
  <r>
    <x v="0"/>
    <x v="0"/>
    <x v="2"/>
    <x v="3"/>
    <x v="0"/>
    <x v="2"/>
    <x v="2"/>
    <x v="0"/>
    <x v="305"/>
    <x v="0"/>
    <x v="305"/>
  </r>
  <r>
    <x v="0"/>
    <x v="0"/>
    <x v="2"/>
    <x v="3"/>
    <x v="1"/>
    <x v="0"/>
    <x v="0"/>
    <x v="0"/>
    <x v="306"/>
    <x v="0"/>
    <x v="306"/>
  </r>
  <r>
    <x v="0"/>
    <x v="0"/>
    <x v="2"/>
    <x v="3"/>
    <x v="1"/>
    <x v="0"/>
    <x v="1"/>
    <x v="0"/>
    <x v="307"/>
    <x v="0"/>
    <x v="307"/>
  </r>
  <r>
    <x v="0"/>
    <x v="0"/>
    <x v="2"/>
    <x v="3"/>
    <x v="1"/>
    <x v="0"/>
    <x v="2"/>
    <x v="1"/>
    <x v="308"/>
    <x v="0"/>
    <x v="308"/>
  </r>
  <r>
    <x v="0"/>
    <x v="0"/>
    <x v="2"/>
    <x v="3"/>
    <x v="1"/>
    <x v="1"/>
    <x v="0"/>
    <x v="0"/>
    <x v="309"/>
    <x v="0"/>
    <x v="309"/>
  </r>
  <r>
    <x v="0"/>
    <x v="0"/>
    <x v="2"/>
    <x v="3"/>
    <x v="1"/>
    <x v="1"/>
    <x v="1"/>
    <x v="1"/>
    <x v="310"/>
    <x v="0"/>
    <x v="310"/>
  </r>
  <r>
    <x v="0"/>
    <x v="0"/>
    <x v="2"/>
    <x v="3"/>
    <x v="1"/>
    <x v="1"/>
    <x v="2"/>
    <x v="1"/>
    <x v="311"/>
    <x v="0"/>
    <x v="311"/>
  </r>
  <r>
    <x v="0"/>
    <x v="0"/>
    <x v="2"/>
    <x v="3"/>
    <x v="1"/>
    <x v="2"/>
    <x v="0"/>
    <x v="0"/>
    <x v="312"/>
    <x v="0"/>
    <x v="312"/>
  </r>
  <r>
    <x v="0"/>
    <x v="0"/>
    <x v="2"/>
    <x v="3"/>
    <x v="1"/>
    <x v="2"/>
    <x v="1"/>
    <x v="1"/>
    <x v="313"/>
    <x v="0"/>
    <x v="313"/>
  </r>
  <r>
    <x v="0"/>
    <x v="0"/>
    <x v="2"/>
    <x v="3"/>
    <x v="1"/>
    <x v="2"/>
    <x v="2"/>
    <x v="1"/>
    <x v="314"/>
    <x v="0"/>
    <x v="314"/>
  </r>
  <r>
    <x v="0"/>
    <x v="0"/>
    <x v="2"/>
    <x v="3"/>
    <x v="2"/>
    <x v="0"/>
    <x v="0"/>
    <x v="0"/>
    <x v="315"/>
    <x v="0"/>
    <x v="315"/>
  </r>
  <r>
    <x v="0"/>
    <x v="0"/>
    <x v="2"/>
    <x v="3"/>
    <x v="2"/>
    <x v="0"/>
    <x v="1"/>
    <x v="0"/>
    <x v="316"/>
    <x v="0"/>
    <x v="316"/>
  </r>
  <r>
    <x v="0"/>
    <x v="0"/>
    <x v="2"/>
    <x v="3"/>
    <x v="2"/>
    <x v="0"/>
    <x v="2"/>
    <x v="1"/>
    <x v="317"/>
    <x v="0"/>
    <x v="317"/>
  </r>
  <r>
    <x v="0"/>
    <x v="0"/>
    <x v="2"/>
    <x v="3"/>
    <x v="2"/>
    <x v="1"/>
    <x v="0"/>
    <x v="0"/>
    <x v="318"/>
    <x v="0"/>
    <x v="318"/>
  </r>
  <r>
    <x v="0"/>
    <x v="0"/>
    <x v="2"/>
    <x v="3"/>
    <x v="2"/>
    <x v="1"/>
    <x v="1"/>
    <x v="1"/>
    <x v="319"/>
    <x v="0"/>
    <x v="319"/>
  </r>
  <r>
    <x v="0"/>
    <x v="0"/>
    <x v="2"/>
    <x v="3"/>
    <x v="2"/>
    <x v="1"/>
    <x v="2"/>
    <x v="1"/>
    <x v="320"/>
    <x v="0"/>
    <x v="320"/>
  </r>
  <r>
    <x v="0"/>
    <x v="0"/>
    <x v="2"/>
    <x v="3"/>
    <x v="2"/>
    <x v="2"/>
    <x v="0"/>
    <x v="0"/>
    <x v="321"/>
    <x v="0"/>
    <x v="321"/>
  </r>
  <r>
    <x v="0"/>
    <x v="0"/>
    <x v="2"/>
    <x v="3"/>
    <x v="2"/>
    <x v="2"/>
    <x v="1"/>
    <x v="1"/>
    <x v="322"/>
    <x v="0"/>
    <x v="322"/>
  </r>
  <r>
    <x v="0"/>
    <x v="0"/>
    <x v="2"/>
    <x v="3"/>
    <x v="2"/>
    <x v="2"/>
    <x v="2"/>
    <x v="1"/>
    <x v="323"/>
    <x v="0"/>
    <x v="323"/>
  </r>
  <r>
    <x v="0"/>
    <x v="0"/>
    <x v="3"/>
    <x v="0"/>
    <x v="0"/>
    <x v="0"/>
    <x v="0"/>
    <x v="0"/>
    <x v="324"/>
    <x v="0"/>
    <x v="324"/>
  </r>
  <r>
    <x v="0"/>
    <x v="0"/>
    <x v="3"/>
    <x v="0"/>
    <x v="0"/>
    <x v="0"/>
    <x v="1"/>
    <x v="0"/>
    <x v="325"/>
    <x v="0"/>
    <x v="325"/>
  </r>
  <r>
    <x v="0"/>
    <x v="0"/>
    <x v="3"/>
    <x v="0"/>
    <x v="0"/>
    <x v="0"/>
    <x v="2"/>
    <x v="0"/>
    <x v="326"/>
    <x v="0"/>
    <x v="326"/>
  </r>
  <r>
    <x v="0"/>
    <x v="0"/>
    <x v="3"/>
    <x v="0"/>
    <x v="0"/>
    <x v="1"/>
    <x v="0"/>
    <x v="0"/>
    <x v="327"/>
    <x v="0"/>
    <x v="327"/>
  </r>
  <r>
    <x v="0"/>
    <x v="0"/>
    <x v="3"/>
    <x v="0"/>
    <x v="0"/>
    <x v="1"/>
    <x v="1"/>
    <x v="0"/>
    <x v="328"/>
    <x v="0"/>
    <x v="328"/>
  </r>
  <r>
    <x v="0"/>
    <x v="0"/>
    <x v="3"/>
    <x v="0"/>
    <x v="0"/>
    <x v="1"/>
    <x v="2"/>
    <x v="0"/>
    <x v="329"/>
    <x v="0"/>
    <x v="329"/>
  </r>
  <r>
    <x v="0"/>
    <x v="0"/>
    <x v="3"/>
    <x v="0"/>
    <x v="0"/>
    <x v="2"/>
    <x v="0"/>
    <x v="0"/>
    <x v="330"/>
    <x v="0"/>
    <x v="330"/>
  </r>
  <r>
    <x v="0"/>
    <x v="0"/>
    <x v="3"/>
    <x v="0"/>
    <x v="0"/>
    <x v="2"/>
    <x v="1"/>
    <x v="0"/>
    <x v="331"/>
    <x v="0"/>
    <x v="331"/>
  </r>
  <r>
    <x v="0"/>
    <x v="0"/>
    <x v="3"/>
    <x v="0"/>
    <x v="0"/>
    <x v="2"/>
    <x v="2"/>
    <x v="0"/>
    <x v="332"/>
    <x v="0"/>
    <x v="332"/>
  </r>
  <r>
    <x v="0"/>
    <x v="0"/>
    <x v="3"/>
    <x v="0"/>
    <x v="1"/>
    <x v="0"/>
    <x v="0"/>
    <x v="0"/>
    <x v="333"/>
    <x v="0"/>
    <x v="333"/>
  </r>
  <r>
    <x v="0"/>
    <x v="0"/>
    <x v="3"/>
    <x v="0"/>
    <x v="1"/>
    <x v="0"/>
    <x v="1"/>
    <x v="0"/>
    <x v="334"/>
    <x v="0"/>
    <x v="334"/>
  </r>
  <r>
    <x v="0"/>
    <x v="0"/>
    <x v="3"/>
    <x v="0"/>
    <x v="1"/>
    <x v="0"/>
    <x v="2"/>
    <x v="1"/>
    <x v="335"/>
    <x v="0"/>
    <x v="335"/>
  </r>
  <r>
    <x v="0"/>
    <x v="0"/>
    <x v="3"/>
    <x v="0"/>
    <x v="1"/>
    <x v="1"/>
    <x v="0"/>
    <x v="0"/>
    <x v="336"/>
    <x v="0"/>
    <x v="336"/>
  </r>
  <r>
    <x v="0"/>
    <x v="0"/>
    <x v="3"/>
    <x v="0"/>
    <x v="1"/>
    <x v="1"/>
    <x v="1"/>
    <x v="0"/>
    <x v="337"/>
    <x v="0"/>
    <x v="337"/>
  </r>
  <r>
    <x v="0"/>
    <x v="0"/>
    <x v="3"/>
    <x v="0"/>
    <x v="1"/>
    <x v="1"/>
    <x v="2"/>
    <x v="1"/>
    <x v="338"/>
    <x v="0"/>
    <x v="338"/>
  </r>
  <r>
    <x v="0"/>
    <x v="0"/>
    <x v="3"/>
    <x v="0"/>
    <x v="1"/>
    <x v="2"/>
    <x v="0"/>
    <x v="0"/>
    <x v="339"/>
    <x v="0"/>
    <x v="339"/>
  </r>
  <r>
    <x v="0"/>
    <x v="0"/>
    <x v="3"/>
    <x v="0"/>
    <x v="1"/>
    <x v="2"/>
    <x v="1"/>
    <x v="1"/>
    <x v="340"/>
    <x v="0"/>
    <x v="340"/>
  </r>
  <r>
    <x v="0"/>
    <x v="0"/>
    <x v="3"/>
    <x v="0"/>
    <x v="1"/>
    <x v="2"/>
    <x v="2"/>
    <x v="1"/>
    <x v="341"/>
    <x v="0"/>
    <x v="341"/>
  </r>
  <r>
    <x v="0"/>
    <x v="0"/>
    <x v="3"/>
    <x v="0"/>
    <x v="2"/>
    <x v="0"/>
    <x v="0"/>
    <x v="0"/>
    <x v="342"/>
    <x v="0"/>
    <x v="342"/>
  </r>
  <r>
    <x v="0"/>
    <x v="0"/>
    <x v="3"/>
    <x v="0"/>
    <x v="2"/>
    <x v="0"/>
    <x v="1"/>
    <x v="0"/>
    <x v="343"/>
    <x v="0"/>
    <x v="343"/>
  </r>
  <r>
    <x v="0"/>
    <x v="0"/>
    <x v="3"/>
    <x v="0"/>
    <x v="2"/>
    <x v="0"/>
    <x v="2"/>
    <x v="0"/>
    <x v="344"/>
    <x v="0"/>
    <x v="344"/>
  </r>
  <r>
    <x v="0"/>
    <x v="0"/>
    <x v="3"/>
    <x v="0"/>
    <x v="2"/>
    <x v="1"/>
    <x v="0"/>
    <x v="0"/>
    <x v="345"/>
    <x v="0"/>
    <x v="345"/>
  </r>
  <r>
    <x v="0"/>
    <x v="0"/>
    <x v="3"/>
    <x v="0"/>
    <x v="2"/>
    <x v="1"/>
    <x v="1"/>
    <x v="0"/>
    <x v="346"/>
    <x v="0"/>
    <x v="346"/>
  </r>
  <r>
    <x v="0"/>
    <x v="0"/>
    <x v="3"/>
    <x v="0"/>
    <x v="2"/>
    <x v="1"/>
    <x v="2"/>
    <x v="1"/>
    <x v="347"/>
    <x v="0"/>
    <x v="347"/>
  </r>
  <r>
    <x v="0"/>
    <x v="0"/>
    <x v="3"/>
    <x v="0"/>
    <x v="2"/>
    <x v="2"/>
    <x v="0"/>
    <x v="0"/>
    <x v="348"/>
    <x v="0"/>
    <x v="348"/>
  </r>
  <r>
    <x v="0"/>
    <x v="0"/>
    <x v="3"/>
    <x v="0"/>
    <x v="2"/>
    <x v="2"/>
    <x v="1"/>
    <x v="1"/>
    <x v="349"/>
    <x v="0"/>
    <x v="349"/>
  </r>
  <r>
    <x v="0"/>
    <x v="0"/>
    <x v="3"/>
    <x v="0"/>
    <x v="2"/>
    <x v="2"/>
    <x v="2"/>
    <x v="1"/>
    <x v="350"/>
    <x v="0"/>
    <x v="350"/>
  </r>
  <r>
    <x v="0"/>
    <x v="0"/>
    <x v="3"/>
    <x v="1"/>
    <x v="0"/>
    <x v="0"/>
    <x v="0"/>
    <x v="0"/>
    <x v="351"/>
    <x v="0"/>
    <x v="351"/>
  </r>
  <r>
    <x v="0"/>
    <x v="0"/>
    <x v="3"/>
    <x v="1"/>
    <x v="0"/>
    <x v="0"/>
    <x v="1"/>
    <x v="0"/>
    <x v="352"/>
    <x v="0"/>
    <x v="352"/>
  </r>
  <r>
    <x v="0"/>
    <x v="0"/>
    <x v="3"/>
    <x v="1"/>
    <x v="0"/>
    <x v="0"/>
    <x v="2"/>
    <x v="0"/>
    <x v="353"/>
    <x v="0"/>
    <x v="353"/>
  </r>
  <r>
    <x v="0"/>
    <x v="0"/>
    <x v="3"/>
    <x v="1"/>
    <x v="0"/>
    <x v="1"/>
    <x v="0"/>
    <x v="0"/>
    <x v="354"/>
    <x v="0"/>
    <x v="354"/>
  </r>
  <r>
    <x v="0"/>
    <x v="0"/>
    <x v="3"/>
    <x v="1"/>
    <x v="0"/>
    <x v="1"/>
    <x v="1"/>
    <x v="0"/>
    <x v="355"/>
    <x v="0"/>
    <x v="355"/>
  </r>
  <r>
    <x v="0"/>
    <x v="0"/>
    <x v="3"/>
    <x v="1"/>
    <x v="0"/>
    <x v="1"/>
    <x v="2"/>
    <x v="0"/>
    <x v="356"/>
    <x v="0"/>
    <x v="356"/>
  </r>
  <r>
    <x v="0"/>
    <x v="0"/>
    <x v="3"/>
    <x v="1"/>
    <x v="0"/>
    <x v="2"/>
    <x v="0"/>
    <x v="0"/>
    <x v="357"/>
    <x v="0"/>
    <x v="357"/>
  </r>
  <r>
    <x v="0"/>
    <x v="0"/>
    <x v="3"/>
    <x v="1"/>
    <x v="0"/>
    <x v="2"/>
    <x v="1"/>
    <x v="0"/>
    <x v="358"/>
    <x v="0"/>
    <x v="358"/>
  </r>
  <r>
    <x v="0"/>
    <x v="0"/>
    <x v="3"/>
    <x v="1"/>
    <x v="0"/>
    <x v="2"/>
    <x v="2"/>
    <x v="0"/>
    <x v="359"/>
    <x v="0"/>
    <x v="359"/>
  </r>
  <r>
    <x v="0"/>
    <x v="0"/>
    <x v="3"/>
    <x v="1"/>
    <x v="1"/>
    <x v="0"/>
    <x v="0"/>
    <x v="0"/>
    <x v="360"/>
    <x v="0"/>
    <x v="360"/>
  </r>
  <r>
    <x v="0"/>
    <x v="0"/>
    <x v="3"/>
    <x v="1"/>
    <x v="1"/>
    <x v="0"/>
    <x v="1"/>
    <x v="0"/>
    <x v="361"/>
    <x v="0"/>
    <x v="361"/>
  </r>
  <r>
    <x v="0"/>
    <x v="0"/>
    <x v="3"/>
    <x v="1"/>
    <x v="1"/>
    <x v="0"/>
    <x v="2"/>
    <x v="1"/>
    <x v="362"/>
    <x v="0"/>
    <x v="362"/>
  </r>
  <r>
    <x v="0"/>
    <x v="0"/>
    <x v="3"/>
    <x v="1"/>
    <x v="1"/>
    <x v="1"/>
    <x v="0"/>
    <x v="0"/>
    <x v="363"/>
    <x v="0"/>
    <x v="363"/>
  </r>
  <r>
    <x v="0"/>
    <x v="0"/>
    <x v="3"/>
    <x v="1"/>
    <x v="1"/>
    <x v="1"/>
    <x v="1"/>
    <x v="0"/>
    <x v="364"/>
    <x v="0"/>
    <x v="364"/>
  </r>
  <r>
    <x v="0"/>
    <x v="0"/>
    <x v="3"/>
    <x v="1"/>
    <x v="1"/>
    <x v="1"/>
    <x v="2"/>
    <x v="1"/>
    <x v="365"/>
    <x v="0"/>
    <x v="365"/>
  </r>
  <r>
    <x v="0"/>
    <x v="0"/>
    <x v="3"/>
    <x v="1"/>
    <x v="1"/>
    <x v="2"/>
    <x v="0"/>
    <x v="0"/>
    <x v="366"/>
    <x v="0"/>
    <x v="366"/>
  </r>
  <r>
    <x v="0"/>
    <x v="0"/>
    <x v="3"/>
    <x v="1"/>
    <x v="1"/>
    <x v="2"/>
    <x v="1"/>
    <x v="1"/>
    <x v="367"/>
    <x v="0"/>
    <x v="367"/>
  </r>
  <r>
    <x v="0"/>
    <x v="0"/>
    <x v="3"/>
    <x v="1"/>
    <x v="1"/>
    <x v="2"/>
    <x v="2"/>
    <x v="1"/>
    <x v="368"/>
    <x v="0"/>
    <x v="368"/>
  </r>
  <r>
    <x v="0"/>
    <x v="0"/>
    <x v="3"/>
    <x v="1"/>
    <x v="2"/>
    <x v="0"/>
    <x v="0"/>
    <x v="0"/>
    <x v="369"/>
    <x v="0"/>
    <x v="369"/>
  </r>
  <r>
    <x v="0"/>
    <x v="0"/>
    <x v="3"/>
    <x v="1"/>
    <x v="2"/>
    <x v="0"/>
    <x v="1"/>
    <x v="0"/>
    <x v="370"/>
    <x v="0"/>
    <x v="370"/>
  </r>
  <r>
    <x v="0"/>
    <x v="0"/>
    <x v="3"/>
    <x v="1"/>
    <x v="2"/>
    <x v="0"/>
    <x v="2"/>
    <x v="1"/>
    <x v="371"/>
    <x v="0"/>
    <x v="371"/>
  </r>
  <r>
    <x v="0"/>
    <x v="0"/>
    <x v="3"/>
    <x v="1"/>
    <x v="2"/>
    <x v="1"/>
    <x v="0"/>
    <x v="0"/>
    <x v="372"/>
    <x v="0"/>
    <x v="372"/>
  </r>
  <r>
    <x v="0"/>
    <x v="0"/>
    <x v="3"/>
    <x v="1"/>
    <x v="2"/>
    <x v="1"/>
    <x v="1"/>
    <x v="1"/>
    <x v="373"/>
    <x v="0"/>
    <x v="373"/>
  </r>
  <r>
    <x v="0"/>
    <x v="0"/>
    <x v="3"/>
    <x v="1"/>
    <x v="2"/>
    <x v="1"/>
    <x v="2"/>
    <x v="1"/>
    <x v="374"/>
    <x v="0"/>
    <x v="374"/>
  </r>
  <r>
    <x v="0"/>
    <x v="0"/>
    <x v="3"/>
    <x v="1"/>
    <x v="2"/>
    <x v="2"/>
    <x v="0"/>
    <x v="0"/>
    <x v="375"/>
    <x v="0"/>
    <x v="375"/>
  </r>
  <r>
    <x v="0"/>
    <x v="0"/>
    <x v="3"/>
    <x v="1"/>
    <x v="2"/>
    <x v="2"/>
    <x v="1"/>
    <x v="1"/>
    <x v="376"/>
    <x v="0"/>
    <x v="376"/>
  </r>
  <r>
    <x v="0"/>
    <x v="0"/>
    <x v="3"/>
    <x v="1"/>
    <x v="2"/>
    <x v="2"/>
    <x v="2"/>
    <x v="1"/>
    <x v="377"/>
    <x v="0"/>
    <x v="377"/>
  </r>
  <r>
    <x v="0"/>
    <x v="0"/>
    <x v="3"/>
    <x v="2"/>
    <x v="0"/>
    <x v="0"/>
    <x v="0"/>
    <x v="0"/>
    <x v="378"/>
    <x v="0"/>
    <x v="378"/>
  </r>
  <r>
    <x v="0"/>
    <x v="0"/>
    <x v="3"/>
    <x v="2"/>
    <x v="0"/>
    <x v="0"/>
    <x v="1"/>
    <x v="0"/>
    <x v="379"/>
    <x v="0"/>
    <x v="379"/>
  </r>
  <r>
    <x v="0"/>
    <x v="0"/>
    <x v="3"/>
    <x v="2"/>
    <x v="0"/>
    <x v="0"/>
    <x v="2"/>
    <x v="0"/>
    <x v="380"/>
    <x v="0"/>
    <x v="380"/>
  </r>
  <r>
    <x v="0"/>
    <x v="0"/>
    <x v="3"/>
    <x v="2"/>
    <x v="0"/>
    <x v="1"/>
    <x v="0"/>
    <x v="0"/>
    <x v="381"/>
    <x v="0"/>
    <x v="381"/>
  </r>
  <r>
    <x v="0"/>
    <x v="0"/>
    <x v="3"/>
    <x v="2"/>
    <x v="0"/>
    <x v="1"/>
    <x v="1"/>
    <x v="0"/>
    <x v="382"/>
    <x v="0"/>
    <x v="382"/>
  </r>
  <r>
    <x v="0"/>
    <x v="0"/>
    <x v="3"/>
    <x v="2"/>
    <x v="0"/>
    <x v="1"/>
    <x v="2"/>
    <x v="0"/>
    <x v="383"/>
    <x v="0"/>
    <x v="383"/>
  </r>
  <r>
    <x v="0"/>
    <x v="0"/>
    <x v="3"/>
    <x v="2"/>
    <x v="0"/>
    <x v="2"/>
    <x v="0"/>
    <x v="0"/>
    <x v="384"/>
    <x v="0"/>
    <x v="384"/>
  </r>
  <r>
    <x v="0"/>
    <x v="0"/>
    <x v="3"/>
    <x v="2"/>
    <x v="0"/>
    <x v="2"/>
    <x v="1"/>
    <x v="0"/>
    <x v="385"/>
    <x v="0"/>
    <x v="385"/>
  </r>
  <r>
    <x v="0"/>
    <x v="0"/>
    <x v="3"/>
    <x v="2"/>
    <x v="0"/>
    <x v="2"/>
    <x v="2"/>
    <x v="0"/>
    <x v="386"/>
    <x v="0"/>
    <x v="386"/>
  </r>
  <r>
    <x v="0"/>
    <x v="0"/>
    <x v="3"/>
    <x v="2"/>
    <x v="1"/>
    <x v="0"/>
    <x v="0"/>
    <x v="0"/>
    <x v="387"/>
    <x v="0"/>
    <x v="387"/>
  </r>
  <r>
    <x v="0"/>
    <x v="0"/>
    <x v="3"/>
    <x v="2"/>
    <x v="1"/>
    <x v="0"/>
    <x v="1"/>
    <x v="0"/>
    <x v="388"/>
    <x v="0"/>
    <x v="388"/>
  </r>
  <r>
    <x v="0"/>
    <x v="0"/>
    <x v="3"/>
    <x v="2"/>
    <x v="1"/>
    <x v="0"/>
    <x v="2"/>
    <x v="1"/>
    <x v="389"/>
    <x v="0"/>
    <x v="389"/>
  </r>
  <r>
    <x v="0"/>
    <x v="0"/>
    <x v="3"/>
    <x v="2"/>
    <x v="1"/>
    <x v="1"/>
    <x v="0"/>
    <x v="0"/>
    <x v="390"/>
    <x v="0"/>
    <x v="390"/>
  </r>
  <r>
    <x v="0"/>
    <x v="0"/>
    <x v="3"/>
    <x v="2"/>
    <x v="1"/>
    <x v="1"/>
    <x v="1"/>
    <x v="1"/>
    <x v="391"/>
    <x v="0"/>
    <x v="391"/>
  </r>
  <r>
    <x v="0"/>
    <x v="0"/>
    <x v="3"/>
    <x v="2"/>
    <x v="1"/>
    <x v="1"/>
    <x v="2"/>
    <x v="1"/>
    <x v="392"/>
    <x v="0"/>
    <x v="392"/>
  </r>
  <r>
    <x v="0"/>
    <x v="0"/>
    <x v="3"/>
    <x v="2"/>
    <x v="1"/>
    <x v="2"/>
    <x v="0"/>
    <x v="0"/>
    <x v="393"/>
    <x v="0"/>
    <x v="393"/>
  </r>
  <r>
    <x v="0"/>
    <x v="0"/>
    <x v="3"/>
    <x v="2"/>
    <x v="1"/>
    <x v="2"/>
    <x v="1"/>
    <x v="1"/>
    <x v="394"/>
    <x v="0"/>
    <x v="394"/>
  </r>
  <r>
    <x v="0"/>
    <x v="0"/>
    <x v="3"/>
    <x v="2"/>
    <x v="1"/>
    <x v="2"/>
    <x v="2"/>
    <x v="1"/>
    <x v="395"/>
    <x v="0"/>
    <x v="395"/>
  </r>
  <r>
    <x v="0"/>
    <x v="0"/>
    <x v="3"/>
    <x v="2"/>
    <x v="2"/>
    <x v="0"/>
    <x v="0"/>
    <x v="0"/>
    <x v="396"/>
    <x v="0"/>
    <x v="396"/>
  </r>
  <r>
    <x v="0"/>
    <x v="0"/>
    <x v="3"/>
    <x v="2"/>
    <x v="2"/>
    <x v="0"/>
    <x v="1"/>
    <x v="0"/>
    <x v="397"/>
    <x v="0"/>
    <x v="397"/>
  </r>
  <r>
    <x v="0"/>
    <x v="0"/>
    <x v="3"/>
    <x v="2"/>
    <x v="2"/>
    <x v="0"/>
    <x v="2"/>
    <x v="1"/>
    <x v="398"/>
    <x v="0"/>
    <x v="398"/>
  </r>
  <r>
    <x v="0"/>
    <x v="0"/>
    <x v="3"/>
    <x v="2"/>
    <x v="2"/>
    <x v="1"/>
    <x v="0"/>
    <x v="0"/>
    <x v="399"/>
    <x v="0"/>
    <x v="399"/>
  </r>
  <r>
    <x v="0"/>
    <x v="0"/>
    <x v="3"/>
    <x v="2"/>
    <x v="2"/>
    <x v="1"/>
    <x v="1"/>
    <x v="1"/>
    <x v="400"/>
    <x v="0"/>
    <x v="400"/>
  </r>
  <r>
    <x v="0"/>
    <x v="0"/>
    <x v="3"/>
    <x v="2"/>
    <x v="2"/>
    <x v="1"/>
    <x v="2"/>
    <x v="1"/>
    <x v="401"/>
    <x v="0"/>
    <x v="401"/>
  </r>
  <r>
    <x v="0"/>
    <x v="0"/>
    <x v="3"/>
    <x v="2"/>
    <x v="2"/>
    <x v="2"/>
    <x v="0"/>
    <x v="0"/>
    <x v="402"/>
    <x v="0"/>
    <x v="402"/>
  </r>
  <r>
    <x v="0"/>
    <x v="0"/>
    <x v="3"/>
    <x v="2"/>
    <x v="2"/>
    <x v="2"/>
    <x v="1"/>
    <x v="1"/>
    <x v="403"/>
    <x v="0"/>
    <x v="403"/>
  </r>
  <r>
    <x v="0"/>
    <x v="0"/>
    <x v="3"/>
    <x v="2"/>
    <x v="2"/>
    <x v="2"/>
    <x v="2"/>
    <x v="1"/>
    <x v="404"/>
    <x v="0"/>
    <x v="404"/>
  </r>
  <r>
    <x v="0"/>
    <x v="0"/>
    <x v="3"/>
    <x v="3"/>
    <x v="0"/>
    <x v="0"/>
    <x v="0"/>
    <x v="0"/>
    <x v="405"/>
    <x v="0"/>
    <x v="405"/>
  </r>
  <r>
    <x v="0"/>
    <x v="0"/>
    <x v="3"/>
    <x v="3"/>
    <x v="0"/>
    <x v="0"/>
    <x v="1"/>
    <x v="0"/>
    <x v="406"/>
    <x v="0"/>
    <x v="406"/>
  </r>
  <r>
    <x v="0"/>
    <x v="0"/>
    <x v="3"/>
    <x v="3"/>
    <x v="0"/>
    <x v="0"/>
    <x v="2"/>
    <x v="0"/>
    <x v="407"/>
    <x v="0"/>
    <x v="407"/>
  </r>
  <r>
    <x v="0"/>
    <x v="0"/>
    <x v="3"/>
    <x v="3"/>
    <x v="0"/>
    <x v="1"/>
    <x v="0"/>
    <x v="0"/>
    <x v="408"/>
    <x v="0"/>
    <x v="408"/>
  </r>
  <r>
    <x v="0"/>
    <x v="0"/>
    <x v="3"/>
    <x v="3"/>
    <x v="0"/>
    <x v="1"/>
    <x v="1"/>
    <x v="0"/>
    <x v="409"/>
    <x v="0"/>
    <x v="409"/>
  </r>
  <r>
    <x v="0"/>
    <x v="0"/>
    <x v="3"/>
    <x v="3"/>
    <x v="0"/>
    <x v="1"/>
    <x v="2"/>
    <x v="0"/>
    <x v="410"/>
    <x v="0"/>
    <x v="410"/>
  </r>
  <r>
    <x v="0"/>
    <x v="0"/>
    <x v="3"/>
    <x v="3"/>
    <x v="0"/>
    <x v="2"/>
    <x v="0"/>
    <x v="0"/>
    <x v="411"/>
    <x v="0"/>
    <x v="411"/>
  </r>
  <r>
    <x v="0"/>
    <x v="0"/>
    <x v="3"/>
    <x v="3"/>
    <x v="0"/>
    <x v="2"/>
    <x v="1"/>
    <x v="0"/>
    <x v="412"/>
    <x v="0"/>
    <x v="412"/>
  </r>
  <r>
    <x v="0"/>
    <x v="0"/>
    <x v="3"/>
    <x v="3"/>
    <x v="0"/>
    <x v="2"/>
    <x v="2"/>
    <x v="0"/>
    <x v="413"/>
    <x v="0"/>
    <x v="413"/>
  </r>
  <r>
    <x v="0"/>
    <x v="0"/>
    <x v="3"/>
    <x v="3"/>
    <x v="1"/>
    <x v="0"/>
    <x v="0"/>
    <x v="0"/>
    <x v="414"/>
    <x v="0"/>
    <x v="414"/>
  </r>
  <r>
    <x v="0"/>
    <x v="0"/>
    <x v="3"/>
    <x v="3"/>
    <x v="1"/>
    <x v="0"/>
    <x v="1"/>
    <x v="0"/>
    <x v="415"/>
    <x v="0"/>
    <x v="415"/>
  </r>
  <r>
    <x v="0"/>
    <x v="0"/>
    <x v="3"/>
    <x v="3"/>
    <x v="1"/>
    <x v="0"/>
    <x v="2"/>
    <x v="1"/>
    <x v="416"/>
    <x v="0"/>
    <x v="416"/>
  </r>
  <r>
    <x v="0"/>
    <x v="0"/>
    <x v="3"/>
    <x v="3"/>
    <x v="1"/>
    <x v="1"/>
    <x v="0"/>
    <x v="0"/>
    <x v="417"/>
    <x v="0"/>
    <x v="417"/>
  </r>
  <r>
    <x v="0"/>
    <x v="0"/>
    <x v="3"/>
    <x v="3"/>
    <x v="1"/>
    <x v="1"/>
    <x v="1"/>
    <x v="1"/>
    <x v="418"/>
    <x v="0"/>
    <x v="418"/>
  </r>
  <r>
    <x v="0"/>
    <x v="0"/>
    <x v="3"/>
    <x v="3"/>
    <x v="1"/>
    <x v="1"/>
    <x v="2"/>
    <x v="1"/>
    <x v="419"/>
    <x v="0"/>
    <x v="419"/>
  </r>
  <r>
    <x v="0"/>
    <x v="0"/>
    <x v="3"/>
    <x v="3"/>
    <x v="1"/>
    <x v="2"/>
    <x v="0"/>
    <x v="0"/>
    <x v="420"/>
    <x v="0"/>
    <x v="420"/>
  </r>
  <r>
    <x v="0"/>
    <x v="0"/>
    <x v="3"/>
    <x v="3"/>
    <x v="1"/>
    <x v="2"/>
    <x v="1"/>
    <x v="1"/>
    <x v="421"/>
    <x v="0"/>
    <x v="421"/>
  </r>
  <r>
    <x v="0"/>
    <x v="0"/>
    <x v="3"/>
    <x v="3"/>
    <x v="1"/>
    <x v="2"/>
    <x v="2"/>
    <x v="1"/>
    <x v="422"/>
    <x v="0"/>
    <x v="422"/>
  </r>
  <r>
    <x v="0"/>
    <x v="0"/>
    <x v="3"/>
    <x v="3"/>
    <x v="2"/>
    <x v="0"/>
    <x v="0"/>
    <x v="0"/>
    <x v="423"/>
    <x v="0"/>
    <x v="423"/>
  </r>
  <r>
    <x v="0"/>
    <x v="0"/>
    <x v="3"/>
    <x v="3"/>
    <x v="2"/>
    <x v="0"/>
    <x v="1"/>
    <x v="0"/>
    <x v="424"/>
    <x v="0"/>
    <x v="424"/>
  </r>
  <r>
    <x v="0"/>
    <x v="0"/>
    <x v="3"/>
    <x v="3"/>
    <x v="2"/>
    <x v="0"/>
    <x v="2"/>
    <x v="1"/>
    <x v="425"/>
    <x v="0"/>
    <x v="425"/>
  </r>
  <r>
    <x v="0"/>
    <x v="0"/>
    <x v="3"/>
    <x v="3"/>
    <x v="2"/>
    <x v="1"/>
    <x v="0"/>
    <x v="0"/>
    <x v="426"/>
    <x v="0"/>
    <x v="426"/>
  </r>
  <r>
    <x v="0"/>
    <x v="0"/>
    <x v="3"/>
    <x v="3"/>
    <x v="2"/>
    <x v="1"/>
    <x v="1"/>
    <x v="1"/>
    <x v="427"/>
    <x v="0"/>
    <x v="427"/>
  </r>
  <r>
    <x v="0"/>
    <x v="0"/>
    <x v="3"/>
    <x v="3"/>
    <x v="2"/>
    <x v="1"/>
    <x v="2"/>
    <x v="1"/>
    <x v="428"/>
    <x v="0"/>
    <x v="428"/>
  </r>
  <r>
    <x v="0"/>
    <x v="0"/>
    <x v="3"/>
    <x v="3"/>
    <x v="2"/>
    <x v="2"/>
    <x v="0"/>
    <x v="0"/>
    <x v="429"/>
    <x v="0"/>
    <x v="429"/>
  </r>
  <r>
    <x v="0"/>
    <x v="0"/>
    <x v="3"/>
    <x v="3"/>
    <x v="2"/>
    <x v="2"/>
    <x v="1"/>
    <x v="1"/>
    <x v="430"/>
    <x v="0"/>
    <x v="430"/>
  </r>
  <r>
    <x v="0"/>
    <x v="0"/>
    <x v="3"/>
    <x v="3"/>
    <x v="2"/>
    <x v="2"/>
    <x v="2"/>
    <x v="1"/>
    <x v="431"/>
    <x v="0"/>
    <x v="431"/>
  </r>
  <r>
    <x v="0"/>
    <x v="1"/>
    <x v="0"/>
    <x v="0"/>
    <x v="0"/>
    <x v="0"/>
    <x v="0"/>
    <x v="0"/>
    <x v="432"/>
    <x v="0"/>
    <x v="432"/>
  </r>
  <r>
    <x v="0"/>
    <x v="1"/>
    <x v="0"/>
    <x v="0"/>
    <x v="0"/>
    <x v="0"/>
    <x v="1"/>
    <x v="0"/>
    <x v="433"/>
    <x v="0"/>
    <x v="433"/>
  </r>
  <r>
    <x v="0"/>
    <x v="1"/>
    <x v="0"/>
    <x v="0"/>
    <x v="0"/>
    <x v="0"/>
    <x v="2"/>
    <x v="0"/>
    <x v="434"/>
    <x v="0"/>
    <x v="434"/>
  </r>
  <r>
    <x v="0"/>
    <x v="1"/>
    <x v="0"/>
    <x v="0"/>
    <x v="0"/>
    <x v="1"/>
    <x v="0"/>
    <x v="0"/>
    <x v="435"/>
    <x v="0"/>
    <x v="435"/>
  </r>
  <r>
    <x v="0"/>
    <x v="1"/>
    <x v="0"/>
    <x v="0"/>
    <x v="0"/>
    <x v="1"/>
    <x v="1"/>
    <x v="0"/>
    <x v="436"/>
    <x v="0"/>
    <x v="436"/>
  </r>
  <r>
    <x v="0"/>
    <x v="1"/>
    <x v="0"/>
    <x v="0"/>
    <x v="0"/>
    <x v="1"/>
    <x v="2"/>
    <x v="0"/>
    <x v="437"/>
    <x v="0"/>
    <x v="437"/>
  </r>
  <r>
    <x v="0"/>
    <x v="1"/>
    <x v="0"/>
    <x v="0"/>
    <x v="0"/>
    <x v="2"/>
    <x v="0"/>
    <x v="0"/>
    <x v="438"/>
    <x v="0"/>
    <x v="438"/>
  </r>
  <r>
    <x v="0"/>
    <x v="1"/>
    <x v="0"/>
    <x v="0"/>
    <x v="0"/>
    <x v="2"/>
    <x v="1"/>
    <x v="0"/>
    <x v="439"/>
    <x v="0"/>
    <x v="439"/>
  </r>
  <r>
    <x v="0"/>
    <x v="1"/>
    <x v="0"/>
    <x v="0"/>
    <x v="0"/>
    <x v="2"/>
    <x v="2"/>
    <x v="0"/>
    <x v="440"/>
    <x v="0"/>
    <x v="440"/>
  </r>
  <r>
    <x v="0"/>
    <x v="1"/>
    <x v="0"/>
    <x v="0"/>
    <x v="1"/>
    <x v="0"/>
    <x v="0"/>
    <x v="0"/>
    <x v="441"/>
    <x v="0"/>
    <x v="441"/>
  </r>
  <r>
    <x v="0"/>
    <x v="1"/>
    <x v="0"/>
    <x v="0"/>
    <x v="1"/>
    <x v="0"/>
    <x v="1"/>
    <x v="0"/>
    <x v="442"/>
    <x v="0"/>
    <x v="442"/>
  </r>
  <r>
    <x v="0"/>
    <x v="1"/>
    <x v="0"/>
    <x v="0"/>
    <x v="1"/>
    <x v="0"/>
    <x v="2"/>
    <x v="0"/>
    <x v="443"/>
    <x v="0"/>
    <x v="443"/>
  </r>
  <r>
    <x v="0"/>
    <x v="1"/>
    <x v="0"/>
    <x v="0"/>
    <x v="1"/>
    <x v="1"/>
    <x v="0"/>
    <x v="0"/>
    <x v="444"/>
    <x v="0"/>
    <x v="444"/>
  </r>
  <r>
    <x v="0"/>
    <x v="1"/>
    <x v="0"/>
    <x v="0"/>
    <x v="1"/>
    <x v="1"/>
    <x v="1"/>
    <x v="0"/>
    <x v="445"/>
    <x v="0"/>
    <x v="445"/>
  </r>
  <r>
    <x v="0"/>
    <x v="1"/>
    <x v="0"/>
    <x v="0"/>
    <x v="1"/>
    <x v="1"/>
    <x v="2"/>
    <x v="0"/>
    <x v="446"/>
    <x v="0"/>
    <x v="446"/>
  </r>
  <r>
    <x v="0"/>
    <x v="1"/>
    <x v="0"/>
    <x v="0"/>
    <x v="1"/>
    <x v="2"/>
    <x v="0"/>
    <x v="0"/>
    <x v="447"/>
    <x v="0"/>
    <x v="447"/>
  </r>
  <r>
    <x v="0"/>
    <x v="1"/>
    <x v="0"/>
    <x v="0"/>
    <x v="1"/>
    <x v="2"/>
    <x v="1"/>
    <x v="0"/>
    <x v="448"/>
    <x v="0"/>
    <x v="448"/>
  </r>
  <r>
    <x v="0"/>
    <x v="1"/>
    <x v="0"/>
    <x v="0"/>
    <x v="1"/>
    <x v="2"/>
    <x v="2"/>
    <x v="0"/>
    <x v="449"/>
    <x v="0"/>
    <x v="449"/>
  </r>
  <r>
    <x v="0"/>
    <x v="1"/>
    <x v="0"/>
    <x v="0"/>
    <x v="2"/>
    <x v="0"/>
    <x v="0"/>
    <x v="0"/>
    <x v="450"/>
    <x v="0"/>
    <x v="450"/>
  </r>
  <r>
    <x v="0"/>
    <x v="1"/>
    <x v="0"/>
    <x v="0"/>
    <x v="2"/>
    <x v="0"/>
    <x v="1"/>
    <x v="0"/>
    <x v="451"/>
    <x v="0"/>
    <x v="451"/>
  </r>
  <r>
    <x v="0"/>
    <x v="1"/>
    <x v="0"/>
    <x v="0"/>
    <x v="2"/>
    <x v="0"/>
    <x v="2"/>
    <x v="0"/>
    <x v="452"/>
    <x v="0"/>
    <x v="452"/>
  </r>
  <r>
    <x v="0"/>
    <x v="1"/>
    <x v="0"/>
    <x v="0"/>
    <x v="2"/>
    <x v="1"/>
    <x v="0"/>
    <x v="0"/>
    <x v="453"/>
    <x v="0"/>
    <x v="453"/>
  </r>
  <r>
    <x v="0"/>
    <x v="1"/>
    <x v="0"/>
    <x v="0"/>
    <x v="2"/>
    <x v="1"/>
    <x v="1"/>
    <x v="0"/>
    <x v="454"/>
    <x v="0"/>
    <x v="454"/>
  </r>
  <r>
    <x v="0"/>
    <x v="1"/>
    <x v="0"/>
    <x v="0"/>
    <x v="2"/>
    <x v="1"/>
    <x v="2"/>
    <x v="0"/>
    <x v="455"/>
    <x v="0"/>
    <x v="455"/>
  </r>
  <r>
    <x v="0"/>
    <x v="1"/>
    <x v="0"/>
    <x v="0"/>
    <x v="2"/>
    <x v="2"/>
    <x v="0"/>
    <x v="0"/>
    <x v="456"/>
    <x v="0"/>
    <x v="456"/>
  </r>
  <r>
    <x v="0"/>
    <x v="1"/>
    <x v="0"/>
    <x v="0"/>
    <x v="2"/>
    <x v="2"/>
    <x v="1"/>
    <x v="0"/>
    <x v="457"/>
    <x v="0"/>
    <x v="457"/>
  </r>
  <r>
    <x v="0"/>
    <x v="1"/>
    <x v="0"/>
    <x v="0"/>
    <x v="2"/>
    <x v="2"/>
    <x v="2"/>
    <x v="0"/>
    <x v="458"/>
    <x v="0"/>
    <x v="458"/>
  </r>
  <r>
    <x v="0"/>
    <x v="1"/>
    <x v="0"/>
    <x v="1"/>
    <x v="0"/>
    <x v="0"/>
    <x v="0"/>
    <x v="0"/>
    <x v="459"/>
    <x v="0"/>
    <x v="459"/>
  </r>
  <r>
    <x v="0"/>
    <x v="1"/>
    <x v="0"/>
    <x v="1"/>
    <x v="0"/>
    <x v="0"/>
    <x v="1"/>
    <x v="0"/>
    <x v="460"/>
    <x v="0"/>
    <x v="460"/>
  </r>
  <r>
    <x v="0"/>
    <x v="1"/>
    <x v="0"/>
    <x v="1"/>
    <x v="0"/>
    <x v="0"/>
    <x v="2"/>
    <x v="0"/>
    <x v="461"/>
    <x v="0"/>
    <x v="461"/>
  </r>
  <r>
    <x v="0"/>
    <x v="1"/>
    <x v="0"/>
    <x v="1"/>
    <x v="0"/>
    <x v="1"/>
    <x v="0"/>
    <x v="0"/>
    <x v="462"/>
    <x v="0"/>
    <x v="462"/>
  </r>
  <r>
    <x v="0"/>
    <x v="1"/>
    <x v="0"/>
    <x v="1"/>
    <x v="0"/>
    <x v="1"/>
    <x v="1"/>
    <x v="0"/>
    <x v="463"/>
    <x v="0"/>
    <x v="463"/>
  </r>
  <r>
    <x v="0"/>
    <x v="1"/>
    <x v="0"/>
    <x v="1"/>
    <x v="0"/>
    <x v="1"/>
    <x v="2"/>
    <x v="0"/>
    <x v="464"/>
    <x v="0"/>
    <x v="464"/>
  </r>
  <r>
    <x v="0"/>
    <x v="1"/>
    <x v="0"/>
    <x v="1"/>
    <x v="0"/>
    <x v="2"/>
    <x v="0"/>
    <x v="0"/>
    <x v="465"/>
    <x v="0"/>
    <x v="465"/>
  </r>
  <r>
    <x v="0"/>
    <x v="1"/>
    <x v="0"/>
    <x v="1"/>
    <x v="0"/>
    <x v="2"/>
    <x v="1"/>
    <x v="0"/>
    <x v="466"/>
    <x v="0"/>
    <x v="466"/>
  </r>
  <r>
    <x v="0"/>
    <x v="1"/>
    <x v="0"/>
    <x v="1"/>
    <x v="0"/>
    <x v="2"/>
    <x v="2"/>
    <x v="0"/>
    <x v="467"/>
    <x v="0"/>
    <x v="467"/>
  </r>
  <r>
    <x v="0"/>
    <x v="1"/>
    <x v="0"/>
    <x v="1"/>
    <x v="1"/>
    <x v="0"/>
    <x v="0"/>
    <x v="0"/>
    <x v="468"/>
    <x v="0"/>
    <x v="468"/>
  </r>
  <r>
    <x v="0"/>
    <x v="1"/>
    <x v="0"/>
    <x v="1"/>
    <x v="1"/>
    <x v="0"/>
    <x v="1"/>
    <x v="0"/>
    <x v="469"/>
    <x v="0"/>
    <x v="469"/>
  </r>
  <r>
    <x v="0"/>
    <x v="1"/>
    <x v="0"/>
    <x v="1"/>
    <x v="1"/>
    <x v="0"/>
    <x v="2"/>
    <x v="0"/>
    <x v="470"/>
    <x v="0"/>
    <x v="470"/>
  </r>
  <r>
    <x v="0"/>
    <x v="1"/>
    <x v="0"/>
    <x v="1"/>
    <x v="1"/>
    <x v="1"/>
    <x v="0"/>
    <x v="0"/>
    <x v="471"/>
    <x v="0"/>
    <x v="471"/>
  </r>
  <r>
    <x v="0"/>
    <x v="1"/>
    <x v="0"/>
    <x v="1"/>
    <x v="1"/>
    <x v="1"/>
    <x v="1"/>
    <x v="0"/>
    <x v="472"/>
    <x v="0"/>
    <x v="472"/>
  </r>
  <r>
    <x v="0"/>
    <x v="1"/>
    <x v="0"/>
    <x v="1"/>
    <x v="1"/>
    <x v="1"/>
    <x v="2"/>
    <x v="0"/>
    <x v="473"/>
    <x v="0"/>
    <x v="473"/>
  </r>
  <r>
    <x v="0"/>
    <x v="1"/>
    <x v="0"/>
    <x v="1"/>
    <x v="1"/>
    <x v="2"/>
    <x v="0"/>
    <x v="0"/>
    <x v="474"/>
    <x v="0"/>
    <x v="474"/>
  </r>
  <r>
    <x v="0"/>
    <x v="1"/>
    <x v="0"/>
    <x v="1"/>
    <x v="1"/>
    <x v="2"/>
    <x v="1"/>
    <x v="0"/>
    <x v="475"/>
    <x v="0"/>
    <x v="475"/>
  </r>
  <r>
    <x v="0"/>
    <x v="1"/>
    <x v="0"/>
    <x v="1"/>
    <x v="1"/>
    <x v="2"/>
    <x v="2"/>
    <x v="0"/>
    <x v="476"/>
    <x v="0"/>
    <x v="476"/>
  </r>
  <r>
    <x v="0"/>
    <x v="1"/>
    <x v="0"/>
    <x v="1"/>
    <x v="2"/>
    <x v="0"/>
    <x v="0"/>
    <x v="0"/>
    <x v="477"/>
    <x v="0"/>
    <x v="477"/>
  </r>
  <r>
    <x v="0"/>
    <x v="1"/>
    <x v="0"/>
    <x v="1"/>
    <x v="2"/>
    <x v="0"/>
    <x v="1"/>
    <x v="0"/>
    <x v="478"/>
    <x v="0"/>
    <x v="478"/>
  </r>
  <r>
    <x v="0"/>
    <x v="1"/>
    <x v="0"/>
    <x v="1"/>
    <x v="2"/>
    <x v="0"/>
    <x v="2"/>
    <x v="0"/>
    <x v="479"/>
    <x v="0"/>
    <x v="479"/>
  </r>
  <r>
    <x v="0"/>
    <x v="1"/>
    <x v="0"/>
    <x v="1"/>
    <x v="2"/>
    <x v="1"/>
    <x v="0"/>
    <x v="0"/>
    <x v="480"/>
    <x v="0"/>
    <x v="480"/>
  </r>
  <r>
    <x v="0"/>
    <x v="1"/>
    <x v="0"/>
    <x v="1"/>
    <x v="2"/>
    <x v="1"/>
    <x v="1"/>
    <x v="0"/>
    <x v="481"/>
    <x v="0"/>
    <x v="481"/>
  </r>
  <r>
    <x v="0"/>
    <x v="1"/>
    <x v="0"/>
    <x v="1"/>
    <x v="2"/>
    <x v="1"/>
    <x v="2"/>
    <x v="0"/>
    <x v="482"/>
    <x v="0"/>
    <x v="482"/>
  </r>
  <r>
    <x v="0"/>
    <x v="1"/>
    <x v="0"/>
    <x v="1"/>
    <x v="2"/>
    <x v="2"/>
    <x v="0"/>
    <x v="0"/>
    <x v="483"/>
    <x v="0"/>
    <x v="483"/>
  </r>
  <r>
    <x v="0"/>
    <x v="1"/>
    <x v="0"/>
    <x v="1"/>
    <x v="2"/>
    <x v="2"/>
    <x v="1"/>
    <x v="0"/>
    <x v="484"/>
    <x v="0"/>
    <x v="484"/>
  </r>
  <r>
    <x v="0"/>
    <x v="1"/>
    <x v="0"/>
    <x v="1"/>
    <x v="2"/>
    <x v="2"/>
    <x v="2"/>
    <x v="0"/>
    <x v="485"/>
    <x v="0"/>
    <x v="485"/>
  </r>
  <r>
    <x v="0"/>
    <x v="1"/>
    <x v="0"/>
    <x v="2"/>
    <x v="0"/>
    <x v="0"/>
    <x v="0"/>
    <x v="0"/>
    <x v="486"/>
    <x v="0"/>
    <x v="486"/>
  </r>
  <r>
    <x v="0"/>
    <x v="1"/>
    <x v="0"/>
    <x v="2"/>
    <x v="0"/>
    <x v="0"/>
    <x v="1"/>
    <x v="0"/>
    <x v="487"/>
    <x v="0"/>
    <x v="487"/>
  </r>
  <r>
    <x v="0"/>
    <x v="1"/>
    <x v="0"/>
    <x v="2"/>
    <x v="0"/>
    <x v="0"/>
    <x v="2"/>
    <x v="0"/>
    <x v="488"/>
    <x v="0"/>
    <x v="488"/>
  </r>
  <r>
    <x v="0"/>
    <x v="1"/>
    <x v="0"/>
    <x v="2"/>
    <x v="0"/>
    <x v="1"/>
    <x v="0"/>
    <x v="0"/>
    <x v="489"/>
    <x v="0"/>
    <x v="489"/>
  </r>
  <r>
    <x v="0"/>
    <x v="1"/>
    <x v="0"/>
    <x v="2"/>
    <x v="0"/>
    <x v="1"/>
    <x v="1"/>
    <x v="0"/>
    <x v="490"/>
    <x v="0"/>
    <x v="490"/>
  </r>
  <r>
    <x v="0"/>
    <x v="1"/>
    <x v="0"/>
    <x v="2"/>
    <x v="0"/>
    <x v="1"/>
    <x v="2"/>
    <x v="0"/>
    <x v="491"/>
    <x v="0"/>
    <x v="491"/>
  </r>
  <r>
    <x v="0"/>
    <x v="1"/>
    <x v="0"/>
    <x v="2"/>
    <x v="0"/>
    <x v="2"/>
    <x v="0"/>
    <x v="0"/>
    <x v="492"/>
    <x v="0"/>
    <x v="492"/>
  </r>
  <r>
    <x v="0"/>
    <x v="1"/>
    <x v="0"/>
    <x v="2"/>
    <x v="0"/>
    <x v="2"/>
    <x v="1"/>
    <x v="0"/>
    <x v="493"/>
    <x v="0"/>
    <x v="493"/>
  </r>
  <r>
    <x v="0"/>
    <x v="1"/>
    <x v="0"/>
    <x v="2"/>
    <x v="0"/>
    <x v="2"/>
    <x v="2"/>
    <x v="0"/>
    <x v="494"/>
    <x v="0"/>
    <x v="494"/>
  </r>
  <r>
    <x v="0"/>
    <x v="1"/>
    <x v="0"/>
    <x v="2"/>
    <x v="1"/>
    <x v="0"/>
    <x v="0"/>
    <x v="0"/>
    <x v="495"/>
    <x v="0"/>
    <x v="495"/>
  </r>
  <r>
    <x v="0"/>
    <x v="1"/>
    <x v="0"/>
    <x v="2"/>
    <x v="1"/>
    <x v="0"/>
    <x v="1"/>
    <x v="0"/>
    <x v="496"/>
    <x v="0"/>
    <x v="496"/>
  </r>
  <r>
    <x v="0"/>
    <x v="1"/>
    <x v="0"/>
    <x v="2"/>
    <x v="1"/>
    <x v="0"/>
    <x v="2"/>
    <x v="0"/>
    <x v="497"/>
    <x v="0"/>
    <x v="497"/>
  </r>
  <r>
    <x v="0"/>
    <x v="1"/>
    <x v="0"/>
    <x v="2"/>
    <x v="1"/>
    <x v="1"/>
    <x v="0"/>
    <x v="0"/>
    <x v="498"/>
    <x v="0"/>
    <x v="498"/>
  </r>
  <r>
    <x v="0"/>
    <x v="1"/>
    <x v="0"/>
    <x v="2"/>
    <x v="1"/>
    <x v="1"/>
    <x v="1"/>
    <x v="0"/>
    <x v="499"/>
    <x v="0"/>
    <x v="499"/>
  </r>
  <r>
    <x v="0"/>
    <x v="1"/>
    <x v="0"/>
    <x v="2"/>
    <x v="1"/>
    <x v="1"/>
    <x v="2"/>
    <x v="0"/>
    <x v="500"/>
    <x v="0"/>
    <x v="500"/>
  </r>
  <r>
    <x v="0"/>
    <x v="1"/>
    <x v="0"/>
    <x v="2"/>
    <x v="1"/>
    <x v="2"/>
    <x v="0"/>
    <x v="0"/>
    <x v="501"/>
    <x v="0"/>
    <x v="501"/>
  </r>
  <r>
    <x v="0"/>
    <x v="1"/>
    <x v="0"/>
    <x v="2"/>
    <x v="1"/>
    <x v="2"/>
    <x v="1"/>
    <x v="0"/>
    <x v="502"/>
    <x v="0"/>
    <x v="502"/>
  </r>
  <r>
    <x v="0"/>
    <x v="1"/>
    <x v="0"/>
    <x v="2"/>
    <x v="1"/>
    <x v="2"/>
    <x v="2"/>
    <x v="0"/>
    <x v="503"/>
    <x v="0"/>
    <x v="503"/>
  </r>
  <r>
    <x v="0"/>
    <x v="1"/>
    <x v="0"/>
    <x v="2"/>
    <x v="2"/>
    <x v="0"/>
    <x v="0"/>
    <x v="0"/>
    <x v="504"/>
    <x v="0"/>
    <x v="504"/>
  </r>
  <r>
    <x v="0"/>
    <x v="1"/>
    <x v="0"/>
    <x v="2"/>
    <x v="2"/>
    <x v="0"/>
    <x v="1"/>
    <x v="0"/>
    <x v="505"/>
    <x v="0"/>
    <x v="505"/>
  </r>
  <r>
    <x v="0"/>
    <x v="1"/>
    <x v="0"/>
    <x v="2"/>
    <x v="2"/>
    <x v="0"/>
    <x v="2"/>
    <x v="0"/>
    <x v="506"/>
    <x v="0"/>
    <x v="506"/>
  </r>
  <r>
    <x v="0"/>
    <x v="1"/>
    <x v="0"/>
    <x v="2"/>
    <x v="2"/>
    <x v="1"/>
    <x v="0"/>
    <x v="0"/>
    <x v="507"/>
    <x v="0"/>
    <x v="507"/>
  </r>
  <r>
    <x v="0"/>
    <x v="1"/>
    <x v="0"/>
    <x v="2"/>
    <x v="2"/>
    <x v="1"/>
    <x v="1"/>
    <x v="0"/>
    <x v="508"/>
    <x v="0"/>
    <x v="508"/>
  </r>
  <r>
    <x v="0"/>
    <x v="1"/>
    <x v="0"/>
    <x v="2"/>
    <x v="2"/>
    <x v="1"/>
    <x v="2"/>
    <x v="0"/>
    <x v="509"/>
    <x v="0"/>
    <x v="509"/>
  </r>
  <r>
    <x v="0"/>
    <x v="1"/>
    <x v="0"/>
    <x v="2"/>
    <x v="2"/>
    <x v="2"/>
    <x v="0"/>
    <x v="0"/>
    <x v="510"/>
    <x v="0"/>
    <x v="510"/>
  </r>
  <r>
    <x v="0"/>
    <x v="1"/>
    <x v="0"/>
    <x v="2"/>
    <x v="2"/>
    <x v="2"/>
    <x v="1"/>
    <x v="0"/>
    <x v="511"/>
    <x v="0"/>
    <x v="511"/>
  </r>
  <r>
    <x v="0"/>
    <x v="1"/>
    <x v="0"/>
    <x v="2"/>
    <x v="2"/>
    <x v="2"/>
    <x v="2"/>
    <x v="0"/>
    <x v="512"/>
    <x v="0"/>
    <x v="512"/>
  </r>
  <r>
    <x v="0"/>
    <x v="1"/>
    <x v="0"/>
    <x v="3"/>
    <x v="0"/>
    <x v="0"/>
    <x v="0"/>
    <x v="0"/>
    <x v="513"/>
    <x v="0"/>
    <x v="513"/>
  </r>
  <r>
    <x v="0"/>
    <x v="1"/>
    <x v="0"/>
    <x v="3"/>
    <x v="0"/>
    <x v="0"/>
    <x v="1"/>
    <x v="0"/>
    <x v="514"/>
    <x v="0"/>
    <x v="514"/>
  </r>
  <r>
    <x v="0"/>
    <x v="1"/>
    <x v="0"/>
    <x v="3"/>
    <x v="0"/>
    <x v="0"/>
    <x v="2"/>
    <x v="0"/>
    <x v="515"/>
    <x v="0"/>
    <x v="515"/>
  </r>
  <r>
    <x v="0"/>
    <x v="1"/>
    <x v="0"/>
    <x v="3"/>
    <x v="0"/>
    <x v="1"/>
    <x v="0"/>
    <x v="0"/>
    <x v="516"/>
    <x v="0"/>
    <x v="516"/>
  </r>
  <r>
    <x v="0"/>
    <x v="1"/>
    <x v="0"/>
    <x v="3"/>
    <x v="0"/>
    <x v="1"/>
    <x v="1"/>
    <x v="0"/>
    <x v="517"/>
    <x v="0"/>
    <x v="517"/>
  </r>
  <r>
    <x v="0"/>
    <x v="1"/>
    <x v="0"/>
    <x v="3"/>
    <x v="0"/>
    <x v="1"/>
    <x v="2"/>
    <x v="0"/>
    <x v="518"/>
    <x v="0"/>
    <x v="518"/>
  </r>
  <r>
    <x v="0"/>
    <x v="1"/>
    <x v="0"/>
    <x v="3"/>
    <x v="0"/>
    <x v="2"/>
    <x v="0"/>
    <x v="0"/>
    <x v="519"/>
    <x v="0"/>
    <x v="519"/>
  </r>
  <r>
    <x v="0"/>
    <x v="1"/>
    <x v="0"/>
    <x v="3"/>
    <x v="0"/>
    <x v="2"/>
    <x v="1"/>
    <x v="0"/>
    <x v="520"/>
    <x v="0"/>
    <x v="520"/>
  </r>
  <r>
    <x v="0"/>
    <x v="1"/>
    <x v="0"/>
    <x v="3"/>
    <x v="0"/>
    <x v="2"/>
    <x v="2"/>
    <x v="0"/>
    <x v="521"/>
    <x v="0"/>
    <x v="521"/>
  </r>
  <r>
    <x v="0"/>
    <x v="1"/>
    <x v="0"/>
    <x v="3"/>
    <x v="1"/>
    <x v="0"/>
    <x v="0"/>
    <x v="0"/>
    <x v="522"/>
    <x v="0"/>
    <x v="522"/>
  </r>
  <r>
    <x v="0"/>
    <x v="1"/>
    <x v="0"/>
    <x v="3"/>
    <x v="1"/>
    <x v="0"/>
    <x v="1"/>
    <x v="0"/>
    <x v="523"/>
    <x v="0"/>
    <x v="523"/>
  </r>
  <r>
    <x v="0"/>
    <x v="1"/>
    <x v="0"/>
    <x v="3"/>
    <x v="1"/>
    <x v="0"/>
    <x v="2"/>
    <x v="0"/>
    <x v="524"/>
    <x v="0"/>
    <x v="524"/>
  </r>
  <r>
    <x v="0"/>
    <x v="1"/>
    <x v="0"/>
    <x v="3"/>
    <x v="1"/>
    <x v="1"/>
    <x v="0"/>
    <x v="0"/>
    <x v="525"/>
    <x v="0"/>
    <x v="525"/>
  </r>
  <r>
    <x v="0"/>
    <x v="1"/>
    <x v="0"/>
    <x v="3"/>
    <x v="1"/>
    <x v="1"/>
    <x v="1"/>
    <x v="0"/>
    <x v="526"/>
    <x v="0"/>
    <x v="526"/>
  </r>
  <r>
    <x v="0"/>
    <x v="1"/>
    <x v="0"/>
    <x v="3"/>
    <x v="1"/>
    <x v="1"/>
    <x v="2"/>
    <x v="0"/>
    <x v="527"/>
    <x v="0"/>
    <x v="527"/>
  </r>
  <r>
    <x v="0"/>
    <x v="1"/>
    <x v="0"/>
    <x v="3"/>
    <x v="1"/>
    <x v="2"/>
    <x v="0"/>
    <x v="0"/>
    <x v="528"/>
    <x v="0"/>
    <x v="528"/>
  </r>
  <r>
    <x v="0"/>
    <x v="1"/>
    <x v="0"/>
    <x v="3"/>
    <x v="1"/>
    <x v="2"/>
    <x v="1"/>
    <x v="0"/>
    <x v="529"/>
    <x v="0"/>
    <x v="529"/>
  </r>
  <r>
    <x v="0"/>
    <x v="1"/>
    <x v="0"/>
    <x v="3"/>
    <x v="1"/>
    <x v="2"/>
    <x v="2"/>
    <x v="0"/>
    <x v="530"/>
    <x v="0"/>
    <x v="530"/>
  </r>
  <r>
    <x v="0"/>
    <x v="1"/>
    <x v="0"/>
    <x v="3"/>
    <x v="2"/>
    <x v="0"/>
    <x v="0"/>
    <x v="0"/>
    <x v="531"/>
    <x v="0"/>
    <x v="531"/>
  </r>
  <r>
    <x v="0"/>
    <x v="1"/>
    <x v="0"/>
    <x v="3"/>
    <x v="2"/>
    <x v="0"/>
    <x v="1"/>
    <x v="0"/>
    <x v="532"/>
    <x v="0"/>
    <x v="532"/>
  </r>
  <r>
    <x v="0"/>
    <x v="1"/>
    <x v="0"/>
    <x v="3"/>
    <x v="2"/>
    <x v="0"/>
    <x v="2"/>
    <x v="0"/>
    <x v="533"/>
    <x v="0"/>
    <x v="533"/>
  </r>
  <r>
    <x v="0"/>
    <x v="1"/>
    <x v="0"/>
    <x v="3"/>
    <x v="2"/>
    <x v="1"/>
    <x v="0"/>
    <x v="0"/>
    <x v="534"/>
    <x v="0"/>
    <x v="534"/>
  </r>
  <r>
    <x v="0"/>
    <x v="1"/>
    <x v="0"/>
    <x v="3"/>
    <x v="2"/>
    <x v="1"/>
    <x v="1"/>
    <x v="0"/>
    <x v="535"/>
    <x v="0"/>
    <x v="535"/>
  </r>
  <r>
    <x v="0"/>
    <x v="1"/>
    <x v="0"/>
    <x v="3"/>
    <x v="2"/>
    <x v="1"/>
    <x v="2"/>
    <x v="0"/>
    <x v="536"/>
    <x v="0"/>
    <x v="536"/>
  </r>
  <r>
    <x v="0"/>
    <x v="1"/>
    <x v="0"/>
    <x v="3"/>
    <x v="2"/>
    <x v="2"/>
    <x v="0"/>
    <x v="0"/>
    <x v="537"/>
    <x v="0"/>
    <x v="537"/>
  </r>
  <r>
    <x v="0"/>
    <x v="1"/>
    <x v="0"/>
    <x v="3"/>
    <x v="2"/>
    <x v="2"/>
    <x v="1"/>
    <x v="0"/>
    <x v="538"/>
    <x v="0"/>
    <x v="538"/>
  </r>
  <r>
    <x v="0"/>
    <x v="1"/>
    <x v="0"/>
    <x v="3"/>
    <x v="2"/>
    <x v="2"/>
    <x v="2"/>
    <x v="0"/>
    <x v="539"/>
    <x v="0"/>
    <x v="539"/>
  </r>
  <r>
    <x v="0"/>
    <x v="1"/>
    <x v="1"/>
    <x v="0"/>
    <x v="0"/>
    <x v="0"/>
    <x v="0"/>
    <x v="0"/>
    <x v="540"/>
    <x v="0"/>
    <x v="540"/>
  </r>
  <r>
    <x v="0"/>
    <x v="1"/>
    <x v="1"/>
    <x v="0"/>
    <x v="0"/>
    <x v="0"/>
    <x v="1"/>
    <x v="0"/>
    <x v="541"/>
    <x v="0"/>
    <x v="541"/>
  </r>
  <r>
    <x v="0"/>
    <x v="1"/>
    <x v="1"/>
    <x v="0"/>
    <x v="0"/>
    <x v="0"/>
    <x v="2"/>
    <x v="0"/>
    <x v="542"/>
    <x v="0"/>
    <x v="542"/>
  </r>
  <r>
    <x v="0"/>
    <x v="1"/>
    <x v="1"/>
    <x v="0"/>
    <x v="0"/>
    <x v="1"/>
    <x v="0"/>
    <x v="0"/>
    <x v="543"/>
    <x v="0"/>
    <x v="543"/>
  </r>
  <r>
    <x v="0"/>
    <x v="1"/>
    <x v="1"/>
    <x v="0"/>
    <x v="0"/>
    <x v="1"/>
    <x v="1"/>
    <x v="0"/>
    <x v="544"/>
    <x v="0"/>
    <x v="544"/>
  </r>
  <r>
    <x v="0"/>
    <x v="1"/>
    <x v="1"/>
    <x v="0"/>
    <x v="0"/>
    <x v="1"/>
    <x v="2"/>
    <x v="0"/>
    <x v="545"/>
    <x v="0"/>
    <x v="545"/>
  </r>
  <r>
    <x v="0"/>
    <x v="1"/>
    <x v="1"/>
    <x v="0"/>
    <x v="0"/>
    <x v="2"/>
    <x v="0"/>
    <x v="0"/>
    <x v="546"/>
    <x v="0"/>
    <x v="546"/>
  </r>
  <r>
    <x v="0"/>
    <x v="1"/>
    <x v="1"/>
    <x v="0"/>
    <x v="0"/>
    <x v="2"/>
    <x v="1"/>
    <x v="0"/>
    <x v="547"/>
    <x v="0"/>
    <x v="547"/>
  </r>
  <r>
    <x v="0"/>
    <x v="1"/>
    <x v="1"/>
    <x v="0"/>
    <x v="0"/>
    <x v="2"/>
    <x v="2"/>
    <x v="0"/>
    <x v="548"/>
    <x v="0"/>
    <x v="548"/>
  </r>
  <r>
    <x v="0"/>
    <x v="1"/>
    <x v="1"/>
    <x v="0"/>
    <x v="1"/>
    <x v="0"/>
    <x v="0"/>
    <x v="0"/>
    <x v="549"/>
    <x v="0"/>
    <x v="549"/>
  </r>
  <r>
    <x v="0"/>
    <x v="1"/>
    <x v="1"/>
    <x v="0"/>
    <x v="1"/>
    <x v="0"/>
    <x v="1"/>
    <x v="0"/>
    <x v="550"/>
    <x v="0"/>
    <x v="550"/>
  </r>
  <r>
    <x v="0"/>
    <x v="1"/>
    <x v="1"/>
    <x v="0"/>
    <x v="1"/>
    <x v="0"/>
    <x v="2"/>
    <x v="1"/>
    <x v="551"/>
    <x v="0"/>
    <x v="551"/>
  </r>
  <r>
    <x v="0"/>
    <x v="1"/>
    <x v="1"/>
    <x v="0"/>
    <x v="1"/>
    <x v="1"/>
    <x v="0"/>
    <x v="0"/>
    <x v="552"/>
    <x v="0"/>
    <x v="552"/>
  </r>
  <r>
    <x v="0"/>
    <x v="1"/>
    <x v="1"/>
    <x v="0"/>
    <x v="1"/>
    <x v="1"/>
    <x v="1"/>
    <x v="0"/>
    <x v="553"/>
    <x v="0"/>
    <x v="553"/>
  </r>
  <r>
    <x v="0"/>
    <x v="1"/>
    <x v="1"/>
    <x v="0"/>
    <x v="1"/>
    <x v="1"/>
    <x v="2"/>
    <x v="1"/>
    <x v="554"/>
    <x v="0"/>
    <x v="554"/>
  </r>
  <r>
    <x v="0"/>
    <x v="1"/>
    <x v="1"/>
    <x v="0"/>
    <x v="1"/>
    <x v="2"/>
    <x v="0"/>
    <x v="0"/>
    <x v="555"/>
    <x v="0"/>
    <x v="555"/>
  </r>
  <r>
    <x v="0"/>
    <x v="1"/>
    <x v="1"/>
    <x v="0"/>
    <x v="1"/>
    <x v="2"/>
    <x v="1"/>
    <x v="1"/>
    <x v="556"/>
    <x v="0"/>
    <x v="556"/>
  </r>
  <r>
    <x v="0"/>
    <x v="1"/>
    <x v="1"/>
    <x v="0"/>
    <x v="1"/>
    <x v="2"/>
    <x v="2"/>
    <x v="1"/>
    <x v="557"/>
    <x v="0"/>
    <x v="557"/>
  </r>
  <r>
    <x v="0"/>
    <x v="1"/>
    <x v="1"/>
    <x v="0"/>
    <x v="2"/>
    <x v="0"/>
    <x v="0"/>
    <x v="0"/>
    <x v="558"/>
    <x v="0"/>
    <x v="558"/>
  </r>
  <r>
    <x v="0"/>
    <x v="1"/>
    <x v="1"/>
    <x v="0"/>
    <x v="2"/>
    <x v="0"/>
    <x v="1"/>
    <x v="0"/>
    <x v="559"/>
    <x v="0"/>
    <x v="559"/>
  </r>
  <r>
    <x v="0"/>
    <x v="1"/>
    <x v="1"/>
    <x v="0"/>
    <x v="2"/>
    <x v="0"/>
    <x v="2"/>
    <x v="0"/>
    <x v="560"/>
    <x v="0"/>
    <x v="560"/>
  </r>
  <r>
    <x v="0"/>
    <x v="1"/>
    <x v="1"/>
    <x v="0"/>
    <x v="2"/>
    <x v="1"/>
    <x v="0"/>
    <x v="0"/>
    <x v="561"/>
    <x v="0"/>
    <x v="561"/>
  </r>
  <r>
    <x v="0"/>
    <x v="1"/>
    <x v="1"/>
    <x v="0"/>
    <x v="2"/>
    <x v="1"/>
    <x v="1"/>
    <x v="0"/>
    <x v="562"/>
    <x v="0"/>
    <x v="562"/>
  </r>
  <r>
    <x v="0"/>
    <x v="1"/>
    <x v="1"/>
    <x v="0"/>
    <x v="2"/>
    <x v="1"/>
    <x v="2"/>
    <x v="1"/>
    <x v="563"/>
    <x v="0"/>
    <x v="563"/>
  </r>
  <r>
    <x v="0"/>
    <x v="1"/>
    <x v="1"/>
    <x v="0"/>
    <x v="2"/>
    <x v="2"/>
    <x v="0"/>
    <x v="0"/>
    <x v="564"/>
    <x v="0"/>
    <x v="564"/>
  </r>
  <r>
    <x v="0"/>
    <x v="1"/>
    <x v="1"/>
    <x v="0"/>
    <x v="2"/>
    <x v="2"/>
    <x v="1"/>
    <x v="1"/>
    <x v="565"/>
    <x v="0"/>
    <x v="565"/>
  </r>
  <r>
    <x v="0"/>
    <x v="1"/>
    <x v="1"/>
    <x v="0"/>
    <x v="2"/>
    <x v="2"/>
    <x v="2"/>
    <x v="1"/>
    <x v="566"/>
    <x v="0"/>
    <x v="566"/>
  </r>
  <r>
    <x v="0"/>
    <x v="1"/>
    <x v="1"/>
    <x v="1"/>
    <x v="0"/>
    <x v="0"/>
    <x v="0"/>
    <x v="0"/>
    <x v="567"/>
    <x v="0"/>
    <x v="567"/>
  </r>
  <r>
    <x v="0"/>
    <x v="1"/>
    <x v="1"/>
    <x v="1"/>
    <x v="0"/>
    <x v="0"/>
    <x v="1"/>
    <x v="0"/>
    <x v="568"/>
    <x v="0"/>
    <x v="568"/>
  </r>
  <r>
    <x v="0"/>
    <x v="1"/>
    <x v="1"/>
    <x v="1"/>
    <x v="0"/>
    <x v="0"/>
    <x v="2"/>
    <x v="0"/>
    <x v="569"/>
    <x v="0"/>
    <x v="569"/>
  </r>
  <r>
    <x v="0"/>
    <x v="1"/>
    <x v="1"/>
    <x v="1"/>
    <x v="0"/>
    <x v="1"/>
    <x v="0"/>
    <x v="0"/>
    <x v="570"/>
    <x v="0"/>
    <x v="570"/>
  </r>
  <r>
    <x v="0"/>
    <x v="1"/>
    <x v="1"/>
    <x v="1"/>
    <x v="0"/>
    <x v="1"/>
    <x v="1"/>
    <x v="0"/>
    <x v="571"/>
    <x v="0"/>
    <x v="571"/>
  </r>
  <r>
    <x v="0"/>
    <x v="1"/>
    <x v="1"/>
    <x v="1"/>
    <x v="0"/>
    <x v="1"/>
    <x v="2"/>
    <x v="0"/>
    <x v="572"/>
    <x v="0"/>
    <x v="572"/>
  </r>
  <r>
    <x v="0"/>
    <x v="1"/>
    <x v="1"/>
    <x v="1"/>
    <x v="0"/>
    <x v="2"/>
    <x v="0"/>
    <x v="0"/>
    <x v="573"/>
    <x v="0"/>
    <x v="573"/>
  </r>
  <r>
    <x v="0"/>
    <x v="1"/>
    <x v="1"/>
    <x v="1"/>
    <x v="0"/>
    <x v="2"/>
    <x v="1"/>
    <x v="0"/>
    <x v="574"/>
    <x v="0"/>
    <x v="574"/>
  </r>
  <r>
    <x v="0"/>
    <x v="1"/>
    <x v="1"/>
    <x v="1"/>
    <x v="0"/>
    <x v="2"/>
    <x v="2"/>
    <x v="0"/>
    <x v="575"/>
    <x v="0"/>
    <x v="575"/>
  </r>
  <r>
    <x v="0"/>
    <x v="1"/>
    <x v="1"/>
    <x v="1"/>
    <x v="1"/>
    <x v="0"/>
    <x v="0"/>
    <x v="0"/>
    <x v="576"/>
    <x v="0"/>
    <x v="576"/>
  </r>
  <r>
    <x v="0"/>
    <x v="1"/>
    <x v="1"/>
    <x v="1"/>
    <x v="1"/>
    <x v="0"/>
    <x v="1"/>
    <x v="0"/>
    <x v="577"/>
    <x v="0"/>
    <x v="577"/>
  </r>
  <r>
    <x v="0"/>
    <x v="1"/>
    <x v="1"/>
    <x v="1"/>
    <x v="1"/>
    <x v="0"/>
    <x v="2"/>
    <x v="1"/>
    <x v="578"/>
    <x v="0"/>
    <x v="578"/>
  </r>
  <r>
    <x v="0"/>
    <x v="1"/>
    <x v="1"/>
    <x v="1"/>
    <x v="1"/>
    <x v="1"/>
    <x v="0"/>
    <x v="0"/>
    <x v="579"/>
    <x v="0"/>
    <x v="579"/>
  </r>
  <r>
    <x v="0"/>
    <x v="1"/>
    <x v="1"/>
    <x v="1"/>
    <x v="1"/>
    <x v="1"/>
    <x v="1"/>
    <x v="0"/>
    <x v="580"/>
    <x v="0"/>
    <x v="580"/>
  </r>
  <r>
    <x v="0"/>
    <x v="1"/>
    <x v="1"/>
    <x v="1"/>
    <x v="1"/>
    <x v="1"/>
    <x v="2"/>
    <x v="1"/>
    <x v="581"/>
    <x v="0"/>
    <x v="581"/>
  </r>
  <r>
    <x v="0"/>
    <x v="1"/>
    <x v="1"/>
    <x v="1"/>
    <x v="1"/>
    <x v="2"/>
    <x v="0"/>
    <x v="0"/>
    <x v="582"/>
    <x v="0"/>
    <x v="582"/>
  </r>
  <r>
    <x v="0"/>
    <x v="1"/>
    <x v="1"/>
    <x v="1"/>
    <x v="1"/>
    <x v="2"/>
    <x v="1"/>
    <x v="1"/>
    <x v="583"/>
    <x v="0"/>
    <x v="583"/>
  </r>
  <r>
    <x v="0"/>
    <x v="1"/>
    <x v="1"/>
    <x v="1"/>
    <x v="1"/>
    <x v="2"/>
    <x v="2"/>
    <x v="1"/>
    <x v="584"/>
    <x v="0"/>
    <x v="584"/>
  </r>
  <r>
    <x v="0"/>
    <x v="1"/>
    <x v="1"/>
    <x v="1"/>
    <x v="2"/>
    <x v="0"/>
    <x v="0"/>
    <x v="0"/>
    <x v="585"/>
    <x v="0"/>
    <x v="585"/>
  </r>
  <r>
    <x v="0"/>
    <x v="1"/>
    <x v="1"/>
    <x v="1"/>
    <x v="2"/>
    <x v="0"/>
    <x v="1"/>
    <x v="0"/>
    <x v="586"/>
    <x v="0"/>
    <x v="586"/>
  </r>
  <r>
    <x v="0"/>
    <x v="1"/>
    <x v="1"/>
    <x v="1"/>
    <x v="2"/>
    <x v="0"/>
    <x v="2"/>
    <x v="1"/>
    <x v="587"/>
    <x v="0"/>
    <x v="587"/>
  </r>
  <r>
    <x v="0"/>
    <x v="1"/>
    <x v="1"/>
    <x v="1"/>
    <x v="2"/>
    <x v="1"/>
    <x v="0"/>
    <x v="0"/>
    <x v="588"/>
    <x v="0"/>
    <x v="588"/>
  </r>
  <r>
    <x v="0"/>
    <x v="1"/>
    <x v="1"/>
    <x v="1"/>
    <x v="2"/>
    <x v="1"/>
    <x v="1"/>
    <x v="1"/>
    <x v="589"/>
    <x v="0"/>
    <x v="589"/>
  </r>
  <r>
    <x v="0"/>
    <x v="1"/>
    <x v="1"/>
    <x v="1"/>
    <x v="2"/>
    <x v="1"/>
    <x v="2"/>
    <x v="1"/>
    <x v="590"/>
    <x v="0"/>
    <x v="590"/>
  </r>
  <r>
    <x v="0"/>
    <x v="1"/>
    <x v="1"/>
    <x v="1"/>
    <x v="2"/>
    <x v="2"/>
    <x v="0"/>
    <x v="0"/>
    <x v="591"/>
    <x v="0"/>
    <x v="591"/>
  </r>
  <r>
    <x v="0"/>
    <x v="1"/>
    <x v="1"/>
    <x v="1"/>
    <x v="2"/>
    <x v="2"/>
    <x v="1"/>
    <x v="1"/>
    <x v="592"/>
    <x v="0"/>
    <x v="592"/>
  </r>
  <r>
    <x v="0"/>
    <x v="1"/>
    <x v="1"/>
    <x v="1"/>
    <x v="2"/>
    <x v="2"/>
    <x v="2"/>
    <x v="1"/>
    <x v="593"/>
    <x v="0"/>
    <x v="593"/>
  </r>
  <r>
    <x v="0"/>
    <x v="1"/>
    <x v="1"/>
    <x v="2"/>
    <x v="0"/>
    <x v="0"/>
    <x v="0"/>
    <x v="0"/>
    <x v="594"/>
    <x v="0"/>
    <x v="594"/>
  </r>
  <r>
    <x v="0"/>
    <x v="1"/>
    <x v="1"/>
    <x v="2"/>
    <x v="0"/>
    <x v="0"/>
    <x v="1"/>
    <x v="0"/>
    <x v="595"/>
    <x v="0"/>
    <x v="595"/>
  </r>
  <r>
    <x v="0"/>
    <x v="1"/>
    <x v="1"/>
    <x v="2"/>
    <x v="0"/>
    <x v="0"/>
    <x v="2"/>
    <x v="0"/>
    <x v="596"/>
    <x v="0"/>
    <x v="596"/>
  </r>
  <r>
    <x v="0"/>
    <x v="1"/>
    <x v="1"/>
    <x v="2"/>
    <x v="0"/>
    <x v="1"/>
    <x v="0"/>
    <x v="0"/>
    <x v="597"/>
    <x v="0"/>
    <x v="597"/>
  </r>
  <r>
    <x v="0"/>
    <x v="1"/>
    <x v="1"/>
    <x v="2"/>
    <x v="0"/>
    <x v="1"/>
    <x v="1"/>
    <x v="0"/>
    <x v="598"/>
    <x v="0"/>
    <x v="598"/>
  </r>
  <r>
    <x v="0"/>
    <x v="1"/>
    <x v="1"/>
    <x v="2"/>
    <x v="0"/>
    <x v="1"/>
    <x v="2"/>
    <x v="0"/>
    <x v="599"/>
    <x v="0"/>
    <x v="599"/>
  </r>
  <r>
    <x v="0"/>
    <x v="1"/>
    <x v="1"/>
    <x v="2"/>
    <x v="0"/>
    <x v="2"/>
    <x v="0"/>
    <x v="0"/>
    <x v="600"/>
    <x v="0"/>
    <x v="600"/>
  </r>
  <r>
    <x v="0"/>
    <x v="1"/>
    <x v="1"/>
    <x v="2"/>
    <x v="0"/>
    <x v="2"/>
    <x v="1"/>
    <x v="0"/>
    <x v="601"/>
    <x v="0"/>
    <x v="601"/>
  </r>
  <r>
    <x v="0"/>
    <x v="1"/>
    <x v="1"/>
    <x v="2"/>
    <x v="0"/>
    <x v="2"/>
    <x v="2"/>
    <x v="0"/>
    <x v="602"/>
    <x v="0"/>
    <x v="602"/>
  </r>
  <r>
    <x v="0"/>
    <x v="1"/>
    <x v="1"/>
    <x v="2"/>
    <x v="1"/>
    <x v="0"/>
    <x v="0"/>
    <x v="0"/>
    <x v="603"/>
    <x v="0"/>
    <x v="603"/>
  </r>
  <r>
    <x v="0"/>
    <x v="1"/>
    <x v="1"/>
    <x v="2"/>
    <x v="1"/>
    <x v="0"/>
    <x v="1"/>
    <x v="0"/>
    <x v="604"/>
    <x v="0"/>
    <x v="604"/>
  </r>
  <r>
    <x v="0"/>
    <x v="1"/>
    <x v="1"/>
    <x v="2"/>
    <x v="1"/>
    <x v="0"/>
    <x v="2"/>
    <x v="1"/>
    <x v="605"/>
    <x v="0"/>
    <x v="605"/>
  </r>
  <r>
    <x v="0"/>
    <x v="1"/>
    <x v="1"/>
    <x v="2"/>
    <x v="1"/>
    <x v="1"/>
    <x v="0"/>
    <x v="0"/>
    <x v="606"/>
    <x v="0"/>
    <x v="606"/>
  </r>
  <r>
    <x v="0"/>
    <x v="1"/>
    <x v="1"/>
    <x v="2"/>
    <x v="1"/>
    <x v="1"/>
    <x v="1"/>
    <x v="1"/>
    <x v="607"/>
    <x v="0"/>
    <x v="607"/>
  </r>
  <r>
    <x v="0"/>
    <x v="1"/>
    <x v="1"/>
    <x v="2"/>
    <x v="1"/>
    <x v="1"/>
    <x v="2"/>
    <x v="1"/>
    <x v="608"/>
    <x v="0"/>
    <x v="608"/>
  </r>
  <r>
    <x v="0"/>
    <x v="1"/>
    <x v="1"/>
    <x v="2"/>
    <x v="1"/>
    <x v="2"/>
    <x v="0"/>
    <x v="0"/>
    <x v="609"/>
    <x v="0"/>
    <x v="609"/>
  </r>
  <r>
    <x v="0"/>
    <x v="1"/>
    <x v="1"/>
    <x v="2"/>
    <x v="1"/>
    <x v="2"/>
    <x v="1"/>
    <x v="1"/>
    <x v="610"/>
    <x v="0"/>
    <x v="610"/>
  </r>
  <r>
    <x v="0"/>
    <x v="1"/>
    <x v="1"/>
    <x v="2"/>
    <x v="1"/>
    <x v="2"/>
    <x v="2"/>
    <x v="1"/>
    <x v="611"/>
    <x v="0"/>
    <x v="611"/>
  </r>
  <r>
    <x v="0"/>
    <x v="1"/>
    <x v="1"/>
    <x v="2"/>
    <x v="2"/>
    <x v="0"/>
    <x v="0"/>
    <x v="0"/>
    <x v="612"/>
    <x v="0"/>
    <x v="612"/>
  </r>
  <r>
    <x v="0"/>
    <x v="1"/>
    <x v="1"/>
    <x v="2"/>
    <x v="2"/>
    <x v="0"/>
    <x v="1"/>
    <x v="0"/>
    <x v="613"/>
    <x v="0"/>
    <x v="613"/>
  </r>
  <r>
    <x v="0"/>
    <x v="1"/>
    <x v="1"/>
    <x v="2"/>
    <x v="2"/>
    <x v="0"/>
    <x v="2"/>
    <x v="1"/>
    <x v="614"/>
    <x v="0"/>
    <x v="614"/>
  </r>
  <r>
    <x v="0"/>
    <x v="1"/>
    <x v="1"/>
    <x v="2"/>
    <x v="2"/>
    <x v="1"/>
    <x v="0"/>
    <x v="0"/>
    <x v="615"/>
    <x v="0"/>
    <x v="615"/>
  </r>
  <r>
    <x v="0"/>
    <x v="1"/>
    <x v="1"/>
    <x v="2"/>
    <x v="2"/>
    <x v="1"/>
    <x v="1"/>
    <x v="1"/>
    <x v="616"/>
    <x v="0"/>
    <x v="616"/>
  </r>
  <r>
    <x v="0"/>
    <x v="1"/>
    <x v="1"/>
    <x v="2"/>
    <x v="2"/>
    <x v="1"/>
    <x v="2"/>
    <x v="1"/>
    <x v="617"/>
    <x v="0"/>
    <x v="617"/>
  </r>
  <r>
    <x v="0"/>
    <x v="1"/>
    <x v="1"/>
    <x v="2"/>
    <x v="2"/>
    <x v="2"/>
    <x v="0"/>
    <x v="0"/>
    <x v="618"/>
    <x v="0"/>
    <x v="618"/>
  </r>
  <r>
    <x v="0"/>
    <x v="1"/>
    <x v="1"/>
    <x v="2"/>
    <x v="2"/>
    <x v="2"/>
    <x v="1"/>
    <x v="1"/>
    <x v="619"/>
    <x v="0"/>
    <x v="619"/>
  </r>
  <r>
    <x v="0"/>
    <x v="1"/>
    <x v="1"/>
    <x v="2"/>
    <x v="2"/>
    <x v="2"/>
    <x v="2"/>
    <x v="1"/>
    <x v="620"/>
    <x v="0"/>
    <x v="620"/>
  </r>
  <r>
    <x v="0"/>
    <x v="1"/>
    <x v="1"/>
    <x v="3"/>
    <x v="0"/>
    <x v="0"/>
    <x v="0"/>
    <x v="0"/>
    <x v="621"/>
    <x v="0"/>
    <x v="621"/>
  </r>
  <r>
    <x v="0"/>
    <x v="1"/>
    <x v="1"/>
    <x v="3"/>
    <x v="0"/>
    <x v="0"/>
    <x v="1"/>
    <x v="0"/>
    <x v="622"/>
    <x v="0"/>
    <x v="622"/>
  </r>
  <r>
    <x v="0"/>
    <x v="1"/>
    <x v="1"/>
    <x v="3"/>
    <x v="0"/>
    <x v="0"/>
    <x v="2"/>
    <x v="0"/>
    <x v="623"/>
    <x v="0"/>
    <x v="623"/>
  </r>
  <r>
    <x v="0"/>
    <x v="1"/>
    <x v="1"/>
    <x v="3"/>
    <x v="0"/>
    <x v="1"/>
    <x v="0"/>
    <x v="0"/>
    <x v="624"/>
    <x v="0"/>
    <x v="624"/>
  </r>
  <r>
    <x v="0"/>
    <x v="1"/>
    <x v="1"/>
    <x v="3"/>
    <x v="0"/>
    <x v="1"/>
    <x v="1"/>
    <x v="0"/>
    <x v="625"/>
    <x v="0"/>
    <x v="625"/>
  </r>
  <r>
    <x v="0"/>
    <x v="1"/>
    <x v="1"/>
    <x v="3"/>
    <x v="0"/>
    <x v="1"/>
    <x v="2"/>
    <x v="0"/>
    <x v="626"/>
    <x v="0"/>
    <x v="626"/>
  </r>
  <r>
    <x v="0"/>
    <x v="1"/>
    <x v="1"/>
    <x v="3"/>
    <x v="0"/>
    <x v="2"/>
    <x v="0"/>
    <x v="0"/>
    <x v="627"/>
    <x v="0"/>
    <x v="627"/>
  </r>
  <r>
    <x v="0"/>
    <x v="1"/>
    <x v="1"/>
    <x v="3"/>
    <x v="0"/>
    <x v="2"/>
    <x v="1"/>
    <x v="0"/>
    <x v="628"/>
    <x v="0"/>
    <x v="628"/>
  </r>
  <r>
    <x v="0"/>
    <x v="1"/>
    <x v="1"/>
    <x v="3"/>
    <x v="0"/>
    <x v="2"/>
    <x v="2"/>
    <x v="0"/>
    <x v="629"/>
    <x v="0"/>
    <x v="629"/>
  </r>
  <r>
    <x v="0"/>
    <x v="1"/>
    <x v="1"/>
    <x v="3"/>
    <x v="1"/>
    <x v="0"/>
    <x v="0"/>
    <x v="0"/>
    <x v="630"/>
    <x v="0"/>
    <x v="630"/>
  </r>
  <r>
    <x v="0"/>
    <x v="1"/>
    <x v="1"/>
    <x v="3"/>
    <x v="1"/>
    <x v="0"/>
    <x v="1"/>
    <x v="0"/>
    <x v="631"/>
    <x v="0"/>
    <x v="631"/>
  </r>
  <r>
    <x v="0"/>
    <x v="1"/>
    <x v="1"/>
    <x v="3"/>
    <x v="1"/>
    <x v="0"/>
    <x v="2"/>
    <x v="1"/>
    <x v="632"/>
    <x v="0"/>
    <x v="632"/>
  </r>
  <r>
    <x v="0"/>
    <x v="1"/>
    <x v="1"/>
    <x v="3"/>
    <x v="1"/>
    <x v="1"/>
    <x v="0"/>
    <x v="0"/>
    <x v="633"/>
    <x v="0"/>
    <x v="633"/>
  </r>
  <r>
    <x v="0"/>
    <x v="1"/>
    <x v="1"/>
    <x v="3"/>
    <x v="1"/>
    <x v="1"/>
    <x v="1"/>
    <x v="1"/>
    <x v="634"/>
    <x v="0"/>
    <x v="634"/>
  </r>
  <r>
    <x v="0"/>
    <x v="1"/>
    <x v="1"/>
    <x v="3"/>
    <x v="1"/>
    <x v="1"/>
    <x v="2"/>
    <x v="1"/>
    <x v="635"/>
    <x v="0"/>
    <x v="635"/>
  </r>
  <r>
    <x v="0"/>
    <x v="1"/>
    <x v="1"/>
    <x v="3"/>
    <x v="1"/>
    <x v="2"/>
    <x v="0"/>
    <x v="0"/>
    <x v="636"/>
    <x v="0"/>
    <x v="636"/>
  </r>
  <r>
    <x v="0"/>
    <x v="1"/>
    <x v="1"/>
    <x v="3"/>
    <x v="1"/>
    <x v="2"/>
    <x v="1"/>
    <x v="1"/>
    <x v="637"/>
    <x v="0"/>
    <x v="637"/>
  </r>
  <r>
    <x v="0"/>
    <x v="1"/>
    <x v="1"/>
    <x v="3"/>
    <x v="1"/>
    <x v="2"/>
    <x v="2"/>
    <x v="1"/>
    <x v="638"/>
    <x v="0"/>
    <x v="638"/>
  </r>
  <r>
    <x v="0"/>
    <x v="1"/>
    <x v="1"/>
    <x v="3"/>
    <x v="2"/>
    <x v="0"/>
    <x v="0"/>
    <x v="0"/>
    <x v="639"/>
    <x v="0"/>
    <x v="639"/>
  </r>
  <r>
    <x v="0"/>
    <x v="1"/>
    <x v="1"/>
    <x v="3"/>
    <x v="2"/>
    <x v="0"/>
    <x v="1"/>
    <x v="0"/>
    <x v="640"/>
    <x v="0"/>
    <x v="640"/>
  </r>
  <r>
    <x v="0"/>
    <x v="1"/>
    <x v="1"/>
    <x v="3"/>
    <x v="2"/>
    <x v="0"/>
    <x v="2"/>
    <x v="1"/>
    <x v="641"/>
    <x v="0"/>
    <x v="641"/>
  </r>
  <r>
    <x v="0"/>
    <x v="1"/>
    <x v="1"/>
    <x v="3"/>
    <x v="2"/>
    <x v="1"/>
    <x v="0"/>
    <x v="0"/>
    <x v="642"/>
    <x v="0"/>
    <x v="642"/>
  </r>
  <r>
    <x v="0"/>
    <x v="1"/>
    <x v="1"/>
    <x v="3"/>
    <x v="2"/>
    <x v="1"/>
    <x v="1"/>
    <x v="1"/>
    <x v="643"/>
    <x v="0"/>
    <x v="643"/>
  </r>
  <r>
    <x v="0"/>
    <x v="1"/>
    <x v="1"/>
    <x v="3"/>
    <x v="2"/>
    <x v="1"/>
    <x v="2"/>
    <x v="1"/>
    <x v="644"/>
    <x v="0"/>
    <x v="644"/>
  </r>
  <r>
    <x v="0"/>
    <x v="1"/>
    <x v="1"/>
    <x v="3"/>
    <x v="2"/>
    <x v="2"/>
    <x v="0"/>
    <x v="0"/>
    <x v="645"/>
    <x v="0"/>
    <x v="645"/>
  </r>
  <r>
    <x v="0"/>
    <x v="1"/>
    <x v="1"/>
    <x v="3"/>
    <x v="2"/>
    <x v="2"/>
    <x v="1"/>
    <x v="1"/>
    <x v="646"/>
    <x v="0"/>
    <x v="646"/>
  </r>
  <r>
    <x v="0"/>
    <x v="1"/>
    <x v="1"/>
    <x v="3"/>
    <x v="2"/>
    <x v="2"/>
    <x v="2"/>
    <x v="1"/>
    <x v="647"/>
    <x v="0"/>
    <x v="647"/>
  </r>
  <r>
    <x v="0"/>
    <x v="1"/>
    <x v="2"/>
    <x v="0"/>
    <x v="0"/>
    <x v="0"/>
    <x v="0"/>
    <x v="0"/>
    <x v="648"/>
    <x v="0"/>
    <x v="648"/>
  </r>
  <r>
    <x v="0"/>
    <x v="1"/>
    <x v="2"/>
    <x v="0"/>
    <x v="0"/>
    <x v="0"/>
    <x v="1"/>
    <x v="0"/>
    <x v="649"/>
    <x v="0"/>
    <x v="649"/>
  </r>
  <r>
    <x v="0"/>
    <x v="1"/>
    <x v="2"/>
    <x v="0"/>
    <x v="0"/>
    <x v="0"/>
    <x v="2"/>
    <x v="0"/>
    <x v="650"/>
    <x v="0"/>
    <x v="650"/>
  </r>
  <r>
    <x v="0"/>
    <x v="1"/>
    <x v="2"/>
    <x v="0"/>
    <x v="0"/>
    <x v="1"/>
    <x v="0"/>
    <x v="0"/>
    <x v="651"/>
    <x v="0"/>
    <x v="651"/>
  </r>
  <r>
    <x v="0"/>
    <x v="1"/>
    <x v="2"/>
    <x v="0"/>
    <x v="0"/>
    <x v="1"/>
    <x v="1"/>
    <x v="0"/>
    <x v="652"/>
    <x v="0"/>
    <x v="652"/>
  </r>
  <r>
    <x v="0"/>
    <x v="1"/>
    <x v="2"/>
    <x v="0"/>
    <x v="0"/>
    <x v="1"/>
    <x v="2"/>
    <x v="0"/>
    <x v="653"/>
    <x v="0"/>
    <x v="653"/>
  </r>
  <r>
    <x v="0"/>
    <x v="1"/>
    <x v="2"/>
    <x v="0"/>
    <x v="0"/>
    <x v="2"/>
    <x v="0"/>
    <x v="0"/>
    <x v="654"/>
    <x v="0"/>
    <x v="654"/>
  </r>
  <r>
    <x v="0"/>
    <x v="1"/>
    <x v="2"/>
    <x v="0"/>
    <x v="0"/>
    <x v="2"/>
    <x v="1"/>
    <x v="0"/>
    <x v="655"/>
    <x v="0"/>
    <x v="655"/>
  </r>
  <r>
    <x v="0"/>
    <x v="1"/>
    <x v="2"/>
    <x v="0"/>
    <x v="0"/>
    <x v="2"/>
    <x v="2"/>
    <x v="0"/>
    <x v="656"/>
    <x v="0"/>
    <x v="656"/>
  </r>
  <r>
    <x v="0"/>
    <x v="1"/>
    <x v="2"/>
    <x v="0"/>
    <x v="1"/>
    <x v="0"/>
    <x v="0"/>
    <x v="0"/>
    <x v="657"/>
    <x v="0"/>
    <x v="657"/>
  </r>
  <r>
    <x v="0"/>
    <x v="1"/>
    <x v="2"/>
    <x v="0"/>
    <x v="1"/>
    <x v="0"/>
    <x v="1"/>
    <x v="0"/>
    <x v="658"/>
    <x v="0"/>
    <x v="658"/>
  </r>
  <r>
    <x v="0"/>
    <x v="1"/>
    <x v="2"/>
    <x v="0"/>
    <x v="1"/>
    <x v="0"/>
    <x v="2"/>
    <x v="1"/>
    <x v="659"/>
    <x v="0"/>
    <x v="659"/>
  </r>
  <r>
    <x v="0"/>
    <x v="1"/>
    <x v="2"/>
    <x v="0"/>
    <x v="1"/>
    <x v="1"/>
    <x v="0"/>
    <x v="0"/>
    <x v="660"/>
    <x v="0"/>
    <x v="660"/>
  </r>
  <r>
    <x v="0"/>
    <x v="1"/>
    <x v="2"/>
    <x v="0"/>
    <x v="1"/>
    <x v="1"/>
    <x v="1"/>
    <x v="0"/>
    <x v="661"/>
    <x v="0"/>
    <x v="661"/>
  </r>
  <r>
    <x v="0"/>
    <x v="1"/>
    <x v="2"/>
    <x v="0"/>
    <x v="1"/>
    <x v="1"/>
    <x v="2"/>
    <x v="1"/>
    <x v="662"/>
    <x v="0"/>
    <x v="662"/>
  </r>
  <r>
    <x v="0"/>
    <x v="1"/>
    <x v="2"/>
    <x v="0"/>
    <x v="1"/>
    <x v="2"/>
    <x v="0"/>
    <x v="0"/>
    <x v="663"/>
    <x v="0"/>
    <x v="663"/>
  </r>
  <r>
    <x v="0"/>
    <x v="1"/>
    <x v="2"/>
    <x v="0"/>
    <x v="1"/>
    <x v="2"/>
    <x v="1"/>
    <x v="1"/>
    <x v="664"/>
    <x v="0"/>
    <x v="664"/>
  </r>
  <r>
    <x v="0"/>
    <x v="1"/>
    <x v="2"/>
    <x v="0"/>
    <x v="1"/>
    <x v="2"/>
    <x v="2"/>
    <x v="1"/>
    <x v="665"/>
    <x v="0"/>
    <x v="665"/>
  </r>
  <r>
    <x v="0"/>
    <x v="1"/>
    <x v="2"/>
    <x v="0"/>
    <x v="2"/>
    <x v="0"/>
    <x v="0"/>
    <x v="0"/>
    <x v="666"/>
    <x v="0"/>
    <x v="666"/>
  </r>
  <r>
    <x v="0"/>
    <x v="1"/>
    <x v="2"/>
    <x v="0"/>
    <x v="2"/>
    <x v="0"/>
    <x v="1"/>
    <x v="0"/>
    <x v="667"/>
    <x v="0"/>
    <x v="667"/>
  </r>
  <r>
    <x v="0"/>
    <x v="1"/>
    <x v="2"/>
    <x v="0"/>
    <x v="2"/>
    <x v="0"/>
    <x v="2"/>
    <x v="0"/>
    <x v="668"/>
    <x v="0"/>
    <x v="668"/>
  </r>
  <r>
    <x v="0"/>
    <x v="1"/>
    <x v="2"/>
    <x v="0"/>
    <x v="2"/>
    <x v="1"/>
    <x v="0"/>
    <x v="0"/>
    <x v="669"/>
    <x v="0"/>
    <x v="669"/>
  </r>
  <r>
    <x v="0"/>
    <x v="1"/>
    <x v="2"/>
    <x v="0"/>
    <x v="2"/>
    <x v="1"/>
    <x v="1"/>
    <x v="0"/>
    <x v="670"/>
    <x v="0"/>
    <x v="670"/>
  </r>
  <r>
    <x v="0"/>
    <x v="1"/>
    <x v="2"/>
    <x v="0"/>
    <x v="2"/>
    <x v="1"/>
    <x v="2"/>
    <x v="1"/>
    <x v="671"/>
    <x v="0"/>
    <x v="671"/>
  </r>
  <r>
    <x v="0"/>
    <x v="1"/>
    <x v="2"/>
    <x v="0"/>
    <x v="2"/>
    <x v="2"/>
    <x v="0"/>
    <x v="0"/>
    <x v="672"/>
    <x v="0"/>
    <x v="672"/>
  </r>
  <r>
    <x v="0"/>
    <x v="1"/>
    <x v="2"/>
    <x v="0"/>
    <x v="2"/>
    <x v="2"/>
    <x v="1"/>
    <x v="1"/>
    <x v="673"/>
    <x v="0"/>
    <x v="673"/>
  </r>
  <r>
    <x v="0"/>
    <x v="1"/>
    <x v="2"/>
    <x v="0"/>
    <x v="2"/>
    <x v="2"/>
    <x v="2"/>
    <x v="1"/>
    <x v="674"/>
    <x v="0"/>
    <x v="674"/>
  </r>
  <r>
    <x v="0"/>
    <x v="1"/>
    <x v="2"/>
    <x v="1"/>
    <x v="0"/>
    <x v="0"/>
    <x v="0"/>
    <x v="0"/>
    <x v="675"/>
    <x v="0"/>
    <x v="675"/>
  </r>
  <r>
    <x v="0"/>
    <x v="1"/>
    <x v="2"/>
    <x v="1"/>
    <x v="0"/>
    <x v="0"/>
    <x v="1"/>
    <x v="0"/>
    <x v="676"/>
    <x v="0"/>
    <x v="676"/>
  </r>
  <r>
    <x v="0"/>
    <x v="1"/>
    <x v="2"/>
    <x v="1"/>
    <x v="0"/>
    <x v="0"/>
    <x v="2"/>
    <x v="0"/>
    <x v="677"/>
    <x v="0"/>
    <x v="677"/>
  </r>
  <r>
    <x v="0"/>
    <x v="1"/>
    <x v="2"/>
    <x v="1"/>
    <x v="0"/>
    <x v="1"/>
    <x v="0"/>
    <x v="0"/>
    <x v="678"/>
    <x v="0"/>
    <x v="678"/>
  </r>
  <r>
    <x v="0"/>
    <x v="1"/>
    <x v="2"/>
    <x v="1"/>
    <x v="0"/>
    <x v="1"/>
    <x v="1"/>
    <x v="0"/>
    <x v="679"/>
    <x v="0"/>
    <x v="679"/>
  </r>
  <r>
    <x v="0"/>
    <x v="1"/>
    <x v="2"/>
    <x v="1"/>
    <x v="0"/>
    <x v="1"/>
    <x v="2"/>
    <x v="0"/>
    <x v="680"/>
    <x v="0"/>
    <x v="680"/>
  </r>
  <r>
    <x v="0"/>
    <x v="1"/>
    <x v="2"/>
    <x v="1"/>
    <x v="0"/>
    <x v="2"/>
    <x v="0"/>
    <x v="0"/>
    <x v="681"/>
    <x v="0"/>
    <x v="681"/>
  </r>
  <r>
    <x v="0"/>
    <x v="1"/>
    <x v="2"/>
    <x v="1"/>
    <x v="0"/>
    <x v="2"/>
    <x v="1"/>
    <x v="0"/>
    <x v="682"/>
    <x v="0"/>
    <x v="682"/>
  </r>
  <r>
    <x v="0"/>
    <x v="1"/>
    <x v="2"/>
    <x v="1"/>
    <x v="0"/>
    <x v="2"/>
    <x v="2"/>
    <x v="0"/>
    <x v="683"/>
    <x v="0"/>
    <x v="683"/>
  </r>
  <r>
    <x v="0"/>
    <x v="1"/>
    <x v="2"/>
    <x v="1"/>
    <x v="1"/>
    <x v="0"/>
    <x v="0"/>
    <x v="0"/>
    <x v="684"/>
    <x v="0"/>
    <x v="684"/>
  </r>
  <r>
    <x v="0"/>
    <x v="1"/>
    <x v="2"/>
    <x v="1"/>
    <x v="1"/>
    <x v="0"/>
    <x v="1"/>
    <x v="0"/>
    <x v="685"/>
    <x v="0"/>
    <x v="685"/>
  </r>
  <r>
    <x v="0"/>
    <x v="1"/>
    <x v="2"/>
    <x v="1"/>
    <x v="1"/>
    <x v="0"/>
    <x v="2"/>
    <x v="1"/>
    <x v="686"/>
    <x v="0"/>
    <x v="686"/>
  </r>
  <r>
    <x v="0"/>
    <x v="1"/>
    <x v="2"/>
    <x v="1"/>
    <x v="1"/>
    <x v="1"/>
    <x v="0"/>
    <x v="0"/>
    <x v="687"/>
    <x v="0"/>
    <x v="687"/>
  </r>
  <r>
    <x v="0"/>
    <x v="1"/>
    <x v="2"/>
    <x v="1"/>
    <x v="1"/>
    <x v="1"/>
    <x v="1"/>
    <x v="0"/>
    <x v="688"/>
    <x v="0"/>
    <x v="688"/>
  </r>
  <r>
    <x v="0"/>
    <x v="1"/>
    <x v="2"/>
    <x v="1"/>
    <x v="1"/>
    <x v="1"/>
    <x v="2"/>
    <x v="1"/>
    <x v="689"/>
    <x v="0"/>
    <x v="689"/>
  </r>
  <r>
    <x v="0"/>
    <x v="1"/>
    <x v="2"/>
    <x v="1"/>
    <x v="1"/>
    <x v="2"/>
    <x v="0"/>
    <x v="0"/>
    <x v="690"/>
    <x v="0"/>
    <x v="690"/>
  </r>
  <r>
    <x v="0"/>
    <x v="1"/>
    <x v="2"/>
    <x v="1"/>
    <x v="1"/>
    <x v="2"/>
    <x v="1"/>
    <x v="1"/>
    <x v="691"/>
    <x v="0"/>
    <x v="691"/>
  </r>
  <r>
    <x v="0"/>
    <x v="1"/>
    <x v="2"/>
    <x v="1"/>
    <x v="1"/>
    <x v="2"/>
    <x v="2"/>
    <x v="1"/>
    <x v="692"/>
    <x v="0"/>
    <x v="692"/>
  </r>
  <r>
    <x v="0"/>
    <x v="1"/>
    <x v="2"/>
    <x v="1"/>
    <x v="2"/>
    <x v="0"/>
    <x v="0"/>
    <x v="0"/>
    <x v="693"/>
    <x v="0"/>
    <x v="693"/>
  </r>
  <r>
    <x v="0"/>
    <x v="1"/>
    <x v="2"/>
    <x v="1"/>
    <x v="2"/>
    <x v="0"/>
    <x v="1"/>
    <x v="0"/>
    <x v="694"/>
    <x v="0"/>
    <x v="694"/>
  </r>
  <r>
    <x v="0"/>
    <x v="1"/>
    <x v="2"/>
    <x v="1"/>
    <x v="2"/>
    <x v="0"/>
    <x v="2"/>
    <x v="1"/>
    <x v="695"/>
    <x v="0"/>
    <x v="695"/>
  </r>
  <r>
    <x v="0"/>
    <x v="1"/>
    <x v="2"/>
    <x v="1"/>
    <x v="2"/>
    <x v="1"/>
    <x v="0"/>
    <x v="0"/>
    <x v="696"/>
    <x v="0"/>
    <x v="696"/>
  </r>
  <r>
    <x v="0"/>
    <x v="1"/>
    <x v="2"/>
    <x v="1"/>
    <x v="2"/>
    <x v="1"/>
    <x v="1"/>
    <x v="1"/>
    <x v="697"/>
    <x v="0"/>
    <x v="697"/>
  </r>
  <r>
    <x v="0"/>
    <x v="1"/>
    <x v="2"/>
    <x v="1"/>
    <x v="2"/>
    <x v="1"/>
    <x v="2"/>
    <x v="1"/>
    <x v="698"/>
    <x v="0"/>
    <x v="698"/>
  </r>
  <r>
    <x v="0"/>
    <x v="1"/>
    <x v="2"/>
    <x v="1"/>
    <x v="2"/>
    <x v="2"/>
    <x v="0"/>
    <x v="0"/>
    <x v="699"/>
    <x v="0"/>
    <x v="699"/>
  </r>
  <r>
    <x v="0"/>
    <x v="1"/>
    <x v="2"/>
    <x v="1"/>
    <x v="2"/>
    <x v="2"/>
    <x v="1"/>
    <x v="1"/>
    <x v="700"/>
    <x v="0"/>
    <x v="700"/>
  </r>
  <r>
    <x v="0"/>
    <x v="1"/>
    <x v="2"/>
    <x v="1"/>
    <x v="2"/>
    <x v="2"/>
    <x v="2"/>
    <x v="1"/>
    <x v="701"/>
    <x v="0"/>
    <x v="701"/>
  </r>
  <r>
    <x v="0"/>
    <x v="1"/>
    <x v="2"/>
    <x v="2"/>
    <x v="0"/>
    <x v="0"/>
    <x v="0"/>
    <x v="0"/>
    <x v="702"/>
    <x v="0"/>
    <x v="702"/>
  </r>
  <r>
    <x v="0"/>
    <x v="1"/>
    <x v="2"/>
    <x v="2"/>
    <x v="0"/>
    <x v="0"/>
    <x v="1"/>
    <x v="0"/>
    <x v="703"/>
    <x v="0"/>
    <x v="703"/>
  </r>
  <r>
    <x v="0"/>
    <x v="1"/>
    <x v="2"/>
    <x v="2"/>
    <x v="0"/>
    <x v="0"/>
    <x v="2"/>
    <x v="0"/>
    <x v="704"/>
    <x v="0"/>
    <x v="704"/>
  </r>
  <r>
    <x v="0"/>
    <x v="1"/>
    <x v="2"/>
    <x v="2"/>
    <x v="0"/>
    <x v="1"/>
    <x v="0"/>
    <x v="0"/>
    <x v="705"/>
    <x v="0"/>
    <x v="705"/>
  </r>
  <r>
    <x v="0"/>
    <x v="1"/>
    <x v="2"/>
    <x v="2"/>
    <x v="0"/>
    <x v="1"/>
    <x v="1"/>
    <x v="0"/>
    <x v="706"/>
    <x v="0"/>
    <x v="706"/>
  </r>
  <r>
    <x v="0"/>
    <x v="1"/>
    <x v="2"/>
    <x v="2"/>
    <x v="0"/>
    <x v="1"/>
    <x v="2"/>
    <x v="0"/>
    <x v="707"/>
    <x v="0"/>
    <x v="707"/>
  </r>
  <r>
    <x v="0"/>
    <x v="1"/>
    <x v="2"/>
    <x v="2"/>
    <x v="0"/>
    <x v="2"/>
    <x v="0"/>
    <x v="0"/>
    <x v="708"/>
    <x v="0"/>
    <x v="708"/>
  </r>
  <r>
    <x v="0"/>
    <x v="1"/>
    <x v="2"/>
    <x v="2"/>
    <x v="0"/>
    <x v="2"/>
    <x v="1"/>
    <x v="0"/>
    <x v="709"/>
    <x v="0"/>
    <x v="709"/>
  </r>
  <r>
    <x v="0"/>
    <x v="1"/>
    <x v="2"/>
    <x v="2"/>
    <x v="0"/>
    <x v="2"/>
    <x v="2"/>
    <x v="0"/>
    <x v="710"/>
    <x v="0"/>
    <x v="710"/>
  </r>
  <r>
    <x v="0"/>
    <x v="1"/>
    <x v="2"/>
    <x v="2"/>
    <x v="1"/>
    <x v="0"/>
    <x v="0"/>
    <x v="0"/>
    <x v="711"/>
    <x v="0"/>
    <x v="711"/>
  </r>
  <r>
    <x v="0"/>
    <x v="1"/>
    <x v="2"/>
    <x v="2"/>
    <x v="1"/>
    <x v="0"/>
    <x v="1"/>
    <x v="0"/>
    <x v="712"/>
    <x v="0"/>
    <x v="712"/>
  </r>
  <r>
    <x v="0"/>
    <x v="1"/>
    <x v="2"/>
    <x v="2"/>
    <x v="1"/>
    <x v="0"/>
    <x v="2"/>
    <x v="1"/>
    <x v="713"/>
    <x v="0"/>
    <x v="713"/>
  </r>
  <r>
    <x v="0"/>
    <x v="1"/>
    <x v="2"/>
    <x v="2"/>
    <x v="1"/>
    <x v="1"/>
    <x v="0"/>
    <x v="0"/>
    <x v="714"/>
    <x v="0"/>
    <x v="714"/>
  </r>
  <r>
    <x v="0"/>
    <x v="1"/>
    <x v="2"/>
    <x v="2"/>
    <x v="1"/>
    <x v="1"/>
    <x v="1"/>
    <x v="1"/>
    <x v="715"/>
    <x v="0"/>
    <x v="715"/>
  </r>
  <r>
    <x v="0"/>
    <x v="1"/>
    <x v="2"/>
    <x v="2"/>
    <x v="1"/>
    <x v="1"/>
    <x v="2"/>
    <x v="1"/>
    <x v="716"/>
    <x v="0"/>
    <x v="716"/>
  </r>
  <r>
    <x v="0"/>
    <x v="1"/>
    <x v="2"/>
    <x v="2"/>
    <x v="1"/>
    <x v="2"/>
    <x v="0"/>
    <x v="0"/>
    <x v="717"/>
    <x v="0"/>
    <x v="717"/>
  </r>
  <r>
    <x v="0"/>
    <x v="1"/>
    <x v="2"/>
    <x v="2"/>
    <x v="1"/>
    <x v="2"/>
    <x v="1"/>
    <x v="1"/>
    <x v="718"/>
    <x v="0"/>
    <x v="718"/>
  </r>
  <r>
    <x v="0"/>
    <x v="1"/>
    <x v="2"/>
    <x v="2"/>
    <x v="1"/>
    <x v="2"/>
    <x v="2"/>
    <x v="1"/>
    <x v="719"/>
    <x v="0"/>
    <x v="719"/>
  </r>
  <r>
    <x v="0"/>
    <x v="1"/>
    <x v="2"/>
    <x v="2"/>
    <x v="2"/>
    <x v="0"/>
    <x v="0"/>
    <x v="0"/>
    <x v="720"/>
    <x v="0"/>
    <x v="720"/>
  </r>
  <r>
    <x v="0"/>
    <x v="1"/>
    <x v="2"/>
    <x v="2"/>
    <x v="2"/>
    <x v="0"/>
    <x v="1"/>
    <x v="0"/>
    <x v="721"/>
    <x v="0"/>
    <x v="721"/>
  </r>
  <r>
    <x v="0"/>
    <x v="1"/>
    <x v="2"/>
    <x v="2"/>
    <x v="2"/>
    <x v="0"/>
    <x v="2"/>
    <x v="1"/>
    <x v="722"/>
    <x v="0"/>
    <x v="722"/>
  </r>
  <r>
    <x v="0"/>
    <x v="1"/>
    <x v="2"/>
    <x v="2"/>
    <x v="2"/>
    <x v="1"/>
    <x v="0"/>
    <x v="0"/>
    <x v="723"/>
    <x v="0"/>
    <x v="723"/>
  </r>
  <r>
    <x v="0"/>
    <x v="1"/>
    <x v="2"/>
    <x v="2"/>
    <x v="2"/>
    <x v="1"/>
    <x v="1"/>
    <x v="1"/>
    <x v="724"/>
    <x v="0"/>
    <x v="724"/>
  </r>
  <r>
    <x v="0"/>
    <x v="1"/>
    <x v="2"/>
    <x v="2"/>
    <x v="2"/>
    <x v="1"/>
    <x v="2"/>
    <x v="1"/>
    <x v="725"/>
    <x v="0"/>
    <x v="725"/>
  </r>
  <r>
    <x v="0"/>
    <x v="1"/>
    <x v="2"/>
    <x v="2"/>
    <x v="2"/>
    <x v="2"/>
    <x v="0"/>
    <x v="0"/>
    <x v="726"/>
    <x v="0"/>
    <x v="726"/>
  </r>
  <r>
    <x v="0"/>
    <x v="1"/>
    <x v="2"/>
    <x v="2"/>
    <x v="2"/>
    <x v="2"/>
    <x v="1"/>
    <x v="1"/>
    <x v="727"/>
    <x v="0"/>
    <x v="727"/>
  </r>
  <r>
    <x v="0"/>
    <x v="1"/>
    <x v="2"/>
    <x v="2"/>
    <x v="2"/>
    <x v="2"/>
    <x v="2"/>
    <x v="1"/>
    <x v="728"/>
    <x v="0"/>
    <x v="728"/>
  </r>
  <r>
    <x v="0"/>
    <x v="1"/>
    <x v="2"/>
    <x v="3"/>
    <x v="0"/>
    <x v="0"/>
    <x v="0"/>
    <x v="0"/>
    <x v="729"/>
    <x v="0"/>
    <x v="729"/>
  </r>
  <r>
    <x v="0"/>
    <x v="1"/>
    <x v="2"/>
    <x v="3"/>
    <x v="0"/>
    <x v="0"/>
    <x v="1"/>
    <x v="0"/>
    <x v="730"/>
    <x v="0"/>
    <x v="730"/>
  </r>
  <r>
    <x v="0"/>
    <x v="1"/>
    <x v="2"/>
    <x v="3"/>
    <x v="0"/>
    <x v="0"/>
    <x v="2"/>
    <x v="0"/>
    <x v="731"/>
    <x v="0"/>
    <x v="731"/>
  </r>
  <r>
    <x v="0"/>
    <x v="1"/>
    <x v="2"/>
    <x v="3"/>
    <x v="0"/>
    <x v="1"/>
    <x v="0"/>
    <x v="0"/>
    <x v="732"/>
    <x v="0"/>
    <x v="732"/>
  </r>
  <r>
    <x v="0"/>
    <x v="1"/>
    <x v="2"/>
    <x v="3"/>
    <x v="0"/>
    <x v="1"/>
    <x v="1"/>
    <x v="0"/>
    <x v="733"/>
    <x v="0"/>
    <x v="733"/>
  </r>
  <r>
    <x v="0"/>
    <x v="1"/>
    <x v="2"/>
    <x v="3"/>
    <x v="0"/>
    <x v="1"/>
    <x v="2"/>
    <x v="0"/>
    <x v="734"/>
    <x v="0"/>
    <x v="734"/>
  </r>
  <r>
    <x v="0"/>
    <x v="1"/>
    <x v="2"/>
    <x v="3"/>
    <x v="0"/>
    <x v="2"/>
    <x v="0"/>
    <x v="0"/>
    <x v="735"/>
    <x v="0"/>
    <x v="735"/>
  </r>
  <r>
    <x v="0"/>
    <x v="1"/>
    <x v="2"/>
    <x v="3"/>
    <x v="0"/>
    <x v="2"/>
    <x v="1"/>
    <x v="0"/>
    <x v="736"/>
    <x v="0"/>
    <x v="736"/>
  </r>
  <r>
    <x v="0"/>
    <x v="1"/>
    <x v="2"/>
    <x v="3"/>
    <x v="0"/>
    <x v="2"/>
    <x v="2"/>
    <x v="0"/>
    <x v="737"/>
    <x v="0"/>
    <x v="737"/>
  </r>
  <r>
    <x v="0"/>
    <x v="1"/>
    <x v="2"/>
    <x v="3"/>
    <x v="1"/>
    <x v="0"/>
    <x v="0"/>
    <x v="0"/>
    <x v="738"/>
    <x v="0"/>
    <x v="738"/>
  </r>
  <r>
    <x v="0"/>
    <x v="1"/>
    <x v="2"/>
    <x v="3"/>
    <x v="1"/>
    <x v="0"/>
    <x v="1"/>
    <x v="0"/>
    <x v="739"/>
    <x v="0"/>
    <x v="739"/>
  </r>
  <r>
    <x v="0"/>
    <x v="1"/>
    <x v="2"/>
    <x v="3"/>
    <x v="1"/>
    <x v="0"/>
    <x v="2"/>
    <x v="1"/>
    <x v="740"/>
    <x v="0"/>
    <x v="740"/>
  </r>
  <r>
    <x v="0"/>
    <x v="1"/>
    <x v="2"/>
    <x v="3"/>
    <x v="1"/>
    <x v="1"/>
    <x v="0"/>
    <x v="0"/>
    <x v="741"/>
    <x v="0"/>
    <x v="741"/>
  </r>
  <r>
    <x v="0"/>
    <x v="1"/>
    <x v="2"/>
    <x v="3"/>
    <x v="1"/>
    <x v="1"/>
    <x v="1"/>
    <x v="1"/>
    <x v="742"/>
    <x v="0"/>
    <x v="742"/>
  </r>
  <r>
    <x v="0"/>
    <x v="1"/>
    <x v="2"/>
    <x v="3"/>
    <x v="1"/>
    <x v="1"/>
    <x v="2"/>
    <x v="1"/>
    <x v="743"/>
    <x v="0"/>
    <x v="743"/>
  </r>
  <r>
    <x v="0"/>
    <x v="1"/>
    <x v="2"/>
    <x v="3"/>
    <x v="1"/>
    <x v="2"/>
    <x v="0"/>
    <x v="0"/>
    <x v="744"/>
    <x v="0"/>
    <x v="744"/>
  </r>
  <r>
    <x v="0"/>
    <x v="1"/>
    <x v="2"/>
    <x v="3"/>
    <x v="1"/>
    <x v="2"/>
    <x v="1"/>
    <x v="1"/>
    <x v="745"/>
    <x v="0"/>
    <x v="745"/>
  </r>
  <r>
    <x v="0"/>
    <x v="1"/>
    <x v="2"/>
    <x v="3"/>
    <x v="1"/>
    <x v="2"/>
    <x v="2"/>
    <x v="1"/>
    <x v="746"/>
    <x v="0"/>
    <x v="746"/>
  </r>
  <r>
    <x v="0"/>
    <x v="1"/>
    <x v="2"/>
    <x v="3"/>
    <x v="2"/>
    <x v="0"/>
    <x v="0"/>
    <x v="0"/>
    <x v="747"/>
    <x v="0"/>
    <x v="747"/>
  </r>
  <r>
    <x v="0"/>
    <x v="1"/>
    <x v="2"/>
    <x v="3"/>
    <x v="2"/>
    <x v="0"/>
    <x v="1"/>
    <x v="0"/>
    <x v="748"/>
    <x v="0"/>
    <x v="748"/>
  </r>
  <r>
    <x v="0"/>
    <x v="1"/>
    <x v="2"/>
    <x v="3"/>
    <x v="2"/>
    <x v="0"/>
    <x v="2"/>
    <x v="1"/>
    <x v="749"/>
    <x v="0"/>
    <x v="749"/>
  </r>
  <r>
    <x v="0"/>
    <x v="1"/>
    <x v="2"/>
    <x v="3"/>
    <x v="2"/>
    <x v="1"/>
    <x v="0"/>
    <x v="0"/>
    <x v="750"/>
    <x v="0"/>
    <x v="750"/>
  </r>
  <r>
    <x v="0"/>
    <x v="1"/>
    <x v="2"/>
    <x v="3"/>
    <x v="2"/>
    <x v="1"/>
    <x v="1"/>
    <x v="1"/>
    <x v="751"/>
    <x v="0"/>
    <x v="751"/>
  </r>
  <r>
    <x v="0"/>
    <x v="1"/>
    <x v="2"/>
    <x v="3"/>
    <x v="2"/>
    <x v="1"/>
    <x v="2"/>
    <x v="1"/>
    <x v="752"/>
    <x v="0"/>
    <x v="752"/>
  </r>
  <r>
    <x v="0"/>
    <x v="1"/>
    <x v="2"/>
    <x v="3"/>
    <x v="2"/>
    <x v="2"/>
    <x v="0"/>
    <x v="0"/>
    <x v="753"/>
    <x v="0"/>
    <x v="753"/>
  </r>
  <r>
    <x v="0"/>
    <x v="1"/>
    <x v="2"/>
    <x v="3"/>
    <x v="2"/>
    <x v="2"/>
    <x v="1"/>
    <x v="1"/>
    <x v="754"/>
    <x v="0"/>
    <x v="754"/>
  </r>
  <r>
    <x v="0"/>
    <x v="1"/>
    <x v="2"/>
    <x v="3"/>
    <x v="2"/>
    <x v="2"/>
    <x v="2"/>
    <x v="1"/>
    <x v="755"/>
    <x v="0"/>
    <x v="755"/>
  </r>
  <r>
    <x v="0"/>
    <x v="1"/>
    <x v="3"/>
    <x v="0"/>
    <x v="0"/>
    <x v="0"/>
    <x v="0"/>
    <x v="0"/>
    <x v="756"/>
    <x v="0"/>
    <x v="756"/>
  </r>
  <r>
    <x v="0"/>
    <x v="1"/>
    <x v="3"/>
    <x v="0"/>
    <x v="0"/>
    <x v="0"/>
    <x v="1"/>
    <x v="0"/>
    <x v="757"/>
    <x v="0"/>
    <x v="757"/>
  </r>
  <r>
    <x v="0"/>
    <x v="1"/>
    <x v="3"/>
    <x v="0"/>
    <x v="0"/>
    <x v="0"/>
    <x v="2"/>
    <x v="0"/>
    <x v="758"/>
    <x v="0"/>
    <x v="758"/>
  </r>
  <r>
    <x v="0"/>
    <x v="1"/>
    <x v="3"/>
    <x v="0"/>
    <x v="0"/>
    <x v="1"/>
    <x v="0"/>
    <x v="0"/>
    <x v="759"/>
    <x v="0"/>
    <x v="759"/>
  </r>
  <r>
    <x v="0"/>
    <x v="1"/>
    <x v="3"/>
    <x v="0"/>
    <x v="0"/>
    <x v="1"/>
    <x v="1"/>
    <x v="0"/>
    <x v="760"/>
    <x v="0"/>
    <x v="760"/>
  </r>
  <r>
    <x v="0"/>
    <x v="1"/>
    <x v="3"/>
    <x v="0"/>
    <x v="0"/>
    <x v="1"/>
    <x v="2"/>
    <x v="0"/>
    <x v="761"/>
    <x v="0"/>
    <x v="761"/>
  </r>
  <r>
    <x v="0"/>
    <x v="1"/>
    <x v="3"/>
    <x v="0"/>
    <x v="0"/>
    <x v="2"/>
    <x v="0"/>
    <x v="0"/>
    <x v="762"/>
    <x v="0"/>
    <x v="762"/>
  </r>
  <r>
    <x v="0"/>
    <x v="1"/>
    <x v="3"/>
    <x v="0"/>
    <x v="0"/>
    <x v="2"/>
    <x v="1"/>
    <x v="0"/>
    <x v="763"/>
    <x v="0"/>
    <x v="763"/>
  </r>
  <r>
    <x v="0"/>
    <x v="1"/>
    <x v="3"/>
    <x v="0"/>
    <x v="0"/>
    <x v="2"/>
    <x v="2"/>
    <x v="0"/>
    <x v="764"/>
    <x v="0"/>
    <x v="764"/>
  </r>
  <r>
    <x v="0"/>
    <x v="1"/>
    <x v="3"/>
    <x v="0"/>
    <x v="1"/>
    <x v="0"/>
    <x v="0"/>
    <x v="0"/>
    <x v="765"/>
    <x v="0"/>
    <x v="765"/>
  </r>
  <r>
    <x v="0"/>
    <x v="1"/>
    <x v="3"/>
    <x v="0"/>
    <x v="1"/>
    <x v="0"/>
    <x v="1"/>
    <x v="0"/>
    <x v="766"/>
    <x v="0"/>
    <x v="766"/>
  </r>
  <r>
    <x v="0"/>
    <x v="1"/>
    <x v="3"/>
    <x v="0"/>
    <x v="1"/>
    <x v="0"/>
    <x v="2"/>
    <x v="1"/>
    <x v="767"/>
    <x v="0"/>
    <x v="767"/>
  </r>
  <r>
    <x v="0"/>
    <x v="1"/>
    <x v="3"/>
    <x v="0"/>
    <x v="1"/>
    <x v="1"/>
    <x v="0"/>
    <x v="0"/>
    <x v="768"/>
    <x v="0"/>
    <x v="768"/>
  </r>
  <r>
    <x v="0"/>
    <x v="1"/>
    <x v="3"/>
    <x v="0"/>
    <x v="1"/>
    <x v="1"/>
    <x v="1"/>
    <x v="0"/>
    <x v="769"/>
    <x v="0"/>
    <x v="769"/>
  </r>
  <r>
    <x v="0"/>
    <x v="1"/>
    <x v="3"/>
    <x v="0"/>
    <x v="1"/>
    <x v="1"/>
    <x v="2"/>
    <x v="1"/>
    <x v="770"/>
    <x v="0"/>
    <x v="770"/>
  </r>
  <r>
    <x v="0"/>
    <x v="1"/>
    <x v="3"/>
    <x v="0"/>
    <x v="1"/>
    <x v="2"/>
    <x v="0"/>
    <x v="0"/>
    <x v="771"/>
    <x v="0"/>
    <x v="771"/>
  </r>
  <r>
    <x v="0"/>
    <x v="1"/>
    <x v="3"/>
    <x v="0"/>
    <x v="1"/>
    <x v="2"/>
    <x v="1"/>
    <x v="1"/>
    <x v="772"/>
    <x v="0"/>
    <x v="772"/>
  </r>
  <r>
    <x v="0"/>
    <x v="1"/>
    <x v="3"/>
    <x v="0"/>
    <x v="1"/>
    <x v="2"/>
    <x v="2"/>
    <x v="1"/>
    <x v="773"/>
    <x v="0"/>
    <x v="773"/>
  </r>
  <r>
    <x v="0"/>
    <x v="1"/>
    <x v="3"/>
    <x v="0"/>
    <x v="2"/>
    <x v="0"/>
    <x v="0"/>
    <x v="0"/>
    <x v="774"/>
    <x v="0"/>
    <x v="774"/>
  </r>
  <r>
    <x v="0"/>
    <x v="1"/>
    <x v="3"/>
    <x v="0"/>
    <x v="2"/>
    <x v="0"/>
    <x v="1"/>
    <x v="0"/>
    <x v="775"/>
    <x v="0"/>
    <x v="775"/>
  </r>
  <r>
    <x v="0"/>
    <x v="1"/>
    <x v="3"/>
    <x v="0"/>
    <x v="2"/>
    <x v="0"/>
    <x v="2"/>
    <x v="0"/>
    <x v="776"/>
    <x v="0"/>
    <x v="776"/>
  </r>
  <r>
    <x v="0"/>
    <x v="1"/>
    <x v="3"/>
    <x v="0"/>
    <x v="2"/>
    <x v="1"/>
    <x v="0"/>
    <x v="0"/>
    <x v="777"/>
    <x v="0"/>
    <x v="777"/>
  </r>
  <r>
    <x v="0"/>
    <x v="1"/>
    <x v="3"/>
    <x v="0"/>
    <x v="2"/>
    <x v="1"/>
    <x v="1"/>
    <x v="0"/>
    <x v="778"/>
    <x v="0"/>
    <x v="778"/>
  </r>
  <r>
    <x v="0"/>
    <x v="1"/>
    <x v="3"/>
    <x v="0"/>
    <x v="2"/>
    <x v="1"/>
    <x v="2"/>
    <x v="1"/>
    <x v="779"/>
    <x v="0"/>
    <x v="779"/>
  </r>
  <r>
    <x v="0"/>
    <x v="1"/>
    <x v="3"/>
    <x v="0"/>
    <x v="2"/>
    <x v="2"/>
    <x v="0"/>
    <x v="0"/>
    <x v="780"/>
    <x v="0"/>
    <x v="780"/>
  </r>
  <r>
    <x v="0"/>
    <x v="1"/>
    <x v="3"/>
    <x v="0"/>
    <x v="2"/>
    <x v="2"/>
    <x v="1"/>
    <x v="1"/>
    <x v="781"/>
    <x v="0"/>
    <x v="781"/>
  </r>
  <r>
    <x v="0"/>
    <x v="1"/>
    <x v="3"/>
    <x v="0"/>
    <x v="2"/>
    <x v="2"/>
    <x v="2"/>
    <x v="1"/>
    <x v="782"/>
    <x v="0"/>
    <x v="782"/>
  </r>
  <r>
    <x v="0"/>
    <x v="1"/>
    <x v="3"/>
    <x v="1"/>
    <x v="0"/>
    <x v="0"/>
    <x v="0"/>
    <x v="0"/>
    <x v="783"/>
    <x v="0"/>
    <x v="783"/>
  </r>
  <r>
    <x v="0"/>
    <x v="1"/>
    <x v="3"/>
    <x v="1"/>
    <x v="0"/>
    <x v="0"/>
    <x v="1"/>
    <x v="0"/>
    <x v="784"/>
    <x v="0"/>
    <x v="784"/>
  </r>
  <r>
    <x v="0"/>
    <x v="1"/>
    <x v="3"/>
    <x v="1"/>
    <x v="0"/>
    <x v="0"/>
    <x v="2"/>
    <x v="0"/>
    <x v="785"/>
    <x v="0"/>
    <x v="785"/>
  </r>
  <r>
    <x v="0"/>
    <x v="1"/>
    <x v="3"/>
    <x v="1"/>
    <x v="0"/>
    <x v="1"/>
    <x v="0"/>
    <x v="0"/>
    <x v="786"/>
    <x v="0"/>
    <x v="786"/>
  </r>
  <r>
    <x v="0"/>
    <x v="1"/>
    <x v="3"/>
    <x v="1"/>
    <x v="0"/>
    <x v="1"/>
    <x v="1"/>
    <x v="0"/>
    <x v="787"/>
    <x v="0"/>
    <x v="787"/>
  </r>
  <r>
    <x v="0"/>
    <x v="1"/>
    <x v="3"/>
    <x v="1"/>
    <x v="0"/>
    <x v="1"/>
    <x v="2"/>
    <x v="0"/>
    <x v="788"/>
    <x v="0"/>
    <x v="788"/>
  </r>
  <r>
    <x v="0"/>
    <x v="1"/>
    <x v="3"/>
    <x v="1"/>
    <x v="0"/>
    <x v="2"/>
    <x v="0"/>
    <x v="0"/>
    <x v="789"/>
    <x v="0"/>
    <x v="789"/>
  </r>
  <r>
    <x v="0"/>
    <x v="1"/>
    <x v="3"/>
    <x v="1"/>
    <x v="0"/>
    <x v="2"/>
    <x v="1"/>
    <x v="0"/>
    <x v="790"/>
    <x v="0"/>
    <x v="790"/>
  </r>
  <r>
    <x v="0"/>
    <x v="1"/>
    <x v="3"/>
    <x v="1"/>
    <x v="0"/>
    <x v="2"/>
    <x v="2"/>
    <x v="0"/>
    <x v="791"/>
    <x v="0"/>
    <x v="791"/>
  </r>
  <r>
    <x v="0"/>
    <x v="1"/>
    <x v="3"/>
    <x v="1"/>
    <x v="1"/>
    <x v="0"/>
    <x v="0"/>
    <x v="0"/>
    <x v="792"/>
    <x v="0"/>
    <x v="792"/>
  </r>
  <r>
    <x v="0"/>
    <x v="1"/>
    <x v="3"/>
    <x v="1"/>
    <x v="1"/>
    <x v="0"/>
    <x v="1"/>
    <x v="0"/>
    <x v="793"/>
    <x v="0"/>
    <x v="793"/>
  </r>
  <r>
    <x v="0"/>
    <x v="1"/>
    <x v="3"/>
    <x v="1"/>
    <x v="1"/>
    <x v="0"/>
    <x v="2"/>
    <x v="1"/>
    <x v="794"/>
    <x v="0"/>
    <x v="794"/>
  </r>
  <r>
    <x v="0"/>
    <x v="1"/>
    <x v="3"/>
    <x v="1"/>
    <x v="1"/>
    <x v="1"/>
    <x v="0"/>
    <x v="0"/>
    <x v="795"/>
    <x v="0"/>
    <x v="795"/>
  </r>
  <r>
    <x v="0"/>
    <x v="1"/>
    <x v="3"/>
    <x v="1"/>
    <x v="1"/>
    <x v="1"/>
    <x v="1"/>
    <x v="0"/>
    <x v="796"/>
    <x v="0"/>
    <x v="796"/>
  </r>
  <r>
    <x v="0"/>
    <x v="1"/>
    <x v="3"/>
    <x v="1"/>
    <x v="1"/>
    <x v="1"/>
    <x v="2"/>
    <x v="1"/>
    <x v="797"/>
    <x v="0"/>
    <x v="797"/>
  </r>
  <r>
    <x v="0"/>
    <x v="1"/>
    <x v="3"/>
    <x v="1"/>
    <x v="1"/>
    <x v="2"/>
    <x v="0"/>
    <x v="0"/>
    <x v="798"/>
    <x v="0"/>
    <x v="798"/>
  </r>
  <r>
    <x v="0"/>
    <x v="1"/>
    <x v="3"/>
    <x v="1"/>
    <x v="1"/>
    <x v="2"/>
    <x v="1"/>
    <x v="1"/>
    <x v="799"/>
    <x v="0"/>
    <x v="799"/>
  </r>
  <r>
    <x v="0"/>
    <x v="1"/>
    <x v="3"/>
    <x v="1"/>
    <x v="1"/>
    <x v="2"/>
    <x v="2"/>
    <x v="1"/>
    <x v="800"/>
    <x v="0"/>
    <x v="800"/>
  </r>
  <r>
    <x v="0"/>
    <x v="1"/>
    <x v="3"/>
    <x v="1"/>
    <x v="2"/>
    <x v="0"/>
    <x v="0"/>
    <x v="0"/>
    <x v="801"/>
    <x v="0"/>
    <x v="801"/>
  </r>
  <r>
    <x v="0"/>
    <x v="1"/>
    <x v="3"/>
    <x v="1"/>
    <x v="2"/>
    <x v="0"/>
    <x v="1"/>
    <x v="0"/>
    <x v="802"/>
    <x v="0"/>
    <x v="802"/>
  </r>
  <r>
    <x v="0"/>
    <x v="1"/>
    <x v="3"/>
    <x v="1"/>
    <x v="2"/>
    <x v="0"/>
    <x v="2"/>
    <x v="1"/>
    <x v="803"/>
    <x v="0"/>
    <x v="803"/>
  </r>
  <r>
    <x v="0"/>
    <x v="1"/>
    <x v="3"/>
    <x v="1"/>
    <x v="2"/>
    <x v="1"/>
    <x v="0"/>
    <x v="0"/>
    <x v="804"/>
    <x v="0"/>
    <x v="804"/>
  </r>
  <r>
    <x v="0"/>
    <x v="1"/>
    <x v="3"/>
    <x v="1"/>
    <x v="2"/>
    <x v="1"/>
    <x v="1"/>
    <x v="1"/>
    <x v="805"/>
    <x v="0"/>
    <x v="805"/>
  </r>
  <r>
    <x v="0"/>
    <x v="1"/>
    <x v="3"/>
    <x v="1"/>
    <x v="2"/>
    <x v="1"/>
    <x v="2"/>
    <x v="1"/>
    <x v="806"/>
    <x v="0"/>
    <x v="806"/>
  </r>
  <r>
    <x v="0"/>
    <x v="1"/>
    <x v="3"/>
    <x v="1"/>
    <x v="2"/>
    <x v="2"/>
    <x v="0"/>
    <x v="0"/>
    <x v="807"/>
    <x v="0"/>
    <x v="807"/>
  </r>
  <r>
    <x v="0"/>
    <x v="1"/>
    <x v="3"/>
    <x v="1"/>
    <x v="2"/>
    <x v="2"/>
    <x v="1"/>
    <x v="1"/>
    <x v="808"/>
    <x v="0"/>
    <x v="808"/>
  </r>
  <r>
    <x v="0"/>
    <x v="1"/>
    <x v="3"/>
    <x v="1"/>
    <x v="2"/>
    <x v="2"/>
    <x v="2"/>
    <x v="1"/>
    <x v="809"/>
    <x v="0"/>
    <x v="809"/>
  </r>
  <r>
    <x v="0"/>
    <x v="1"/>
    <x v="3"/>
    <x v="2"/>
    <x v="0"/>
    <x v="0"/>
    <x v="0"/>
    <x v="0"/>
    <x v="810"/>
    <x v="0"/>
    <x v="810"/>
  </r>
  <r>
    <x v="0"/>
    <x v="1"/>
    <x v="3"/>
    <x v="2"/>
    <x v="0"/>
    <x v="0"/>
    <x v="1"/>
    <x v="0"/>
    <x v="811"/>
    <x v="0"/>
    <x v="811"/>
  </r>
  <r>
    <x v="0"/>
    <x v="1"/>
    <x v="3"/>
    <x v="2"/>
    <x v="0"/>
    <x v="0"/>
    <x v="2"/>
    <x v="0"/>
    <x v="812"/>
    <x v="0"/>
    <x v="812"/>
  </r>
  <r>
    <x v="0"/>
    <x v="1"/>
    <x v="3"/>
    <x v="2"/>
    <x v="0"/>
    <x v="1"/>
    <x v="0"/>
    <x v="0"/>
    <x v="813"/>
    <x v="0"/>
    <x v="813"/>
  </r>
  <r>
    <x v="0"/>
    <x v="1"/>
    <x v="3"/>
    <x v="2"/>
    <x v="0"/>
    <x v="1"/>
    <x v="1"/>
    <x v="0"/>
    <x v="814"/>
    <x v="0"/>
    <x v="814"/>
  </r>
  <r>
    <x v="0"/>
    <x v="1"/>
    <x v="3"/>
    <x v="2"/>
    <x v="0"/>
    <x v="1"/>
    <x v="2"/>
    <x v="0"/>
    <x v="815"/>
    <x v="0"/>
    <x v="815"/>
  </r>
  <r>
    <x v="0"/>
    <x v="1"/>
    <x v="3"/>
    <x v="2"/>
    <x v="0"/>
    <x v="2"/>
    <x v="0"/>
    <x v="0"/>
    <x v="816"/>
    <x v="0"/>
    <x v="816"/>
  </r>
  <r>
    <x v="0"/>
    <x v="1"/>
    <x v="3"/>
    <x v="2"/>
    <x v="0"/>
    <x v="2"/>
    <x v="1"/>
    <x v="0"/>
    <x v="817"/>
    <x v="0"/>
    <x v="817"/>
  </r>
  <r>
    <x v="0"/>
    <x v="1"/>
    <x v="3"/>
    <x v="2"/>
    <x v="0"/>
    <x v="2"/>
    <x v="2"/>
    <x v="0"/>
    <x v="818"/>
    <x v="0"/>
    <x v="818"/>
  </r>
  <r>
    <x v="0"/>
    <x v="1"/>
    <x v="3"/>
    <x v="2"/>
    <x v="1"/>
    <x v="0"/>
    <x v="0"/>
    <x v="0"/>
    <x v="819"/>
    <x v="0"/>
    <x v="819"/>
  </r>
  <r>
    <x v="0"/>
    <x v="1"/>
    <x v="3"/>
    <x v="2"/>
    <x v="1"/>
    <x v="0"/>
    <x v="1"/>
    <x v="0"/>
    <x v="820"/>
    <x v="0"/>
    <x v="820"/>
  </r>
  <r>
    <x v="0"/>
    <x v="1"/>
    <x v="3"/>
    <x v="2"/>
    <x v="1"/>
    <x v="0"/>
    <x v="2"/>
    <x v="1"/>
    <x v="821"/>
    <x v="0"/>
    <x v="821"/>
  </r>
  <r>
    <x v="0"/>
    <x v="1"/>
    <x v="3"/>
    <x v="2"/>
    <x v="1"/>
    <x v="1"/>
    <x v="0"/>
    <x v="0"/>
    <x v="822"/>
    <x v="0"/>
    <x v="822"/>
  </r>
  <r>
    <x v="0"/>
    <x v="1"/>
    <x v="3"/>
    <x v="2"/>
    <x v="1"/>
    <x v="1"/>
    <x v="1"/>
    <x v="1"/>
    <x v="823"/>
    <x v="0"/>
    <x v="823"/>
  </r>
  <r>
    <x v="0"/>
    <x v="1"/>
    <x v="3"/>
    <x v="2"/>
    <x v="1"/>
    <x v="1"/>
    <x v="2"/>
    <x v="1"/>
    <x v="824"/>
    <x v="0"/>
    <x v="824"/>
  </r>
  <r>
    <x v="0"/>
    <x v="1"/>
    <x v="3"/>
    <x v="2"/>
    <x v="1"/>
    <x v="2"/>
    <x v="0"/>
    <x v="0"/>
    <x v="825"/>
    <x v="0"/>
    <x v="825"/>
  </r>
  <r>
    <x v="0"/>
    <x v="1"/>
    <x v="3"/>
    <x v="2"/>
    <x v="1"/>
    <x v="2"/>
    <x v="1"/>
    <x v="1"/>
    <x v="826"/>
    <x v="0"/>
    <x v="826"/>
  </r>
  <r>
    <x v="0"/>
    <x v="1"/>
    <x v="3"/>
    <x v="2"/>
    <x v="1"/>
    <x v="2"/>
    <x v="2"/>
    <x v="1"/>
    <x v="827"/>
    <x v="0"/>
    <x v="827"/>
  </r>
  <r>
    <x v="0"/>
    <x v="1"/>
    <x v="3"/>
    <x v="2"/>
    <x v="2"/>
    <x v="0"/>
    <x v="0"/>
    <x v="0"/>
    <x v="828"/>
    <x v="0"/>
    <x v="828"/>
  </r>
  <r>
    <x v="0"/>
    <x v="1"/>
    <x v="3"/>
    <x v="2"/>
    <x v="2"/>
    <x v="0"/>
    <x v="1"/>
    <x v="0"/>
    <x v="829"/>
    <x v="0"/>
    <x v="829"/>
  </r>
  <r>
    <x v="0"/>
    <x v="1"/>
    <x v="3"/>
    <x v="2"/>
    <x v="2"/>
    <x v="0"/>
    <x v="2"/>
    <x v="1"/>
    <x v="830"/>
    <x v="0"/>
    <x v="830"/>
  </r>
  <r>
    <x v="0"/>
    <x v="1"/>
    <x v="3"/>
    <x v="2"/>
    <x v="2"/>
    <x v="1"/>
    <x v="0"/>
    <x v="0"/>
    <x v="831"/>
    <x v="0"/>
    <x v="831"/>
  </r>
  <r>
    <x v="0"/>
    <x v="1"/>
    <x v="3"/>
    <x v="2"/>
    <x v="2"/>
    <x v="1"/>
    <x v="1"/>
    <x v="1"/>
    <x v="832"/>
    <x v="0"/>
    <x v="832"/>
  </r>
  <r>
    <x v="0"/>
    <x v="1"/>
    <x v="3"/>
    <x v="2"/>
    <x v="2"/>
    <x v="1"/>
    <x v="2"/>
    <x v="1"/>
    <x v="833"/>
    <x v="0"/>
    <x v="833"/>
  </r>
  <r>
    <x v="0"/>
    <x v="1"/>
    <x v="3"/>
    <x v="2"/>
    <x v="2"/>
    <x v="2"/>
    <x v="0"/>
    <x v="0"/>
    <x v="834"/>
    <x v="0"/>
    <x v="834"/>
  </r>
  <r>
    <x v="0"/>
    <x v="1"/>
    <x v="3"/>
    <x v="2"/>
    <x v="2"/>
    <x v="2"/>
    <x v="1"/>
    <x v="1"/>
    <x v="835"/>
    <x v="0"/>
    <x v="835"/>
  </r>
  <r>
    <x v="0"/>
    <x v="1"/>
    <x v="3"/>
    <x v="2"/>
    <x v="2"/>
    <x v="2"/>
    <x v="2"/>
    <x v="1"/>
    <x v="836"/>
    <x v="0"/>
    <x v="836"/>
  </r>
  <r>
    <x v="0"/>
    <x v="1"/>
    <x v="3"/>
    <x v="3"/>
    <x v="0"/>
    <x v="0"/>
    <x v="0"/>
    <x v="0"/>
    <x v="837"/>
    <x v="0"/>
    <x v="837"/>
  </r>
  <r>
    <x v="0"/>
    <x v="1"/>
    <x v="3"/>
    <x v="3"/>
    <x v="0"/>
    <x v="0"/>
    <x v="1"/>
    <x v="0"/>
    <x v="838"/>
    <x v="0"/>
    <x v="838"/>
  </r>
  <r>
    <x v="0"/>
    <x v="1"/>
    <x v="3"/>
    <x v="3"/>
    <x v="0"/>
    <x v="0"/>
    <x v="2"/>
    <x v="0"/>
    <x v="839"/>
    <x v="0"/>
    <x v="839"/>
  </r>
  <r>
    <x v="0"/>
    <x v="1"/>
    <x v="3"/>
    <x v="3"/>
    <x v="0"/>
    <x v="1"/>
    <x v="0"/>
    <x v="0"/>
    <x v="840"/>
    <x v="0"/>
    <x v="840"/>
  </r>
  <r>
    <x v="0"/>
    <x v="1"/>
    <x v="3"/>
    <x v="3"/>
    <x v="0"/>
    <x v="1"/>
    <x v="1"/>
    <x v="0"/>
    <x v="841"/>
    <x v="0"/>
    <x v="841"/>
  </r>
  <r>
    <x v="0"/>
    <x v="1"/>
    <x v="3"/>
    <x v="3"/>
    <x v="0"/>
    <x v="1"/>
    <x v="2"/>
    <x v="0"/>
    <x v="842"/>
    <x v="0"/>
    <x v="842"/>
  </r>
  <r>
    <x v="0"/>
    <x v="1"/>
    <x v="3"/>
    <x v="3"/>
    <x v="0"/>
    <x v="2"/>
    <x v="0"/>
    <x v="0"/>
    <x v="843"/>
    <x v="0"/>
    <x v="843"/>
  </r>
  <r>
    <x v="0"/>
    <x v="1"/>
    <x v="3"/>
    <x v="3"/>
    <x v="0"/>
    <x v="2"/>
    <x v="1"/>
    <x v="0"/>
    <x v="844"/>
    <x v="0"/>
    <x v="844"/>
  </r>
  <r>
    <x v="0"/>
    <x v="1"/>
    <x v="3"/>
    <x v="3"/>
    <x v="0"/>
    <x v="2"/>
    <x v="2"/>
    <x v="0"/>
    <x v="845"/>
    <x v="0"/>
    <x v="845"/>
  </r>
  <r>
    <x v="0"/>
    <x v="1"/>
    <x v="3"/>
    <x v="3"/>
    <x v="1"/>
    <x v="0"/>
    <x v="0"/>
    <x v="0"/>
    <x v="846"/>
    <x v="0"/>
    <x v="846"/>
  </r>
  <r>
    <x v="0"/>
    <x v="1"/>
    <x v="3"/>
    <x v="3"/>
    <x v="1"/>
    <x v="0"/>
    <x v="1"/>
    <x v="0"/>
    <x v="847"/>
    <x v="0"/>
    <x v="847"/>
  </r>
  <r>
    <x v="0"/>
    <x v="1"/>
    <x v="3"/>
    <x v="3"/>
    <x v="1"/>
    <x v="0"/>
    <x v="2"/>
    <x v="1"/>
    <x v="848"/>
    <x v="0"/>
    <x v="848"/>
  </r>
  <r>
    <x v="0"/>
    <x v="1"/>
    <x v="3"/>
    <x v="3"/>
    <x v="1"/>
    <x v="1"/>
    <x v="0"/>
    <x v="0"/>
    <x v="849"/>
    <x v="0"/>
    <x v="849"/>
  </r>
  <r>
    <x v="0"/>
    <x v="1"/>
    <x v="3"/>
    <x v="3"/>
    <x v="1"/>
    <x v="1"/>
    <x v="1"/>
    <x v="1"/>
    <x v="850"/>
    <x v="0"/>
    <x v="850"/>
  </r>
  <r>
    <x v="0"/>
    <x v="1"/>
    <x v="3"/>
    <x v="3"/>
    <x v="1"/>
    <x v="1"/>
    <x v="2"/>
    <x v="1"/>
    <x v="851"/>
    <x v="0"/>
    <x v="851"/>
  </r>
  <r>
    <x v="0"/>
    <x v="1"/>
    <x v="3"/>
    <x v="3"/>
    <x v="1"/>
    <x v="2"/>
    <x v="0"/>
    <x v="0"/>
    <x v="852"/>
    <x v="0"/>
    <x v="852"/>
  </r>
  <r>
    <x v="0"/>
    <x v="1"/>
    <x v="3"/>
    <x v="3"/>
    <x v="1"/>
    <x v="2"/>
    <x v="1"/>
    <x v="1"/>
    <x v="853"/>
    <x v="0"/>
    <x v="853"/>
  </r>
  <r>
    <x v="0"/>
    <x v="1"/>
    <x v="3"/>
    <x v="3"/>
    <x v="1"/>
    <x v="2"/>
    <x v="2"/>
    <x v="1"/>
    <x v="854"/>
    <x v="0"/>
    <x v="854"/>
  </r>
  <r>
    <x v="0"/>
    <x v="1"/>
    <x v="3"/>
    <x v="3"/>
    <x v="2"/>
    <x v="0"/>
    <x v="0"/>
    <x v="0"/>
    <x v="855"/>
    <x v="0"/>
    <x v="855"/>
  </r>
  <r>
    <x v="0"/>
    <x v="1"/>
    <x v="3"/>
    <x v="3"/>
    <x v="2"/>
    <x v="0"/>
    <x v="1"/>
    <x v="0"/>
    <x v="856"/>
    <x v="0"/>
    <x v="856"/>
  </r>
  <r>
    <x v="0"/>
    <x v="1"/>
    <x v="3"/>
    <x v="3"/>
    <x v="2"/>
    <x v="0"/>
    <x v="2"/>
    <x v="1"/>
    <x v="857"/>
    <x v="0"/>
    <x v="857"/>
  </r>
  <r>
    <x v="0"/>
    <x v="1"/>
    <x v="3"/>
    <x v="3"/>
    <x v="2"/>
    <x v="1"/>
    <x v="0"/>
    <x v="0"/>
    <x v="858"/>
    <x v="0"/>
    <x v="858"/>
  </r>
  <r>
    <x v="0"/>
    <x v="1"/>
    <x v="3"/>
    <x v="3"/>
    <x v="2"/>
    <x v="1"/>
    <x v="1"/>
    <x v="1"/>
    <x v="859"/>
    <x v="0"/>
    <x v="859"/>
  </r>
  <r>
    <x v="0"/>
    <x v="1"/>
    <x v="3"/>
    <x v="3"/>
    <x v="2"/>
    <x v="1"/>
    <x v="2"/>
    <x v="1"/>
    <x v="860"/>
    <x v="0"/>
    <x v="860"/>
  </r>
  <r>
    <x v="0"/>
    <x v="1"/>
    <x v="3"/>
    <x v="3"/>
    <x v="2"/>
    <x v="2"/>
    <x v="0"/>
    <x v="0"/>
    <x v="861"/>
    <x v="0"/>
    <x v="861"/>
  </r>
  <r>
    <x v="0"/>
    <x v="1"/>
    <x v="3"/>
    <x v="3"/>
    <x v="2"/>
    <x v="2"/>
    <x v="1"/>
    <x v="1"/>
    <x v="862"/>
    <x v="0"/>
    <x v="862"/>
  </r>
  <r>
    <x v="0"/>
    <x v="1"/>
    <x v="3"/>
    <x v="3"/>
    <x v="2"/>
    <x v="2"/>
    <x v="2"/>
    <x v="1"/>
    <x v="863"/>
    <x v="0"/>
    <x v="863"/>
  </r>
  <r>
    <x v="0"/>
    <x v="2"/>
    <x v="0"/>
    <x v="0"/>
    <x v="0"/>
    <x v="0"/>
    <x v="0"/>
    <x v="0"/>
    <x v="864"/>
    <x v="0"/>
    <x v="864"/>
  </r>
  <r>
    <x v="0"/>
    <x v="2"/>
    <x v="0"/>
    <x v="0"/>
    <x v="0"/>
    <x v="0"/>
    <x v="1"/>
    <x v="0"/>
    <x v="865"/>
    <x v="0"/>
    <x v="865"/>
  </r>
  <r>
    <x v="0"/>
    <x v="2"/>
    <x v="0"/>
    <x v="0"/>
    <x v="0"/>
    <x v="0"/>
    <x v="2"/>
    <x v="0"/>
    <x v="866"/>
    <x v="0"/>
    <x v="866"/>
  </r>
  <r>
    <x v="0"/>
    <x v="2"/>
    <x v="0"/>
    <x v="0"/>
    <x v="0"/>
    <x v="1"/>
    <x v="0"/>
    <x v="0"/>
    <x v="867"/>
    <x v="0"/>
    <x v="867"/>
  </r>
  <r>
    <x v="0"/>
    <x v="2"/>
    <x v="0"/>
    <x v="0"/>
    <x v="0"/>
    <x v="1"/>
    <x v="1"/>
    <x v="0"/>
    <x v="868"/>
    <x v="0"/>
    <x v="868"/>
  </r>
  <r>
    <x v="0"/>
    <x v="2"/>
    <x v="0"/>
    <x v="0"/>
    <x v="0"/>
    <x v="1"/>
    <x v="2"/>
    <x v="0"/>
    <x v="869"/>
    <x v="0"/>
    <x v="869"/>
  </r>
  <r>
    <x v="0"/>
    <x v="2"/>
    <x v="0"/>
    <x v="0"/>
    <x v="0"/>
    <x v="2"/>
    <x v="0"/>
    <x v="0"/>
    <x v="870"/>
    <x v="0"/>
    <x v="870"/>
  </r>
  <r>
    <x v="0"/>
    <x v="2"/>
    <x v="0"/>
    <x v="0"/>
    <x v="0"/>
    <x v="2"/>
    <x v="1"/>
    <x v="0"/>
    <x v="871"/>
    <x v="0"/>
    <x v="871"/>
  </r>
  <r>
    <x v="0"/>
    <x v="2"/>
    <x v="0"/>
    <x v="0"/>
    <x v="0"/>
    <x v="2"/>
    <x v="2"/>
    <x v="0"/>
    <x v="872"/>
    <x v="0"/>
    <x v="872"/>
  </r>
  <r>
    <x v="0"/>
    <x v="2"/>
    <x v="0"/>
    <x v="0"/>
    <x v="1"/>
    <x v="0"/>
    <x v="0"/>
    <x v="0"/>
    <x v="873"/>
    <x v="0"/>
    <x v="873"/>
  </r>
  <r>
    <x v="0"/>
    <x v="2"/>
    <x v="0"/>
    <x v="0"/>
    <x v="1"/>
    <x v="0"/>
    <x v="1"/>
    <x v="0"/>
    <x v="874"/>
    <x v="0"/>
    <x v="874"/>
  </r>
  <r>
    <x v="0"/>
    <x v="2"/>
    <x v="0"/>
    <x v="0"/>
    <x v="1"/>
    <x v="0"/>
    <x v="2"/>
    <x v="1"/>
    <x v="875"/>
    <x v="0"/>
    <x v="875"/>
  </r>
  <r>
    <x v="0"/>
    <x v="2"/>
    <x v="0"/>
    <x v="0"/>
    <x v="1"/>
    <x v="1"/>
    <x v="0"/>
    <x v="0"/>
    <x v="876"/>
    <x v="0"/>
    <x v="876"/>
  </r>
  <r>
    <x v="0"/>
    <x v="2"/>
    <x v="0"/>
    <x v="0"/>
    <x v="1"/>
    <x v="1"/>
    <x v="1"/>
    <x v="0"/>
    <x v="877"/>
    <x v="0"/>
    <x v="877"/>
  </r>
  <r>
    <x v="0"/>
    <x v="2"/>
    <x v="0"/>
    <x v="0"/>
    <x v="1"/>
    <x v="1"/>
    <x v="2"/>
    <x v="1"/>
    <x v="878"/>
    <x v="0"/>
    <x v="878"/>
  </r>
  <r>
    <x v="0"/>
    <x v="2"/>
    <x v="0"/>
    <x v="0"/>
    <x v="1"/>
    <x v="2"/>
    <x v="0"/>
    <x v="0"/>
    <x v="879"/>
    <x v="0"/>
    <x v="879"/>
  </r>
  <r>
    <x v="0"/>
    <x v="2"/>
    <x v="0"/>
    <x v="0"/>
    <x v="1"/>
    <x v="2"/>
    <x v="1"/>
    <x v="1"/>
    <x v="880"/>
    <x v="0"/>
    <x v="880"/>
  </r>
  <r>
    <x v="0"/>
    <x v="2"/>
    <x v="0"/>
    <x v="0"/>
    <x v="1"/>
    <x v="2"/>
    <x v="2"/>
    <x v="1"/>
    <x v="881"/>
    <x v="0"/>
    <x v="881"/>
  </r>
  <r>
    <x v="0"/>
    <x v="2"/>
    <x v="0"/>
    <x v="0"/>
    <x v="2"/>
    <x v="0"/>
    <x v="0"/>
    <x v="0"/>
    <x v="882"/>
    <x v="0"/>
    <x v="882"/>
  </r>
  <r>
    <x v="0"/>
    <x v="2"/>
    <x v="0"/>
    <x v="0"/>
    <x v="2"/>
    <x v="0"/>
    <x v="1"/>
    <x v="0"/>
    <x v="883"/>
    <x v="0"/>
    <x v="883"/>
  </r>
  <r>
    <x v="0"/>
    <x v="2"/>
    <x v="0"/>
    <x v="0"/>
    <x v="2"/>
    <x v="0"/>
    <x v="2"/>
    <x v="0"/>
    <x v="884"/>
    <x v="0"/>
    <x v="884"/>
  </r>
  <r>
    <x v="0"/>
    <x v="2"/>
    <x v="0"/>
    <x v="0"/>
    <x v="2"/>
    <x v="1"/>
    <x v="0"/>
    <x v="0"/>
    <x v="885"/>
    <x v="0"/>
    <x v="885"/>
  </r>
  <r>
    <x v="0"/>
    <x v="2"/>
    <x v="0"/>
    <x v="0"/>
    <x v="2"/>
    <x v="1"/>
    <x v="1"/>
    <x v="0"/>
    <x v="886"/>
    <x v="0"/>
    <x v="886"/>
  </r>
  <r>
    <x v="0"/>
    <x v="2"/>
    <x v="0"/>
    <x v="0"/>
    <x v="2"/>
    <x v="1"/>
    <x v="2"/>
    <x v="1"/>
    <x v="887"/>
    <x v="0"/>
    <x v="887"/>
  </r>
  <r>
    <x v="0"/>
    <x v="2"/>
    <x v="0"/>
    <x v="0"/>
    <x v="2"/>
    <x v="2"/>
    <x v="0"/>
    <x v="0"/>
    <x v="888"/>
    <x v="0"/>
    <x v="888"/>
  </r>
  <r>
    <x v="0"/>
    <x v="2"/>
    <x v="0"/>
    <x v="0"/>
    <x v="2"/>
    <x v="2"/>
    <x v="1"/>
    <x v="1"/>
    <x v="889"/>
    <x v="0"/>
    <x v="889"/>
  </r>
  <r>
    <x v="0"/>
    <x v="2"/>
    <x v="0"/>
    <x v="0"/>
    <x v="2"/>
    <x v="2"/>
    <x v="2"/>
    <x v="1"/>
    <x v="890"/>
    <x v="0"/>
    <x v="890"/>
  </r>
  <r>
    <x v="0"/>
    <x v="2"/>
    <x v="0"/>
    <x v="1"/>
    <x v="0"/>
    <x v="0"/>
    <x v="0"/>
    <x v="0"/>
    <x v="891"/>
    <x v="0"/>
    <x v="891"/>
  </r>
  <r>
    <x v="0"/>
    <x v="2"/>
    <x v="0"/>
    <x v="1"/>
    <x v="0"/>
    <x v="0"/>
    <x v="1"/>
    <x v="0"/>
    <x v="892"/>
    <x v="0"/>
    <x v="892"/>
  </r>
  <r>
    <x v="0"/>
    <x v="2"/>
    <x v="0"/>
    <x v="1"/>
    <x v="0"/>
    <x v="0"/>
    <x v="2"/>
    <x v="0"/>
    <x v="893"/>
    <x v="0"/>
    <x v="893"/>
  </r>
  <r>
    <x v="0"/>
    <x v="2"/>
    <x v="0"/>
    <x v="1"/>
    <x v="0"/>
    <x v="1"/>
    <x v="0"/>
    <x v="0"/>
    <x v="894"/>
    <x v="0"/>
    <x v="894"/>
  </r>
  <r>
    <x v="0"/>
    <x v="2"/>
    <x v="0"/>
    <x v="1"/>
    <x v="0"/>
    <x v="1"/>
    <x v="1"/>
    <x v="0"/>
    <x v="895"/>
    <x v="0"/>
    <x v="895"/>
  </r>
  <r>
    <x v="0"/>
    <x v="2"/>
    <x v="0"/>
    <x v="1"/>
    <x v="0"/>
    <x v="1"/>
    <x v="2"/>
    <x v="0"/>
    <x v="896"/>
    <x v="0"/>
    <x v="896"/>
  </r>
  <r>
    <x v="0"/>
    <x v="2"/>
    <x v="0"/>
    <x v="1"/>
    <x v="0"/>
    <x v="2"/>
    <x v="0"/>
    <x v="0"/>
    <x v="897"/>
    <x v="0"/>
    <x v="897"/>
  </r>
  <r>
    <x v="0"/>
    <x v="2"/>
    <x v="0"/>
    <x v="1"/>
    <x v="0"/>
    <x v="2"/>
    <x v="1"/>
    <x v="0"/>
    <x v="898"/>
    <x v="0"/>
    <x v="898"/>
  </r>
  <r>
    <x v="0"/>
    <x v="2"/>
    <x v="0"/>
    <x v="1"/>
    <x v="0"/>
    <x v="2"/>
    <x v="2"/>
    <x v="0"/>
    <x v="899"/>
    <x v="0"/>
    <x v="899"/>
  </r>
  <r>
    <x v="0"/>
    <x v="2"/>
    <x v="0"/>
    <x v="1"/>
    <x v="1"/>
    <x v="0"/>
    <x v="0"/>
    <x v="0"/>
    <x v="900"/>
    <x v="0"/>
    <x v="900"/>
  </r>
  <r>
    <x v="0"/>
    <x v="2"/>
    <x v="0"/>
    <x v="1"/>
    <x v="1"/>
    <x v="0"/>
    <x v="1"/>
    <x v="0"/>
    <x v="901"/>
    <x v="0"/>
    <x v="901"/>
  </r>
  <r>
    <x v="0"/>
    <x v="2"/>
    <x v="0"/>
    <x v="1"/>
    <x v="1"/>
    <x v="0"/>
    <x v="2"/>
    <x v="1"/>
    <x v="902"/>
    <x v="0"/>
    <x v="902"/>
  </r>
  <r>
    <x v="0"/>
    <x v="2"/>
    <x v="0"/>
    <x v="1"/>
    <x v="1"/>
    <x v="1"/>
    <x v="0"/>
    <x v="0"/>
    <x v="903"/>
    <x v="0"/>
    <x v="903"/>
  </r>
  <r>
    <x v="0"/>
    <x v="2"/>
    <x v="0"/>
    <x v="1"/>
    <x v="1"/>
    <x v="1"/>
    <x v="1"/>
    <x v="0"/>
    <x v="904"/>
    <x v="0"/>
    <x v="904"/>
  </r>
  <r>
    <x v="0"/>
    <x v="2"/>
    <x v="0"/>
    <x v="1"/>
    <x v="1"/>
    <x v="1"/>
    <x v="2"/>
    <x v="1"/>
    <x v="905"/>
    <x v="0"/>
    <x v="905"/>
  </r>
  <r>
    <x v="0"/>
    <x v="2"/>
    <x v="0"/>
    <x v="1"/>
    <x v="1"/>
    <x v="2"/>
    <x v="0"/>
    <x v="0"/>
    <x v="906"/>
    <x v="0"/>
    <x v="906"/>
  </r>
  <r>
    <x v="0"/>
    <x v="2"/>
    <x v="0"/>
    <x v="1"/>
    <x v="1"/>
    <x v="2"/>
    <x v="1"/>
    <x v="1"/>
    <x v="907"/>
    <x v="0"/>
    <x v="907"/>
  </r>
  <r>
    <x v="0"/>
    <x v="2"/>
    <x v="0"/>
    <x v="1"/>
    <x v="1"/>
    <x v="2"/>
    <x v="2"/>
    <x v="1"/>
    <x v="908"/>
    <x v="0"/>
    <x v="908"/>
  </r>
  <r>
    <x v="0"/>
    <x v="2"/>
    <x v="0"/>
    <x v="1"/>
    <x v="2"/>
    <x v="0"/>
    <x v="0"/>
    <x v="0"/>
    <x v="909"/>
    <x v="0"/>
    <x v="909"/>
  </r>
  <r>
    <x v="0"/>
    <x v="2"/>
    <x v="0"/>
    <x v="1"/>
    <x v="2"/>
    <x v="0"/>
    <x v="1"/>
    <x v="0"/>
    <x v="910"/>
    <x v="0"/>
    <x v="910"/>
  </r>
  <r>
    <x v="0"/>
    <x v="2"/>
    <x v="0"/>
    <x v="1"/>
    <x v="2"/>
    <x v="0"/>
    <x v="2"/>
    <x v="1"/>
    <x v="911"/>
    <x v="0"/>
    <x v="911"/>
  </r>
  <r>
    <x v="0"/>
    <x v="2"/>
    <x v="0"/>
    <x v="1"/>
    <x v="2"/>
    <x v="1"/>
    <x v="0"/>
    <x v="0"/>
    <x v="912"/>
    <x v="0"/>
    <x v="912"/>
  </r>
  <r>
    <x v="0"/>
    <x v="2"/>
    <x v="0"/>
    <x v="1"/>
    <x v="2"/>
    <x v="1"/>
    <x v="1"/>
    <x v="1"/>
    <x v="913"/>
    <x v="0"/>
    <x v="913"/>
  </r>
  <r>
    <x v="0"/>
    <x v="2"/>
    <x v="0"/>
    <x v="1"/>
    <x v="2"/>
    <x v="1"/>
    <x v="2"/>
    <x v="1"/>
    <x v="914"/>
    <x v="0"/>
    <x v="914"/>
  </r>
  <r>
    <x v="0"/>
    <x v="2"/>
    <x v="0"/>
    <x v="1"/>
    <x v="2"/>
    <x v="2"/>
    <x v="0"/>
    <x v="0"/>
    <x v="915"/>
    <x v="0"/>
    <x v="915"/>
  </r>
  <r>
    <x v="0"/>
    <x v="2"/>
    <x v="0"/>
    <x v="1"/>
    <x v="2"/>
    <x v="2"/>
    <x v="1"/>
    <x v="1"/>
    <x v="916"/>
    <x v="0"/>
    <x v="916"/>
  </r>
  <r>
    <x v="0"/>
    <x v="2"/>
    <x v="0"/>
    <x v="1"/>
    <x v="2"/>
    <x v="2"/>
    <x v="2"/>
    <x v="1"/>
    <x v="917"/>
    <x v="0"/>
    <x v="917"/>
  </r>
  <r>
    <x v="0"/>
    <x v="2"/>
    <x v="0"/>
    <x v="2"/>
    <x v="0"/>
    <x v="0"/>
    <x v="0"/>
    <x v="0"/>
    <x v="918"/>
    <x v="0"/>
    <x v="918"/>
  </r>
  <r>
    <x v="0"/>
    <x v="2"/>
    <x v="0"/>
    <x v="2"/>
    <x v="0"/>
    <x v="0"/>
    <x v="1"/>
    <x v="0"/>
    <x v="919"/>
    <x v="0"/>
    <x v="919"/>
  </r>
  <r>
    <x v="0"/>
    <x v="2"/>
    <x v="0"/>
    <x v="2"/>
    <x v="0"/>
    <x v="0"/>
    <x v="2"/>
    <x v="0"/>
    <x v="920"/>
    <x v="0"/>
    <x v="920"/>
  </r>
  <r>
    <x v="0"/>
    <x v="2"/>
    <x v="0"/>
    <x v="2"/>
    <x v="0"/>
    <x v="1"/>
    <x v="0"/>
    <x v="0"/>
    <x v="921"/>
    <x v="0"/>
    <x v="921"/>
  </r>
  <r>
    <x v="0"/>
    <x v="2"/>
    <x v="0"/>
    <x v="2"/>
    <x v="0"/>
    <x v="1"/>
    <x v="1"/>
    <x v="0"/>
    <x v="922"/>
    <x v="0"/>
    <x v="922"/>
  </r>
  <r>
    <x v="0"/>
    <x v="2"/>
    <x v="0"/>
    <x v="2"/>
    <x v="0"/>
    <x v="1"/>
    <x v="2"/>
    <x v="0"/>
    <x v="923"/>
    <x v="0"/>
    <x v="923"/>
  </r>
  <r>
    <x v="0"/>
    <x v="2"/>
    <x v="0"/>
    <x v="2"/>
    <x v="0"/>
    <x v="2"/>
    <x v="0"/>
    <x v="0"/>
    <x v="924"/>
    <x v="0"/>
    <x v="924"/>
  </r>
  <r>
    <x v="0"/>
    <x v="2"/>
    <x v="0"/>
    <x v="2"/>
    <x v="0"/>
    <x v="2"/>
    <x v="1"/>
    <x v="0"/>
    <x v="925"/>
    <x v="0"/>
    <x v="925"/>
  </r>
  <r>
    <x v="0"/>
    <x v="2"/>
    <x v="0"/>
    <x v="2"/>
    <x v="0"/>
    <x v="2"/>
    <x v="2"/>
    <x v="0"/>
    <x v="926"/>
    <x v="0"/>
    <x v="926"/>
  </r>
  <r>
    <x v="0"/>
    <x v="2"/>
    <x v="0"/>
    <x v="2"/>
    <x v="1"/>
    <x v="0"/>
    <x v="0"/>
    <x v="0"/>
    <x v="927"/>
    <x v="0"/>
    <x v="927"/>
  </r>
  <r>
    <x v="0"/>
    <x v="2"/>
    <x v="0"/>
    <x v="2"/>
    <x v="1"/>
    <x v="0"/>
    <x v="1"/>
    <x v="0"/>
    <x v="928"/>
    <x v="0"/>
    <x v="928"/>
  </r>
  <r>
    <x v="0"/>
    <x v="2"/>
    <x v="0"/>
    <x v="2"/>
    <x v="1"/>
    <x v="0"/>
    <x v="2"/>
    <x v="1"/>
    <x v="929"/>
    <x v="0"/>
    <x v="929"/>
  </r>
  <r>
    <x v="0"/>
    <x v="2"/>
    <x v="0"/>
    <x v="2"/>
    <x v="1"/>
    <x v="1"/>
    <x v="0"/>
    <x v="0"/>
    <x v="930"/>
    <x v="0"/>
    <x v="930"/>
  </r>
  <r>
    <x v="0"/>
    <x v="2"/>
    <x v="0"/>
    <x v="2"/>
    <x v="1"/>
    <x v="1"/>
    <x v="1"/>
    <x v="1"/>
    <x v="931"/>
    <x v="0"/>
    <x v="931"/>
  </r>
  <r>
    <x v="0"/>
    <x v="2"/>
    <x v="0"/>
    <x v="2"/>
    <x v="1"/>
    <x v="1"/>
    <x v="2"/>
    <x v="1"/>
    <x v="932"/>
    <x v="0"/>
    <x v="932"/>
  </r>
  <r>
    <x v="0"/>
    <x v="2"/>
    <x v="0"/>
    <x v="2"/>
    <x v="1"/>
    <x v="2"/>
    <x v="0"/>
    <x v="0"/>
    <x v="933"/>
    <x v="0"/>
    <x v="933"/>
  </r>
  <r>
    <x v="0"/>
    <x v="2"/>
    <x v="0"/>
    <x v="2"/>
    <x v="1"/>
    <x v="2"/>
    <x v="1"/>
    <x v="1"/>
    <x v="934"/>
    <x v="0"/>
    <x v="934"/>
  </r>
  <r>
    <x v="0"/>
    <x v="2"/>
    <x v="0"/>
    <x v="2"/>
    <x v="1"/>
    <x v="2"/>
    <x v="2"/>
    <x v="1"/>
    <x v="935"/>
    <x v="0"/>
    <x v="935"/>
  </r>
  <r>
    <x v="0"/>
    <x v="2"/>
    <x v="0"/>
    <x v="2"/>
    <x v="2"/>
    <x v="0"/>
    <x v="0"/>
    <x v="0"/>
    <x v="936"/>
    <x v="0"/>
    <x v="936"/>
  </r>
  <r>
    <x v="0"/>
    <x v="2"/>
    <x v="0"/>
    <x v="2"/>
    <x v="2"/>
    <x v="0"/>
    <x v="1"/>
    <x v="0"/>
    <x v="937"/>
    <x v="0"/>
    <x v="937"/>
  </r>
  <r>
    <x v="0"/>
    <x v="2"/>
    <x v="0"/>
    <x v="2"/>
    <x v="2"/>
    <x v="0"/>
    <x v="2"/>
    <x v="1"/>
    <x v="938"/>
    <x v="0"/>
    <x v="938"/>
  </r>
  <r>
    <x v="0"/>
    <x v="2"/>
    <x v="0"/>
    <x v="2"/>
    <x v="2"/>
    <x v="1"/>
    <x v="0"/>
    <x v="0"/>
    <x v="939"/>
    <x v="0"/>
    <x v="939"/>
  </r>
  <r>
    <x v="0"/>
    <x v="2"/>
    <x v="0"/>
    <x v="2"/>
    <x v="2"/>
    <x v="1"/>
    <x v="1"/>
    <x v="1"/>
    <x v="940"/>
    <x v="0"/>
    <x v="940"/>
  </r>
  <r>
    <x v="0"/>
    <x v="2"/>
    <x v="0"/>
    <x v="2"/>
    <x v="2"/>
    <x v="1"/>
    <x v="2"/>
    <x v="1"/>
    <x v="941"/>
    <x v="0"/>
    <x v="941"/>
  </r>
  <r>
    <x v="0"/>
    <x v="2"/>
    <x v="0"/>
    <x v="2"/>
    <x v="2"/>
    <x v="2"/>
    <x v="0"/>
    <x v="0"/>
    <x v="942"/>
    <x v="0"/>
    <x v="942"/>
  </r>
  <r>
    <x v="0"/>
    <x v="2"/>
    <x v="0"/>
    <x v="2"/>
    <x v="2"/>
    <x v="2"/>
    <x v="1"/>
    <x v="1"/>
    <x v="943"/>
    <x v="0"/>
    <x v="943"/>
  </r>
  <r>
    <x v="0"/>
    <x v="2"/>
    <x v="0"/>
    <x v="2"/>
    <x v="2"/>
    <x v="2"/>
    <x v="2"/>
    <x v="1"/>
    <x v="944"/>
    <x v="0"/>
    <x v="944"/>
  </r>
  <r>
    <x v="0"/>
    <x v="2"/>
    <x v="0"/>
    <x v="3"/>
    <x v="0"/>
    <x v="0"/>
    <x v="0"/>
    <x v="0"/>
    <x v="945"/>
    <x v="0"/>
    <x v="945"/>
  </r>
  <r>
    <x v="0"/>
    <x v="2"/>
    <x v="0"/>
    <x v="3"/>
    <x v="0"/>
    <x v="0"/>
    <x v="1"/>
    <x v="0"/>
    <x v="946"/>
    <x v="0"/>
    <x v="946"/>
  </r>
  <r>
    <x v="0"/>
    <x v="2"/>
    <x v="0"/>
    <x v="3"/>
    <x v="0"/>
    <x v="0"/>
    <x v="2"/>
    <x v="0"/>
    <x v="947"/>
    <x v="0"/>
    <x v="947"/>
  </r>
  <r>
    <x v="0"/>
    <x v="2"/>
    <x v="0"/>
    <x v="3"/>
    <x v="0"/>
    <x v="1"/>
    <x v="0"/>
    <x v="0"/>
    <x v="948"/>
    <x v="0"/>
    <x v="948"/>
  </r>
  <r>
    <x v="0"/>
    <x v="2"/>
    <x v="0"/>
    <x v="3"/>
    <x v="0"/>
    <x v="1"/>
    <x v="1"/>
    <x v="0"/>
    <x v="949"/>
    <x v="0"/>
    <x v="949"/>
  </r>
  <r>
    <x v="0"/>
    <x v="2"/>
    <x v="0"/>
    <x v="3"/>
    <x v="0"/>
    <x v="1"/>
    <x v="2"/>
    <x v="0"/>
    <x v="950"/>
    <x v="0"/>
    <x v="950"/>
  </r>
  <r>
    <x v="0"/>
    <x v="2"/>
    <x v="0"/>
    <x v="3"/>
    <x v="0"/>
    <x v="2"/>
    <x v="0"/>
    <x v="0"/>
    <x v="951"/>
    <x v="0"/>
    <x v="951"/>
  </r>
  <r>
    <x v="0"/>
    <x v="2"/>
    <x v="0"/>
    <x v="3"/>
    <x v="0"/>
    <x v="2"/>
    <x v="1"/>
    <x v="0"/>
    <x v="952"/>
    <x v="0"/>
    <x v="952"/>
  </r>
  <r>
    <x v="0"/>
    <x v="2"/>
    <x v="0"/>
    <x v="3"/>
    <x v="0"/>
    <x v="2"/>
    <x v="2"/>
    <x v="0"/>
    <x v="953"/>
    <x v="0"/>
    <x v="953"/>
  </r>
  <r>
    <x v="0"/>
    <x v="2"/>
    <x v="0"/>
    <x v="3"/>
    <x v="1"/>
    <x v="0"/>
    <x v="0"/>
    <x v="0"/>
    <x v="954"/>
    <x v="0"/>
    <x v="954"/>
  </r>
  <r>
    <x v="0"/>
    <x v="2"/>
    <x v="0"/>
    <x v="3"/>
    <x v="1"/>
    <x v="0"/>
    <x v="1"/>
    <x v="0"/>
    <x v="955"/>
    <x v="0"/>
    <x v="955"/>
  </r>
  <r>
    <x v="0"/>
    <x v="2"/>
    <x v="0"/>
    <x v="3"/>
    <x v="1"/>
    <x v="0"/>
    <x v="2"/>
    <x v="1"/>
    <x v="956"/>
    <x v="0"/>
    <x v="956"/>
  </r>
  <r>
    <x v="0"/>
    <x v="2"/>
    <x v="0"/>
    <x v="3"/>
    <x v="1"/>
    <x v="1"/>
    <x v="0"/>
    <x v="0"/>
    <x v="957"/>
    <x v="0"/>
    <x v="957"/>
  </r>
  <r>
    <x v="0"/>
    <x v="2"/>
    <x v="0"/>
    <x v="3"/>
    <x v="1"/>
    <x v="1"/>
    <x v="1"/>
    <x v="1"/>
    <x v="958"/>
    <x v="0"/>
    <x v="958"/>
  </r>
  <r>
    <x v="0"/>
    <x v="2"/>
    <x v="0"/>
    <x v="3"/>
    <x v="1"/>
    <x v="1"/>
    <x v="2"/>
    <x v="1"/>
    <x v="959"/>
    <x v="0"/>
    <x v="959"/>
  </r>
  <r>
    <x v="0"/>
    <x v="2"/>
    <x v="0"/>
    <x v="3"/>
    <x v="1"/>
    <x v="2"/>
    <x v="0"/>
    <x v="0"/>
    <x v="960"/>
    <x v="0"/>
    <x v="960"/>
  </r>
  <r>
    <x v="0"/>
    <x v="2"/>
    <x v="0"/>
    <x v="3"/>
    <x v="1"/>
    <x v="2"/>
    <x v="1"/>
    <x v="1"/>
    <x v="961"/>
    <x v="0"/>
    <x v="961"/>
  </r>
  <r>
    <x v="0"/>
    <x v="2"/>
    <x v="0"/>
    <x v="3"/>
    <x v="1"/>
    <x v="2"/>
    <x v="2"/>
    <x v="1"/>
    <x v="962"/>
    <x v="0"/>
    <x v="962"/>
  </r>
  <r>
    <x v="0"/>
    <x v="2"/>
    <x v="0"/>
    <x v="3"/>
    <x v="2"/>
    <x v="0"/>
    <x v="0"/>
    <x v="0"/>
    <x v="963"/>
    <x v="0"/>
    <x v="963"/>
  </r>
  <r>
    <x v="0"/>
    <x v="2"/>
    <x v="0"/>
    <x v="3"/>
    <x v="2"/>
    <x v="0"/>
    <x v="1"/>
    <x v="0"/>
    <x v="964"/>
    <x v="0"/>
    <x v="964"/>
  </r>
  <r>
    <x v="0"/>
    <x v="2"/>
    <x v="0"/>
    <x v="3"/>
    <x v="2"/>
    <x v="0"/>
    <x v="2"/>
    <x v="1"/>
    <x v="965"/>
    <x v="0"/>
    <x v="965"/>
  </r>
  <r>
    <x v="0"/>
    <x v="2"/>
    <x v="0"/>
    <x v="3"/>
    <x v="2"/>
    <x v="1"/>
    <x v="0"/>
    <x v="0"/>
    <x v="966"/>
    <x v="0"/>
    <x v="966"/>
  </r>
  <r>
    <x v="0"/>
    <x v="2"/>
    <x v="0"/>
    <x v="3"/>
    <x v="2"/>
    <x v="1"/>
    <x v="1"/>
    <x v="1"/>
    <x v="967"/>
    <x v="0"/>
    <x v="967"/>
  </r>
  <r>
    <x v="0"/>
    <x v="2"/>
    <x v="0"/>
    <x v="3"/>
    <x v="2"/>
    <x v="1"/>
    <x v="2"/>
    <x v="1"/>
    <x v="968"/>
    <x v="0"/>
    <x v="968"/>
  </r>
  <r>
    <x v="0"/>
    <x v="2"/>
    <x v="0"/>
    <x v="3"/>
    <x v="2"/>
    <x v="2"/>
    <x v="0"/>
    <x v="0"/>
    <x v="969"/>
    <x v="0"/>
    <x v="969"/>
  </r>
  <r>
    <x v="0"/>
    <x v="2"/>
    <x v="0"/>
    <x v="3"/>
    <x v="2"/>
    <x v="2"/>
    <x v="1"/>
    <x v="1"/>
    <x v="970"/>
    <x v="0"/>
    <x v="970"/>
  </r>
  <r>
    <x v="0"/>
    <x v="2"/>
    <x v="0"/>
    <x v="3"/>
    <x v="2"/>
    <x v="2"/>
    <x v="2"/>
    <x v="1"/>
    <x v="971"/>
    <x v="0"/>
    <x v="971"/>
  </r>
  <r>
    <x v="0"/>
    <x v="2"/>
    <x v="1"/>
    <x v="0"/>
    <x v="0"/>
    <x v="0"/>
    <x v="0"/>
    <x v="0"/>
    <x v="972"/>
    <x v="0"/>
    <x v="972"/>
  </r>
  <r>
    <x v="0"/>
    <x v="2"/>
    <x v="1"/>
    <x v="0"/>
    <x v="0"/>
    <x v="0"/>
    <x v="1"/>
    <x v="0"/>
    <x v="973"/>
    <x v="0"/>
    <x v="973"/>
  </r>
  <r>
    <x v="0"/>
    <x v="2"/>
    <x v="1"/>
    <x v="0"/>
    <x v="0"/>
    <x v="0"/>
    <x v="2"/>
    <x v="0"/>
    <x v="974"/>
    <x v="0"/>
    <x v="974"/>
  </r>
  <r>
    <x v="0"/>
    <x v="2"/>
    <x v="1"/>
    <x v="0"/>
    <x v="0"/>
    <x v="1"/>
    <x v="0"/>
    <x v="0"/>
    <x v="975"/>
    <x v="0"/>
    <x v="975"/>
  </r>
  <r>
    <x v="0"/>
    <x v="2"/>
    <x v="1"/>
    <x v="0"/>
    <x v="0"/>
    <x v="1"/>
    <x v="1"/>
    <x v="0"/>
    <x v="976"/>
    <x v="0"/>
    <x v="976"/>
  </r>
  <r>
    <x v="0"/>
    <x v="2"/>
    <x v="1"/>
    <x v="0"/>
    <x v="0"/>
    <x v="1"/>
    <x v="2"/>
    <x v="0"/>
    <x v="977"/>
    <x v="0"/>
    <x v="977"/>
  </r>
  <r>
    <x v="0"/>
    <x v="2"/>
    <x v="1"/>
    <x v="0"/>
    <x v="0"/>
    <x v="2"/>
    <x v="0"/>
    <x v="0"/>
    <x v="978"/>
    <x v="0"/>
    <x v="978"/>
  </r>
  <r>
    <x v="0"/>
    <x v="2"/>
    <x v="1"/>
    <x v="0"/>
    <x v="0"/>
    <x v="2"/>
    <x v="1"/>
    <x v="0"/>
    <x v="979"/>
    <x v="0"/>
    <x v="979"/>
  </r>
  <r>
    <x v="0"/>
    <x v="2"/>
    <x v="1"/>
    <x v="0"/>
    <x v="0"/>
    <x v="2"/>
    <x v="2"/>
    <x v="0"/>
    <x v="980"/>
    <x v="0"/>
    <x v="980"/>
  </r>
  <r>
    <x v="0"/>
    <x v="2"/>
    <x v="1"/>
    <x v="0"/>
    <x v="1"/>
    <x v="0"/>
    <x v="0"/>
    <x v="0"/>
    <x v="981"/>
    <x v="0"/>
    <x v="981"/>
  </r>
  <r>
    <x v="0"/>
    <x v="2"/>
    <x v="1"/>
    <x v="0"/>
    <x v="1"/>
    <x v="0"/>
    <x v="1"/>
    <x v="0"/>
    <x v="982"/>
    <x v="0"/>
    <x v="982"/>
  </r>
  <r>
    <x v="0"/>
    <x v="2"/>
    <x v="1"/>
    <x v="0"/>
    <x v="1"/>
    <x v="0"/>
    <x v="2"/>
    <x v="1"/>
    <x v="983"/>
    <x v="0"/>
    <x v="983"/>
  </r>
  <r>
    <x v="0"/>
    <x v="2"/>
    <x v="1"/>
    <x v="0"/>
    <x v="1"/>
    <x v="1"/>
    <x v="0"/>
    <x v="0"/>
    <x v="984"/>
    <x v="0"/>
    <x v="984"/>
  </r>
  <r>
    <x v="0"/>
    <x v="2"/>
    <x v="1"/>
    <x v="0"/>
    <x v="1"/>
    <x v="1"/>
    <x v="1"/>
    <x v="0"/>
    <x v="985"/>
    <x v="0"/>
    <x v="985"/>
  </r>
  <r>
    <x v="0"/>
    <x v="2"/>
    <x v="1"/>
    <x v="0"/>
    <x v="1"/>
    <x v="1"/>
    <x v="2"/>
    <x v="1"/>
    <x v="986"/>
    <x v="0"/>
    <x v="986"/>
  </r>
  <r>
    <x v="0"/>
    <x v="2"/>
    <x v="1"/>
    <x v="0"/>
    <x v="1"/>
    <x v="2"/>
    <x v="0"/>
    <x v="0"/>
    <x v="987"/>
    <x v="0"/>
    <x v="987"/>
  </r>
  <r>
    <x v="0"/>
    <x v="2"/>
    <x v="1"/>
    <x v="0"/>
    <x v="1"/>
    <x v="2"/>
    <x v="1"/>
    <x v="1"/>
    <x v="988"/>
    <x v="0"/>
    <x v="988"/>
  </r>
  <r>
    <x v="0"/>
    <x v="2"/>
    <x v="1"/>
    <x v="0"/>
    <x v="1"/>
    <x v="2"/>
    <x v="2"/>
    <x v="1"/>
    <x v="989"/>
    <x v="0"/>
    <x v="989"/>
  </r>
  <r>
    <x v="0"/>
    <x v="2"/>
    <x v="1"/>
    <x v="0"/>
    <x v="2"/>
    <x v="0"/>
    <x v="0"/>
    <x v="0"/>
    <x v="990"/>
    <x v="0"/>
    <x v="990"/>
  </r>
  <r>
    <x v="0"/>
    <x v="2"/>
    <x v="1"/>
    <x v="0"/>
    <x v="2"/>
    <x v="0"/>
    <x v="1"/>
    <x v="0"/>
    <x v="991"/>
    <x v="0"/>
    <x v="991"/>
  </r>
  <r>
    <x v="0"/>
    <x v="2"/>
    <x v="1"/>
    <x v="0"/>
    <x v="2"/>
    <x v="0"/>
    <x v="2"/>
    <x v="0"/>
    <x v="992"/>
    <x v="0"/>
    <x v="992"/>
  </r>
  <r>
    <x v="0"/>
    <x v="2"/>
    <x v="1"/>
    <x v="0"/>
    <x v="2"/>
    <x v="1"/>
    <x v="0"/>
    <x v="0"/>
    <x v="993"/>
    <x v="0"/>
    <x v="993"/>
  </r>
  <r>
    <x v="0"/>
    <x v="2"/>
    <x v="1"/>
    <x v="0"/>
    <x v="2"/>
    <x v="1"/>
    <x v="1"/>
    <x v="0"/>
    <x v="994"/>
    <x v="0"/>
    <x v="994"/>
  </r>
  <r>
    <x v="0"/>
    <x v="2"/>
    <x v="1"/>
    <x v="0"/>
    <x v="2"/>
    <x v="1"/>
    <x v="2"/>
    <x v="1"/>
    <x v="995"/>
    <x v="0"/>
    <x v="995"/>
  </r>
  <r>
    <x v="0"/>
    <x v="2"/>
    <x v="1"/>
    <x v="0"/>
    <x v="2"/>
    <x v="2"/>
    <x v="0"/>
    <x v="0"/>
    <x v="996"/>
    <x v="0"/>
    <x v="996"/>
  </r>
  <r>
    <x v="0"/>
    <x v="2"/>
    <x v="1"/>
    <x v="0"/>
    <x v="2"/>
    <x v="2"/>
    <x v="1"/>
    <x v="1"/>
    <x v="997"/>
    <x v="0"/>
    <x v="997"/>
  </r>
  <r>
    <x v="0"/>
    <x v="2"/>
    <x v="1"/>
    <x v="0"/>
    <x v="2"/>
    <x v="2"/>
    <x v="2"/>
    <x v="1"/>
    <x v="998"/>
    <x v="0"/>
    <x v="998"/>
  </r>
  <r>
    <x v="0"/>
    <x v="2"/>
    <x v="1"/>
    <x v="1"/>
    <x v="0"/>
    <x v="0"/>
    <x v="0"/>
    <x v="0"/>
    <x v="999"/>
    <x v="0"/>
    <x v="999"/>
  </r>
  <r>
    <x v="0"/>
    <x v="2"/>
    <x v="1"/>
    <x v="1"/>
    <x v="0"/>
    <x v="0"/>
    <x v="1"/>
    <x v="0"/>
    <x v="1000"/>
    <x v="0"/>
    <x v="1000"/>
  </r>
  <r>
    <x v="0"/>
    <x v="2"/>
    <x v="1"/>
    <x v="1"/>
    <x v="0"/>
    <x v="0"/>
    <x v="2"/>
    <x v="0"/>
    <x v="1001"/>
    <x v="0"/>
    <x v="1001"/>
  </r>
  <r>
    <x v="0"/>
    <x v="2"/>
    <x v="1"/>
    <x v="1"/>
    <x v="0"/>
    <x v="1"/>
    <x v="0"/>
    <x v="0"/>
    <x v="1002"/>
    <x v="0"/>
    <x v="1002"/>
  </r>
  <r>
    <x v="0"/>
    <x v="2"/>
    <x v="1"/>
    <x v="1"/>
    <x v="0"/>
    <x v="1"/>
    <x v="1"/>
    <x v="0"/>
    <x v="1003"/>
    <x v="0"/>
    <x v="1003"/>
  </r>
  <r>
    <x v="0"/>
    <x v="2"/>
    <x v="1"/>
    <x v="1"/>
    <x v="0"/>
    <x v="1"/>
    <x v="2"/>
    <x v="0"/>
    <x v="1004"/>
    <x v="0"/>
    <x v="1004"/>
  </r>
  <r>
    <x v="0"/>
    <x v="2"/>
    <x v="1"/>
    <x v="1"/>
    <x v="0"/>
    <x v="2"/>
    <x v="0"/>
    <x v="0"/>
    <x v="1005"/>
    <x v="0"/>
    <x v="1005"/>
  </r>
  <r>
    <x v="0"/>
    <x v="2"/>
    <x v="1"/>
    <x v="1"/>
    <x v="0"/>
    <x v="2"/>
    <x v="1"/>
    <x v="0"/>
    <x v="1006"/>
    <x v="0"/>
    <x v="1006"/>
  </r>
  <r>
    <x v="0"/>
    <x v="2"/>
    <x v="1"/>
    <x v="1"/>
    <x v="0"/>
    <x v="2"/>
    <x v="2"/>
    <x v="0"/>
    <x v="1007"/>
    <x v="0"/>
    <x v="1007"/>
  </r>
  <r>
    <x v="0"/>
    <x v="2"/>
    <x v="1"/>
    <x v="1"/>
    <x v="1"/>
    <x v="0"/>
    <x v="0"/>
    <x v="0"/>
    <x v="1008"/>
    <x v="0"/>
    <x v="1008"/>
  </r>
  <r>
    <x v="0"/>
    <x v="2"/>
    <x v="1"/>
    <x v="1"/>
    <x v="1"/>
    <x v="0"/>
    <x v="1"/>
    <x v="0"/>
    <x v="1009"/>
    <x v="0"/>
    <x v="1009"/>
  </r>
  <r>
    <x v="0"/>
    <x v="2"/>
    <x v="1"/>
    <x v="1"/>
    <x v="1"/>
    <x v="0"/>
    <x v="2"/>
    <x v="1"/>
    <x v="1010"/>
    <x v="0"/>
    <x v="1010"/>
  </r>
  <r>
    <x v="0"/>
    <x v="2"/>
    <x v="1"/>
    <x v="1"/>
    <x v="1"/>
    <x v="1"/>
    <x v="0"/>
    <x v="0"/>
    <x v="1011"/>
    <x v="0"/>
    <x v="1011"/>
  </r>
  <r>
    <x v="0"/>
    <x v="2"/>
    <x v="1"/>
    <x v="1"/>
    <x v="1"/>
    <x v="1"/>
    <x v="1"/>
    <x v="0"/>
    <x v="1012"/>
    <x v="0"/>
    <x v="1012"/>
  </r>
  <r>
    <x v="0"/>
    <x v="2"/>
    <x v="1"/>
    <x v="1"/>
    <x v="1"/>
    <x v="1"/>
    <x v="2"/>
    <x v="1"/>
    <x v="1013"/>
    <x v="0"/>
    <x v="1013"/>
  </r>
  <r>
    <x v="0"/>
    <x v="2"/>
    <x v="1"/>
    <x v="1"/>
    <x v="1"/>
    <x v="2"/>
    <x v="0"/>
    <x v="0"/>
    <x v="1014"/>
    <x v="0"/>
    <x v="1014"/>
  </r>
  <r>
    <x v="0"/>
    <x v="2"/>
    <x v="1"/>
    <x v="1"/>
    <x v="1"/>
    <x v="2"/>
    <x v="1"/>
    <x v="1"/>
    <x v="1015"/>
    <x v="0"/>
    <x v="1015"/>
  </r>
  <r>
    <x v="0"/>
    <x v="2"/>
    <x v="1"/>
    <x v="1"/>
    <x v="1"/>
    <x v="2"/>
    <x v="2"/>
    <x v="1"/>
    <x v="1016"/>
    <x v="0"/>
    <x v="1016"/>
  </r>
  <r>
    <x v="0"/>
    <x v="2"/>
    <x v="1"/>
    <x v="1"/>
    <x v="2"/>
    <x v="0"/>
    <x v="0"/>
    <x v="0"/>
    <x v="1017"/>
    <x v="0"/>
    <x v="1017"/>
  </r>
  <r>
    <x v="0"/>
    <x v="2"/>
    <x v="1"/>
    <x v="1"/>
    <x v="2"/>
    <x v="0"/>
    <x v="1"/>
    <x v="0"/>
    <x v="1018"/>
    <x v="0"/>
    <x v="1018"/>
  </r>
  <r>
    <x v="0"/>
    <x v="2"/>
    <x v="1"/>
    <x v="1"/>
    <x v="2"/>
    <x v="0"/>
    <x v="2"/>
    <x v="1"/>
    <x v="1019"/>
    <x v="0"/>
    <x v="1019"/>
  </r>
  <r>
    <x v="0"/>
    <x v="2"/>
    <x v="1"/>
    <x v="1"/>
    <x v="2"/>
    <x v="1"/>
    <x v="0"/>
    <x v="0"/>
    <x v="1020"/>
    <x v="0"/>
    <x v="1020"/>
  </r>
  <r>
    <x v="0"/>
    <x v="2"/>
    <x v="1"/>
    <x v="1"/>
    <x v="2"/>
    <x v="1"/>
    <x v="1"/>
    <x v="1"/>
    <x v="1021"/>
    <x v="0"/>
    <x v="1021"/>
  </r>
  <r>
    <x v="0"/>
    <x v="2"/>
    <x v="1"/>
    <x v="1"/>
    <x v="2"/>
    <x v="1"/>
    <x v="2"/>
    <x v="1"/>
    <x v="1022"/>
    <x v="0"/>
    <x v="1022"/>
  </r>
  <r>
    <x v="0"/>
    <x v="2"/>
    <x v="1"/>
    <x v="1"/>
    <x v="2"/>
    <x v="2"/>
    <x v="0"/>
    <x v="0"/>
    <x v="1023"/>
    <x v="0"/>
    <x v="1023"/>
  </r>
  <r>
    <x v="0"/>
    <x v="2"/>
    <x v="1"/>
    <x v="1"/>
    <x v="2"/>
    <x v="2"/>
    <x v="1"/>
    <x v="1"/>
    <x v="1024"/>
    <x v="0"/>
    <x v="1024"/>
  </r>
  <r>
    <x v="0"/>
    <x v="2"/>
    <x v="1"/>
    <x v="1"/>
    <x v="2"/>
    <x v="2"/>
    <x v="2"/>
    <x v="1"/>
    <x v="1025"/>
    <x v="0"/>
    <x v="1025"/>
  </r>
  <r>
    <x v="0"/>
    <x v="2"/>
    <x v="1"/>
    <x v="2"/>
    <x v="0"/>
    <x v="0"/>
    <x v="0"/>
    <x v="0"/>
    <x v="1026"/>
    <x v="0"/>
    <x v="1026"/>
  </r>
  <r>
    <x v="0"/>
    <x v="2"/>
    <x v="1"/>
    <x v="2"/>
    <x v="0"/>
    <x v="0"/>
    <x v="1"/>
    <x v="0"/>
    <x v="1027"/>
    <x v="0"/>
    <x v="1027"/>
  </r>
  <r>
    <x v="0"/>
    <x v="2"/>
    <x v="1"/>
    <x v="2"/>
    <x v="0"/>
    <x v="0"/>
    <x v="2"/>
    <x v="0"/>
    <x v="1028"/>
    <x v="0"/>
    <x v="1028"/>
  </r>
  <r>
    <x v="0"/>
    <x v="2"/>
    <x v="1"/>
    <x v="2"/>
    <x v="0"/>
    <x v="1"/>
    <x v="0"/>
    <x v="0"/>
    <x v="1029"/>
    <x v="0"/>
    <x v="1029"/>
  </r>
  <r>
    <x v="0"/>
    <x v="2"/>
    <x v="1"/>
    <x v="2"/>
    <x v="0"/>
    <x v="1"/>
    <x v="1"/>
    <x v="0"/>
    <x v="1030"/>
    <x v="0"/>
    <x v="1030"/>
  </r>
  <r>
    <x v="0"/>
    <x v="2"/>
    <x v="1"/>
    <x v="2"/>
    <x v="0"/>
    <x v="1"/>
    <x v="2"/>
    <x v="0"/>
    <x v="1031"/>
    <x v="0"/>
    <x v="1031"/>
  </r>
  <r>
    <x v="0"/>
    <x v="2"/>
    <x v="1"/>
    <x v="2"/>
    <x v="0"/>
    <x v="2"/>
    <x v="0"/>
    <x v="0"/>
    <x v="1032"/>
    <x v="0"/>
    <x v="1032"/>
  </r>
  <r>
    <x v="0"/>
    <x v="2"/>
    <x v="1"/>
    <x v="2"/>
    <x v="0"/>
    <x v="2"/>
    <x v="1"/>
    <x v="0"/>
    <x v="1033"/>
    <x v="0"/>
    <x v="1033"/>
  </r>
  <r>
    <x v="0"/>
    <x v="2"/>
    <x v="1"/>
    <x v="2"/>
    <x v="0"/>
    <x v="2"/>
    <x v="2"/>
    <x v="0"/>
    <x v="1034"/>
    <x v="0"/>
    <x v="1034"/>
  </r>
  <r>
    <x v="0"/>
    <x v="2"/>
    <x v="1"/>
    <x v="2"/>
    <x v="1"/>
    <x v="0"/>
    <x v="0"/>
    <x v="0"/>
    <x v="1035"/>
    <x v="0"/>
    <x v="1035"/>
  </r>
  <r>
    <x v="0"/>
    <x v="2"/>
    <x v="1"/>
    <x v="2"/>
    <x v="1"/>
    <x v="0"/>
    <x v="1"/>
    <x v="0"/>
    <x v="1036"/>
    <x v="0"/>
    <x v="1036"/>
  </r>
  <r>
    <x v="0"/>
    <x v="2"/>
    <x v="1"/>
    <x v="2"/>
    <x v="1"/>
    <x v="0"/>
    <x v="2"/>
    <x v="1"/>
    <x v="1037"/>
    <x v="0"/>
    <x v="1037"/>
  </r>
  <r>
    <x v="0"/>
    <x v="2"/>
    <x v="1"/>
    <x v="2"/>
    <x v="1"/>
    <x v="1"/>
    <x v="0"/>
    <x v="0"/>
    <x v="1038"/>
    <x v="0"/>
    <x v="1038"/>
  </r>
  <r>
    <x v="0"/>
    <x v="2"/>
    <x v="1"/>
    <x v="2"/>
    <x v="1"/>
    <x v="1"/>
    <x v="1"/>
    <x v="1"/>
    <x v="1039"/>
    <x v="0"/>
    <x v="1039"/>
  </r>
  <r>
    <x v="0"/>
    <x v="2"/>
    <x v="1"/>
    <x v="2"/>
    <x v="1"/>
    <x v="1"/>
    <x v="2"/>
    <x v="1"/>
    <x v="1040"/>
    <x v="0"/>
    <x v="1040"/>
  </r>
  <r>
    <x v="0"/>
    <x v="2"/>
    <x v="1"/>
    <x v="2"/>
    <x v="1"/>
    <x v="2"/>
    <x v="0"/>
    <x v="0"/>
    <x v="1041"/>
    <x v="0"/>
    <x v="1041"/>
  </r>
  <r>
    <x v="0"/>
    <x v="2"/>
    <x v="1"/>
    <x v="2"/>
    <x v="1"/>
    <x v="2"/>
    <x v="1"/>
    <x v="1"/>
    <x v="1042"/>
    <x v="0"/>
    <x v="1042"/>
  </r>
  <r>
    <x v="0"/>
    <x v="2"/>
    <x v="1"/>
    <x v="2"/>
    <x v="1"/>
    <x v="2"/>
    <x v="2"/>
    <x v="1"/>
    <x v="1043"/>
    <x v="0"/>
    <x v="1043"/>
  </r>
  <r>
    <x v="0"/>
    <x v="2"/>
    <x v="1"/>
    <x v="2"/>
    <x v="2"/>
    <x v="0"/>
    <x v="0"/>
    <x v="0"/>
    <x v="1044"/>
    <x v="0"/>
    <x v="1044"/>
  </r>
  <r>
    <x v="0"/>
    <x v="2"/>
    <x v="1"/>
    <x v="2"/>
    <x v="2"/>
    <x v="0"/>
    <x v="1"/>
    <x v="0"/>
    <x v="1045"/>
    <x v="0"/>
    <x v="1045"/>
  </r>
  <r>
    <x v="0"/>
    <x v="2"/>
    <x v="1"/>
    <x v="2"/>
    <x v="2"/>
    <x v="0"/>
    <x v="2"/>
    <x v="1"/>
    <x v="1046"/>
    <x v="0"/>
    <x v="1046"/>
  </r>
  <r>
    <x v="0"/>
    <x v="2"/>
    <x v="1"/>
    <x v="2"/>
    <x v="2"/>
    <x v="1"/>
    <x v="0"/>
    <x v="0"/>
    <x v="1047"/>
    <x v="0"/>
    <x v="1047"/>
  </r>
  <r>
    <x v="0"/>
    <x v="2"/>
    <x v="1"/>
    <x v="2"/>
    <x v="2"/>
    <x v="1"/>
    <x v="1"/>
    <x v="1"/>
    <x v="1048"/>
    <x v="0"/>
    <x v="1048"/>
  </r>
  <r>
    <x v="0"/>
    <x v="2"/>
    <x v="1"/>
    <x v="2"/>
    <x v="2"/>
    <x v="1"/>
    <x v="2"/>
    <x v="1"/>
    <x v="1049"/>
    <x v="0"/>
    <x v="1049"/>
  </r>
  <r>
    <x v="0"/>
    <x v="2"/>
    <x v="1"/>
    <x v="2"/>
    <x v="2"/>
    <x v="2"/>
    <x v="0"/>
    <x v="0"/>
    <x v="1050"/>
    <x v="0"/>
    <x v="1050"/>
  </r>
  <r>
    <x v="0"/>
    <x v="2"/>
    <x v="1"/>
    <x v="2"/>
    <x v="2"/>
    <x v="2"/>
    <x v="1"/>
    <x v="1"/>
    <x v="1051"/>
    <x v="0"/>
    <x v="1051"/>
  </r>
  <r>
    <x v="0"/>
    <x v="2"/>
    <x v="1"/>
    <x v="2"/>
    <x v="2"/>
    <x v="2"/>
    <x v="2"/>
    <x v="1"/>
    <x v="1052"/>
    <x v="0"/>
    <x v="1052"/>
  </r>
  <r>
    <x v="0"/>
    <x v="2"/>
    <x v="1"/>
    <x v="3"/>
    <x v="0"/>
    <x v="0"/>
    <x v="0"/>
    <x v="0"/>
    <x v="1053"/>
    <x v="0"/>
    <x v="1053"/>
  </r>
  <r>
    <x v="0"/>
    <x v="2"/>
    <x v="1"/>
    <x v="3"/>
    <x v="0"/>
    <x v="0"/>
    <x v="1"/>
    <x v="0"/>
    <x v="1054"/>
    <x v="0"/>
    <x v="1054"/>
  </r>
  <r>
    <x v="0"/>
    <x v="2"/>
    <x v="1"/>
    <x v="3"/>
    <x v="0"/>
    <x v="0"/>
    <x v="2"/>
    <x v="0"/>
    <x v="1055"/>
    <x v="0"/>
    <x v="1055"/>
  </r>
  <r>
    <x v="0"/>
    <x v="2"/>
    <x v="1"/>
    <x v="3"/>
    <x v="0"/>
    <x v="1"/>
    <x v="0"/>
    <x v="0"/>
    <x v="1056"/>
    <x v="0"/>
    <x v="1056"/>
  </r>
  <r>
    <x v="0"/>
    <x v="2"/>
    <x v="1"/>
    <x v="3"/>
    <x v="0"/>
    <x v="1"/>
    <x v="1"/>
    <x v="0"/>
    <x v="1057"/>
    <x v="0"/>
    <x v="1057"/>
  </r>
  <r>
    <x v="0"/>
    <x v="2"/>
    <x v="1"/>
    <x v="3"/>
    <x v="0"/>
    <x v="1"/>
    <x v="2"/>
    <x v="0"/>
    <x v="1058"/>
    <x v="0"/>
    <x v="1058"/>
  </r>
  <r>
    <x v="0"/>
    <x v="2"/>
    <x v="1"/>
    <x v="3"/>
    <x v="0"/>
    <x v="2"/>
    <x v="0"/>
    <x v="0"/>
    <x v="1059"/>
    <x v="0"/>
    <x v="1059"/>
  </r>
  <r>
    <x v="0"/>
    <x v="2"/>
    <x v="1"/>
    <x v="3"/>
    <x v="0"/>
    <x v="2"/>
    <x v="1"/>
    <x v="0"/>
    <x v="1060"/>
    <x v="0"/>
    <x v="1060"/>
  </r>
  <r>
    <x v="0"/>
    <x v="2"/>
    <x v="1"/>
    <x v="3"/>
    <x v="0"/>
    <x v="2"/>
    <x v="2"/>
    <x v="0"/>
    <x v="1061"/>
    <x v="0"/>
    <x v="1061"/>
  </r>
  <r>
    <x v="0"/>
    <x v="2"/>
    <x v="1"/>
    <x v="3"/>
    <x v="1"/>
    <x v="0"/>
    <x v="0"/>
    <x v="0"/>
    <x v="1062"/>
    <x v="0"/>
    <x v="1062"/>
  </r>
  <r>
    <x v="0"/>
    <x v="2"/>
    <x v="1"/>
    <x v="3"/>
    <x v="1"/>
    <x v="0"/>
    <x v="1"/>
    <x v="0"/>
    <x v="1063"/>
    <x v="0"/>
    <x v="1063"/>
  </r>
  <r>
    <x v="0"/>
    <x v="2"/>
    <x v="1"/>
    <x v="3"/>
    <x v="1"/>
    <x v="0"/>
    <x v="2"/>
    <x v="1"/>
    <x v="1064"/>
    <x v="0"/>
    <x v="1064"/>
  </r>
  <r>
    <x v="0"/>
    <x v="2"/>
    <x v="1"/>
    <x v="3"/>
    <x v="1"/>
    <x v="1"/>
    <x v="0"/>
    <x v="0"/>
    <x v="1065"/>
    <x v="0"/>
    <x v="1065"/>
  </r>
  <r>
    <x v="0"/>
    <x v="2"/>
    <x v="1"/>
    <x v="3"/>
    <x v="1"/>
    <x v="1"/>
    <x v="1"/>
    <x v="1"/>
    <x v="1066"/>
    <x v="0"/>
    <x v="1066"/>
  </r>
  <r>
    <x v="0"/>
    <x v="2"/>
    <x v="1"/>
    <x v="3"/>
    <x v="1"/>
    <x v="1"/>
    <x v="2"/>
    <x v="1"/>
    <x v="1067"/>
    <x v="0"/>
    <x v="1067"/>
  </r>
  <r>
    <x v="0"/>
    <x v="2"/>
    <x v="1"/>
    <x v="3"/>
    <x v="1"/>
    <x v="2"/>
    <x v="0"/>
    <x v="0"/>
    <x v="1068"/>
    <x v="0"/>
    <x v="1068"/>
  </r>
  <r>
    <x v="0"/>
    <x v="2"/>
    <x v="1"/>
    <x v="3"/>
    <x v="1"/>
    <x v="2"/>
    <x v="1"/>
    <x v="1"/>
    <x v="1069"/>
    <x v="0"/>
    <x v="1069"/>
  </r>
  <r>
    <x v="0"/>
    <x v="2"/>
    <x v="1"/>
    <x v="3"/>
    <x v="1"/>
    <x v="2"/>
    <x v="2"/>
    <x v="1"/>
    <x v="1070"/>
    <x v="0"/>
    <x v="1070"/>
  </r>
  <r>
    <x v="0"/>
    <x v="2"/>
    <x v="1"/>
    <x v="3"/>
    <x v="2"/>
    <x v="0"/>
    <x v="0"/>
    <x v="0"/>
    <x v="1071"/>
    <x v="0"/>
    <x v="1071"/>
  </r>
  <r>
    <x v="0"/>
    <x v="2"/>
    <x v="1"/>
    <x v="3"/>
    <x v="2"/>
    <x v="0"/>
    <x v="1"/>
    <x v="0"/>
    <x v="1072"/>
    <x v="0"/>
    <x v="1072"/>
  </r>
  <r>
    <x v="0"/>
    <x v="2"/>
    <x v="1"/>
    <x v="3"/>
    <x v="2"/>
    <x v="0"/>
    <x v="2"/>
    <x v="1"/>
    <x v="1073"/>
    <x v="0"/>
    <x v="1073"/>
  </r>
  <r>
    <x v="0"/>
    <x v="2"/>
    <x v="1"/>
    <x v="3"/>
    <x v="2"/>
    <x v="1"/>
    <x v="0"/>
    <x v="0"/>
    <x v="1074"/>
    <x v="0"/>
    <x v="1074"/>
  </r>
  <r>
    <x v="0"/>
    <x v="2"/>
    <x v="1"/>
    <x v="3"/>
    <x v="2"/>
    <x v="1"/>
    <x v="1"/>
    <x v="1"/>
    <x v="1075"/>
    <x v="0"/>
    <x v="1075"/>
  </r>
  <r>
    <x v="0"/>
    <x v="2"/>
    <x v="1"/>
    <x v="3"/>
    <x v="2"/>
    <x v="1"/>
    <x v="2"/>
    <x v="1"/>
    <x v="1076"/>
    <x v="0"/>
    <x v="1076"/>
  </r>
  <r>
    <x v="0"/>
    <x v="2"/>
    <x v="1"/>
    <x v="3"/>
    <x v="2"/>
    <x v="2"/>
    <x v="0"/>
    <x v="0"/>
    <x v="1077"/>
    <x v="0"/>
    <x v="1077"/>
  </r>
  <r>
    <x v="0"/>
    <x v="2"/>
    <x v="1"/>
    <x v="3"/>
    <x v="2"/>
    <x v="2"/>
    <x v="1"/>
    <x v="1"/>
    <x v="1078"/>
    <x v="0"/>
    <x v="1078"/>
  </r>
  <r>
    <x v="0"/>
    <x v="2"/>
    <x v="1"/>
    <x v="3"/>
    <x v="2"/>
    <x v="2"/>
    <x v="2"/>
    <x v="1"/>
    <x v="1079"/>
    <x v="0"/>
    <x v="1079"/>
  </r>
  <r>
    <x v="0"/>
    <x v="2"/>
    <x v="2"/>
    <x v="0"/>
    <x v="0"/>
    <x v="0"/>
    <x v="0"/>
    <x v="0"/>
    <x v="1080"/>
    <x v="0"/>
    <x v="1080"/>
  </r>
  <r>
    <x v="0"/>
    <x v="2"/>
    <x v="2"/>
    <x v="0"/>
    <x v="0"/>
    <x v="0"/>
    <x v="1"/>
    <x v="0"/>
    <x v="1081"/>
    <x v="0"/>
    <x v="1081"/>
  </r>
  <r>
    <x v="0"/>
    <x v="2"/>
    <x v="2"/>
    <x v="0"/>
    <x v="0"/>
    <x v="0"/>
    <x v="2"/>
    <x v="0"/>
    <x v="1082"/>
    <x v="0"/>
    <x v="1082"/>
  </r>
  <r>
    <x v="0"/>
    <x v="2"/>
    <x v="2"/>
    <x v="0"/>
    <x v="0"/>
    <x v="1"/>
    <x v="0"/>
    <x v="0"/>
    <x v="1083"/>
    <x v="0"/>
    <x v="1083"/>
  </r>
  <r>
    <x v="0"/>
    <x v="2"/>
    <x v="2"/>
    <x v="0"/>
    <x v="0"/>
    <x v="1"/>
    <x v="1"/>
    <x v="0"/>
    <x v="1084"/>
    <x v="0"/>
    <x v="1084"/>
  </r>
  <r>
    <x v="0"/>
    <x v="2"/>
    <x v="2"/>
    <x v="0"/>
    <x v="0"/>
    <x v="1"/>
    <x v="2"/>
    <x v="0"/>
    <x v="1085"/>
    <x v="0"/>
    <x v="1085"/>
  </r>
  <r>
    <x v="0"/>
    <x v="2"/>
    <x v="2"/>
    <x v="0"/>
    <x v="0"/>
    <x v="2"/>
    <x v="0"/>
    <x v="0"/>
    <x v="1086"/>
    <x v="0"/>
    <x v="1086"/>
  </r>
  <r>
    <x v="0"/>
    <x v="2"/>
    <x v="2"/>
    <x v="0"/>
    <x v="0"/>
    <x v="2"/>
    <x v="1"/>
    <x v="0"/>
    <x v="1087"/>
    <x v="0"/>
    <x v="1087"/>
  </r>
  <r>
    <x v="0"/>
    <x v="2"/>
    <x v="2"/>
    <x v="0"/>
    <x v="0"/>
    <x v="2"/>
    <x v="2"/>
    <x v="0"/>
    <x v="1088"/>
    <x v="0"/>
    <x v="1088"/>
  </r>
  <r>
    <x v="0"/>
    <x v="2"/>
    <x v="2"/>
    <x v="0"/>
    <x v="1"/>
    <x v="0"/>
    <x v="0"/>
    <x v="0"/>
    <x v="1089"/>
    <x v="0"/>
    <x v="1089"/>
  </r>
  <r>
    <x v="0"/>
    <x v="2"/>
    <x v="2"/>
    <x v="0"/>
    <x v="1"/>
    <x v="0"/>
    <x v="1"/>
    <x v="1"/>
    <x v="1090"/>
    <x v="0"/>
    <x v="1090"/>
  </r>
  <r>
    <x v="0"/>
    <x v="2"/>
    <x v="2"/>
    <x v="0"/>
    <x v="1"/>
    <x v="0"/>
    <x v="2"/>
    <x v="1"/>
    <x v="1091"/>
    <x v="0"/>
    <x v="1091"/>
  </r>
  <r>
    <x v="0"/>
    <x v="2"/>
    <x v="2"/>
    <x v="0"/>
    <x v="1"/>
    <x v="1"/>
    <x v="0"/>
    <x v="0"/>
    <x v="1092"/>
    <x v="0"/>
    <x v="1092"/>
  </r>
  <r>
    <x v="0"/>
    <x v="2"/>
    <x v="2"/>
    <x v="0"/>
    <x v="1"/>
    <x v="1"/>
    <x v="1"/>
    <x v="1"/>
    <x v="1093"/>
    <x v="0"/>
    <x v="1093"/>
  </r>
  <r>
    <x v="0"/>
    <x v="2"/>
    <x v="2"/>
    <x v="0"/>
    <x v="1"/>
    <x v="1"/>
    <x v="2"/>
    <x v="1"/>
    <x v="1094"/>
    <x v="0"/>
    <x v="1094"/>
  </r>
  <r>
    <x v="0"/>
    <x v="2"/>
    <x v="2"/>
    <x v="0"/>
    <x v="1"/>
    <x v="2"/>
    <x v="0"/>
    <x v="0"/>
    <x v="1095"/>
    <x v="0"/>
    <x v="1095"/>
  </r>
  <r>
    <x v="0"/>
    <x v="2"/>
    <x v="2"/>
    <x v="0"/>
    <x v="1"/>
    <x v="2"/>
    <x v="1"/>
    <x v="1"/>
    <x v="1096"/>
    <x v="0"/>
    <x v="1096"/>
  </r>
  <r>
    <x v="0"/>
    <x v="2"/>
    <x v="2"/>
    <x v="0"/>
    <x v="1"/>
    <x v="2"/>
    <x v="2"/>
    <x v="2"/>
    <x v="1097"/>
    <x v="0"/>
    <x v="1097"/>
  </r>
  <r>
    <x v="0"/>
    <x v="2"/>
    <x v="2"/>
    <x v="0"/>
    <x v="2"/>
    <x v="0"/>
    <x v="0"/>
    <x v="0"/>
    <x v="1098"/>
    <x v="0"/>
    <x v="1098"/>
  </r>
  <r>
    <x v="0"/>
    <x v="2"/>
    <x v="2"/>
    <x v="0"/>
    <x v="2"/>
    <x v="0"/>
    <x v="1"/>
    <x v="0"/>
    <x v="1099"/>
    <x v="0"/>
    <x v="1099"/>
  </r>
  <r>
    <x v="0"/>
    <x v="2"/>
    <x v="2"/>
    <x v="0"/>
    <x v="2"/>
    <x v="0"/>
    <x v="2"/>
    <x v="0"/>
    <x v="1100"/>
    <x v="0"/>
    <x v="1100"/>
  </r>
  <r>
    <x v="0"/>
    <x v="2"/>
    <x v="2"/>
    <x v="0"/>
    <x v="2"/>
    <x v="1"/>
    <x v="0"/>
    <x v="0"/>
    <x v="1101"/>
    <x v="0"/>
    <x v="1101"/>
  </r>
  <r>
    <x v="0"/>
    <x v="2"/>
    <x v="2"/>
    <x v="0"/>
    <x v="2"/>
    <x v="1"/>
    <x v="1"/>
    <x v="1"/>
    <x v="1102"/>
    <x v="0"/>
    <x v="1102"/>
  </r>
  <r>
    <x v="0"/>
    <x v="2"/>
    <x v="2"/>
    <x v="0"/>
    <x v="2"/>
    <x v="1"/>
    <x v="2"/>
    <x v="1"/>
    <x v="1103"/>
    <x v="0"/>
    <x v="1103"/>
  </r>
  <r>
    <x v="0"/>
    <x v="2"/>
    <x v="2"/>
    <x v="0"/>
    <x v="2"/>
    <x v="2"/>
    <x v="0"/>
    <x v="0"/>
    <x v="1104"/>
    <x v="0"/>
    <x v="1104"/>
  </r>
  <r>
    <x v="0"/>
    <x v="2"/>
    <x v="2"/>
    <x v="0"/>
    <x v="2"/>
    <x v="2"/>
    <x v="1"/>
    <x v="1"/>
    <x v="1105"/>
    <x v="0"/>
    <x v="1105"/>
  </r>
  <r>
    <x v="0"/>
    <x v="2"/>
    <x v="2"/>
    <x v="0"/>
    <x v="2"/>
    <x v="2"/>
    <x v="2"/>
    <x v="2"/>
    <x v="1106"/>
    <x v="0"/>
    <x v="1106"/>
  </r>
  <r>
    <x v="0"/>
    <x v="2"/>
    <x v="2"/>
    <x v="1"/>
    <x v="0"/>
    <x v="0"/>
    <x v="0"/>
    <x v="0"/>
    <x v="1107"/>
    <x v="0"/>
    <x v="1107"/>
  </r>
  <r>
    <x v="0"/>
    <x v="2"/>
    <x v="2"/>
    <x v="1"/>
    <x v="0"/>
    <x v="0"/>
    <x v="1"/>
    <x v="0"/>
    <x v="1108"/>
    <x v="0"/>
    <x v="1108"/>
  </r>
  <r>
    <x v="0"/>
    <x v="2"/>
    <x v="2"/>
    <x v="1"/>
    <x v="0"/>
    <x v="0"/>
    <x v="2"/>
    <x v="0"/>
    <x v="1109"/>
    <x v="0"/>
    <x v="1109"/>
  </r>
  <r>
    <x v="0"/>
    <x v="2"/>
    <x v="2"/>
    <x v="1"/>
    <x v="0"/>
    <x v="1"/>
    <x v="0"/>
    <x v="0"/>
    <x v="1110"/>
    <x v="0"/>
    <x v="1110"/>
  </r>
  <r>
    <x v="0"/>
    <x v="2"/>
    <x v="2"/>
    <x v="1"/>
    <x v="0"/>
    <x v="1"/>
    <x v="1"/>
    <x v="0"/>
    <x v="1111"/>
    <x v="0"/>
    <x v="1111"/>
  </r>
  <r>
    <x v="0"/>
    <x v="2"/>
    <x v="2"/>
    <x v="1"/>
    <x v="0"/>
    <x v="1"/>
    <x v="2"/>
    <x v="0"/>
    <x v="1112"/>
    <x v="0"/>
    <x v="1112"/>
  </r>
  <r>
    <x v="0"/>
    <x v="2"/>
    <x v="2"/>
    <x v="1"/>
    <x v="0"/>
    <x v="2"/>
    <x v="0"/>
    <x v="0"/>
    <x v="1113"/>
    <x v="0"/>
    <x v="1113"/>
  </r>
  <r>
    <x v="0"/>
    <x v="2"/>
    <x v="2"/>
    <x v="1"/>
    <x v="0"/>
    <x v="2"/>
    <x v="1"/>
    <x v="0"/>
    <x v="1114"/>
    <x v="0"/>
    <x v="1114"/>
  </r>
  <r>
    <x v="0"/>
    <x v="2"/>
    <x v="2"/>
    <x v="1"/>
    <x v="0"/>
    <x v="2"/>
    <x v="2"/>
    <x v="0"/>
    <x v="1115"/>
    <x v="0"/>
    <x v="1115"/>
  </r>
  <r>
    <x v="0"/>
    <x v="2"/>
    <x v="2"/>
    <x v="1"/>
    <x v="1"/>
    <x v="0"/>
    <x v="0"/>
    <x v="0"/>
    <x v="1116"/>
    <x v="0"/>
    <x v="1116"/>
  </r>
  <r>
    <x v="0"/>
    <x v="2"/>
    <x v="2"/>
    <x v="1"/>
    <x v="1"/>
    <x v="0"/>
    <x v="1"/>
    <x v="1"/>
    <x v="1117"/>
    <x v="0"/>
    <x v="1117"/>
  </r>
  <r>
    <x v="0"/>
    <x v="2"/>
    <x v="2"/>
    <x v="1"/>
    <x v="1"/>
    <x v="0"/>
    <x v="2"/>
    <x v="1"/>
    <x v="1118"/>
    <x v="0"/>
    <x v="1118"/>
  </r>
  <r>
    <x v="0"/>
    <x v="2"/>
    <x v="2"/>
    <x v="1"/>
    <x v="1"/>
    <x v="1"/>
    <x v="0"/>
    <x v="0"/>
    <x v="1119"/>
    <x v="0"/>
    <x v="1119"/>
  </r>
  <r>
    <x v="0"/>
    <x v="2"/>
    <x v="2"/>
    <x v="1"/>
    <x v="1"/>
    <x v="1"/>
    <x v="1"/>
    <x v="1"/>
    <x v="1120"/>
    <x v="0"/>
    <x v="1120"/>
  </r>
  <r>
    <x v="0"/>
    <x v="2"/>
    <x v="2"/>
    <x v="1"/>
    <x v="1"/>
    <x v="1"/>
    <x v="2"/>
    <x v="1"/>
    <x v="1121"/>
    <x v="0"/>
    <x v="1121"/>
  </r>
  <r>
    <x v="0"/>
    <x v="2"/>
    <x v="2"/>
    <x v="1"/>
    <x v="1"/>
    <x v="2"/>
    <x v="0"/>
    <x v="0"/>
    <x v="1122"/>
    <x v="0"/>
    <x v="1122"/>
  </r>
  <r>
    <x v="0"/>
    <x v="2"/>
    <x v="2"/>
    <x v="1"/>
    <x v="1"/>
    <x v="2"/>
    <x v="1"/>
    <x v="1"/>
    <x v="1123"/>
    <x v="0"/>
    <x v="1123"/>
  </r>
  <r>
    <x v="0"/>
    <x v="2"/>
    <x v="2"/>
    <x v="1"/>
    <x v="1"/>
    <x v="2"/>
    <x v="2"/>
    <x v="2"/>
    <x v="1124"/>
    <x v="0"/>
    <x v="1124"/>
  </r>
  <r>
    <x v="0"/>
    <x v="2"/>
    <x v="2"/>
    <x v="1"/>
    <x v="2"/>
    <x v="0"/>
    <x v="0"/>
    <x v="0"/>
    <x v="1125"/>
    <x v="0"/>
    <x v="1125"/>
  </r>
  <r>
    <x v="0"/>
    <x v="2"/>
    <x v="2"/>
    <x v="1"/>
    <x v="2"/>
    <x v="0"/>
    <x v="1"/>
    <x v="1"/>
    <x v="1126"/>
    <x v="0"/>
    <x v="1126"/>
  </r>
  <r>
    <x v="0"/>
    <x v="2"/>
    <x v="2"/>
    <x v="1"/>
    <x v="2"/>
    <x v="0"/>
    <x v="2"/>
    <x v="1"/>
    <x v="1127"/>
    <x v="0"/>
    <x v="1127"/>
  </r>
  <r>
    <x v="0"/>
    <x v="2"/>
    <x v="2"/>
    <x v="1"/>
    <x v="2"/>
    <x v="1"/>
    <x v="0"/>
    <x v="0"/>
    <x v="1128"/>
    <x v="0"/>
    <x v="1128"/>
  </r>
  <r>
    <x v="0"/>
    <x v="2"/>
    <x v="2"/>
    <x v="1"/>
    <x v="2"/>
    <x v="1"/>
    <x v="1"/>
    <x v="1"/>
    <x v="1129"/>
    <x v="0"/>
    <x v="1129"/>
  </r>
  <r>
    <x v="0"/>
    <x v="2"/>
    <x v="2"/>
    <x v="1"/>
    <x v="2"/>
    <x v="1"/>
    <x v="2"/>
    <x v="2"/>
    <x v="1130"/>
    <x v="0"/>
    <x v="1130"/>
  </r>
  <r>
    <x v="0"/>
    <x v="2"/>
    <x v="2"/>
    <x v="1"/>
    <x v="2"/>
    <x v="2"/>
    <x v="0"/>
    <x v="0"/>
    <x v="1131"/>
    <x v="0"/>
    <x v="1131"/>
  </r>
  <r>
    <x v="0"/>
    <x v="2"/>
    <x v="2"/>
    <x v="1"/>
    <x v="2"/>
    <x v="2"/>
    <x v="1"/>
    <x v="1"/>
    <x v="1132"/>
    <x v="0"/>
    <x v="1132"/>
  </r>
  <r>
    <x v="0"/>
    <x v="2"/>
    <x v="2"/>
    <x v="1"/>
    <x v="2"/>
    <x v="2"/>
    <x v="2"/>
    <x v="2"/>
    <x v="1133"/>
    <x v="0"/>
    <x v="1133"/>
  </r>
  <r>
    <x v="0"/>
    <x v="2"/>
    <x v="2"/>
    <x v="2"/>
    <x v="0"/>
    <x v="0"/>
    <x v="0"/>
    <x v="0"/>
    <x v="1134"/>
    <x v="0"/>
    <x v="1134"/>
  </r>
  <r>
    <x v="0"/>
    <x v="2"/>
    <x v="2"/>
    <x v="2"/>
    <x v="0"/>
    <x v="0"/>
    <x v="1"/>
    <x v="0"/>
    <x v="1135"/>
    <x v="0"/>
    <x v="1135"/>
  </r>
  <r>
    <x v="0"/>
    <x v="2"/>
    <x v="2"/>
    <x v="2"/>
    <x v="0"/>
    <x v="0"/>
    <x v="2"/>
    <x v="0"/>
    <x v="1136"/>
    <x v="0"/>
    <x v="1136"/>
  </r>
  <r>
    <x v="0"/>
    <x v="2"/>
    <x v="2"/>
    <x v="2"/>
    <x v="0"/>
    <x v="1"/>
    <x v="0"/>
    <x v="0"/>
    <x v="1137"/>
    <x v="0"/>
    <x v="1137"/>
  </r>
  <r>
    <x v="0"/>
    <x v="2"/>
    <x v="2"/>
    <x v="2"/>
    <x v="0"/>
    <x v="1"/>
    <x v="1"/>
    <x v="0"/>
    <x v="1138"/>
    <x v="0"/>
    <x v="1138"/>
  </r>
  <r>
    <x v="0"/>
    <x v="2"/>
    <x v="2"/>
    <x v="2"/>
    <x v="0"/>
    <x v="1"/>
    <x v="2"/>
    <x v="0"/>
    <x v="1139"/>
    <x v="0"/>
    <x v="1139"/>
  </r>
  <r>
    <x v="0"/>
    <x v="2"/>
    <x v="2"/>
    <x v="2"/>
    <x v="0"/>
    <x v="2"/>
    <x v="0"/>
    <x v="0"/>
    <x v="1140"/>
    <x v="0"/>
    <x v="1140"/>
  </r>
  <r>
    <x v="0"/>
    <x v="2"/>
    <x v="2"/>
    <x v="2"/>
    <x v="0"/>
    <x v="2"/>
    <x v="1"/>
    <x v="0"/>
    <x v="1141"/>
    <x v="0"/>
    <x v="1141"/>
  </r>
  <r>
    <x v="0"/>
    <x v="2"/>
    <x v="2"/>
    <x v="2"/>
    <x v="0"/>
    <x v="2"/>
    <x v="2"/>
    <x v="0"/>
    <x v="1142"/>
    <x v="0"/>
    <x v="1142"/>
  </r>
  <r>
    <x v="0"/>
    <x v="2"/>
    <x v="2"/>
    <x v="2"/>
    <x v="1"/>
    <x v="0"/>
    <x v="0"/>
    <x v="0"/>
    <x v="1143"/>
    <x v="0"/>
    <x v="1143"/>
  </r>
  <r>
    <x v="0"/>
    <x v="2"/>
    <x v="2"/>
    <x v="2"/>
    <x v="1"/>
    <x v="0"/>
    <x v="1"/>
    <x v="1"/>
    <x v="1144"/>
    <x v="0"/>
    <x v="1144"/>
  </r>
  <r>
    <x v="0"/>
    <x v="2"/>
    <x v="2"/>
    <x v="2"/>
    <x v="1"/>
    <x v="0"/>
    <x v="2"/>
    <x v="1"/>
    <x v="1145"/>
    <x v="0"/>
    <x v="1145"/>
  </r>
  <r>
    <x v="0"/>
    <x v="2"/>
    <x v="2"/>
    <x v="2"/>
    <x v="1"/>
    <x v="1"/>
    <x v="0"/>
    <x v="0"/>
    <x v="1146"/>
    <x v="0"/>
    <x v="1146"/>
  </r>
  <r>
    <x v="0"/>
    <x v="2"/>
    <x v="2"/>
    <x v="2"/>
    <x v="1"/>
    <x v="1"/>
    <x v="1"/>
    <x v="1"/>
    <x v="1147"/>
    <x v="0"/>
    <x v="1147"/>
  </r>
  <r>
    <x v="0"/>
    <x v="2"/>
    <x v="2"/>
    <x v="2"/>
    <x v="1"/>
    <x v="1"/>
    <x v="2"/>
    <x v="2"/>
    <x v="1148"/>
    <x v="0"/>
    <x v="1148"/>
  </r>
  <r>
    <x v="0"/>
    <x v="2"/>
    <x v="2"/>
    <x v="2"/>
    <x v="1"/>
    <x v="2"/>
    <x v="0"/>
    <x v="0"/>
    <x v="1149"/>
    <x v="0"/>
    <x v="1149"/>
  </r>
  <r>
    <x v="0"/>
    <x v="2"/>
    <x v="2"/>
    <x v="2"/>
    <x v="1"/>
    <x v="2"/>
    <x v="1"/>
    <x v="1"/>
    <x v="1150"/>
    <x v="0"/>
    <x v="1150"/>
  </r>
  <r>
    <x v="0"/>
    <x v="2"/>
    <x v="2"/>
    <x v="2"/>
    <x v="1"/>
    <x v="2"/>
    <x v="2"/>
    <x v="2"/>
    <x v="1151"/>
    <x v="0"/>
    <x v="1151"/>
  </r>
  <r>
    <x v="0"/>
    <x v="2"/>
    <x v="2"/>
    <x v="2"/>
    <x v="2"/>
    <x v="0"/>
    <x v="0"/>
    <x v="0"/>
    <x v="1152"/>
    <x v="0"/>
    <x v="1152"/>
  </r>
  <r>
    <x v="0"/>
    <x v="2"/>
    <x v="2"/>
    <x v="2"/>
    <x v="2"/>
    <x v="0"/>
    <x v="1"/>
    <x v="1"/>
    <x v="1153"/>
    <x v="0"/>
    <x v="1153"/>
  </r>
  <r>
    <x v="0"/>
    <x v="2"/>
    <x v="2"/>
    <x v="2"/>
    <x v="2"/>
    <x v="0"/>
    <x v="2"/>
    <x v="1"/>
    <x v="1154"/>
    <x v="0"/>
    <x v="1154"/>
  </r>
  <r>
    <x v="0"/>
    <x v="2"/>
    <x v="2"/>
    <x v="2"/>
    <x v="2"/>
    <x v="1"/>
    <x v="0"/>
    <x v="0"/>
    <x v="1155"/>
    <x v="0"/>
    <x v="1155"/>
  </r>
  <r>
    <x v="0"/>
    <x v="2"/>
    <x v="2"/>
    <x v="2"/>
    <x v="2"/>
    <x v="1"/>
    <x v="1"/>
    <x v="1"/>
    <x v="1156"/>
    <x v="0"/>
    <x v="1156"/>
  </r>
  <r>
    <x v="0"/>
    <x v="2"/>
    <x v="2"/>
    <x v="2"/>
    <x v="2"/>
    <x v="1"/>
    <x v="2"/>
    <x v="2"/>
    <x v="1157"/>
    <x v="0"/>
    <x v="1157"/>
  </r>
  <r>
    <x v="0"/>
    <x v="2"/>
    <x v="2"/>
    <x v="2"/>
    <x v="2"/>
    <x v="2"/>
    <x v="0"/>
    <x v="0"/>
    <x v="1158"/>
    <x v="0"/>
    <x v="1158"/>
  </r>
  <r>
    <x v="0"/>
    <x v="2"/>
    <x v="2"/>
    <x v="2"/>
    <x v="2"/>
    <x v="2"/>
    <x v="1"/>
    <x v="1"/>
    <x v="1159"/>
    <x v="0"/>
    <x v="1159"/>
  </r>
  <r>
    <x v="0"/>
    <x v="2"/>
    <x v="2"/>
    <x v="2"/>
    <x v="2"/>
    <x v="2"/>
    <x v="2"/>
    <x v="2"/>
    <x v="1160"/>
    <x v="0"/>
    <x v="1160"/>
  </r>
  <r>
    <x v="0"/>
    <x v="2"/>
    <x v="2"/>
    <x v="3"/>
    <x v="0"/>
    <x v="0"/>
    <x v="0"/>
    <x v="0"/>
    <x v="1161"/>
    <x v="0"/>
    <x v="1161"/>
  </r>
  <r>
    <x v="0"/>
    <x v="2"/>
    <x v="2"/>
    <x v="3"/>
    <x v="0"/>
    <x v="0"/>
    <x v="1"/>
    <x v="0"/>
    <x v="1162"/>
    <x v="0"/>
    <x v="1162"/>
  </r>
  <r>
    <x v="0"/>
    <x v="2"/>
    <x v="2"/>
    <x v="3"/>
    <x v="0"/>
    <x v="0"/>
    <x v="2"/>
    <x v="0"/>
    <x v="1163"/>
    <x v="0"/>
    <x v="1163"/>
  </r>
  <r>
    <x v="0"/>
    <x v="2"/>
    <x v="2"/>
    <x v="3"/>
    <x v="0"/>
    <x v="1"/>
    <x v="0"/>
    <x v="0"/>
    <x v="1164"/>
    <x v="0"/>
    <x v="1164"/>
  </r>
  <r>
    <x v="0"/>
    <x v="2"/>
    <x v="2"/>
    <x v="3"/>
    <x v="0"/>
    <x v="1"/>
    <x v="1"/>
    <x v="0"/>
    <x v="1165"/>
    <x v="0"/>
    <x v="1165"/>
  </r>
  <r>
    <x v="0"/>
    <x v="2"/>
    <x v="2"/>
    <x v="3"/>
    <x v="0"/>
    <x v="1"/>
    <x v="2"/>
    <x v="0"/>
    <x v="1166"/>
    <x v="0"/>
    <x v="1166"/>
  </r>
  <r>
    <x v="0"/>
    <x v="2"/>
    <x v="2"/>
    <x v="3"/>
    <x v="0"/>
    <x v="2"/>
    <x v="0"/>
    <x v="0"/>
    <x v="1167"/>
    <x v="0"/>
    <x v="1167"/>
  </r>
  <r>
    <x v="0"/>
    <x v="2"/>
    <x v="2"/>
    <x v="3"/>
    <x v="0"/>
    <x v="2"/>
    <x v="1"/>
    <x v="0"/>
    <x v="1168"/>
    <x v="0"/>
    <x v="1168"/>
  </r>
  <r>
    <x v="0"/>
    <x v="2"/>
    <x v="2"/>
    <x v="3"/>
    <x v="0"/>
    <x v="2"/>
    <x v="2"/>
    <x v="0"/>
    <x v="1169"/>
    <x v="0"/>
    <x v="1169"/>
  </r>
  <r>
    <x v="0"/>
    <x v="2"/>
    <x v="2"/>
    <x v="3"/>
    <x v="1"/>
    <x v="0"/>
    <x v="0"/>
    <x v="0"/>
    <x v="1170"/>
    <x v="0"/>
    <x v="1170"/>
  </r>
  <r>
    <x v="0"/>
    <x v="2"/>
    <x v="2"/>
    <x v="3"/>
    <x v="1"/>
    <x v="0"/>
    <x v="1"/>
    <x v="1"/>
    <x v="1171"/>
    <x v="0"/>
    <x v="1171"/>
  </r>
  <r>
    <x v="0"/>
    <x v="2"/>
    <x v="2"/>
    <x v="3"/>
    <x v="1"/>
    <x v="0"/>
    <x v="2"/>
    <x v="1"/>
    <x v="1172"/>
    <x v="0"/>
    <x v="1172"/>
  </r>
  <r>
    <x v="0"/>
    <x v="2"/>
    <x v="2"/>
    <x v="3"/>
    <x v="1"/>
    <x v="1"/>
    <x v="0"/>
    <x v="0"/>
    <x v="1173"/>
    <x v="0"/>
    <x v="1173"/>
  </r>
  <r>
    <x v="0"/>
    <x v="2"/>
    <x v="2"/>
    <x v="3"/>
    <x v="1"/>
    <x v="1"/>
    <x v="1"/>
    <x v="1"/>
    <x v="1174"/>
    <x v="0"/>
    <x v="1174"/>
  </r>
  <r>
    <x v="0"/>
    <x v="2"/>
    <x v="2"/>
    <x v="3"/>
    <x v="1"/>
    <x v="1"/>
    <x v="2"/>
    <x v="2"/>
    <x v="1175"/>
    <x v="0"/>
    <x v="1175"/>
  </r>
  <r>
    <x v="0"/>
    <x v="2"/>
    <x v="2"/>
    <x v="3"/>
    <x v="1"/>
    <x v="2"/>
    <x v="0"/>
    <x v="0"/>
    <x v="1176"/>
    <x v="0"/>
    <x v="1176"/>
  </r>
  <r>
    <x v="0"/>
    <x v="2"/>
    <x v="2"/>
    <x v="3"/>
    <x v="1"/>
    <x v="2"/>
    <x v="1"/>
    <x v="1"/>
    <x v="1177"/>
    <x v="0"/>
    <x v="1177"/>
  </r>
  <r>
    <x v="0"/>
    <x v="2"/>
    <x v="2"/>
    <x v="3"/>
    <x v="1"/>
    <x v="2"/>
    <x v="2"/>
    <x v="2"/>
    <x v="1178"/>
    <x v="0"/>
    <x v="1178"/>
  </r>
  <r>
    <x v="0"/>
    <x v="2"/>
    <x v="2"/>
    <x v="3"/>
    <x v="2"/>
    <x v="0"/>
    <x v="0"/>
    <x v="0"/>
    <x v="1179"/>
    <x v="0"/>
    <x v="1179"/>
  </r>
  <r>
    <x v="0"/>
    <x v="2"/>
    <x v="2"/>
    <x v="3"/>
    <x v="2"/>
    <x v="0"/>
    <x v="1"/>
    <x v="1"/>
    <x v="1180"/>
    <x v="0"/>
    <x v="1180"/>
  </r>
  <r>
    <x v="0"/>
    <x v="2"/>
    <x v="2"/>
    <x v="3"/>
    <x v="2"/>
    <x v="0"/>
    <x v="2"/>
    <x v="1"/>
    <x v="1181"/>
    <x v="0"/>
    <x v="1181"/>
  </r>
  <r>
    <x v="0"/>
    <x v="2"/>
    <x v="2"/>
    <x v="3"/>
    <x v="2"/>
    <x v="1"/>
    <x v="0"/>
    <x v="0"/>
    <x v="1182"/>
    <x v="0"/>
    <x v="1182"/>
  </r>
  <r>
    <x v="0"/>
    <x v="2"/>
    <x v="2"/>
    <x v="3"/>
    <x v="2"/>
    <x v="1"/>
    <x v="1"/>
    <x v="1"/>
    <x v="1183"/>
    <x v="0"/>
    <x v="1183"/>
  </r>
  <r>
    <x v="0"/>
    <x v="2"/>
    <x v="2"/>
    <x v="3"/>
    <x v="2"/>
    <x v="1"/>
    <x v="2"/>
    <x v="2"/>
    <x v="1184"/>
    <x v="0"/>
    <x v="1184"/>
  </r>
  <r>
    <x v="0"/>
    <x v="2"/>
    <x v="2"/>
    <x v="3"/>
    <x v="2"/>
    <x v="2"/>
    <x v="0"/>
    <x v="0"/>
    <x v="1185"/>
    <x v="0"/>
    <x v="1185"/>
  </r>
  <r>
    <x v="0"/>
    <x v="2"/>
    <x v="2"/>
    <x v="3"/>
    <x v="2"/>
    <x v="2"/>
    <x v="1"/>
    <x v="1"/>
    <x v="1186"/>
    <x v="0"/>
    <x v="1186"/>
  </r>
  <r>
    <x v="0"/>
    <x v="2"/>
    <x v="2"/>
    <x v="3"/>
    <x v="2"/>
    <x v="2"/>
    <x v="2"/>
    <x v="2"/>
    <x v="1187"/>
    <x v="0"/>
    <x v="1187"/>
  </r>
  <r>
    <x v="0"/>
    <x v="2"/>
    <x v="3"/>
    <x v="0"/>
    <x v="0"/>
    <x v="0"/>
    <x v="0"/>
    <x v="0"/>
    <x v="1188"/>
    <x v="0"/>
    <x v="1188"/>
  </r>
  <r>
    <x v="0"/>
    <x v="2"/>
    <x v="3"/>
    <x v="0"/>
    <x v="0"/>
    <x v="0"/>
    <x v="1"/>
    <x v="0"/>
    <x v="1189"/>
    <x v="0"/>
    <x v="1189"/>
  </r>
  <r>
    <x v="0"/>
    <x v="2"/>
    <x v="3"/>
    <x v="0"/>
    <x v="0"/>
    <x v="0"/>
    <x v="2"/>
    <x v="0"/>
    <x v="1190"/>
    <x v="0"/>
    <x v="1190"/>
  </r>
  <r>
    <x v="0"/>
    <x v="2"/>
    <x v="3"/>
    <x v="0"/>
    <x v="0"/>
    <x v="1"/>
    <x v="0"/>
    <x v="0"/>
    <x v="1191"/>
    <x v="0"/>
    <x v="1191"/>
  </r>
  <r>
    <x v="0"/>
    <x v="2"/>
    <x v="3"/>
    <x v="0"/>
    <x v="0"/>
    <x v="1"/>
    <x v="1"/>
    <x v="0"/>
    <x v="1192"/>
    <x v="0"/>
    <x v="1192"/>
  </r>
  <r>
    <x v="0"/>
    <x v="2"/>
    <x v="3"/>
    <x v="0"/>
    <x v="0"/>
    <x v="1"/>
    <x v="2"/>
    <x v="0"/>
    <x v="1193"/>
    <x v="0"/>
    <x v="1193"/>
  </r>
  <r>
    <x v="0"/>
    <x v="2"/>
    <x v="3"/>
    <x v="0"/>
    <x v="0"/>
    <x v="2"/>
    <x v="0"/>
    <x v="0"/>
    <x v="1194"/>
    <x v="0"/>
    <x v="1194"/>
  </r>
  <r>
    <x v="0"/>
    <x v="2"/>
    <x v="3"/>
    <x v="0"/>
    <x v="0"/>
    <x v="2"/>
    <x v="1"/>
    <x v="0"/>
    <x v="1195"/>
    <x v="0"/>
    <x v="1195"/>
  </r>
  <r>
    <x v="0"/>
    <x v="2"/>
    <x v="3"/>
    <x v="0"/>
    <x v="0"/>
    <x v="2"/>
    <x v="2"/>
    <x v="0"/>
    <x v="1196"/>
    <x v="0"/>
    <x v="1196"/>
  </r>
  <r>
    <x v="0"/>
    <x v="2"/>
    <x v="3"/>
    <x v="0"/>
    <x v="1"/>
    <x v="0"/>
    <x v="0"/>
    <x v="0"/>
    <x v="1197"/>
    <x v="0"/>
    <x v="1197"/>
  </r>
  <r>
    <x v="0"/>
    <x v="2"/>
    <x v="3"/>
    <x v="0"/>
    <x v="1"/>
    <x v="0"/>
    <x v="1"/>
    <x v="1"/>
    <x v="1198"/>
    <x v="0"/>
    <x v="1198"/>
  </r>
  <r>
    <x v="0"/>
    <x v="2"/>
    <x v="3"/>
    <x v="0"/>
    <x v="1"/>
    <x v="0"/>
    <x v="2"/>
    <x v="3"/>
    <x v="1199"/>
    <x v="0"/>
    <x v="1199"/>
  </r>
  <r>
    <x v="0"/>
    <x v="2"/>
    <x v="3"/>
    <x v="0"/>
    <x v="1"/>
    <x v="1"/>
    <x v="0"/>
    <x v="0"/>
    <x v="1200"/>
    <x v="0"/>
    <x v="1200"/>
  </r>
  <r>
    <x v="0"/>
    <x v="2"/>
    <x v="3"/>
    <x v="0"/>
    <x v="1"/>
    <x v="1"/>
    <x v="1"/>
    <x v="1"/>
    <x v="1201"/>
    <x v="0"/>
    <x v="1201"/>
  </r>
  <r>
    <x v="0"/>
    <x v="2"/>
    <x v="3"/>
    <x v="0"/>
    <x v="1"/>
    <x v="1"/>
    <x v="2"/>
    <x v="3"/>
    <x v="1202"/>
    <x v="0"/>
    <x v="1202"/>
  </r>
  <r>
    <x v="0"/>
    <x v="2"/>
    <x v="3"/>
    <x v="0"/>
    <x v="1"/>
    <x v="2"/>
    <x v="0"/>
    <x v="0"/>
    <x v="1203"/>
    <x v="0"/>
    <x v="1203"/>
  </r>
  <r>
    <x v="0"/>
    <x v="2"/>
    <x v="3"/>
    <x v="0"/>
    <x v="1"/>
    <x v="2"/>
    <x v="1"/>
    <x v="3"/>
    <x v="1204"/>
    <x v="0"/>
    <x v="1204"/>
  </r>
  <r>
    <x v="0"/>
    <x v="2"/>
    <x v="3"/>
    <x v="0"/>
    <x v="1"/>
    <x v="2"/>
    <x v="2"/>
    <x v="2"/>
    <x v="1205"/>
    <x v="0"/>
    <x v="1205"/>
  </r>
  <r>
    <x v="0"/>
    <x v="2"/>
    <x v="3"/>
    <x v="0"/>
    <x v="2"/>
    <x v="0"/>
    <x v="0"/>
    <x v="0"/>
    <x v="1206"/>
    <x v="0"/>
    <x v="1206"/>
  </r>
  <r>
    <x v="0"/>
    <x v="2"/>
    <x v="3"/>
    <x v="0"/>
    <x v="2"/>
    <x v="0"/>
    <x v="1"/>
    <x v="0"/>
    <x v="1207"/>
    <x v="0"/>
    <x v="1207"/>
  </r>
  <r>
    <x v="0"/>
    <x v="2"/>
    <x v="3"/>
    <x v="0"/>
    <x v="2"/>
    <x v="0"/>
    <x v="2"/>
    <x v="0"/>
    <x v="1208"/>
    <x v="0"/>
    <x v="1208"/>
  </r>
  <r>
    <x v="0"/>
    <x v="2"/>
    <x v="3"/>
    <x v="0"/>
    <x v="2"/>
    <x v="1"/>
    <x v="0"/>
    <x v="0"/>
    <x v="1209"/>
    <x v="0"/>
    <x v="1209"/>
  </r>
  <r>
    <x v="0"/>
    <x v="2"/>
    <x v="3"/>
    <x v="0"/>
    <x v="2"/>
    <x v="1"/>
    <x v="1"/>
    <x v="1"/>
    <x v="1210"/>
    <x v="0"/>
    <x v="1210"/>
  </r>
  <r>
    <x v="0"/>
    <x v="2"/>
    <x v="3"/>
    <x v="0"/>
    <x v="2"/>
    <x v="1"/>
    <x v="2"/>
    <x v="3"/>
    <x v="1211"/>
    <x v="0"/>
    <x v="1211"/>
  </r>
  <r>
    <x v="0"/>
    <x v="2"/>
    <x v="3"/>
    <x v="0"/>
    <x v="2"/>
    <x v="2"/>
    <x v="0"/>
    <x v="0"/>
    <x v="1212"/>
    <x v="0"/>
    <x v="1212"/>
  </r>
  <r>
    <x v="0"/>
    <x v="2"/>
    <x v="3"/>
    <x v="0"/>
    <x v="2"/>
    <x v="2"/>
    <x v="1"/>
    <x v="3"/>
    <x v="1213"/>
    <x v="0"/>
    <x v="1213"/>
  </r>
  <r>
    <x v="0"/>
    <x v="2"/>
    <x v="3"/>
    <x v="0"/>
    <x v="2"/>
    <x v="2"/>
    <x v="2"/>
    <x v="2"/>
    <x v="1214"/>
    <x v="0"/>
    <x v="1214"/>
  </r>
  <r>
    <x v="0"/>
    <x v="2"/>
    <x v="3"/>
    <x v="1"/>
    <x v="0"/>
    <x v="0"/>
    <x v="0"/>
    <x v="0"/>
    <x v="1215"/>
    <x v="0"/>
    <x v="1215"/>
  </r>
  <r>
    <x v="0"/>
    <x v="2"/>
    <x v="3"/>
    <x v="1"/>
    <x v="0"/>
    <x v="0"/>
    <x v="1"/>
    <x v="0"/>
    <x v="1216"/>
    <x v="0"/>
    <x v="1216"/>
  </r>
  <r>
    <x v="0"/>
    <x v="2"/>
    <x v="3"/>
    <x v="1"/>
    <x v="0"/>
    <x v="0"/>
    <x v="2"/>
    <x v="0"/>
    <x v="1217"/>
    <x v="0"/>
    <x v="1217"/>
  </r>
  <r>
    <x v="0"/>
    <x v="2"/>
    <x v="3"/>
    <x v="1"/>
    <x v="0"/>
    <x v="1"/>
    <x v="0"/>
    <x v="0"/>
    <x v="1218"/>
    <x v="0"/>
    <x v="1218"/>
  </r>
  <r>
    <x v="0"/>
    <x v="2"/>
    <x v="3"/>
    <x v="1"/>
    <x v="0"/>
    <x v="1"/>
    <x v="1"/>
    <x v="0"/>
    <x v="1219"/>
    <x v="0"/>
    <x v="1219"/>
  </r>
  <r>
    <x v="0"/>
    <x v="2"/>
    <x v="3"/>
    <x v="1"/>
    <x v="0"/>
    <x v="1"/>
    <x v="2"/>
    <x v="0"/>
    <x v="1220"/>
    <x v="0"/>
    <x v="1220"/>
  </r>
  <r>
    <x v="0"/>
    <x v="2"/>
    <x v="3"/>
    <x v="1"/>
    <x v="0"/>
    <x v="2"/>
    <x v="0"/>
    <x v="0"/>
    <x v="1221"/>
    <x v="0"/>
    <x v="1221"/>
  </r>
  <r>
    <x v="0"/>
    <x v="2"/>
    <x v="3"/>
    <x v="1"/>
    <x v="0"/>
    <x v="2"/>
    <x v="1"/>
    <x v="0"/>
    <x v="1222"/>
    <x v="0"/>
    <x v="1222"/>
  </r>
  <r>
    <x v="0"/>
    <x v="2"/>
    <x v="3"/>
    <x v="1"/>
    <x v="0"/>
    <x v="2"/>
    <x v="2"/>
    <x v="0"/>
    <x v="1223"/>
    <x v="0"/>
    <x v="1223"/>
  </r>
  <r>
    <x v="0"/>
    <x v="2"/>
    <x v="3"/>
    <x v="1"/>
    <x v="1"/>
    <x v="0"/>
    <x v="0"/>
    <x v="0"/>
    <x v="1224"/>
    <x v="0"/>
    <x v="1224"/>
  </r>
  <r>
    <x v="0"/>
    <x v="2"/>
    <x v="3"/>
    <x v="1"/>
    <x v="1"/>
    <x v="0"/>
    <x v="1"/>
    <x v="1"/>
    <x v="1225"/>
    <x v="0"/>
    <x v="1225"/>
  </r>
  <r>
    <x v="0"/>
    <x v="2"/>
    <x v="3"/>
    <x v="1"/>
    <x v="1"/>
    <x v="0"/>
    <x v="2"/>
    <x v="3"/>
    <x v="1226"/>
    <x v="0"/>
    <x v="1226"/>
  </r>
  <r>
    <x v="0"/>
    <x v="2"/>
    <x v="3"/>
    <x v="1"/>
    <x v="1"/>
    <x v="1"/>
    <x v="0"/>
    <x v="0"/>
    <x v="1227"/>
    <x v="0"/>
    <x v="1227"/>
  </r>
  <r>
    <x v="0"/>
    <x v="2"/>
    <x v="3"/>
    <x v="1"/>
    <x v="1"/>
    <x v="1"/>
    <x v="1"/>
    <x v="1"/>
    <x v="1228"/>
    <x v="0"/>
    <x v="1228"/>
  </r>
  <r>
    <x v="0"/>
    <x v="2"/>
    <x v="3"/>
    <x v="1"/>
    <x v="1"/>
    <x v="1"/>
    <x v="2"/>
    <x v="3"/>
    <x v="1229"/>
    <x v="0"/>
    <x v="1229"/>
  </r>
  <r>
    <x v="0"/>
    <x v="2"/>
    <x v="3"/>
    <x v="1"/>
    <x v="1"/>
    <x v="2"/>
    <x v="0"/>
    <x v="0"/>
    <x v="1230"/>
    <x v="0"/>
    <x v="1230"/>
  </r>
  <r>
    <x v="0"/>
    <x v="2"/>
    <x v="3"/>
    <x v="1"/>
    <x v="1"/>
    <x v="2"/>
    <x v="1"/>
    <x v="3"/>
    <x v="1231"/>
    <x v="0"/>
    <x v="1231"/>
  </r>
  <r>
    <x v="0"/>
    <x v="2"/>
    <x v="3"/>
    <x v="1"/>
    <x v="1"/>
    <x v="2"/>
    <x v="2"/>
    <x v="2"/>
    <x v="1232"/>
    <x v="0"/>
    <x v="1232"/>
  </r>
  <r>
    <x v="0"/>
    <x v="2"/>
    <x v="3"/>
    <x v="1"/>
    <x v="2"/>
    <x v="0"/>
    <x v="0"/>
    <x v="0"/>
    <x v="1233"/>
    <x v="0"/>
    <x v="1233"/>
  </r>
  <r>
    <x v="0"/>
    <x v="2"/>
    <x v="3"/>
    <x v="1"/>
    <x v="2"/>
    <x v="0"/>
    <x v="1"/>
    <x v="1"/>
    <x v="1234"/>
    <x v="0"/>
    <x v="1234"/>
  </r>
  <r>
    <x v="0"/>
    <x v="2"/>
    <x v="3"/>
    <x v="1"/>
    <x v="2"/>
    <x v="0"/>
    <x v="2"/>
    <x v="3"/>
    <x v="1235"/>
    <x v="0"/>
    <x v="1235"/>
  </r>
  <r>
    <x v="0"/>
    <x v="2"/>
    <x v="3"/>
    <x v="1"/>
    <x v="2"/>
    <x v="1"/>
    <x v="0"/>
    <x v="0"/>
    <x v="1236"/>
    <x v="0"/>
    <x v="1236"/>
  </r>
  <r>
    <x v="0"/>
    <x v="2"/>
    <x v="3"/>
    <x v="1"/>
    <x v="2"/>
    <x v="1"/>
    <x v="1"/>
    <x v="3"/>
    <x v="1237"/>
    <x v="0"/>
    <x v="1237"/>
  </r>
  <r>
    <x v="0"/>
    <x v="2"/>
    <x v="3"/>
    <x v="1"/>
    <x v="2"/>
    <x v="1"/>
    <x v="2"/>
    <x v="2"/>
    <x v="1238"/>
    <x v="0"/>
    <x v="1238"/>
  </r>
  <r>
    <x v="0"/>
    <x v="2"/>
    <x v="3"/>
    <x v="1"/>
    <x v="2"/>
    <x v="2"/>
    <x v="0"/>
    <x v="0"/>
    <x v="1239"/>
    <x v="0"/>
    <x v="1239"/>
  </r>
  <r>
    <x v="0"/>
    <x v="2"/>
    <x v="3"/>
    <x v="1"/>
    <x v="2"/>
    <x v="2"/>
    <x v="1"/>
    <x v="3"/>
    <x v="1240"/>
    <x v="0"/>
    <x v="1240"/>
  </r>
  <r>
    <x v="0"/>
    <x v="2"/>
    <x v="3"/>
    <x v="1"/>
    <x v="2"/>
    <x v="2"/>
    <x v="2"/>
    <x v="2"/>
    <x v="1241"/>
    <x v="0"/>
    <x v="1241"/>
  </r>
  <r>
    <x v="0"/>
    <x v="2"/>
    <x v="3"/>
    <x v="2"/>
    <x v="0"/>
    <x v="0"/>
    <x v="0"/>
    <x v="0"/>
    <x v="1242"/>
    <x v="0"/>
    <x v="1242"/>
  </r>
  <r>
    <x v="0"/>
    <x v="2"/>
    <x v="3"/>
    <x v="2"/>
    <x v="0"/>
    <x v="0"/>
    <x v="1"/>
    <x v="0"/>
    <x v="1243"/>
    <x v="0"/>
    <x v="1243"/>
  </r>
  <r>
    <x v="0"/>
    <x v="2"/>
    <x v="3"/>
    <x v="2"/>
    <x v="0"/>
    <x v="0"/>
    <x v="2"/>
    <x v="0"/>
    <x v="1244"/>
    <x v="0"/>
    <x v="1244"/>
  </r>
  <r>
    <x v="0"/>
    <x v="2"/>
    <x v="3"/>
    <x v="2"/>
    <x v="0"/>
    <x v="1"/>
    <x v="0"/>
    <x v="0"/>
    <x v="1245"/>
    <x v="0"/>
    <x v="1245"/>
  </r>
  <r>
    <x v="0"/>
    <x v="2"/>
    <x v="3"/>
    <x v="2"/>
    <x v="0"/>
    <x v="1"/>
    <x v="1"/>
    <x v="0"/>
    <x v="1246"/>
    <x v="0"/>
    <x v="1246"/>
  </r>
  <r>
    <x v="0"/>
    <x v="2"/>
    <x v="3"/>
    <x v="2"/>
    <x v="0"/>
    <x v="1"/>
    <x v="2"/>
    <x v="0"/>
    <x v="1247"/>
    <x v="0"/>
    <x v="1247"/>
  </r>
  <r>
    <x v="0"/>
    <x v="2"/>
    <x v="3"/>
    <x v="2"/>
    <x v="0"/>
    <x v="2"/>
    <x v="0"/>
    <x v="0"/>
    <x v="1248"/>
    <x v="0"/>
    <x v="1248"/>
  </r>
  <r>
    <x v="0"/>
    <x v="2"/>
    <x v="3"/>
    <x v="2"/>
    <x v="0"/>
    <x v="2"/>
    <x v="1"/>
    <x v="0"/>
    <x v="1249"/>
    <x v="0"/>
    <x v="1249"/>
  </r>
  <r>
    <x v="0"/>
    <x v="2"/>
    <x v="3"/>
    <x v="2"/>
    <x v="0"/>
    <x v="2"/>
    <x v="2"/>
    <x v="0"/>
    <x v="1250"/>
    <x v="0"/>
    <x v="1250"/>
  </r>
  <r>
    <x v="0"/>
    <x v="2"/>
    <x v="3"/>
    <x v="2"/>
    <x v="1"/>
    <x v="0"/>
    <x v="0"/>
    <x v="0"/>
    <x v="1251"/>
    <x v="0"/>
    <x v="1251"/>
  </r>
  <r>
    <x v="0"/>
    <x v="2"/>
    <x v="3"/>
    <x v="2"/>
    <x v="1"/>
    <x v="0"/>
    <x v="1"/>
    <x v="1"/>
    <x v="1252"/>
    <x v="0"/>
    <x v="1252"/>
  </r>
  <r>
    <x v="0"/>
    <x v="2"/>
    <x v="3"/>
    <x v="2"/>
    <x v="1"/>
    <x v="0"/>
    <x v="2"/>
    <x v="3"/>
    <x v="1253"/>
    <x v="0"/>
    <x v="1253"/>
  </r>
  <r>
    <x v="0"/>
    <x v="2"/>
    <x v="3"/>
    <x v="2"/>
    <x v="1"/>
    <x v="1"/>
    <x v="0"/>
    <x v="0"/>
    <x v="1254"/>
    <x v="0"/>
    <x v="1254"/>
  </r>
  <r>
    <x v="0"/>
    <x v="2"/>
    <x v="3"/>
    <x v="2"/>
    <x v="1"/>
    <x v="1"/>
    <x v="1"/>
    <x v="3"/>
    <x v="1255"/>
    <x v="0"/>
    <x v="1255"/>
  </r>
  <r>
    <x v="0"/>
    <x v="2"/>
    <x v="3"/>
    <x v="2"/>
    <x v="1"/>
    <x v="1"/>
    <x v="2"/>
    <x v="2"/>
    <x v="1256"/>
    <x v="0"/>
    <x v="1256"/>
  </r>
  <r>
    <x v="0"/>
    <x v="2"/>
    <x v="3"/>
    <x v="2"/>
    <x v="1"/>
    <x v="2"/>
    <x v="0"/>
    <x v="0"/>
    <x v="1257"/>
    <x v="0"/>
    <x v="1257"/>
  </r>
  <r>
    <x v="0"/>
    <x v="2"/>
    <x v="3"/>
    <x v="2"/>
    <x v="1"/>
    <x v="2"/>
    <x v="1"/>
    <x v="3"/>
    <x v="1258"/>
    <x v="0"/>
    <x v="1258"/>
  </r>
  <r>
    <x v="0"/>
    <x v="2"/>
    <x v="3"/>
    <x v="2"/>
    <x v="1"/>
    <x v="2"/>
    <x v="2"/>
    <x v="2"/>
    <x v="1259"/>
    <x v="0"/>
    <x v="1259"/>
  </r>
  <r>
    <x v="0"/>
    <x v="2"/>
    <x v="3"/>
    <x v="2"/>
    <x v="2"/>
    <x v="0"/>
    <x v="0"/>
    <x v="0"/>
    <x v="1260"/>
    <x v="0"/>
    <x v="1260"/>
  </r>
  <r>
    <x v="0"/>
    <x v="2"/>
    <x v="3"/>
    <x v="2"/>
    <x v="2"/>
    <x v="0"/>
    <x v="1"/>
    <x v="1"/>
    <x v="1261"/>
    <x v="0"/>
    <x v="1261"/>
  </r>
  <r>
    <x v="0"/>
    <x v="2"/>
    <x v="3"/>
    <x v="2"/>
    <x v="2"/>
    <x v="0"/>
    <x v="2"/>
    <x v="3"/>
    <x v="1262"/>
    <x v="0"/>
    <x v="1262"/>
  </r>
  <r>
    <x v="0"/>
    <x v="2"/>
    <x v="3"/>
    <x v="2"/>
    <x v="2"/>
    <x v="1"/>
    <x v="0"/>
    <x v="0"/>
    <x v="1263"/>
    <x v="0"/>
    <x v="1263"/>
  </r>
  <r>
    <x v="0"/>
    <x v="2"/>
    <x v="3"/>
    <x v="2"/>
    <x v="2"/>
    <x v="1"/>
    <x v="1"/>
    <x v="3"/>
    <x v="1264"/>
    <x v="0"/>
    <x v="1264"/>
  </r>
  <r>
    <x v="0"/>
    <x v="2"/>
    <x v="3"/>
    <x v="2"/>
    <x v="2"/>
    <x v="1"/>
    <x v="2"/>
    <x v="2"/>
    <x v="1265"/>
    <x v="0"/>
    <x v="1265"/>
  </r>
  <r>
    <x v="0"/>
    <x v="2"/>
    <x v="3"/>
    <x v="2"/>
    <x v="2"/>
    <x v="2"/>
    <x v="0"/>
    <x v="0"/>
    <x v="1266"/>
    <x v="0"/>
    <x v="1266"/>
  </r>
  <r>
    <x v="0"/>
    <x v="2"/>
    <x v="3"/>
    <x v="2"/>
    <x v="2"/>
    <x v="2"/>
    <x v="1"/>
    <x v="3"/>
    <x v="1267"/>
    <x v="0"/>
    <x v="1267"/>
  </r>
  <r>
    <x v="0"/>
    <x v="2"/>
    <x v="3"/>
    <x v="2"/>
    <x v="2"/>
    <x v="2"/>
    <x v="2"/>
    <x v="2"/>
    <x v="1268"/>
    <x v="0"/>
    <x v="1268"/>
  </r>
  <r>
    <x v="0"/>
    <x v="2"/>
    <x v="3"/>
    <x v="3"/>
    <x v="0"/>
    <x v="0"/>
    <x v="0"/>
    <x v="0"/>
    <x v="1269"/>
    <x v="0"/>
    <x v="1269"/>
  </r>
  <r>
    <x v="0"/>
    <x v="2"/>
    <x v="3"/>
    <x v="3"/>
    <x v="0"/>
    <x v="0"/>
    <x v="1"/>
    <x v="0"/>
    <x v="1270"/>
    <x v="0"/>
    <x v="1270"/>
  </r>
  <r>
    <x v="0"/>
    <x v="2"/>
    <x v="3"/>
    <x v="3"/>
    <x v="0"/>
    <x v="0"/>
    <x v="2"/>
    <x v="0"/>
    <x v="1271"/>
    <x v="0"/>
    <x v="1271"/>
  </r>
  <r>
    <x v="0"/>
    <x v="2"/>
    <x v="3"/>
    <x v="3"/>
    <x v="0"/>
    <x v="1"/>
    <x v="0"/>
    <x v="0"/>
    <x v="1272"/>
    <x v="0"/>
    <x v="1272"/>
  </r>
  <r>
    <x v="0"/>
    <x v="2"/>
    <x v="3"/>
    <x v="3"/>
    <x v="0"/>
    <x v="1"/>
    <x v="1"/>
    <x v="0"/>
    <x v="1273"/>
    <x v="0"/>
    <x v="1273"/>
  </r>
  <r>
    <x v="0"/>
    <x v="2"/>
    <x v="3"/>
    <x v="3"/>
    <x v="0"/>
    <x v="1"/>
    <x v="2"/>
    <x v="0"/>
    <x v="1274"/>
    <x v="0"/>
    <x v="1274"/>
  </r>
  <r>
    <x v="0"/>
    <x v="2"/>
    <x v="3"/>
    <x v="3"/>
    <x v="0"/>
    <x v="2"/>
    <x v="0"/>
    <x v="0"/>
    <x v="1275"/>
    <x v="0"/>
    <x v="1275"/>
  </r>
  <r>
    <x v="0"/>
    <x v="2"/>
    <x v="3"/>
    <x v="3"/>
    <x v="0"/>
    <x v="2"/>
    <x v="1"/>
    <x v="0"/>
    <x v="1276"/>
    <x v="0"/>
    <x v="1276"/>
  </r>
  <r>
    <x v="0"/>
    <x v="2"/>
    <x v="3"/>
    <x v="3"/>
    <x v="0"/>
    <x v="2"/>
    <x v="2"/>
    <x v="0"/>
    <x v="1277"/>
    <x v="0"/>
    <x v="1277"/>
  </r>
  <r>
    <x v="0"/>
    <x v="2"/>
    <x v="3"/>
    <x v="3"/>
    <x v="1"/>
    <x v="0"/>
    <x v="0"/>
    <x v="0"/>
    <x v="1278"/>
    <x v="0"/>
    <x v="1278"/>
  </r>
  <r>
    <x v="0"/>
    <x v="2"/>
    <x v="3"/>
    <x v="3"/>
    <x v="1"/>
    <x v="0"/>
    <x v="1"/>
    <x v="1"/>
    <x v="1279"/>
    <x v="0"/>
    <x v="1279"/>
  </r>
  <r>
    <x v="0"/>
    <x v="2"/>
    <x v="3"/>
    <x v="3"/>
    <x v="1"/>
    <x v="0"/>
    <x v="2"/>
    <x v="3"/>
    <x v="1280"/>
    <x v="0"/>
    <x v="1280"/>
  </r>
  <r>
    <x v="0"/>
    <x v="2"/>
    <x v="3"/>
    <x v="3"/>
    <x v="1"/>
    <x v="1"/>
    <x v="0"/>
    <x v="0"/>
    <x v="1281"/>
    <x v="0"/>
    <x v="1281"/>
  </r>
  <r>
    <x v="0"/>
    <x v="2"/>
    <x v="3"/>
    <x v="3"/>
    <x v="1"/>
    <x v="1"/>
    <x v="1"/>
    <x v="3"/>
    <x v="1282"/>
    <x v="0"/>
    <x v="1282"/>
  </r>
  <r>
    <x v="0"/>
    <x v="2"/>
    <x v="3"/>
    <x v="3"/>
    <x v="1"/>
    <x v="1"/>
    <x v="2"/>
    <x v="2"/>
    <x v="1283"/>
    <x v="0"/>
    <x v="1283"/>
  </r>
  <r>
    <x v="0"/>
    <x v="2"/>
    <x v="3"/>
    <x v="3"/>
    <x v="1"/>
    <x v="2"/>
    <x v="0"/>
    <x v="0"/>
    <x v="1284"/>
    <x v="0"/>
    <x v="1284"/>
  </r>
  <r>
    <x v="0"/>
    <x v="2"/>
    <x v="3"/>
    <x v="3"/>
    <x v="1"/>
    <x v="2"/>
    <x v="1"/>
    <x v="3"/>
    <x v="1285"/>
    <x v="0"/>
    <x v="1285"/>
  </r>
  <r>
    <x v="0"/>
    <x v="2"/>
    <x v="3"/>
    <x v="3"/>
    <x v="1"/>
    <x v="2"/>
    <x v="2"/>
    <x v="2"/>
    <x v="1286"/>
    <x v="0"/>
    <x v="1286"/>
  </r>
  <r>
    <x v="0"/>
    <x v="2"/>
    <x v="3"/>
    <x v="3"/>
    <x v="2"/>
    <x v="0"/>
    <x v="0"/>
    <x v="0"/>
    <x v="1287"/>
    <x v="0"/>
    <x v="1287"/>
  </r>
  <r>
    <x v="0"/>
    <x v="2"/>
    <x v="3"/>
    <x v="3"/>
    <x v="2"/>
    <x v="0"/>
    <x v="1"/>
    <x v="1"/>
    <x v="1288"/>
    <x v="0"/>
    <x v="1288"/>
  </r>
  <r>
    <x v="0"/>
    <x v="2"/>
    <x v="3"/>
    <x v="3"/>
    <x v="2"/>
    <x v="0"/>
    <x v="2"/>
    <x v="3"/>
    <x v="1289"/>
    <x v="0"/>
    <x v="1289"/>
  </r>
  <r>
    <x v="0"/>
    <x v="2"/>
    <x v="3"/>
    <x v="3"/>
    <x v="2"/>
    <x v="1"/>
    <x v="0"/>
    <x v="0"/>
    <x v="1290"/>
    <x v="0"/>
    <x v="1290"/>
  </r>
  <r>
    <x v="0"/>
    <x v="2"/>
    <x v="3"/>
    <x v="3"/>
    <x v="2"/>
    <x v="1"/>
    <x v="1"/>
    <x v="3"/>
    <x v="1291"/>
    <x v="0"/>
    <x v="1291"/>
  </r>
  <r>
    <x v="0"/>
    <x v="2"/>
    <x v="3"/>
    <x v="3"/>
    <x v="2"/>
    <x v="1"/>
    <x v="2"/>
    <x v="2"/>
    <x v="1292"/>
    <x v="0"/>
    <x v="1292"/>
  </r>
  <r>
    <x v="0"/>
    <x v="2"/>
    <x v="3"/>
    <x v="3"/>
    <x v="2"/>
    <x v="2"/>
    <x v="0"/>
    <x v="0"/>
    <x v="1293"/>
    <x v="0"/>
    <x v="1293"/>
  </r>
  <r>
    <x v="0"/>
    <x v="2"/>
    <x v="3"/>
    <x v="3"/>
    <x v="2"/>
    <x v="2"/>
    <x v="1"/>
    <x v="3"/>
    <x v="1294"/>
    <x v="0"/>
    <x v="1294"/>
  </r>
  <r>
    <x v="0"/>
    <x v="2"/>
    <x v="3"/>
    <x v="3"/>
    <x v="2"/>
    <x v="2"/>
    <x v="2"/>
    <x v="2"/>
    <x v="1295"/>
    <x v="0"/>
    <x v="1295"/>
  </r>
  <r>
    <x v="0"/>
    <x v="3"/>
    <x v="0"/>
    <x v="0"/>
    <x v="0"/>
    <x v="0"/>
    <x v="0"/>
    <x v="0"/>
    <x v="1296"/>
    <x v="0"/>
    <x v="1296"/>
  </r>
  <r>
    <x v="0"/>
    <x v="3"/>
    <x v="0"/>
    <x v="0"/>
    <x v="0"/>
    <x v="0"/>
    <x v="1"/>
    <x v="0"/>
    <x v="1297"/>
    <x v="0"/>
    <x v="1297"/>
  </r>
  <r>
    <x v="0"/>
    <x v="3"/>
    <x v="0"/>
    <x v="0"/>
    <x v="0"/>
    <x v="0"/>
    <x v="2"/>
    <x v="0"/>
    <x v="1298"/>
    <x v="0"/>
    <x v="1298"/>
  </r>
  <r>
    <x v="0"/>
    <x v="3"/>
    <x v="0"/>
    <x v="0"/>
    <x v="0"/>
    <x v="1"/>
    <x v="0"/>
    <x v="0"/>
    <x v="1299"/>
    <x v="0"/>
    <x v="1299"/>
  </r>
  <r>
    <x v="0"/>
    <x v="3"/>
    <x v="0"/>
    <x v="0"/>
    <x v="0"/>
    <x v="1"/>
    <x v="1"/>
    <x v="0"/>
    <x v="1300"/>
    <x v="0"/>
    <x v="1300"/>
  </r>
  <r>
    <x v="0"/>
    <x v="3"/>
    <x v="0"/>
    <x v="0"/>
    <x v="0"/>
    <x v="1"/>
    <x v="2"/>
    <x v="0"/>
    <x v="1301"/>
    <x v="0"/>
    <x v="1301"/>
  </r>
  <r>
    <x v="0"/>
    <x v="3"/>
    <x v="0"/>
    <x v="0"/>
    <x v="0"/>
    <x v="2"/>
    <x v="0"/>
    <x v="0"/>
    <x v="1302"/>
    <x v="0"/>
    <x v="1302"/>
  </r>
  <r>
    <x v="0"/>
    <x v="3"/>
    <x v="0"/>
    <x v="0"/>
    <x v="0"/>
    <x v="2"/>
    <x v="1"/>
    <x v="0"/>
    <x v="1303"/>
    <x v="0"/>
    <x v="1303"/>
  </r>
  <r>
    <x v="0"/>
    <x v="3"/>
    <x v="0"/>
    <x v="0"/>
    <x v="0"/>
    <x v="2"/>
    <x v="2"/>
    <x v="0"/>
    <x v="1304"/>
    <x v="0"/>
    <x v="1304"/>
  </r>
  <r>
    <x v="0"/>
    <x v="3"/>
    <x v="0"/>
    <x v="0"/>
    <x v="1"/>
    <x v="0"/>
    <x v="0"/>
    <x v="0"/>
    <x v="1305"/>
    <x v="0"/>
    <x v="1305"/>
  </r>
  <r>
    <x v="0"/>
    <x v="3"/>
    <x v="0"/>
    <x v="0"/>
    <x v="1"/>
    <x v="0"/>
    <x v="1"/>
    <x v="0"/>
    <x v="1306"/>
    <x v="0"/>
    <x v="1306"/>
  </r>
  <r>
    <x v="0"/>
    <x v="3"/>
    <x v="0"/>
    <x v="0"/>
    <x v="1"/>
    <x v="0"/>
    <x v="2"/>
    <x v="1"/>
    <x v="1307"/>
    <x v="0"/>
    <x v="1307"/>
  </r>
  <r>
    <x v="0"/>
    <x v="3"/>
    <x v="0"/>
    <x v="0"/>
    <x v="1"/>
    <x v="1"/>
    <x v="0"/>
    <x v="0"/>
    <x v="1308"/>
    <x v="0"/>
    <x v="1308"/>
  </r>
  <r>
    <x v="0"/>
    <x v="3"/>
    <x v="0"/>
    <x v="0"/>
    <x v="1"/>
    <x v="1"/>
    <x v="1"/>
    <x v="0"/>
    <x v="1309"/>
    <x v="0"/>
    <x v="1309"/>
  </r>
  <r>
    <x v="0"/>
    <x v="3"/>
    <x v="0"/>
    <x v="0"/>
    <x v="1"/>
    <x v="1"/>
    <x v="2"/>
    <x v="1"/>
    <x v="1310"/>
    <x v="0"/>
    <x v="1310"/>
  </r>
  <r>
    <x v="0"/>
    <x v="3"/>
    <x v="0"/>
    <x v="0"/>
    <x v="1"/>
    <x v="2"/>
    <x v="0"/>
    <x v="0"/>
    <x v="1311"/>
    <x v="0"/>
    <x v="1311"/>
  </r>
  <r>
    <x v="0"/>
    <x v="3"/>
    <x v="0"/>
    <x v="0"/>
    <x v="1"/>
    <x v="2"/>
    <x v="1"/>
    <x v="1"/>
    <x v="1312"/>
    <x v="0"/>
    <x v="1312"/>
  </r>
  <r>
    <x v="0"/>
    <x v="3"/>
    <x v="0"/>
    <x v="0"/>
    <x v="1"/>
    <x v="2"/>
    <x v="2"/>
    <x v="1"/>
    <x v="1313"/>
    <x v="0"/>
    <x v="1313"/>
  </r>
  <r>
    <x v="0"/>
    <x v="3"/>
    <x v="0"/>
    <x v="0"/>
    <x v="2"/>
    <x v="0"/>
    <x v="0"/>
    <x v="0"/>
    <x v="1314"/>
    <x v="0"/>
    <x v="1314"/>
  </r>
  <r>
    <x v="0"/>
    <x v="3"/>
    <x v="0"/>
    <x v="0"/>
    <x v="2"/>
    <x v="0"/>
    <x v="1"/>
    <x v="0"/>
    <x v="1315"/>
    <x v="0"/>
    <x v="1315"/>
  </r>
  <r>
    <x v="0"/>
    <x v="3"/>
    <x v="0"/>
    <x v="0"/>
    <x v="2"/>
    <x v="0"/>
    <x v="2"/>
    <x v="0"/>
    <x v="1316"/>
    <x v="0"/>
    <x v="1316"/>
  </r>
  <r>
    <x v="0"/>
    <x v="3"/>
    <x v="0"/>
    <x v="0"/>
    <x v="2"/>
    <x v="1"/>
    <x v="0"/>
    <x v="0"/>
    <x v="1317"/>
    <x v="0"/>
    <x v="1317"/>
  </r>
  <r>
    <x v="0"/>
    <x v="3"/>
    <x v="0"/>
    <x v="0"/>
    <x v="2"/>
    <x v="1"/>
    <x v="1"/>
    <x v="0"/>
    <x v="1318"/>
    <x v="0"/>
    <x v="1318"/>
  </r>
  <r>
    <x v="0"/>
    <x v="3"/>
    <x v="0"/>
    <x v="0"/>
    <x v="2"/>
    <x v="1"/>
    <x v="2"/>
    <x v="1"/>
    <x v="1319"/>
    <x v="0"/>
    <x v="1319"/>
  </r>
  <r>
    <x v="0"/>
    <x v="3"/>
    <x v="0"/>
    <x v="0"/>
    <x v="2"/>
    <x v="2"/>
    <x v="0"/>
    <x v="0"/>
    <x v="1320"/>
    <x v="0"/>
    <x v="1320"/>
  </r>
  <r>
    <x v="0"/>
    <x v="3"/>
    <x v="0"/>
    <x v="0"/>
    <x v="2"/>
    <x v="2"/>
    <x v="1"/>
    <x v="1"/>
    <x v="1321"/>
    <x v="0"/>
    <x v="1321"/>
  </r>
  <r>
    <x v="0"/>
    <x v="3"/>
    <x v="0"/>
    <x v="0"/>
    <x v="2"/>
    <x v="2"/>
    <x v="2"/>
    <x v="1"/>
    <x v="1322"/>
    <x v="0"/>
    <x v="1322"/>
  </r>
  <r>
    <x v="0"/>
    <x v="3"/>
    <x v="0"/>
    <x v="1"/>
    <x v="0"/>
    <x v="0"/>
    <x v="0"/>
    <x v="0"/>
    <x v="1323"/>
    <x v="0"/>
    <x v="1323"/>
  </r>
  <r>
    <x v="0"/>
    <x v="3"/>
    <x v="0"/>
    <x v="1"/>
    <x v="0"/>
    <x v="0"/>
    <x v="1"/>
    <x v="0"/>
    <x v="1324"/>
    <x v="0"/>
    <x v="1324"/>
  </r>
  <r>
    <x v="0"/>
    <x v="3"/>
    <x v="0"/>
    <x v="1"/>
    <x v="0"/>
    <x v="0"/>
    <x v="2"/>
    <x v="0"/>
    <x v="1325"/>
    <x v="0"/>
    <x v="1325"/>
  </r>
  <r>
    <x v="0"/>
    <x v="3"/>
    <x v="0"/>
    <x v="1"/>
    <x v="0"/>
    <x v="1"/>
    <x v="0"/>
    <x v="0"/>
    <x v="1326"/>
    <x v="0"/>
    <x v="1326"/>
  </r>
  <r>
    <x v="0"/>
    <x v="3"/>
    <x v="0"/>
    <x v="1"/>
    <x v="0"/>
    <x v="1"/>
    <x v="1"/>
    <x v="0"/>
    <x v="1327"/>
    <x v="0"/>
    <x v="1327"/>
  </r>
  <r>
    <x v="0"/>
    <x v="3"/>
    <x v="0"/>
    <x v="1"/>
    <x v="0"/>
    <x v="1"/>
    <x v="2"/>
    <x v="0"/>
    <x v="1328"/>
    <x v="0"/>
    <x v="1328"/>
  </r>
  <r>
    <x v="0"/>
    <x v="3"/>
    <x v="0"/>
    <x v="1"/>
    <x v="0"/>
    <x v="2"/>
    <x v="0"/>
    <x v="0"/>
    <x v="1329"/>
    <x v="0"/>
    <x v="1329"/>
  </r>
  <r>
    <x v="0"/>
    <x v="3"/>
    <x v="0"/>
    <x v="1"/>
    <x v="0"/>
    <x v="2"/>
    <x v="1"/>
    <x v="0"/>
    <x v="1330"/>
    <x v="0"/>
    <x v="1330"/>
  </r>
  <r>
    <x v="0"/>
    <x v="3"/>
    <x v="0"/>
    <x v="1"/>
    <x v="0"/>
    <x v="2"/>
    <x v="2"/>
    <x v="0"/>
    <x v="1331"/>
    <x v="0"/>
    <x v="1331"/>
  </r>
  <r>
    <x v="0"/>
    <x v="3"/>
    <x v="0"/>
    <x v="1"/>
    <x v="1"/>
    <x v="0"/>
    <x v="0"/>
    <x v="0"/>
    <x v="1332"/>
    <x v="0"/>
    <x v="1332"/>
  </r>
  <r>
    <x v="0"/>
    <x v="3"/>
    <x v="0"/>
    <x v="1"/>
    <x v="1"/>
    <x v="0"/>
    <x v="1"/>
    <x v="0"/>
    <x v="1333"/>
    <x v="0"/>
    <x v="1333"/>
  </r>
  <r>
    <x v="0"/>
    <x v="3"/>
    <x v="0"/>
    <x v="1"/>
    <x v="1"/>
    <x v="0"/>
    <x v="2"/>
    <x v="1"/>
    <x v="1334"/>
    <x v="0"/>
    <x v="1334"/>
  </r>
  <r>
    <x v="0"/>
    <x v="3"/>
    <x v="0"/>
    <x v="1"/>
    <x v="1"/>
    <x v="1"/>
    <x v="0"/>
    <x v="0"/>
    <x v="1335"/>
    <x v="0"/>
    <x v="1335"/>
  </r>
  <r>
    <x v="0"/>
    <x v="3"/>
    <x v="0"/>
    <x v="1"/>
    <x v="1"/>
    <x v="1"/>
    <x v="1"/>
    <x v="0"/>
    <x v="1336"/>
    <x v="0"/>
    <x v="1336"/>
  </r>
  <r>
    <x v="0"/>
    <x v="3"/>
    <x v="0"/>
    <x v="1"/>
    <x v="1"/>
    <x v="1"/>
    <x v="2"/>
    <x v="1"/>
    <x v="1337"/>
    <x v="0"/>
    <x v="1337"/>
  </r>
  <r>
    <x v="0"/>
    <x v="3"/>
    <x v="0"/>
    <x v="1"/>
    <x v="1"/>
    <x v="2"/>
    <x v="0"/>
    <x v="0"/>
    <x v="1338"/>
    <x v="0"/>
    <x v="1338"/>
  </r>
  <r>
    <x v="0"/>
    <x v="3"/>
    <x v="0"/>
    <x v="1"/>
    <x v="1"/>
    <x v="2"/>
    <x v="1"/>
    <x v="1"/>
    <x v="1339"/>
    <x v="0"/>
    <x v="1339"/>
  </r>
  <r>
    <x v="0"/>
    <x v="3"/>
    <x v="0"/>
    <x v="1"/>
    <x v="1"/>
    <x v="2"/>
    <x v="2"/>
    <x v="1"/>
    <x v="1340"/>
    <x v="0"/>
    <x v="1340"/>
  </r>
  <r>
    <x v="0"/>
    <x v="3"/>
    <x v="0"/>
    <x v="1"/>
    <x v="2"/>
    <x v="0"/>
    <x v="0"/>
    <x v="0"/>
    <x v="1341"/>
    <x v="0"/>
    <x v="1341"/>
  </r>
  <r>
    <x v="0"/>
    <x v="3"/>
    <x v="0"/>
    <x v="1"/>
    <x v="2"/>
    <x v="0"/>
    <x v="1"/>
    <x v="0"/>
    <x v="1342"/>
    <x v="0"/>
    <x v="1342"/>
  </r>
  <r>
    <x v="0"/>
    <x v="3"/>
    <x v="0"/>
    <x v="1"/>
    <x v="2"/>
    <x v="0"/>
    <x v="2"/>
    <x v="1"/>
    <x v="1343"/>
    <x v="0"/>
    <x v="1343"/>
  </r>
  <r>
    <x v="0"/>
    <x v="3"/>
    <x v="0"/>
    <x v="1"/>
    <x v="2"/>
    <x v="1"/>
    <x v="0"/>
    <x v="0"/>
    <x v="1344"/>
    <x v="0"/>
    <x v="1344"/>
  </r>
  <r>
    <x v="0"/>
    <x v="3"/>
    <x v="0"/>
    <x v="1"/>
    <x v="2"/>
    <x v="1"/>
    <x v="1"/>
    <x v="1"/>
    <x v="1345"/>
    <x v="0"/>
    <x v="1345"/>
  </r>
  <r>
    <x v="0"/>
    <x v="3"/>
    <x v="0"/>
    <x v="1"/>
    <x v="2"/>
    <x v="1"/>
    <x v="2"/>
    <x v="1"/>
    <x v="1346"/>
    <x v="0"/>
    <x v="1346"/>
  </r>
  <r>
    <x v="0"/>
    <x v="3"/>
    <x v="0"/>
    <x v="1"/>
    <x v="2"/>
    <x v="2"/>
    <x v="0"/>
    <x v="0"/>
    <x v="1347"/>
    <x v="0"/>
    <x v="1347"/>
  </r>
  <r>
    <x v="0"/>
    <x v="3"/>
    <x v="0"/>
    <x v="1"/>
    <x v="2"/>
    <x v="2"/>
    <x v="1"/>
    <x v="1"/>
    <x v="1348"/>
    <x v="0"/>
    <x v="1348"/>
  </r>
  <r>
    <x v="0"/>
    <x v="3"/>
    <x v="0"/>
    <x v="1"/>
    <x v="2"/>
    <x v="2"/>
    <x v="2"/>
    <x v="1"/>
    <x v="1349"/>
    <x v="0"/>
    <x v="1349"/>
  </r>
  <r>
    <x v="0"/>
    <x v="3"/>
    <x v="0"/>
    <x v="2"/>
    <x v="0"/>
    <x v="0"/>
    <x v="0"/>
    <x v="0"/>
    <x v="1350"/>
    <x v="0"/>
    <x v="1350"/>
  </r>
  <r>
    <x v="0"/>
    <x v="3"/>
    <x v="0"/>
    <x v="2"/>
    <x v="0"/>
    <x v="0"/>
    <x v="1"/>
    <x v="0"/>
    <x v="1351"/>
    <x v="0"/>
    <x v="1351"/>
  </r>
  <r>
    <x v="0"/>
    <x v="3"/>
    <x v="0"/>
    <x v="2"/>
    <x v="0"/>
    <x v="0"/>
    <x v="2"/>
    <x v="0"/>
    <x v="1352"/>
    <x v="0"/>
    <x v="1352"/>
  </r>
  <r>
    <x v="0"/>
    <x v="3"/>
    <x v="0"/>
    <x v="2"/>
    <x v="0"/>
    <x v="1"/>
    <x v="0"/>
    <x v="0"/>
    <x v="1353"/>
    <x v="0"/>
    <x v="1353"/>
  </r>
  <r>
    <x v="0"/>
    <x v="3"/>
    <x v="0"/>
    <x v="2"/>
    <x v="0"/>
    <x v="1"/>
    <x v="1"/>
    <x v="0"/>
    <x v="1354"/>
    <x v="0"/>
    <x v="1354"/>
  </r>
  <r>
    <x v="0"/>
    <x v="3"/>
    <x v="0"/>
    <x v="2"/>
    <x v="0"/>
    <x v="1"/>
    <x v="2"/>
    <x v="0"/>
    <x v="1355"/>
    <x v="0"/>
    <x v="1355"/>
  </r>
  <r>
    <x v="0"/>
    <x v="3"/>
    <x v="0"/>
    <x v="2"/>
    <x v="0"/>
    <x v="2"/>
    <x v="0"/>
    <x v="0"/>
    <x v="1356"/>
    <x v="0"/>
    <x v="1356"/>
  </r>
  <r>
    <x v="0"/>
    <x v="3"/>
    <x v="0"/>
    <x v="2"/>
    <x v="0"/>
    <x v="2"/>
    <x v="1"/>
    <x v="0"/>
    <x v="1357"/>
    <x v="0"/>
    <x v="1357"/>
  </r>
  <r>
    <x v="0"/>
    <x v="3"/>
    <x v="0"/>
    <x v="2"/>
    <x v="0"/>
    <x v="2"/>
    <x v="2"/>
    <x v="0"/>
    <x v="1358"/>
    <x v="0"/>
    <x v="1358"/>
  </r>
  <r>
    <x v="0"/>
    <x v="3"/>
    <x v="0"/>
    <x v="2"/>
    <x v="1"/>
    <x v="0"/>
    <x v="0"/>
    <x v="0"/>
    <x v="1359"/>
    <x v="0"/>
    <x v="1359"/>
  </r>
  <r>
    <x v="0"/>
    <x v="3"/>
    <x v="0"/>
    <x v="2"/>
    <x v="1"/>
    <x v="0"/>
    <x v="1"/>
    <x v="0"/>
    <x v="1360"/>
    <x v="0"/>
    <x v="1360"/>
  </r>
  <r>
    <x v="0"/>
    <x v="3"/>
    <x v="0"/>
    <x v="2"/>
    <x v="1"/>
    <x v="0"/>
    <x v="2"/>
    <x v="1"/>
    <x v="1361"/>
    <x v="0"/>
    <x v="1361"/>
  </r>
  <r>
    <x v="0"/>
    <x v="3"/>
    <x v="0"/>
    <x v="2"/>
    <x v="1"/>
    <x v="1"/>
    <x v="0"/>
    <x v="0"/>
    <x v="1362"/>
    <x v="0"/>
    <x v="1362"/>
  </r>
  <r>
    <x v="0"/>
    <x v="3"/>
    <x v="0"/>
    <x v="2"/>
    <x v="1"/>
    <x v="1"/>
    <x v="1"/>
    <x v="1"/>
    <x v="1363"/>
    <x v="0"/>
    <x v="1363"/>
  </r>
  <r>
    <x v="0"/>
    <x v="3"/>
    <x v="0"/>
    <x v="2"/>
    <x v="1"/>
    <x v="1"/>
    <x v="2"/>
    <x v="1"/>
    <x v="1364"/>
    <x v="0"/>
    <x v="1364"/>
  </r>
  <r>
    <x v="0"/>
    <x v="3"/>
    <x v="0"/>
    <x v="2"/>
    <x v="1"/>
    <x v="2"/>
    <x v="0"/>
    <x v="0"/>
    <x v="1365"/>
    <x v="0"/>
    <x v="1365"/>
  </r>
  <r>
    <x v="0"/>
    <x v="3"/>
    <x v="0"/>
    <x v="2"/>
    <x v="1"/>
    <x v="2"/>
    <x v="1"/>
    <x v="1"/>
    <x v="1366"/>
    <x v="0"/>
    <x v="1366"/>
  </r>
  <r>
    <x v="0"/>
    <x v="3"/>
    <x v="0"/>
    <x v="2"/>
    <x v="1"/>
    <x v="2"/>
    <x v="2"/>
    <x v="1"/>
    <x v="1367"/>
    <x v="0"/>
    <x v="1367"/>
  </r>
  <r>
    <x v="0"/>
    <x v="3"/>
    <x v="0"/>
    <x v="2"/>
    <x v="2"/>
    <x v="0"/>
    <x v="0"/>
    <x v="0"/>
    <x v="1368"/>
    <x v="0"/>
    <x v="1368"/>
  </r>
  <r>
    <x v="0"/>
    <x v="3"/>
    <x v="0"/>
    <x v="2"/>
    <x v="2"/>
    <x v="0"/>
    <x v="1"/>
    <x v="0"/>
    <x v="1369"/>
    <x v="0"/>
    <x v="1369"/>
  </r>
  <r>
    <x v="0"/>
    <x v="3"/>
    <x v="0"/>
    <x v="2"/>
    <x v="2"/>
    <x v="0"/>
    <x v="2"/>
    <x v="1"/>
    <x v="1370"/>
    <x v="0"/>
    <x v="1370"/>
  </r>
  <r>
    <x v="0"/>
    <x v="3"/>
    <x v="0"/>
    <x v="2"/>
    <x v="2"/>
    <x v="1"/>
    <x v="0"/>
    <x v="0"/>
    <x v="1371"/>
    <x v="0"/>
    <x v="1371"/>
  </r>
  <r>
    <x v="0"/>
    <x v="3"/>
    <x v="0"/>
    <x v="2"/>
    <x v="2"/>
    <x v="1"/>
    <x v="1"/>
    <x v="1"/>
    <x v="1372"/>
    <x v="0"/>
    <x v="1372"/>
  </r>
  <r>
    <x v="0"/>
    <x v="3"/>
    <x v="0"/>
    <x v="2"/>
    <x v="2"/>
    <x v="1"/>
    <x v="2"/>
    <x v="1"/>
    <x v="1373"/>
    <x v="0"/>
    <x v="1373"/>
  </r>
  <r>
    <x v="0"/>
    <x v="3"/>
    <x v="0"/>
    <x v="2"/>
    <x v="2"/>
    <x v="2"/>
    <x v="0"/>
    <x v="0"/>
    <x v="1374"/>
    <x v="0"/>
    <x v="1374"/>
  </r>
  <r>
    <x v="0"/>
    <x v="3"/>
    <x v="0"/>
    <x v="2"/>
    <x v="2"/>
    <x v="2"/>
    <x v="1"/>
    <x v="1"/>
    <x v="1375"/>
    <x v="0"/>
    <x v="1375"/>
  </r>
  <r>
    <x v="0"/>
    <x v="3"/>
    <x v="0"/>
    <x v="2"/>
    <x v="2"/>
    <x v="2"/>
    <x v="2"/>
    <x v="1"/>
    <x v="1376"/>
    <x v="0"/>
    <x v="1376"/>
  </r>
  <r>
    <x v="0"/>
    <x v="3"/>
    <x v="0"/>
    <x v="3"/>
    <x v="0"/>
    <x v="0"/>
    <x v="0"/>
    <x v="0"/>
    <x v="1377"/>
    <x v="0"/>
    <x v="1377"/>
  </r>
  <r>
    <x v="0"/>
    <x v="3"/>
    <x v="0"/>
    <x v="3"/>
    <x v="0"/>
    <x v="0"/>
    <x v="1"/>
    <x v="0"/>
    <x v="1378"/>
    <x v="0"/>
    <x v="1378"/>
  </r>
  <r>
    <x v="0"/>
    <x v="3"/>
    <x v="0"/>
    <x v="3"/>
    <x v="0"/>
    <x v="0"/>
    <x v="2"/>
    <x v="0"/>
    <x v="1379"/>
    <x v="0"/>
    <x v="1379"/>
  </r>
  <r>
    <x v="0"/>
    <x v="3"/>
    <x v="0"/>
    <x v="3"/>
    <x v="0"/>
    <x v="1"/>
    <x v="0"/>
    <x v="0"/>
    <x v="1380"/>
    <x v="0"/>
    <x v="1380"/>
  </r>
  <r>
    <x v="0"/>
    <x v="3"/>
    <x v="0"/>
    <x v="3"/>
    <x v="0"/>
    <x v="1"/>
    <x v="1"/>
    <x v="0"/>
    <x v="1381"/>
    <x v="0"/>
    <x v="1381"/>
  </r>
  <r>
    <x v="0"/>
    <x v="3"/>
    <x v="0"/>
    <x v="3"/>
    <x v="0"/>
    <x v="1"/>
    <x v="2"/>
    <x v="0"/>
    <x v="1382"/>
    <x v="0"/>
    <x v="1382"/>
  </r>
  <r>
    <x v="0"/>
    <x v="3"/>
    <x v="0"/>
    <x v="3"/>
    <x v="0"/>
    <x v="2"/>
    <x v="0"/>
    <x v="0"/>
    <x v="1383"/>
    <x v="0"/>
    <x v="1383"/>
  </r>
  <r>
    <x v="0"/>
    <x v="3"/>
    <x v="0"/>
    <x v="3"/>
    <x v="0"/>
    <x v="2"/>
    <x v="1"/>
    <x v="0"/>
    <x v="1384"/>
    <x v="0"/>
    <x v="1384"/>
  </r>
  <r>
    <x v="0"/>
    <x v="3"/>
    <x v="0"/>
    <x v="3"/>
    <x v="0"/>
    <x v="2"/>
    <x v="2"/>
    <x v="0"/>
    <x v="1385"/>
    <x v="0"/>
    <x v="1385"/>
  </r>
  <r>
    <x v="0"/>
    <x v="3"/>
    <x v="0"/>
    <x v="3"/>
    <x v="1"/>
    <x v="0"/>
    <x v="0"/>
    <x v="0"/>
    <x v="1386"/>
    <x v="0"/>
    <x v="1386"/>
  </r>
  <r>
    <x v="0"/>
    <x v="3"/>
    <x v="0"/>
    <x v="3"/>
    <x v="1"/>
    <x v="0"/>
    <x v="1"/>
    <x v="0"/>
    <x v="1387"/>
    <x v="0"/>
    <x v="1387"/>
  </r>
  <r>
    <x v="0"/>
    <x v="3"/>
    <x v="0"/>
    <x v="3"/>
    <x v="1"/>
    <x v="0"/>
    <x v="2"/>
    <x v="1"/>
    <x v="1388"/>
    <x v="0"/>
    <x v="1388"/>
  </r>
  <r>
    <x v="0"/>
    <x v="3"/>
    <x v="0"/>
    <x v="3"/>
    <x v="1"/>
    <x v="1"/>
    <x v="0"/>
    <x v="0"/>
    <x v="1389"/>
    <x v="0"/>
    <x v="1389"/>
  </r>
  <r>
    <x v="0"/>
    <x v="3"/>
    <x v="0"/>
    <x v="3"/>
    <x v="1"/>
    <x v="1"/>
    <x v="1"/>
    <x v="1"/>
    <x v="1390"/>
    <x v="0"/>
    <x v="1390"/>
  </r>
  <r>
    <x v="0"/>
    <x v="3"/>
    <x v="0"/>
    <x v="3"/>
    <x v="1"/>
    <x v="1"/>
    <x v="2"/>
    <x v="1"/>
    <x v="1391"/>
    <x v="0"/>
    <x v="1391"/>
  </r>
  <r>
    <x v="0"/>
    <x v="3"/>
    <x v="0"/>
    <x v="3"/>
    <x v="1"/>
    <x v="2"/>
    <x v="0"/>
    <x v="0"/>
    <x v="1392"/>
    <x v="0"/>
    <x v="1392"/>
  </r>
  <r>
    <x v="0"/>
    <x v="3"/>
    <x v="0"/>
    <x v="3"/>
    <x v="1"/>
    <x v="2"/>
    <x v="1"/>
    <x v="1"/>
    <x v="1393"/>
    <x v="0"/>
    <x v="1393"/>
  </r>
  <r>
    <x v="0"/>
    <x v="3"/>
    <x v="0"/>
    <x v="3"/>
    <x v="1"/>
    <x v="2"/>
    <x v="2"/>
    <x v="1"/>
    <x v="1394"/>
    <x v="0"/>
    <x v="1394"/>
  </r>
  <r>
    <x v="0"/>
    <x v="3"/>
    <x v="0"/>
    <x v="3"/>
    <x v="2"/>
    <x v="0"/>
    <x v="0"/>
    <x v="0"/>
    <x v="1395"/>
    <x v="0"/>
    <x v="1395"/>
  </r>
  <r>
    <x v="0"/>
    <x v="3"/>
    <x v="0"/>
    <x v="3"/>
    <x v="2"/>
    <x v="0"/>
    <x v="1"/>
    <x v="0"/>
    <x v="1396"/>
    <x v="0"/>
    <x v="1396"/>
  </r>
  <r>
    <x v="0"/>
    <x v="3"/>
    <x v="0"/>
    <x v="3"/>
    <x v="2"/>
    <x v="0"/>
    <x v="2"/>
    <x v="1"/>
    <x v="1397"/>
    <x v="0"/>
    <x v="1397"/>
  </r>
  <r>
    <x v="0"/>
    <x v="3"/>
    <x v="0"/>
    <x v="3"/>
    <x v="2"/>
    <x v="1"/>
    <x v="0"/>
    <x v="0"/>
    <x v="1398"/>
    <x v="0"/>
    <x v="1398"/>
  </r>
  <r>
    <x v="0"/>
    <x v="3"/>
    <x v="0"/>
    <x v="3"/>
    <x v="2"/>
    <x v="1"/>
    <x v="1"/>
    <x v="1"/>
    <x v="1399"/>
    <x v="0"/>
    <x v="1399"/>
  </r>
  <r>
    <x v="0"/>
    <x v="3"/>
    <x v="0"/>
    <x v="3"/>
    <x v="2"/>
    <x v="1"/>
    <x v="2"/>
    <x v="1"/>
    <x v="1400"/>
    <x v="0"/>
    <x v="1400"/>
  </r>
  <r>
    <x v="0"/>
    <x v="3"/>
    <x v="0"/>
    <x v="3"/>
    <x v="2"/>
    <x v="2"/>
    <x v="0"/>
    <x v="0"/>
    <x v="1401"/>
    <x v="0"/>
    <x v="1401"/>
  </r>
  <r>
    <x v="0"/>
    <x v="3"/>
    <x v="0"/>
    <x v="3"/>
    <x v="2"/>
    <x v="2"/>
    <x v="1"/>
    <x v="1"/>
    <x v="1402"/>
    <x v="0"/>
    <x v="1402"/>
  </r>
  <r>
    <x v="0"/>
    <x v="3"/>
    <x v="0"/>
    <x v="3"/>
    <x v="2"/>
    <x v="2"/>
    <x v="2"/>
    <x v="1"/>
    <x v="1403"/>
    <x v="0"/>
    <x v="1403"/>
  </r>
  <r>
    <x v="0"/>
    <x v="3"/>
    <x v="1"/>
    <x v="0"/>
    <x v="0"/>
    <x v="0"/>
    <x v="0"/>
    <x v="0"/>
    <x v="1404"/>
    <x v="0"/>
    <x v="1404"/>
  </r>
  <r>
    <x v="0"/>
    <x v="3"/>
    <x v="1"/>
    <x v="0"/>
    <x v="0"/>
    <x v="0"/>
    <x v="1"/>
    <x v="0"/>
    <x v="1405"/>
    <x v="0"/>
    <x v="1405"/>
  </r>
  <r>
    <x v="0"/>
    <x v="3"/>
    <x v="1"/>
    <x v="0"/>
    <x v="0"/>
    <x v="0"/>
    <x v="2"/>
    <x v="0"/>
    <x v="1406"/>
    <x v="0"/>
    <x v="1406"/>
  </r>
  <r>
    <x v="0"/>
    <x v="3"/>
    <x v="1"/>
    <x v="0"/>
    <x v="0"/>
    <x v="1"/>
    <x v="0"/>
    <x v="0"/>
    <x v="1407"/>
    <x v="0"/>
    <x v="1407"/>
  </r>
  <r>
    <x v="0"/>
    <x v="3"/>
    <x v="1"/>
    <x v="0"/>
    <x v="0"/>
    <x v="1"/>
    <x v="1"/>
    <x v="0"/>
    <x v="1408"/>
    <x v="0"/>
    <x v="1408"/>
  </r>
  <r>
    <x v="0"/>
    <x v="3"/>
    <x v="1"/>
    <x v="0"/>
    <x v="0"/>
    <x v="1"/>
    <x v="2"/>
    <x v="0"/>
    <x v="1409"/>
    <x v="0"/>
    <x v="1409"/>
  </r>
  <r>
    <x v="0"/>
    <x v="3"/>
    <x v="1"/>
    <x v="0"/>
    <x v="0"/>
    <x v="2"/>
    <x v="0"/>
    <x v="0"/>
    <x v="1410"/>
    <x v="0"/>
    <x v="1410"/>
  </r>
  <r>
    <x v="0"/>
    <x v="3"/>
    <x v="1"/>
    <x v="0"/>
    <x v="0"/>
    <x v="2"/>
    <x v="1"/>
    <x v="0"/>
    <x v="1411"/>
    <x v="0"/>
    <x v="1411"/>
  </r>
  <r>
    <x v="0"/>
    <x v="3"/>
    <x v="1"/>
    <x v="0"/>
    <x v="0"/>
    <x v="2"/>
    <x v="2"/>
    <x v="0"/>
    <x v="1412"/>
    <x v="0"/>
    <x v="1412"/>
  </r>
  <r>
    <x v="0"/>
    <x v="3"/>
    <x v="1"/>
    <x v="0"/>
    <x v="1"/>
    <x v="0"/>
    <x v="0"/>
    <x v="0"/>
    <x v="1413"/>
    <x v="0"/>
    <x v="1413"/>
  </r>
  <r>
    <x v="0"/>
    <x v="3"/>
    <x v="1"/>
    <x v="0"/>
    <x v="1"/>
    <x v="0"/>
    <x v="1"/>
    <x v="1"/>
    <x v="1414"/>
    <x v="0"/>
    <x v="1414"/>
  </r>
  <r>
    <x v="0"/>
    <x v="3"/>
    <x v="1"/>
    <x v="0"/>
    <x v="1"/>
    <x v="0"/>
    <x v="2"/>
    <x v="1"/>
    <x v="1415"/>
    <x v="0"/>
    <x v="1415"/>
  </r>
  <r>
    <x v="0"/>
    <x v="3"/>
    <x v="1"/>
    <x v="0"/>
    <x v="1"/>
    <x v="1"/>
    <x v="0"/>
    <x v="0"/>
    <x v="1416"/>
    <x v="0"/>
    <x v="1416"/>
  </r>
  <r>
    <x v="0"/>
    <x v="3"/>
    <x v="1"/>
    <x v="0"/>
    <x v="1"/>
    <x v="1"/>
    <x v="1"/>
    <x v="1"/>
    <x v="1417"/>
    <x v="0"/>
    <x v="1417"/>
  </r>
  <r>
    <x v="0"/>
    <x v="3"/>
    <x v="1"/>
    <x v="0"/>
    <x v="1"/>
    <x v="1"/>
    <x v="2"/>
    <x v="1"/>
    <x v="1418"/>
    <x v="0"/>
    <x v="1418"/>
  </r>
  <r>
    <x v="0"/>
    <x v="3"/>
    <x v="1"/>
    <x v="0"/>
    <x v="1"/>
    <x v="2"/>
    <x v="0"/>
    <x v="0"/>
    <x v="1419"/>
    <x v="0"/>
    <x v="1419"/>
  </r>
  <r>
    <x v="0"/>
    <x v="3"/>
    <x v="1"/>
    <x v="0"/>
    <x v="1"/>
    <x v="2"/>
    <x v="1"/>
    <x v="1"/>
    <x v="1420"/>
    <x v="0"/>
    <x v="1420"/>
  </r>
  <r>
    <x v="0"/>
    <x v="3"/>
    <x v="1"/>
    <x v="0"/>
    <x v="1"/>
    <x v="2"/>
    <x v="2"/>
    <x v="2"/>
    <x v="1421"/>
    <x v="0"/>
    <x v="1421"/>
  </r>
  <r>
    <x v="0"/>
    <x v="3"/>
    <x v="1"/>
    <x v="0"/>
    <x v="2"/>
    <x v="0"/>
    <x v="0"/>
    <x v="0"/>
    <x v="1422"/>
    <x v="0"/>
    <x v="1422"/>
  </r>
  <r>
    <x v="0"/>
    <x v="3"/>
    <x v="1"/>
    <x v="0"/>
    <x v="2"/>
    <x v="0"/>
    <x v="1"/>
    <x v="0"/>
    <x v="1423"/>
    <x v="0"/>
    <x v="1423"/>
  </r>
  <r>
    <x v="0"/>
    <x v="3"/>
    <x v="1"/>
    <x v="0"/>
    <x v="2"/>
    <x v="0"/>
    <x v="2"/>
    <x v="0"/>
    <x v="1424"/>
    <x v="0"/>
    <x v="1424"/>
  </r>
  <r>
    <x v="0"/>
    <x v="3"/>
    <x v="1"/>
    <x v="0"/>
    <x v="2"/>
    <x v="1"/>
    <x v="0"/>
    <x v="0"/>
    <x v="1425"/>
    <x v="0"/>
    <x v="1425"/>
  </r>
  <r>
    <x v="0"/>
    <x v="3"/>
    <x v="1"/>
    <x v="0"/>
    <x v="2"/>
    <x v="1"/>
    <x v="1"/>
    <x v="1"/>
    <x v="1426"/>
    <x v="0"/>
    <x v="1426"/>
  </r>
  <r>
    <x v="0"/>
    <x v="3"/>
    <x v="1"/>
    <x v="0"/>
    <x v="2"/>
    <x v="1"/>
    <x v="2"/>
    <x v="1"/>
    <x v="1427"/>
    <x v="0"/>
    <x v="1427"/>
  </r>
  <r>
    <x v="0"/>
    <x v="3"/>
    <x v="1"/>
    <x v="0"/>
    <x v="2"/>
    <x v="2"/>
    <x v="0"/>
    <x v="0"/>
    <x v="1428"/>
    <x v="0"/>
    <x v="1428"/>
  </r>
  <r>
    <x v="0"/>
    <x v="3"/>
    <x v="1"/>
    <x v="0"/>
    <x v="2"/>
    <x v="2"/>
    <x v="1"/>
    <x v="1"/>
    <x v="1429"/>
    <x v="0"/>
    <x v="1429"/>
  </r>
  <r>
    <x v="0"/>
    <x v="3"/>
    <x v="1"/>
    <x v="0"/>
    <x v="2"/>
    <x v="2"/>
    <x v="2"/>
    <x v="2"/>
    <x v="1430"/>
    <x v="0"/>
    <x v="1430"/>
  </r>
  <r>
    <x v="0"/>
    <x v="3"/>
    <x v="1"/>
    <x v="1"/>
    <x v="0"/>
    <x v="0"/>
    <x v="0"/>
    <x v="0"/>
    <x v="1431"/>
    <x v="0"/>
    <x v="1431"/>
  </r>
  <r>
    <x v="0"/>
    <x v="3"/>
    <x v="1"/>
    <x v="1"/>
    <x v="0"/>
    <x v="0"/>
    <x v="1"/>
    <x v="0"/>
    <x v="1432"/>
    <x v="0"/>
    <x v="1432"/>
  </r>
  <r>
    <x v="0"/>
    <x v="3"/>
    <x v="1"/>
    <x v="1"/>
    <x v="0"/>
    <x v="0"/>
    <x v="2"/>
    <x v="0"/>
    <x v="1433"/>
    <x v="0"/>
    <x v="1433"/>
  </r>
  <r>
    <x v="0"/>
    <x v="3"/>
    <x v="1"/>
    <x v="1"/>
    <x v="0"/>
    <x v="1"/>
    <x v="0"/>
    <x v="0"/>
    <x v="1434"/>
    <x v="0"/>
    <x v="1434"/>
  </r>
  <r>
    <x v="0"/>
    <x v="3"/>
    <x v="1"/>
    <x v="1"/>
    <x v="0"/>
    <x v="1"/>
    <x v="1"/>
    <x v="0"/>
    <x v="1435"/>
    <x v="0"/>
    <x v="1435"/>
  </r>
  <r>
    <x v="0"/>
    <x v="3"/>
    <x v="1"/>
    <x v="1"/>
    <x v="0"/>
    <x v="1"/>
    <x v="2"/>
    <x v="0"/>
    <x v="1436"/>
    <x v="0"/>
    <x v="1436"/>
  </r>
  <r>
    <x v="0"/>
    <x v="3"/>
    <x v="1"/>
    <x v="1"/>
    <x v="0"/>
    <x v="2"/>
    <x v="0"/>
    <x v="0"/>
    <x v="1437"/>
    <x v="0"/>
    <x v="1437"/>
  </r>
  <r>
    <x v="0"/>
    <x v="3"/>
    <x v="1"/>
    <x v="1"/>
    <x v="0"/>
    <x v="2"/>
    <x v="1"/>
    <x v="0"/>
    <x v="1438"/>
    <x v="0"/>
    <x v="1438"/>
  </r>
  <r>
    <x v="0"/>
    <x v="3"/>
    <x v="1"/>
    <x v="1"/>
    <x v="0"/>
    <x v="2"/>
    <x v="2"/>
    <x v="0"/>
    <x v="1439"/>
    <x v="0"/>
    <x v="1439"/>
  </r>
  <r>
    <x v="0"/>
    <x v="3"/>
    <x v="1"/>
    <x v="1"/>
    <x v="1"/>
    <x v="0"/>
    <x v="0"/>
    <x v="0"/>
    <x v="1440"/>
    <x v="0"/>
    <x v="1440"/>
  </r>
  <r>
    <x v="0"/>
    <x v="3"/>
    <x v="1"/>
    <x v="1"/>
    <x v="1"/>
    <x v="0"/>
    <x v="1"/>
    <x v="1"/>
    <x v="1441"/>
    <x v="0"/>
    <x v="1441"/>
  </r>
  <r>
    <x v="0"/>
    <x v="3"/>
    <x v="1"/>
    <x v="1"/>
    <x v="1"/>
    <x v="0"/>
    <x v="2"/>
    <x v="1"/>
    <x v="1442"/>
    <x v="0"/>
    <x v="1442"/>
  </r>
  <r>
    <x v="0"/>
    <x v="3"/>
    <x v="1"/>
    <x v="1"/>
    <x v="1"/>
    <x v="1"/>
    <x v="0"/>
    <x v="0"/>
    <x v="1443"/>
    <x v="0"/>
    <x v="1443"/>
  </r>
  <r>
    <x v="0"/>
    <x v="3"/>
    <x v="1"/>
    <x v="1"/>
    <x v="1"/>
    <x v="1"/>
    <x v="1"/>
    <x v="1"/>
    <x v="1444"/>
    <x v="0"/>
    <x v="1444"/>
  </r>
  <r>
    <x v="0"/>
    <x v="3"/>
    <x v="1"/>
    <x v="1"/>
    <x v="1"/>
    <x v="1"/>
    <x v="2"/>
    <x v="1"/>
    <x v="1445"/>
    <x v="0"/>
    <x v="1445"/>
  </r>
  <r>
    <x v="0"/>
    <x v="3"/>
    <x v="1"/>
    <x v="1"/>
    <x v="1"/>
    <x v="2"/>
    <x v="0"/>
    <x v="0"/>
    <x v="1446"/>
    <x v="0"/>
    <x v="1446"/>
  </r>
  <r>
    <x v="0"/>
    <x v="3"/>
    <x v="1"/>
    <x v="1"/>
    <x v="1"/>
    <x v="2"/>
    <x v="1"/>
    <x v="1"/>
    <x v="1447"/>
    <x v="0"/>
    <x v="1447"/>
  </r>
  <r>
    <x v="0"/>
    <x v="3"/>
    <x v="1"/>
    <x v="1"/>
    <x v="1"/>
    <x v="2"/>
    <x v="2"/>
    <x v="2"/>
    <x v="1448"/>
    <x v="0"/>
    <x v="1448"/>
  </r>
  <r>
    <x v="0"/>
    <x v="3"/>
    <x v="1"/>
    <x v="1"/>
    <x v="2"/>
    <x v="0"/>
    <x v="0"/>
    <x v="0"/>
    <x v="1449"/>
    <x v="0"/>
    <x v="1449"/>
  </r>
  <r>
    <x v="0"/>
    <x v="3"/>
    <x v="1"/>
    <x v="1"/>
    <x v="2"/>
    <x v="0"/>
    <x v="1"/>
    <x v="1"/>
    <x v="1450"/>
    <x v="0"/>
    <x v="1450"/>
  </r>
  <r>
    <x v="0"/>
    <x v="3"/>
    <x v="1"/>
    <x v="1"/>
    <x v="2"/>
    <x v="0"/>
    <x v="2"/>
    <x v="1"/>
    <x v="1451"/>
    <x v="0"/>
    <x v="1451"/>
  </r>
  <r>
    <x v="0"/>
    <x v="3"/>
    <x v="1"/>
    <x v="1"/>
    <x v="2"/>
    <x v="1"/>
    <x v="0"/>
    <x v="0"/>
    <x v="1452"/>
    <x v="0"/>
    <x v="1452"/>
  </r>
  <r>
    <x v="0"/>
    <x v="3"/>
    <x v="1"/>
    <x v="1"/>
    <x v="2"/>
    <x v="1"/>
    <x v="1"/>
    <x v="1"/>
    <x v="1453"/>
    <x v="0"/>
    <x v="1453"/>
  </r>
  <r>
    <x v="0"/>
    <x v="3"/>
    <x v="1"/>
    <x v="1"/>
    <x v="2"/>
    <x v="1"/>
    <x v="2"/>
    <x v="2"/>
    <x v="1454"/>
    <x v="0"/>
    <x v="1454"/>
  </r>
  <r>
    <x v="0"/>
    <x v="3"/>
    <x v="1"/>
    <x v="1"/>
    <x v="2"/>
    <x v="2"/>
    <x v="0"/>
    <x v="0"/>
    <x v="1455"/>
    <x v="0"/>
    <x v="1455"/>
  </r>
  <r>
    <x v="0"/>
    <x v="3"/>
    <x v="1"/>
    <x v="1"/>
    <x v="2"/>
    <x v="2"/>
    <x v="1"/>
    <x v="1"/>
    <x v="1456"/>
    <x v="0"/>
    <x v="1456"/>
  </r>
  <r>
    <x v="0"/>
    <x v="3"/>
    <x v="1"/>
    <x v="1"/>
    <x v="2"/>
    <x v="2"/>
    <x v="2"/>
    <x v="2"/>
    <x v="1457"/>
    <x v="0"/>
    <x v="1457"/>
  </r>
  <r>
    <x v="0"/>
    <x v="3"/>
    <x v="1"/>
    <x v="2"/>
    <x v="0"/>
    <x v="0"/>
    <x v="0"/>
    <x v="0"/>
    <x v="1458"/>
    <x v="0"/>
    <x v="1458"/>
  </r>
  <r>
    <x v="0"/>
    <x v="3"/>
    <x v="1"/>
    <x v="2"/>
    <x v="0"/>
    <x v="0"/>
    <x v="1"/>
    <x v="0"/>
    <x v="1459"/>
    <x v="0"/>
    <x v="1459"/>
  </r>
  <r>
    <x v="0"/>
    <x v="3"/>
    <x v="1"/>
    <x v="2"/>
    <x v="0"/>
    <x v="0"/>
    <x v="2"/>
    <x v="0"/>
    <x v="1460"/>
    <x v="0"/>
    <x v="1460"/>
  </r>
  <r>
    <x v="0"/>
    <x v="3"/>
    <x v="1"/>
    <x v="2"/>
    <x v="0"/>
    <x v="1"/>
    <x v="0"/>
    <x v="0"/>
    <x v="1461"/>
    <x v="0"/>
    <x v="1461"/>
  </r>
  <r>
    <x v="0"/>
    <x v="3"/>
    <x v="1"/>
    <x v="2"/>
    <x v="0"/>
    <x v="1"/>
    <x v="1"/>
    <x v="0"/>
    <x v="1462"/>
    <x v="0"/>
    <x v="1462"/>
  </r>
  <r>
    <x v="0"/>
    <x v="3"/>
    <x v="1"/>
    <x v="2"/>
    <x v="0"/>
    <x v="1"/>
    <x v="2"/>
    <x v="0"/>
    <x v="1463"/>
    <x v="0"/>
    <x v="1463"/>
  </r>
  <r>
    <x v="0"/>
    <x v="3"/>
    <x v="1"/>
    <x v="2"/>
    <x v="0"/>
    <x v="2"/>
    <x v="0"/>
    <x v="0"/>
    <x v="1464"/>
    <x v="0"/>
    <x v="1464"/>
  </r>
  <r>
    <x v="0"/>
    <x v="3"/>
    <x v="1"/>
    <x v="2"/>
    <x v="0"/>
    <x v="2"/>
    <x v="1"/>
    <x v="0"/>
    <x v="1465"/>
    <x v="0"/>
    <x v="1465"/>
  </r>
  <r>
    <x v="0"/>
    <x v="3"/>
    <x v="1"/>
    <x v="2"/>
    <x v="0"/>
    <x v="2"/>
    <x v="2"/>
    <x v="0"/>
    <x v="1466"/>
    <x v="0"/>
    <x v="1466"/>
  </r>
  <r>
    <x v="0"/>
    <x v="3"/>
    <x v="1"/>
    <x v="2"/>
    <x v="1"/>
    <x v="0"/>
    <x v="0"/>
    <x v="0"/>
    <x v="1467"/>
    <x v="0"/>
    <x v="1467"/>
  </r>
  <r>
    <x v="0"/>
    <x v="3"/>
    <x v="1"/>
    <x v="2"/>
    <x v="1"/>
    <x v="0"/>
    <x v="1"/>
    <x v="1"/>
    <x v="1468"/>
    <x v="0"/>
    <x v="1468"/>
  </r>
  <r>
    <x v="0"/>
    <x v="3"/>
    <x v="1"/>
    <x v="2"/>
    <x v="1"/>
    <x v="0"/>
    <x v="2"/>
    <x v="1"/>
    <x v="1469"/>
    <x v="0"/>
    <x v="1469"/>
  </r>
  <r>
    <x v="0"/>
    <x v="3"/>
    <x v="1"/>
    <x v="2"/>
    <x v="1"/>
    <x v="1"/>
    <x v="0"/>
    <x v="0"/>
    <x v="1470"/>
    <x v="0"/>
    <x v="1470"/>
  </r>
  <r>
    <x v="0"/>
    <x v="3"/>
    <x v="1"/>
    <x v="2"/>
    <x v="1"/>
    <x v="1"/>
    <x v="1"/>
    <x v="1"/>
    <x v="1471"/>
    <x v="0"/>
    <x v="1471"/>
  </r>
  <r>
    <x v="0"/>
    <x v="3"/>
    <x v="1"/>
    <x v="2"/>
    <x v="1"/>
    <x v="1"/>
    <x v="2"/>
    <x v="2"/>
    <x v="1472"/>
    <x v="0"/>
    <x v="1472"/>
  </r>
  <r>
    <x v="0"/>
    <x v="3"/>
    <x v="1"/>
    <x v="2"/>
    <x v="1"/>
    <x v="2"/>
    <x v="0"/>
    <x v="0"/>
    <x v="1473"/>
    <x v="0"/>
    <x v="1473"/>
  </r>
  <r>
    <x v="0"/>
    <x v="3"/>
    <x v="1"/>
    <x v="2"/>
    <x v="1"/>
    <x v="2"/>
    <x v="1"/>
    <x v="1"/>
    <x v="1474"/>
    <x v="0"/>
    <x v="1474"/>
  </r>
  <r>
    <x v="0"/>
    <x v="3"/>
    <x v="1"/>
    <x v="2"/>
    <x v="1"/>
    <x v="2"/>
    <x v="2"/>
    <x v="2"/>
    <x v="1475"/>
    <x v="0"/>
    <x v="1475"/>
  </r>
  <r>
    <x v="0"/>
    <x v="3"/>
    <x v="1"/>
    <x v="2"/>
    <x v="2"/>
    <x v="0"/>
    <x v="0"/>
    <x v="0"/>
    <x v="1476"/>
    <x v="0"/>
    <x v="1476"/>
  </r>
  <r>
    <x v="0"/>
    <x v="3"/>
    <x v="1"/>
    <x v="2"/>
    <x v="2"/>
    <x v="0"/>
    <x v="1"/>
    <x v="1"/>
    <x v="1477"/>
    <x v="0"/>
    <x v="1477"/>
  </r>
  <r>
    <x v="0"/>
    <x v="3"/>
    <x v="1"/>
    <x v="2"/>
    <x v="2"/>
    <x v="0"/>
    <x v="2"/>
    <x v="1"/>
    <x v="1478"/>
    <x v="0"/>
    <x v="1478"/>
  </r>
  <r>
    <x v="0"/>
    <x v="3"/>
    <x v="1"/>
    <x v="2"/>
    <x v="2"/>
    <x v="1"/>
    <x v="0"/>
    <x v="0"/>
    <x v="1479"/>
    <x v="0"/>
    <x v="1479"/>
  </r>
  <r>
    <x v="0"/>
    <x v="3"/>
    <x v="1"/>
    <x v="2"/>
    <x v="2"/>
    <x v="1"/>
    <x v="1"/>
    <x v="1"/>
    <x v="1480"/>
    <x v="0"/>
    <x v="1480"/>
  </r>
  <r>
    <x v="0"/>
    <x v="3"/>
    <x v="1"/>
    <x v="2"/>
    <x v="2"/>
    <x v="1"/>
    <x v="2"/>
    <x v="2"/>
    <x v="1481"/>
    <x v="0"/>
    <x v="1481"/>
  </r>
  <r>
    <x v="0"/>
    <x v="3"/>
    <x v="1"/>
    <x v="2"/>
    <x v="2"/>
    <x v="2"/>
    <x v="0"/>
    <x v="0"/>
    <x v="1482"/>
    <x v="0"/>
    <x v="1482"/>
  </r>
  <r>
    <x v="0"/>
    <x v="3"/>
    <x v="1"/>
    <x v="2"/>
    <x v="2"/>
    <x v="2"/>
    <x v="1"/>
    <x v="1"/>
    <x v="1483"/>
    <x v="0"/>
    <x v="1483"/>
  </r>
  <r>
    <x v="0"/>
    <x v="3"/>
    <x v="1"/>
    <x v="2"/>
    <x v="2"/>
    <x v="2"/>
    <x v="2"/>
    <x v="2"/>
    <x v="1484"/>
    <x v="0"/>
    <x v="1484"/>
  </r>
  <r>
    <x v="0"/>
    <x v="3"/>
    <x v="1"/>
    <x v="3"/>
    <x v="0"/>
    <x v="0"/>
    <x v="0"/>
    <x v="0"/>
    <x v="1485"/>
    <x v="0"/>
    <x v="1485"/>
  </r>
  <r>
    <x v="0"/>
    <x v="3"/>
    <x v="1"/>
    <x v="3"/>
    <x v="0"/>
    <x v="0"/>
    <x v="1"/>
    <x v="0"/>
    <x v="1486"/>
    <x v="0"/>
    <x v="1486"/>
  </r>
  <r>
    <x v="0"/>
    <x v="3"/>
    <x v="1"/>
    <x v="3"/>
    <x v="0"/>
    <x v="0"/>
    <x v="2"/>
    <x v="0"/>
    <x v="1487"/>
    <x v="0"/>
    <x v="1487"/>
  </r>
  <r>
    <x v="0"/>
    <x v="3"/>
    <x v="1"/>
    <x v="3"/>
    <x v="0"/>
    <x v="1"/>
    <x v="0"/>
    <x v="0"/>
    <x v="1488"/>
    <x v="0"/>
    <x v="1488"/>
  </r>
  <r>
    <x v="0"/>
    <x v="3"/>
    <x v="1"/>
    <x v="3"/>
    <x v="0"/>
    <x v="1"/>
    <x v="1"/>
    <x v="0"/>
    <x v="1489"/>
    <x v="0"/>
    <x v="1489"/>
  </r>
  <r>
    <x v="0"/>
    <x v="3"/>
    <x v="1"/>
    <x v="3"/>
    <x v="0"/>
    <x v="1"/>
    <x v="2"/>
    <x v="0"/>
    <x v="1490"/>
    <x v="0"/>
    <x v="1490"/>
  </r>
  <r>
    <x v="0"/>
    <x v="3"/>
    <x v="1"/>
    <x v="3"/>
    <x v="0"/>
    <x v="2"/>
    <x v="0"/>
    <x v="0"/>
    <x v="1491"/>
    <x v="0"/>
    <x v="1491"/>
  </r>
  <r>
    <x v="0"/>
    <x v="3"/>
    <x v="1"/>
    <x v="3"/>
    <x v="0"/>
    <x v="2"/>
    <x v="1"/>
    <x v="0"/>
    <x v="1492"/>
    <x v="0"/>
    <x v="1492"/>
  </r>
  <r>
    <x v="0"/>
    <x v="3"/>
    <x v="1"/>
    <x v="3"/>
    <x v="0"/>
    <x v="2"/>
    <x v="2"/>
    <x v="0"/>
    <x v="1493"/>
    <x v="0"/>
    <x v="1493"/>
  </r>
  <r>
    <x v="0"/>
    <x v="3"/>
    <x v="1"/>
    <x v="3"/>
    <x v="1"/>
    <x v="0"/>
    <x v="0"/>
    <x v="0"/>
    <x v="1494"/>
    <x v="0"/>
    <x v="1494"/>
  </r>
  <r>
    <x v="0"/>
    <x v="3"/>
    <x v="1"/>
    <x v="3"/>
    <x v="1"/>
    <x v="0"/>
    <x v="1"/>
    <x v="1"/>
    <x v="1495"/>
    <x v="0"/>
    <x v="1495"/>
  </r>
  <r>
    <x v="0"/>
    <x v="3"/>
    <x v="1"/>
    <x v="3"/>
    <x v="1"/>
    <x v="0"/>
    <x v="2"/>
    <x v="1"/>
    <x v="1496"/>
    <x v="0"/>
    <x v="1496"/>
  </r>
  <r>
    <x v="0"/>
    <x v="3"/>
    <x v="1"/>
    <x v="3"/>
    <x v="1"/>
    <x v="1"/>
    <x v="0"/>
    <x v="0"/>
    <x v="1497"/>
    <x v="0"/>
    <x v="1497"/>
  </r>
  <r>
    <x v="0"/>
    <x v="3"/>
    <x v="1"/>
    <x v="3"/>
    <x v="1"/>
    <x v="1"/>
    <x v="1"/>
    <x v="1"/>
    <x v="1498"/>
    <x v="0"/>
    <x v="1498"/>
  </r>
  <r>
    <x v="0"/>
    <x v="3"/>
    <x v="1"/>
    <x v="3"/>
    <x v="1"/>
    <x v="1"/>
    <x v="2"/>
    <x v="2"/>
    <x v="1499"/>
    <x v="0"/>
    <x v="1499"/>
  </r>
  <r>
    <x v="0"/>
    <x v="3"/>
    <x v="1"/>
    <x v="3"/>
    <x v="1"/>
    <x v="2"/>
    <x v="0"/>
    <x v="0"/>
    <x v="1500"/>
    <x v="0"/>
    <x v="1500"/>
  </r>
  <r>
    <x v="0"/>
    <x v="3"/>
    <x v="1"/>
    <x v="3"/>
    <x v="1"/>
    <x v="2"/>
    <x v="1"/>
    <x v="1"/>
    <x v="1501"/>
    <x v="0"/>
    <x v="1501"/>
  </r>
  <r>
    <x v="0"/>
    <x v="3"/>
    <x v="1"/>
    <x v="3"/>
    <x v="1"/>
    <x v="2"/>
    <x v="2"/>
    <x v="2"/>
    <x v="1502"/>
    <x v="0"/>
    <x v="1502"/>
  </r>
  <r>
    <x v="0"/>
    <x v="3"/>
    <x v="1"/>
    <x v="3"/>
    <x v="2"/>
    <x v="0"/>
    <x v="0"/>
    <x v="0"/>
    <x v="1503"/>
    <x v="0"/>
    <x v="1503"/>
  </r>
  <r>
    <x v="0"/>
    <x v="3"/>
    <x v="1"/>
    <x v="3"/>
    <x v="2"/>
    <x v="0"/>
    <x v="1"/>
    <x v="1"/>
    <x v="1504"/>
    <x v="0"/>
    <x v="1504"/>
  </r>
  <r>
    <x v="0"/>
    <x v="3"/>
    <x v="1"/>
    <x v="3"/>
    <x v="2"/>
    <x v="0"/>
    <x v="2"/>
    <x v="1"/>
    <x v="1505"/>
    <x v="0"/>
    <x v="1505"/>
  </r>
  <r>
    <x v="0"/>
    <x v="3"/>
    <x v="1"/>
    <x v="3"/>
    <x v="2"/>
    <x v="1"/>
    <x v="0"/>
    <x v="0"/>
    <x v="1506"/>
    <x v="0"/>
    <x v="1506"/>
  </r>
  <r>
    <x v="0"/>
    <x v="3"/>
    <x v="1"/>
    <x v="3"/>
    <x v="2"/>
    <x v="1"/>
    <x v="1"/>
    <x v="1"/>
    <x v="1507"/>
    <x v="0"/>
    <x v="1507"/>
  </r>
  <r>
    <x v="0"/>
    <x v="3"/>
    <x v="1"/>
    <x v="3"/>
    <x v="2"/>
    <x v="1"/>
    <x v="2"/>
    <x v="2"/>
    <x v="1508"/>
    <x v="0"/>
    <x v="1508"/>
  </r>
  <r>
    <x v="0"/>
    <x v="3"/>
    <x v="1"/>
    <x v="3"/>
    <x v="2"/>
    <x v="2"/>
    <x v="0"/>
    <x v="0"/>
    <x v="1509"/>
    <x v="0"/>
    <x v="1509"/>
  </r>
  <r>
    <x v="0"/>
    <x v="3"/>
    <x v="1"/>
    <x v="3"/>
    <x v="2"/>
    <x v="2"/>
    <x v="1"/>
    <x v="1"/>
    <x v="1510"/>
    <x v="0"/>
    <x v="1510"/>
  </r>
  <r>
    <x v="0"/>
    <x v="3"/>
    <x v="1"/>
    <x v="3"/>
    <x v="2"/>
    <x v="2"/>
    <x v="2"/>
    <x v="2"/>
    <x v="1511"/>
    <x v="0"/>
    <x v="1511"/>
  </r>
  <r>
    <x v="0"/>
    <x v="3"/>
    <x v="2"/>
    <x v="0"/>
    <x v="0"/>
    <x v="0"/>
    <x v="0"/>
    <x v="0"/>
    <x v="1512"/>
    <x v="0"/>
    <x v="1512"/>
  </r>
  <r>
    <x v="0"/>
    <x v="3"/>
    <x v="2"/>
    <x v="0"/>
    <x v="0"/>
    <x v="0"/>
    <x v="1"/>
    <x v="0"/>
    <x v="1513"/>
    <x v="0"/>
    <x v="1513"/>
  </r>
  <r>
    <x v="0"/>
    <x v="3"/>
    <x v="2"/>
    <x v="0"/>
    <x v="0"/>
    <x v="0"/>
    <x v="2"/>
    <x v="0"/>
    <x v="1514"/>
    <x v="0"/>
    <x v="1514"/>
  </r>
  <r>
    <x v="0"/>
    <x v="3"/>
    <x v="2"/>
    <x v="0"/>
    <x v="0"/>
    <x v="1"/>
    <x v="0"/>
    <x v="0"/>
    <x v="1515"/>
    <x v="0"/>
    <x v="1515"/>
  </r>
  <r>
    <x v="0"/>
    <x v="3"/>
    <x v="2"/>
    <x v="0"/>
    <x v="0"/>
    <x v="1"/>
    <x v="1"/>
    <x v="0"/>
    <x v="1516"/>
    <x v="0"/>
    <x v="1516"/>
  </r>
  <r>
    <x v="0"/>
    <x v="3"/>
    <x v="2"/>
    <x v="0"/>
    <x v="0"/>
    <x v="1"/>
    <x v="2"/>
    <x v="0"/>
    <x v="1517"/>
    <x v="0"/>
    <x v="1517"/>
  </r>
  <r>
    <x v="0"/>
    <x v="3"/>
    <x v="2"/>
    <x v="0"/>
    <x v="0"/>
    <x v="2"/>
    <x v="0"/>
    <x v="0"/>
    <x v="1518"/>
    <x v="0"/>
    <x v="1518"/>
  </r>
  <r>
    <x v="0"/>
    <x v="3"/>
    <x v="2"/>
    <x v="0"/>
    <x v="0"/>
    <x v="2"/>
    <x v="1"/>
    <x v="0"/>
    <x v="1519"/>
    <x v="0"/>
    <x v="1519"/>
  </r>
  <r>
    <x v="0"/>
    <x v="3"/>
    <x v="2"/>
    <x v="0"/>
    <x v="0"/>
    <x v="2"/>
    <x v="2"/>
    <x v="0"/>
    <x v="1520"/>
    <x v="0"/>
    <x v="1520"/>
  </r>
  <r>
    <x v="0"/>
    <x v="3"/>
    <x v="2"/>
    <x v="0"/>
    <x v="1"/>
    <x v="0"/>
    <x v="0"/>
    <x v="0"/>
    <x v="1521"/>
    <x v="0"/>
    <x v="1521"/>
  </r>
  <r>
    <x v="0"/>
    <x v="3"/>
    <x v="2"/>
    <x v="0"/>
    <x v="1"/>
    <x v="0"/>
    <x v="1"/>
    <x v="1"/>
    <x v="1522"/>
    <x v="0"/>
    <x v="1522"/>
  </r>
  <r>
    <x v="0"/>
    <x v="3"/>
    <x v="2"/>
    <x v="0"/>
    <x v="1"/>
    <x v="0"/>
    <x v="2"/>
    <x v="3"/>
    <x v="1523"/>
    <x v="0"/>
    <x v="1523"/>
  </r>
  <r>
    <x v="0"/>
    <x v="3"/>
    <x v="2"/>
    <x v="0"/>
    <x v="1"/>
    <x v="1"/>
    <x v="0"/>
    <x v="0"/>
    <x v="1524"/>
    <x v="0"/>
    <x v="1524"/>
  </r>
  <r>
    <x v="0"/>
    <x v="3"/>
    <x v="2"/>
    <x v="0"/>
    <x v="1"/>
    <x v="1"/>
    <x v="1"/>
    <x v="1"/>
    <x v="1525"/>
    <x v="0"/>
    <x v="1525"/>
  </r>
  <r>
    <x v="0"/>
    <x v="3"/>
    <x v="2"/>
    <x v="0"/>
    <x v="1"/>
    <x v="1"/>
    <x v="2"/>
    <x v="3"/>
    <x v="1526"/>
    <x v="0"/>
    <x v="1526"/>
  </r>
  <r>
    <x v="0"/>
    <x v="3"/>
    <x v="2"/>
    <x v="0"/>
    <x v="1"/>
    <x v="2"/>
    <x v="0"/>
    <x v="0"/>
    <x v="1527"/>
    <x v="0"/>
    <x v="1527"/>
  </r>
  <r>
    <x v="0"/>
    <x v="3"/>
    <x v="2"/>
    <x v="0"/>
    <x v="1"/>
    <x v="2"/>
    <x v="1"/>
    <x v="3"/>
    <x v="1528"/>
    <x v="0"/>
    <x v="1528"/>
  </r>
  <r>
    <x v="0"/>
    <x v="3"/>
    <x v="2"/>
    <x v="0"/>
    <x v="1"/>
    <x v="2"/>
    <x v="2"/>
    <x v="2"/>
    <x v="1529"/>
    <x v="0"/>
    <x v="1529"/>
  </r>
  <r>
    <x v="0"/>
    <x v="3"/>
    <x v="2"/>
    <x v="0"/>
    <x v="2"/>
    <x v="0"/>
    <x v="0"/>
    <x v="0"/>
    <x v="1530"/>
    <x v="0"/>
    <x v="1530"/>
  </r>
  <r>
    <x v="0"/>
    <x v="3"/>
    <x v="2"/>
    <x v="0"/>
    <x v="2"/>
    <x v="0"/>
    <x v="1"/>
    <x v="0"/>
    <x v="1531"/>
    <x v="0"/>
    <x v="1531"/>
  </r>
  <r>
    <x v="0"/>
    <x v="3"/>
    <x v="2"/>
    <x v="0"/>
    <x v="2"/>
    <x v="0"/>
    <x v="2"/>
    <x v="0"/>
    <x v="1532"/>
    <x v="0"/>
    <x v="1532"/>
  </r>
  <r>
    <x v="0"/>
    <x v="3"/>
    <x v="2"/>
    <x v="0"/>
    <x v="2"/>
    <x v="1"/>
    <x v="0"/>
    <x v="0"/>
    <x v="1533"/>
    <x v="0"/>
    <x v="1533"/>
  </r>
  <r>
    <x v="0"/>
    <x v="3"/>
    <x v="2"/>
    <x v="0"/>
    <x v="2"/>
    <x v="1"/>
    <x v="1"/>
    <x v="1"/>
    <x v="1534"/>
    <x v="0"/>
    <x v="1534"/>
  </r>
  <r>
    <x v="0"/>
    <x v="3"/>
    <x v="2"/>
    <x v="0"/>
    <x v="2"/>
    <x v="1"/>
    <x v="2"/>
    <x v="3"/>
    <x v="1535"/>
    <x v="0"/>
    <x v="1535"/>
  </r>
  <r>
    <x v="0"/>
    <x v="3"/>
    <x v="2"/>
    <x v="0"/>
    <x v="2"/>
    <x v="2"/>
    <x v="0"/>
    <x v="0"/>
    <x v="1536"/>
    <x v="0"/>
    <x v="1536"/>
  </r>
  <r>
    <x v="0"/>
    <x v="3"/>
    <x v="2"/>
    <x v="0"/>
    <x v="2"/>
    <x v="2"/>
    <x v="1"/>
    <x v="3"/>
    <x v="1537"/>
    <x v="0"/>
    <x v="1537"/>
  </r>
  <r>
    <x v="0"/>
    <x v="3"/>
    <x v="2"/>
    <x v="0"/>
    <x v="2"/>
    <x v="2"/>
    <x v="2"/>
    <x v="2"/>
    <x v="1538"/>
    <x v="0"/>
    <x v="1538"/>
  </r>
  <r>
    <x v="0"/>
    <x v="3"/>
    <x v="2"/>
    <x v="1"/>
    <x v="0"/>
    <x v="0"/>
    <x v="0"/>
    <x v="0"/>
    <x v="1539"/>
    <x v="0"/>
    <x v="1539"/>
  </r>
  <r>
    <x v="0"/>
    <x v="3"/>
    <x v="2"/>
    <x v="1"/>
    <x v="0"/>
    <x v="0"/>
    <x v="1"/>
    <x v="0"/>
    <x v="1540"/>
    <x v="0"/>
    <x v="1540"/>
  </r>
  <r>
    <x v="0"/>
    <x v="3"/>
    <x v="2"/>
    <x v="1"/>
    <x v="0"/>
    <x v="0"/>
    <x v="2"/>
    <x v="0"/>
    <x v="1541"/>
    <x v="0"/>
    <x v="1541"/>
  </r>
  <r>
    <x v="0"/>
    <x v="3"/>
    <x v="2"/>
    <x v="1"/>
    <x v="0"/>
    <x v="1"/>
    <x v="0"/>
    <x v="0"/>
    <x v="1542"/>
    <x v="0"/>
    <x v="1542"/>
  </r>
  <r>
    <x v="0"/>
    <x v="3"/>
    <x v="2"/>
    <x v="1"/>
    <x v="0"/>
    <x v="1"/>
    <x v="1"/>
    <x v="0"/>
    <x v="1543"/>
    <x v="0"/>
    <x v="1543"/>
  </r>
  <r>
    <x v="0"/>
    <x v="3"/>
    <x v="2"/>
    <x v="1"/>
    <x v="0"/>
    <x v="1"/>
    <x v="2"/>
    <x v="0"/>
    <x v="1544"/>
    <x v="0"/>
    <x v="1544"/>
  </r>
  <r>
    <x v="0"/>
    <x v="3"/>
    <x v="2"/>
    <x v="1"/>
    <x v="0"/>
    <x v="2"/>
    <x v="0"/>
    <x v="0"/>
    <x v="1545"/>
    <x v="0"/>
    <x v="1545"/>
  </r>
  <r>
    <x v="0"/>
    <x v="3"/>
    <x v="2"/>
    <x v="1"/>
    <x v="0"/>
    <x v="2"/>
    <x v="1"/>
    <x v="0"/>
    <x v="1546"/>
    <x v="0"/>
    <x v="1546"/>
  </r>
  <r>
    <x v="0"/>
    <x v="3"/>
    <x v="2"/>
    <x v="1"/>
    <x v="0"/>
    <x v="2"/>
    <x v="2"/>
    <x v="0"/>
    <x v="1547"/>
    <x v="0"/>
    <x v="1547"/>
  </r>
  <r>
    <x v="0"/>
    <x v="3"/>
    <x v="2"/>
    <x v="1"/>
    <x v="1"/>
    <x v="0"/>
    <x v="0"/>
    <x v="0"/>
    <x v="1548"/>
    <x v="0"/>
    <x v="1548"/>
  </r>
  <r>
    <x v="0"/>
    <x v="3"/>
    <x v="2"/>
    <x v="1"/>
    <x v="1"/>
    <x v="0"/>
    <x v="1"/>
    <x v="1"/>
    <x v="1549"/>
    <x v="0"/>
    <x v="1549"/>
  </r>
  <r>
    <x v="0"/>
    <x v="3"/>
    <x v="2"/>
    <x v="1"/>
    <x v="1"/>
    <x v="0"/>
    <x v="2"/>
    <x v="3"/>
    <x v="1550"/>
    <x v="0"/>
    <x v="1550"/>
  </r>
  <r>
    <x v="0"/>
    <x v="3"/>
    <x v="2"/>
    <x v="1"/>
    <x v="1"/>
    <x v="1"/>
    <x v="0"/>
    <x v="0"/>
    <x v="1551"/>
    <x v="0"/>
    <x v="1551"/>
  </r>
  <r>
    <x v="0"/>
    <x v="3"/>
    <x v="2"/>
    <x v="1"/>
    <x v="1"/>
    <x v="1"/>
    <x v="1"/>
    <x v="1"/>
    <x v="1552"/>
    <x v="0"/>
    <x v="1552"/>
  </r>
  <r>
    <x v="0"/>
    <x v="3"/>
    <x v="2"/>
    <x v="1"/>
    <x v="1"/>
    <x v="1"/>
    <x v="2"/>
    <x v="3"/>
    <x v="1553"/>
    <x v="0"/>
    <x v="1553"/>
  </r>
  <r>
    <x v="0"/>
    <x v="3"/>
    <x v="2"/>
    <x v="1"/>
    <x v="1"/>
    <x v="2"/>
    <x v="0"/>
    <x v="0"/>
    <x v="1554"/>
    <x v="0"/>
    <x v="1554"/>
  </r>
  <r>
    <x v="0"/>
    <x v="3"/>
    <x v="2"/>
    <x v="1"/>
    <x v="1"/>
    <x v="2"/>
    <x v="1"/>
    <x v="3"/>
    <x v="1555"/>
    <x v="0"/>
    <x v="1555"/>
  </r>
  <r>
    <x v="0"/>
    <x v="3"/>
    <x v="2"/>
    <x v="1"/>
    <x v="1"/>
    <x v="2"/>
    <x v="2"/>
    <x v="2"/>
    <x v="1556"/>
    <x v="0"/>
    <x v="1556"/>
  </r>
  <r>
    <x v="0"/>
    <x v="3"/>
    <x v="2"/>
    <x v="1"/>
    <x v="2"/>
    <x v="0"/>
    <x v="0"/>
    <x v="0"/>
    <x v="1557"/>
    <x v="0"/>
    <x v="1557"/>
  </r>
  <r>
    <x v="0"/>
    <x v="3"/>
    <x v="2"/>
    <x v="1"/>
    <x v="2"/>
    <x v="0"/>
    <x v="1"/>
    <x v="1"/>
    <x v="1558"/>
    <x v="0"/>
    <x v="1558"/>
  </r>
  <r>
    <x v="0"/>
    <x v="3"/>
    <x v="2"/>
    <x v="1"/>
    <x v="2"/>
    <x v="0"/>
    <x v="2"/>
    <x v="3"/>
    <x v="1559"/>
    <x v="0"/>
    <x v="1559"/>
  </r>
  <r>
    <x v="0"/>
    <x v="3"/>
    <x v="2"/>
    <x v="1"/>
    <x v="2"/>
    <x v="1"/>
    <x v="0"/>
    <x v="0"/>
    <x v="1560"/>
    <x v="0"/>
    <x v="1560"/>
  </r>
  <r>
    <x v="0"/>
    <x v="3"/>
    <x v="2"/>
    <x v="1"/>
    <x v="2"/>
    <x v="1"/>
    <x v="1"/>
    <x v="3"/>
    <x v="1561"/>
    <x v="0"/>
    <x v="1561"/>
  </r>
  <r>
    <x v="0"/>
    <x v="3"/>
    <x v="2"/>
    <x v="1"/>
    <x v="2"/>
    <x v="1"/>
    <x v="2"/>
    <x v="2"/>
    <x v="1562"/>
    <x v="0"/>
    <x v="1562"/>
  </r>
  <r>
    <x v="0"/>
    <x v="3"/>
    <x v="2"/>
    <x v="1"/>
    <x v="2"/>
    <x v="2"/>
    <x v="0"/>
    <x v="0"/>
    <x v="1563"/>
    <x v="0"/>
    <x v="1563"/>
  </r>
  <r>
    <x v="0"/>
    <x v="3"/>
    <x v="2"/>
    <x v="1"/>
    <x v="2"/>
    <x v="2"/>
    <x v="1"/>
    <x v="3"/>
    <x v="1564"/>
    <x v="0"/>
    <x v="1564"/>
  </r>
  <r>
    <x v="0"/>
    <x v="3"/>
    <x v="2"/>
    <x v="1"/>
    <x v="2"/>
    <x v="2"/>
    <x v="2"/>
    <x v="2"/>
    <x v="1565"/>
    <x v="0"/>
    <x v="1565"/>
  </r>
  <r>
    <x v="0"/>
    <x v="3"/>
    <x v="2"/>
    <x v="2"/>
    <x v="0"/>
    <x v="0"/>
    <x v="0"/>
    <x v="0"/>
    <x v="1566"/>
    <x v="0"/>
    <x v="1566"/>
  </r>
  <r>
    <x v="0"/>
    <x v="3"/>
    <x v="2"/>
    <x v="2"/>
    <x v="0"/>
    <x v="0"/>
    <x v="1"/>
    <x v="0"/>
    <x v="1567"/>
    <x v="0"/>
    <x v="1567"/>
  </r>
  <r>
    <x v="0"/>
    <x v="3"/>
    <x v="2"/>
    <x v="2"/>
    <x v="0"/>
    <x v="0"/>
    <x v="2"/>
    <x v="0"/>
    <x v="1568"/>
    <x v="0"/>
    <x v="1568"/>
  </r>
  <r>
    <x v="0"/>
    <x v="3"/>
    <x v="2"/>
    <x v="2"/>
    <x v="0"/>
    <x v="1"/>
    <x v="0"/>
    <x v="0"/>
    <x v="1569"/>
    <x v="0"/>
    <x v="1569"/>
  </r>
  <r>
    <x v="0"/>
    <x v="3"/>
    <x v="2"/>
    <x v="2"/>
    <x v="0"/>
    <x v="1"/>
    <x v="1"/>
    <x v="0"/>
    <x v="1570"/>
    <x v="0"/>
    <x v="1570"/>
  </r>
  <r>
    <x v="0"/>
    <x v="3"/>
    <x v="2"/>
    <x v="2"/>
    <x v="0"/>
    <x v="1"/>
    <x v="2"/>
    <x v="0"/>
    <x v="1571"/>
    <x v="0"/>
    <x v="1571"/>
  </r>
  <r>
    <x v="0"/>
    <x v="3"/>
    <x v="2"/>
    <x v="2"/>
    <x v="0"/>
    <x v="2"/>
    <x v="0"/>
    <x v="0"/>
    <x v="1572"/>
    <x v="0"/>
    <x v="1572"/>
  </r>
  <r>
    <x v="0"/>
    <x v="3"/>
    <x v="2"/>
    <x v="2"/>
    <x v="0"/>
    <x v="2"/>
    <x v="1"/>
    <x v="0"/>
    <x v="1573"/>
    <x v="0"/>
    <x v="1573"/>
  </r>
  <r>
    <x v="0"/>
    <x v="3"/>
    <x v="2"/>
    <x v="2"/>
    <x v="0"/>
    <x v="2"/>
    <x v="2"/>
    <x v="0"/>
    <x v="1574"/>
    <x v="0"/>
    <x v="1574"/>
  </r>
  <r>
    <x v="0"/>
    <x v="3"/>
    <x v="2"/>
    <x v="2"/>
    <x v="1"/>
    <x v="0"/>
    <x v="0"/>
    <x v="0"/>
    <x v="1575"/>
    <x v="0"/>
    <x v="1575"/>
  </r>
  <r>
    <x v="0"/>
    <x v="3"/>
    <x v="2"/>
    <x v="2"/>
    <x v="1"/>
    <x v="0"/>
    <x v="1"/>
    <x v="1"/>
    <x v="1576"/>
    <x v="0"/>
    <x v="1576"/>
  </r>
  <r>
    <x v="0"/>
    <x v="3"/>
    <x v="2"/>
    <x v="2"/>
    <x v="1"/>
    <x v="0"/>
    <x v="2"/>
    <x v="3"/>
    <x v="1577"/>
    <x v="0"/>
    <x v="1577"/>
  </r>
  <r>
    <x v="0"/>
    <x v="3"/>
    <x v="2"/>
    <x v="2"/>
    <x v="1"/>
    <x v="1"/>
    <x v="0"/>
    <x v="0"/>
    <x v="1578"/>
    <x v="0"/>
    <x v="1578"/>
  </r>
  <r>
    <x v="0"/>
    <x v="3"/>
    <x v="2"/>
    <x v="2"/>
    <x v="1"/>
    <x v="1"/>
    <x v="1"/>
    <x v="3"/>
    <x v="1579"/>
    <x v="0"/>
    <x v="1579"/>
  </r>
  <r>
    <x v="0"/>
    <x v="3"/>
    <x v="2"/>
    <x v="2"/>
    <x v="1"/>
    <x v="1"/>
    <x v="2"/>
    <x v="2"/>
    <x v="1580"/>
    <x v="0"/>
    <x v="1580"/>
  </r>
  <r>
    <x v="0"/>
    <x v="3"/>
    <x v="2"/>
    <x v="2"/>
    <x v="1"/>
    <x v="2"/>
    <x v="0"/>
    <x v="0"/>
    <x v="1581"/>
    <x v="0"/>
    <x v="1581"/>
  </r>
  <r>
    <x v="0"/>
    <x v="3"/>
    <x v="2"/>
    <x v="2"/>
    <x v="1"/>
    <x v="2"/>
    <x v="1"/>
    <x v="3"/>
    <x v="1582"/>
    <x v="0"/>
    <x v="1582"/>
  </r>
  <r>
    <x v="0"/>
    <x v="3"/>
    <x v="2"/>
    <x v="2"/>
    <x v="1"/>
    <x v="2"/>
    <x v="2"/>
    <x v="2"/>
    <x v="1583"/>
    <x v="0"/>
    <x v="1583"/>
  </r>
  <r>
    <x v="0"/>
    <x v="3"/>
    <x v="2"/>
    <x v="2"/>
    <x v="2"/>
    <x v="0"/>
    <x v="0"/>
    <x v="0"/>
    <x v="1584"/>
    <x v="0"/>
    <x v="1584"/>
  </r>
  <r>
    <x v="0"/>
    <x v="3"/>
    <x v="2"/>
    <x v="2"/>
    <x v="2"/>
    <x v="0"/>
    <x v="1"/>
    <x v="1"/>
    <x v="1585"/>
    <x v="0"/>
    <x v="1585"/>
  </r>
  <r>
    <x v="0"/>
    <x v="3"/>
    <x v="2"/>
    <x v="2"/>
    <x v="2"/>
    <x v="0"/>
    <x v="2"/>
    <x v="3"/>
    <x v="1586"/>
    <x v="0"/>
    <x v="1586"/>
  </r>
  <r>
    <x v="0"/>
    <x v="3"/>
    <x v="2"/>
    <x v="2"/>
    <x v="2"/>
    <x v="1"/>
    <x v="0"/>
    <x v="0"/>
    <x v="1587"/>
    <x v="0"/>
    <x v="1587"/>
  </r>
  <r>
    <x v="0"/>
    <x v="3"/>
    <x v="2"/>
    <x v="2"/>
    <x v="2"/>
    <x v="1"/>
    <x v="1"/>
    <x v="3"/>
    <x v="1588"/>
    <x v="0"/>
    <x v="1588"/>
  </r>
  <r>
    <x v="0"/>
    <x v="3"/>
    <x v="2"/>
    <x v="2"/>
    <x v="2"/>
    <x v="1"/>
    <x v="2"/>
    <x v="2"/>
    <x v="1589"/>
    <x v="0"/>
    <x v="1589"/>
  </r>
  <r>
    <x v="0"/>
    <x v="3"/>
    <x v="2"/>
    <x v="2"/>
    <x v="2"/>
    <x v="2"/>
    <x v="0"/>
    <x v="0"/>
    <x v="1590"/>
    <x v="0"/>
    <x v="1590"/>
  </r>
  <r>
    <x v="0"/>
    <x v="3"/>
    <x v="2"/>
    <x v="2"/>
    <x v="2"/>
    <x v="2"/>
    <x v="1"/>
    <x v="3"/>
    <x v="1591"/>
    <x v="0"/>
    <x v="1591"/>
  </r>
  <r>
    <x v="0"/>
    <x v="3"/>
    <x v="2"/>
    <x v="2"/>
    <x v="2"/>
    <x v="2"/>
    <x v="2"/>
    <x v="2"/>
    <x v="1592"/>
    <x v="0"/>
    <x v="1592"/>
  </r>
  <r>
    <x v="0"/>
    <x v="3"/>
    <x v="2"/>
    <x v="3"/>
    <x v="0"/>
    <x v="0"/>
    <x v="0"/>
    <x v="0"/>
    <x v="1593"/>
    <x v="0"/>
    <x v="1593"/>
  </r>
  <r>
    <x v="0"/>
    <x v="3"/>
    <x v="2"/>
    <x v="3"/>
    <x v="0"/>
    <x v="0"/>
    <x v="1"/>
    <x v="0"/>
    <x v="1594"/>
    <x v="0"/>
    <x v="1594"/>
  </r>
  <r>
    <x v="0"/>
    <x v="3"/>
    <x v="2"/>
    <x v="3"/>
    <x v="0"/>
    <x v="0"/>
    <x v="2"/>
    <x v="0"/>
    <x v="1595"/>
    <x v="0"/>
    <x v="1595"/>
  </r>
  <r>
    <x v="0"/>
    <x v="3"/>
    <x v="2"/>
    <x v="3"/>
    <x v="0"/>
    <x v="1"/>
    <x v="0"/>
    <x v="0"/>
    <x v="1596"/>
    <x v="0"/>
    <x v="1596"/>
  </r>
  <r>
    <x v="0"/>
    <x v="3"/>
    <x v="2"/>
    <x v="3"/>
    <x v="0"/>
    <x v="1"/>
    <x v="1"/>
    <x v="0"/>
    <x v="1597"/>
    <x v="0"/>
    <x v="1597"/>
  </r>
  <r>
    <x v="0"/>
    <x v="3"/>
    <x v="2"/>
    <x v="3"/>
    <x v="0"/>
    <x v="1"/>
    <x v="2"/>
    <x v="0"/>
    <x v="1598"/>
    <x v="0"/>
    <x v="1598"/>
  </r>
  <r>
    <x v="0"/>
    <x v="3"/>
    <x v="2"/>
    <x v="3"/>
    <x v="0"/>
    <x v="2"/>
    <x v="0"/>
    <x v="0"/>
    <x v="1599"/>
    <x v="0"/>
    <x v="1599"/>
  </r>
  <r>
    <x v="0"/>
    <x v="3"/>
    <x v="2"/>
    <x v="3"/>
    <x v="0"/>
    <x v="2"/>
    <x v="1"/>
    <x v="0"/>
    <x v="1600"/>
    <x v="0"/>
    <x v="1600"/>
  </r>
  <r>
    <x v="0"/>
    <x v="3"/>
    <x v="2"/>
    <x v="3"/>
    <x v="0"/>
    <x v="2"/>
    <x v="2"/>
    <x v="0"/>
    <x v="1601"/>
    <x v="0"/>
    <x v="1601"/>
  </r>
  <r>
    <x v="0"/>
    <x v="3"/>
    <x v="2"/>
    <x v="3"/>
    <x v="1"/>
    <x v="0"/>
    <x v="0"/>
    <x v="0"/>
    <x v="1602"/>
    <x v="0"/>
    <x v="1602"/>
  </r>
  <r>
    <x v="0"/>
    <x v="3"/>
    <x v="2"/>
    <x v="3"/>
    <x v="1"/>
    <x v="0"/>
    <x v="1"/>
    <x v="1"/>
    <x v="1603"/>
    <x v="0"/>
    <x v="1603"/>
  </r>
  <r>
    <x v="0"/>
    <x v="3"/>
    <x v="2"/>
    <x v="3"/>
    <x v="1"/>
    <x v="0"/>
    <x v="2"/>
    <x v="3"/>
    <x v="1604"/>
    <x v="0"/>
    <x v="1604"/>
  </r>
  <r>
    <x v="0"/>
    <x v="3"/>
    <x v="2"/>
    <x v="3"/>
    <x v="1"/>
    <x v="1"/>
    <x v="0"/>
    <x v="0"/>
    <x v="1605"/>
    <x v="0"/>
    <x v="1605"/>
  </r>
  <r>
    <x v="0"/>
    <x v="3"/>
    <x v="2"/>
    <x v="3"/>
    <x v="1"/>
    <x v="1"/>
    <x v="1"/>
    <x v="3"/>
    <x v="1606"/>
    <x v="0"/>
    <x v="1606"/>
  </r>
  <r>
    <x v="0"/>
    <x v="3"/>
    <x v="2"/>
    <x v="3"/>
    <x v="1"/>
    <x v="1"/>
    <x v="2"/>
    <x v="2"/>
    <x v="1607"/>
    <x v="0"/>
    <x v="1607"/>
  </r>
  <r>
    <x v="0"/>
    <x v="3"/>
    <x v="2"/>
    <x v="3"/>
    <x v="1"/>
    <x v="2"/>
    <x v="0"/>
    <x v="0"/>
    <x v="1608"/>
    <x v="0"/>
    <x v="1608"/>
  </r>
  <r>
    <x v="0"/>
    <x v="3"/>
    <x v="2"/>
    <x v="3"/>
    <x v="1"/>
    <x v="2"/>
    <x v="1"/>
    <x v="3"/>
    <x v="1609"/>
    <x v="0"/>
    <x v="1609"/>
  </r>
  <r>
    <x v="0"/>
    <x v="3"/>
    <x v="2"/>
    <x v="3"/>
    <x v="1"/>
    <x v="2"/>
    <x v="2"/>
    <x v="2"/>
    <x v="1610"/>
    <x v="0"/>
    <x v="1610"/>
  </r>
  <r>
    <x v="0"/>
    <x v="3"/>
    <x v="2"/>
    <x v="3"/>
    <x v="2"/>
    <x v="0"/>
    <x v="0"/>
    <x v="0"/>
    <x v="1611"/>
    <x v="0"/>
    <x v="1611"/>
  </r>
  <r>
    <x v="0"/>
    <x v="3"/>
    <x v="2"/>
    <x v="3"/>
    <x v="2"/>
    <x v="0"/>
    <x v="1"/>
    <x v="1"/>
    <x v="1612"/>
    <x v="0"/>
    <x v="1612"/>
  </r>
  <r>
    <x v="0"/>
    <x v="3"/>
    <x v="2"/>
    <x v="3"/>
    <x v="2"/>
    <x v="0"/>
    <x v="2"/>
    <x v="3"/>
    <x v="1613"/>
    <x v="0"/>
    <x v="1613"/>
  </r>
  <r>
    <x v="0"/>
    <x v="3"/>
    <x v="2"/>
    <x v="3"/>
    <x v="2"/>
    <x v="1"/>
    <x v="0"/>
    <x v="0"/>
    <x v="1614"/>
    <x v="0"/>
    <x v="1614"/>
  </r>
  <r>
    <x v="0"/>
    <x v="3"/>
    <x v="2"/>
    <x v="3"/>
    <x v="2"/>
    <x v="1"/>
    <x v="1"/>
    <x v="3"/>
    <x v="1615"/>
    <x v="0"/>
    <x v="1615"/>
  </r>
  <r>
    <x v="0"/>
    <x v="3"/>
    <x v="2"/>
    <x v="3"/>
    <x v="2"/>
    <x v="1"/>
    <x v="2"/>
    <x v="2"/>
    <x v="1616"/>
    <x v="0"/>
    <x v="1616"/>
  </r>
  <r>
    <x v="0"/>
    <x v="3"/>
    <x v="2"/>
    <x v="3"/>
    <x v="2"/>
    <x v="2"/>
    <x v="0"/>
    <x v="0"/>
    <x v="1617"/>
    <x v="0"/>
    <x v="1617"/>
  </r>
  <r>
    <x v="0"/>
    <x v="3"/>
    <x v="2"/>
    <x v="3"/>
    <x v="2"/>
    <x v="2"/>
    <x v="1"/>
    <x v="3"/>
    <x v="1618"/>
    <x v="0"/>
    <x v="1618"/>
  </r>
  <r>
    <x v="0"/>
    <x v="3"/>
    <x v="2"/>
    <x v="3"/>
    <x v="2"/>
    <x v="2"/>
    <x v="2"/>
    <x v="2"/>
    <x v="1619"/>
    <x v="0"/>
    <x v="1619"/>
  </r>
  <r>
    <x v="0"/>
    <x v="3"/>
    <x v="3"/>
    <x v="0"/>
    <x v="0"/>
    <x v="0"/>
    <x v="0"/>
    <x v="0"/>
    <x v="1620"/>
    <x v="0"/>
    <x v="1620"/>
  </r>
  <r>
    <x v="0"/>
    <x v="3"/>
    <x v="3"/>
    <x v="0"/>
    <x v="0"/>
    <x v="0"/>
    <x v="1"/>
    <x v="0"/>
    <x v="1621"/>
    <x v="0"/>
    <x v="1621"/>
  </r>
  <r>
    <x v="0"/>
    <x v="3"/>
    <x v="3"/>
    <x v="0"/>
    <x v="0"/>
    <x v="0"/>
    <x v="2"/>
    <x v="0"/>
    <x v="1622"/>
    <x v="0"/>
    <x v="1622"/>
  </r>
  <r>
    <x v="0"/>
    <x v="3"/>
    <x v="3"/>
    <x v="0"/>
    <x v="0"/>
    <x v="1"/>
    <x v="0"/>
    <x v="0"/>
    <x v="1623"/>
    <x v="0"/>
    <x v="1623"/>
  </r>
  <r>
    <x v="0"/>
    <x v="3"/>
    <x v="3"/>
    <x v="0"/>
    <x v="0"/>
    <x v="1"/>
    <x v="1"/>
    <x v="0"/>
    <x v="1624"/>
    <x v="0"/>
    <x v="1624"/>
  </r>
  <r>
    <x v="0"/>
    <x v="3"/>
    <x v="3"/>
    <x v="0"/>
    <x v="0"/>
    <x v="1"/>
    <x v="2"/>
    <x v="0"/>
    <x v="1625"/>
    <x v="0"/>
    <x v="1625"/>
  </r>
  <r>
    <x v="0"/>
    <x v="3"/>
    <x v="3"/>
    <x v="0"/>
    <x v="0"/>
    <x v="2"/>
    <x v="0"/>
    <x v="0"/>
    <x v="1626"/>
    <x v="0"/>
    <x v="1626"/>
  </r>
  <r>
    <x v="0"/>
    <x v="3"/>
    <x v="3"/>
    <x v="0"/>
    <x v="0"/>
    <x v="2"/>
    <x v="1"/>
    <x v="0"/>
    <x v="1627"/>
    <x v="0"/>
    <x v="1627"/>
  </r>
  <r>
    <x v="0"/>
    <x v="3"/>
    <x v="3"/>
    <x v="0"/>
    <x v="0"/>
    <x v="2"/>
    <x v="2"/>
    <x v="0"/>
    <x v="1628"/>
    <x v="0"/>
    <x v="1628"/>
  </r>
  <r>
    <x v="0"/>
    <x v="3"/>
    <x v="3"/>
    <x v="0"/>
    <x v="1"/>
    <x v="0"/>
    <x v="0"/>
    <x v="0"/>
    <x v="1629"/>
    <x v="0"/>
    <x v="1629"/>
  </r>
  <r>
    <x v="0"/>
    <x v="3"/>
    <x v="3"/>
    <x v="0"/>
    <x v="1"/>
    <x v="0"/>
    <x v="1"/>
    <x v="1"/>
    <x v="1630"/>
    <x v="0"/>
    <x v="1630"/>
  </r>
  <r>
    <x v="0"/>
    <x v="3"/>
    <x v="3"/>
    <x v="0"/>
    <x v="1"/>
    <x v="0"/>
    <x v="2"/>
    <x v="3"/>
    <x v="1631"/>
    <x v="0"/>
    <x v="1631"/>
  </r>
  <r>
    <x v="0"/>
    <x v="3"/>
    <x v="3"/>
    <x v="0"/>
    <x v="1"/>
    <x v="1"/>
    <x v="0"/>
    <x v="0"/>
    <x v="1632"/>
    <x v="0"/>
    <x v="1632"/>
  </r>
  <r>
    <x v="0"/>
    <x v="3"/>
    <x v="3"/>
    <x v="0"/>
    <x v="1"/>
    <x v="1"/>
    <x v="1"/>
    <x v="1"/>
    <x v="1633"/>
    <x v="0"/>
    <x v="1633"/>
  </r>
  <r>
    <x v="0"/>
    <x v="3"/>
    <x v="3"/>
    <x v="0"/>
    <x v="1"/>
    <x v="1"/>
    <x v="2"/>
    <x v="3"/>
    <x v="1634"/>
    <x v="0"/>
    <x v="1634"/>
  </r>
  <r>
    <x v="0"/>
    <x v="3"/>
    <x v="3"/>
    <x v="0"/>
    <x v="1"/>
    <x v="2"/>
    <x v="0"/>
    <x v="0"/>
    <x v="1635"/>
    <x v="0"/>
    <x v="1635"/>
  </r>
  <r>
    <x v="0"/>
    <x v="3"/>
    <x v="3"/>
    <x v="0"/>
    <x v="1"/>
    <x v="2"/>
    <x v="1"/>
    <x v="3"/>
    <x v="1636"/>
    <x v="0"/>
    <x v="1636"/>
  </r>
  <r>
    <x v="0"/>
    <x v="3"/>
    <x v="3"/>
    <x v="0"/>
    <x v="1"/>
    <x v="2"/>
    <x v="2"/>
    <x v="2"/>
    <x v="1637"/>
    <x v="0"/>
    <x v="1637"/>
  </r>
  <r>
    <x v="0"/>
    <x v="3"/>
    <x v="3"/>
    <x v="0"/>
    <x v="2"/>
    <x v="0"/>
    <x v="0"/>
    <x v="0"/>
    <x v="1638"/>
    <x v="0"/>
    <x v="1638"/>
  </r>
  <r>
    <x v="0"/>
    <x v="3"/>
    <x v="3"/>
    <x v="0"/>
    <x v="2"/>
    <x v="0"/>
    <x v="1"/>
    <x v="0"/>
    <x v="1639"/>
    <x v="0"/>
    <x v="1639"/>
  </r>
  <r>
    <x v="0"/>
    <x v="3"/>
    <x v="3"/>
    <x v="0"/>
    <x v="2"/>
    <x v="0"/>
    <x v="2"/>
    <x v="0"/>
    <x v="1640"/>
    <x v="0"/>
    <x v="1640"/>
  </r>
  <r>
    <x v="0"/>
    <x v="3"/>
    <x v="3"/>
    <x v="0"/>
    <x v="2"/>
    <x v="1"/>
    <x v="0"/>
    <x v="0"/>
    <x v="1641"/>
    <x v="0"/>
    <x v="1641"/>
  </r>
  <r>
    <x v="0"/>
    <x v="3"/>
    <x v="3"/>
    <x v="0"/>
    <x v="2"/>
    <x v="1"/>
    <x v="1"/>
    <x v="1"/>
    <x v="1642"/>
    <x v="0"/>
    <x v="1642"/>
  </r>
  <r>
    <x v="0"/>
    <x v="3"/>
    <x v="3"/>
    <x v="0"/>
    <x v="2"/>
    <x v="1"/>
    <x v="2"/>
    <x v="3"/>
    <x v="1643"/>
    <x v="0"/>
    <x v="1643"/>
  </r>
  <r>
    <x v="0"/>
    <x v="3"/>
    <x v="3"/>
    <x v="0"/>
    <x v="2"/>
    <x v="2"/>
    <x v="0"/>
    <x v="0"/>
    <x v="1644"/>
    <x v="0"/>
    <x v="1644"/>
  </r>
  <r>
    <x v="0"/>
    <x v="3"/>
    <x v="3"/>
    <x v="0"/>
    <x v="2"/>
    <x v="2"/>
    <x v="1"/>
    <x v="3"/>
    <x v="1645"/>
    <x v="0"/>
    <x v="1645"/>
  </r>
  <r>
    <x v="0"/>
    <x v="3"/>
    <x v="3"/>
    <x v="0"/>
    <x v="2"/>
    <x v="2"/>
    <x v="2"/>
    <x v="2"/>
    <x v="1646"/>
    <x v="0"/>
    <x v="1646"/>
  </r>
  <r>
    <x v="0"/>
    <x v="3"/>
    <x v="3"/>
    <x v="1"/>
    <x v="0"/>
    <x v="0"/>
    <x v="0"/>
    <x v="0"/>
    <x v="1647"/>
    <x v="0"/>
    <x v="1647"/>
  </r>
  <r>
    <x v="0"/>
    <x v="3"/>
    <x v="3"/>
    <x v="1"/>
    <x v="0"/>
    <x v="0"/>
    <x v="1"/>
    <x v="0"/>
    <x v="1648"/>
    <x v="0"/>
    <x v="1648"/>
  </r>
  <r>
    <x v="0"/>
    <x v="3"/>
    <x v="3"/>
    <x v="1"/>
    <x v="0"/>
    <x v="0"/>
    <x v="2"/>
    <x v="0"/>
    <x v="1649"/>
    <x v="0"/>
    <x v="1649"/>
  </r>
  <r>
    <x v="0"/>
    <x v="3"/>
    <x v="3"/>
    <x v="1"/>
    <x v="0"/>
    <x v="1"/>
    <x v="0"/>
    <x v="0"/>
    <x v="1650"/>
    <x v="0"/>
    <x v="1650"/>
  </r>
  <r>
    <x v="0"/>
    <x v="3"/>
    <x v="3"/>
    <x v="1"/>
    <x v="0"/>
    <x v="1"/>
    <x v="1"/>
    <x v="0"/>
    <x v="1651"/>
    <x v="0"/>
    <x v="1651"/>
  </r>
  <r>
    <x v="0"/>
    <x v="3"/>
    <x v="3"/>
    <x v="1"/>
    <x v="0"/>
    <x v="1"/>
    <x v="2"/>
    <x v="0"/>
    <x v="1652"/>
    <x v="0"/>
    <x v="1652"/>
  </r>
  <r>
    <x v="0"/>
    <x v="3"/>
    <x v="3"/>
    <x v="1"/>
    <x v="0"/>
    <x v="2"/>
    <x v="0"/>
    <x v="0"/>
    <x v="1653"/>
    <x v="0"/>
    <x v="1653"/>
  </r>
  <r>
    <x v="0"/>
    <x v="3"/>
    <x v="3"/>
    <x v="1"/>
    <x v="0"/>
    <x v="2"/>
    <x v="1"/>
    <x v="0"/>
    <x v="1654"/>
    <x v="0"/>
    <x v="1654"/>
  </r>
  <r>
    <x v="0"/>
    <x v="3"/>
    <x v="3"/>
    <x v="1"/>
    <x v="0"/>
    <x v="2"/>
    <x v="2"/>
    <x v="0"/>
    <x v="1655"/>
    <x v="0"/>
    <x v="1655"/>
  </r>
  <r>
    <x v="0"/>
    <x v="3"/>
    <x v="3"/>
    <x v="1"/>
    <x v="1"/>
    <x v="0"/>
    <x v="0"/>
    <x v="0"/>
    <x v="1656"/>
    <x v="0"/>
    <x v="1656"/>
  </r>
  <r>
    <x v="0"/>
    <x v="3"/>
    <x v="3"/>
    <x v="1"/>
    <x v="1"/>
    <x v="0"/>
    <x v="1"/>
    <x v="1"/>
    <x v="1657"/>
    <x v="0"/>
    <x v="1657"/>
  </r>
  <r>
    <x v="0"/>
    <x v="3"/>
    <x v="3"/>
    <x v="1"/>
    <x v="1"/>
    <x v="0"/>
    <x v="2"/>
    <x v="3"/>
    <x v="1658"/>
    <x v="0"/>
    <x v="1658"/>
  </r>
  <r>
    <x v="0"/>
    <x v="3"/>
    <x v="3"/>
    <x v="1"/>
    <x v="1"/>
    <x v="1"/>
    <x v="0"/>
    <x v="0"/>
    <x v="1659"/>
    <x v="0"/>
    <x v="1659"/>
  </r>
  <r>
    <x v="0"/>
    <x v="3"/>
    <x v="3"/>
    <x v="1"/>
    <x v="1"/>
    <x v="1"/>
    <x v="1"/>
    <x v="1"/>
    <x v="1660"/>
    <x v="0"/>
    <x v="1660"/>
  </r>
  <r>
    <x v="0"/>
    <x v="3"/>
    <x v="3"/>
    <x v="1"/>
    <x v="1"/>
    <x v="1"/>
    <x v="2"/>
    <x v="3"/>
    <x v="1661"/>
    <x v="0"/>
    <x v="1661"/>
  </r>
  <r>
    <x v="0"/>
    <x v="3"/>
    <x v="3"/>
    <x v="1"/>
    <x v="1"/>
    <x v="2"/>
    <x v="0"/>
    <x v="0"/>
    <x v="1662"/>
    <x v="0"/>
    <x v="1662"/>
  </r>
  <r>
    <x v="0"/>
    <x v="3"/>
    <x v="3"/>
    <x v="1"/>
    <x v="1"/>
    <x v="2"/>
    <x v="1"/>
    <x v="3"/>
    <x v="1663"/>
    <x v="0"/>
    <x v="1663"/>
  </r>
  <r>
    <x v="0"/>
    <x v="3"/>
    <x v="3"/>
    <x v="1"/>
    <x v="1"/>
    <x v="2"/>
    <x v="2"/>
    <x v="2"/>
    <x v="1664"/>
    <x v="0"/>
    <x v="1664"/>
  </r>
  <r>
    <x v="0"/>
    <x v="3"/>
    <x v="3"/>
    <x v="1"/>
    <x v="2"/>
    <x v="0"/>
    <x v="0"/>
    <x v="0"/>
    <x v="1665"/>
    <x v="0"/>
    <x v="1665"/>
  </r>
  <r>
    <x v="0"/>
    <x v="3"/>
    <x v="3"/>
    <x v="1"/>
    <x v="2"/>
    <x v="0"/>
    <x v="1"/>
    <x v="1"/>
    <x v="1666"/>
    <x v="0"/>
    <x v="1666"/>
  </r>
  <r>
    <x v="0"/>
    <x v="3"/>
    <x v="3"/>
    <x v="1"/>
    <x v="2"/>
    <x v="0"/>
    <x v="2"/>
    <x v="3"/>
    <x v="1667"/>
    <x v="0"/>
    <x v="1667"/>
  </r>
  <r>
    <x v="0"/>
    <x v="3"/>
    <x v="3"/>
    <x v="1"/>
    <x v="2"/>
    <x v="1"/>
    <x v="0"/>
    <x v="0"/>
    <x v="1668"/>
    <x v="0"/>
    <x v="1668"/>
  </r>
  <r>
    <x v="0"/>
    <x v="3"/>
    <x v="3"/>
    <x v="1"/>
    <x v="2"/>
    <x v="1"/>
    <x v="1"/>
    <x v="3"/>
    <x v="1669"/>
    <x v="0"/>
    <x v="1669"/>
  </r>
  <r>
    <x v="0"/>
    <x v="3"/>
    <x v="3"/>
    <x v="1"/>
    <x v="2"/>
    <x v="1"/>
    <x v="2"/>
    <x v="2"/>
    <x v="1670"/>
    <x v="0"/>
    <x v="1670"/>
  </r>
  <r>
    <x v="0"/>
    <x v="3"/>
    <x v="3"/>
    <x v="1"/>
    <x v="2"/>
    <x v="2"/>
    <x v="0"/>
    <x v="0"/>
    <x v="1671"/>
    <x v="0"/>
    <x v="1671"/>
  </r>
  <r>
    <x v="0"/>
    <x v="3"/>
    <x v="3"/>
    <x v="1"/>
    <x v="2"/>
    <x v="2"/>
    <x v="1"/>
    <x v="3"/>
    <x v="1672"/>
    <x v="0"/>
    <x v="1672"/>
  </r>
  <r>
    <x v="0"/>
    <x v="3"/>
    <x v="3"/>
    <x v="1"/>
    <x v="2"/>
    <x v="2"/>
    <x v="2"/>
    <x v="2"/>
    <x v="1673"/>
    <x v="0"/>
    <x v="1673"/>
  </r>
  <r>
    <x v="0"/>
    <x v="3"/>
    <x v="3"/>
    <x v="2"/>
    <x v="0"/>
    <x v="0"/>
    <x v="0"/>
    <x v="0"/>
    <x v="1674"/>
    <x v="0"/>
    <x v="1674"/>
  </r>
  <r>
    <x v="0"/>
    <x v="3"/>
    <x v="3"/>
    <x v="2"/>
    <x v="0"/>
    <x v="0"/>
    <x v="1"/>
    <x v="0"/>
    <x v="1675"/>
    <x v="0"/>
    <x v="1675"/>
  </r>
  <r>
    <x v="0"/>
    <x v="3"/>
    <x v="3"/>
    <x v="2"/>
    <x v="0"/>
    <x v="0"/>
    <x v="2"/>
    <x v="0"/>
    <x v="1676"/>
    <x v="0"/>
    <x v="1676"/>
  </r>
  <r>
    <x v="0"/>
    <x v="3"/>
    <x v="3"/>
    <x v="2"/>
    <x v="0"/>
    <x v="1"/>
    <x v="0"/>
    <x v="0"/>
    <x v="1677"/>
    <x v="0"/>
    <x v="1677"/>
  </r>
  <r>
    <x v="0"/>
    <x v="3"/>
    <x v="3"/>
    <x v="2"/>
    <x v="0"/>
    <x v="1"/>
    <x v="1"/>
    <x v="0"/>
    <x v="1678"/>
    <x v="0"/>
    <x v="1678"/>
  </r>
  <r>
    <x v="0"/>
    <x v="3"/>
    <x v="3"/>
    <x v="2"/>
    <x v="0"/>
    <x v="1"/>
    <x v="2"/>
    <x v="0"/>
    <x v="1679"/>
    <x v="0"/>
    <x v="1679"/>
  </r>
  <r>
    <x v="0"/>
    <x v="3"/>
    <x v="3"/>
    <x v="2"/>
    <x v="0"/>
    <x v="2"/>
    <x v="0"/>
    <x v="0"/>
    <x v="1680"/>
    <x v="0"/>
    <x v="1680"/>
  </r>
  <r>
    <x v="0"/>
    <x v="3"/>
    <x v="3"/>
    <x v="2"/>
    <x v="0"/>
    <x v="2"/>
    <x v="1"/>
    <x v="0"/>
    <x v="1681"/>
    <x v="0"/>
    <x v="1681"/>
  </r>
  <r>
    <x v="0"/>
    <x v="3"/>
    <x v="3"/>
    <x v="2"/>
    <x v="0"/>
    <x v="2"/>
    <x v="2"/>
    <x v="0"/>
    <x v="1682"/>
    <x v="0"/>
    <x v="1682"/>
  </r>
  <r>
    <x v="0"/>
    <x v="3"/>
    <x v="3"/>
    <x v="2"/>
    <x v="1"/>
    <x v="0"/>
    <x v="0"/>
    <x v="0"/>
    <x v="1683"/>
    <x v="0"/>
    <x v="1683"/>
  </r>
  <r>
    <x v="0"/>
    <x v="3"/>
    <x v="3"/>
    <x v="2"/>
    <x v="1"/>
    <x v="0"/>
    <x v="1"/>
    <x v="1"/>
    <x v="1684"/>
    <x v="0"/>
    <x v="1684"/>
  </r>
  <r>
    <x v="0"/>
    <x v="3"/>
    <x v="3"/>
    <x v="2"/>
    <x v="1"/>
    <x v="0"/>
    <x v="2"/>
    <x v="3"/>
    <x v="1685"/>
    <x v="0"/>
    <x v="1685"/>
  </r>
  <r>
    <x v="0"/>
    <x v="3"/>
    <x v="3"/>
    <x v="2"/>
    <x v="1"/>
    <x v="1"/>
    <x v="0"/>
    <x v="0"/>
    <x v="1686"/>
    <x v="0"/>
    <x v="1686"/>
  </r>
  <r>
    <x v="0"/>
    <x v="3"/>
    <x v="3"/>
    <x v="2"/>
    <x v="1"/>
    <x v="1"/>
    <x v="1"/>
    <x v="3"/>
    <x v="1687"/>
    <x v="0"/>
    <x v="1687"/>
  </r>
  <r>
    <x v="0"/>
    <x v="3"/>
    <x v="3"/>
    <x v="2"/>
    <x v="1"/>
    <x v="1"/>
    <x v="2"/>
    <x v="2"/>
    <x v="1688"/>
    <x v="0"/>
    <x v="1688"/>
  </r>
  <r>
    <x v="0"/>
    <x v="3"/>
    <x v="3"/>
    <x v="2"/>
    <x v="1"/>
    <x v="2"/>
    <x v="0"/>
    <x v="0"/>
    <x v="1689"/>
    <x v="0"/>
    <x v="1689"/>
  </r>
  <r>
    <x v="0"/>
    <x v="3"/>
    <x v="3"/>
    <x v="2"/>
    <x v="1"/>
    <x v="2"/>
    <x v="1"/>
    <x v="3"/>
    <x v="1690"/>
    <x v="0"/>
    <x v="1690"/>
  </r>
  <r>
    <x v="0"/>
    <x v="3"/>
    <x v="3"/>
    <x v="2"/>
    <x v="1"/>
    <x v="2"/>
    <x v="2"/>
    <x v="2"/>
    <x v="1691"/>
    <x v="0"/>
    <x v="1691"/>
  </r>
  <r>
    <x v="0"/>
    <x v="3"/>
    <x v="3"/>
    <x v="2"/>
    <x v="2"/>
    <x v="0"/>
    <x v="0"/>
    <x v="0"/>
    <x v="1692"/>
    <x v="0"/>
    <x v="1692"/>
  </r>
  <r>
    <x v="0"/>
    <x v="3"/>
    <x v="3"/>
    <x v="2"/>
    <x v="2"/>
    <x v="0"/>
    <x v="1"/>
    <x v="1"/>
    <x v="1693"/>
    <x v="0"/>
    <x v="1693"/>
  </r>
  <r>
    <x v="0"/>
    <x v="3"/>
    <x v="3"/>
    <x v="2"/>
    <x v="2"/>
    <x v="0"/>
    <x v="2"/>
    <x v="3"/>
    <x v="1694"/>
    <x v="0"/>
    <x v="1694"/>
  </r>
  <r>
    <x v="0"/>
    <x v="3"/>
    <x v="3"/>
    <x v="2"/>
    <x v="2"/>
    <x v="1"/>
    <x v="0"/>
    <x v="0"/>
    <x v="1695"/>
    <x v="0"/>
    <x v="1695"/>
  </r>
  <r>
    <x v="0"/>
    <x v="3"/>
    <x v="3"/>
    <x v="2"/>
    <x v="2"/>
    <x v="1"/>
    <x v="1"/>
    <x v="3"/>
    <x v="1696"/>
    <x v="0"/>
    <x v="1696"/>
  </r>
  <r>
    <x v="0"/>
    <x v="3"/>
    <x v="3"/>
    <x v="2"/>
    <x v="2"/>
    <x v="1"/>
    <x v="2"/>
    <x v="2"/>
    <x v="1697"/>
    <x v="0"/>
    <x v="1697"/>
  </r>
  <r>
    <x v="0"/>
    <x v="3"/>
    <x v="3"/>
    <x v="2"/>
    <x v="2"/>
    <x v="2"/>
    <x v="0"/>
    <x v="0"/>
    <x v="1698"/>
    <x v="0"/>
    <x v="1698"/>
  </r>
  <r>
    <x v="0"/>
    <x v="3"/>
    <x v="3"/>
    <x v="2"/>
    <x v="2"/>
    <x v="2"/>
    <x v="1"/>
    <x v="3"/>
    <x v="1699"/>
    <x v="0"/>
    <x v="1699"/>
  </r>
  <r>
    <x v="0"/>
    <x v="3"/>
    <x v="3"/>
    <x v="2"/>
    <x v="2"/>
    <x v="2"/>
    <x v="2"/>
    <x v="2"/>
    <x v="1700"/>
    <x v="0"/>
    <x v="1700"/>
  </r>
  <r>
    <x v="0"/>
    <x v="3"/>
    <x v="3"/>
    <x v="3"/>
    <x v="0"/>
    <x v="0"/>
    <x v="0"/>
    <x v="0"/>
    <x v="1701"/>
    <x v="0"/>
    <x v="1701"/>
  </r>
  <r>
    <x v="0"/>
    <x v="3"/>
    <x v="3"/>
    <x v="3"/>
    <x v="0"/>
    <x v="0"/>
    <x v="1"/>
    <x v="0"/>
    <x v="1702"/>
    <x v="0"/>
    <x v="1702"/>
  </r>
  <r>
    <x v="0"/>
    <x v="3"/>
    <x v="3"/>
    <x v="3"/>
    <x v="0"/>
    <x v="0"/>
    <x v="2"/>
    <x v="0"/>
    <x v="1703"/>
    <x v="0"/>
    <x v="1703"/>
  </r>
  <r>
    <x v="0"/>
    <x v="3"/>
    <x v="3"/>
    <x v="3"/>
    <x v="0"/>
    <x v="1"/>
    <x v="0"/>
    <x v="0"/>
    <x v="1704"/>
    <x v="0"/>
    <x v="1704"/>
  </r>
  <r>
    <x v="0"/>
    <x v="3"/>
    <x v="3"/>
    <x v="3"/>
    <x v="0"/>
    <x v="1"/>
    <x v="1"/>
    <x v="0"/>
    <x v="1705"/>
    <x v="0"/>
    <x v="1705"/>
  </r>
  <r>
    <x v="0"/>
    <x v="3"/>
    <x v="3"/>
    <x v="3"/>
    <x v="0"/>
    <x v="1"/>
    <x v="2"/>
    <x v="0"/>
    <x v="1706"/>
    <x v="0"/>
    <x v="1706"/>
  </r>
  <r>
    <x v="0"/>
    <x v="3"/>
    <x v="3"/>
    <x v="3"/>
    <x v="0"/>
    <x v="2"/>
    <x v="0"/>
    <x v="0"/>
    <x v="1707"/>
    <x v="0"/>
    <x v="1707"/>
  </r>
  <r>
    <x v="0"/>
    <x v="3"/>
    <x v="3"/>
    <x v="3"/>
    <x v="0"/>
    <x v="2"/>
    <x v="1"/>
    <x v="0"/>
    <x v="1708"/>
    <x v="0"/>
    <x v="1708"/>
  </r>
  <r>
    <x v="0"/>
    <x v="3"/>
    <x v="3"/>
    <x v="3"/>
    <x v="0"/>
    <x v="2"/>
    <x v="2"/>
    <x v="0"/>
    <x v="1709"/>
    <x v="0"/>
    <x v="1709"/>
  </r>
  <r>
    <x v="0"/>
    <x v="3"/>
    <x v="3"/>
    <x v="3"/>
    <x v="1"/>
    <x v="0"/>
    <x v="0"/>
    <x v="0"/>
    <x v="1710"/>
    <x v="0"/>
    <x v="1710"/>
  </r>
  <r>
    <x v="0"/>
    <x v="3"/>
    <x v="3"/>
    <x v="3"/>
    <x v="1"/>
    <x v="0"/>
    <x v="1"/>
    <x v="1"/>
    <x v="1711"/>
    <x v="0"/>
    <x v="1711"/>
  </r>
  <r>
    <x v="0"/>
    <x v="3"/>
    <x v="3"/>
    <x v="3"/>
    <x v="1"/>
    <x v="0"/>
    <x v="2"/>
    <x v="3"/>
    <x v="1712"/>
    <x v="0"/>
    <x v="1712"/>
  </r>
  <r>
    <x v="0"/>
    <x v="3"/>
    <x v="3"/>
    <x v="3"/>
    <x v="1"/>
    <x v="1"/>
    <x v="0"/>
    <x v="0"/>
    <x v="1713"/>
    <x v="0"/>
    <x v="1713"/>
  </r>
  <r>
    <x v="0"/>
    <x v="3"/>
    <x v="3"/>
    <x v="3"/>
    <x v="1"/>
    <x v="1"/>
    <x v="1"/>
    <x v="3"/>
    <x v="1714"/>
    <x v="0"/>
    <x v="1714"/>
  </r>
  <r>
    <x v="0"/>
    <x v="3"/>
    <x v="3"/>
    <x v="3"/>
    <x v="1"/>
    <x v="1"/>
    <x v="2"/>
    <x v="2"/>
    <x v="1715"/>
    <x v="0"/>
    <x v="1715"/>
  </r>
  <r>
    <x v="0"/>
    <x v="3"/>
    <x v="3"/>
    <x v="3"/>
    <x v="1"/>
    <x v="2"/>
    <x v="0"/>
    <x v="0"/>
    <x v="1716"/>
    <x v="0"/>
    <x v="1716"/>
  </r>
  <r>
    <x v="0"/>
    <x v="3"/>
    <x v="3"/>
    <x v="3"/>
    <x v="1"/>
    <x v="2"/>
    <x v="1"/>
    <x v="3"/>
    <x v="1717"/>
    <x v="0"/>
    <x v="1717"/>
  </r>
  <r>
    <x v="0"/>
    <x v="3"/>
    <x v="3"/>
    <x v="3"/>
    <x v="1"/>
    <x v="2"/>
    <x v="2"/>
    <x v="2"/>
    <x v="1718"/>
    <x v="0"/>
    <x v="1718"/>
  </r>
  <r>
    <x v="0"/>
    <x v="3"/>
    <x v="3"/>
    <x v="3"/>
    <x v="2"/>
    <x v="0"/>
    <x v="0"/>
    <x v="0"/>
    <x v="1719"/>
    <x v="0"/>
    <x v="1719"/>
  </r>
  <r>
    <x v="0"/>
    <x v="3"/>
    <x v="3"/>
    <x v="3"/>
    <x v="2"/>
    <x v="0"/>
    <x v="1"/>
    <x v="1"/>
    <x v="1720"/>
    <x v="0"/>
    <x v="1720"/>
  </r>
  <r>
    <x v="0"/>
    <x v="3"/>
    <x v="3"/>
    <x v="3"/>
    <x v="2"/>
    <x v="0"/>
    <x v="2"/>
    <x v="3"/>
    <x v="1721"/>
    <x v="0"/>
    <x v="1721"/>
  </r>
  <r>
    <x v="0"/>
    <x v="3"/>
    <x v="3"/>
    <x v="3"/>
    <x v="2"/>
    <x v="1"/>
    <x v="0"/>
    <x v="0"/>
    <x v="1722"/>
    <x v="0"/>
    <x v="1722"/>
  </r>
  <r>
    <x v="0"/>
    <x v="3"/>
    <x v="3"/>
    <x v="3"/>
    <x v="2"/>
    <x v="1"/>
    <x v="1"/>
    <x v="3"/>
    <x v="1723"/>
    <x v="0"/>
    <x v="1723"/>
  </r>
  <r>
    <x v="0"/>
    <x v="3"/>
    <x v="3"/>
    <x v="3"/>
    <x v="2"/>
    <x v="1"/>
    <x v="2"/>
    <x v="2"/>
    <x v="1724"/>
    <x v="0"/>
    <x v="1724"/>
  </r>
  <r>
    <x v="0"/>
    <x v="3"/>
    <x v="3"/>
    <x v="3"/>
    <x v="2"/>
    <x v="2"/>
    <x v="0"/>
    <x v="0"/>
    <x v="1725"/>
    <x v="0"/>
    <x v="1725"/>
  </r>
  <r>
    <x v="0"/>
    <x v="3"/>
    <x v="3"/>
    <x v="3"/>
    <x v="2"/>
    <x v="2"/>
    <x v="1"/>
    <x v="3"/>
    <x v="1726"/>
    <x v="0"/>
    <x v="1726"/>
  </r>
  <r>
    <x v="0"/>
    <x v="3"/>
    <x v="3"/>
    <x v="3"/>
    <x v="2"/>
    <x v="2"/>
    <x v="2"/>
    <x v="2"/>
    <x v="1727"/>
    <x v="0"/>
    <x v="1727"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pivotTable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B0C8B3AD-C6E3-47A6-946E-3DF35EDAC621}" name="pvt_Pivot" cacheId="14" applyNumberFormats="0" applyBorderFormats="0" applyFontFormats="0" applyPatternFormats="0" applyAlignmentFormats="0" applyWidthHeightFormats="1" dataCaption="Values" showError="1" updatedVersion="8" minRefreshableVersion="3" itemPrintTitles="1" createdVersion="8" indent="0" compact="0" compactData="0" multipleFieldFilters="0">
  <location ref="C9:L14" firstHeaderRow="0" firstDataRow="1" firstDataCol="7"/>
  <pivotFields count="11">
    <pivotField compact="0" outline="0" showAll="0" defaultSubtotal="0">
      <items count="1">
        <item sd="0" x="0"/>
      </items>
    </pivotField>
    <pivotField axis="axisRow" compact="0" outline="0" showAll="0" defaultSubtotal="0">
      <items count="4">
        <item sd="0" x="1"/>
        <item sd="0" x="3"/>
        <item sd="0" x="2"/>
        <item sd="0" x="0"/>
      </items>
    </pivotField>
    <pivotField axis="axisRow" compact="0" outline="0" showAll="0" defaultSubtotal="0">
      <items count="4">
        <item sd="0" x="1"/>
        <item sd="0" x="3"/>
        <item sd="0" x="2"/>
        <item sd="0" x="0"/>
      </items>
    </pivotField>
    <pivotField axis="axisRow" compact="0" outline="0" showAll="0" defaultSubtotal="0">
      <items count="4">
        <item sd="0" x="0"/>
        <item sd="0" x="1"/>
        <item sd="0" x="2"/>
        <item sd="0" x="3"/>
      </items>
    </pivotField>
    <pivotField axis="axisRow" compact="0" outline="0" showAll="0" defaultSubtotal="0">
      <items count="3">
        <item sd="0" x="0"/>
        <item sd="0" x="1"/>
        <item sd="0" x="2"/>
      </items>
    </pivotField>
    <pivotField axis="axisRow" compact="0" outline="0" showAll="0" defaultSubtotal="0">
      <items count="3">
        <item sd="0" x="2"/>
        <item sd="0" x="1"/>
        <item sd="0" x="0"/>
      </items>
    </pivotField>
    <pivotField axis="axisRow" compact="0" outline="0" showAll="0" defaultSubtotal="0">
      <items count="3">
        <item sd="0" x="2"/>
        <item sd="0" x="0"/>
        <item sd="0" x="1"/>
      </items>
    </pivotField>
    <pivotField axis="axisRow" compact="0" outline="0" showAll="0" defaultSubtotal="0">
      <items count="4">
        <item x="1"/>
        <item x="3"/>
        <item x="0"/>
        <item x="2"/>
      </items>
    </pivotField>
    <pivotField compact="0" outline="0" showAll="0" defaultSubtotal="0">
      <items count="1728">
        <item sd="0" x="0"/>
        <item sd="0" x="1"/>
        <item sd="0" x="2"/>
        <item sd="0" x="3"/>
        <item sd="0" x="4"/>
        <item sd="0" x="5"/>
        <item sd="0" x="6"/>
        <item sd="0" x="7"/>
        <item sd="0" x="8"/>
        <item sd="0" x="9"/>
        <item sd="0" x="10"/>
        <item sd="0" x="11"/>
        <item sd="0" x="12"/>
        <item sd="0" x="13"/>
        <item sd="0" x="14"/>
        <item sd="0" x="15"/>
        <item sd="0" x="16"/>
        <item sd="0" x="17"/>
        <item sd="0" x="18"/>
        <item sd="0" x="19"/>
        <item sd="0" x="20"/>
        <item sd="0" x="21"/>
        <item sd="0" x="22"/>
        <item sd="0" x="23"/>
        <item sd="0" x="24"/>
        <item sd="0" x="25"/>
        <item sd="0" x="26"/>
        <item sd="0" x="27"/>
        <item sd="0" x="28"/>
        <item sd="0" x="29"/>
        <item sd="0" x="30"/>
        <item sd="0" x="31"/>
        <item sd="0" x="32"/>
        <item sd="0" x="33"/>
        <item sd="0" x="34"/>
        <item sd="0" x="35"/>
        <item sd="0" x="36"/>
        <item sd="0" x="37"/>
        <item sd="0" x="38"/>
        <item sd="0" x="39"/>
        <item sd="0" x="40"/>
        <item sd="0" x="41"/>
        <item sd="0" x="42"/>
        <item sd="0" x="43"/>
        <item sd="0" x="44"/>
        <item sd="0" x="45"/>
        <item sd="0" x="46"/>
        <item sd="0" x="47"/>
        <item sd="0" x="48"/>
        <item sd="0" x="49"/>
        <item sd="0" x="50"/>
        <item sd="0" x="51"/>
        <item sd="0" x="52"/>
        <item sd="0" x="53"/>
        <item sd="0" x="54"/>
        <item sd="0" x="55"/>
        <item sd="0" x="56"/>
        <item sd="0" x="57"/>
        <item sd="0" x="58"/>
        <item sd="0" x="59"/>
        <item sd="0" x="60"/>
        <item sd="0" x="61"/>
        <item sd="0" x="62"/>
        <item sd="0" x="63"/>
        <item sd="0" x="64"/>
        <item sd="0" x="65"/>
        <item sd="0" x="66"/>
        <item sd="0" x="67"/>
        <item sd="0" x="68"/>
        <item sd="0" x="69"/>
        <item sd="0" x="70"/>
        <item sd="0" x="71"/>
        <item sd="0" x="72"/>
        <item sd="0" x="73"/>
        <item sd="0" x="74"/>
        <item sd="0" x="75"/>
        <item sd="0" x="76"/>
        <item sd="0" x="77"/>
        <item sd="0" x="78"/>
        <item sd="0" x="79"/>
        <item sd="0" x="80"/>
        <item sd="0" x="81"/>
        <item sd="0" x="82"/>
        <item sd="0" x="83"/>
        <item sd="0" x="84"/>
        <item sd="0" x="85"/>
        <item sd="0" x="86"/>
        <item sd="0" x="87"/>
        <item sd="0" x="88"/>
        <item sd="0" x="89"/>
        <item sd="0" x="90"/>
        <item sd="0" x="91"/>
        <item sd="0" x="92"/>
        <item sd="0" x="93"/>
        <item sd="0" x="94"/>
        <item sd="0" x="95"/>
        <item sd="0" x="96"/>
        <item sd="0" x="97"/>
        <item sd="0" x="98"/>
        <item sd="0" x="99"/>
        <item sd="0" x="100"/>
        <item sd="0" x="101"/>
        <item sd="0" x="102"/>
        <item sd="0" x="103"/>
        <item sd="0" x="104"/>
        <item sd="0" x="105"/>
        <item sd="0" x="106"/>
        <item sd="0" x="107"/>
        <item sd="0" x="108"/>
        <item sd="0" x="109"/>
        <item sd="0" x="110"/>
        <item sd="0" x="111"/>
        <item sd="0" x="112"/>
        <item sd="0" x="113"/>
        <item sd="0" x="114"/>
        <item sd="0" x="115"/>
        <item sd="0" x="116"/>
        <item sd="0" x="117"/>
        <item sd="0" x="118"/>
        <item sd="0" x="119"/>
        <item sd="0" x="120"/>
        <item sd="0" x="121"/>
        <item sd="0" x="122"/>
        <item sd="0" x="123"/>
        <item sd="0" x="124"/>
        <item sd="0" x="125"/>
        <item sd="0" x="126"/>
        <item sd="0" x="127"/>
        <item sd="0" x="128"/>
        <item sd="0" x="129"/>
        <item sd="0" x="130"/>
        <item sd="0" x="131"/>
        <item sd="0" x="132"/>
        <item sd="0" x="133"/>
        <item sd="0" x="134"/>
        <item sd="0" x="135"/>
        <item sd="0" x="136"/>
        <item sd="0" x="137"/>
        <item sd="0" x="138"/>
        <item sd="0" x="139"/>
        <item sd="0" x="140"/>
        <item sd="0" x="141"/>
        <item sd="0" x="142"/>
        <item sd="0" x="143"/>
        <item sd="0" x="144"/>
        <item sd="0" x="145"/>
        <item sd="0" x="146"/>
        <item sd="0" x="147"/>
        <item sd="0" x="148"/>
        <item sd="0" x="149"/>
        <item sd="0" x="150"/>
        <item sd="0" x="151"/>
        <item sd="0" x="152"/>
        <item sd="0" x="153"/>
        <item sd="0" x="154"/>
        <item sd="0" x="155"/>
        <item sd="0" x="156"/>
        <item sd="0" x="157"/>
        <item sd="0" x="158"/>
        <item sd="0" x="159"/>
        <item sd="0" x="160"/>
        <item sd="0" x="161"/>
        <item sd="0" x="162"/>
        <item sd="0" x="163"/>
        <item sd="0" x="164"/>
        <item sd="0" x="165"/>
        <item sd="0" x="166"/>
        <item sd="0" x="167"/>
        <item sd="0" x="168"/>
        <item sd="0" x="169"/>
        <item sd="0" x="170"/>
        <item sd="0" x="171"/>
        <item sd="0" x="172"/>
        <item sd="0" x="173"/>
        <item sd="0" x="174"/>
        <item sd="0" x="175"/>
        <item sd="0" x="176"/>
        <item sd="0" x="177"/>
        <item sd="0" x="178"/>
        <item sd="0" x="179"/>
        <item sd="0" x="180"/>
        <item sd="0" x="181"/>
        <item sd="0" x="182"/>
        <item sd="0" x="183"/>
        <item sd="0" x="184"/>
        <item sd="0" x="185"/>
        <item sd="0" x="186"/>
        <item sd="0" x="187"/>
        <item sd="0" x="188"/>
        <item sd="0" x="189"/>
        <item sd="0" x="190"/>
        <item sd="0" x="191"/>
        <item sd="0" x="192"/>
        <item sd="0" x="193"/>
        <item sd="0" x="194"/>
        <item sd="0" x="195"/>
        <item sd="0" x="196"/>
        <item sd="0" x="197"/>
        <item sd="0" x="198"/>
        <item sd="0" x="199"/>
        <item sd="0" x="200"/>
        <item sd="0" x="201"/>
        <item sd="0" x="202"/>
        <item sd="0" x="203"/>
        <item sd="0" x="204"/>
        <item sd="0" x="205"/>
        <item sd="0" x="206"/>
        <item sd="0" x="207"/>
        <item sd="0" x="208"/>
        <item sd="0" x="209"/>
        <item sd="0" x="210"/>
        <item sd="0" x="211"/>
        <item sd="0" x="212"/>
        <item sd="0" x="213"/>
        <item sd="0" x="214"/>
        <item sd="0" x="215"/>
        <item sd="0" x="216"/>
        <item sd="0" x="217"/>
        <item sd="0" x="218"/>
        <item sd="0" x="219"/>
        <item sd="0" x="220"/>
        <item sd="0" x="221"/>
        <item sd="0" x="222"/>
        <item sd="0" x="223"/>
        <item sd="0" x="224"/>
        <item sd="0" x="225"/>
        <item sd="0" x="226"/>
        <item sd="0" x="227"/>
        <item sd="0" x="228"/>
        <item sd="0" x="229"/>
        <item sd="0" x="230"/>
        <item sd="0" x="231"/>
        <item sd="0" x="232"/>
        <item sd="0" x="233"/>
        <item sd="0" x="234"/>
        <item sd="0" x="235"/>
        <item sd="0" x="236"/>
        <item sd="0" x="237"/>
        <item sd="0" x="238"/>
        <item sd="0" x="239"/>
        <item sd="0" x="240"/>
        <item sd="0" x="241"/>
        <item sd="0" x="242"/>
        <item sd="0" x="243"/>
        <item sd="0" x="244"/>
        <item sd="0" x="245"/>
        <item sd="0" x="246"/>
        <item sd="0" x="247"/>
        <item sd="0" x="248"/>
        <item sd="0" x="249"/>
        <item sd="0" x="250"/>
        <item sd="0" x="251"/>
        <item sd="0" x="252"/>
        <item sd="0" x="253"/>
        <item sd="0" x="254"/>
        <item sd="0" x="255"/>
        <item sd="0" x="256"/>
        <item sd="0" x="257"/>
        <item sd="0" x="258"/>
        <item sd="0" x="259"/>
        <item sd="0" x="260"/>
        <item sd="0" x="261"/>
        <item sd="0" x="262"/>
        <item sd="0" x="263"/>
        <item sd="0" x="264"/>
        <item sd="0" x="265"/>
        <item sd="0" x="266"/>
        <item sd="0" x="267"/>
        <item sd="0" x="268"/>
        <item sd="0" x="269"/>
        <item sd="0" x="270"/>
        <item sd="0" x="271"/>
        <item sd="0" x="272"/>
        <item sd="0" x="273"/>
        <item sd="0" x="274"/>
        <item sd="0" x="275"/>
        <item sd="0" x="276"/>
        <item sd="0" x="277"/>
        <item sd="0" x="278"/>
        <item sd="0" x="279"/>
        <item sd="0" x="280"/>
        <item sd="0" x="281"/>
        <item sd="0" x="282"/>
        <item sd="0" x="283"/>
        <item sd="0" x="284"/>
        <item sd="0" x="285"/>
        <item sd="0" x="286"/>
        <item sd="0" x="287"/>
        <item sd="0" x="288"/>
        <item sd="0" x="289"/>
        <item sd="0" x="290"/>
        <item sd="0" x="291"/>
        <item sd="0" x="292"/>
        <item sd="0" x="293"/>
        <item sd="0" x="294"/>
        <item sd="0" x="295"/>
        <item sd="0" x="296"/>
        <item sd="0" x="297"/>
        <item sd="0" x="298"/>
        <item sd="0" x="299"/>
        <item sd="0" x="300"/>
        <item sd="0" x="301"/>
        <item sd="0" x="302"/>
        <item sd="0" x="303"/>
        <item sd="0" x="304"/>
        <item sd="0" x="305"/>
        <item sd="0" x="306"/>
        <item sd="0" x="307"/>
        <item sd="0" x="308"/>
        <item sd="0" x="309"/>
        <item sd="0" x="310"/>
        <item sd="0" x="311"/>
        <item sd="0" x="312"/>
        <item sd="0" x="313"/>
        <item sd="0" x="314"/>
        <item sd="0" x="315"/>
        <item sd="0" x="316"/>
        <item sd="0" x="317"/>
        <item sd="0" x="318"/>
        <item sd="0" x="319"/>
        <item sd="0" x="320"/>
        <item sd="0" x="321"/>
        <item sd="0" x="322"/>
        <item sd="0" x="323"/>
        <item sd="0" x="324"/>
        <item sd="0" x="325"/>
        <item sd="0" x="326"/>
        <item sd="0" x="327"/>
        <item sd="0" x="328"/>
        <item sd="0" x="329"/>
        <item sd="0" x="330"/>
        <item sd="0" x="331"/>
        <item sd="0" x="332"/>
        <item sd="0" x="333"/>
        <item sd="0" x="334"/>
        <item sd="0" x="335"/>
        <item sd="0" x="336"/>
        <item sd="0" x="337"/>
        <item sd="0" x="338"/>
        <item sd="0" x="339"/>
        <item sd="0" x="340"/>
        <item sd="0" x="341"/>
        <item sd="0" x="342"/>
        <item sd="0" x="343"/>
        <item sd="0" x="344"/>
        <item sd="0" x="345"/>
        <item sd="0" x="346"/>
        <item sd="0" x="347"/>
        <item sd="0" x="348"/>
        <item sd="0" x="349"/>
        <item sd="0" x="350"/>
        <item sd="0" x="351"/>
        <item sd="0" x="352"/>
        <item sd="0" x="353"/>
        <item sd="0" x="354"/>
        <item sd="0" x="355"/>
        <item sd="0" x="356"/>
        <item sd="0" x="357"/>
        <item sd="0" x="358"/>
        <item sd="0" x="359"/>
        <item sd="0" x="360"/>
        <item sd="0" x="361"/>
        <item sd="0" x="362"/>
        <item sd="0" x="363"/>
        <item sd="0" x="364"/>
        <item sd="0" x="365"/>
        <item sd="0" x="366"/>
        <item sd="0" x="367"/>
        <item sd="0" x="368"/>
        <item sd="0" x="369"/>
        <item sd="0" x="370"/>
        <item sd="0" x="371"/>
        <item sd="0" x="372"/>
        <item sd="0" x="373"/>
        <item sd="0" x="374"/>
        <item sd="0" x="375"/>
        <item sd="0" x="376"/>
        <item sd="0" x="377"/>
        <item sd="0" x="378"/>
        <item sd="0" x="379"/>
        <item sd="0" x="380"/>
        <item sd="0" x="381"/>
        <item sd="0" x="382"/>
        <item sd="0" x="383"/>
        <item sd="0" x="384"/>
        <item sd="0" x="385"/>
        <item sd="0" x="386"/>
        <item sd="0" x="387"/>
        <item sd="0" x="388"/>
        <item sd="0" x="389"/>
        <item sd="0" x="390"/>
        <item sd="0" x="391"/>
        <item sd="0" x="392"/>
        <item sd="0" x="393"/>
        <item sd="0" x="394"/>
        <item sd="0" x="395"/>
        <item sd="0" x="396"/>
        <item sd="0" x="397"/>
        <item sd="0" x="398"/>
        <item sd="0" x="399"/>
        <item sd="0" x="400"/>
        <item sd="0" x="401"/>
        <item sd="0" x="402"/>
        <item sd="0" x="403"/>
        <item sd="0" x="404"/>
        <item sd="0" x="405"/>
        <item sd="0" x="406"/>
        <item sd="0" x="407"/>
        <item sd="0" x="408"/>
        <item sd="0" x="409"/>
        <item sd="0" x="410"/>
        <item sd="0" x="411"/>
        <item sd="0" x="412"/>
        <item sd="0" x="413"/>
        <item sd="0" x="414"/>
        <item sd="0" x="415"/>
        <item sd="0" x="416"/>
        <item sd="0" x="417"/>
        <item sd="0" x="418"/>
        <item sd="0" x="419"/>
        <item sd="0" x="420"/>
        <item sd="0" x="421"/>
        <item sd="0" x="422"/>
        <item sd="0" x="423"/>
        <item sd="0" x="424"/>
        <item sd="0" x="425"/>
        <item sd="0" x="426"/>
        <item sd="0" x="427"/>
        <item sd="0" x="428"/>
        <item sd="0" x="429"/>
        <item sd="0" x="430"/>
        <item sd="0" x="431"/>
        <item sd="0" x="432"/>
        <item sd="0" x="433"/>
        <item sd="0" x="434"/>
        <item sd="0" x="435"/>
        <item sd="0" x="436"/>
        <item sd="0" x="437"/>
        <item sd="0" x="438"/>
        <item sd="0" x="439"/>
        <item sd="0" x="440"/>
        <item sd="0" x="441"/>
        <item sd="0" x="442"/>
        <item sd="0" x="443"/>
        <item sd="0" x="444"/>
        <item sd="0" x="445"/>
        <item sd="0" x="446"/>
        <item sd="0" x="447"/>
        <item sd="0" x="448"/>
        <item sd="0" x="449"/>
        <item sd="0" x="450"/>
        <item sd="0" x="451"/>
        <item sd="0" x="452"/>
        <item sd="0" x="453"/>
        <item sd="0" x="454"/>
        <item sd="0" x="455"/>
        <item sd="0" x="456"/>
        <item sd="0" x="457"/>
        <item sd="0" x="458"/>
        <item sd="0" x="459"/>
        <item sd="0" x="460"/>
        <item sd="0" x="461"/>
        <item sd="0" x="462"/>
        <item sd="0" x="463"/>
        <item sd="0" x="464"/>
        <item sd="0" x="465"/>
        <item sd="0" x="466"/>
        <item sd="0" x="467"/>
        <item sd="0" x="468"/>
        <item sd="0" x="469"/>
        <item sd="0" x="470"/>
        <item sd="0" x="471"/>
        <item sd="0" x="472"/>
        <item sd="0" x="473"/>
        <item sd="0" x="474"/>
        <item sd="0" x="475"/>
        <item sd="0" x="476"/>
        <item sd="0" x="477"/>
        <item sd="0" x="478"/>
        <item sd="0" x="479"/>
        <item sd="0" x="480"/>
        <item sd="0" x="481"/>
        <item sd="0" x="482"/>
        <item sd="0" x="483"/>
        <item sd="0" x="484"/>
        <item sd="0" x="485"/>
        <item sd="0" x="486"/>
        <item sd="0" x="487"/>
        <item sd="0" x="488"/>
        <item sd="0" x="489"/>
        <item sd="0" x="490"/>
        <item sd="0" x="491"/>
        <item sd="0" x="492"/>
        <item sd="0" x="493"/>
        <item sd="0" x="494"/>
        <item sd="0" x="495"/>
        <item sd="0" x="496"/>
        <item sd="0" x="497"/>
        <item sd="0" x="498"/>
        <item sd="0" x="499"/>
        <item sd="0" x="500"/>
        <item sd="0" x="501"/>
        <item sd="0" x="502"/>
        <item sd="0" x="503"/>
        <item sd="0" x="504"/>
        <item sd="0" x="505"/>
        <item sd="0" x="506"/>
        <item sd="0" x="507"/>
        <item sd="0" x="508"/>
        <item sd="0" x="509"/>
        <item sd="0" x="510"/>
        <item sd="0" x="511"/>
        <item sd="0" x="512"/>
        <item sd="0" x="513"/>
        <item sd="0" x="514"/>
        <item sd="0" x="515"/>
        <item sd="0" x="516"/>
        <item sd="0" x="517"/>
        <item sd="0" x="518"/>
        <item sd="0" x="519"/>
        <item sd="0" x="520"/>
        <item sd="0" x="521"/>
        <item sd="0" x="522"/>
        <item sd="0" x="523"/>
        <item sd="0" x="524"/>
        <item sd="0" x="525"/>
        <item sd="0" x="526"/>
        <item sd="0" x="527"/>
        <item sd="0" x="528"/>
        <item sd="0" x="529"/>
        <item sd="0" x="530"/>
        <item sd="0" x="531"/>
        <item sd="0" x="532"/>
        <item sd="0" x="533"/>
        <item sd="0" x="534"/>
        <item sd="0" x="535"/>
        <item sd="0" x="536"/>
        <item sd="0" x="537"/>
        <item sd="0" x="538"/>
        <item sd="0" x="539"/>
        <item sd="0" x="540"/>
        <item sd="0" x="541"/>
        <item sd="0" x="542"/>
        <item sd="0" x="543"/>
        <item sd="0" x="544"/>
        <item sd="0" x="545"/>
        <item sd="0" x="546"/>
        <item sd="0" x="547"/>
        <item sd="0" x="548"/>
        <item sd="0" x="549"/>
        <item sd="0" x="550"/>
        <item sd="0" x="551"/>
        <item sd="0" x="552"/>
        <item sd="0" x="553"/>
        <item sd="0" x="554"/>
        <item sd="0" x="555"/>
        <item sd="0" x="556"/>
        <item sd="0" x="557"/>
        <item sd="0" x="558"/>
        <item sd="0" x="559"/>
        <item sd="0" x="560"/>
        <item sd="0" x="561"/>
        <item sd="0" x="562"/>
        <item sd="0" x="563"/>
        <item sd="0" x="564"/>
        <item sd="0" x="565"/>
        <item sd="0" x="566"/>
        <item sd="0" x="567"/>
        <item sd="0" x="568"/>
        <item sd="0" x="569"/>
        <item sd="0" x="570"/>
        <item sd="0" x="571"/>
        <item sd="0" x="572"/>
        <item sd="0" x="573"/>
        <item sd="0" x="574"/>
        <item sd="0" x="575"/>
        <item sd="0" x="576"/>
        <item sd="0" x="577"/>
        <item sd="0" x="578"/>
        <item sd="0" x="579"/>
        <item sd="0" x="580"/>
        <item sd="0" x="581"/>
        <item sd="0" x="582"/>
        <item sd="0" x="583"/>
        <item sd="0" x="584"/>
        <item sd="0" x="585"/>
        <item sd="0" x="586"/>
        <item sd="0" x="587"/>
        <item sd="0" x="588"/>
        <item sd="0" x="589"/>
        <item sd="0" x="590"/>
        <item sd="0" x="591"/>
        <item sd="0" x="592"/>
        <item sd="0" x="593"/>
        <item sd="0" x="594"/>
        <item sd="0" x="595"/>
        <item sd="0" x="596"/>
        <item sd="0" x="597"/>
        <item sd="0" x="598"/>
        <item sd="0" x="599"/>
        <item sd="0" x="600"/>
        <item sd="0" x="601"/>
        <item sd="0" x="602"/>
        <item sd="0" x="603"/>
        <item sd="0" x="604"/>
        <item sd="0" x="605"/>
        <item sd="0" x="606"/>
        <item sd="0" x="607"/>
        <item sd="0" x="608"/>
        <item sd="0" x="609"/>
        <item sd="0" x="610"/>
        <item sd="0" x="611"/>
        <item sd="0" x="612"/>
        <item sd="0" x="613"/>
        <item sd="0" x="614"/>
        <item sd="0" x="615"/>
        <item sd="0" x="616"/>
        <item sd="0" x="617"/>
        <item sd="0" x="618"/>
        <item sd="0" x="619"/>
        <item sd="0" x="620"/>
        <item sd="0" x="621"/>
        <item sd="0" x="622"/>
        <item sd="0" x="623"/>
        <item sd="0" x="624"/>
        <item sd="0" x="625"/>
        <item sd="0" x="626"/>
        <item sd="0" x="627"/>
        <item sd="0" x="628"/>
        <item sd="0" x="629"/>
        <item sd="0" x="630"/>
        <item sd="0" x="631"/>
        <item sd="0" x="632"/>
        <item sd="0" x="633"/>
        <item sd="0" x="634"/>
        <item sd="0" x="635"/>
        <item sd="0" x="636"/>
        <item sd="0" x="637"/>
        <item sd="0" x="638"/>
        <item sd="0" x="639"/>
        <item sd="0" x="640"/>
        <item sd="0" x="641"/>
        <item sd="0" x="642"/>
        <item sd="0" x="643"/>
        <item sd="0" x="644"/>
        <item sd="0" x="645"/>
        <item sd="0" x="646"/>
        <item sd="0" x="647"/>
        <item sd="0" x="648"/>
        <item sd="0" x="649"/>
        <item sd="0" x="650"/>
        <item sd="0" x="651"/>
        <item sd="0" x="652"/>
        <item sd="0" x="653"/>
        <item sd="0" x="654"/>
        <item sd="0" x="655"/>
        <item sd="0" x="656"/>
        <item sd="0" x="657"/>
        <item sd="0" x="658"/>
        <item sd="0" x="659"/>
        <item sd="0" x="660"/>
        <item sd="0" x="661"/>
        <item sd="0" x="662"/>
        <item sd="0" x="663"/>
        <item sd="0" x="664"/>
        <item sd="0" x="665"/>
        <item sd="0" x="666"/>
        <item sd="0" x="667"/>
        <item sd="0" x="668"/>
        <item sd="0" x="669"/>
        <item sd="0" x="670"/>
        <item sd="0" x="671"/>
        <item sd="0" x="672"/>
        <item sd="0" x="673"/>
        <item sd="0" x="674"/>
        <item sd="0" x="675"/>
        <item sd="0" x="676"/>
        <item sd="0" x="677"/>
        <item sd="0" x="678"/>
        <item sd="0" x="679"/>
        <item sd="0" x="680"/>
        <item sd="0" x="681"/>
        <item sd="0" x="682"/>
        <item sd="0" x="683"/>
        <item sd="0" x="684"/>
        <item sd="0" x="685"/>
        <item sd="0" x="686"/>
        <item sd="0" x="687"/>
        <item sd="0" x="688"/>
        <item sd="0" x="689"/>
        <item sd="0" x="690"/>
        <item sd="0" x="691"/>
        <item sd="0" x="692"/>
        <item sd="0" x="693"/>
        <item sd="0" x="694"/>
        <item sd="0" x="695"/>
        <item sd="0" x="696"/>
        <item sd="0" x="697"/>
        <item sd="0" x="698"/>
        <item sd="0" x="699"/>
        <item sd="0" x="700"/>
        <item sd="0" x="701"/>
        <item sd="0" x="702"/>
        <item sd="0" x="703"/>
        <item sd="0" x="704"/>
        <item sd="0" x="705"/>
        <item sd="0" x="706"/>
        <item sd="0" x="707"/>
        <item sd="0" x="708"/>
        <item sd="0" x="709"/>
        <item sd="0" x="710"/>
        <item sd="0" x="711"/>
        <item sd="0" x="712"/>
        <item sd="0" x="713"/>
        <item sd="0" x="714"/>
        <item sd="0" x="715"/>
        <item sd="0" x="716"/>
        <item sd="0" x="717"/>
        <item sd="0" x="718"/>
        <item sd="0" x="719"/>
        <item sd="0" x="720"/>
        <item sd="0" x="721"/>
        <item sd="0" x="722"/>
        <item sd="0" x="723"/>
        <item sd="0" x="724"/>
        <item sd="0" x="725"/>
        <item sd="0" x="726"/>
        <item sd="0" x="727"/>
        <item sd="0" x="728"/>
        <item sd="0" x="729"/>
        <item sd="0" x="730"/>
        <item sd="0" x="731"/>
        <item sd="0" x="732"/>
        <item sd="0" x="733"/>
        <item sd="0" x="734"/>
        <item sd="0" x="735"/>
        <item sd="0" x="736"/>
        <item sd="0" x="737"/>
        <item sd="0" x="738"/>
        <item sd="0" x="739"/>
        <item sd="0" x="740"/>
        <item sd="0" x="741"/>
        <item sd="0" x="742"/>
        <item sd="0" x="743"/>
        <item sd="0" x="744"/>
        <item sd="0" x="745"/>
        <item sd="0" x="746"/>
        <item sd="0" x="747"/>
        <item sd="0" x="748"/>
        <item sd="0" x="749"/>
        <item sd="0" x="750"/>
        <item sd="0" x="751"/>
        <item sd="0" x="752"/>
        <item sd="0" x="753"/>
        <item sd="0" x="754"/>
        <item sd="0" x="755"/>
        <item sd="0" x="756"/>
        <item sd="0" x="757"/>
        <item sd="0" x="758"/>
        <item sd="0" x="759"/>
        <item sd="0" x="760"/>
        <item sd="0" x="761"/>
        <item sd="0" x="762"/>
        <item sd="0" x="763"/>
        <item sd="0" x="764"/>
        <item sd="0" x="765"/>
        <item sd="0" x="766"/>
        <item sd="0" x="767"/>
        <item sd="0" x="768"/>
        <item sd="0" x="769"/>
        <item sd="0" x="770"/>
        <item sd="0" x="771"/>
        <item sd="0" x="772"/>
        <item sd="0" x="773"/>
        <item sd="0" x="774"/>
        <item sd="0" x="775"/>
        <item sd="0" x="776"/>
        <item sd="0" x="777"/>
        <item sd="0" x="778"/>
        <item sd="0" x="779"/>
        <item sd="0" x="780"/>
        <item sd="0" x="781"/>
        <item sd="0" x="782"/>
        <item sd="0" x="783"/>
        <item sd="0" x="784"/>
        <item sd="0" x="785"/>
        <item sd="0" x="786"/>
        <item sd="0" x="787"/>
        <item sd="0" x="788"/>
        <item sd="0" x="789"/>
        <item sd="0" x="790"/>
        <item sd="0" x="791"/>
        <item sd="0" x="792"/>
        <item sd="0" x="793"/>
        <item sd="0" x="794"/>
        <item sd="0" x="795"/>
        <item sd="0" x="796"/>
        <item sd="0" x="797"/>
        <item sd="0" x="798"/>
        <item sd="0" x="799"/>
        <item sd="0" x="800"/>
        <item sd="0" x="801"/>
        <item sd="0" x="802"/>
        <item sd="0" x="803"/>
        <item sd="0" x="804"/>
        <item sd="0" x="805"/>
        <item sd="0" x="806"/>
        <item sd="0" x="807"/>
        <item sd="0" x="808"/>
        <item sd="0" x="809"/>
        <item sd="0" x="810"/>
        <item sd="0" x="811"/>
        <item sd="0" x="812"/>
        <item sd="0" x="813"/>
        <item sd="0" x="814"/>
        <item sd="0" x="815"/>
        <item sd="0" x="816"/>
        <item sd="0" x="817"/>
        <item sd="0" x="818"/>
        <item sd="0" x="819"/>
        <item sd="0" x="820"/>
        <item sd="0" x="821"/>
        <item sd="0" x="822"/>
        <item sd="0" x="823"/>
        <item sd="0" x="824"/>
        <item sd="0" x="825"/>
        <item sd="0" x="826"/>
        <item sd="0" x="827"/>
        <item sd="0" x="828"/>
        <item sd="0" x="829"/>
        <item sd="0" x="830"/>
        <item sd="0" x="831"/>
        <item sd="0" x="832"/>
        <item sd="0" x="833"/>
        <item sd="0" x="834"/>
        <item sd="0" x="835"/>
        <item sd="0" x="836"/>
        <item sd="0" x="837"/>
        <item sd="0" x="838"/>
        <item sd="0" x="839"/>
        <item sd="0" x="840"/>
        <item sd="0" x="841"/>
        <item sd="0" x="842"/>
        <item sd="0" x="843"/>
        <item sd="0" x="844"/>
        <item sd="0" x="845"/>
        <item sd="0" x="846"/>
        <item sd="0" x="847"/>
        <item sd="0" x="848"/>
        <item sd="0" x="849"/>
        <item sd="0" x="850"/>
        <item sd="0" x="851"/>
        <item sd="0" x="852"/>
        <item sd="0" x="853"/>
        <item sd="0" x="854"/>
        <item sd="0" x="855"/>
        <item sd="0" x="856"/>
        <item sd="0" x="857"/>
        <item sd="0" x="858"/>
        <item sd="0" x="859"/>
        <item sd="0" x="860"/>
        <item sd="0" x="861"/>
        <item sd="0" x="862"/>
        <item sd="0" x="863"/>
        <item sd="0" x="864"/>
        <item sd="0" x="865"/>
        <item sd="0" x="866"/>
        <item sd="0" x="867"/>
        <item sd="0" x="868"/>
        <item sd="0" x="869"/>
        <item sd="0" x="870"/>
        <item sd="0" x="871"/>
        <item sd="0" x="872"/>
        <item sd="0" x="873"/>
        <item sd="0" x="874"/>
        <item sd="0" x="875"/>
        <item sd="0" x="876"/>
        <item sd="0" x="877"/>
        <item sd="0" x="878"/>
        <item sd="0" x="879"/>
        <item sd="0" x="880"/>
        <item sd="0" x="881"/>
        <item sd="0" x="882"/>
        <item sd="0" x="883"/>
        <item sd="0" x="884"/>
        <item sd="0" x="885"/>
        <item sd="0" x="886"/>
        <item sd="0" x="887"/>
        <item sd="0" x="888"/>
        <item sd="0" x="889"/>
        <item sd="0" x="890"/>
        <item sd="0" x="891"/>
        <item sd="0" x="892"/>
        <item sd="0" x="893"/>
        <item sd="0" x="894"/>
        <item sd="0" x="895"/>
        <item sd="0" x="896"/>
        <item sd="0" x="897"/>
        <item sd="0" x="898"/>
        <item sd="0" x="899"/>
        <item sd="0" x="900"/>
        <item sd="0" x="901"/>
        <item sd="0" x="902"/>
        <item sd="0" x="903"/>
        <item sd="0" x="904"/>
        <item sd="0" x="905"/>
        <item sd="0" x="906"/>
        <item sd="0" x="907"/>
        <item sd="0" x="908"/>
        <item sd="0" x="909"/>
        <item sd="0" x="910"/>
        <item sd="0" x="911"/>
        <item sd="0" x="912"/>
        <item sd="0" x="913"/>
        <item sd="0" x="914"/>
        <item sd="0" x="915"/>
        <item sd="0" x="916"/>
        <item sd="0" x="917"/>
        <item sd="0" x="918"/>
        <item sd="0" x="919"/>
        <item sd="0" x="920"/>
        <item sd="0" x="921"/>
        <item sd="0" x="922"/>
        <item sd="0" x="923"/>
        <item sd="0" x="924"/>
        <item sd="0" x="925"/>
        <item sd="0" x="926"/>
        <item sd="0" x="927"/>
        <item sd="0" x="928"/>
        <item sd="0" x="929"/>
        <item sd="0" x="930"/>
        <item sd="0" x="931"/>
        <item sd="0" x="932"/>
        <item sd="0" x="933"/>
        <item sd="0" x="934"/>
        <item sd="0" x="935"/>
        <item sd="0" x="936"/>
        <item sd="0" x="937"/>
        <item sd="0" x="938"/>
        <item sd="0" x="939"/>
        <item sd="0" x="940"/>
        <item sd="0" x="941"/>
        <item sd="0" x="942"/>
        <item sd="0" x="943"/>
        <item sd="0" x="944"/>
        <item sd="0" x="945"/>
        <item sd="0" x="946"/>
        <item sd="0" x="947"/>
        <item sd="0" x="948"/>
        <item sd="0" x="949"/>
        <item sd="0" x="950"/>
        <item sd="0" x="951"/>
        <item sd="0" x="952"/>
        <item sd="0" x="953"/>
        <item sd="0" x="954"/>
        <item sd="0" x="955"/>
        <item sd="0" x="956"/>
        <item sd="0" x="957"/>
        <item sd="0" x="958"/>
        <item sd="0" x="959"/>
        <item sd="0" x="960"/>
        <item sd="0" x="961"/>
        <item sd="0" x="962"/>
        <item sd="0" x="963"/>
        <item sd="0" x="964"/>
        <item sd="0" x="965"/>
        <item sd="0" x="966"/>
        <item sd="0" x="967"/>
        <item sd="0" x="968"/>
        <item sd="0" x="969"/>
        <item sd="0" x="970"/>
        <item sd="0" x="971"/>
        <item sd="0" x="972"/>
        <item sd="0" x="973"/>
        <item sd="0" x="974"/>
        <item sd="0" x="975"/>
        <item sd="0" x="976"/>
        <item sd="0" x="977"/>
        <item sd="0" x="978"/>
        <item sd="0" x="979"/>
        <item sd="0" x="980"/>
        <item sd="0" x="981"/>
        <item sd="0" x="982"/>
        <item sd="0" x="983"/>
        <item sd="0" x="984"/>
        <item sd="0" x="985"/>
        <item sd="0" x="986"/>
        <item sd="0" x="987"/>
        <item sd="0" x="988"/>
        <item sd="0" x="989"/>
        <item sd="0" x="990"/>
        <item sd="0" x="991"/>
        <item sd="0" x="992"/>
        <item sd="0" x="993"/>
        <item sd="0" x="994"/>
        <item sd="0" x="995"/>
        <item sd="0" x="996"/>
        <item sd="0" x="997"/>
        <item sd="0" x="998"/>
        <item sd="0" x="999"/>
        <item sd="0" x="1000"/>
        <item sd="0" x="1001"/>
        <item sd="0" x="1002"/>
        <item sd="0" x="1003"/>
        <item sd="0" x="1004"/>
        <item sd="0" x="1005"/>
        <item sd="0" x="1006"/>
        <item sd="0" x="1007"/>
        <item sd="0" x="1008"/>
        <item sd="0" x="1009"/>
        <item sd="0" x="1010"/>
        <item sd="0" x="1011"/>
        <item sd="0" x="1012"/>
        <item sd="0" x="1013"/>
        <item sd="0" x="1014"/>
        <item sd="0" x="1015"/>
        <item sd="0" x="1016"/>
        <item sd="0" x="1017"/>
        <item sd="0" x="1018"/>
        <item sd="0" x="1019"/>
        <item sd="0" x="1020"/>
        <item sd="0" x="1021"/>
        <item sd="0" x="1022"/>
        <item sd="0" x="1023"/>
        <item sd="0" x="1024"/>
        <item sd="0" x="1025"/>
        <item sd="0" x="1026"/>
        <item sd="0" x="1027"/>
        <item sd="0" x="1028"/>
        <item sd="0" x="1029"/>
        <item sd="0" x="1030"/>
        <item sd="0" x="1031"/>
        <item sd="0" x="1032"/>
        <item sd="0" x="1033"/>
        <item sd="0" x="1034"/>
        <item sd="0" x="1035"/>
        <item sd="0" x="1036"/>
        <item sd="0" x="1037"/>
        <item sd="0" x="1038"/>
        <item sd="0" x="1039"/>
        <item sd="0" x="1040"/>
        <item sd="0" x="1041"/>
        <item sd="0" x="1042"/>
        <item sd="0" x="1043"/>
        <item sd="0" x="1044"/>
        <item sd="0" x="1045"/>
        <item sd="0" x="1046"/>
        <item sd="0" x="1047"/>
        <item sd="0" x="1048"/>
        <item sd="0" x="1049"/>
        <item sd="0" x="1050"/>
        <item sd="0" x="1051"/>
        <item sd="0" x="1052"/>
        <item sd="0" x="1053"/>
        <item sd="0" x="1054"/>
        <item sd="0" x="1055"/>
        <item sd="0" x="1056"/>
        <item sd="0" x="1057"/>
        <item sd="0" x="1058"/>
        <item sd="0" x="1059"/>
        <item sd="0" x="1060"/>
        <item sd="0" x="1061"/>
        <item sd="0" x="1062"/>
        <item sd="0" x="1063"/>
        <item sd="0" x="1064"/>
        <item sd="0" x="1065"/>
        <item sd="0" x="1066"/>
        <item sd="0" x="1067"/>
        <item sd="0" x="1068"/>
        <item sd="0" x="1069"/>
        <item sd="0" x="1070"/>
        <item sd="0" x="1071"/>
        <item sd="0" x="1072"/>
        <item sd="0" x="1073"/>
        <item sd="0" x="1074"/>
        <item sd="0" x="1075"/>
        <item sd="0" x="1076"/>
        <item sd="0" x="1077"/>
        <item sd="0" x="1078"/>
        <item sd="0" x="1079"/>
        <item sd="0" x="1080"/>
        <item sd="0" x="1081"/>
        <item sd="0" x="1082"/>
        <item sd="0" x="1083"/>
        <item sd="0" x="1084"/>
        <item sd="0" x="1085"/>
        <item sd="0" x="1086"/>
        <item sd="0" x="1087"/>
        <item sd="0" x="1088"/>
        <item sd="0" x="1089"/>
        <item sd="0" x="1090"/>
        <item sd="0" x="1091"/>
        <item sd="0" x="1092"/>
        <item sd="0" x="1093"/>
        <item sd="0" x="1094"/>
        <item sd="0" x="1095"/>
        <item sd="0" x="1096"/>
        <item sd="0" x="1097"/>
        <item sd="0" x="1098"/>
        <item sd="0" x="1099"/>
        <item sd="0" x="1100"/>
        <item sd="0" x="1101"/>
        <item sd="0" x="1102"/>
        <item sd="0" x="1103"/>
        <item sd="0" x="1104"/>
        <item sd="0" x="1105"/>
        <item sd="0" x="1106"/>
        <item sd="0" x="1107"/>
        <item sd="0" x="1108"/>
        <item sd="0" x="1109"/>
        <item sd="0" x="1110"/>
        <item sd="0" x="1111"/>
        <item sd="0" x="1112"/>
        <item sd="0" x="1113"/>
        <item sd="0" x="1114"/>
        <item sd="0" x="1115"/>
        <item sd="0" x="1116"/>
        <item sd="0" x="1117"/>
        <item sd="0" x="1118"/>
        <item sd="0" x="1119"/>
        <item sd="0" x="1120"/>
        <item sd="0" x="1121"/>
        <item sd="0" x="1122"/>
        <item sd="0" x="1123"/>
        <item sd="0" x="1124"/>
        <item sd="0" x="1125"/>
        <item sd="0" x="1126"/>
        <item sd="0" x="1127"/>
        <item sd="0" x="1128"/>
        <item sd="0" x="1129"/>
        <item sd="0" x="1130"/>
        <item sd="0" x="1131"/>
        <item sd="0" x="1132"/>
        <item sd="0" x="1133"/>
        <item sd="0" x="1134"/>
        <item sd="0" x="1135"/>
        <item sd="0" x="1136"/>
        <item sd="0" x="1137"/>
        <item sd="0" x="1138"/>
        <item sd="0" x="1139"/>
        <item sd="0" x="1140"/>
        <item sd="0" x="1141"/>
        <item sd="0" x="1142"/>
        <item sd="0" x="1143"/>
        <item sd="0" x="1144"/>
        <item sd="0" x="1145"/>
        <item sd="0" x="1146"/>
        <item sd="0" x="1147"/>
        <item sd="0" x="1148"/>
        <item sd="0" x="1149"/>
        <item sd="0" x="1150"/>
        <item sd="0" x="1151"/>
        <item sd="0" x="1152"/>
        <item sd="0" x="1153"/>
        <item sd="0" x="1154"/>
        <item sd="0" x="1155"/>
        <item sd="0" x="1156"/>
        <item sd="0" x="1157"/>
        <item sd="0" x="1158"/>
        <item sd="0" x="1159"/>
        <item sd="0" x="1160"/>
        <item sd="0" x="1161"/>
        <item sd="0" x="1162"/>
        <item sd="0" x="1163"/>
        <item sd="0" x="1164"/>
        <item sd="0" x="1165"/>
        <item sd="0" x="1166"/>
        <item sd="0" x="1167"/>
        <item sd="0" x="1168"/>
        <item sd="0" x="1169"/>
        <item sd="0" x="1170"/>
        <item sd="0" x="1171"/>
        <item sd="0" x="1172"/>
        <item sd="0" x="1173"/>
        <item sd="0" x="1174"/>
        <item sd="0" x="1175"/>
        <item sd="0" x="1176"/>
        <item sd="0" x="1177"/>
        <item sd="0" x="1178"/>
        <item sd="0" x="1179"/>
        <item sd="0" x="1180"/>
        <item sd="0" x="1181"/>
        <item sd="0" x="1182"/>
        <item sd="0" x="1183"/>
        <item sd="0" x="1184"/>
        <item sd="0" x="1185"/>
        <item sd="0" x="1186"/>
        <item sd="0" x="1187"/>
        <item sd="0" x="1188"/>
        <item sd="0" x="1189"/>
        <item sd="0" x="1190"/>
        <item sd="0" x="1191"/>
        <item sd="0" x="1192"/>
        <item sd="0" x="1193"/>
        <item sd="0" x="1194"/>
        <item sd="0" x="1195"/>
        <item sd="0" x="1196"/>
        <item sd="0" x="1197"/>
        <item sd="0" x="1198"/>
        <item sd="0" x="1199"/>
        <item sd="0" x="1200"/>
        <item sd="0" x="1201"/>
        <item sd="0" x="1202"/>
        <item sd="0" x="1203"/>
        <item sd="0" x="1204"/>
        <item sd="0" x="1205"/>
        <item sd="0" x="1206"/>
        <item sd="0" x="1207"/>
        <item sd="0" x="1208"/>
        <item sd="0" x="1209"/>
        <item sd="0" x="1210"/>
        <item sd="0" x="1211"/>
        <item sd="0" x="1212"/>
        <item sd="0" x="1213"/>
        <item sd="0" x="1214"/>
        <item sd="0" x="1215"/>
        <item sd="0" x="1216"/>
        <item sd="0" x="1217"/>
        <item sd="0" x="1218"/>
        <item sd="0" x="1219"/>
        <item sd="0" x="1220"/>
        <item sd="0" x="1221"/>
        <item sd="0" x="1222"/>
        <item sd="0" x="1223"/>
        <item sd="0" x="1224"/>
        <item sd="0" x="1225"/>
        <item sd="0" x="1226"/>
        <item sd="0" x="1227"/>
        <item sd="0" x="1228"/>
        <item sd="0" x="1229"/>
        <item sd="0" x="1230"/>
        <item sd="0" x="1231"/>
        <item sd="0" x="1232"/>
        <item sd="0" x="1233"/>
        <item sd="0" x="1234"/>
        <item sd="0" x="1235"/>
        <item sd="0" x="1236"/>
        <item sd="0" x="1237"/>
        <item sd="0" x="1238"/>
        <item sd="0" x="1239"/>
        <item sd="0" x="1240"/>
        <item sd="0" x="1241"/>
        <item sd="0" x="1242"/>
        <item sd="0" x="1243"/>
        <item sd="0" x="1244"/>
        <item sd="0" x="1245"/>
        <item sd="0" x="1246"/>
        <item sd="0" x="1247"/>
        <item sd="0" x="1248"/>
        <item sd="0" x="1249"/>
        <item sd="0" x="1250"/>
        <item sd="0" x="1251"/>
        <item sd="0" x="1252"/>
        <item sd="0" x="1253"/>
        <item sd="0" x="1254"/>
        <item sd="0" x="1255"/>
        <item sd="0" x="1256"/>
        <item sd="0" x="1257"/>
        <item sd="0" x="1258"/>
        <item sd="0" x="1259"/>
        <item sd="0" x="1260"/>
        <item sd="0" x="1261"/>
        <item sd="0" x="1262"/>
        <item sd="0" x="1263"/>
        <item sd="0" x="1264"/>
        <item sd="0" x="1265"/>
        <item sd="0" x="1266"/>
        <item sd="0" x="1267"/>
        <item sd="0" x="1268"/>
        <item sd="0" x="1269"/>
        <item sd="0" x="1270"/>
        <item sd="0" x="1271"/>
        <item sd="0" x="1272"/>
        <item sd="0" x="1273"/>
        <item sd="0" x="1274"/>
        <item sd="0" x="1275"/>
        <item sd="0" x="1276"/>
        <item sd="0" x="1277"/>
        <item sd="0" x="1278"/>
        <item sd="0" x="1279"/>
        <item sd="0" x="1280"/>
        <item sd="0" x="1281"/>
        <item sd="0" x="1282"/>
        <item sd="0" x="1283"/>
        <item sd="0" x="1284"/>
        <item sd="0" x="1285"/>
        <item sd="0" x="1286"/>
        <item sd="0" x="1287"/>
        <item sd="0" x="1288"/>
        <item sd="0" x="1289"/>
        <item sd="0" x="1290"/>
        <item sd="0" x="1291"/>
        <item sd="0" x="1292"/>
        <item sd="0" x="1293"/>
        <item sd="0" x="1294"/>
        <item sd="0" x="1295"/>
        <item sd="0" x="1296"/>
        <item sd="0" x="1297"/>
        <item sd="0" x="1298"/>
        <item sd="0" x="1299"/>
        <item sd="0" x="1300"/>
        <item sd="0" x="1301"/>
        <item sd="0" x="1302"/>
        <item sd="0" x="1303"/>
        <item sd="0" x="1304"/>
        <item sd="0" x="1305"/>
        <item sd="0" x="1306"/>
        <item sd="0" x="1307"/>
        <item sd="0" x="1308"/>
        <item sd="0" x="1309"/>
        <item sd="0" x="1310"/>
        <item sd="0" x="1311"/>
        <item sd="0" x="1312"/>
        <item sd="0" x="1313"/>
        <item sd="0" x="1314"/>
        <item sd="0" x="1315"/>
        <item sd="0" x="1316"/>
        <item sd="0" x="1317"/>
        <item sd="0" x="1318"/>
        <item sd="0" x="1319"/>
        <item sd="0" x="1320"/>
        <item sd="0" x="1321"/>
        <item sd="0" x="1322"/>
        <item sd="0" x="1323"/>
        <item sd="0" x="1324"/>
        <item sd="0" x="1325"/>
        <item sd="0" x="1326"/>
        <item sd="0" x="1327"/>
        <item sd="0" x="1328"/>
        <item sd="0" x="1329"/>
        <item sd="0" x="1330"/>
        <item sd="0" x="1331"/>
        <item sd="0" x="1332"/>
        <item sd="0" x="1333"/>
        <item sd="0" x="1334"/>
        <item sd="0" x="1335"/>
        <item sd="0" x="1336"/>
        <item sd="0" x="1337"/>
        <item sd="0" x="1338"/>
        <item sd="0" x="1339"/>
        <item sd="0" x="1340"/>
        <item sd="0" x="1341"/>
        <item sd="0" x="1342"/>
        <item sd="0" x="1343"/>
        <item sd="0" x="1344"/>
        <item sd="0" x="1345"/>
        <item sd="0" x="1346"/>
        <item sd="0" x="1347"/>
        <item sd="0" x="1348"/>
        <item sd="0" x="1349"/>
        <item sd="0" x="1350"/>
        <item sd="0" x="1351"/>
        <item sd="0" x="1352"/>
        <item sd="0" x="1353"/>
        <item sd="0" x="1354"/>
        <item sd="0" x="1355"/>
        <item sd="0" x="1356"/>
        <item sd="0" x="1357"/>
        <item sd="0" x="1358"/>
        <item sd="0" x="1359"/>
        <item sd="0" x="1360"/>
        <item sd="0" x="1361"/>
        <item sd="0" x="1362"/>
        <item sd="0" x="1363"/>
        <item sd="0" x="1364"/>
        <item sd="0" x="1365"/>
        <item sd="0" x="1366"/>
        <item sd="0" x="1367"/>
        <item sd="0" x="1368"/>
        <item sd="0" x="1369"/>
        <item sd="0" x="1370"/>
        <item sd="0" x="1371"/>
        <item sd="0" x="1372"/>
        <item sd="0" x="1373"/>
        <item sd="0" x="1374"/>
        <item sd="0" x="1375"/>
        <item sd="0" x="1376"/>
        <item sd="0" x="1377"/>
        <item sd="0" x="1378"/>
        <item sd="0" x="1379"/>
        <item sd="0" x="1380"/>
        <item sd="0" x="1381"/>
        <item sd="0" x="1382"/>
        <item sd="0" x="1383"/>
        <item sd="0" x="1384"/>
        <item sd="0" x="1385"/>
        <item sd="0" x="1386"/>
        <item sd="0" x="1387"/>
        <item sd="0" x="1388"/>
        <item sd="0" x="1389"/>
        <item sd="0" x="1390"/>
        <item sd="0" x="1391"/>
        <item sd="0" x="1392"/>
        <item sd="0" x="1393"/>
        <item sd="0" x="1394"/>
        <item sd="0" x="1395"/>
        <item sd="0" x="1396"/>
        <item sd="0" x="1397"/>
        <item sd="0" x="1398"/>
        <item sd="0" x="1399"/>
        <item sd="0" x="1400"/>
        <item sd="0" x="1401"/>
        <item sd="0" x="1402"/>
        <item sd="0" x="1403"/>
        <item sd="0" x="1404"/>
        <item sd="0" x="1405"/>
        <item sd="0" x="1406"/>
        <item sd="0" x="1407"/>
        <item sd="0" x="1408"/>
        <item sd="0" x="1409"/>
        <item sd="0" x="1410"/>
        <item sd="0" x="1411"/>
        <item sd="0" x="1412"/>
        <item sd="0" x="1413"/>
        <item sd="0" x="1414"/>
        <item sd="0" x="1415"/>
        <item sd="0" x="1416"/>
        <item sd="0" x="1417"/>
        <item sd="0" x="1418"/>
        <item sd="0" x="1419"/>
        <item sd="0" x="1420"/>
        <item sd="0" x="1421"/>
        <item sd="0" x="1422"/>
        <item sd="0" x="1423"/>
        <item sd="0" x="1424"/>
        <item sd="0" x="1425"/>
        <item sd="0" x="1426"/>
        <item sd="0" x="1427"/>
        <item sd="0" x="1428"/>
        <item sd="0" x="1429"/>
        <item sd="0" x="1430"/>
        <item sd="0" x="1431"/>
        <item sd="0" x="1432"/>
        <item sd="0" x="1433"/>
        <item sd="0" x="1434"/>
        <item sd="0" x="1435"/>
        <item sd="0" x="1436"/>
        <item sd="0" x="1437"/>
        <item sd="0" x="1438"/>
        <item sd="0" x="1439"/>
        <item sd="0" x="1440"/>
        <item sd="0" x="1441"/>
        <item sd="0" x="1442"/>
        <item sd="0" x="1443"/>
        <item sd="0" x="1444"/>
        <item sd="0" x="1445"/>
        <item sd="0" x="1446"/>
        <item sd="0" x="1447"/>
        <item sd="0" x="1448"/>
        <item sd="0" x="1449"/>
        <item sd="0" x="1450"/>
        <item sd="0" x="1451"/>
        <item sd="0" x="1452"/>
        <item sd="0" x="1453"/>
        <item sd="0" x="1454"/>
        <item sd="0" x="1455"/>
        <item sd="0" x="1456"/>
        <item sd="0" x="1457"/>
        <item sd="0" x="1458"/>
        <item sd="0" x="1459"/>
        <item sd="0" x="1460"/>
        <item sd="0" x="1461"/>
        <item sd="0" x="1462"/>
        <item sd="0" x="1463"/>
        <item sd="0" x="1464"/>
        <item sd="0" x="1465"/>
        <item sd="0" x="1466"/>
        <item sd="0" x="1467"/>
        <item sd="0" x="1468"/>
        <item sd="0" x="1469"/>
        <item sd="0" x="1470"/>
        <item sd="0" x="1471"/>
        <item sd="0" x="1472"/>
        <item sd="0" x="1473"/>
        <item sd="0" x="1474"/>
        <item sd="0" x="1475"/>
        <item sd="0" x="1476"/>
        <item sd="0" x="1477"/>
        <item sd="0" x="1478"/>
        <item sd="0" x="1479"/>
        <item sd="0" x="1480"/>
        <item sd="0" x="1481"/>
        <item sd="0" x="1482"/>
        <item sd="0" x="1483"/>
        <item sd="0" x="1484"/>
        <item sd="0" x="1485"/>
        <item sd="0" x="1486"/>
        <item sd="0" x="1487"/>
        <item sd="0" x="1488"/>
        <item sd="0" x="1489"/>
        <item sd="0" x="1490"/>
        <item sd="0" x="1491"/>
        <item sd="0" x="1492"/>
        <item sd="0" x="1493"/>
        <item sd="0" x="1494"/>
        <item sd="0" x="1495"/>
        <item sd="0" x="1496"/>
        <item sd="0" x="1497"/>
        <item sd="0" x="1498"/>
        <item sd="0" x="1499"/>
        <item sd="0" x="1500"/>
        <item sd="0" x="1501"/>
        <item sd="0" x="1502"/>
        <item sd="0" x="1503"/>
        <item sd="0" x="1504"/>
        <item sd="0" x="1505"/>
        <item sd="0" x="1506"/>
        <item sd="0" x="1507"/>
        <item sd="0" x="1508"/>
        <item sd="0" x="1509"/>
        <item sd="0" x="1510"/>
        <item sd="0" x="1511"/>
        <item sd="0" x="1512"/>
        <item sd="0" x="1513"/>
        <item sd="0" x="1514"/>
        <item sd="0" x="1515"/>
        <item sd="0" x="1516"/>
        <item sd="0" x="1517"/>
        <item sd="0" x="1518"/>
        <item sd="0" x="1519"/>
        <item sd="0" x="1520"/>
        <item sd="0" x="1521"/>
        <item sd="0" x="1522"/>
        <item sd="0" x="1523"/>
        <item sd="0" x="1524"/>
        <item sd="0" x="1525"/>
        <item sd="0" x="1526"/>
        <item sd="0" x="1527"/>
        <item sd="0" x="1528"/>
        <item sd="0" x="1529"/>
        <item sd="0" x="1530"/>
        <item sd="0" x="1531"/>
        <item sd="0" x="1532"/>
        <item sd="0" x="1533"/>
        <item sd="0" x="1534"/>
        <item sd="0" x="1535"/>
        <item sd="0" x="1536"/>
        <item sd="0" x="1537"/>
        <item sd="0" x="1538"/>
        <item sd="0" x="1539"/>
        <item sd="0" x="1540"/>
        <item sd="0" x="1541"/>
        <item sd="0" x="1542"/>
        <item sd="0" x="1543"/>
        <item sd="0" x="1544"/>
        <item sd="0" x="1545"/>
        <item sd="0" x="1546"/>
        <item sd="0" x="1547"/>
        <item sd="0" x="1548"/>
        <item sd="0" x="1549"/>
        <item sd="0" x="1550"/>
        <item sd="0" x="1551"/>
        <item sd="0" x="1552"/>
        <item sd="0" x="1553"/>
        <item sd="0" x="1554"/>
        <item sd="0" x="1555"/>
        <item sd="0" x="1556"/>
        <item sd="0" x="1557"/>
        <item sd="0" x="1558"/>
        <item sd="0" x="1559"/>
        <item sd="0" x="1560"/>
        <item sd="0" x="1561"/>
        <item sd="0" x="1562"/>
        <item sd="0" x="1563"/>
        <item sd="0" x="1564"/>
        <item sd="0" x="1565"/>
        <item sd="0" x="1566"/>
        <item sd="0" x="1567"/>
        <item sd="0" x="1568"/>
        <item sd="0" x="1569"/>
        <item sd="0" x="1570"/>
        <item sd="0" x="1571"/>
        <item sd="0" x="1572"/>
        <item sd="0" x="1573"/>
        <item sd="0" x="1574"/>
        <item sd="0" x="1575"/>
        <item sd="0" x="1576"/>
        <item sd="0" x="1577"/>
        <item sd="0" x="1578"/>
        <item sd="0" x="1579"/>
        <item sd="0" x="1580"/>
        <item sd="0" x="1581"/>
        <item sd="0" x="1582"/>
        <item sd="0" x="1583"/>
        <item sd="0" x="1584"/>
        <item sd="0" x="1585"/>
        <item sd="0" x="1586"/>
        <item sd="0" x="1587"/>
        <item sd="0" x="1588"/>
        <item sd="0" x="1589"/>
        <item sd="0" x="1590"/>
        <item sd="0" x="1591"/>
        <item sd="0" x="1592"/>
        <item sd="0" x="1593"/>
        <item sd="0" x="1594"/>
        <item sd="0" x="1595"/>
        <item sd="0" x="1596"/>
        <item sd="0" x="1597"/>
        <item sd="0" x="1598"/>
        <item sd="0" x="1599"/>
        <item sd="0" x="1600"/>
        <item sd="0" x="1601"/>
        <item sd="0" x="1602"/>
        <item sd="0" x="1603"/>
        <item sd="0" x="1604"/>
        <item sd="0" x="1605"/>
        <item sd="0" x="1606"/>
        <item sd="0" x="1607"/>
        <item sd="0" x="1608"/>
        <item sd="0" x="1609"/>
        <item sd="0" x="1610"/>
        <item sd="0" x="1611"/>
        <item sd="0" x="1612"/>
        <item sd="0" x="1613"/>
        <item sd="0" x="1614"/>
        <item sd="0" x="1615"/>
        <item sd="0" x="1616"/>
        <item sd="0" x="1617"/>
        <item sd="0" x="1618"/>
        <item sd="0" x="1619"/>
        <item sd="0" x="1620"/>
        <item sd="0" x="1621"/>
        <item sd="0" x="1622"/>
        <item sd="0" x="1623"/>
        <item sd="0" x="1624"/>
        <item sd="0" x="1625"/>
        <item sd="0" x="1626"/>
        <item sd="0" x="1627"/>
        <item sd="0" x="1628"/>
        <item sd="0" x="1629"/>
        <item sd="0" x="1630"/>
        <item sd="0" x="1631"/>
        <item sd="0" x="1632"/>
        <item sd="0" x="1633"/>
        <item sd="0" x="1634"/>
        <item sd="0" x="1635"/>
        <item sd="0" x="1636"/>
        <item sd="0" x="1637"/>
        <item sd="0" x="1638"/>
        <item sd="0" x="1639"/>
        <item sd="0" x="1640"/>
        <item sd="0" x="1641"/>
        <item sd="0" x="1642"/>
        <item sd="0" x="1643"/>
        <item sd="0" x="1644"/>
        <item sd="0" x="1645"/>
        <item sd="0" x="1646"/>
        <item sd="0" x="1647"/>
        <item sd="0" x="1648"/>
        <item sd="0" x="1649"/>
        <item sd="0" x="1650"/>
        <item sd="0" x="1651"/>
        <item sd="0" x="1652"/>
        <item sd="0" x="1653"/>
        <item sd="0" x="1654"/>
        <item sd="0" x="1655"/>
        <item sd="0" x="1656"/>
        <item sd="0" x="1657"/>
        <item sd="0" x="1658"/>
        <item sd="0" x="1659"/>
        <item sd="0" x="1660"/>
        <item sd="0" x="1661"/>
        <item sd="0" x="1662"/>
        <item sd="0" x="1663"/>
        <item sd="0" x="1664"/>
        <item sd="0" x="1665"/>
        <item sd="0" x="1666"/>
        <item sd="0" x="1667"/>
        <item sd="0" x="1668"/>
        <item sd="0" x="1669"/>
        <item sd="0" x="1670"/>
        <item sd="0" x="1671"/>
        <item sd="0" x="1672"/>
        <item sd="0" x="1673"/>
        <item sd="0" x="1674"/>
        <item sd="0" x="1675"/>
        <item sd="0" x="1676"/>
        <item sd="0" x="1677"/>
        <item sd="0" x="1678"/>
        <item sd="0" x="1679"/>
        <item sd="0" x="1680"/>
        <item sd="0" x="1681"/>
        <item sd="0" x="1682"/>
        <item sd="0" x="1683"/>
        <item sd="0" x="1684"/>
        <item sd="0" x="1685"/>
        <item sd="0" x="1686"/>
        <item sd="0" x="1687"/>
        <item sd="0" x="1688"/>
        <item sd="0" x="1689"/>
        <item sd="0" x="1690"/>
        <item sd="0" x="1691"/>
        <item sd="0" x="1692"/>
        <item sd="0" x="1693"/>
        <item sd="0" x="1694"/>
        <item sd="0" x="1695"/>
        <item sd="0" x="1696"/>
        <item sd="0" x="1697"/>
        <item sd="0" x="1698"/>
        <item sd="0" x="1699"/>
        <item sd="0" x="1700"/>
        <item sd="0" x="1701"/>
        <item sd="0" x="1702"/>
        <item sd="0" x="1703"/>
        <item sd="0" x="1704"/>
        <item sd="0" x="1705"/>
        <item sd="0" x="1706"/>
        <item sd="0" x="1707"/>
        <item sd="0" x="1708"/>
        <item sd="0" x="1709"/>
        <item sd="0" x="1710"/>
        <item sd="0" x="1711"/>
        <item sd="0" x="1712"/>
        <item sd="0" x="1713"/>
        <item sd="0" x="1714"/>
        <item sd="0" x="1715"/>
        <item sd="0" x="1716"/>
        <item sd="0" x="1717"/>
        <item sd="0" x="1718"/>
        <item sd="0" x="1719"/>
        <item sd="0" x="1720"/>
        <item sd="0" x="1721"/>
        <item sd="0" x="1722"/>
        <item sd="0" x="1723"/>
        <item sd="0" x="1724"/>
        <item sd="0" x="1725"/>
        <item sd="0" x="1726"/>
        <item sd="0" x="1727"/>
      </items>
    </pivotField>
    <pivotField dataField="1" compact="0" outline="0" showAll="0" defaultSubtotal="0">
      <items count="1">
        <item sd="0" x="0"/>
      </items>
    </pivotField>
    <pivotField compact="0" outline="0" showAll="0" defaultSubtotal="0">
      <items count="1728">
        <item sd="0" x="79"/>
        <item sd="0" x="581"/>
        <item sd="0" x="1459"/>
        <item sd="0" x="533"/>
        <item sd="0" x="1479"/>
        <item sd="0" x="1397"/>
        <item sd="0" x="158"/>
        <item sd="0" x="1195"/>
        <item sd="0" x="361"/>
        <item sd="0" x="1307"/>
        <item sd="0" x="8"/>
        <item sd="0" x="274"/>
        <item sd="0" x="1498"/>
        <item sd="0" x="1298"/>
        <item sd="0" x="984"/>
        <item sd="0" x="293"/>
        <item sd="0" x="1169"/>
        <item sd="0" x="1663"/>
        <item sd="0" x="1706"/>
        <item sd="0" x="983"/>
        <item sd="0" x="427"/>
        <item sd="0" x="848"/>
        <item sd="0" x="1528"/>
        <item sd="0" x="975"/>
        <item sd="0" x="1093"/>
        <item sd="0" x="740"/>
        <item sd="0" x="981"/>
        <item sd="0" x="654"/>
        <item sd="0" x="1092"/>
        <item sd="0" x="1580"/>
        <item sd="0" x="1454"/>
        <item sd="0" x="451"/>
        <item sd="0" x="1535"/>
        <item sd="0" x="437"/>
        <item sd="0" x="39"/>
        <item sd="0" x="150"/>
        <item sd="0" x="1321"/>
        <item sd="0" x="288"/>
        <item sd="0" x="398"/>
        <item sd="0" x="1351"/>
        <item sd="0" x="483"/>
        <item sd="0" x="1616"/>
        <item sd="0" x="1523"/>
        <item sd="0" x="1413"/>
        <item sd="0" x="1514"/>
        <item sd="0" x="1513"/>
        <item sd="0" x="1293"/>
        <item sd="0" x="205"/>
        <item sd="0" x="1046"/>
        <item sd="0" x="438"/>
        <item sd="0" x="1328"/>
        <item sd="0" x="1689"/>
        <item sd="0" x="112"/>
        <item sd="0" x="1520"/>
        <item sd="0" x="727"/>
        <item sd="0" x="976"/>
        <item sd="0" x="1533"/>
        <item sd="0" x="85"/>
        <item sd="0" x="362"/>
        <item sd="0" x="454"/>
        <item sd="0" x="354"/>
        <item sd="0" x="962"/>
        <item sd="0" x="1180"/>
        <item sd="0" x="510"/>
        <item sd="0" x="1638"/>
        <item sd="0" x="1453"/>
        <item sd="0" x="195"/>
        <item sd="0" x="1589"/>
        <item sd="0" x="1216"/>
        <item sd="0" x="331"/>
        <item sd="0" x="365"/>
        <item sd="0" x="1715"/>
        <item sd="0" x="194"/>
        <item sd="0" x="1315"/>
        <item sd="0" x="123"/>
        <item sd="0" x="49"/>
        <item sd="0" x="906"/>
        <item sd="0" x="1269"/>
        <item sd="0" x="110"/>
        <item sd="0" x="669"/>
        <item sd="0" x="1168"/>
        <item sd="0" x="509"/>
        <item sd="0" x="1189"/>
        <item sd="0" x="1495"/>
        <item sd="0" x="1643"/>
        <item sd="0" x="276"/>
        <item sd="0" x="1399"/>
        <item sd="0" x="1069"/>
        <item sd="0" x="1043"/>
        <item sd="0" x="863"/>
        <item sd="0" x="1132"/>
        <item sd="0" x="367"/>
        <item sd="0" x="845"/>
        <item sd="0" x="137"/>
        <item sd="0" x="225"/>
        <item sd="0" x="621"/>
        <item sd="0" x="1606"/>
        <item sd="0" x="884"/>
        <item sd="0" x="356"/>
        <item sd="0" x="1243"/>
        <item sd="0" x="940"/>
        <item sd="0" x="667"/>
        <item sd="0" x="1421"/>
        <item sd="0" x="1371"/>
        <item sd="0" x="866"/>
        <item sd="0" x="1247"/>
        <item sd="0" x="624"/>
        <item sd="0" x="107"/>
        <item sd="0" x="145"/>
        <item sd="0" x="193"/>
        <item sd="0" x="634"/>
        <item sd="0" x="424"/>
        <item sd="0" x="827"/>
        <item sd="0" x="26"/>
        <item sd="0" x="1553"/>
        <item sd="0" x="1683"/>
        <item sd="0" x="737"/>
        <item sd="0" x="1196"/>
        <item sd="0" x="1010"/>
        <item sd="0" x="267"/>
        <item sd="0" x="96"/>
        <item sd="0" x="776"/>
        <item sd="0" x="113"/>
        <item sd="0" x="1340"/>
        <item sd="0" x="1026"/>
        <item sd="0" x="1217"/>
        <item sd="0" x="409"/>
        <item sd="0" x="325"/>
        <item sd="0" x="627"/>
        <item sd="0" x="1153"/>
        <item sd="0" x="1599"/>
        <item sd="0" x="1292"/>
        <item sd="0" x="757"/>
        <item sd="0" x="1326"/>
        <item sd="0" x="1181"/>
        <item sd="0" x="990"/>
        <item sd="0" x="1222"/>
        <item sd="0" x="1725"/>
        <item sd="0" x="1491"/>
        <item sd="0" x="1693"/>
        <item sd="0" x="1016"/>
        <item sd="0" x="1566"/>
        <item sd="0" x="84"/>
        <item sd="0" x="1331"/>
        <item sd="0" x="1578"/>
        <item sd="0" x="717"/>
        <item sd="0" x="1138"/>
        <item sd="0" x="890"/>
        <item sd="0" x="1218"/>
        <item sd="0" x="1475"/>
        <item sd="0" x="1028"/>
        <item sd="0" x="846"/>
        <item sd="0" x="1239"/>
        <item sd="0" x="1018"/>
        <item sd="0" x="1158"/>
        <item sd="0" x="399"/>
        <item sd="0" x="146"/>
        <item sd="0" x="1497"/>
        <item sd="0" x="1141"/>
        <item sd="0" x="108"/>
        <item sd="0" x="203"/>
        <item sd="0" x="1407"/>
        <item sd="0" x="1070"/>
        <item sd="0" x="953"/>
        <item sd="0" x="481"/>
        <item sd="0" x="1420"/>
        <item sd="0" x="35"/>
        <item sd="0" x="959"/>
        <item sd="0" x="131"/>
        <item sd="0" x="774"/>
        <item sd="0" x="74"/>
        <item sd="0" x="1056"/>
        <item sd="0" x="840"/>
        <item sd="0" x="1624"/>
        <item sd="0" x="925"/>
        <item sd="0" x="896"/>
        <item sd="0" x="1474"/>
        <item sd="0" x="726"/>
        <item sd="0" x="314"/>
        <item sd="0" x="1550"/>
        <item sd="0" x="449"/>
        <item sd="0" x="434"/>
        <item sd="0" x="52"/>
        <item sd="0" x="1688"/>
        <item sd="0" x="713"/>
        <item sd="0" x="340"/>
        <item sd="0" x="946"/>
        <item sd="0" x="1235"/>
        <item sd="0" x="759"/>
        <item sd="0" x="342"/>
        <item sd="0" x="389"/>
        <item sd="0" x="1329"/>
        <item sd="0" x="189"/>
        <item sd="0" x="1396"/>
        <item sd="0" x="1602"/>
        <item sd="0" x="1698"/>
        <item sd="0" x="1082"/>
        <item sd="0" x="101"/>
        <item sd="0" x="617"/>
        <item sd="0" x="1516"/>
        <item sd="0" x="561"/>
        <item sd="0" x="519"/>
        <item sd="0" x="924"/>
        <item sd="0" x="1246"/>
        <item sd="0" x="988"/>
        <item sd="0" x="83"/>
        <item sd="0" x="569"/>
        <item sd="0" x="1076"/>
        <item sd="0" x="353"/>
        <item sd="0" x="343"/>
        <item sd="0" x="384"/>
        <item sd="0" x="1268"/>
        <item sd="0" x="604"/>
        <item sd="0" x="1215"/>
        <item sd="0" x="666"/>
        <item sd="0" x="1156"/>
        <item sd="0" x="1334"/>
        <item sd="0" x="1057"/>
        <item sd="0" x="725"/>
        <item sd="0" x="605"/>
        <item sd="0" x="1060"/>
        <item sd="0" x="62"/>
        <item sd="0" x="778"/>
        <item sd="0" x="582"/>
        <item sd="0" x="1621"/>
        <item sd="0" x="930"/>
        <item sd="0" x="586"/>
        <item sd="0" x="520"/>
        <item sd="0" x="1648"/>
        <item sd="0" x="881"/>
        <item sd="0" x="544"/>
        <item sd="0" x="485"/>
        <item sd="0" x="1526"/>
        <item sd="0" x="186"/>
        <item sd="0" x="1455"/>
        <item sd="0" x="1172"/>
        <item sd="0" x="1554"/>
        <item sd="0" x="1678"/>
        <item sd="0" x="1428"/>
        <item sd="0" x="91"/>
        <item sd="0" x="313"/>
        <item sd="0" x="1335"/>
        <item sd="0" x="949"/>
        <item sd="0" x="390"/>
        <item sd="0" x="1297"/>
        <item sd="0" x="1130"/>
        <item sd="0" x="339"/>
        <item sd="0" x="497"/>
        <item sd="0" x="671"/>
        <item sd="0" x="1405"/>
        <item sd="0" x="1085"/>
        <item sd="0" x="494"/>
        <item sd="0" x="1529"/>
        <item sd="0" x="5"/>
        <item sd="0" x="818"/>
        <item sd="0" x="1286"/>
        <item sd="0" x="673"/>
        <item sd="0" x="1097"/>
        <item sd="0" x="1472"/>
        <item sd="0" x="1417"/>
        <item sd="0" x="788"/>
        <item sd="0" x="789"/>
        <item sd="0" x="719"/>
        <item sd="0" x="89"/>
        <item sd="0" x="939"/>
        <item sd="0" x="1038"/>
        <item sd="0" x="1285"/>
        <item sd="0" x="47"/>
        <item sd="0" x="502"/>
        <item sd="0" x="1072"/>
        <item sd="0" x="207"/>
        <item sd="0" x="937"/>
        <item sd="0" x="1430"/>
        <item sd="0" x="347"/>
        <item sd="0" x="466"/>
        <item sd="0" x="479"/>
        <item sd="0" x="970"/>
        <item sd="0" x="1385"/>
        <item sd="0" x="121"/>
        <item sd="0" x="997"/>
        <item sd="0" x="933"/>
        <item sd="0" x="4"/>
        <item sd="0" x="1052"/>
        <item sd="0" x="377"/>
        <item sd="0" x="234"/>
        <item sd="0" x="80"/>
        <item sd="0" x="1422"/>
        <item sd="0" x="1323"/>
        <item sd="0" x="1101"/>
        <item sd="0" x="1401"/>
        <item sd="0" x="1548"/>
        <item sd="0" x="330"/>
        <item sd="0" x="643"/>
        <item sd="0" x="1608"/>
        <item sd="0" x="371"/>
        <item sd="0" x="1360"/>
        <item sd="0" x="1114"/>
        <item sd="0" x="701"/>
        <item sd="0" x="1211"/>
        <item sd="0" x="488"/>
        <item sd="0" x="1282"/>
        <item sd="0" x="1349"/>
        <item sd="0" x="745"/>
        <item sd="0" x="1649"/>
        <item sd="0" x="114"/>
        <item sd="0" x="1249"/>
        <item sd="0" x="1203"/>
        <item sd="0" x="1483"/>
        <item sd="0" x="326"/>
        <item sd="0" x="556"/>
        <item sd="0" x="1696"/>
        <item sd="0" x="892"/>
        <item sd="0" x="1312"/>
        <item sd="0" x="408"/>
        <item sd="0" x="1047"/>
        <item sd="0" x="385"/>
        <item sd="0" x="1346"/>
        <item sd="0" x="43"/>
        <item sd="0" x="1266"/>
        <item sd="0" x="235"/>
        <item sd="0" x="1597"/>
        <item sd="0" x="10"/>
        <item sd="0" x="1680"/>
        <item sd="0" x="15"/>
        <item sd="0" x="767"/>
        <item sd="0" x="1333"/>
        <item sd="0" x="279"/>
        <item sd="0" x="1231"/>
        <item sd="0" x="232"/>
        <item sd="0" x="653"/>
        <item sd="0" x="1005"/>
        <item sd="0" x="473"/>
        <item sd="0" x="1645"/>
        <item sd="0" x="433"/>
        <item sd="0" x="1388"/>
        <item sd="0" x="718"/>
        <item sd="0" x="538"/>
        <item sd="0" x="7"/>
        <item sd="0" x="1250"/>
        <item sd="0" x="685"/>
        <item sd="0" x="299"/>
        <item sd="0" x="600"/>
        <item sd="0" x="601"/>
        <item sd="0" x="190"/>
        <item sd="0" x="1190"/>
        <item sd="0" x="134"/>
        <item sd="0" x="967"/>
        <item sd="0" x="783"/>
        <item sd="0" x="1045"/>
        <item sd="0" x="805"/>
        <item sd="0" x="268"/>
        <item sd="0" x="1311"/>
        <item sd="0" x="149"/>
        <item sd="0" x="308"/>
        <item sd="0" x="824"/>
        <item sd="0" x="1719"/>
        <item sd="0" x="444"/>
        <item sd="0" x="532"/>
        <item sd="0" x="1036"/>
        <item sd="0" x="1631"/>
        <item sd="0" x="381"/>
        <item sd="0" x="312"/>
        <item sd="0" x="463"/>
        <item sd="0" x="1603"/>
        <item sd="0" x="1271"/>
        <item sd="0" x="253"/>
        <item sd="0" x="1021"/>
        <item sd="0" x="819"/>
        <item sd="0" x="712"/>
        <item sd="0" x="93"/>
        <item sd="0" x="626"/>
        <item sd="0" x="153"/>
        <item sd="0" x="541"/>
        <item sd="0" x="1145"/>
        <item sd="0" x="241"/>
        <item sd="0" x="1537"/>
        <item sd="0" x="301"/>
        <item sd="0" x="135"/>
        <item sd="0" x="1167"/>
        <item sd="0" x="476"/>
        <item sd="0" x="750"/>
        <item sd="0" x="785"/>
        <item sd="0" x="722"/>
        <item sd="0" x="747"/>
        <item sd="0" x="65"/>
        <item sd="0" x="1615"/>
        <item sd="0" x="738"/>
        <item sd="0" x="14"/>
        <item sd="0" x="216"/>
        <item sd="0" x="1116"/>
        <item sd="0" x="133"/>
        <item sd="0" x="394"/>
        <item sd="0" x="996"/>
        <item sd="0" x="656"/>
        <item sd="0" x="650"/>
        <item sd="0" x="1707"/>
        <item sd="0" x="1709"/>
        <item sd="0" x="961"/>
        <item sd="0" x="542"/>
        <item sd="0" x="1629"/>
        <item sd="0" x="568"/>
        <item sd="0" x="33"/>
        <item sd="0" x="163"/>
        <item sd="0" x="1119"/>
        <item sd="0" x="658"/>
        <item sd="0" x="480"/>
        <item sd="0" x="364"/>
        <item sd="0" x="1492"/>
        <item sd="0" x="513"/>
        <item sd="0" x="822"/>
        <item sd="0" x="441"/>
        <item sd="0" x="200"/>
        <item sd="0" x="507"/>
        <item sd="0" x="963"/>
        <item sd="0" x="1549"/>
        <item sd="0" x="252"/>
        <item sd="0" x="1051"/>
        <item sd="0" x="366"/>
        <item sd="0" x="836"/>
        <item sd="0" x="238"/>
        <item sd="0" x="436"/>
        <item sd="0" x="1449"/>
        <item sd="0" x="505"/>
        <item sd="0" x="904"/>
        <item sd="0" x="951"/>
        <item sd="0" x="670"/>
        <item sd="0" x="807"/>
        <item sd="0" x="1066"/>
        <item sd="0" x="323"/>
        <item sd="0" x="851"/>
        <item sd="0" x="462"/>
        <item sd="0" x="1575"/>
        <item sd="0" x="1115"/>
        <item sd="0" x="1319"/>
        <item sd="0" x="1318"/>
        <item sd="0" x="499"/>
        <item sd="0" x="503"/>
        <item sd="0" x="1667"/>
        <item sd="0" x="90"/>
        <item sd="0" x="143"/>
        <item sd="0" x="1570"/>
        <item sd="0" x="1394"/>
        <item sd="0" x="383"/>
        <item sd="0" x="880"/>
        <item sd="0" x="178"/>
        <item sd="0" x="743"/>
        <item sd="0" x="1574"/>
        <item sd="0" x="1711"/>
        <item sd="0" x="1724"/>
        <item sd="0" x="1503"/>
        <item sd="0" x="1088"/>
        <item sd="0" x="159"/>
        <item sd="0" x="213"/>
        <item sd="0" x="700"/>
        <item sd="0" x="1457"/>
        <item sd="0" x="690"/>
        <item sd="0" x="908"/>
        <item sd="0" x="1519"/>
        <item sd="0" x="402"/>
        <item sd="0" x="1393"/>
        <item sd="0" x="715"/>
        <item sd="0" x="493"/>
        <item sd="0" x="1270"/>
        <item sd="0" x="980"/>
        <item sd="0" x="1406"/>
        <item sd="0" x="11"/>
        <item sd="0" x="58"/>
        <item sd="0" x="531"/>
        <item sd="0" x="320"/>
        <item sd="0" x="1011"/>
        <item sd="0" x="1095"/>
        <item sd="0" x="1332"/>
        <item sd="0" x="25"/>
        <item sd="0" x="566"/>
        <item sd="0" x="1245"/>
        <item sd="0" x="1000"/>
        <item sd="0" x="469"/>
        <item sd="0" x="404"/>
        <item sd="0" x="986"/>
        <item sd="0" x="291"/>
        <item sd="0" x="1531"/>
        <item sd="0" x="1448"/>
        <item sd="0" x="170"/>
        <item sd="0" x="1123"/>
        <item sd="0" x="95"/>
        <item sd="0" x="1504"/>
        <item sd="0" x="873"/>
        <item sd="0" x="950"/>
        <item sd="0" x="549"/>
        <item sd="0" x="196"/>
        <item sd="0" x="813"/>
        <item sd="0" x="620"/>
        <item sd="0" x="511"/>
        <item sd="0" x="1666"/>
        <item sd="0" x="428"/>
        <item sd="0" x="1099"/>
        <item sd="0" x="817"/>
        <item sd="0" x="839"/>
        <item sd="0" x="1628"/>
        <item sd="0" x="292"/>
        <item sd="0" x="1242"/>
        <item sd="0" x="849"/>
        <item sd="0" x="1426"/>
        <item sd="0" x="1197"/>
        <item sd="0" x="1365"/>
        <item sd="0" x="979"/>
        <item sd="0" x="1561"/>
        <item sd="0" x="1632"/>
        <item sd="0" x="707"/>
        <item sd="0" x="1199"/>
        <item sd="0" x="1720"/>
        <item sd="0" x="998"/>
        <item sd="0" x="1650"/>
        <item sd="0" x="1590"/>
        <item sd="0" x="1441"/>
        <item sd="0" x="287"/>
        <item sd="0" x="714"/>
        <item sd="0" x="122"/>
        <item sd="0" x="1087"/>
        <item sd="0" x="1593"/>
        <item sd="0" x="648"/>
        <item sd="0" x="954"/>
        <item sd="0" x="639"/>
        <item sd="0" x="498"/>
        <item sd="0" x="1496"/>
        <item sd="0" x="1383"/>
        <item sd="0" x="1256"/>
        <item sd="0" x="1105"/>
        <item sd="0" x="1558"/>
        <item sd="0" x="388"/>
        <item sd="0" x="1585"/>
        <item sd="0" x="1601"/>
        <item sd="0" x="1366"/>
        <item sd="0" x="139"/>
        <item sd="0" x="856"/>
        <item sd="0" x="867"/>
        <item sd="0" x="1034"/>
        <item sd="0" x="1219"/>
        <item sd="0" x="1581"/>
        <item sd="0" x="1241"/>
        <item sd="0" x="1342"/>
        <item sd="0" x="447"/>
        <item sd="0" x="1128"/>
        <item sd="0" x="1610"/>
        <item sd="0" x="553"/>
        <item sd="0" x="421"/>
        <item sd="0" x="435"/>
        <item sd="0" x="415"/>
        <item sd="0" x="1408"/>
        <item sd="0" x="1022"/>
        <item sd="0" x="1551"/>
        <item sd="0" x="1546"/>
        <item sd="0" x="831"/>
        <item sd="0" x="572"/>
        <item sd="0" x="460"/>
        <item sd="0" x="1367"/>
        <item sd="0" x="1415"/>
        <item sd="0" x="504"/>
        <item sd="0" x="217"/>
        <item sd="0" x="1652"/>
        <item sd="0" x="816"/>
        <item sd="0" x="855"/>
        <item sd="0" x="1545"/>
        <item sd="0" x="1310"/>
        <item sd="0" x="1260"/>
        <item sd="0" x="55"/>
        <item sd="0" x="183"/>
        <item sd="0" x="1713"/>
        <item sd="0" x="826"/>
        <item sd="0" x="1078"/>
        <item sd="0" x="1325"/>
        <item sd="0" x="40"/>
        <item sd="0" x="116"/>
        <item sd="0" x="675"/>
        <item sd="0" x="243"/>
        <item sd="0" x="635"/>
        <item sd="0" x="938"/>
        <item sd="0" x="29"/>
        <item sd="0" x="1053"/>
        <item sd="0" x="1096"/>
        <item sd="0" x="773"/>
        <item sd="0" x="1210"/>
        <item sd="0" x="281"/>
        <item sd="0" x="1113"/>
        <item sd="0" x="1637"/>
        <item sd="0" x="1676"/>
        <item sd="0" x="655"/>
        <item sd="0" x="1515"/>
        <item sd="0" x="1569"/>
        <item sd="0" x="555"/>
        <item sd="0" x="247"/>
        <item sd="0" x="1424"/>
        <item sd="0" x="1357"/>
        <item sd="0" x="1185"/>
        <item sd="0" x="1098"/>
        <item sd="0" x="418"/>
        <item sd="0" x="1014"/>
        <item sd="0" x="902"/>
        <item sd="0" x="304"/>
        <item sd="0" x="1109"/>
        <item sd="0" x="228"/>
        <item sd="0" x="1412"/>
        <item sd="0" x="1386"/>
        <item sd="0" x="1697"/>
        <item sd="0" x="546"/>
        <item sd="0" x="823"/>
        <item sd="0" x="625"/>
        <item sd="0" x="579"/>
        <item sd="0" x="683"/>
        <item sd="0" x="310"/>
        <item sd="0" x="1129"/>
        <item sd="0" x="265"/>
        <item sd="0" x="837"/>
        <item sd="0" x="1229"/>
        <item sd="0" x="973"/>
        <item sd="0" x="1209"/>
        <item sd="0" x="512"/>
        <item sd="0" x="1050"/>
        <item sd="0" x="969"/>
        <item sd="0" x="392"/>
        <item sd="0" x="174"/>
        <item sd="0" x="858"/>
        <item sd="0" x="1003"/>
        <item sd="0" x="835"/>
        <item sd="0" x="248"/>
        <item sd="0" x="952"/>
        <item sd="0" x="324"/>
        <item sd="0" x="1251"/>
        <item sd="0" x="1202"/>
        <item sd="0" x="1694"/>
        <item sd="0" x="306"/>
        <item sd="0" x="843"/>
        <item sd="0" x="1584"/>
        <item sd="0" x="550"/>
        <item sd="0" x="1679"/>
        <item sd="0" x="679"/>
        <item sd="0" x="1522"/>
        <item sd="0" x="768"/>
        <item sd="0" x="405"/>
        <item sd="0" x="631"/>
        <item sd="0" x="188"/>
        <item sd="0" x="1007"/>
        <item sd="0" x="686"/>
        <item sd="0" x="1295"/>
        <item sd="0" x="76"/>
        <item sd="0" x="1543"/>
        <item sd="0" x="696"/>
        <item sd="0" x="1674"/>
        <item sd="0" x="1700"/>
        <item sd="0" x="1033"/>
        <item sd="0" x="956"/>
        <item sd="0" x="775"/>
        <item sd="0" x="13"/>
        <item sd="0" x="167"/>
        <item sd="0" x="622"/>
        <item sd="0" x="577"/>
        <item sd="0" x="1653"/>
        <item sd="0" x="1539"/>
        <item sd="0" x="1442"/>
        <item sd="0" x="599"/>
        <item sd="0" x="934"/>
        <item sd="0" x="834"/>
        <item sd="0" x="1395"/>
        <item sd="0" x="1277"/>
        <item sd="0" x="1493"/>
        <item sd="0" x="1086"/>
        <item sd="0" x="829"/>
        <item sd="0" x="226"/>
        <item sd="0" x="1651"/>
        <item sd="0" x="1152"/>
        <item sd="0" x="1418"/>
        <item sd="0" x="442"/>
        <item sd="0" x="1622"/>
        <item sd="0" x="1439"/>
        <item sd="0" x="955"/>
        <item sd="0" x="799"/>
        <item sd="0" x="1562"/>
        <item sd="0" x="547"/>
        <item sd="0" x="472"/>
        <item sd="0" x="1681"/>
        <item sd="0" x="928"/>
        <item sd="0" x="535"/>
        <item sd="0" x="1390"/>
        <item sd="0" x="136"/>
        <item sd="0" x="111"/>
        <item sd="0" x="1192"/>
        <item sd="0" x="1102"/>
        <item sd="0" x="1182"/>
        <item sd="0" x="1639"/>
        <item sd="0" x="1377"/>
        <item sd="0" x="1299"/>
        <item sd="0" x="99"/>
        <item sd="0" x="1403"/>
        <item sd="0" x="1200"/>
        <item sd="0" x="199"/>
        <item sd="0" x="482"/>
        <item sd="0" x="907"/>
        <item sd="0" x="1538"/>
        <item sd="0" x="309"/>
        <item sd="0" x="355"/>
        <item sd="0" x="295"/>
        <item sd="0" x="1436"/>
        <item sd="0" x="46"/>
        <item sd="0" x="144"/>
        <item sd="0" x="825"/>
        <item sd="0" x="1100"/>
        <item sd="0" x="9"/>
        <item sd="0" x="275"/>
        <item sd="0" x="741"/>
        <item sd="0" x="457"/>
        <item sd="0" x="94"/>
        <item sd="0" x="1062"/>
        <item sd="0" x="1547"/>
        <item sd="0" x="67"/>
        <item sd="0" x="278"/>
        <item sd="0" x="1376"/>
        <item sd="0" x="1183"/>
        <item sd="0" x="474"/>
        <item sd="0" x="1636"/>
        <item sd="0" x="1309"/>
        <item sd="0" x="941"/>
        <item sd="0" x="28"/>
        <item sd="0" x="1121"/>
        <item sd="0" x="75"/>
        <item sd="0" x="2"/>
        <item sd="0" x="557"/>
        <item sd="0" x="465"/>
        <item sd="0" x="871"/>
        <item sd="0" x="491"/>
        <item sd="0" x="982"/>
        <item sd="0" x="1669"/>
        <item sd="0" x="455"/>
        <item sd="0" x="662"/>
        <item sd="0" x="649"/>
        <item sd="0" x="1350"/>
        <item sd="0" x="838"/>
        <item sd="0" x="920"/>
        <item sd="0" x="27"/>
        <item sd="0" x="36"/>
        <item sd="0" x="958"/>
        <item sd="0" x="376"/>
        <item sd="0" x="965"/>
        <item sd="0" x="1389"/>
        <item sd="0" x="1059"/>
        <item sd="0" x="1510"/>
        <item sd="0" x="798"/>
        <item sd="0" x="126"/>
        <item sd="0" x="616"/>
        <item sd="0" x="1265"/>
        <item sd="0" x="539"/>
        <item sd="0" x="575"/>
        <item sd="0" x="1150"/>
        <item sd="0" x="913"/>
        <item sd="0" x="1124"/>
        <item sd="0" x="508"/>
        <item sd="0" x="1630"/>
        <item sd="0" x="1091"/>
        <item sd="0" x="1257"/>
        <item sd="0" x="1"/>
        <item sd="0" x="1429"/>
        <item sd="0" x="878"/>
        <item sd="0" x="1576"/>
        <item sd="0" x="1204"/>
        <item sd="0" x="901"/>
        <item sd="0" x="971"/>
        <item sd="0" x="1025"/>
        <item sd="0" x="263"/>
        <item sd="0" x="864"/>
        <item sd="0" x="1356"/>
        <item sd="0" x="522"/>
        <item sd="0" x="790"/>
        <item sd="0" x="944"/>
        <item sd="0" x="665"/>
        <item sd="0" x="419"/>
        <item sd="0" x="357"/>
        <item sd="0" x="657"/>
        <item sd="0" x="593"/>
        <item sd="0" x="1284"/>
        <item sd="0" x="1283"/>
        <item sd="0" x="578"/>
        <item sd="0" x="21"/>
        <item sd="0" x="597"/>
        <item sd="0" x="338"/>
        <item sd="0" x="1657"/>
        <item sd="0" x="1314"/>
        <item sd="0" x="716"/>
        <item sd="0" x="212"/>
        <item sd="0" x="1226"/>
        <item sd="0" x="227"/>
        <item sd="0" x="536"/>
        <item sd="0" x="125"/>
        <item sd="0" x="1646"/>
        <item sd="0" x="1542"/>
        <item sd="0" x="859"/>
        <item sd="0" x="772"/>
        <item sd="0" x="180"/>
        <item sd="0" x="487"/>
        <item sd="0" x="1655"/>
        <item sd="0" x="16"/>
        <item sd="0" x="1077"/>
        <item sd="0" x="204"/>
        <item sd="0" x="1081"/>
        <item sd="0" x="794"/>
        <item sd="0" x="1594"/>
        <item sd="0" x="48"/>
        <item sd="0" x="171"/>
        <item sd="0" x="1236"/>
        <item sd="0" x="109"/>
        <item sd="0" x="660"/>
        <item sd="0" x="796"/>
        <item sd="0" x="1001"/>
        <item sd="0" x="250"/>
        <item sd="0" x="1464"/>
        <item sd="0" x="1161"/>
        <item sd="0" x="303"/>
        <item sd="0" x="209"/>
        <item sd="0" x="1567"/>
        <item sd="0" x="81"/>
        <item sd="0" x="106"/>
        <item sd="0" x="874"/>
        <item sd="0" x="1108"/>
        <item sd="0" x="1486"/>
        <item sd="0" x="1148"/>
        <item sd="0" x="305"/>
        <item sd="0" x="380"/>
        <item sd="0" x="766"/>
        <item sd="0" x="629"/>
        <item sd="0" x="1020"/>
        <item sd="0" x="615"/>
        <item sd="0" x="1120"/>
        <item sd="0" x="804"/>
        <item sd="0" x="1107"/>
        <item sd="0" x="1619"/>
        <item sd="0" x="668"/>
        <item sd="0" x="674"/>
        <item sd="0" x="770"/>
        <item sd="0" x="1015"/>
        <item sd="0" x="496"/>
        <item sd="0" x="754"/>
        <item sd="0" x="563"/>
        <item sd="0" x="795"/>
        <item sd="0" x="391"/>
        <item sd="0" x="233"/>
        <item sd="0" x="688"/>
        <item sd="0" x="1044"/>
        <item sd="0" x="1039"/>
        <item sd="0" x="730"/>
        <item sd="0" x="68"/>
        <item sd="0" x="942"/>
        <item sd="0" x="1563"/>
        <item sd="0" x="197"/>
        <item sd="0" x="1294"/>
        <item sd="0" x="282"/>
        <item sd="0" x="596"/>
        <item sd="0" x="1338"/>
        <item sd="0" x="70"/>
        <item sd="0" x="645"/>
        <item sd="0" x="374"/>
        <item sd="0" x="372"/>
        <item sd="0" x="1644"/>
        <item sd="0" x="1296"/>
        <item sd="0" x="964"/>
        <item sd="0" x="1659"/>
        <item sd="0" x="1662"/>
        <item sd="0" x="198"/>
        <item sd="0" x="1672"/>
        <item sd="0" x="492"/>
        <item sd="0" x="1288"/>
        <item sd="0" x="543"/>
        <item sd="0" x="244"/>
        <item sd="0" x="762"/>
        <item sd="0" x="697"/>
        <item sd="0" x="297"/>
        <item sd="0" x="283"/>
        <item sd="0" x="407"/>
        <item sd="0" x="1142"/>
        <item sd="0" x="948"/>
        <item sd="0" x="1552"/>
        <item sd="0" x="1201"/>
        <item sd="0" x="966"/>
        <item sd="0" x="1588"/>
        <item sd="0" x="156"/>
        <item sd="0" x="467"/>
        <item sd="0" x="63"/>
        <item sd="0" x="914"/>
        <item sd="0" x="703"/>
        <item sd="0" x="1400"/>
        <item sd="0" x="911"/>
        <item sd="0" x="1341"/>
        <item sd="0" x="664"/>
        <item sd="0" x="1146"/>
        <item sd="0" x="470"/>
        <item sd="0" x="1073"/>
        <item sd="0" x="530"/>
        <item sd="0" x="1704"/>
        <item sd="0" x="12"/>
        <item sd="0" x="1184"/>
        <item sd="0" x="611"/>
        <item sd="0" x="755"/>
        <item sd="0" x="173"/>
        <item sd="0" x="440"/>
        <item sd="0" x="1273"/>
        <item sd="0" x="580"/>
        <item sd="0" x="1224"/>
        <item sd="0" x="1111"/>
        <item sd="0" x="1381"/>
        <item sd="0" x="1302"/>
        <item sd="0" x="1446"/>
        <item sd="0" x="1571"/>
        <item sd="0" x="255"/>
        <item sd="0" x="587"/>
        <item sd="0" x="862"/>
        <item sd="0" x="272"/>
        <item sd="0" x="1607"/>
        <item sd="0" x="1716"/>
        <item sd="0" x="661"/>
        <item sd="0" x="598"/>
        <item sd="0" x="177"/>
        <item sd="0" x="471"/>
        <item sd="0" x="1308"/>
        <item sd="0" x="1465"/>
        <item sd="0" x="1598"/>
        <item sd="0" x="559"/>
        <item sd="0" x="162"/>
        <item sd="0" x="887"/>
        <item sd="0" x="706"/>
        <item sd="0" x="1447"/>
        <item sd="0" x="1364"/>
        <item sd="0" x="240"/>
        <item sd="0" x="1478"/>
        <item sd="0" x="251"/>
        <item sd="0" x="929"/>
        <item sd="0" x="828"/>
        <item sd="0" x="886"/>
        <item sd="0" x="1612"/>
        <item sd="0" x="1122"/>
        <item sd="0" x="1289"/>
        <item sd="0" x="31"/>
        <item sd="0" x="302"/>
        <item sd="0" x="346"/>
        <item sd="0" x="24"/>
        <item sd="0" x="1262"/>
        <item sd="0" x="1467"/>
        <item sd="0" x="1579"/>
        <item sd="0" x="1633"/>
        <item sd="0" x="373"/>
        <item sd="0" x="368"/>
        <item sd="0" x="315"/>
        <item sd="0" x="393"/>
        <item sd="0" x="709"/>
        <item sd="0" x="1614"/>
        <item sd="0" x="1207"/>
        <item sd="0" x="1055"/>
        <item sd="0" x="802"/>
        <item sd="0" x="1337"/>
        <item sd="0" x="784"/>
        <item sd="0" x="349"/>
        <item sd="0" x="832"/>
        <item sd="0" x="1460"/>
        <item sd="0" x="1611"/>
        <item sd="0" x="760"/>
        <item sd="0" x="269"/>
        <item sd="0" x="672"/>
        <item sd="0" x="1135"/>
        <item sd="0" x="1477"/>
        <item sd="0" x="787"/>
        <item sd="0" x="994"/>
        <item sd="0" x="1267"/>
        <item sd="0" x="1501"/>
        <item sd="0" x="1191"/>
        <item sd="0" x="1175"/>
        <item sd="0" x="175"/>
        <item sd="0" x="912"/>
        <item sd="0" x="1313"/>
        <item sd="0" x="317"/>
        <item sd="0" x="1686"/>
        <item sd="0" x="1174"/>
        <item sd="0" x="187"/>
        <item sd="0" x="1642"/>
        <item sd="0" x="1134"/>
        <item sd="0" x="1391"/>
        <item sd="0" x="1692"/>
        <item sd="0" x="261"/>
        <item sd="0" x="882"/>
        <item sd="0" x="495"/>
        <item sd="0" x="681"/>
        <item sd="0" x="571"/>
        <item sd="0" x="693"/>
        <item sd="0" x="525"/>
        <item sd="0" x="527"/>
        <item sd="0" x="1647"/>
        <item sd="0" x="1419"/>
        <item sd="0" x="918"/>
        <item sd="0" x="1041"/>
        <item sd="0" x="54"/>
        <item sd="0" x="558"/>
        <item sd="0" x="259"/>
        <item sd="0" x="1685"/>
        <item sd="0" x="333"/>
        <item sd="0" x="1164"/>
        <item sd="0" x="184"/>
        <item sd="0" x="218"/>
        <item sd="0" x="1074"/>
        <item sd="0" x="161"/>
        <item sd="0" x="1409"/>
        <item sd="0" x="1279"/>
        <item sd="0" x="608"/>
        <item sd="0" x="860"/>
        <item sd="0" x="1143"/>
        <item sd="0" x="147"/>
        <item sd="0" x="791"/>
        <item sd="0" x="589"/>
        <item sd="0" x="919"/>
        <item sd="0" x="1370"/>
        <item sd="0" x="1392"/>
        <item sd="0" x="606"/>
        <item sd="0" x="185"/>
        <item sd="0" x="1398"/>
        <item sd="0" x="590"/>
        <item sd="0" x="1487"/>
        <item sd="0" x="1618"/>
        <item sd="0" x="201"/>
        <item sd="0" x="1089"/>
        <item sd="0" x="289"/>
        <item sd="0" x="1664"/>
        <item sd="0" x="1054"/>
        <item sd="0" x="879"/>
        <item sd="0" x="694"/>
        <item sd="0" x="321"/>
        <item sd="0" x="82"/>
        <item sd="0" x="705"/>
        <item sd="0" x="991"/>
        <item sd="0" x="736"/>
        <item sd="0" x="237"/>
        <item sd="0" x="459"/>
        <item sd="0" x="422"/>
        <item sd="0" x="1176"/>
        <item sd="0" x="1373"/>
        <item sd="0" x="574"/>
        <item sd="0" x="30"/>
        <item sd="0" x="926"/>
        <item sd="0" x="1379"/>
        <item sd="0" x="1626"/>
        <item sd="0" x="341"/>
        <item sd="0" x="239"/>
        <item sd="0" x="1508"/>
        <item sd="0" x="1348"/>
        <item sd="0" x="420"/>
        <item sd="0" x="1343"/>
        <item sd="0" x="1714"/>
        <item sd="0" x="771"/>
        <item sd="0" x="379"/>
        <item sd="0" x="429"/>
        <item sd="0" x="957"/>
        <item sd="0" x="86"/>
        <item sd="0" x="857"/>
        <item sd="0" x="23"/>
        <item sd="0" x="1194"/>
        <item sd="0" x="1065"/>
        <item sd="0" x="38"/>
        <item sd="0" x="968"/>
        <item sd="0" x="318"/>
        <item sd="0" x="1151"/>
        <item sd="0" x="271"/>
        <item sd="0" x="814"/>
        <item sd="0" x="410"/>
        <item sd="0" x="1198"/>
        <item sd="0" x="1163"/>
        <item sd="0" x="45"/>
        <item sd="0" x="847"/>
        <item sd="0" x="181"/>
        <item sd="0" x="229"/>
        <item sd="0" x="1596"/>
        <item sd="0" x="1165"/>
        <item sd="0" x="1691"/>
        <item sd="0" x="129"/>
        <item sd="0" x="529"/>
        <item sd="0" x="1032"/>
        <item sd="0" x="614"/>
        <item sd="0" x="130"/>
        <item sd="0" x="1703"/>
        <item sd="0" x="396"/>
        <item sd="0" x="478"/>
        <item sd="0" x="1300"/>
        <item sd="0" x="1023"/>
        <item sd="0" x="720"/>
        <item sd="0" x="889"/>
        <item sd="0" x="1162"/>
        <item sd="0" x="1234"/>
        <item sd="0" x="803"/>
        <item sd="0" x="1064"/>
        <item sd="0" x="724"/>
        <item sd="0" x="1369"/>
        <item sd="0" x="1205"/>
        <item sd="0" x="1402"/>
        <item sd="0" x="452"/>
        <item sd="0" x="1431"/>
        <item sd="0" x="1536"/>
        <item sd="0" x="1675"/>
        <item sd="0" x="1466"/>
        <item sd="0" x="729"/>
        <item sd="0" x="1344"/>
        <item sd="0" x="69"/>
        <item sd="0" x="1722"/>
        <item sd="0" x="1438"/>
        <item sd="0" x="100"/>
        <item sd="0" x="689"/>
        <item sd="0" x="50"/>
        <item sd="0" x="567"/>
        <item sd="0" x="1126"/>
        <item sd="0" x="1214"/>
        <item sd="0" x="1568"/>
        <item sd="0" x="1004"/>
        <item sd="0" x="830"/>
        <item sd="0" x="792"/>
        <item sd="0" x="1387"/>
        <item sd="0" x="833"/>
        <item sd="0" x="1061"/>
        <item sd="0" x="378"/>
        <item sd="0" x="753"/>
        <item sd="0" x="1587"/>
        <item sd="0" x="1723"/>
        <item sd="0" x="1511"/>
        <item sd="0" x="151"/>
        <item sd="0" x="1037"/>
        <item sd="0" x="909"/>
        <item sd="0" x="1414"/>
        <item sd="0" x="154"/>
        <item sd="0" x="1635"/>
        <item sd="0" x="1179"/>
        <item sd="0" x="564"/>
        <item sd="0" x="202"/>
        <item sd="0" x="923"/>
        <item sd="0" x="1416"/>
        <item sd="0" x="782"/>
        <item sd="0" x="1345"/>
        <item sd="0" x="401"/>
        <item sd="0" x="1137"/>
        <item sd="0" x="20"/>
        <item sd="0" x="87"/>
        <item sd="0" x="382"/>
        <item sd="0" x="300"/>
        <item sd="0" x="708"/>
        <item sd="0" x="414"/>
        <item sd="0" x="1159"/>
        <item sd="0" x="528"/>
        <item sd="0" x="1035"/>
        <item sd="0" x="868"/>
        <item sd="0" x="51"/>
        <item sd="0" x="1110"/>
        <item sd="0" x="1259"/>
        <item sd="0" x="1320"/>
        <item sd="0" x="358"/>
        <item sd="0" x="337"/>
        <item sd="0" x="72"/>
        <item sd="0" x="806"/>
        <item sd="0" x="138"/>
        <item sd="0" x="1372"/>
        <item sd="0" x="1358"/>
        <item sd="0" x="1238"/>
        <item sd="0" x="416"/>
        <item sd="0" x="935"/>
        <item sd="0" x="1301"/>
        <item sd="0" x="1254"/>
        <item sd="0" x="284"/>
        <item sd="0" x="152"/>
        <item sd="0" x="1517"/>
        <item sd="0" x="1582"/>
        <item sd="0" x="897"/>
        <item sd="0" x="1595"/>
        <item sd="0" x="560"/>
        <item sd="0" x="562"/>
        <item sd="0" x="1705"/>
        <item sd="0" x="1208"/>
        <item sd="0" x="1490"/>
        <item sd="0" x="1237"/>
        <item sd="0" x="6"/>
        <item sd="0" x="910"/>
        <item sd="0" x="1494"/>
        <item sd="0" x="1502"/>
        <item sd="0" x="810"/>
        <item sd="0" x="731"/>
        <item sd="0" x="875"/>
        <item sd="0" x="1591"/>
        <item sd="0" x="684"/>
        <item sd="0" x="1583"/>
        <item sd="0" x="821"/>
        <item sd="0" x="891"/>
        <item sd="0" x="1272"/>
        <item sd="0" x="1458"/>
        <item sd="0" x="1103"/>
        <item sd="0" x="1261"/>
        <item sd="0" x="781"/>
        <item sd="0" x="642"/>
        <item sd="0" x="1173"/>
        <item sd="0" x="311"/>
        <item sd="0" x="1084"/>
        <item sd="0" x="1404"/>
        <item sd="0" x="1564"/>
        <item sd="0" x="1079"/>
        <item sd="0" x="1530"/>
        <item sd="0" x="489"/>
        <item sd="0" x="905"/>
        <item sd="0" x="1641"/>
        <item sd="0" x="1410"/>
        <item sd="0" x="872"/>
        <item sd="0" x="1276"/>
        <item sd="0" x="458"/>
        <item sd="0" x="1471"/>
        <item sd="0" x="1521"/>
        <item sd="0" x="1661"/>
        <item sd="0" x="1684"/>
        <item sd="0" x="329"/>
        <item sd="0" x="0"/>
        <item sd="0" x="972"/>
        <item sd="0" x="931"/>
        <item sd="0" x="42"/>
        <item sd="0" x="1118"/>
        <item sd="0" x="1506"/>
        <item sd="0" x="1488"/>
        <item sd="0" x="1012"/>
        <item sd="0" x="1080"/>
        <item sd="0" x="142"/>
        <item sd="0" x="1040"/>
        <item sd="0" x="646"/>
        <item sd="0" x="298"/>
        <item sd="0" x="607"/>
        <item sd="0" x="1149"/>
        <item sd="0" x="917"/>
        <item sd="0" x="584"/>
        <item sd="0" x="500"/>
        <item sd="0" x="231"/>
        <item sd="0" x="1248"/>
        <item sd="0" x="721"/>
        <item sd="0" x="651"/>
        <item sd="0" x="387"/>
        <item sd="0" x="943"/>
        <item sd="0" x="732"/>
        <item sd="0" x="1435"/>
        <item sd="0" x="191"/>
        <item sd="0" x="280"/>
        <item sd="0" x="445"/>
        <item sd="0" x="60"/>
        <item sd="0" x="403"/>
        <item sd="0" x="1330"/>
        <item sd="0" x="1541"/>
        <item sd="0" x="439"/>
        <item sd="0" x="1634"/>
        <item sd="0" x="1029"/>
        <item sd="0" x="1009"/>
        <item sd="0" x="1221"/>
        <item sd="0" x="1157"/>
        <item sd="0" x="102"/>
        <item sd="0" x="1281"/>
        <item sd="0" x="336"/>
        <item sd="0" x="1252"/>
        <item sd="0" x="1468"/>
        <item sd="0" x="1620"/>
        <item sd="0" x="351"/>
        <item sd="0" x="3"/>
        <item sd="0" x="704"/>
        <item sd="0" x="780"/>
        <item sd="0" x="585"/>
        <item sd="0" x="254"/>
        <item sd="0" x="182"/>
        <item sd="0" x="883"/>
        <item sd="0" x="1380"/>
        <item sd="0" x="246"/>
        <item sd="0" x="612"/>
        <item sd="0" x="57"/>
        <item sd="0" x="118"/>
        <item sd="0" x="687"/>
        <item sd="0" x="548"/>
        <item sd="0" x="335"/>
        <item sd="0" x="426"/>
        <item sd="0" x="734"/>
        <item sd="0" x="1278"/>
        <item sd="0" x="290"/>
        <item sd="0" x="1228"/>
        <item sd="0" x="273"/>
        <item sd="0" x="1673"/>
        <item sd="0" x="1220"/>
        <item sd="0" x="1444"/>
        <item sd="0" x="1656"/>
        <item sd="0" x="1363"/>
        <item sd="0" x="1290"/>
        <item sd="0" x="742"/>
        <item sd="0" x="1499"/>
        <item sd="0" x="1327"/>
        <item sd="0" x="1717"/>
        <item sd="0" x="264"/>
        <item sd="0" x="1104"/>
        <item sd="0" x="517"/>
        <item sd="0" x="119"/>
        <item sd="0" x="1353"/>
        <item sd="0" x="1031"/>
        <item sd="0" x="1540"/>
        <item sd="0" x="97"/>
        <item sd="0" x="786"/>
        <item sd="0" x="540"/>
        <item sd="0" x="1609"/>
        <item sd="0" x="735"/>
        <item sd="0" x="1287"/>
        <item sd="0" x="1263"/>
        <item sd="0" x="1303"/>
        <item sd="0" x="820"/>
        <item sd="0" x="1068"/>
        <item sd="0" x="210"/>
        <item sd="0" x="1071"/>
        <item sd="0" x="468"/>
        <item sd="0" x="1067"/>
        <item sd="0" x="903"/>
        <item sd="0" x="1212"/>
        <item sd="0" x="551"/>
        <item sd="0" x="630"/>
        <item sd="0" x="1090"/>
        <item sd="0" x="386"/>
        <item sd="0" x="484"/>
        <item sd="0" x="262"/>
        <item sd="0" x="1306"/>
        <item sd="0" x="211"/>
        <item sd="0" x="1374"/>
        <item sd="0" x="286"/>
        <item sd="0" x="1361"/>
        <item sd="0" x="1613"/>
        <item sd="0" x="1721"/>
        <item sd="0" x="1206"/>
        <item sd="0" x="1339"/>
        <item sd="0" x="1470"/>
        <item sd="0" x="682"/>
        <item sd="0" x="350"/>
        <item sd="0" x="602"/>
        <item sd="0" x="545"/>
        <item sd="0" x="1462"/>
        <item sd="0" x="1572"/>
        <item sd="0" x="41"/>
        <item sd="0" x="1139"/>
        <item sd="0" x="1316"/>
        <item sd="0" x="157"/>
        <item sd="0" x="1452"/>
        <item sd="0" x="400"/>
        <item sd="0" x="1695"/>
        <item sd="0" x="1573"/>
        <item sd="0" x="842"/>
        <item sd="0" x="1433"/>
        <item sd="0" x="1701"/>
        <item sd="0" x="432"/>
        <item sd="0" x="999"/>
        <item sd="0" x="242"/>
        <item sd="0" x="641"/>
        <item sd="0" x="448"/>
        <item sd="0" x="166"/>
        <item sd="0" x="78"/>
        <item sd="0" x="932"/>
        <item sd="0" x="165"/>
        <item sd="0" x="77"/>
        <item sd="0" x="592"/>
        <item sd="0" x="257"/>
        <item sd="0" x="1233"/>
        <item sd="0" x="1049"/>
        <item sd="0" x="576"/>
        <item sd="0" x="1463"/>
        <item sd="0" x="179"/>
        <item sd="0" x="1177"/>
        <item sd="0" x="477"/>
        <item sd="0" x="1133"/>
        <item sd="0" x="808"/>
        <item sd="0" x="595"/>
        <item sd="0" x="461"/>
        <item sd="0" x="34"/>
        <item sd="0" x="1280"/>
        <item sd="0" x="515"/>
        <item sd="0" x="17"/>
        <item sd="0" x="140"/>
        <item sd="0" x="501"/>
        <item sd="0" x="1710"/>
        <item sd="0" x="1604"/>
        <item sd="0" x="640"/>
        <item sd="0" x="583"/>
        <item sd="0" x="691"/>
        <item sd="0" x="1484"/>
        <item sd="0" x="236"/>
        <item sd="0" x="277"/>
        <item sd="0" x="412"/>
        <item sd="0" x="516"/>
        <item sd="0" x="680"/>
        <item sd="0" x="534"/>
        <item sd="0" x="1083"/>
        <item sd="0" x="628"/>
        <item sd="0" x="270"/>
        <item sd="0" x="370"/>
        <item sd="0" x="345"/>
        <item sd="0" x="763"/>
        <item sd="0" x="765"/>
        <item sd="0" x="978"/>
        <item sd="0" x="1718"/>
        <item sd="0" x="71"/>
        <item sd="0" x="344"/>
        <item sd="0" x="260"/>
        <item sd="0" x="945"/>
        <item sd="0" x="985"/>
        <item sd="0" x="450"/>
        <item sd="0" x="1140"/>
        <item sd="0" x="637"/>
        <item sd="0" x="141"/>
        <item sd="0" x="588"/>
        <item sd="0" x="1451"/>
        <item sd="0" x="1058"/>
        <item sd="0" x="1665"/>
        <item sd="0" x="1668"/>
        <item sd="0" x="221"/>
        <item sd="0" x="1305"/>
        <item sd="0" x="443"/>
        <item sd="0" x="456"/>
        <item sd="0" x="636"/>
        <item sd="0" x="751"/>
        <item sd="0" x="73"/>
        <item sd="0" x="1469"/>
        <item sd="0" x="1727"/>
        <item sd="0" x="1565"/>
        <item sd="0" x="900"/>
        <item sd="0" x="1094"/>
        <item sd="0" x="1505"/>
        <item sd="0" x="1354"/>
        <item sd="0" x="1560"/>
        <item sd="0" x="1075"/>
        <item sd="0" x="214"/>
        <item sd="0" x="359"/>
        <item sd="0" x="92"/>
        <item sd="0" x="977"/>
        <item sd="0" x="103"/>
        <item sd="0" x="663"/>
        <item sd="0" x="591"/>
        <item sd="0" x="1213"/>
        <item sd="0" x="777"/>
        <item sd="0" x="1524"/>
        <item sd="0" x="922"/>
        <item sd="0" x="756"/>
        <item sd="0" x="53"/>
        <item sd="0" x="844"/>
        <item sd="0" x="1274"/>
        <item sd="0" x="1507"/>
        <item sd="0" x="1258"/>
        <item sd="0" x="1712"/>
        <item sd="0" x="1527"/>
        <item sd="0" x="128"/>
        <item sd="0" x="1193"/>
        <item sd="0" x="1450"/>
        <item sd="0" x="155"/>
        <item sd="0" x="1627"/>
        <item sd="0" x="960"/>
        <item sd="0" x="431"/>
        <item sd="0" x="1244"/>
        <item sd="0" x="375"/>
        <item sd="0" x="397"/>
        <item sd="0" x="1336"/>
        <item sd="0" x="1482"/>
        <item sd="0" x="609"/>
        <item sd="0" x="644"/>
        <item sd="0" x="285"/>
        <item sd="0" x="1125"/>
        <item sd="0" x="758"/>
        <item sd="0" x="1671"/>
        <item sd="0" x="748"/>
        <item sd="0" x="573"/>
        <item sd="0" x="1427"/>
        <item sd="0" x="749"/>
        <item sd="0" x="1147"/>
        <item sd="0" x="360"/>
        <item sd="0" x="1030"/>
        <item sd="0" x="56"/>
        <item sd="0" x="98"/>
        <item sd="0" x="1600"/>
        <item sd="0" x="1186"/>
        <item sd="0" x="316"/>
        <item sd="0" x="895"/>
        <item sd="0" x="1144"/>
        <item sd="0" x="1317"/>
        <item sd="0" x="613"/>
        <item sd="0" x="1411"/>
        <item sd="0" x="733"/>
        <item sd="0" x="1024"/>
        <item sd="0" x="88"/>
        <item sd="0" x="698"/>
        <item sd="0" x="695"/>
        <item sd="0" x="1425"/>
        <item sd="0" x="1227"/>
        <item sd="0" x="692"/>
        <item sd="0" x="676"/>
        <item sd="0" x="869"/>
        <item sd="0" x="974"/>
        <item sd="0" x="1382"/>
        <item sd="0" x="22"/>
        <item sd="0" x="369"/>
        <item sd="0" x="1443"/>
        <item sd="0" x="322"/>
        <item sd="0" x="815"/>
        <item sd="0" x="120"/>
        <item sd="0" x="486"/>
        <item sd="0" x="1375"/>
        <item sd="0" x="1640"/>
        <item sd="0" x="916"/>
        <item sd="0" x="1699"/>
        <item sd="0" x="603"/>
        <item sd="0" x="921"/>
        <item sd="0" x="506"/>
        <item sd="0" x="1384"/>
        <item sd="0" x="1461"/>
        <item sd="0" x="723"/>
        <item sd="0" x="266"/>
        <item sd="0" x="1324"/>
        <item sd="0" x="1605"/>
        <item sd="0" x="1423"/>
        <item sd="0" x="1171"/>
        <item sd="0" x="319"/>
        <item sd="0" x="332"/>
        <item sd="0" x="1291"/>
        <item sd="0" x="711"/>
        <item sd="0" x="132"/>
        <item sd="0" x="514"/>
        <item sd="0" x="453"/>
        <item sd="0" x="328"/>
        <item sd="0" x="1658"/>
        <item sd="0" x="1042"/>
        <item sd="0" x="927"/>
        <item sd="0" x="363"/>
        <item sd="0" x="176"/>
        <item sd="0" x="728"/>
        <item sd="0" x="633"/>
        <item sd="0" x="1512"/>
        <item sd="0" x="521"/>
        <item sd="0" x="1048"/>
        <item sd="0" x="1178"/>
        <item sd="0" x="1013"/>
        <item sd="0" x="877"/>
        <item sd="0" x="1432"/>
        <item sd="0" x="1544"/>
        <item sd="0" x="554"/>
        <item sd="0" x="1127"/>
        <item sd="0" x="618"/>
        <item sd="0" x="1131"/>
        <item sd="0" x="898"/>
        <item sd="0" x="1625"/>
        <item sd="0" x="915"/>
        <item sd="0" x="1485"/>
        <item sd="0" x="219"/>
        <item sd="0" x="841"/>
        <item sd="0" x="1264"/>
        <item sd="0" x="744"/>
        <item sd="0" x="1654"/>
        <item sd="0" x="348"/>
        <item sd="0" x="1557"/>
        <item sd="0" x="1106"/>
        <item sd="0" x="853"/>
        <item sd="0" x="638"/>
        <item sd="0" x="518"/>
        <item sd="0" x="334"/>
        <item sd="0" x="647"/>
        <item sd="0" x="888"/>
        <item sd="0" x="1232"/>
        <item sd="0" x="1359"/>
        <item sd="0" x="490"/>
        <item sd="0" x="1240"/>
        <item sd="0" x="1525"/>
        <item sd="0" x="220"/>
        <item sd="0" x="1117"/>
        <item sd="0" x="801"/>
        <item sd="0" x="1187"/>
        <item sd="0" x="995"/>
        <item sd="0" x="861"/>
        <item sd="0" x="893"/>
        <item sd="0" x="206"/>
        <item sd="0" x="885"/>
        <item sd="0" x="1322"/>
        <item sd="0" x="1368"/>
        <item sd="0" x="1112"/>
        <item sd="0" x="1170"/>
        <item sd="0" x="208"/>
        <item sd="0" x="746"/>
        <item sd="0" x="1155"/>
        <item sd="0" x="623"/>
        <item sd="0" x="793"/>
        <item sd="0" x="168"/>
        <item sd="0" x="1223"/>
        <item sd="0" x="148"/>
        <item sd="0" x="764"/>
        <item sd="0" x="249"/>
        <item sd="0" x="32"/>
        <item sd="0" x="659"/>
        <item sd="0" x="294"/>
        <item sd="0" x="406"/>
        <item sd="0" x="769"/>
        <item sd="0" x="652"/>
        <item sd="0" x="1726"/>
        <item sd="0" x="1476"/>
        <item sd="0" x="411"/>
        <item sd="0" x="710"/>
        <item sd="0" x="164"/>
        <item sd="0" x="870"/>
        <item sd="0" x="702"/>
        <item sd="0" x="800"/>
        <item sd="0" x="1437"/>
        <item sd="0" x="1225"/>
        <item sd="0" x="1556"/>
        <item sd="0" x="1166"/>
        <item sd="0" x="1154"/>
        <item sd="0" x="1456"/>
        <item sd="0" x="160"/>
        <item sd="0" x="761"/>
        <item sd="0" x="1532"/>
        <item sd="0" x="64"/>
        <item sd="0" x="852"/>
        <item sd="0" x="417"/>
        <item sd="0" x="678"/>
        <item sd="0" x="104"/>
        <item sd="0" x="947"/>
        <item sd="0" x="223"/>
        <item sd="0" x="215"/>
        <item sd="0" x="899"/>
        <item sd="0" x="169"/>
        <item sd="0" x="115"/>
        <item sd="0" x="811"/>
        <item sd="0" x="993"/>
        <item sd="0" x="854"/>
        <item sd="0" x="1480"/>
        <item sd="0" x="37"/>
        <item sd="0" x="1136"/>
        <item sd="0" x="1534"/>
        <item sd="0" x="464"/>
        <item sd="0" x="256"/>
        <item sd="0" x="44"/>
        <item sd="0" x="619"/>
        <item sd="0" x="524"/>
        <item sd="0" x="1481"/>
        <item sd="0" x="699"/>
        <item sd="0" x="1255"/>
        <item sd="0" x="245"/>
        <item sd="0" x="352"/>
        <item sd="0" x="18"/>
        <item sd="0" x="739"/>
        <item sd="0" x="1160"/>
        <item sd="0" x="446"/>
        <item sd="0" x="1677"/>
        <item sd="0" x="1063"/>
        <item sd="0" x="570"/>
        <item sd="0" x="61"/>
        <item sd="0" x="1660"/>
        <item sd="0" x="526"/>
        <item sd="0" x="425"/>
        <item sd="0" x="1355"/>
        <item sd="0" x="1006"/>
        <item sd="0" x="809"/>
        <item sd="0" x="876"/>
        <item sd="0" x="117"/>
        <item sd="0" x="1188"/>
        <item sd="0" x="1362"/>
        <item sd="0" x="850"/>
        <item sd="0" x="1440"/>
        <item sd="0" x="395"/>
        <item sd="0" x="1586"/>
        <item sd="0" x="565"/>
        <item sd="0" x="1617"/>
        <item sd="0" x="1687"/>
        <item sd="0" x="1275"/>
        <item sd="0" x="127"/>
        <item sd="0" x="1230"/>
        <item sd="0" x="1008"/>
        <item sd="0" x="1518"/>
        <item sd="0" x="192"/>
        <item sd="0" x="413"/>
        <item sd="0" x="779"/>
        <item sd="0" x="677"/>
        <item sd="0" x="230"/>
        <item sd="0" x="1577"/>
        <item sd="0" x="19"/>
        <item sd="0" x="296"/>
        <item sd="0" x="1489"/>
        <item sd="0" x="1027"/>
        <item sd="0" x="105"/>
        <item sd="0" x="1445"/>
        <item sd="0" x="523"/>
        <item sd="0" x="936"/>
        <item sd="0" x="537"/>
        <item sd="0" x="632"/>
        <item sd="0" x="1347"/>
        <item sd="0" x="797"/>
        <item sd="0" x="594"/>
        <item sd="0" x="552"/>
        <item sd="0" x="987"/>
        <item sd="0" x="224"/>
        <item sd="0" x="423"/>
        <item sd="0" x="812"/>
        <item sd="0" x="222"/>
        <item sd="0" x="1559"/>
        <item sd="0" x="1623"/>
        <item sd="0" x="1555"/>
        <item sd="0" x="752"/>
        <item sd="0" x="894"/>
        <item sd="0" x="124"/>
        <item sd="0" x="1702"/>
        <item sd="0" x="1017"/>
        <item sd="0" x="1509"/>
        <item sd="0" x="1500"/>
        <item sd="0" x="989"/>
        <item sd="0" x="865"/>
        <item sd="0" x="1670"/>
        <item sd="0" x="59"/>
        <item sd="0" x="1690"/>
        <item sd="0" x="1253"/>
        <item sd="0" x="1002"/>
        <item sd="0" x="1434"/>
        <item sd="0" x="327"/>
        <item sd="0" x="258"/>
        <item sd="0" x="66"/>
        <item sd="0" x="992"/>
        <item sd="0" x="430"/>
        <item sd="0" x="307"/>
        <item sd="0" x="475"/>
        <item sd="0" x="1019"/>
        <item sd="0" x="172"/>
        <item sd="0" x="1352"/>
        <item sd="0" x="1592"/>
        <item sd="0" x="1378"/>
        <item sd="0" x="1304"/>
        <item sd="0" x="1682"/>
        <item sd="0" x="610"/>
        <item sd="0" x="1708"/>
        <item sd="0" x="1473"/>
      </items>
    </pivotField>
  </pivotFields>
  <rowFields count="7">
    <field x="1"/>
    <field x="2"/>
    <field x="3"/>
    <field x="4"/>
    <field x="5"/>
    <field x="6"/>
    <field x="7"/>
  </rowFields>
  <rowItems count="5">
    <i>
      <x/>
    </i>
    <i>
      <x v="1"/>
    </i>
    <i>
      <x v="2"/>
    </i>
    <i>
      <x v="3"/>
    </i>
    <i t="grand">
      <x/>
    </i>
  </rowItems>
  <colFields count="1">
    <field x="-2"/>
  </colFields>
  <colItems count="3">
    <i>
      <x/>
    </i>
    <i i="1">
      <x v="1"/>
    </i>
    <i i="2">
      <x v="2"/>
    </i>
  </colItems>
  <dataFields count="3">
    <dataField name="Has Blank %" fld="9" subtotal="average" baseField="0" baseItem="1" numFmtId="164"/>
    <dataField name="% of Total Blanks" fld="9" showDataAs="percentOfTotal" baseField="0" baseItem="1" numFmtId="164"/>
    <dataField name="% of Records" fld="9" subtotal="count" showDataAs="percentOfTotal" baseField="0" baseItem="2" numFmtId="10"/>
  </dataFields>
  <formats count="35">
    <format dxfId="75">
      <pivotArea type="all" dataOnly="0" outline="0" fieldPosition="0"/>
    </format>
    <format dxfId="74">
      <pivotArea outline="0" collapsedLevelsAreSubtotals="1" fieldPosition="0"/>
    </format>
    <format dxfId="73">
      <pivotArea dataOnly="0" labelOnly="1" grandRow="1" outline="0" fieldPosition="0"/>
    </format>
    <format dxfId="72">
      <pivotArea dataOnly="0" labelOnly="1" outline="0" fieldPosition="0">
        <references count="1">
          <reference field="4294967294" count="2">
            <x v="0"/>
            <x v="1"/>
          </reference>
        </references>
      </pivotArea>
    </format>
    <format dxfId="71">
      <pivotArea type="all" dataOnly="0" outline="0" fieldPosition="0"/>
    </format>
    <format dxfId="70">
      <pivotArea dataOnly="0" outline="0" fieldPosition="0">
        <references count="1">
          <reference field="4294967294" count="1">
            <x v="0"/>
          </reference>
        </references>
      </pivotArea>
    </format>
    <format dxfId="69">
      <pivotArea outline="0" fieldPosition="0">
        <references count="1">
          <reference field="4294967294" count="1">
            <x v="0"/>
          </reference>
        </references>
      </pivotArea>
    </format>
    <format dxfId="68">
      <pivotArea outline="0" fieldPosition="0">
        <references count="1">
          <reference field="4294967294" count="1">
            <x v="1"/>
          </reference>
        </references>
      </pivotArea>
    </format>
    <format dxfId="67">
      <pivotArea type="all" dataOnly="0" outline="0" fieldPosition="0"/>
    </format>
    <format dxfId="66">
      <pivotArea outline="0" collapsedLevelsAreSubtotals="1" fieldPosition="0"/>
    </format>
    <format dxfId="65">
      <pivotArea dataOnly="0" outline="0" fieldPosition="0">
        <references count="1">
          <reference field="4294967294" count="2">
            <x v="0"/>
            <x v="1"/>
          </reference>
        </references>
      </pivotArea>
    </format>
    <format dxfId="64">
      <pivotArea outline="0" fieldPosition="0">
        <references count="1">
          <reference field="4294967294" count="1" selected="0">
            <x v="1"/>
          </reference>
        </references>
      </pivotArea>
    </format>
    <format dxfId="63">
      <pivotArea dataOnly="0" outline="0" fieldPosition="0">
        <references count="1">
          <reference field="4294967294" count="1">
            <x v="1"/>
          </reference>
        </references>
      </pivotArea>
    </format>
    <format dxfId="62">
      <pivotArea type="all" dataOnly="0" outline="0" fieldPosition="0"/>
    </format>
    <format dxfId="61">
      <pivotArea type="all" dataOnly="0" outline="0" fieldPosition="0"/>
    </format>
    <format dxfId="60">
      <pivotArea outline="0" fieldPosition="0">
        <references count="1">
          <reference field="4294967294" count="1">
            <x v="2"/>
          </reference>
        </references>
      </pivotArea>
    </format>
    <format dxfId="59">
      <pivotArea dataOnly="0" labelOnly="1" outline="0" fieldPosition="0">
        <references count="1">
          <reference field="4294967294" count="3">
            <x v="0"/>
            <x v="1"/>
            <x v="2"/>
          </reference>
        </references>
      </pivotArea>
    </format>
    <format dxfId="17">
      <pivotArea field="1" type="button" dataOnly="0" labelOnly="1" outline="0" axis="axisRow" fieldPosition="0"/>
    </format>
    <format dxfId="16">
      <pivotArea field="2" type="button" dataOnly="0" labelOnly="1" outline="0" axis="axisRow" fieldPosition="1"/>
    </format>
    <format dxfId="15">
      <pivotArea field="3" type="button" dataOnly="0" labelOnly="1" outline="0" axis="axisRow" fieldPosition="2"/>
    </format>
    <format dxfId="14">
      <pivotArea field="4" type="button" dataOnly="0" labelOnly="1" outline="0" axis="axisRow" fieldPosition="3"/>
    </format>
    <format dxfId="13">
      <pivotArea field="5" type="button" dataOnly="0" labelOnly="1" outline="0" axis="axisRow" fieldPosition="4"/>
    </format>
    <format dxfId="12">
      <pivotArea field="6" type="button" dataOnly="0" labelOnly="1" outline="0" axis="axisRow" fieldPosition="5"/>
    </format>
    <format dxfId="11">
      <pivotArea field="7" type="button" dataOnly="0" labelOnly="1" outline="0" axis="axisRow" fieldPosition="6"/>
    </format>
    <format dxfId="10">
      <pivotArea dataOnly="0" labelOnly="1" outline="0" fieldPosition="0">
        <references count="1">
          <reference field="4294967294" count="3">
            <x v="0"/>
            <x v="1"/>
            <x v="2"/>
          </reference>
        </references>
      </pivotArea>
    </format>
    <format dxfId="9">
      <pivotArea field="1" type="button" dataOnly="0" labelOnly="1" outline="0" axis="axisRow" fieldPosition="0"/>
    </format>
    <format dxfId="8">
      <pivotArea dataOnly="0" labelOnly="1" outline="0" fieldPosition="0">
        <references count="1">
          <reference field="1" count="1">
            <x v="0"/>
          </reference>
        </references>
      </pivotArea>
    </format>
    <format dxfId="7">
      <pivotArea dataOnly="0" labelOnly="1" outline="0" fieldPosition="0">
        <references count="1">
          <reference field="1" count="1">
            <x v="1"/>
          </reference>
        </references>
      </pivotArea>
    </format>
    <format dxfId="6">
      <pivotArea dataOnly="0" labelOnly="1" outline="0" fieldPosition="0">
        <references count="1">
          <reference field="1" count="1">
            <x v="2"/>
          </reference>
        </references>
      </pivotArea>
    </format>
    <format dxfId="5">
      <pivotArea dataOnly="0" labelOnly="1" outline="0" fieldPosition="0">
        <references count="1">
          <reference field="1" count="1">
            <x v="3"/>
          </reference>
        </references>
      </pivotArea>
    </format>
    <format dxfId="4">
      <pivotArea dataOnly="0" labelOnly="1" grandRow="1" outline="0" fieldPosition="0"/>
    </format>
    <format dxfId="3">
      <pivotArea outline="0" collapsedLevelsAreSubtotals="1" fieldPosition="0"/>
    </format>
    <format dxfId="2">
      <pivotArea dataOnly="0" labelOnly="1" outline="0" fieldPosition="0">
        <references count="1">
          <reference field="4294967294" count="3">
            <x v="0"/>
            <x v="1"/>
            <x v="2"/>
          </reference>
        </references>
      </pivotArea>
    </format>
    <format dxfId="1">
      <pivotArea outline="0" collapsedLevelsAreSubtotals="1" fieldPosition="0"/>
    </format>
    <format dxfId="0">
      <pivotArea dataOnly="0" labelOnly="1" outline="0" fieldPosition="0">
        <references count="1">
          <reference field="4294967294" count="3">
            <x v="0"/>
            <x v="1"/>
            <x v="2"/>
          </reference>
        </references>
      </pivotArea>
    </format>
  </formats>
  <conditionalFormats count="2">
    <conditionalFormat scope="data" priority="1">
      <pivotAreas count="1">
        <pivotArea outline="0" fieldPosition="0">
          <references count="1">
            <reference field="4294967294" count="1" selected="0">
              <x v="1"/>
            </reference>
          </references>
        </pivotArea>
      </pivotAreas>
    </conditionalFormat>
    <conditionalFormat scope="data" priority="2">
      <pivotAreas count="1">
        <pivotArea outline="0" fieldPosition="0">
          <references count="1">
            <reference field="4294967294" count="1" selected="0">
              <x v="0"/>
            </reference>
          </references>
        </pivotArea>
      </pivotAreas>
    </conditionalFormat>
  </conditionalFormats>
  <pivotTableStyleInfo name="DarkPivot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richData/_rels/richValueRel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richData/rdRichValueTypes.xml><?xml version="1.0" encoding="utf-8"?>
<rvTypesInfo xmlns="http://schemas.microsoft.com/office/spreadsheetml/2017/richdata2" xmlns:mc="http://schemas.openxmlformats.org/markup-compatibility/2006" xmlns:x="http://schemas.openxmlformats.org/spreadsheetml/2006/main" mc:Ignorable="x">
  <global>
    <keyFlags>
      <key name="_Self">
        <flag name="ExcludeFromFile" value="1"/>
        <flag name="ExcludeFromCalcComparison" value="1"/>
      </key>
      <key name="_DisplayString">
        <flag name="ExcludeFromCalcComparison" value="1"/>
      </key>
      <key name="_Flags">
        <flag name="ExcludeFromCalcComparison" value="1"/>
      </key>
      <key name="_Format">
        <flag name="ExcludeFromCalcComparison" value="1"/>
      </key>
      <key name="_SubLabel">
        <flag name="ExcludeFromCalcComparison" value="1"/>
      </key>
      <key name="_Attribution">
        <flag name="ExcludeFromCalcComparison" value="1"/>
      </key>
      <key name="_Icon">
        <flag name="ExcludeFromCalcComparison" value="1"/>
      </key>
      <key name="_Display">
        <flag name="ExcludeFromCalcComparison" value="1"/>
      </key>
      <key name="_CanonicalPropertyNames">
        <flag name="ExcludeFromCalcComparison" value="1"/>
      </key>
      <key name="_ClassificationId">
        <flag name="ExcludeFromCalcComparison" value="1"/>
      </key>
    </keyFlags>
  </global>
</rvTypesInfo>
</file>

<file path=xl/richData/rdrichvalue.xml><?xml version="1.0" encoding="utf-8"?>
<rvData xmlns="http://schemas.microsoft.com/office/spreadsheetml/2017/richdata" count="1">
  <rv s="0">
    <v>0</v>
    <v>5</v>
  </rv>
</rvData>
</file>

<file path=xl/richData/rdrichvaluestructure.xml><?xml version="1.0" encoding="utf-8"?>
<rvStructures xmlns="http://schemas.microsoft.com/office/spreadsheetml/2017/richdata" count="1">
  <s t="_localImage">
    <k n="_rvRel:LocalImageIdentifier" t="i"/>
    <k n="CalcOrigin" t="i"/>
  </s>
</rvStructures>
</file>

<file path=xl/richData/richValueRel.xml><?xml version="1.0" encoding="utf-8"?>
<richValueRels xmlns="http://schemas.microsoft.com/office/spreadsheetml/2022/richvaluerel" xmlns:r="http://schemas.openxmlformats.org/officeDocument/2006/relationships">
  <rel r:id="rId1"/>
</richValueRels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DB1D1E60-5E37-456A-AD85-0649D531840E}" name="tbl_SourceData" displayName="tbl_SourceData" ref="D79:N1807" totalsRowShown="0" headerRowDxfId="25" dataDxfId="24" headerRowCellStyle="DarkHeader" dataCellStyle="Normal">
  <autoFilter ref="D79:N1807" xr:uid="{DB1D1E60-5E37-456A-AD85-0649D531840E}"/>
  <tableColumns count="11">
    <tableColumn id="1" xr3:uid="{57EDF41E-F06D-4819-BADE-3D62DE46F06C}" name="Record List" dataDxfId="22" dataCellStyle="Normal"/>
    <tableColumn id="2" xr3:uid="{CF70C9CE-83FE-40FA-8089-C68B39CF665A}" name="buying" dataDxfId="23" dataCellStyle="Normal"/>
    <tableColumn id="3" xr3:uid="{B8654690-502A-4FAF-9205-0118DABCB954}" name="maint" dataDxfId="30" dataCellStyle="Normal"/>
    <tableColumn id="4" xr3:uid="{5A5BA001-2F93-4E62-880C-C4E8BDB17EEB}" name="doors" dataDxfId="29" dataCellStyle="Normal"/>
    <tableColumn id="5" xr3:uid="{461DE295-404B-994B-9617-6EEFF3838837}" name="persons" dataDxfId="28" dataCellStyle="Normal"/>
    <tableColumn id="6" xr3:uid="{8140FAC1-C237-244C-AA34-1F645F31F8D5}" name="lug_boot" dataDxfId="27" dataCellStyle="Normal"/>
    <tableColumn id="7" xr3:uid="{9BD1A05E-129B-9244-9BE0-0ECC3C303B14}" name="safety" dataDxfId="26" dataCellStyle="Normal"/>
    <tableColumn id="8" xr3:uid="{81B27EBB-D8B0-3C47-8459-B5E1DD75FB7F}" name="class" dataDxfId="21" dataCellStyle="Normal"/>
    <tableColumn id="9" xr3:uid="{86628225-B32D-344E-87B6-F250D90037B9}" name="index" dataDxfId="20" dataCellStyle="Normal"/>
    <tableColumn id="10" xr3:uid="{1186334B-C184-324F-B824-985E15E454EA}" name="HasBlank" dataDxfId="19" dataCellStyle="Normal"/>
    <tableColumn id="11" xr3:uid="{94D6E8B9-76BC-0B42-94F8-66886F25EC62}" name="Record Hash" dataDxfId="18" dataCellStyle="Normal"/>
  </tableColumns>
  <tableStyleInfo name="DarkTable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034D1C74-BE18-490E-B396-097D407DA97D}" name="tbl_Overview" displayName="tbl_Overview" ref="B11:AA18" totalsRowShown="0" headerRowDxfId="33" dataDxfId="100" headerRowBorderDxfId="101">
  <autoFilter ref="B11:AA18" xr:uid="{034D1C74-BE18-490E-B396-097D407DA97D}"/>
  <tableColumns count="26">
    <tableColumn id="1" xr3:uid="{010A8E62-502A-4B19-B37A-BF59E03A068A}" name="Field" dataDxfId="99"/>
    <tableColumn id="2" xr3:uid="{AD236665-EC7C-404F-8915-AD7CD5510D0F}" name="Definition" dataDxfId="32">
      <calculatedColumnFormula>IF(INDEX('Field Analysis'!Definitions,1,MATCH(tbl_Overview[[#This Row],[Field]],'Field Analysis'!Headers,0))="Definition","",INDEX('Field Analysis'!Definitions,1,MATCH(tbl_Overview[[#This Row],[Field]],'Field Analysis'!Headers,0)))</calculatedColumnFormula>
    </tableColumn>
    <tableColumn id="3" xr3:uid="{B78AB378-5727-433E-AB9C-BB970FC42B31}" name="Field Notes" dataDxfId="31">
      <calculatedColumnFormula>IF(INDEX('Field Analysis'!Notes,1,MATCH(tbl_Overview[[#This Row],[Field]],'Field Analysis'!Headers,0))="Note","",INDEX('Field Analysis'!Notes,1,MATCH(tbl_Overview[[#This Row],[Field]],'Field Analysis'!Headers,0)))</calculatedColumnFormula>
    </tableColumn>
    <tableColumn id="4" xr3:uid="{EF15AE67-FE31-471E-840E-8104B878A3E8}" name="Data type" dataDxfId="98"/>
    <tableColumn id="5" xr3:uid="{5006D683-9D12-4B97-9EF2-6D41AF6E0B35}" name="Distinct %" dataDxfId="97"/>
    <tableColumn id="6" xr3:uid="{3AFB42F8-9976-44FF-9239-74914D5BE035}" name="Missing %" dataDxfId="96"/>
    <tableColumn id="7" xr3:uid="{4BA41102-DB06-4180-9754-C88722FE82BD}" name="Memory Usage %" dataDxfId="95"/>
    <tableColumn id="8" xr3:uid="{D22319BD-3A80-40F3-84FC-A6D1627B2F29}" name="Memory Usage" dataDxfId="94"/>
    <tableColumn id="9" xr3:uid="{77FAEE19-B6C7-4056-8EF3-5EB877C820C4}" name="Distinct" dataDxfId="93"/>
    <tableColumn id="10" xr3:uid="{54FF47BF-594E-417B-9028-64A4DFE4D389}" name="Count" dataDxfId="92"/>
    <tableColumn id="11" xr3:uid="{54E587FE-36DC-4522-91DC-8B81B386217B}" name="Count %" dataDxfId="91"/>
    <tableColumn id="12" xr3:uid="{0DE21D83-93B1-480C-BE9C-379DA0E532C7}" name="Missing" dataDxfId="90"/>
    <tableColumn id="13" xr3:uid="{C4B407B9-B7FB-4DFC-A6B3-885C816BAF99}" name="Mean" dataDxfId="89"/>
    <tableColumn id="14" xr3:uid="{9796FD8E-D568-43E1-AC6E-BFAE7C7B7017}" name="Median" dataDxfId="88"/>
    <tableColumn id="15" xr3:uid="{A6A7BCED-DD2F-4B41-A84C-2F2674A38A53}" name="Mode" dataDxfId="87"/>
    <tableColumn id="16" xr3:uid="{46607FA5-244C-49C2-997C-B64EB2E94FDE}" name="Standard Deviation" dataDxfId="86"/>
    <tableColumn id="17" xr3:uid="{80BA1782-4C46-45CE-B3FB-40B70BA09AF9}" name="Variance" dataDxfId="85"/>
    <tableColumn id="18" xr3:uid="{EC3C5A76-EF95-419C-87A8-D8885B542521}" name="Min" dataDxfId="84"/>
    <tableColumn id="19" xr3:uid="{BFE545F8-810C-4F0A-A0B2-FF0AB9764A07}" name="5%" dataDxfId="83"/>
    <tableColumn id="20" xr3:uid="{77D31A9B-57B1-4422-8EF9-6320F00E0DB9}" name="25%" dataDxfId="82"/>
    <tableColumn id="21" xr3:uid="{7A350787-F0EA-4E65-B596-5D7253E75CD6}" name="50%" dataDxfId="81"/>
    <tableColumn id="22" xr3:uid="{FB4C260E-A19F-4908-9DBF-DB4AC630982A}" name="75%" dataDxfId="80"/>
    <tableColumn id="23" xr3:uid="{FBECC9F1-5BC8-4774-9475-EB2D6D28F1E2}" name="95%" dataDxfId="79"/>
    <tableColumn id="24" xr3:uid="{839CD532-ED80-4544-A8C8-E9E036764A84}" name="Max" dataDxfId="78"/>
    <tableColumn id="25" xr3:uid="{9DDA1FD6-82B1-4FBE-8BBD-B40C331930D2}" name="Range" dataDxfId="77"/>
    <tableColumn id="26" xr3:uid="{902A027A-FD65-44D4-B3D0-5B3883ACFA39}" name="IQR" dataDxfId="76"/>
  </tableColumns>
  <tableStyleInfo name="DarkTable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" xr:uid="{D5F23AF2-1A5A-4EC2-A463-12BEF780B46A}" name="tbl_debug_section" displayName="tbl_debug_section" ref="C34:E42" totalsRowShown="0" headerRowDxfId="58" dataDxfId="56" headerRowBorderDxfId="57" tableBorderDxfId="55" totalsRowBorderDxfId="54">
  <tableColumns count="3">
    <tableColumn id="1" xr3:uid="{FFACC0FF-000E-4785-9C1A-22F01E7C2644}" name="Production Section" dataDxfId="53" dataCellStyle="DarkHeader"/>
    <tableColumn id="2" xr3:uid="{6A06C42D-D4AD-45CE-A81D-0918B410EAA9}" name="Production Time in Seconds" dataDxfId="52"/>
    <tableColumn id="3" xr3:uid="{2643AF23-A2E5-4438-810D-7531CB2D2E4E}" name="% of Production Time" dataDxfId="51" dataCellStyle="Percent"/>
  </tableColumns>
  <tableStyleInfo name="DarkTable" showFirstColumn="0" showLastColumn="0" showRowStripes="1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5" xr:uid="{E706681A-5322-4A3F-BB34-C5A4EED8E33F}" name="tbl_debug_environment" displayName="tbl_debug_environment" ref="C8:D23" totalsRowShown="0" dataDxfId="49" headerRowBorderDxfId="50" tableBorderDxfId="48">
  <tableColumns count="2">
    <tableColumn id="1" xr3:uid="{9623C5AE-E7C2-4493-9B72-08667C9B2C60}" name="Environment Variable" dataDxfId="47" dataCellStyle="DarkHeader"/>
    <tableColumn id="2" xr3:uid="{E5E357AA-48FB-47EA-928A-80845B0CD7C9}" name="Value" dataDxfId="46"/>
  </tableColumns>
  <tableStyleInfo name="DarkTable" showFirstColumn="0" showLastColumn="0" showRowStripes="1" showColumnStripes="0"/>
</table>
</file>

<file path=xl/tables/table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6" xr:uid="{A6117933-3C15-4FC8-ADF4-0EC66304DEE1}" name="tbl_debug_config" displayName="tbl_debug_config" ref="F8:G19" totalsRowShown="0" headerRowBorderDxfId="45" tableBorderDxfId="44" totalsRowBorderDxfId="43">
  <autoFilter ref="F8:G19" xr:uid="{A6117933-3C15-4FC8-ADF4-0EC66304DEE1}"/>
  <tableColumns count="2">
    <tableColumn id="1" xr3:uid="{EC70458D-5C3D-497C-AA06-AFCBD688FBDA}" name="Input Argument" dataDxfId="42" dataCellStyle="DarkHeader"/>
    <tableColumn id="2" xr3:uid="{FCA8AE27-3D46-4152-9A03-0F3EFBA2366A}" name="Value" dataDxfId="41" dataCellStyle="DarkHeader"/>
  </tableColumns>
  <tableStyleInfo name="DarkTable" showFirstColumn="0" showLastColumn="0" showRowStripes="1" showColumnStripes="0"/>
</table>
</file>

<file path=xl/tables/table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7" xr:uid="{6AF89CD0-DF40-4046-87D4-2BF660DDE636}" name="tbl_debug_errors" displayName="tbl_debug_errors" ref="I8:J9" totalsRowShown="0" headerRowBorderDxfId="40" tableBorderDxfId="39" totalsRowBorderDxfId="38">
  <autoFilter ref="I8:J9" xr:uid="{6AF89CD0-DF40-4046-87D4-2BF660DDE636}"/>
  <tableColumns count="2">
    <tableColumn id="1" xr3:uid="{27FA7240-202E-4FAB-AD4A-DC169AFD6F56}" name="Error Type" dataDxfId="37" dataCellStyle="DarkHeader"/>
    <tableColumn id="2" xr3:uid="{C21354E4-3682-4AA0-B73A-2E689C89258C}" name="Value" dataDxfId="36" dataCellStyle="DarkHeader"/>
  </tableColumns>
  <tableStyleInfo name="DarkTable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Custom 1">
      <a:dk1>
        <a:srgbClr val="3A3A3A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 2013 - 2022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ebextensions/_rels/taskpanes.xml.rels><?xml version="1.0" encoding="UTF-8" standalone="yes"?>
<Relationships xmlns="http://schemas.openxmlformats.org/package/2006/relationships"><Relationship Id="rId1" Type="http://schemas.microsoft.com/office/2011/relationships/webextension" Target="webextension1.xml"/></Relationships>
</file>

<file path=xl/webextensions/taskpanes.xml><?xml version="1.0" encoding="utf-8"?>
<wetp:taskpanes xmlns:wetp="http://schemas.microsoft.com/office/webextensions/taskpanes/2010/11">
  <wetp:taskpane dockstate="right" visibility="0" width="764" row="3">
    <wetp:webextensionref xmlns:r="http://schemas.openxmlformats.org/officeDocument/2006/relationships" r:id="rId1"/>
  </wetp:taskpane>
</wetp:taskpanes>
</file>

<file path=xl/webextensions/webextension1.xml><?xml version="1.0" encoding="utf-8"?>
<we:webextension xmlns:we="http://schemas.microsoft.com/office/webextensions/webextension/2010/11" id="{8D17EC2E-99C3-4FD8-98FA-DB511231C813}">
  <we:reference id="wa104380862" version="3.0.0.0" store="en-US" storeType="OMEX"/>
  <we:alternateReferences>
    <we:reference id="wa104380862" version="3.0.0.0" store="WA104380862" storeType="OMEX"/>
  </we:alternateReferences>
  <we:properties/>
  <we:bindings/>
  <we:snapshot xmlns:r="http://schemas.openxmlformats.org/officeDocument/2006/relationships"/>
</we:webextension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table" Target="../tables/table1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table" Target="../tables/table2.x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3.bin"/><Relationship Id="rId1" Type="http://schemas.openxmlformats.org/officeDocument/2006/relationships/pivotTable" Target="../pivotTables/pivotTable1.x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2.xml"/><Relationship Id="rId7" Type="http://schemas.openxmlformats.org/officeDocument/2006/relationships/table" Target="../tables/table6.xml"/><Relationship Id="rId2" Type="http://schemas.openxmlformats.org/officeDocument/2006/relationships/printerSettings" Target="../printerSettings/printerSettings4.bin"/><Relationship Id="rId1" Type="http://schemas.openxmlformats.org/officeDocument/2006/relationships/hyperlink" Target="https://github.com/InfoDesigner/xleda" TargetMode="External"/><Relationship Id="rId6" Type="http://schemas.openxmlformats.org/officeDocument/2006/relationships/table" Target="../tables/table5.xml"/><Relationship Id="rId5" Type="http://schemas.openxmlformats.org/officeDocument/2006/relationships/table" Target="../tables/table4.xml"/><Relationship Id="rId4" Type="http://schemas.openxmlformats.org/officeDocument/2006/relationships/table" Target="../tables/table3.xm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2AC07A1-2E8C-46FB-9CC1-AAEC654D73D4}">
  <sheetPr codeName="Sheet2">
    <tabColor rgb="FF000000"/>
  </sheetPr>
  <dimension ref="A1:W1807"/>
  <sheetViews>
    <sheetView tabSelected="1" zoomScaleNormal="100" workbookViewId="0">
      <pane xSplit="4" ySplit="19" topLeftCell="E20" activePane="bottomRight" state="frozen"/>
      <selection activeCell="B1" sqref="A1:B1"/>
      <selection pane="topRight" activeCell="B1" sqref="A1:B1"/>
      <selection pane="bottomLeft" activeCell="B1" sqref="A1:B1"/>
      <selection pane="bottomRight" activeCell="A2" sqref="A2"/>
    </sheetView>
  </sheetViews>
  <sheetFormatPr baseColWidth="10" defaultColWidth="15.6640625" defaultRowHeight="15" customHeight="1" outlineLevelRow="2" x14ac:dyDescent="0.2"/>
  <cols>
    <col min="1" max="1" width="0.83203125" customWidth="1"/>
    <col min="2" max="2" width="3" customWidth="1"/>
    <col min="3" max="3" width="2.6640625" customWidth="1"/>
    <col min="4" max="4" width="25.6640625" customWidth="1"/>
    <col min="5" max="11" width="27.6640625" customWidth="1"/>
  </cols>
  <sheetData>
    <row r="1" spans="1:23" ht="20" hidden="1" customHeight="1" x14ac:dyDescent="0.2">
      <c r="A1" s="17"/>
      <c r="B1" s="17"/>
      <c r="C1" s="18"/>
      <c r="D1" s="18" t="s">
        <v>0</v>
      </c>
      <c r="E1" s="18"/>
      <c r="F1" s="18"/>
      <c r="G1" s="18"/>
      <c r="H1" s="18"/>
      <c r="I1" s="18"/>
      <c r="J1" s="18"/>
      <c r="K1" s="18"/>
      <c r="L1" s="18"/>
      <c r="M1" s="18"/>
      <c r="N1" s="18"/>
      <c r="O1" s="18"/>
      <c r="P1" s="18"/>
      <c r="Q1" s="18"/>
      <c r="R1" s="18"/>
      <c r="S1" s="18"/>
      <c r="T1" s="18"/>
      <c r="U1" s="18"/>
      <c r="V1" s="18"/>
      <c r="W1" s="18"/>
    </row>
    <row r="2" spans="1:23" ht="10.25" customHeight="1" x14ac:dyDescent="0.2"/>
    <row r="3" spans="1:23" ht="37" customHeight="1" x14ac:dyDescent="0.2">
      <c r="B3" s="1" t="s">
        <v>78</v>
      </c>
      <c r="C3" s="26" t="s">
        <v>79</v>
      </c>
      <c r="D3" s="26"/>
    </row>
    <row r="4" spans="1:23" ht="10.25" customHeight="1" x14ac:dyDescent="0.2"/>
    <row r="5" spans="1:23" x14ac:dyDescent="0.2">
      <c r="C5" s="52" t="s">
        <v>78</v>
      </c>
      <c r="D5" s="2" t="s">
        <v>5</v>
      </c>
    </row>
    <row r="6" spans="1:23" ht="10.25" customHeight="1" x14ac:dyDescent="0.2"/>
    <row r="7" spans="1:23" ht="40" hidden="1" customHeight="1" outlineLevel="1" x14ac:dyDescent="0.2">
      <c r="E7" s="98" t="s">
        <v>56</v>
      </c>
      <c r="F7" s="99"/>
    </row>
    <row r="8" spans="1:23" hidden="1" outlineLevel="1" x14ac:dyDescent="0.2"/>
    <row r="9" spans="1:23" ht="15" hidden="1" customHeight="1" outlineLevel="1" x14ac:dyDescent="0.2">
      <c r="D9" s="25" t="s">
        <v>6</v>
      </c>
      <c r="E9" s="53">
        <v>1728</v>
      </c>
    </row>
    <row r="10" spans="1:23" ht="15" hidden="1" customHeight="1" outlineLevel="1" x14ac:dyDescent="0.2">
      <c r="D10" s="3" t="s">
        <v>53</v>
      </c>
      <c r="E10" s="29">
        <v>7</v>
      </c>
    </row>
    <row r="11" spans="1:23" ht="15" hidden="1" customHeight="1" outlineLevel="1" x14ac:dyDescent="0.2">
      <c r="D11" s="3" t="s">
        <v>12</v>
      </c>
      <c r="E11" s="29" t="s">
        <v>89</v>
      </c>
    </row>
    <row r="12" spans="1:23" ht="15" hidden="1" customHeight="1" outlineLevel="1" x14ac:dyDescent="0.2">
      <c r="D12" s="3" t="s">
        <v>54</v>
      </c>
      <c r="E12" s="49">
        <v>1</v>
      </c>
    </row>
    <row r="13" spans="1:23" ht="15" hidden="1" customHeight="1" outlineLevel="1" x14ac:dyDescent="0.2">
      <c r="D13" s="3" t="s">
        <v>55</v>
      </c>
      <c r="E13" s="50">
        <v>0</v>
      </c>
    </row>
    <row r="14" spans="1:23" ht="10.25" hidden="1" customHeight="1" outlineLevel="1" x14ac:dyDescent="0.2"/>
    <row r="15" spans="1:23" ht="35" hidden="1" customHeight="1" outlineLevel="1" x14ac:dyDescent="0.2">
      <c r="D15" s="25" t="s">
        <v>2</v>
      </c>
      <c r="E15" s="54" t="s">
        <v>40</v>
      </c>
      <c r="F15" s="55" t="s">
        <v>40</v>
      </c>
      <c r="G15" s="55" t="s">
        <v>40</v>
      </c>
      <c r="H15" s="55" t="s">
        <v>40</v>
      </c>
      <c r="I15" s="55" t="s">
        <v>40</v>
      </c>
      <c r="J15" s="55" t="s">
        <v>40</v>
      </c>
      <c r="K15" s="55" t="s">
        <v>40</v>
      </c>
    </row>
    <row r="16" spans="1:23" ht="10.25" hidden="1" customHeight="1" outlineLevel="1" x14ac:dyDescent="0.2"/>
    <row r="17" spans="1:14" ht="35" hidden="1" customHeight="1" outlineLevel="1" x14ac:dyDescent="0.2">
      <c r="D17" s="25" t="s">
        <v>3</v>
      </c>
      <c r="E17" s="56" t="s">
        <v>49</v>
      </c>
      <c r="F17" s="57" t="s">
        <v>49</v>
      </c>
      <c r="G17" s="58" t="s">
        <v>49</v>
      </c>
      <c r="H17" s="58" t="s">
        <v>49</v>
      </c>
      <c r="I17" s="58" t="s">
        <v>49</v>
      </c>
      <c r="J17" s="58" t="s">
        <v>49</v>
      </c>
      <c r="K17" s="58" t="s">
        <v>49</v>
      </c>
    </row>
    <row r="18" spans="1:14" ht="10.25" hidden="1" customHeight="1" outlineLevel="1" x14ac:dyDescent="0.2"/>
    <row r="19" spans="1:14" s="27" customFormat="1" ht="30" customHeight="1" collapsed="1" x14ac:dyDescent="0.2">
      <c r="A19"/>
      <c r="B19"/>
      <c r="C19" s="102"/>
      <c r="D19" s="102" t="s">
        <v>4</v>
      </c>
      <c r="E19" s="103" t="s">
        <v>80</v>
      </c>
      <c r="F19" s="103" t="s">
        <v>81</v>
      </c>
      <c r="G19" s="103" t="s">
        <v>82</v>
      </c>
      <c r="H19" s="103" t="s">
        <v>83</v>
      </c>
      <c r="I19" s="103" t="s">
        <v>84</v>
      </c>
      <c r="J19" s="103" t="s">
        <v>85</v>
      </c>
      <c r="K19" s="103" t="s">
        <v>86</v>
      </c>
      <c r="L19" s="27" t="s">
        <v>87</v>
      </c>
      <c r="M19" s="27" t="s">
        <v>38</v>
      </c>
      <c r="N19" s="27" t="s">
        <v>88</v>
      </c>
    </row>
    <row r="20" spans="1:14" ht="10.25" customHeight="1" x14ac:dyDescent="0.2"/>
    <row r="21" spans="1:14" outlineLevel="1" x14ac:dyDescent="0.2">
      <c r="C21" s="52" t="s">
        <v>78</v>
      </c>
      <c r="D21" s="2" t="s">
        <v>7</v>
      </c>
    </row>
    <row r="22" spans="1:14" ht="10.25" customHeight="1" outlineLevel="1" x14ac:dyDescent="0.2"/>
    <row r="23" spans="1:14" ht="15" hidden="1" customHeight="1" outlineLevel="2" x14ac:dyDescent="0.2">
      <c r="D23" s="23" t="s">
        <v>8</v>
      </c>
      <c r="E23" s="13" t="s">
        <v>90</v>
      </c>
      <c r="F23" s="13" t="s">
        <v>90</v>
      </c>
      <c r="G23" s="13" t="s">
        <v>90</v>
      </c>
      <c r="H23" s="13" t="s">
        <v>90</v>
      </c>
      <c r="I23" s="13" t="s">
        <v>90</v>
      </c>
      <c r="J23" s="13" t="s">
        <v>90</v>
      </c>
      <c r="K23" s="13" t="s">
        <v>90</v>
      </c>
    </row>
    <row r="24" spans="1:14" ht="15" hidden="1" customHeight="1" outlineLevel="2" x14ac:dyDescent="0.2">
      <c r="D24" s="3" t="s">
        <v>9</v>
      </c>
      <c r="E24" s="14">
        <v>2.3148148148148099E-3</v>
      </c>
      <c r="F24" s="14">
        <v>2.3148148148148099E-3</v>
      </c>
      <c r="G24" s="14">
        <v>2.3148148148148099E-3</v>
      </c>
      <c r="H24" s="14">
        <v>1.7361111111111099E-3</v>
      </c>
      <c r="I24" s="14">
        <v>1.7361111111111099E-3</v>
      </c>
      <c r="J24" s="14">
        <v>1.7361111111111099E-3</v>
      </c>
      <c r="K24" s="14">
        <v>2.3148148148148099E-3</v>
      </c>
    </row>
    <row r="25" spans="1:14" ht="15" hidden="1" customHeight="1" outlineLevel="2" x14ac:dyDescent="0.2">
      <c r="D25" s="22" t="s">
        <v>10</v>
      </c>
      <c r="E25" s="14">
        <v>0</v>
      </c>
      <c r="F25" s="14">
        <v>0</v>
      </c>
      <c r="G25" s="14">
        <v>0</v>
      </c>
      <c r="H25" s="14">
        <v>0</v>
      </c>
      <c r="I25" s="14">
        <v>0</v>
      </c>
      <c r="J25" s="14">
        <v>0</v>
      </c>
      <c r="K25" s="14">
        <v>0</v>
      </c>
    </row>
    <row r="26" spans="1:14" ht="15" hidden="1" customHeight="1" outlineLevel="2" x14ac:dyDescent="0.2">
      <c r="D26" s="22" t="s">
        <v>11</v>
      </c>
      <c r="E26" s="14">
        <v>0.13511111111111099</v>
      </c>
      <c r="F26" s="14">
        <v>0.13511111111111099</v>
      </c>
      <c r="G26" s="14">
        <v>0.1152</v>
      </c>
      <c r="H26" s="14">
        <v>0.1152</v>
      </c>
      <c r="I26" s="14">
        <v>0.13416296296296201</v>
      </c>
      <c r="J26" s="14">
        <v>0.13037037037037</v>
      </c>
      <c r="K26" s="14">
        <v>0.14382222222222199</v>
      </c>
    </row>
    <row r="27" spans="1:14" ht="15" hidden="1" customHeight="1" outlineLevel="2" x14ac:dyDescent="0.2">
      <c r="D27" s="22" t="s">
        <v>12</v>
      </c>
      <c r="E27" s="15">
        <v>20520</v>
      </c>
      <c r="F27" s="15">
        <v>20520</v>
      </c>
      <c r="G27" s="15">
        <v>17496</v>
      </c>
      <c r="H27" s="15">
        <v>17496</v>
      </c>
      <c r="I27" s="15">
        <v>20376</v>
      </c>
      <c r="J27" s="15">
        <v>19800</v>
      </c>
      <c r="K27" s="15">
        <v>21843</v>
      </c>
    </row>
    <row r="28" spans="1:14" ht="15" hidden="1" customHeight="1" outlineLevel="2" x14ac:dyDescent="0.2">
      <c r="D28" s="22" t="s">
        <v>13</v>
      </c>
      <c r="E28" s="15">
        <v>4</v>
      </c>
      <c r="F28" s="15">
        <v>4</v>
      </c>
      <c r="G28" s="15">
        <v>4</v>
      </c>
      <c r="H28" s="15">
        <v>3</v>
      </c>
      <c r="I28" s="15">
        <v>3</v>
      </c>
      <c r="J28" s="15">
        <v>3</v>
      </c>
      <c r="K28" s="15">
        <v>4</v>
      </c>
    </row>
    <row r="29" spans="1:14" ht="15" hidden="1" customHeight="1" outlineLevel="2" x14ac:dyDescent="0.2">
      <c r="D29" s="23" t="s">
        <v>14</v>
      </c>
      <c r="E29" s="15">
        <v>1728</v>
      </c>
      <c r="F29" s="15">
        <v>1728</v>
      </c>
      <c r="G29" s="15">
        <v>1728</v>
      </c>
      <c r="H29" s="15">
        <v>1728</v>
      </c>
      <c r="I29" s="15">
        <v>1728</v>
      </c>
      <c r="J29" s="15">
        <v>1728</v>
      </c>
      <c r="K29" s="15">
        <v>1728</v>
      </c>
    </row>
    <row r="30" spans="1:14" ht="15" hidden="1" customHeight="1" outlineLevel="2" x14ac:dyDescent="0.2">
      <c r="D30" s="3" t="s">
        <v>15</v>
      </c>
      <c r="E30" s="15">
        <v>0</v>
      </c>
      <c r="F30" s="15">
        <v>0</v>
      </c>
      <c r="G30" s="15">
        <v>0</v>
      </c>
      <c r="H30" s="15">
        <v>0</v>
      </c>
      <c r="I30" s="15">
        <v>0</v>
      </c>
      <c r="J30" s="15">
        <v>0</v>
      </c>
      <c r="K30" s="15">
        <v>0</v>
      </c>
    </row>
    <row r="31" spans="1:14" ht="10.25" hidden="1" customHeight="1" outlineLevel="2" x14ac:dyDescent="0.2"/>
    <row r="32" spans="1:14" ht="150" hidden="1" customHeight="1" outlineLevel="2" x14ac:dyDescent="0.2"/>
    <row r="33" spans="3:11" ht="10.25" hidden="1" customHeight="1" outlineLevel="2" x14ac:dyDescent="0.2"/>
    <row r="34" spans="3:11" outlineLevel="1" collapsed="1" x14ac:dyDescent="0.2">
      <c r="C34" s="52" t="s">
        <v>78</v>
      </c>
      <c r="D34" s="2" t="s">
        <v>16</v>
      </c>
    </row>
    <row r="35" spans="3:11" ht="10.25" customHeight="1" outlineLevel="1" x14ac:dyDescent="0.2"/>
    <row r="36" spans="3:11" ht="15" hidden="1" customHeight="1" outlineLevel="2" x14ac:dyDescent="0.2">
      <c r="D36" s="3" t="s">
        <v>17</v>
      </c>
      <c r="E36" s="16"/>
      <c r="F36" s="16"/>
      <c r="G36" s="16"/>
      <c r="H36" s="16"/>
      <c r="I36" s="16"/>
      <c r="J36" s="16"/>
      <c r="K36" s="16"/>
    </row>
    <row r="37" spans="3:11" ht="15" hidden="1" customHeight="1" outlineLevel="2" x14ac:dyDescent="0.2">
      <c r="D37" s="22" t="s">
        <v>18</v>
      </c>
      <c r="E37" s="16"/>
      <c r="F37" s="16"/>
      <c r="G37" s="16"/>
      <c r="H37" s="16"/>
      <c r="I37" s="16"/>
      <c r="J37" s="16"/>
      <c r="K37" s="16"/>
    </row>
    <row r="38" spans="3:11" ht="15" hidden="1" customHeight="1" outlineLevel="2" x14ac:dyDescent="0.2">
      <c r="D38" s="22" t="s">
        <v>19</v>
      </c>
      <c r="E38" s="16" t="s">
        <v>91</v>
      </c>
      <c r="F38" s="16" t="s">
        <v>91</v>
      </c>
      <c r="G38" s="16">
        <v>2</v>
      </c>
      <c r="H38" s="16">
        <v>2</v>
      </c>
      <c r="I38" s="16" t="s">
        <v>92</v>
      </c>
      <c r="J38" s="16" t="s">
        <v>91</v>
      </c>
      <c r="K38" s="16" t="s">
        <v>93</v>
      </c>
    </row>
    <row r="39" spans="3:11" ht="15" hidden="1" customHeight="1" outlineLevel="2" x14ac:dyDescent="0.2">
      <c r="D39" s="3" t="s">
        <v>20</v>
      </c>
      <c r="E39" s="16"/>
      <c r="F39" s="16"/>
      <c r="G39" s="16"/>
      <c r="H39" s="16"/>
      <c r="I39" s="16"/>
      <c r="J39" s="16"/>
      <c r="K39" s="16"/>
    </row>
    <row r="40" spans="3:11" ht="15" hidden="1" customHeight="1" outlineLevel="2" x14ac:dyDescent="0.2">
      <c r="D40" s="24" t="s">
        <v>21</v>
      </c>
      <c r="E40" s="16"/>
      <c r="F40" s="16"/>
      <c r="G40" s="16"/>
      <c r="H40" s="16"/>
      <c r="I40" s="16"/>
      <c r="J40" s="16"/>
      <c r="K40" s="16"/>
    </row>
    <row r="41" spans="3:11" ht="10.25" hidden="1" customHeight="1" outlineLevel="2" x14ac:dyDescent="0.2"/>
    <row r="42" spans="3:11" ht="150" hidden="1" customHeight="1" outlineLevel="2" x14ac:dyDescent="0.2"/>
    <row r="43" spans="3:11" ht="10.25" hidden="1" customHeight="1" outlineLevel="2" x14ac:dyDescent="0.2"/>
    <row r="44" spans="3:11" outlineLevel="1" collapsed="1" x14ac:dyDescent="0.2">
      <c r="C44" s="52" t="s">
        <v>78</v>
      </c>
      <c r="D44" s="2" t="s">
        <v>22</v>
      </c>
    </row>
    <row r="45" spans="3:11" ht="10" customHeight="1" outlineLevel="1" x14ac:dyDescent="0.2"/>
    <row r="46" spans="3:11" ht="15" hidden="1" customHeight="1" outlineLevel="2" x14ac:dyDescent="0.2">
      <c r="D46" s="3" t="s">
        <v>23</v>
      </c>
      <c r="E46" s="16"/>
      <c r="F46" s="16"/>
      <c r="G46" s="16"/>
      <c r="H46" s="16"/>
      <c r="I46" s="16"/>
      <c r="J46" s="16"/>
      <c r="K46" s="16"/>
    </row>
    <row r="47" spans="3:11" ht="15" hidden="1" customHeight="1" outlineLevel="2" x14ac:dyDescent="0.2">
      <c r="D47" s="22">
        <v>0.05</v>
      </c>
      <c r="E47" s="16"/>
      <c r="F47" s="16"/>
      <c r="G47" s="16"/>
      <c r="H47" s="16"/>
      <c r="I47" s="16"/>
      <c r="J47" s="16"/>
      <c r="K47" s="16"/>
    </row>
    <row r="48" spans="3:11" ht="15" hidden="1" customHeight="1" outlineLevel="2" x14ac:dyDescent="0.2">
      <c r="D48" s="23">
        <v>0.25</v>
      </c>
      <c r="E48" s="16"/>
      <c r="F48" s="16"/>
      <c r="G48" s="16"/>
      <c r="H48" s="16"/>
      <c r="I48" s="16"/>
      <c r="J48" s="16"/>
      <c r="K48" s="16"/>
    </row>
    <row r="49" spans="3:11" ht="15" hidden="1" customHeight="1" outlineLevel="2" x14ac:dyDescent="0.2">
      <c r="D49" s="3">
        <v>0.5</v>
      </c>
      <c r="E49" s="16"/>
      <c r="F49" s="16"/>
      <c r="G49" s="16"/>
      <c r="H49" s="16"/>
      <c r="I49" s="16"/>
      <c r="J49" s="16"/>
      <c r="K49" s="16"/>
    </row>
    <row r="50" spans="3:11" ht="15" hidden="1" customHeight="1" outlineLevel="2" x14ac:dyDescent="0.2">
      <c r="D50" s="22">
        <v>0.75</v>
      </c>
      <c r="E50" s="16"/>
      <c r="F50" s="16"/>
      <c r="G50" s="16"/>
      <c r="H50" s="16"/>
      <c r="I50" s="16"/>
      <c r="J50" s="16"/>
      <c r="K50" s="16"/>
    </row>
    <row r="51" spans="3:11" ht="15" hidden="1" customHeight="1" outlineLevel="2" x14ac:dyDescent="0.2">
      <c r="D51" s="22">
        <v>0.95</v>
      </c>
      <c r="E51" s="16"/>
      <c r="F51" s="16"/>
      <c r="G51" s="16"/>
      <c r="H51" s="16"/>
      <c r="I51" s="16"/>
      <c r="J51" s="16"/>
      <c r="K51" s="16"/>
    </row>
    <row r="52" spans="3:11" ht="15" hidden="1" customHeight="1" outlineLevel="2" x14ac:dyDescent="0.2">
      <c r="D52" s="3" t="s">
        <v>24</v>
      </c>
      <c r="E52" s="16"/>
      <c r="F52" s="16"/>
      <c r="G52" s="16"/>
      <c r="H52" s="16"/>
      <c r="I52" s="16"/>
      <c r="J52" s="16"/>
      <c r="K52" s="16"/>
    </row>
    <row r="53" spans="3:11" ht="15" hidden="1" customHeight="1" outlineLevel="2" x14ac:dyDescent="0.2">
      <c r="D53" s="22" t="s">
        <v>25</v>
      </c>
      <c r="E53" s="16"/>
      <c r="F53" s="16"/>
      <c r="G53" s="16"/>
      <c r="H53" s="16"/>
      <c r="I53" s="16"/>
      <c r="J53" s="16"/>
      <c r="K53" s="16"/>
    </row>
    <row r="54" spans="3:11" ht="15" hidden="1" customHeight="1" outlineLevel="2" x14ac:dyDescent="0.2">
      <c r="D54" s="3" t="s">
        <v>26</v>
      </c>
      <c r="E54" s="16"/>
      <c r="F54" s="16"/>
      <c r="G54" s="16"/>
      <c r="H54" s="16"/>
      <c r="I54" s="16"/>
      <c r="J54" s="16"/>
      <c r="K54" s="16"/>
    </row>
    <row r="55" spans="3:11" ht="10.25" hidden="1" customHeight="1" outlineLevel="2" x14ac:dyDescent="0.2"/>
    <row r="56" spans="3:11" outlineLevel="1" collapsed="1" x14ac:dyDescent="0.2">
      <c r="C56" s="52" t="s">
        <v>78</v>
      </c>
      <c r="D56" s="2" t="s">
        <v>27</v>
      </c>
    </row>
    <row r="57" spans="3:11" ht="10" customHeight="1" outlineLevel="1" x14ac:dyDescent="0.2"/>
    <row r="58" spans="3:11" ht="15" hidden="1" customHeight="1" outlineLevel="2" x14ac:dyDescent="0.2">
      <c r="D58" s="3" t="s">
        <v>28</v>
      </c>
      <c r="E58" s="42" t="b">
        <v>0</v>
      </c>
      <c r="F58" s="42" t="b">
        <v>0</v>
      </c>
      <c r="G58" s="42" t="b">
        <v>0</v>
      </c>
      <c r="H58" s="42" t="b">
        <v>0</v>
      </c>
      <c r="I58" s="42" t="b">
        <v>0</v>
      </c>
      <c r="J58" s="42" t="b">
        <v>0</v>
      </c>
      <c r="K58" s="42" t="b">
        <v>0</v>
      </c>
    </row>
    <row r="59" spans="3:11" ht="15" hidden="1" customHeight="1" outlineLevel="2" x14ac:dyDescent="0.2">
      <c r="D59" s="22" t="s">
        <v>29</v>
      </c>
      <c r="E59" s="42" t="b">
        <v>0</v>
      </c>
      <c r="F59" s="42" t="b">
        <v>0</v>
      </c>
      <c r="G59" s="42" t="b">
        <v>0</v>
      </c>
      <c r="H59" s="42" t="b">
        <v>0</v>
      </c>
      <c r="I59" s="42" t="b">
        <v>0</v>
      </c>
      <c r="J59" s="42" t="b">
        <v>0</v>
      </c>
      <c r="K59" s="42" t="b">
        <v>0</v>
      </c>
    </row>
    <row r="60" spans="3:11" ht="15" hidden="1" customHeight="1" outlineLevel="2" x14ac:dyDescent="0.2">
      <c r="D60" s="22" t="s">
        <v>30</v>
      </c>
      <c r="E60" s="42" t="b">
        <v>0</v>
      </c>
      <c r="F60" s="42" t="b">
        <v>0</v>
      </c>
      <c r="G60" s="42" t="b">
        <v>0</v>
      </c>
      <c r="H60" s="42" t="b">
        <v>0</v>
      </c>
      <c r="I60" s="42" t="b">
        <v>0</v>
      </c>
      <c r="J60" s="42" t="b">
        <v>0</v>
      </c>
      <c r="K60" s="42" t="b">
        <v>0</v>
      </c>
    </row>
    <row r="61" spans="3:11" ht="15" hidden="1" customHeight="1" outlineLevel="2" x14ac:dyDescent="0.2">
      <c r="D61" s="22" t="s">
        <v>31</v>
      </c>
      <c r="E61" s="42" t="b">
        <v>0</v>
      </c>
      <c r="F61" s="42" t="b">
        <v>0</v>
      </c>
      <c r="G61" s="42" t="b">
        <v>0</v>
      </c>
      <c r="H61" s="42" t="b">
        <v>0</v>
      </c>
      <c r="I61" s="42" t="b">
        <v>0</v>
      </c>
      <c r="J61" s="42" t="b">
        <v>0</v>
      </c>
      <c r="K61" s="42" t="b">
        <v>0</v>
      </c>
    </row>
    <row r="62" spans="3:11" ht="15" hidden="1" customHeight="1" outlineLevel="2" x14ac:dyDescent="0.2">
      <c r="D62" s="3" t="s">
        <v>32</v>
      </c>
      <c r="E62" s="42" t="b">
        <v>0</v>
      </c>
      <c r="F62" s="42" t="b">
        <v>0</v>
      </c>
      <c r="G62" s="42" t="b">
        <v>0</v>
      </c>
      <c r="H62" s="42" t="b">
        <v>0</v>
      </c>
      <c r="I62" s="42" t="b">
        <v>0</v>
      </c>
      <c r="J62" s="42" t="b">
        <v>0</v>
      </c>
      <c r="K62" s="42" t="b">
        <v>0</v>
      </c>
    </row>
    <row r="63" spans="3:11" ht="15" hidden="1" customHeight="1" outlineLevel="2" x14ac:dyDescent="0.2">
      <c r="D63" s="22" t="s">
        <v>33</v>
      </c>
      <c r="E63" s="42" t="b">
        <v>0</v>
      </c>
      <c r="F63" s="42" t="b">
        <v>0</v>
      </c>
      <c r="G63" s="42" t="b">
        <v>0</v>
      </c>
      <c r="H63" s="42" t="b">
        <v>0</v>
      </c>
      <c r="I63" s="42" t="b">
        <v>0</v>
      </c>
      <c r="J63" s="42" t="b">
        <v>0</v>
      </c>
      <c r="K63" s="42" t="b">
        <v>0</v>
      </c>
    </row>
    <row r="64" spans="3:11" ht="15" hidden="1" customHeight="1" outlineLevel="2" x14ac:dyDescent="0.2">
      <c r="D64" s="22" t="s">
        <v>34</v>
      </c>
      <c r="E64" s="42" t="b">
        <v>0</v>
      </c>
      <c r="F64" s="42" t="b">
        <v>0</v>
      </c>
      <c r="G64" s="42" t="b">
        <v>0</v>
      </c>
      <c r="H64" s="42" t="b">
        <v>0</v>
      </c>
      <c r="I64" s="42" t="b">
        <v>0</v>
      </c>
      <c r="J64" s="42" t="b">
        <v>0</v>
      </c>
      <c r="K64" s="42" t="b">
        <v>0</v>
      </c>
    </row>
    <row r="65" spans="3:14" ht="15" hidden="1" customHeight="1" outlineLevel="2" x14ac:dyDescent="0.2">
      <c r="D65" s="3" t="s">
        <v>35</v>
      </c>
      <c r="E65" s="42" t="b">
        <v>0</v>
      </c>
      <c r="F65" s="42" t="b">
        <v>0</v>
      </c>
      <c r="G65" s="42" t="b">
        <v>0</v>
      </c>
      <c r="H65" s="42" t="b">
        <v>0</v>
      </c>
      <c r="I65" s="42" t="b">
        <v>0</v>
      </c>
      <c r="J65" s="42" t="b">
        <v>0</v>
      </c>
      <c r="K65" s="42" t="b">
        <v>0</v>
      </c>
    </row>
    <row r="66" spans="3:14" ht="10.25" hidden="1" customHeight="1" outlineLevel="2" x14ac:dyDescent="0.2"/>
    <row r="67" spans="3:14" outlineLevel="1" collapsed="1" x14ac:dyDescent="0.2">
      <c r="C67" s="52" t="s">
        <v>78</v>
      </c>
      <c r="D67" s="2" t="s">
        <v>36</v>
      </c>
    </row>
    <row r="68" spans="3:14" ht="10" customHeight="1" outlineLevel="1" x14ac:dyDescent="0.2"/>
    <row r="69" spans="3:14" ht="15" hidden="1" customHeight="1" outlineLevel="2" x14ac:dyDescent="0.2">
      <c r="D69" s="3" t="str">
        <f>IF(COUNTIF(FieldList1, "&lt;&gt;FALSE") = 0,"",SUBSTITUTE(LOWER(D58)," ","_") &amp;" = ")</f>
        <v/>
      </c>
      <c r="E69" t="str">
        <f>IF(COUNTIF(FieldList1, "&lt;&gt;FALSE") = 0,"","['"&amp;_xlfn.TEXTJOIN("', '", TRUE, _xlfn._xlws.FILTER(FieldRange,FieldList1&lt;&gt; FALSE, ""))&amp;"']")</f>
        <v/>
      </c>
    </row>
    <row r="70" spans="3:14" ht="15" hidden="1" customHeight="1" outlineLevel="2" x14ac:dyDescent="0.2">
      <c r="D70" s="21" t="str">
        <f>IF(COUNTIF(FieldList2, "&lt;&gt;FALSE") = 0,"",SUBSTITUTE(LOWER(D59)," ","_")&amp;" = ")</f>
        <v/>
      </c>
      <c r="E70" t="str">
        <f>IF(COUNTIF(FieldList2, "&lt;&gt;FALSE") = 0,"","['"&amp;_xlfn.TEXTJOIN("', '", TRUE, _xlfn._xlws.FILTER(FieldRange,FieldList2&lt;&gt; FALSE, ""))&amp;"']")</f>
        <v/>
      </c>
    </row>
    <row r="71" spans="3:14" ht="15" hidden="1" customHeight="1" outlineLevel="2" x14ac:dyDescent="0.2">
      <c r="D71" s="21" t="str">
        <f>IF(COUNTIF(FieldList3, "&lt;&gt;FALSE") = 0,"",SUBSTITUTE(LOWER(D60)," ","_")&amp;" = ")</f>
        <v/>
      </c>
      <c r="E71" t="str">
        <f>IF(COUNTIF(FieldList3, "&lt;&gt;FALSE") = 0,"","['"&amp;_xlfn.TEXTJOIN("', '", TRUE, _xlfn._xlws.FILTER(FieldRange,FieldList3&lt;&gt; FALSE, ""))&amp;"']")</f>
        <v/>
      </c>
    </row>
    <row r="72" spans="3:14" ht="15" hidden="1" customHeight="1" outlineLevel="2" x14ac:dyDescent="0.2">
      <c r="D72" s="21" t="str">
        <f>IF(COUNTIF(FieldList4, "&lt;&gt;FALSE") = 0,"",SUBSTITUTE(LOWER(D61)," ","_")&amp;" = ")</f>
        <v/>
      </c>
      <c r="E72" t="str">
        <f>IF(COUNTIF(FieldList4, "&lt;&gt;FALSE") = 0,"","['"&amp;_xlfn.TEXTJOIN("', '", TRUE, _xlfn._xlws.FILTER(FieldRange,FieldList4&lt;&gt; FALSE, ""))&amp;"']")</f>
        <v/>
      </c>
    </row>
    <row r="73" spans="3:14" ht="15" hidden="1" customHeight="1" outlineLevel="2" x14ac:dyDescent="0.2">
      <c r="D73" s="21" t="str">
        <f>IF(COUNTIF(FieldList5, "&lt;&gt;FALSE") = 0,"",SUBSTITUTE(LOWER(D62)," ","_")&amp;" = ")</f>
        <v/>
      </c>
      <c r="E73" t="str">
        <f>IF(COUNTIF(FieldList5, "&lt;&gt;FALSE") = 0,"","['"&amp;_xlfn.TEXTJOIN("', '", TRUE, _xlfn._xlws.FILTER(FieldRange,FieldList5&lt;&gt; FALSE, ""))&amp;"']")</f>
        <v/>
      </c>
    </row>
    <row r="74" spans="3:14" ht="15" hidden="1" customHeight="1" outlineLevel="2" x14ac:dyDescent="0.2">
      <c r="D74" s="21" t="str">
        <f>IF(COUNTIF(FieldList6, "&lt;&gt;FALSE") = 0,"",SUBSTITUTE(LOWER(D63)," ","_")&amp;" = ")</f>
        <v/>
      </c>
      <c r="E74" t="str">
        <f>IF(COUNTIF(FieldList6, "&lt;&gt;FALSE") = 0,"","['"&amp;_xlfn.TEXTJOIN("', '", TRUE, _xlfn._xlws.FILTER(FieldRange,FieldList6&lt;&gt; FALSE, ""))&amp;"']")</f>
        <v/>
      </c>
    </row>
    <row r="75" spans="3:14" ht="15" hidden="1" customHeight="1" outlineLevel="2" x14ac:dyDescent="0.2">
      <c r="D75" s="20" t="str">
        <f>IF(COUNTIF(FieldList7, "&lt;&gt;FALSE") = 0,"",SUBSTITUTE(LOWER(D64)," ","_")&amp;" = ")</f>
        <v/>
      </c>
      <c r="E75" t="str" cm="1">
        <f t="array" ref="E75">IF(COUNTIF(FieldList7, "&lt;&gt;FALSE") = 0,"","['"&amp;_xlfn.TEXTJOIN("', '", TRUE, _xlfn._xlws.FILTER(FieldRange,FieldList7&lt;&gt; FALSE, ""))&amp;"']")</f>
        <v/>
      </c>
    </row>
    <row r="76" spans="3:14" ht="15" hidden="1" customHeight="1" outlineLevel="2" x14ac:dyDescent="0.2">
      <c r="D76" s="3" t="str">
        <f>IF(COUNTIF(FieldList8, "&lt;&gt;FALSE") = 0,"",SUBSTITUTE(LOWER(D65)," ","_")&amp;" = ")</f>
        <v/>
      </c>
      <c r="E76" t="str" cm="1">
        <f t="array" ref="E76">IF(COUNTIF(FieldList8, "&lt;&gt;FALSE") = 0,"","['"&amp;_xlfn.TEXTJOIN("', '", TRUE, _xlfn._xlws.FILTER(FieldRange,FieldList8&lt;&gt; FALSE, ""))&amp;"']")</f>
        <v/>
      </c>
    </row>
    <row r="77" spans="3:14" ht="15" hidden="1" customHeight="1" outlineLevel="2" x14ac:dyDescent="0.2">
      <c r="D77" s="19" t="str">
        <f>IF(COUNTIF(tbl_SourceData[Record List], "&lt;&gt;FALSE") = 0,"",SUBSTITUTE(LOWER(LightHeader)," ", "_") &amp;" = ")</f>
        <v/>
      </c>
      <c r="E77" t="str" cm="1">
        <f t="array" ref="E77">IF(COUNTIF(tbl_SourceData[Record List], "&lt;&gt;FALSE") = 0,"","['"&amp;_xlfn.TEXTJOIN("', '", TRUE, _xlfn._xlws.FILTER(_xlfn.TAKE(tbl_SourceData[],,-1), tbl_SourceData[Record List] &lt;&gt; FALSE, ""))&amp;"']")</f>
        <v/>
      </c>
    </row>
    <row r="78" spans="3:14" ht="10.25" hidden="1" customHeight="1" outlineLevel="1" collapsed="1" x14ac:dyDescent="0.2"/>
    <row r="79" spans="3:14" ht="30" customHeight="1" x14ac:dyDescent="0.2">
      <c r="D79" s="128" t="s">
        <v>37</v>
      </c>
      <c r="E79" s="120" t="s">
        <v>80</v>
      </c>
      <c r="F79" s="120" t="s">
        <v>81</v>
      </c>
      <c r="G79" s="120" t="s">
        <v>82</v>
      </c>
      <c r="H79" s="121" t="s">
        <v>83</v>
      </c>
      <c r="I79" s="121" t="s">
        <v>84</v>
      </c>
      <c r="J79" s="121" t="s">
        <v>85</v>
      </c>
      <c r="K79" s="121" t="s">
        <v>86</v>
      </c>
      <c r="L79" s="128" t="s">
        <v>87</v>
      </c>
      <c r="M79" s="128" t="s">
        <v>38</v>
      </c>
      <c r="N79" s="128" t="s">
        <v>88</v>
      </c>
    </row>
    <row r="80" spans="3:14" ht="15" customHeight="1" x14ac:dyDescent="0.2">
      <c r="D80" s="129" t="b">
        <v>0</v>
      </c>
      <c r="E80" s="122" t="s">
        <v>94</v>
      </c>
      <c r="F80" s="122" t="s">
        <v>94</v>
      </c>
      <c r="G80" s="122">
        <v>2</v>
      </c>
      <c r="H80" s="123">
        <v>2</v>
      </c>
      <c r="I80" s="123" t="s">
        <v>95</v>
      </c>
      <c r="J80" s="123" t="s">
        <v>96</v>
      </c>
      <c r="K80" s="123" t="s">
        <v>93</v>
      </c>
      <c r="L80" s="132">
        <v>0</v>
      </c>
      <c r="M80" s="132">
        <v>0</v>
      </c>
      <c r="N80" s="132">
        <v>1.3133697411618935E+19</v>
      </c>
    </row>
    <row r="81" spans="4:14" ht="15" customHeight="1" x14ac:dyDescent="0.2">
      <c r="D81" s="129" t="b">
        <v>0</v>
      </c>
      <c r="E81" s="122" t="s">
        <v>94</v>
      </c>
      <c r="F81" s="122" t="s">
        <v>94</v>
      </c>
      <c r="G81" s="122">
        <v>2</v>
      </c>
      <c r="H81" s="123">
        <v>2</v>
      </c>
      <c r="I81" s="123" t="s">
        <v>95</v>
      </c>
      <c r="J81" s="123" t="s">
        <v>97</v>
      </c>
      <c r="K81" s="123" t="s">
        <v>93</v>
      </c>
      <c r="L81" s="132">
        <v>1</v>
      </c>
      <c r="M81" s="132">
        <v>0</v>
      </c>
      <c r="N81" s="132">
        <v>8.0693070611885066E+18</v>
      </c>
    </row>
    <row r="82" spans="4:14" ht="15" customHeight="1" x14ac:dyDescent="0.2">
      <c r="D82" s="130" t="b">
        <v>0</v>
      </c>
      <c r="E82" s="124" t="s">
        <v>94</v>
      </c>
      <c r="F82" s="125" t="s">
        <v>94</v>
      </c>
      <c r="G82" s="125">
        <v>2</v>
      </c>
      <c r="H82" s="123">
        <v>2</v>
      </c>
      <c r="I82" s="123" t="s">
        <v>95</v>
      </c>
      <c r="J82" s="123" t="s">
        <v>91</v>
      </c>
      <c r="K82" s="123" t="s">
        <v>93</v>
      </c>
      <c r="L82" s="132">
        <v>2</v>
      </c>
      <c r="M82" s="132">
        <v>0</v>
      </c>
      <c r="N82" s="132">
        <v>7.7464487814607032E+18</v>
      </c>
    </row>
    <row r="83" spans="4:14" ht="15" customHeight="1" x14ac:dyDescent="0.2">
      <c r="D83" s="130" t="b">
        <v>0</v>
      </c>
      <c r="E83" s="124" t="s">
        <v>94</v>
      </c>
      <c r="F83" s="125" t="s">
        <v>94</v>
      </c>
      <c r="G83" s="125">
        <v>2</v>
      </c>
      <c r="H83" s="123">
        <v>2</v>
      </c>
      <c r="I83" s="123" t="s">
        <v>97</v>
      </c>
      <c r="J83" s="123" t="s">
        <v>96</v>
      </c>
      <c r="K83" s="123" t="s">
        <v>93</v>
      </c>
      <c r="L83" s="132">
        <v>3</v>
      </c>
      <c r="M83" s="132">
        <v>0</v>
      </c>
      <c r="N83" s="132">
        <v>1.3521715960034032E+19</v>
      </c>
    </row>
    <row r="84" spans="4:14" ht="15" customHeight="1" x14ac:dyDescent="0.2">
      <c r="D84" s="130" t="b">
        <v>0</v>
      </c>
      <c r="E84" s="124" t="s">
        <v>94</v>
      </c>
      <c r="F84" s="125" t="s">
        <v>94</v>
      </c>
      <c r="G84" s="125">
        <v>2</v>
      </c>
      <c r="H84" s="123">
        <v>2</v>
      </c>
      <c r="I84" s="123" t="s">
        <v>97</v>
      </c>
      <c r="J84" s="123" t="s">
        <v>97</v>
      </c>
      <c r="K84" s="123" t="s">
        <v>93</v>
      </c>
      <c r="L84" s="132">
        <v>4</v>
      </c>
      <c r="M84" s="132">
        <v>0</v>
      </c>
      <c r="N84" s="132">
        <v>2.968651537565633E+18</v>
      </c>
    </row>
    <row r="85" spans="4:14" ht="15" customHeight="1" x14ac:dyDescent="0.2">
      <c r="D85" s="130" t="b">
        <v>0</v>
      </c>
      <c r="E85" s="124" t="s">
        <v>94</v>
      </c>
      <c r="F85" s="125" t="s">
        <v>94</v>
      </c>
      <c r="G85" s="125">
        <v>2</v>
      </c>
      <c r="H85" s="123">
        <v>2</v>
      </c>
      <c r="I85" s="123" t="s">
        <v>97</v>
      </c>
      <c r="J85" s="123" t="s">
        <v>91</v>
      </c>
      <c r="K85" s="123" t="s">
        <v>93</v>
      </c>
      <c r="L85" s="132">
        <v>5</v>
      </c>
      <c r="M85" s="132">
        <v>0</v>
      </c>
      <c r="N85" s="132">
        <v>2.751250382764418E+18</v>
      </c>
    </row>
    <row r="86" spans="4:14" ht="15" customHeight="1" x14ac:dyDescent="0.2">
      <c r="D86" s="130" t="b">
        <v>0</v>
      </c>
      <c r="E86" s="124" t="s">
        <v>94</v>
      </c>
      <c r="F86" s="125" t="s">
        <v>94</v>
      </c>
      <c r="G86" s="125">
        <v>2</v>
      </c>
      <c r="H86" s="123">
        <v>2</v>
      </c>
      <c r="I86" s="123" t="s">
        <v>92</v>
      </c>
      <c r="J86" s="123" t="s">
        <v>96</v>
      </c>
      <c r="K86" s="123" t="s">
        <v>93</v>
      </c>
      <c r="L86" s="132">
        <v>6</v>
      </c>
      <c r="M86" s="132">
        <v>0</v>
      </c>
      <c r="N86" s="132">
        <v>1.2815623620917905E+19</v>
      </c>
    </row>
    <row r="87" spans="4:14" ht="15" customHeight="1" x14ac:dyDescent="0.2">
      <c r="D87" s="130" t="b">
        <v>0</v>
      </c>
      <c r="E87" s="124" t="s">
        <v>94</v>
      </c>
      <c r="F87" s="125" t="s">
        <v>94</v>
      </c>
      <c r="G87" s="125">
        <v>2</v>
      </c>
      <c r="H87" s="123">
        <v>2</v>
      </c>
      <c r="I87" s="123" t="s">
        <v>92</v>
      </c>
      <c r="J87" s="123" t="s">
        <v>97</v>
      </c>
      <c r="K87" s="123" t="s">
        <v>93</v>
      </c>
      <c r="L87" s="132">
        <v>7</v>
      </c>
      <c r="M87" s="132">
        <v>0</v>
      </c>
      <c r="N87" s="132">
        <v>3.3923062409321114E+18</v>
      </c>
    </row>
    <row r="88" spans="4:14" ht="15" customHeight="1" x14ac:dyDescent="0.2">
      <c r="D88" s="130" t="b">
        <v>0</v>
      </c>
      <c r="E88" s="124" t="s">
        <v>94</v>
      </c>
      <c r="F88" s="125" t="s">
        <v>94</v>
      </c>
      <c r="G88" s="125">
        <v>2</v>
      </c>
      <c r="H88" s="123">
        <v>2</v>
      </c>
      <c r="I88" s="123" t="s">
        <v>92</v>
      </c>
      <c r="J88" s="123" t="s">
        <v>91</v>
      </c>
      <c r="K88" s="123" t="s">
        <v>93</v>
      </c>
      <c r="L88" s="132">
        <v>8</v>
      </c>
      <c r="M88" s="132">
        <v>0</v>
      </c>
      <c r="N88" s="132">
        <v>1.5902521162847002E+17</v>
      </c>
    </row>
    <row r="89" spans="4:14" ht="15" customHeight="1" x14ac:dyDescent="0.2">
      <c r="D89" s="130" t="b">
        <v>0</v>
      </c>
      <c r="E89" s="124" t="s">
        <v>94</v>
      </c>
      <c r="F89" s="125" t="s">
        <v>94</v>
      </c>
      <c r="G89" s="125">
        <v>2</v>
      </c>
      <c r="H89" s="123">
        <v>4</v>
      </c>
      <c r="I89" s="123" t="s">
        <v>95</v>
      </c>
      <c r="J89" s="123" t="s">
        <v>96</v>
      </c>
      <c r="K89" s="123" t="s">
        <v>93</v>
      </c>
      <c r="L89" s="132">
        <v>9</v>
      </c>
      <c r="M89" s="132">
        <v>0</v>
      </c>
      <c r="N89" s="132">
        <v>7.5549643120105144E+18</v>
      </c>
    </row>
    <row r="90" spans="4:14" ht="15" customHeight="1" x14ac:dyDescent="0.2">
      <c r="D90" s="130" t="b">
        <v>0</v>
      </c>
      <c r="E90" s="124" t="s">
        <v>94</v>
      </c>
      <c r="F90" s="125" t="s">
        <v>94</v>
      </c>
      <c r="G90" s="125">
        <v>2</v>
      </c>
      <c r="H90" s="123">
        <v>4</v>
      </c>
      <c r="I90" s="123" t="s">
        <v>95</v>
      </c>
      <c r="J90" s="123" t="s">
        <v>97</v>
      </c>
      <c r="K90" s="123" t="s">
        <v>93</v>
      </c>
      <c r="L90" s="132">
        <v>10</v>
      </c>
      <c r="M90" s="132">
        <v>0</v>
      </c>
      <c r="N90" s="132">
        <v>3.2550429866194673E+18</v>
      </c>
    </row>
    <row r="91" spans="4:14" ht="15" customHeight="1" x14ac:dyDescent="0.2">
      <c r="D91" s="130" t="b">
        <v>0</v>
      </c>
      <c r="E91" s="124" t="s">
        <v>94</v>
      </c>
      <c r="F91" s="125" t="s">
        <v>94</v>
      </c>
      <c r="G91" s="125">
        <v>2</v>
      </c>
      <c r="H91" s="123">
        <v>4</v>
      </c>
      <c r="I91" s="123" t="s">
        <v>95</v>
      </c>
      <c r="J91" s="123" t="s">
        <v>91</v>
      </c>
      <c r="K91" s="123" t="s">
        <v>93</v>
      </c>
      <c r="L91" s="132">
        <v>11</v>
      </c>
      <c r="M91" s="132">
        <v>0</v>
      </c>
      <c r="N91" s="132">
        <v>4.8500369611998034E+18</v>
      </c>
    </row>
    <row r="92" spans="4:14" ht="15" customHeight="1" x14ac:dyDescent="0.2">
      <c r="D92" s="130" t="b">
        <v>0</v>
      </c>
      <c r="E92" s="124" t="s">
        <v>94</v>
      </c>
      <c r="F92" s="125" t="s">
        <v>94</v>
      </c>
      <c r="G92" s="125">
        <v>2</v>
      </c>
      <c r="H92" s="123">
        <v>4</v>
      </c>
      <c r="I92" s="123" t="s">
        <v>97</v>
      </c>
      <c r="J92" s="123" t="s">
        <v>96</v>
      </c>
      <c r="K92" s="123" t="s">
        <v>93</v>
      </c>
      <c r="L92" s="132">
        <v>12</v>
      </c>
      <c r="M92" s="132">
        <v>0</v>
      </c>
      <c r="N92" s="132">
        <v>9.5881506341029683E+18</v>
      </c>
    </row>
    <row r="93" spans="4:14" ht="15" customHeight="1" x14ac:dyDescent="0.2">
      <c r="D93" s="130" t="b">
        <v>0</v>
      </c>
      <c r="E93" s="124" t="s">
        <v>94</v>
      </c>
      <c r="F93" s="125" t="s">
        <v>94</v>
      </c>
      <c r="G93" s="125">
        <v>2</v>
      </c>
      <c r="H93" s="123">
        <v>4</v>
      </c>
      <c r="I93" s="123" t="s">
        <v>97</v>
      </c>
      <c r="J93" s="123" t="s">
        <v>97</v>
      </c>
      <c r="K93" s="123" t="s">
        <v>93</v>
      </c>
      <c r="L93" s="132">
        <v>13</v>
      </c>
      <c r="M93" s="132">
        <v>0</v>
      </c>
      <c r="N93" s="132">
        <v>6.8095099841719112E+18</v>
      </c>
    </row>
    <row r="94" spans="4:14" ht="15" customHeight="1" x14ac:dyDescent="0.2">
      <c r="D94" s="130" t="b">
        <v>0</v>
      </c>
      <c r="E94" s="124" t="s">
        <v>94</v>
      </c>
      <c r="F94" s="125" t="s">
        <v>94</v>
      </c>
      <c r="G94" s="125">
        <v>2</v>
      </c>
      <c r="H94" s="123">
        <v>4</v>
      </c>
      <c r="I94" s="123" t="s">
        <v>97</v>
      </c>
      <c r="J94" s="123" t="s">
        <v>91</v>
      </c>
      <c r="K94" s="123" t="s">
        <v>93</v>
      </c>
      <c r="L94" s="132">
        <v>14</v>
      </c>
      <c r="M94" s="132">
        <v>0</v>
      </c>
      <c r="N94" s="132">
        <v>3.9888955232039997E+18</v>
      </c>
    </row>
    <row r="95" spans="4:14" ht="15" customHeight="1" x14ac:dyDescent="0.2">
      <c r="D95" s="130" t="b">
        <v>0</v>
      </c>
      <c r="E95" s="124" t="s">
        <v>94</v>
      </c>
      <c r="F95" s="125" t="s">
        <v>94</v>
      </c>
      <c r="G95" s="125">
        <v>2</v>
      </c>
      <c r="H95" s="123">
        <v>4</v>
      </c>
      <c r="I95" s="123" t="s">
        <v>92</v>
      </c>
      <c r="J95" s="123" t="s">
        <v>96</v>
      </c>
      <c r="K95" s="123" t="s">
        <v>93</v>
      </c>
      <c r="L95" s="132">
        <v>15</v>
      </c>
      <c r="M95" s="132">
        <v>0</v>
      </c>
      <c r="N95" s="132">
        <v>3.2696995764500516E+18</v>
      </c>
    </row>
    <row r="96" spans="4:14" ht="15" customHeight="1" x14ac:dyDescent="0.2">
      <c r="D96" s="130" t="b">
        <v>0</v>
      </c>
      <c r="E96" s="124" t="s">
        <v>94</v>
      </c>
      <c r="F96" s="125" t="s">
        <v>94</v>
      </c>
      <c r="G96" s="125">
        <v>2</v>
      </c>
      <c r="H96" s="123">
        <v>4</v>
      </c>
      <c r="I96" s="123" t="s">
        <v>92</v>
      </c>
      <c r="J96" s="123" t="s">
        <v>97</v>
      </c>
      <c r="K96" s="123" t="s">
        <v>93</v>
      </c>
      <c r="L96" s="132">
        <v>16</v>
      </c>
      <c r="M96" s="132">
        <v>0</v>
      </c>
      <c r="N96" s="132">
        <v>8.6276464158559867E+18</v>
      </c>
    </row>
    <row r="97" spans="4:14" ht="15" customHeight="1" x14ac:dyDescent="0.2">
      <c r="D97" s="130" t="b">
        <v>0</v>
      </c>
      <c r="E97" s="124" t="s">
        <v>94</v>
      </c>
      <c r="F97" s="125" t="s">
        <v>94</v>
      </c>
      <c r="G97" s="125">
        <v>2</v>
      </c>
      <c r="H97" s="123">
        <v>4</v>
      </c>
      <c r="I97" s="123" t="s">
        <v>92</v>
      </c>
      <c r="J97" s="123" t="s">
        <v>91</v>
      </c>
      <c r="K97" s="123" t="s">
        <v>93</v>
      </c>
      <c r="L97" s="132">
        <v>17</v>
      </c>
      <c r="M97" s="132">
        <v>0</v>
      </c>
      <c r="N97" s="132">
        <v>1.4491170516863134E+19</v>
      </c>
    </row>
    <row r="98" spans="4:14" ht="15" customHeight="1" x14ac:dyDescent="0.2">
      <c r="D98" s="130" t="b">
        <v>0</v>
      </c>
      <c r="E98" s="124" t="s">
        <v>94</v>
      </c>
      <c r="F98" s="125" t="s">
        <v>94</v>
      </c>
      <c r="G98" s="125">
        <v>2</v>
      </c>
      <c r="H98" s="123" t="s">
        <v>98</v>
      </c>
      <c r="I98" s="123" t="s">
        <v>95</v>
      </c>
      <c r="J98" s="123" t="s">
        <v>96</v>
      </c>
      <c r="K98" s="123" t="s">
        <v>93</v>
      </c>
      <c r="L98" s="132">
        <v>18</v>
      </c>
      <c r="M98" s="132">
        <v>0</v>
      </c>
      <c r="N98" s="132">
        <v>1.7427317518457833E+19</v>
      </c>
    </row>
    <row r="99" spans="4:14" ht="15" customHeight="1" x14ac:dyDescent="0.2">
      <c r="D99" s="130" t="b">
        <v>0</v>
      </c>
      <c r="E99" s="124" t="s">
        <v>94</v>
      </c>
      <c r="F99" s="125" t="s">
        <v>94</v>
      </c>
      <c r="G99" s="125">
        <v>2</v>
      </c>
      <c r="H99" s="123" t="s">
        <v>98</v>
      </c>
      <c r="I99" s="123" t="s">
        <v>95</v>
      </c>
      <c r="J99" s="123" t="s">
        <v>97</v>
      </c>
      <c r="K99" s="123" t="s">
        <v>93</v>
      </c>
      <c r="L99" s="132">
        <v>19</v>
      </c>
      <c r="M99" s="132">
        <v>0</v>
      </c>
      <c r="N99" s="132">
        <v>1.785708336111734E+19</v>
      </c>
    </row>
    <row r="100" spans="4:14" ht="15" customHeight="1" x14ac:dyDescent="0.2">
      <c r="D100" s="130" t="b">
        <v>0</v>
      </c>
      <c r="E100" s="124" t="s">
        <v>94</v>
      </c>
      <c r="F100" s="125" t="s">
        <v>94</v>
      </c>
      <c r="G100" s="125">
        <v>2</v>
      </c>
      <c r="H100" s="123" t="s">
        <v>98</v>
      </c>
      <c r="I100" s="123" t="s">
        <v>95</v>
      </c>
      <c r="J100" s="123" t="s">
        <v>91</v>
      </c>
      <c r="K100" s="123" t="s">
        <v>93</v>
      </c>
      <c r="L100" s="132">
        <v>20</v>
      </c>
      <c r="M100" s="132">
        <v>0</v>
      </c>
      <c r="N100" s="132">
        <v>1.2436039290828583E+19</v>
      </c>
    </row>
    <row r="101" spans="4:14" ht="15" customHeight="1" x14ac:dyDescent="0.2">
      <c r="D101" s="130" t="b">
        <v>0</v>
      </c>
      <c r="E101" s="124" t="s">
        <v>94</v>
      </c>
      <c r="F101" s="125" t="s">
        <v>94</v>
      </c>
      <c r="G101" s="125">
        <v>2</v>
      </c>
      <c r="H101" s="123" t="s">
        <v>98</v>
      </c>
      <c r="I101" s="123" t="s">
        <v>97</v>
      </c>
      <c r="J101" s="123" t="s">
        <v>96</v>
      </c>
      <c r="K101" s="123" t="s">
        <v>93</v>
      </c>
      <c r="L101" s="132">
        <v>21</v>
      </c>
      <c r="M101" s="132">
        <v>0</v>
      </c>
      <c r="N101" s="132">
        <v>8.3241806829933199E+18</v>
      </c>
    </row>
    <row r="102" spans="4:14" ht="15" customHeight="1" x14ac:dyDescent="0.2">
      <c r="D102" s="130" t="b">
        <v>0</v>
      </c>
      <c r="E102" s="124" t="s">
        <v>94</v>
      </c>
      <c r="F102" s="125" t="s">
        <v>94</v>
      </c>
      <c r="G102" s="125">
        <v>2</v>
      </c>
      <c r="H102" s="123" t="s">
        <v>98</v>
      </c>
      <c r="I102" s="123" t="s">
        <v>97</v>
      </c>
      <c r="J102" s="123" t="s">
        <v>97</v>
      </c>
      <c r="K102" s="123" t="s">
        <v>93</v>
      </c>
      <c r="L102" s="132">
        <v>22</v>
      </c>
      <c r="M102" s="132">
        <v>0</v>
      </c>
      <c r="N102" s="132">
        <v>1.5802049012781228E+19</v>
      </c>
    </row>
    <row r="103" spans="4:14" ht="15" customHeight="1" x14ac:dyDescent="0.2">
      <c r="D103" s="130" t="b">
        <v>0</v>
      </c>
      <c r="E103" s="124" t="s">
        <v>94</v>
      </c>
      <c r="F103" s="125" t="s">
        <v>94</v>
      </c>
      <c r="G103" s="125">
        <v>2</v>
      </c>
      <c r="H103" s="123" t="s">
        <v>98</v>
      </c>
      <c r="I103" s="123" t="s">
        <v>97</v>
      </c>
      <c r="J103" s="123" t="s">
        <v>91</v>
      </c>
      <c r="K103" s="123" t="s">
        <v>93</v>
      </c>
      <c r="L103" s="132">
        <v>23</v>
      </c>
      <c r="M103" s="132">
        <v>0</v>
      </c>
      <c r="N103" s="132">
        <v>1.1548498063459676E+19</v>
      </c>
    </row>
    <row r="104" spans="4:14" ht="15" customHeight="1" x14ac:dyDescent="0.2">
      <c r="D104" s="130" t="b">
        <v>0</v>
      </c>
      <c r="E104" s="124" t="s">
        <v>94</v>
      </c>
      <c r="F104" s="125" t="s">
        <v>94</v>
      </c>
      <c r="G104" s="125">
        <v>2</v>
      </c>
      <c r="H104" s="123" t="s">
        <v>98</v>
      </c>
      <c r="I104" s="123" t="s">
        <v>92</v>
      </c>
      <c r="J104" s="123" t="s">
        <v>96</v>
      </c>
      <c r="K104" s="123" t="s">
        <v>93</v>
      </c>
      <c r="L104" s="132">
        <v>24</v>
      </c>
      <c r="M104" s="132">
        <v>0</v>
      </c>
      <c r="N104" s="132">
        <v>1.0216536131571739E+19</v>
      </c>
    </row>
    <row r="105" spans="4:14" ht="15" customHeight="1" x14ac:dyDescent="0.2">
      <c r="D105" s="130" t="b">
        <v>0</v>
      </c>
      <c r="E105" s="124" t="s">
        <v>94</v>
      </c>
      <c r="F105" s="125" t="s">
        <v>94</v>
      </c>
      <c r="G105" s="125">
        <v>2</v>
      </c>
      <c r="H105" s="123" t="s">
        <v>98</v>
      </c>
      <c r="I105" s="123" t="s">
        <v>92</v>
      </c>
      <c r="J105" s="123" t="s">
        <v>97</v>
      </c>
      <c r="K105" s="123" t="s">
        <v>93</v>
      </c>
      <c r="L105" s="132">
        <v>25</v>
      </c>
      <c r="M105" s="132">
        <v>0</v>
      </c>
      <c r="N105" s="132">
        <v>4.9213778311526164E+18</v>
      </c>
    </row>
    <row r="106" spans="4:14" ht="15" customHeight="1" x14ac:dyDescent="0.2">
      <c r="D106" s="130" t="b">
        <v>0</v>
      </c>
      <c r="E106" s="124" t="s">
        <v>94</v>
      </c>
      <c r="F106" s="125" t="s">
        <v>94</v>
      </c>
      <c r="G106" s="125">
        <v>2</v>
      </c>
      <c r="H106" s="123" t="s">
        <v>98</v>
      </c>
      <c r="I106" s="123" t="s">
        <v>92</v>
      </c>
      <c r="J106" s="123" t="s">
        <v>91</v>
      </c>
      <c r="K106" s="123" t="s">
        <v>93</v>
      </c>
      <c r="L106" s="132">
        <v>26</v>
      </c>
      <c r="M106" s="132">
        <v>0</v>
      </c>
      <c r="N106" s="132">
        <v>1.2973075384672858E+18</v>
      </c>
    </row>
    <row r="107" spans="4:14" ht="15" customHeight="1" x14ac:dyDescent="0.2">
      <c r="D107" s="130" t="b">
        <v>0</v>
      </c>
      <c r="E107" s="124" t="s">
        <v>94</v>
      </c>
      <c r="F107" s="125" t="s">
        <v>94</v>
      </c>
      <c r="G107" s="125">
        <v>3</v>
      </c>
      <c r="H107" s="123">
        <v>2</v>
      </c>
      <c r="I107" s="123" t="s">
        <v>95</v>
      </c>
      <c r="J107" s="123" t="s">
        <v>96</v>
      </c>
      <c r="K107" s="123" t="s">
        <v>93</v>
      </c>
      <c r="L107" s="132">
        <v>27</v>
      </c>
      <c r="M107" s="132">
        <v>0</v>
      </c>
      <c r="N107" s="132">
        <v>7.8963551881298524E+18</v>
      </c>
    </row>
    <row r="108" spans="4:14" ht="15" customHeight="1" x14ac:dyDescent="0.2">
      <c r="D108" s="130" t="b">
        <v>0</v>
      </c>
      <c r="E108" s="124" t="s">
        <v>94</v>
      </c>
      <c r="F108" s="125" t="s">
        <v>94</v>
      </c>
      <c r="G108" s="125">
        <v>3</v>
      </c>
      <c r="H108" s="123">
        <v>2</v>
      </c>
      <c r="I108" s="123" t="s">
        <v>95</v>
      </c>
      <c r="J108" s="123" t="s">
        <v>97</v>
      </c>
      <c r="K108" s="123" t="s">
        <v>93</v>
      </c>
      <c r="L108" s="132">
        <v>28</v>
      </c>
      <c r="M108" s="132">
        <v>0</v>
      </c>
      <c r="N108" s="132">
        <v>7.7225716287328317E+18</v>
      </c>
    </row>
    <row r="109" spans="4:14" ht="15" customHeight="1" x14ac:dyDescent="0.2">
      <c r="D109" s="130" t="b">
        <v>0</v>
      </c>
      <c r="E109" s="124" t="s">
        <v>94</v>
      </c>
      <c r="F109" s="125" t="s">
        <v>94</v>
      </c>
      <c r="G109" s="125">
        <v>3</v>
      </c>
      <c r="H109" s="123">
        <v>2</v>
      </c>
      <c r="I109" s="123" t="s">
        <v>95</v>
      </c>
      <c r="J109" s="123" t="s">
        <v>91</v>
      </c>
      <c r="K109" s="123" t="s">
        <v>93</v>
      </c>
      <c r="L109" s="132">
        <v>29</v>
      </c>
      <c r="M109" s="132">
        <v>0</v>
      </c>
      <c r="N109" s="132">
        <v>6.0831655733990543E+18</v>
      </c>
    </row>
    <row r="110" spans="4:14" ht="15" customHeight="1" x14ac:dyDescent="0.2">
      <c r="D110" s="130" t="b">
        <v>0</v>
      </c>
      <c r="E110" s="124" t="s">
        <v>94</v>
      </c>
      <c r="F110" s="125" t="s">
        <v>94</v>
      </c>
      <c r="G110" s="125">
        <v>3</v>
      </c>
      <c r="H110" s="123">
        <v>2</v>
      </c>
      <c r="I110" s="123" t="s">
        <v>97</v>
      </c>
      <c r="J110" s="123" t="s">
        <v>96</v>
      </c>
      <c r="K110" s="123" t="s">
        <v>93</v>
      </c>
      <c r="L110" s="132">
        <v>30</v>
      </c>
      <c r="M110" s="132">
        <v>0</v>
      </c>
      <c r="N110" s="132">
        <v>1.1364710261995336E+19</v>
      </c>
    </row>
    <row r="111" spans="4:14" ht="15" customHeight="1" x14ac:dyDescent="0.2">
      <c r="D111" s="130" t="b">
        <v>0</v>
      </c>
      <c r="E111" s="124" t="s">
        <v>94</v>
      </c>
      <c r="F111" s="125" t="s">
        <v>94</v>
      </c>
      <c r="G111" s="125">
        <v>3</v>
      </c>
      <c r="H111" s="123">
        <v>2</v>
      </c>
      <c r="I111" s="123" t="s">
        <v>97</v>
      </c>
      <c r="J111" s="123" t="s">
        <v>97</v>
      </c>
      <c r="K111" s="123" t="s">
        <v>93</v>
      </c>
      <c r="L111" s="132">
        <v>31</v>
      </c>
      <c r="M111" s="132">
        <v>0</v>
      </c>
      <c r="N111" s="132">
        <v>1.0185531336781183E+19</v>
      </c>
    </row>
    <row r="112" spans="4:14" ht="15" customHeight="1" x14ac:dyDescent="0.2">
      <c r="D112" s="130" t="b">
        <v>0</v>
      </c>
      <c r="E112" s="124" t="s">
        <v>94</v>
      </c>
      <c r="F112" s="125" t="s">
        <v>94</v>
      </c>
      <c r="G112" s="125">
        <v>3</v>
      </c>
      <c r="H112" s="123">
        <v>2</v>
      </c>
      <c r="I112" s="123" t="s">
        <v>97</v>
      </c>
      <c r="J112" s="123" t="s">
        <v>91</v>
      </c>
      <c r="K112" s="123" t="s">
        <v>93</v>
      </c>
      <c r="L112" s="132">
        <v>32</v>
      </c>
      <c r="M112" s="132">
        <v>0</v>
      </c>
      <c r="N112" s="132">
        <v>1.6763010041216227E+19</v>
      </c>
    </row>
    <row r="113" spans="4:14" ht="15" customHeight="1" x14ac:dyDescent="0.2">
      <c r="D113" s="130" t="b">
        <v>0</v>
      </c>
      <c r="E113" s="124" t="s">
        <v>94</v>
      </c>
      <c r="F113" s="125" t="s">
        <v>94</v>
      </c>
      <c r="G113" s="125">
        <v>3</v>
      </c>
      <c r="H113" s="123">
        <v>2</v>
      </c>
      <c r="I113" s="123" t="s">
        <v>92</v>
      </c>
      <c r="J113" s="123" t="s">
        <v>96</v>
      </c>
      <c r="K113" s="123" t="s">
        <v>93</v>
      </c>
      <c r="L113" s="132">
        <v>33</v>
      </c>
      <c r="M113" s="132">
        <v>0</v>
      </c>
      <c r="N113" s="132">
        <v>4.1197245791264589E+18</v>
      </c>
    </row>
    <row r="114" spans="4:14" ht="15" customHeight="1" x14ac:dyDescent="0.2">
      <c r="D114" s="130" t="b">
        <v>0</v>
      </c>
      <c r="E114" s="124" t="s">
        <v>94</v>
      </c>
      <c r="F114" s="125" t="s">
        <v>94</v>
      </c>
      <c r="G114" s="125">
        <v>3</v>
      </c>
      <c r="H114" s="123">
        <v>2</v>
      </c>
      <c r="I114" s="123" t="s">
        <v>92</v>
      </c>
      <c r="J114" s="123" t="s">
        <v>97</v>
      </c>
      <c r="K114" s="123" t="s">
        <v>93</v>
      </c>
      <c r="L114" s="132">
        <v>34</v>
      </c>
      <c r="M114" s="132">
        <v>0</v>
      </c>
      <c r="N114" s="132">
        <v>1.4479132597592881E+19</v>
      </c>
    </row>
    <row r="115" spans="4:14" ht="15" customHeight="1" x14ac:dyDescent="0.2">
      <c r="D115" s="130" t="b">
        <v>0</v>
      </c>
      <c r="E115" s="124" t="s">
        <v>94</v>
      </c>
      <c r="F115" s="125" t="s">
        <v>94</v>
      </c>
      <c r="G115" s="125">
        <v>3</v>
      </c>
      <c r="H115" s="123">
        <v>2</v>
      </c>
      <c r="I115" s="123" t="s">
        <v>92</v>
      </c>
      <c r="J115" s="123" t="s">
        <v>91</v>
      </c>
      <c r="K115" s="123" t="s">
        <v>93</v>
      </c>
      <c r="L115" s="132">
        <v>35</v>
      </c>
      <c r="M115" s="132">
        <v>0</v>
      </c>
      <c r="N115" s="132">
        <v>1.9320816387548508E+18</v>
      </c>
    </row>
    <row r="116" spans="4:14" ht="15" customHeight="1" x14ac:dyDescent="0.2">
      <c r="D116" s="130" t="b">
        <v>0</v>
      </c>
      <c r="E116" s="124" t="s">
        <v>94</v>
      </c>
      <c r="F116" s="125" t="s">
        <v>94</v>
      </c>
      <c r="G116" s="125">
        <v>3</v>
      </c>
      <c r="H116" s="123">
        <v>4</v>
      </c>
      <c r="I116" s="123" t="s">
        <v>95</v>
      </c>
      <c r="J116" s="123" t="s">
        <v>96</v>
      </c>
      <c r="K116" s="123" t="s">
        <v>93</v>
      </c>
      <c r="L116" s="132">
        <v>36</v>
      </c>
      <c r="M116" s="132">
        <v>0</v>
      </c>
      <c r="N116" s="132">
        <v>7.8998029278460129E+18</v>
      </c>
    </row>
    <row r="117" spans="4:14" ht="15" customHeight="1" x14ac:dyDescent="0.2">
      <c r="D117" s="130" t="b">
        <v>0</v>
      </c>
      <c r="E117" s="124" t="s">
        <v>94</v>
      </c>
      <c r="F117" s="125" t="s">
        <v>94</v>
      </c>
      <c r="G117" s="125">
        <v>3</v>
      </c>
      <c r="H117" s="123">
        <v>4</v>
      </c>
      <c r="I117" s="123" t="s">
        <v>95</v>
      </c>
      <c r="J117" s="123" t="s">
        <v>97</v>
      </c>
      <c r="K117" s="123" t="s">
        <v>93</v>
      </c>
      <c r="L117" s="132">
        <v>37</v>
      </c>
      <c r="M117" s="132">
        <v>0</v>
      </c>
      <c r="N117" s="132">
        <v>1.723978447142647E+19</v>
      </c>
    </row>
    <row r="118" spans="4:14" ht="15" customHeight="1" x14ac:dyDescent="0.2">
      <c r="D118" s="130" t="b">
        <v>0</v>
      </c>
      <c r="E118" s="124" t="s">
        <v>94</v>
      </c>
      <c r="F118" s="125" t="s">
        <v>94</v>
      </c>
      <c r="G118" s="125">
        <v>3</v>
      </c>
      <c r="H118" s="123">
        <v>4</v>
      </c>
      <c r="I118" s="123" t="s">
        <v>95</v>
      </c>
      <c r="J118" s="123" t="s">
        <v>91</v>
      </c>
      <c r="K118" s="123" t="s">
        <v>93</v>
      </c>
      <c r="L118" s="132">
        <v>38</v>
      </c>
      <c r="M118" s="132">
        <v>0</v>
      </c>
      <c r="N118" s="132">
        <v>1.1580604770854328E+19</v>
      </c>
    </row>
    <row r="119" spans="4:14" ht="15" customHeight="1" x14ac:dyDescent="0.2">
      <c r="D119" s="130" t="b">
        <v>0</v>
      </c>
      <c r="E119" s="124" t="s">
        <v>94</v>
      </c>
      <c r="F119" s="125" t="s">
        <v>94</v>
      </c>
      <c r="G119" s="125">
        <v>3</v>
      </c>
      <c r="H119" s="123">
        <v>4</v>
      </c>
      <c r="I119" s="123" t="s">
        <v>97</v>
      </c>
      <c r="J119" s="123" t="s">
        <v>96</v>
      </c>
      <c r="K119" s="123" t="s">
        <v>93</v>
      </c>
      <c r="L119" s="132">
        <v>39</v>
      </c>
      <c r="M119" s="132">
        <v>0</v>
      </c>
      <c r="N119" s="132">
        <v>3.5070062262974112E+17</v>
      </c>
    </row>
    <row r="120" spans="4:14" ht="15" customHeight="1" x14ac:dyDescent="0.2">
      <c r="D120" s="130" t="b">
        <v>0</v>
      </c>
      <c r="E120" s="124" t="s">
        <v>94</v>
      </c>
      <c r="F120" s="125" t="s">
        <v>94</v>
      </c>
      <c r="G120" s="125">
        <v>3</v>
      </c>
      <c r="H120" s="123">
        <v>4</v>
      </c>
      <c r="I120" s="123" t="s">
        <v>97</v>
      </c>
      <c r="J120" s="123" t="s">
        <v>97</v>
      </c>
      <c r="K120" s="123" t="s">
        <v>93</v>
      </c>
      <c r="L120" s="132">
        <v>40</v>
      </c>
      <c r="M120" s="132">
        <v>0</v>
      </c>
      <c r="N120" s="132">
        <v>5.9769838426347991E+18</v>
      </c>
    </row>
    <row r="121" spans="4:14" ht="15" customHeight="1" x14ac:dyDescent="0.2">
      <c r="D121" s="130" t="b">
        <v>0</v>
      </c>
      <c r="E121" s="124" t="s">
        <v>94</v>
      </c>
      <c r="F121" s="125" t="s">
        <v>94</v>
      </c>
      <c r="G121" s="125">
        <v>3</v>
      </c>
      <c r="H121" s="123">
        <v>4</v>
      </c>
      <c r="I121" s="123" t="s">
        <v>97</v>
      </c>
      <c r="J121" s="123" t="s">
        <v>91</v>
      </c>
      <c r="K121" s="123" t="s">
        <v>93</v>
      </c>
      <c r="L121" s="132">
        <v>41</v>
      </c>
      <c r="M121" s="132">
        <v>0</v>
      </c>
      <c r="N121" s="132">
        <v>1.4148016285700272E+19</v>
      </c>
    </row>
    <row r="122" spans="4:14" ht="15" customHeight="1" x14ac:dyDescent="0.2">
      <c r="D122" s="130" t="b">
        <v>0</v>
      </c>
      <c r="E122" s="124" t="s">
        <v>94</v>
      </c>
      <c r="F122" s="125" t="s">
        <v>94</v>
      </c>
      <c r="G122" s="125">
        <v>3</v>
      </c>
      <c r="H122" s="123">
        <v>4</v>
      </c>
      <c r="I122" s="123" t="s">
        <v>92</v>
      </c>
      <c r="J122" s="123" t="s">
        <v>96</v>
      </c>
      <c r="K122" s="123" t="s">
        <v>93</v>
      </c>
      <c r="L122" s="132">
        <v>42</v>
      </c>
      <c r="M122" s="132">
        <v>0</v>
      </c>
      <c r="N122" s="132">
        <v>1.3154297598439231E+19</v>
      </c>
    </row>
    <row r="123" spans="4:14" ht="15" customHeight="1" x14ac:dyDescent="0.2">
      <c r="D123" s="130" t="b">
        <v>0</v>
      </c>
      <c r="E123" s="124" t="s">
        <v>94</v>
      </c>
      <c r="F123" s="125" t="s">
        <v>94</v>
      </c>
      <c r="G123" s="125">
        <v>3</v>
      </c>
      <c r="H123" s="123">
        <v>4</v>
      </c>
      <c r="I123" s="123" t="s">
        <v>92</v>
      </c>
      <c r="J123" s="123" t="s">
        <v>97</v>
      </c>
      <c r="K123" s="123" t="s">
        <v>93</v>
      </c>
      <c r="L123" s="132">
        <v>43</v>
      </c>
      <c r="M123" s="132">
        <v>0</v>
      </c>
      <c r="N123" s="132">
        <v>3.2304581756024448E+18</v>
      </c>
    </row>
    <row r="124" spans="4:14" ht="15" customHeight="1" x14ac:dyDescent="0.2">
      <c r="D124" s="130" t="b">
        <v>0</v>
      </c>
      <c r="E124" s="124" t="s">
        <v>94</v>
      </c>
      <c r="F124" s="125" t="s">
        <v>94</v>
      </c>
      <c r="G124" s="125">
        <v>3</v>
      </c>
      <c r="H124" s="123">
        <v>4</v>
      </c>
      <c r="I124" s="123" t="s">
        <v>92</v>
      </c>
      <c r="J124" s="123" t="s">
        <v>91</v>
      </c>
      <c r="K124" s="123" t="s">
        <v>93</v>
      </c>
      <c r="L124" s="132">
        <v>44</v>
      </c>
      <c r="M124" s="132">
        <v>0</v>
      </c>
      <c r="N124" s="132">
        <v>1.7356058806951334E+19</v>
      </c>
    </row>
    <row r="125" spans="4:14" ht="15" customHeight="1" x14ac:dyDescent="0.2">
      <c r="D125" s="130" t="b">
        <v>0</v>
      </c>
      <c r="E125" s="124" t="s">
        <v>94</v>
      </c>
      <c r="F125" s="125" t="s">
        <v>94</v>
      </c>
      <c r="G125" s="125">
        <v>3</v>
      </c>
      <c r="H125" s="123" t="s">
        <v>98</v>
      </c>
      <c r="I125" s="123" t="s">
        <v>95</v>
      </c>
      <c r="J125" s="123" t="s">
        <v>96</v>
      </c>
      <c r="K125" s="123" t="s">
        <v>93</v>
      </c>
      <c r="L125" s="132">
        <v>45</v>
      </c>
      <c r="M125" s="132">
        <v>0</v>
      </c>
      <c r="N125" s="132">
        <v>1.1641930788898595E+19</v>
      </c>
    </row>
    <row r="126" spans="4:14" ht="15" customHeight="1" x14ac:dyDescent="0.2">
      <c r="D126" s="130" t="b">
        <v>0</v>
      </c>
      <c r="E126" s="124" t="s">
        <v>94</v>
      </c>
      <c r="F126" s="125" t="s">
        <v>94</v>
      </c>
      <c r="G126" s="125">
        <v>3</v>
      </c>
      <c r="H126" s="123" t="s">
        <v>98</v>
      </c>
      <c r="I126" s="123" t="s">
        <v>95</v>
      </c>
      <c r="J126" s="123" t="s">
        <v>97</v>
      </c>
      <c r="K126" s="123" t="s">
        <v>93</v>
      </c>
      <c r="L126" s="132">
        <v>46</v>
      </c>
      <c r="M126" s="132">
        <v>0</v>
      </c>
      <c r="N126" s="132">
        <v>7.5094397684830751E+18</v>
      </c>
    </row>
    <row r="127" spans="4:14" ht="15" customHeight="1" x14ac:dyDescent="0.2">
      <c r="D127" s="130" t="b">
        <v>0</v>
      </c>
      <c r="E127" s="124" t="s">
        <v>94</v>
      </c>
      <c r="F127" s="125" t="s">
        <v>94</v>
      </c>
      <c r="G127" s="125">
        <v>3</v>
      </c>
      <c r="H127" s="123" t="s">
        <v>98</v>
      </c>
      <c r="I127" s="123" t="s">
        <v>95</v>
      </c>
      <c r="J127" s="123" t="s">
        <v>91</v>
      </c>
      <c r="K127" s="123" t="s">
        <v>93</v>
      </c>
      <c r="L127" s="132">
        <v>47</v>
      </c>
      <c r="M127" s="132">
        <v>0</v>
      </c>
      <c r="N127" s="132">
        <v>2.8153615860931441E+18</v>
      </c>
    </row>
    <row r="128" spans="4:14" ht="15" customHeight="1" x14ac:dyDescent="0.2">
      <c r="D128" s="130" t="b">
        <v>0</v>
      </c>
      <c r="E128" s="124" t="s">
        <v>94</v>
      </c>
      <c r="F128" s="125" t="s">
        <v>94</v>
      </c>
      <c r="G128" s="125">
        <v>3</v>
      </c>
      <c r="H128" s="123" t="s">
        <v>98</v>
      </c>
      <c r="I128" s="123" t="s">
        <v>97</v>
      </c>
      <c r="J128" s="123" t="s">
        <v>96</v>
      </c>
      <c r="K128" s="123" t="s">
        <v>93</v>
      </c>
      <c r="L128" s="132">
        <v>48</v>
      </c>
      <c r="M128" s="132">
        <v>0</v>
      </c>
      <c r="N128" s="132">
        <v>8.7257567148405852E+18</v>
      </c>
    </row>
    <row r="129" spans="4:14" ht="15" customHeight="1" x14ac:dyDescent="0.2">
      <c r="D129" s="130" t="b">
        <v>0</v>
      </c>
      <c r="E129" s="124" t="s">
        <v>94</v>
      </c>
      <c r="F129" s="125" t="s">
        <v>94</v>
      </c>
      <c r="G129" s="125">
        <v>3</v>
      </c>
      <c r="H129" s="123" t="s">
        <v>98</v>
      </c>
      <c r="I129" s="123" t="s">
        <v>97</v>
      </c>
      <c r="J129" s="123" t="s">
        <v>97</v>
      </c>
      <c r="K129" s="123" t="s">
        <v>93</v>
      </c>
      <c r="L129" s="132">
        <v>49</v>
      </c>
      <c r="M129" s="132">
        <v>0</v>
      </c>
      <c r="N129" s="132">
        <v>8.6977580509942374E+17</v>
      </c>
    </row>
    <row r="130" spans="4:14" ht="15" customHeight="1" x14ac:dyDescent="0.2">
      <c r="D130" s="130" t="b">
        <v>0</v>
      </c>
      <c r="E130" s="124" t="s">
        <v>94</v>
      </c>
      <c r="F130" s="125" t="s">
        <v>94</v>
      </c>
      <c r="G130" s="125">
        <v>3</v>
      </c>
      <c r="H130" s="123" t="s">
        <v>98</v>
      </c>
      <c r="I130" s="123" t="s">
        <v>97</v>
      </c>
      <c r="J130" s="123" t="s">
        <v>91</v>
      </c>
      <c r="K130" s="123" t="s">
        <v>93</v>
      </c>
      <c r="L130" s="132">
        <v>50</v>
      </c>
      <c r="M130" s="132">
        <v>0</v>
      </c>
      <c r="N130" s="132">
        <v>1.2072621811743295E+19</v>
      </c>
    </row>
    <row r="131" spans="4:14" ht="15" customHeight="1" x14ac:dyDescent="0.2">
      <c r="D131" s="130" t="b">
        <v>0</v>
      </c>
      <c r="E131" s="124" t="s">
        <v>94</v>
      </c>
      <c r="F131" s="125" t="s">
        <v>94</v>
      </c>
      <c r="G131" s="125">
        <v>3</v>
      </c>
      <c r="H131" s="123" t="s">
        <v>98</v>
      </c>
      <c r="I131" s="123" t="s">
        <v>92</v>
      </c>
      <c r="J131" s="123" t="s">
        <v>96</v>
      </c>
      <c r="K131" s="123" t="s">
        <v>93</v>
      </c>
      <c r="L131" s="132">
        <v>51</v>
      </c>
      <c r="M131" s="132">
        <v>0</v>
      </c>
      <c r="N131" s="132">
        <v>1.2553536168064862E+19</v>
      </c>
    </row>
    <row r="132" spans="4:14" ht="15" customHeight="1" x14ac:dyDescent="0.2">
      <c r="D132" s="130" t="b">
        <v>0</v>
      </c>
      <c r="E132" s="124" t="s">
        <v>94</v>
      </c>
      <c r="F132" s="125" t="s">
        <v>94</v>
      </c>
      <c r="G132" s="125">
        <v>3</v>
      </c>
      <c r="H132" s="123" t="s">
        <v>98</v>
      </c>
      <c r="I132" s="123" t="s">
        <v>92</v>
      </c>
      <c r="J132" s="123" t="s">
        <v>97</v>
      </c>
      <c r="K132" s="123" t="s">
        <v>93</v>
      </c>
      <c r="L132" s="132">
        <v>52</v>
      </c>
      <c r="M132" s="132">
        <v>0</v>
      </c>
      <c r="N132" s="132">
        <v>2.0942308618225149E+18</v>
      </c>
    </row>
    <row r="133" spans="4:14" ht="15" customHeight="1" x14ac:dyDescent="0.2">
      <c r="D133" s="130" t="b">
        <v>0</v>
      </c>
      <c r="E133" s="124" t="s">
        <v>94</v>
      </c>
      <c r="F133" s="125" t="s">
        <v>94</v>
      </c>
      <c r="G133" s="125">
        <v>3</v>
      </c>
      <c r="H133" s="123" t="s">
        <v>98</v>
      </c>
      <c r="I133" s="123" t="s">
        <v>92</v>
      </c>
      <c r="J133" s="123" t="s">
        <v>91</v>
      </c>
      <c r="K133" s="123" t="s">
        <v>93</v>
      </c>
      <c r="L133" s="132">
        <v>53</v>
      </c>
      <c r="M133" s="132">
        <v>0</v>
      </c>
      <c r="N133" s="132">
        <v>1.5204856243555451E+19</v>
      </c>
    </row>
    <row r="134" spans="4:14" ht="15" customHeight="1" x14ac:dyDescent="0.2">
      <c r="D134" s="130" t="b">
        <v>0</v>
      </c>
      <c r="E134" s="124" t="s">
        <v>94</v>
      </c>
      <c r="F134" s="125" t="s">
        <v>94</v>
      </c>
      <c r="G134" s="125">
        <v>4</v>
      </c>
      <c r="H134" s="123">
        <v>2</v>
      </c>
      <c r="I134" s="123" t="s">
        <v>95</v>
      </c>
      <c r="J134" s="123" t="s">
        <v>96</v>
      </c>
      <c r="K134" s="123" t="s">
        <v>93</v>
      </c>
      <c r="L134" s="132">
        <v>54</v>
      </c>
      <c r="M134" s="132">
        <v>0</v>
      </c>
      <c r="N134" s="132">
        <v>1.0771643108687895E+19</v>
      </c>
    </row>
    <row r="135" spans="4:14" ht="15" customHeight="1" x14ac:dyDescent="0.2">
      <c r="D135" s="130" t="b">
        <v>0</v>
      </c>
      <c r="E135" s="124" t="s">
        <v>94</v>
      </c>
      <c r="F135" s="125" t="s">
        <v>94</v>
      </c>
      <c r="G135" s="125">
        <v>4</v>
      </c>
      <c r="H135" s="123">
        <v>2</v>
      </c>
      <c r="I135" s="123" t="s">
        <v>95</v>
      </c>
      <c r="J135" s="123" t="s">
        <v>97</v>
      </c>
      <c r="K135" s="123" t="s">
        <v>93</v>
      </c>
      <c r="L135" s="132">
        <v>55</v>
      </c>
      <c r="M135" s="132">
        <v>0</v>
      </c>
      <c r="N135" s="132">
        <v>5.9279934054682388E+18</v>
      </c>
    </row>
    <row r="136" spans="4:14" ht="15" customHeight="1" x14ac:dyDescent="0.2">
      <c r="D136" s="130" t="b">
        <v>0</v>
      </c>
      <c r="E136" s="124" t="s">
        <v>94</v>
      </c>
      <c r="F136" s="125" t="s">
        <v>94</v>
      </c>
      <c r="G136" s="125">
        <v>4</v>
      </c>
      <c r="H136" s="123">
        <v>2</v>
      </c>
      <c r="I136" s="123" t="s">
        <v>95</v>
      </c>
      <c r="J136" s="123" t="s">
        <v>91</v>
      </c>
      <c r="K136" s="123" t="s">
        <v>93</v>
      </c>
      <c r="L136" s="132">
        <v>56</v>
      </c>
      <c r="M136" s="132">
        <v>0</v>
      </c>
      <c r="N136" s="132">
        <v>1.5580807802804683E+19</v>
      </c>
    </row>
    <row r="137" spans="4:14" ht="15" customHeight="1" x14ac:dyDescent="0.2">
      <c r="D137" s="130" t="b">
        <v>0</v>
      </c>
      <c r="E137" s="124" t="s">
        <v>94</v>
      </c>
      <c r="F137" s="125" t="s">
        <v>94</v>
      </c>
      <c r="G137" s="125">
        <v>4</v>
      </c>
      <c r="H137" s="123">
        <v>2</v>
      </c>
      <c r="I137" s="123" t="s">
        <v>97</v>
      </c>
      <c r="J137" s="123" t="s">
        <v>96</v>
      </c>
      <c r="K137" s="123" t="s">
        <v>93</v>
      </c>
      <c r="L137" s="132">
        <v>57</v>
      </c>
      <c r="M137" s="132">
        <v>0</v>
      </c>
      <c r="N137" s="132">
        <v>1.360195190645873E+19</v>
      </c>
    </row>
    <row r="138" spans="4:14" ht="15" customHeight="1" x14ac:dyDescent="0.2">
      <c r="D138" s="130" t="b">
        <v>0</v>
      </c>
      <c r="E138" s="124" t="s">
        <v>94</v>
      </c>
      <c r="F138" s="125" t="s">
        <v>94</v>
      </c>
      <c r="G138" s="125">
        <v>4</v>
      </c>
      <c r="H138" s="123">
        <v>2</v>
      </c>
      <c r="I138" s="123" t="s">
        <v>97</v>
      </c>
      <c r="J138" s="123" t="s">
        <v>97</v>
      </c>
      <c r="K138" s="123" t="s">
        <v>93</v>
      </c>
      <c r="L138" s="132">
        <v>58</v>
      </c>
      <c r="M138" s="132">
        <v>0</v>
      </c>
      <c r="N138" s="132">
        <v>4.8503701456618056E+18</v>
      </c>
    </row>
    <row r="139" spans="4:14" ht="15" customHeight="1" x14ac:dyDescent="0.2">
      <c r="D139" s="130" t="b">
        <v>0</v>
      </c>
      <c r="E139" s="124" t="s">
        <v>94</v>
      </c>
      <c r="F139" s="125" t="s">
        <v>94</v>
      </c>
      <c r="G139" s="125">
        <v>4</v>
      </c>
      <c r="H139" s="123">
        <v>2</v>
      </c>
      <c r="I139" s="123" t="s">
        <v>97</v>
      </c>
      <c r="J139" s="123" t="s">
        <v>91</v>
      </c>
      <c r="K139" s="123" t="s">
        <v>93</v>
      </c>
      <c r="L139" s="132">
        <v>59</v>
      </c>
      <c r="M139" s="132">
        <v>0</v>
      </c>
      <c r="N139" s="132">
        <v>1.82303046922037E+19</v>
      </c>
    </row>
    <row r="140" spans="4:14" ht="15" customHeight="1" x14ac:dyDescent="0.2">
      <c r="D140" s="130" t="b">
        <v>0</v>
      </c>
      <c r="E140" s="124" t="s">
        <v>94</v>
      </c>
      <c r="F140" s="125" t="s">
        <v>94</v>
      </c>
      <c r="G140" s="125">
        <v>4</v>
      </c>
      <c r="H140" s="123">
        <v>2</v>
      </c>
      <c r="I140" s="123" t="s">
        <v>92</v>
      </c>
      <c r="J140" s="123" t="s">
        <v>96</v>
      </c>
      <c r="K140" s="123" t="s">
        <v>93</v>
      </c>
      <c r="L140" s="132">
        <v>60</v>
      </c>
      <c r="M140" s="132">
        <v>0</v>
      </c>
      <c r="N140" s="132">
        <v>1.340400365314047E+19</v>
      </c>
    </row>
    <row r="141" spans="4:14" ht="15" customHeight="1" x14ac:dyDescent="0.2">
      <c r="D141" s="130" t="b">
        <v>0</v>
      </c>
      <c r="E141" s="124" t="s">
        <v>94</v>
      </c>
      <c r="F141" s="125" t="s">
        <v>94</v>
      </c>
      <c r="G141" s="125">
        <v>4</v>
      </c>
      <c r="H141" s="123">
        <v>2</v>
      </c>
      <c r="I141" s="123" t="s">
        <v>92</v>
      </c>
      <c r="J141" s="123" t="s">
        <v>97</v>
      </c>
      <c r="K141" s="123" t="s">
        <v>93</v>
      </c>
      <c r="L141" s="132">
        <v>61</v>
      </c>
      <c r="M141" s="132">
        <v>0</v>
      </c>
      <c r="N141" s="132">
        <v>1.7473420154919588E+19</v>
      </c>
    </row>
    <row r="142" spans="4:14" ht="15" customHeight="1" x14ac:dyDescent="0.2">
      <c r="D142" s="130" t="b">
        <v>0</v>
      </c>
      <c r="E142" s="124" t="s">
        <v>94</v>
      </c>
      <c r="F142" s="125" t="s">
        <v>94</v>
      </c>
      <c r="G142" s="125">
        <v>4</v>
      </c>
      <c r="H142" s="123">
        <v>2</v>
      </c>
      <c r="I142" s="123" t="s">
        <v>92</v>
      </c>
      <c r="J142" s="123" t="s">
        <v>91</v>
      </c>
      <c r="K142" s="123" t="s">
        <v>93</v>
      </c>
      <c r="L142" s="132">
        <v>62</v>
      </c>
      <c r="M142" s="132">
        <v>0</v>
      </c>
      <c r="N142" s="132">
        <v>2.5244207965047818E+18</v>
      </c>
    </row>
    <row r="143" spans="4:14" ht="15" customHeight="1" x14ac:dyDescent="0.2">
      <c r="D143" s="130" t="b">
        <v>0</v>
      </c>
      <c r="E143" s="124" t="s">
        <v>94</v>
      </c>
      <c r="F143" s="125" t="s">
        <v>94</v>
      </c>
      <c r="G143" s="125">
        <v>4</v>
      </c>
      <c r="H143" s="123">
        <v>4</v>
      </c>
      <c r="I143" s="123" t="s">
        <v>95</v>
      </c>
      <c r="J143" s="123" t="s">
        <v>96</v>
      </c>
      <c r="K143" s="123" t="s">
        <v>93</v>
      </c>
      <c r="L143" s="132">
        <v>63</v>
      </c>
      <c r="M143" s="132">
        <v>0</v>
      </c>
      <c r="N143" s="132">
        <v>9.4925760492338053E+18</v>
      </c>
    </row>
    <row r="144" spans="4:14" ht="15" customHeight="1" x14ac:dyDescent="0.2">
      <c r="D144" s="130" t="b">
        <v>0</v>
      </c>
      <c r="E144" s="124" t="s">
        <v>94</v>
      </c>
      <c r="F144" s="125" t="s">
        <v>94</v>
      </c>
      <c r="G144" s="125">
        <v>4</v>
      </c>
      <c r="H144" s="123">
        <v>4</v>
      </c>
      <c r="I144" s="123" t="s">
        <v>95</v>
      </c>
      <c r="J144" s="123" t="s">
        <v>97</v>
      </c>
      <c r="K144" s="123" t="s">
        <v>93</v>
      </c>
      <c r="L144" s="132">
        <v>64</v>
      </c>
      <c r="M144" s="132">
        <v>0</v>
      </c>
      <c r="N144" s="132">
        <v>1.7086489630791205E+19</v>
      </c>
    </row>
    <row r="145" spans="4:14" ht="15" customHeight="1" x14ac:dyDescent="0.2">
      <c r="D145" s="130" t="b">
        <v>0</v>
      </c>
      <c r="E145" s="124" t="s">
        <v>94</v>
      </c>
      <c r="F145" s="125" t="s">
        <v>94</v>
      </c>
      <c r="G145" s="125">
        <v>4</v>
      </c>
      <c r="H145" s="123">
        <v>4</v>
      </c>
      <c r="I145" s="123" t="s">
        <v>95</v>
      </c>
      <c r="J145" s="123" t="s">
        <v>91</v>
      </c>
      <c r="K145" s="123" t="s">
        <v>93</v>
      </c>
      <c r="L145" s="132">
        <v>65</v>
      </c>
      <c r="M145" s="132">
        <v>0</v>
      </c>
      <c r="N145" s="132">
        <v>3.9382553435116339E+18</v>
      </c>
    </row>
    <row r="146" spans="4:14" ht="15" customHeight="1" x14ac:dyDescent="0.2">
      <c r="D146" s="130" t="b">
        <v>0</v>
      </c>
      <c r="E146" s="124" t="s">
        <v>94</v>
      </c>
      <c r="F146" s="125" t="s">
        <v>94</v>
      </c>
      <c r="G146" s="125">
        <v>4</v>
      </c>
      <c r="H146" s="123">
        <v>4</v>
      </c>
      <c r="I146" s="123" t="s">
        <v>97</v>
      </c>
      <c r="J146" s="123" t="s">
        <v>96</v>
      </c>
      <c r="K146" s="123" t="s">
        <v>93</v>
      </c>
      <c r="L146" s="132">
        <v>66</v>
      </c>
      <c r="M146" s="132">
        <v>0</v>
      </c>
      <c r="N146" s="132">
        <v>1.8286215098922265E+19</v>
      </c>
    </row>
    <row r="147" spans="4:14" ht="15" customHeight="1" x14ac:dyDescent="0.2">
      <c r="D147" s="130" t="b">
        <v>0</v>
      </c>
      <c r="E147" s="124" t="s">
        <v>94</v>
      </c>
      <c r="F147" s="125" t="s">
        <v>94</v>
      </c>
      <c r="G147" s="125">
        <v>4</v>
      </c>
      <c r="H147" s="123">
        <v>4</v>
      </c>
      <c r="I147" s="123" t="s">
        <v>97</v>
      </c>
      <c r="J147" s="123" t="s">
        <v>97</v>
      </c>
      <c r="K147" s="123" t="s">
        <v>93</v>
      </c>
      <c r="L147" s="132">
        <v>67</v>
      </c>
      <c r="M147" s="132">
        <v>0</v>
      </c>
      <c r="N147" s="132">
        <v>7.639309744201557E+18</v>
      </c>
    </row>
    <row r="148" spans="4:14" ht="15" customHeight="1" x14ac:dyDescent="0.2">
      <c r="D148" s="130" t="b">
        <v>0</v>
      </c>
      <c r="E148" s="124" t="s">
        <v>94</v>
      </c>
      <c r="F148" s="125" t="s">
        <v>94</v>
      </c>
      <c r="G148" s="125">
        <v>4</v>
      </c>
      <c r="H148" s="123">
        <v>4</v>
      </c>
      <c r="I148" s="123" t="s">
        <v>97</v>
      </c>
      <c r="J148" s="123" t="s">
        <v>91</v>
      </c>
      <c r="K148" s="123" t="s">
        <v>93</v>
      </c>
      <c r="L148" s="132">
        <v>68</v>
      </c>
      <c r="M148" s="132">
        <v>0</v>
      </c>
      <c r="N148" s="132">
        <v>9.1127329450100183E+18</v>
      </c>
    </row>
    <row r="149" spans="4:14" ht="15" customHeight="1" x14ac:dyDescent="0.2">
      <c r="D149" s="130" t="b">
        <v>0</v>
      </c>
      <c r="E149" s="124" t="s">
        <v>94</v>
      </c>
      <c r="F149" s="125" t="s">
        <v>94</v>
      </c>
      <c r="G149" s="125">
        <v>4</v>
      </c>
      <c r="H149" s="123">
        <v>4</v>
      </c>
      <c r="I149" s="123" t="s">
        <v>92</v>
      </c>
      <c r="J149" s="123" t="s">
        <v>96</v>
      </c>
      <c r="K149" s="123" t="s">
        <v>93</v>
      </c>
      <c r="L149" s="132">
        <v>69</v>
      </c>
      <c r="M149" s="132">
        <v>0</v>
      </c>
      <c r="N149" s="132">
        <v>1.2028591277770664E+19</v>
      </c>
    </row>
    <row r="150" spans="4:14" ht="15" customHeight="1" x14ac:dyDescent="0.2">
      <c r="D150" s="130" t="b">
        <v>0</v>
      </c>
      <c r="E150" s="124" t="s">
        <v>94</v>
      </c>
      <c r="F150" s="125" t="s">
        <v>94</v>
      </c>
      <c r="G150" s="125">
        <v>4</v>
      </c>
      <c r="H150" s="123">
        <v>4</v>
      </c>
      <c r="I150" s="123" t="s">
        <v>92</v>
      </c>
      <c r="J150" s="123" t="s">
        <v>97</v>
      </c>
      <c r="K150" s="123" t="s">
        <v>93</v>
      </c>
      <c r="L150" s="132">
        <v>70</v>
      </c>
      <c r="M150" s="132">
        <v>0</v>
      </c>
      <c r="N150" s="132">
        <v>9.1970131364233636E+18</v>
      </c>
    </row>
    <row r="151" spans="4:14" ht="15" customHeight="1" x14ac:dyDescent="0.2">
      <c r="D151" s="130" t="b">
        <v>0</v>
      </c>
      <c r="E151" s="124" t="s">
        <v>94</v>
      </c>
      <c r="F151" s="125" t="s">
        <v>94</v>
      </c>
      <c r="G151" s="125">
        <v>4</v>
      </c>
      <c r="H151" s="123">
        <v>4</v>
      </c>
      <c r="I151" s="123" t="s">
        <v>92</v>
      </c>
      <c r="J151" s="123" t="s">
        <v>91</v>
      </c>
      <c r="K151" s="123" t="s">
        <v>93</v>
      </c>
      <c r="L151" s="132">
        <v>71</v>
      </c>
      <c r="M151" s="132">
        <v>0</v>
      </c>
      <c r="N151" s="132">
        <v>1.4798970437690513E+19</v>
      </c>
    </row>
    <row r="152" spans="4:14" ht="15" customHeight="1" x14ac:dyDescent="0.2">
      <c r="D152" s="130" t="b">
        <v>0</v>
      </c>
      <c r="E152" s="124" t="s">
        <v>94</v>
      </c>
      <c r="F152" s="125" t="s">
        <v>94</v>
      </c>
      <c r="G152" s="125">
        <v>4</v>
      </c>
      <c r="H152" s="123" t="s">
        <v>98</v>
      </c>
      <c r="I152" s="123" t="s">
        <v>95</v>
      </c>
      <c r="J152" s="123" t="s">
        <v>96</v>
      </c>
      <c r="K152" s="123" t="s">
        <v>93</v>
      </c>
      <c r="L152" s="132">
        <v>72</v>
      </c>
      <c r="M152" s="132">
        <v>0</v>
      </c>
      <c r="N152" s="132">
        <v>1.2595202493185991E+19</v>
      </c>
    </row>
    <row r="153" spans="4:14" ht="15" customHeight="1" x14ac:dyDescent="0.2">
      <c r="D153" s="130" t="b">
        <v>0</v>
      </c>
      <c r="E153" s="124" t="s">
        <v>94</v>
      </c>
      <c r="F153" s="125" t="s">
        <v>94</v>
      </c>
      <c r="G153" s="125">
        <v>4</v>
      </c>
      <c r="H153" s="123" t="s">
        <v>98</v>
      </c>
      <c r="I153" s="123" t="s">
        <v>95</v>
      </c>
      <c r="J153" s="123" t="s">
        <v>97</v>
      </c>
      <c r="K153" s="123" t="s">
        <v>93</v>
      </c>
      <c r="L153" s="132">
        <v>73</v>
      </c>
      <c r="M153" s="132">
        <v>0</v>
      </c>
      <c r="N153" s="132">
        <v>1.5020006897712523E+19</v>
      </c>
    </row>
    <row r="154" spans="4:14" ht="15" customHeight="1" x14ac:dyDescent="0.2">
      <c r="D154" s="130" t="b">
        <v>0</v>
      </c>
      <c r="E154" s="124" t="s">
        <v>94</v>
      </c>
      <c r="F154" s="125" t="s">
        <v>94</v>
      </c>
      <c r="G154" s="125">
        <v>4</v>
      </c>
      <c r="H154" s="123" t="s">
        <v>98</v>
      </c>
      <c r="I154" s="123" t="s">
        <v>95</v>
      </c>
      <c r="J154" s="123" t="s">
        <v>91</v>
      </c>
      <c r="K154" s="123" t="s">
        <v>93</v>
      </c>
      <c r="L154" s="132">
        <v>74</v>
      </c>
      <c r="M154" s="132">
        <v>0</v>
      </c>
      <c r="N154" s="132">
        <v>1.9865934501274601E+18</v>
      </c>
    </row>
    <row r="155" spans="4:14" ht="15" customHeight="1" x14ac:dyDescent="0.2">
      <c r="D155" s="130" t="b">
        <v>0</v>
      </c>
      <c r="E155" s="124" t="s">
        <v>94</v>
      </c>
      <c r="F155" s="125" t="s">
        <v>94</v>
      </c>
      <c r="G155" s="125">
        <v>4</v>
      </c>
      <c r="H155" s="123" t="s">
        <v>98</v>
      </c>
      <c r="I155" s="123" t="s">
        <v>97</v>
      </c>
      <c r="J155" s="123" t="s">
        <v>96</v>
      </c>
      <c r="K155" s="123" t="s">
        <v>93</v>
      </c>
      <c r="L155" s="132">
        <v>75</v>
      </c>
      <c r="M155" s="132">
        <v>0</v>
      </c>
      <c r="N155" s="132">
        <v>7.7355484601243863E+18</v>
      </c>
    </row>
    <row r="156" spans="4:14" ht="15" customHeight="1" x14ac:dyDescent="0.2">
      <c r="D156" s="130" t="b">
        <v>0</v>
      </c>
      <c r="E156" s="124" t="s">
        <v>94</v>
      </c>
      <c r="F156" s="125" t="s">
        <v>94</v>
      </c>
      <c r="G156" s="125">
        <v>4</v>
      </c>
      <c r="H156" s="123" t="s">
        <v>98</v>
      </c>
      <c r="I156" s="123" t="s">
        <v>97</v>
      </c>
      <c r="J156" s="123" t="s">
        <v>97</v>
      </c>
      <c r="K156" s="123" t="s">
        <v>93</v>
      </c>
      <c r="L156" s="132">
        <v>76</v>
      </c>
      <c r="M156" s="132">
        <v>0</v>
      </c>
      <c r="N156" s="132">
        <v>6.730395491488939E+18</v>
      </c>
    </row>
    <row r="157" spans="4:14" ht="15" customHeight="1" x14ac:dyDescent="0.2">
      <c r="D157" s="130" t="b">
        <v>0</v>
      </c>
      <c r="E157" s="124" t="s">
        <v>94</v>
      </c>
      <c r="F157" s="125" t="s">
        <v>94</v>
      </c>
      <c r="G157" s="125">
        <v>4</v>
      </c>
      <c r="H157" s="123" t="s">
        <v>98</v>
      </c>
      <c r="I157" s="123" t="s">
        <v>97</v>
      </c>
      <c r="J157" s="123" t="s">
        <v>91</v>
      </c>
      <c r="K157" s="123" t="s">
        <v>93</v>
      </c>
      <c r="L157" s="132">
        <v>77</v>
      </c>
      <c r="M157" s="132">
        <v>0</v>
      </c>
      <c r="N157" s="132">
        <v>1.4366726243761304E+19</v>
      </c>
    </row>
    <row r="158" spans="4:14" ht="15" customHeight="1" x14ac:dyDescent="0.2">
      <c r="D158" s="130" t="b">
        <v>0</v>
      </c>
      <c r="E158" s="124" t="s">
        <v>94</v>
      </c>
      <c r="F158" s="125" t="s">
        <v>94</v>
      </c>
      <c r="G158" s="125">
        <v>4</v>
      </c>
      <c r="H158" s="123" t="s">
        <v>98</v>
      </c>
      <c r="I158" s="123" t="s">
        <v>92</v>
      </c>
      <c r="J158" s="123" t="s">
        <v>96</v>
      </c>
      <c r="K158" s="123" t="s">
        <v>93</v>
      </c>
      <c r="L158" s="132">
        <v>78</v>
      </c>
      <c r="M158" s="132">
        <v>0</v>
      </c>
      <c r="N158" s="132">
        <v>1.4341548597799565E+19</v>
      </c>
    </row>
    <row r="159" spans="4:14" ht="15" customHeight="1" x14ac:dyDescent="0.2">
      <c r="D159" s="130" t="b">
        <v>0</v>
      </c>
      <c r="E159" s="124" t="s">
        <v>94</v>
      </c>
      <c r="F159" s="125" t="s">
        <v>94</v>
      </c>
      <c r="G159" s="125">
        <v>4</v>
      </c>
      <c r="H159" s="123" t="s">
        <v>98</v>
      </c>
      <c r="I159" s="123" t="s">
        <v>92</v>
      </c>
      <c r="J159" s="123" t="s">
        <v>97</v>
      </c>
      <c r="K159" s="123" t="s">
        <v>93</v>
      </c>
      <c r="L159" s="132">
        <v>79</v>
      </c>
      <c r="M159" s="132">
        <v>0</v>
      </c>
      <c r="N159" s="132">
        <v>2.6196053641951764E+16</v>
      </c>
    </row>
    <row r="160" spans="4:14" ht="15" customHeight="1" x14ac:dyDescent="0.2">
      <c r="D160" s="130" t="b">
        <v>0</v>
      </c>
      <c r="E160" s="124" t="s">
        <v>94</v>
      </c>
      <c r="F160" s="125" t="s">
        <v>94</v>
      </c>
      <c r="G160" s="125">
        <v>4</v>
      </c>
      <c r="H160" s="123" t="s">
        <v>98</v>
      </c>
      <c r="I160" s="123" t="s">
        <v>92</v>
      </c>
      <c r="J160" s="123" t="s">
        <v>91</v>
      </c>
      <c r="K160" s="123" t="s">
        <v>93</v>
      </c>
      <c r="L160" s="132">
        <v>80</v>
      </c>
      <c r="M160" s="132">
        <v>0</v>
      </c>
      <c r="N160" s="132">
        <v>2.9910476284391209E+18</v>
      </c>
    </row>
    <row r="161" spans="4:14" ht="15" customHeight="1" x14ac:dyDescent="0.2">
      <c r="D161" s="130" t="b">
        <v>0</v>
      </c>
      <c r="E161" s="124" t="s">
        <v>94</v>
      </c>
      <c r="F161" s="125" t="s">
        <v>94</v>
      </c>
      <c r="G161" s="125" t="s">
        <v>99</v>
      </c>
      <c r="H161" s="123">
        <v>2</v>
      </c>
      <c r="I161" s="123" t="s">
        <v>95</v>
      </c>
      <c r="J161" s="123" t="s">
        <v>96</v>
      </c>
      <c r="K161" s="123" t="s">
        <v>93</v>
      </c>
      <c r="L161" s="132">
        <v>81</v>
      </c>
      <c r="M161" s="132">
        <v>0</v>
      </c>
      <c r="N161" s="132">
        <v>8.8607404838522143E+18</v>
      </c>
    </row>
    <row r="162" spans="4:14" ht="15" customHeight="1" x14ac:dyDescent="0.2">
      <c r="D162" s="130" t="b">
        <v>0</v>
      </c>
      <c r="E162" s="124" t="s">
        <v>94</v>
      </c>
      <c r="F162" s="125" t="s">
        <v>94</v>
      </c>
      <c r="G162" s="125" t="s">
        <v>99</v>
      </c>
      <c r="H162" s="123">
        <v>2</v>
      </c>
      <c r="I162" s="123" t="s">
        <v>95</v>
      </c>
      <c r="J162" s="123" t="s">
        <v>97</v>
      </c>
      <c r="K162" s="123" t="s">
        <v>93</v>
      </c>
      <c r="L162" s="132">
        <v>82</v>
      </c>
      <c r="M162" s="132">
        <v>0</v>
      </c>
      <c r="N162" s="132">
        <v>1.1212048784560941E+19</v>
      </c>
    </row>
    <row r="163" spans="4:14" ht="15" customHeight="1" x14ac:dyDescent="0.2">
      <c r="D163" s="130" t="b">
        <v>0</v>
      </c>
      <c r="E163" s="124" t="s">
        <v>94</v>
      </c>
      <c r="F163" s="125" t="s">
        <v>94</v>
      </c>
      <c r="G163" s="125" t="s">
        <v>99</v>
      </c>
      <c r="H163" s="123">
        <v>2</v>
      </c>
      <c r="I163" s="123" t="s">
        <v>95</v>
      </c>
      <c r="J163" s="123" t="s">
        <v>91</v>
      </c>
      <c r="K163" s="123" t="s">
        <v>93</v>
      </c>
      <c r="L163" s="132">
        <v>83</v>
      </c>
      <c r="M163" s="132">
        <v>0</v>
      </c>
      <c r="N163" s="132">
        <v>2.3429886550015155E+18</v>
      </c>
    </row>
    <row r="164" spans="4:14" ht="15" customHeight="1" x14ac:dyDescent="0.2">
      <c r="D164" s="130" t="b">
        <v>0</v>
      </c>
      <c r="E164" s="124" t="s">
        <v>94</v>
      </c>
      <c r="F164" s="125" t="s">
        <v>94</v>
      </c>
      <c r="G164" s="125" t="s">
        <v>99</v>
      </c>
      <c r="H164" s="123">
        <v>2</v>
      </c>
      <c r="I164" s="123" t="s">
        <v>97</v>
      </c>
      <c r="J164" s="123" t="s">
        <v>96</v>
      </c>
      <c r="K164" s="123" t="s">
        <v>93</v>
      </c>
      <c r="L164" s="132">
        <v>84</v>
      </c>
      <c r="M164" s="132">
        <v>0</v>
      </c>
      <c r="N164" s="132">
        <v>1.6581453123572134E+18</v>
      </c>
    </row>
    <row r="165" spans="4:14" ht="15" customHeight="1" x14ac:dyDescent="0.2">
      <c r="D165" s="130" t="b">
        <v>0</v>
      </c>
      <c r="E165" s="124" t="s">
        <v>94</v>
      </c>
      <c r="F165" s="125" t="s">
        <v>94</v>
      </c>
      <c r="G165" s="125" t="s">
        <v>99</v>
      </c>
      <c r="H165" s="123">
        <v>2</v>
      </c>
      <c r="I165" s="123" t="s">
        <v>97</v>
      </c>
      <c r="J165" s="123" t="s">
        <v>97</v>
      </c>
      <c r="K165" s="123" t="s">
        <v>93</v>
      </c>
      <c r="L165" s="132">
        <v>85</v>
      </c>
      <c r="M165" s="132">
        <v>0</v>
      </c>
      <c r="N165" s="132">
        <v>6.731602389980727E+17</v>
      </c>
    </row>
    <row r="166" spans="4:14" ht="15" customHeight="1" x14ac:dyDescent="0.2">
      <c r="D166" s="130" t="b">
        <v>0</v>
      </c>
      <c r="E166" s="124" t="s">
        <v>94</v>
      </c>
      <c r="F166" s="125" t="s">
        <v>94</v>
      </c>
      <c r="G166" s="125" t="s">
        <v>99</v>
      </c>
      <c r="H166" s="123">
        <v>2</v>
      </c>
      <c r="I166" s="123" t="s">
        <v>97</v>
      </c>
      <c r="J166" s="123" t="s">
        <v>91</v>
      </c>
      <c r="K166" s="123" t="s">
        <v>93</v>
      </c>
      <c r="L166" s="132">
        <v>86</v>
      </c>
      <c r="M166" s="132">
        <v>0</v>
      </c>
      <c r="N166" s="132">
        <v>1.1532720999655295E+19</v>
      </c>
    </row>
    <row r="167" spans="4:14" ht="15" customHeight="1" x14ac:dyDescent="0.2">
      <c r="D167" s="130" t="b">
        <v>0</v>
      </c>
      <c r="E167" s="124" t="s">
        <v>94</v>
      </c>
      <c r="F167" s="125" t="s">
        <v>94</v>
      </c>
      <c r="G167" s="125" t="s">
        <v>99</v>
      </c>
      <c r="H167" s="123">
        <v>2</v>
      </c>
      <c r="I167" s="123" t="s">
        <v>92</v>
      </c>
      <c r="J167" s="123" t="s">
        <v>96</v>
      </c>
      <c r="K167" s="123" t="s">
        <v>93</v>
      </c>
      <c r="L167" s="132">
        <v>87</v>
      </c>
      <c r="M167" s="132">
        <v>0</v>
      </c>
      <c r="N167" s="132">
        <v>1.2450163528863035E+19</v>
      </c>
    </row>
    <row r="168" spans="4:14" ht="15" customHeight="1" x14ac:dyDescent="0.2">
      <c r="D168" s="130" t="b">
        <v>0</v>
      </c>
      <c r="E168" s="124" t="s">
        <v>94</v>
      </c>
      <c r="F168" s="125" t="s">
        <v>94</v>
      </c>
      <c r="G168" s="125" t="s">
        <v>99</v>
      </c>
      <c r="H168" s="123">
        <v>2</v>
      </c>
      <c r="I168" s="123" t="s">
        <v>92</v>
      </c>
      <c r="J168" s="123" t="s">
        <v>97</v>
      </c>
      <c r="K168" s="123" t="s">
        <v>93</v>
      </c>
      <c r="L168" s="132">
        <v>88</v>
      </c>
      <c r="M168" s="132">
        <v>0</v>
      </c>
      <c r="N168" s="132">
        <v>1.566513853765682E+19</v>
      </c>
    </row>
    <row r="169" spans="4:14" ht="15" customHeight="1" x14ac:dyDescent="0.2">
      <c r="D169" s="130" t="b">
        <v>0</v>
      </c>
      <c r="E169" s="124" t="s">
        <v>94</v>
      </c>
      <c r="F169" s="125" t="s">
        <v>94</v>
      </c>
      <c r="G169" s="125" t="s">
        <v>99</v>
      </c>
      <c r="H169" s="123">
        <v>2</v>
      </c>
      <c r="I169" s="123" t="s">
        <v>92</v>
      </c>
      <c r="J169" s="123" t="s">
        <v>91</v>
      </c>
      <c r="K169" s="123" t="s">
        <v>93</v>
      </c>
      <c r="L169" s="132">
        <v>89</v>
      </c>
      <c r="M169" s="132">
        <v>0</v>
      </c>
      <c r="N169" s="132">
        <v>2.8060236881395026E+18</v>
      </c>
    </row>
    <row r="170" spans="4:14" ht="15" customHeight="1" x14ac:dyDescent="0.2">
      <c r="D170" s="130" t="b">
        <v>0</v>
      </c>
      <c r="E170" s="124" t="s">
        <v>94</v>
      </c>
      <c r="F170" s="125" t="s">
        <v>94</v>
      </c>
      <c r="G170" s="125" t="s">
        <v>99</v>
      </c>
      <c r="H170" s="123">
        <v>4</v>
      </c>
      <c r="I170" s="123" t="s">
        <v>95</v>
      </c>
      <c r="J170" s="123" t="s">
        <v>96</v>
      </c>
      <c r="K170" s="123" t="s">
        <v>93</v>
      </c>
      <c r="L170" s="132">
        <v>90</v>
      </c>
      <c r="M170" s="132">
        <v>0</v>
      </c>
      <c r="N170" s="132">
        <v>4.503813646773077E+18</v>
      </c>
    </row>
    <row r="171" spans="4:14" ht="15" customHeight="1" x14ac:dyDescent="0.2">
      <c r="D171" s="130" t="b">
        <v>0</v>
      </c>
      <c r="E171" s="124" t="s">
        <v>94</v>
      </c>
      <c r="F171" s="125" t="s">
        <v>94</v>
      </c>
      <c r="G171" s="125" t="s">
        <v>99</v>
      </c>
      <c r="H171" s="123">
        <v>4</v>
      </c>
      <c r="I171" s="123" t="s">
        <v>95</v>
      </c>
      <c r="J171" s="123" t="s">
        <v>97</v>
      </c>
      <c r="K171" s="123" t="s">
        <v>93</v>
      </c>
      <c r="L171" s="132">
        <v>91</v>
      </c>
      <c r="M171" s="132">
        <v>0</v>
      </c>
      <c r="N171" s="132">
        <v>2.6604374555495393E+18</v>
      </c>
    </row>
    <row r="172" spans="4:14" ht="15" customHeight="1" x14ac:dyDescent="0.2">
      <c r="D172" s="130" t="b">
        <v>0</v>
      </c>
      <c r="E172" s="124" t="s">
        <v>94</v>
      </c>
      <c r="F172" s="125" t="s">
        <v>94</v>
      </c>
      <c r="G172" s="125" t="s">
        <v>99</v>
      </c>
      <c r="H172" s="123">
        <v>4</v>
      </c>
      <c r="I172" s="123" t="s">
        <v>95</v>
      </c>
      <c r="J172" s="123" t="s">
        <v>91</v>
      </c>
      <c r="K172" s="123" t="s">
        <v>93</v>
      </c>
      <c r="L172" s="132">
        <v>92</v>
      </c>
      <c r="M172" s="132">
        <v>0</v>
      </c>
      <c r="N172" s="132">
        <v>1.515068310601044E+19</v>
      </c>
    </row>
    <row r="173" spans="4:14" ht="15" customHeight="1" x14ac:dyDescent="0.2">
      <c r="D173" s="130" t="b">
        <v>0</v>
      </c>
      <c r="E173" s="124" t="s">
        <v>94</v>
      </c>
      <c r="F173" s="125" t="s">
        <v>94</v>
      </c>
      <c r="G173" s="125" t="s">
        <v>99</v>
      </c>
      <c r="H173" s="123">
        <v>4</v>
      </c>
      <c r="I173" s="123" t="s">
        <v>97</v>
      </c>
      <c r="J173" s="123" t="s">
        <v>96</v>
      </c>
      <c r="K173" s="123" t="s">
        <v>93</v>
      </c>
      <c r="L173" s="132">
        <v>93</v>
      </c>
      <c r="M173" s="132">
        <v>0</v>
      </c>
      <c r="N173" s="132">
        <v>3.7660170017418926E+18</v>
      </c>
    </row>
    <row r="174" spans="4:14" ht="15" customHeight="1" x14ac:dyDescent="0.2">
      <c r="D174" s="130" t="b">
        <v>0</v>
      </c>
      <c r="E174" s="124" t="s">
        <v>94</v>
      </c>
      <c r="F174" s="125" t="s">
        <v>94</v>
      </c>
      <c r="G174" s="125" t="s">
        <v>99</v>
      </c>
      <c r="H174" s="123">
        <v>4</v>
      </c>
      <c r="I174" s="123" t="s">
        <v>97</v>
      </c>
      <c r="J174" s="123" t="s">
        <v>97</v>
      </c>
      <c r="K174" s="123" t="s">
        <v>93</v>
      </c>
      <c r="L174" s="132">
        <v>94</v>
      </c>
      <c r="M174" s="132">
        <v>0</v>
      </c>
      <c r="N174" s="132">
        <v>7.6019801698242826E+18</v>
      </c>
    </row>
    <row r="175" spans="4:14" ht="15" customHeight="1" x14ac:dyDescent="0.2">
      <c r="D175" s="130" t="b">
        <v>0</v>
      </c>
      <c r="E175" s="124" t="s">
        <v>94</v>
      </c>
      <c r="F175" s="125" t="s">
        <v>94</v>
      </c>
      <c r="G175" s="125" t="s">
        <v>99</v>
      </c>
      <c r="H175" s="123">
        <v>4</v>
      </c>
      <c r="I175" s="123" t="s">
        <v>97</v>
      </c>
      <c r="J175" s="123" t="s">
        <v>91</v>
      </c>
      <c r="K175" s="123" t="s">
        <v>93</v>
      </c>
      <c r="L175" s="132">
        <v>95</v>
      </c>
      <c r="M175" s="132">
        <v>0</v>
      </c>
      <c r="N175" s="132">
        <v>5.034010344728023E+18</v>
      </c>
    </row>
    <row r="176" spans="4:14" ht="15" customHeight="1" x14ac:dyDescent="0.2">
      <c r="D176" s="130" t="b">
        <v>0</v>
      </c>
      <c r="E176" s="124" t="s">
        <v>94</v>
      </c>
      <c r="F176" s="125" t="s">
        <v>94</v>
      </c>
      <c r="G176" s="125" t="s">
        <v>99</v>
      </c>
      <c r="H176" s="123">
        <v>4</v>
      </c>
      <c r="I176" s="123" t="s">
        <v>92</v>
      </c>
      <c r="J176" s="123" t="s">
        <v>96</v>
      </c>
      <c r="K176" s="123" t="s">
        <v>93</v>
      </c>
      <c r="L176" s="132">
        <v>96</v>
      </c>
      <c r="M176" s="132">
        <v>0</v>
      </c>
      <c r="N176" s="132">
        <v>1.4193849638934129E+18</v>
      </c>
    </row>
    <row r="177" spans="4:14" ht="15" customHeight="1" x14ac:dyDescent="0.2">
      <c r="D177" s="130" t="b">
        <v>0</v>
      </c>
      <c r="E177" s="124" t="s">
        <v>94</v>
      </c>
      <c r="F177" s="125" t="s">
        <v>94</v>
      </c>
      <c r="G177" s="125" t="s">
        <v>99</v>
      </c>
      <c r="H177" s="123">
        <v>4</v>
      </c>
      <c r="I177" s="123" t="s">
        <v>92</v>
      </c>
      <c r="J177" s="123" t="s">
        <v>97</v>
      </c>
      <c r="K177" s="123" t="s">
        <v>93</v>
      </c>
      <c r="L177" s="132">
        <v>97</v>
      </c>
      <c r="M177" s="132">
        <v>0</v>
      </c>
      <c r="N177" s="132">
        <v>1.3839584596271493E+19</v>
      </c>
    </row>
    <row r="178" spans="4:14" ht="15" customHeight="1" x14ac:dyDescent="0.2">
      <c r="D178" s="130" t="b">
        <v>0</v>
      </c>
      <c r="E178" s="124" t="s">
        <v>94</v>
      </c>
      <c r="F178" s="125" t="s">
        <v>94</v>
      </c>
      <c r="G178" s="125" t="s">
        <v>99</v>
      </c>
      <c r="H178" s="123">
        <v>4</v>
      </c>
      <c r="I178" s="123" t="s">
        <v>92</v>
      </c>
      <c r="J178" s="123" t="s">
        <v>91</v>
      </c>
      <c r="K178" s="123" t="s">
        <v>93</v>
      </c>
      <c r="L178" s="132">
        <v>98</v>
      </c>
      <c r="M178" s="132">
        <v>0</v>
      </c>
      <c r="N178" s="132">
        <v>1.5584001283030864E+19</v>
      </c>
    </row>
    <row r="179" spans="4:14" ht="15" customHeight="1" x14ac:dyDescent="0.2">
      <c r="D179" s="130" t="b">
        <v>0</v>
      </c>
      <c r="E179" s="124" t="s">
        <v>94</v>
      </c>
      <c r="F179" s="125" t="s">
        <v>94</v>
      </c>
      <c r="G179" s="125" t="s">
        <v>99</v>
      </c>
      <c r="H179" s="123" t="s">
        <v>98</v>
      </c>
      <c r="I179" s="123" t="s">
        <v>95</v>
      </c>
      <c r="J179" s="123" t="s">
        <v>96</v>
      </c>
      <c r="K179" s="123" t="s">
        <v>93</v>
      </c>
      <c r="L179" s="132">
        <v>99</v>
      </c>
      <c r="M179" s="132">
        <v>0</v>
      </c>
      <c r="N179" s="132">
        <v>7.3698725899046564E+18</v>
      </c>
    </row>
    <row r="180" spans="4:14" ht="15" customHeight="1" x14ac:dyDescent="0.2">
      <c r="D180" s="130" t="b">
        <v>0</v>
      </c>
      <c r="E180" s="124" t="s">
        <v>94</v>
      </c>
      <c r="F180" s="125" t="s">
        <v>94</v>
      </c>
      <c r="G180" s="125" t="s">
        <v>99</v>
      </c>
      <c r="H180" s="123" t="s">
        <v>98</v>
      </c>
      <c r="I180" s="123" t="s">
        <v>95</v>
      </c>
      <c r="J180" s="123" t="s">
        <v>97</v>
      </c>
      <c r="K180" s="123" t="s">
        <v>93</v>
      </c>
      <c r="L180" s="132">
        <v>100</v>
      </c>
      <c r="M180" s="132">
        <v>0</v>
      </c>
      <c r="N180" s="132">
        <v>1.2045050170332867E+19</v>
      </c>
    </row>
    <row r="181" spans="4:14" ht="15" customHeight="1" x14ac:dyDescent="0.2">
      <c r="D181" s="130" t="b">
        <v>0</v>
      </c>
      <c r="E181" s="124" t="s">
        <v>94</v>
      </c>
      <c r="F181" s="125" t="s">
        <v>94</v>
      </c>
      <c r="G181" s="125" t="s">
        <v>99</v>
      </c>
      <c r="H181" s="123" t="s">
        <v>98</v>
      </c>
      <c r="I181" s="123" t="s">
        <v>95</v>
      </c>
      <c r="J181" s="123" t="s">
        <v>91</v>
      </c>
      <c r="K181" s="123" t="s">
        <v>93</v>
      </c>
      <c r="L181" s="132">
        <v>101</v>
      </c>
      <c r="M181" s="132">
        <v>0</v>
      </c>
      <c r="N181" s="132">
        <v>2.2718119682429286E+18</v>
      </c>
    </row>
    <row r="182" spans="4:14" ht="15" customHeight="1" x14ac:dyDescent="0.2">
      <c r="D182" s="130" t="b">
        <v>0</v>
      </c>
      <c r="E182" s="124" t="s">
        <v>94</v>
      </c>
      <c r="F182" s="125" t="s">
        <v>94</v>
      </c>
      <c r="G182" s="125" t="s">
        <v>99</v>
      </c>
      <c r="H182" s="123" t="s">
        <v>98</v>
      </c>
      <c r="I182" s="123" t="s">
        <v>97</v>
      </c>
      <c r="J182" s="123" t="s">
        <v>96</v>
      </c>
      <c r="K182" s="123" t="s">
        <v>93</v>
      </c>
      <c r="L182" s="132">
        <v>102</v>
      </c>
      <c r="M182" s="132">
        <v>0</v>
      </c>
      <c r="N182" s="132">
        <v>1.3486149087848055E+19</v>
      </c>
    </row>
    <row r="183" spans="4:14" ht="15" customHeight="1" x14ac:dyDescent="0.2">
      <c r="D183" s="130" t="b">
        <v>0</v>
      </c>
      <c r="E183" s="124" t="s">
        <v>94</v>
      </c>
      <c r="F183" s="125" t="s">
        <v>94</v>
      </c>
      <c r="G183" s="125" t="s">
        <v>99</v>
      </c>
      <c r="H183" s="123" t="s">
        <v>98</v>
      </c>
      <c r="I183" s="123" t="s">
        <v>97</v>
      </c>
      <c r="J183" s="123" t="s">
        <v>97</v>
      </c>
      <c r="K183" s="123" t="s">
        <v>93</v>
      </c>
      <c r="L183" s="132">
        <v>103</v>
      </c>
      <c r="M183" s="132">
        <v>0</v>
      </c>
      <c r="N183" s="132">
        <v>1.51546632467996E+19</v>
      </c>
    </row>
    <row r="184" spans="4:14" ht="15" customHeight="1" x14ac:dyDescent="0.2">
      <c r="D184" s="130" t="b">
        <v>0</v>
      </c>
      <c r="E184" s="124" t="s">
        <v>94</v>
      </c>
      <c r="F184" s="125" t="s">
        <v>94</v>
      </c>
      <c r="G184" s="125" t="s">
        <v>99</v>
      </c>
      <c r="H184" s="123" t="s">
        <v>98</v>
      </c>
      <c r="I184" s="123" t="s">
        <v>97</v>
      </c>
      <c r="J184" s="123" t="s">
        <v>91</v>
      </c>
      <c r="K184" s="123" t="s">
        <v>93</v>
      </c>
      <c r="L184" s="132">
        <v>104</v>
      </c>
      <c r="M184" s="132">
        <v>0</v>
      </c>
      <c r="N184" s="132">
        <v>1.7115584511633902E+19</v>
      </c>
    </row>
    <row r="185" spans="4:14" ht="15" customHeight="1" x14ac:dyDescent="0.2">
      <c r="D185" s="130" t="b">
        <v>0</v>
      </c>
      <c r="E185" s="124" t="s">
        <v>94</v>
      </c>
      <c r="F185" s="125" t="s">
        <v>94</v>
      </c>
      <c r="G185" s="125" t="s">
        <v>99</v>
      </c>
      <c r="H185" s="123" t="s">
        <v>98</v>
      </c>
      <c r="I185" s="123" t="s">
        <v>92</v>
      </c>
      <c r="J185" s="123" t="s">
        <v>96</v>
      </c>
      <c r="K185" s="123" t="s">
        <v>93</v>
      </c>
      <c r="L185" s="132">
        <v>105</v>
      </c>
      <c r="M185" s="132">
        <v>0</v>
      </c>
      <c r="N185" s="132">
        <v>1.7900982762723246E+19</v>
      </c>
    </row>
    <row r="186" spans="4:14" ht="15" customHeight="1" x14ac:dyDescent="0.2">
      <c r="D186" s="130" t="b">
        <v>0</v>
      </c>
      <c r="E186" s="124" t="s">
        <v>94</v>
      </c>
      <c r="F186" s="125" t="s">
        <v>94</v>
      </c>
      <c r="G186" s="125" t="s">
        <v>99</v>
      </c>
      <c r="H186" s="123" t="s">
        <v>98</v>
      </c>
      <c r="I186" s="123" t="s">
        <v>92</v>
      </c>
      <c r="J186" s="123" t="s">
        <v>97</v>
      </c>
      <c r="K186" s="123" t="s">
        <v>93</v>
      </c>
      <c r="L186" s="132">
        <v>106</v>
      </c>
      <c r="M186" s="132">
        <v>0</v>
      </c>
      <c r="N186" s="132">
        <v>8.8708144087232584E+18</v>
      </c>
    </row>
    <row r="187" spans="4:14" ht="15" customHeight="1" x14ac:dyDescent="0.2">
      <c r="D187" s="130" t="b">
        <v>0</v>
      </c>
      <c r="E187" s="124" t="s">
        <v>94</v>
      </c>
      <c r="F187" s="125" t="s">
        <v>94</v>
      </c>
      <c r="G187" s="125" t="s">
        <v>99</v>
      </c>
      <c r="H187" s="123" t="s">
        <v>98</v>
      </c>
      <c r="I187" s="123" t="s">
        <v>92</v>
      </c>
      <c r="J187" s="123" t="s">
        <v>91</v>
      </c>
      <c r="K187" s="123" t="s">
        <v>93</v>
      </c>
      <c r="L187" s="132">
        <v>107</v>
      </c>
      <c r="M187" s="132">
        <v>0</v>
      </c>
      <c r="N187" s="132">
        <v>1.227080616915743E+18</v>
      </c>
    </row>
    <row r="188" spans="4:14" ht="15" customHeight="1" x14ac:dyDescent="0.2">
      <c r="D188" s="130" t="b">
        <v>0</v>
      </c>
      <c r="E188" s="124" t="s">
        <v>94</v>
      </c>
      <c r="F188" s="125" t="s">
        <v>91</v>
      </c>
      <c r="G188" s="125">
        <v>2</v>
      </c>
      <c r="H188" s="123">
        <v>2</v>
      </c>
      <c r="I188" s="123" t="s">
        <v>95</v>
      </c>
      <c r="J188" s="123" t="s">
        <v>96</v>
      </c>
      <c r="K188" s="123" t="s">
        <v>93</v>
      </c>
      <c r="L188" s="132">
        <v>108</v>
      </c>
      <c r="M188" s="132">
        <v>0</v>
      </c>
      <c r="N188" s="132">
        <v>1.8547439154465055E+18</v>
      </c>
    </row>
    <row r="189" spans="4:14" ht="15" customHeight="1" x14ac:dyDescent="0.2">
      <c r="D189" s="130" t="b">
        <v>0</v>
      </c>
      <c r="E189" s="124" t="s">
        <v>94</v>
      </c>
      <c r="F189" s="125" t="s">
        <v>91</v>
      </c>
      <c r="G189" s="125">
        <v>2</v>
      </c>
      <c r="H189" s="123">
        <v>2</v>
      </c>
      <c r="I189" s="123" t="s">
        <v>95</v>
      </c>
      <c r="J189" s="123" t="s">
        <v>97</v>
      </c>
      <c r="K189" s="123" t="s">
        <v>93</v>
      </c>
      <c r="L189" s="132">
        <v>109</v>
      </c>
      <c r="M189" s="132">
        <v>0</v>
      </c>
      <c r="N189" s="132">
        <v>8.7747557479626947E+18</v>
      </c>
    </row>
    <row r="190" spans="4:14" ht="15" customHeight="1" x14ac:dyDescent="0.2">
      <c r="D190" s="130" t="b">
        <v>0</v>
      </c>
      <c r="E190" s="124" t="s">
        <v>94</v>
      </c>
      <c r="F190" s="125" t="s">
        <v>91</v>
      </c>
      <c r="G190" s="125">
        <v>2</v>
      </c>
      <c r="H190" s="123">
        <v>2</v>
      </c>
      <c r="I190" s="123" t="s">
        <v>95</v>
      </c>
      <c r="J190" s="123" t="s">
        <v>91</v>
      </c>
      <c r="K190" s="123" t="s">
        <v>93</v>
      </c>
      <c r="L190" s="132">
        <v>110</v>
      </c>
      <c r="M190" s="132">
        <v>0</v>
      </c>
      <c r="N190" s="132">
        <v>8.9569731748387366E+17</v>
      </c>
    </row>
    <row r="191" spans="4:14" ht="15" customHeight="1" x14ac:dyDescent="0.2">
      <c r="D191" s="130" t="b">
        <v>0</v>
      </c>
      <c r="E191" s="124" t="s">
        <v>94</v>
      </c>
      <c r="F191" s="125" t="s">
        <v>91</v>
      </c>
      <c r="G191" s="125">
        <v>2</v>
      </c>
      <c r="H191" s="123">
        <v>2</v>
      </c>
      <c r="I191" s="123" t="s">
        <v>97</v>
      </c>
      <c r="J191" s="123" t="s">
        <v>96</v>
      </c>
      <c r="K191" s="123" t="s">
        <v>93</v>
      </c>
      <c r="L191" s="132">
        <v>111</v>
      </c>
      <c r="M191" s="132">
        <v>0</v>
      </c>
      <c r="N191" s="132">
        <v>7.2973647904241807E+18</v>
      </c>
    </row>
    <row r="192" spans="4:14" ht="15" customHeight="1" x14ac:dyDescent="0.2">
      <c r="D192" s="130" t="b">
        <v>0</v>
      </c>
      <c r="E192" s="124" t="s">
        <v>94</v>
      </c>
      <c r="F192" s="125" t="s">
        <v>91</v>
      </c>
      <c r="G192" s="125">
        <v>2</v>
      </c>
      <c r="H192" s="123">
        <v>2</v>
      </c>
      <c r="I192" s="123" t="s">
        <v>97</v>
      </c>
      <c r="J192" s="123" t="s">
        <v>97</v>
      </c>
      <c r="K192" s="123" t="s">
        <v>93</v>
      </c>
      <c r="L192" s="132">
        <v>112</v>
      </c>
      <c r="M192" s="132">
        <v>0</v>
      </c>
      <c r="N192" s="132">
        <v>5.750954208560809E+17</v>
      </c>
    </row>
    <row r="193" spans="4:14" ht="15" customHeight="1" x14ac:dyDescent="0.2">
      <c r="D193" s="130" t="b">
        <v>0</v>
      </c>
      <c r="E193" s="124" t="s">
        <v>94</v>
      </c>
      <c r="F193" s="125" t="s">
        <v>91</v>
      </c>
      <c r="G193" s="125">
        <v>2</v>
      </c>
      <c r="H193" s="123">
        <v>2</v>
      </c>
      <c r="I193" s="123" t="s">
        <v>97</v>
      </c>
      <c r="J193" s="123" t="s">
        <v>91</v>
      </c>
      <c r="K193" s="123" t="s">
        <v>93</v>
      </c>
      <c r="L193" s="132">
        <v>113</v>
      </c>
      <c r="M193" s="132">
        <v>0</v>
      </c>
      <c r="N193" s="132">
        <v>1.4434435632895007E+18</v>
      </c>
    </row>
    <row r="194" spans="4:14" ht="15" customHeight="1" x14ac:dyDescent="0.2">
      <c r="D194" s="130" t="b">
        <v>0</v>
      </c>
      <c r="E194" s="124" t="s">
        <v>94</v>
      </c>
      <c r="F194" s="125" t="s">
        <v>91</v>
      </c>
      <c r="G194" s="125">
        <v>2</v>
      </c>
      <c r="H194" s="123">
        <v>2</v>
      </c>
      <c r="I194" s="123" t="s">
        <v>92</v>
      </c>
      <c r="J194" s="123" t="s">
        <v>96</v>
      </c>
      <c r="K194" s="123" t="s">
        <v>93</v>
      </c>
      <c r="L194" s="132">
        <v>114</v>
      </c>
      <c r="M194" s="132">
        <v>0</v>
      </c>
      <c r="N194" s="132">
        <v>3.1473440321988157E+18</v>
      </c>
    </row>
    <row r="195" spans="4:14" ht="15" customHeight="1" x14ac:dyDescent="0.2">
      <c r="D195" s="130" t="b">
        <v>0</v>
      </c>
      <c r="E195" s="124" t="s">
        <v>94</v>
      </c>
      <c r="F195" s="125" t="s">
        <v>91</v>
      </c>
      <c r="G195" s="125">
        <v>2</v>
      </c>
      <c r="H195" s="123">
        <v>2</v>
      </c>
      <c r="I195" s="123" t="s">
        <v>92</v>
      </c>
      <c r="J195" s="123" t="s">
        <v>97</v>
      </c>
      <c r="K195" s="123" t="s">
        <v>93</v>
      </c>
      <c r="L195" s="132">
        <v>115</v>
      </c>
      <c r="M195" s="132">
        <v>0</v>
      </c>
      <c r="N195" s="132">
        <v>1.7194262550989087E+19</v>
      </c>
    </row>
    <row r="196" spans="4:14" ht="15" customHeight="1" x14ac:dyDescent="0.2">
      <c r="D196" s="130" t="b">
        <v>0</v>
      </c>
      <c r="E196" s="124" t="s">
        <v>94</v>
      </c>
      <c r="F196" s="125" t="s">
        <v>91</v>
      </c>
      <c r="G196" s="125">
        <v>2</v>
      </c>
      <c r="H196" s="123">
        <v>2</v>
      </c>
      <c r="I196" s="123" t="s">
        <v>92</v>
      </c>
      <c r="J196" s="123" t="s">
        <v>91</v>
      </c>
      <c r="K196" s="123" t="s">
        <v>93</v>
      </c>
      <c r="L196" s="132">
        <v>116</v>
      </c>
      <c r="M196" s="132">
        <v>0</v>
      </c>
      <c r="N196" s="132">
        <v>5.9785924541965844E+18</v>
      </c>
    </row>
    <row r="197" spans="4:14" ht="15" customHeight="1" x14ac:dyDescent="0.2">
      <c r="D197" s="130" t="b">
        <v>0</v>
      </c>
      <c r="E197" s="124" t="s">
        <v>94</v>
      </c>
      <c r="F197" s="125" t="s">
        <v>91</v>
      </c>
      <c r="G197" s="125">
        <v>2</v>
      </c>
      <c r="H197" s="123">
        <v>4</v>
      </c>
      <c r="I197" s="123" t="s">
        <v>95</v>
      </c>
      <c r="J197" s="123" t="s">
        <v>96</v>
      </c>
      <c r="K197" s="123" t="s">
        <v>93</v>
      </c>
      <c r="L197" s="132">
        <v>117</v>
      </c>
      <c r="M197" s="132">
        <v>0</v>
      </c>
      <c r="N197" s="132">
        <v>1.7518756171936219E+19</v>
      </c>
    </row>
    <row r="198" spans="4:14" ht="15" customHeight="1" x14ac:dyDescent="0.2">
      <c r="D198" s="130" t="b">
        <v>0</v>
      </c>
      <c r="E198" s="124" t="s">
        <v>94</v>
      </c>
      <c r="F198" s="125" t="s">
        <v>91</v>
      </c>
      <c r="G198" s="125">
        <v>2</v>
      </c>
      <c r="H198" s="123">
        <v>4</v>
      </c>
      <c r="I198" s="123" t="s">
        <v>95</v>
      </c>
      <c r="J198" s="123" t="s">
        <v>97</v>
      </c>
      <c r="K198" s="123" t="s">
        <v>93</v>
      </c>
      <c r="L198" s="132">
        <v>118</v>
      </c>
      <c r="M198" s="132">
        <v>0</v>
      </c>
      <c r="N198" s="132">
        <v>1.3604788633452618E+19</v>
      </c>
    </row>
    <row r="199" spans="4:14" ht="15" customHeight="1" x14ac:dyDescent="0.2">
      <c r="D199" s="130" t="b">
        <v>0</v>
      </c>
      <c r="E199" s="124" t="s">
        <v>94</v>
      </c>
      <c r="F199" s="125" t="s">
        <v>91</v>
      </c>
      <c r="G199" s="125">
        <v>2</v>
      </c>
      <c r="H199" s="123">
        <v>4</v>
      </c>
      <c r="I199" s="123" t="s">
        <v>95</v>
      </c>
      <c r="J199" s="123" t="s">
        <v>91</v>
      </c>
      <c r="K199" s="123" t="s">
        <v>93</v>
      </c>
      <c r="L199" s="132">
        <v>119</v>
      </c>
      <c r="M199" s="132">
        <v>0</v>
      </c>
      <c r="N199" s="132">
        <v>1.3827140927585204E+19</v>
      </c>
    </row>
    <row r="200" spans="4:14" ht="15" customHeight="1" x14ac:dyDescent="0.2">
      <c r="D200" s="130" t="b">
        <v>0</v>
      </c>
      <c r="E200" s="124" t="s">
        <v>94</v>
      </c>
      <c r="F200" s="125" t="s">
        <v>91</v>
      </c>
      <c r="G200" s="125">
        <v>2</v>
      </c>
      <c r="H200" s="123">
        <v>4</v>
      </c>
      <c r="I200" s="123" t="s">
        <v>97</v>
      </c>
      <c r="J200" s="123" t="s">
        <v>96</v>
      </c>
      <c r="K200" s="123" t="s">
        <v>93</v>
      </c>
      <c r="L200" s="132">
        <v>120</v>
      </c>
      <c r="M200" s="132">
        <v>0</v>
      </c>
      <c r="N200" s="132">
        <v>1.5849844282153755E+19</v>
      </c>
    </row>
    <row r="201" spans="4:14" ht="15" customHeight="1" x14ac:dyDescent="0.2">
      <c r="D201" s="130" t="b">
        <v>0</v>
      </c>
      <c r="E201" s="124" t="s">
        <v>94</v>
      </c>
      <c r="F201" s="125" t="s">
        <v>91</v>
      </c>
      <c r="G201" s="125">
        <v>2</v>
      </c>
      <c r="H201" s="123">
        <v>4</v>
      </c>
      <c r="I201" s="123" t="s">
        <v>97</v>
      </c>
      <c r="J201" s="123" t="s">
        <v>97</v>
      </c>
      <c r="K201" s="123" t="s">
        <v>93</v>
      </c>
      <c r="L201" s="132">
        <v>121</v>
      </c>
      <c r="M201" s="132">
        <v>0</v>
      </c>
      <c r="N201" s="132">
        <v>2.9185442637893647E+18</v>
      </c>
    </row>
    <row r="202" spans="4:14" ht="15" customHeight="1" x14ac:dyDescent="0.2">
      <c r="D202" s="130" t="b">
        <v>0</v>
      </c>
      <c r="E202" s="124" t="s">
        <v>94</v>
      </c>
      <c r="F202" s="125" t="s">
        <v>91</v>
      </c>
      <c r="G202" s="125">
        <v>2</v>
      </c>
      <c r="H202" s="123">
        <v>4</v>
      </c>
      <c r="I202" s="123" t="s">
        <v>97</v>
      </c>
      <c r="J202" s="123" t="s">
        <v>91</v>
      </c>
      <c r="K202" s="123" t="s">
        <v>93</v>
      </c>
      <c r="L202" s="132">
        <v>122</v>
      </c>
      <c r="M202" s="132">
        <v>0</v>
      </c>
      <c r="N202" s="132">
        <v>5.3649934374265303E+18</v>
      </c>
    </row>
    <row r="203" spans="4:14" ht="15" customHeight="1" x14ac:dyDescent="0.2">
      <c r="D203" s="130" t="b">
        <v>0</v>
      </c>
      <c r="E203" s="124" t="s">
        <v>94</v>
      </c>
      <c r="F203" s="125" t="s">
        <v>91</v>
      </c>
      <c r="G203" s="125">
        <v>2</v>
      </c>
      <c r="H203" s="123">
        <v>4</v>
      </c>
      <c r="I203" s="123" t="s">
        <v>92</v>
      </c>
      <c r="J203" s="123" t="s">
        <v>96</v>
      </c>
      <c r="K203" s="123" t="s">
        <v>93</v>
      </c>
      <c r="L203" s="132">
        <v>123</v>
      </c>
      <c r="M203" s="132">
        <v>0</v>
      </c>
      <c r="N203" s="132">
        <v>8.6656823348733658E+17</v>
      </c>
    </row>
    <row r="204" spans="4:14" ht="15" customHeight="1" x14ac:dyDescent="0.2">
      <c r="D204" s="130" t="b">
        <v>0</v>
      </c>
      <c r="E204" s="124" t="s">
        <v>94</v>
      </c>
      <c r="F204" s="125" t="s">
        <v>91</v>
      </c>
      <c r="G204" s="125">
        <v>2</v>
      </c>
      <c r="H204" s="123">
        <v>4</v>
      </c>
      <c r="I204" s="123" t="s">
        <v>92</v>
      </c>
      <c r="J204" s="123" t="s">
        <v>97</v>
      </c>
      <c r="K204" s="123" t="s">
        <v>93</v>
      </c>
      <c r="L204" s="132">
        <v>124</v>
      </c>
      <c r="M204" s="132">
        <v>0</v>
      </c>
      <c r="N204" s="132">
        <v>1.8172412292520298E+19</v>
      </c>
    </row>
    <row r="205" spans="4:14" ht="15" customHeight="1" x14ac:dyDescent="0.2">
      <c r="D205" s="130" t="b">
        <v>0</v>
      </c>
      <c r="E205" s="124" t="s">
        <v>94</v>
      </c>
      <c r="F205" s="125" t="s">
        <v>91</v>
      </c>
      <c r="G205" s="125">
        <v>2</v>
      </c>
      <c r="H205" s="123">
        <v>4</v>
      </c>
      <c r="I205" s="123" t="s">
        <v>92</v>
      </c>
      <c r="J205" s="123" t="s">
        <v>91</v>
      </c>
      <c r="K205" s="123" t="s">
        <v>93</v>
      </c>
      <c r="L205" s="132">
        <v>125</v>
      </c>
      <c r="M205" s="132">
        <v>0</v>
      </c>
      <c r="N205" s="132">
        <v>8.4690302446125005E+18</v>
      </c>
    </row>
    <row r="206" spans="4:14" ht="15" customHeight="1" x14ac:dyDescent="0.2">
      <c r="D206" s="130" t="b">
        <v>0</v>
      </c>
      <c r="E206" s="124" t="s">
        <v>94</v>
      </c>
      <c r="F206" s="125" t="s">
        <v>91</v>
      </c>
      <c r="G206" s="125">
        <v>2</v>
      </c>
      <c r="H206" s="123" t="s">
        <v>98</v>
      </c>
      <c r="I206" s="123" t="s">
        <v>95</v>
      </c>
      <c r="J206" s="123" t="s">
        <v>96</v>
      </c>
      <c r="K206" s="123" t="s">
        <v>93</v>
      </c>
      <c r="L206" s="132">
        <v>126</v>
      </c>
      <c r="M206" s="132">
        <v>0</v>
      </c>
      <c r="N206" s="132">
        <v>7.9565830775493745E+18</v>
      </c>
    </row>
    <row r="207" spans="4:14" ht="15" customHeight="1" x14ac:dyDescent="0.2">
      <c r="D207" s="130" t="b">
        <v>0</v>
      </c>
      <c r="E207" s="124" t="s">
        <v>94</v>
      </c>
      <c r="F207" s="125" t="s">
        <v>91</v>
      </c>
      <c r="G207" s="125">
        <v>2</v>
      </c>
      <c r="H207" s="123" t="s">
        <v>98</v>
      </c>
      <c r="I207" s="123" t="s">
        <v>95</v>
      </c>
      <c r="J207" s="123" t="s">
        <v>97</v>
      </c>
      <c r="K207" s="123" t="s">
        <v>93</v>
      </c>
      <c r="L207" s="132">
        <v>127</v>
      </c>
      <c r="M207" s="132">
        <v>0</v>
      </c>
      <c r="N207" s="132">
        <v>1.7659784810660014E+19</v>
      </c>
    </row>
    <row r="208" spans="4:14" ht="15" customHeight="1" x14ac:dyDescent="0.2">
      <c r="D208" s="130" t="b">
        <v>0</v>
      </c>
      <c r="E208" s="124" t="s">
        <v>94</v>
      </c>
      <c r="F208" s="125" t="s">
        <v>91</v>
      </c>
      <c r="G208" s="125">
        <v>2</v>
      </c>
      <c r="H208" s="123" t="s">
        <v>98</v>
      </c>
      <c r="I208" s="123" t="s">
        <v>95</v>
      </c>
      <c r="J208" s="123" t="s">
        <v>91</v>
      </c>
      <c r="K208" s="123" t="s">
        <v>93</v>
      </c>
      <c r="L208" s="132">
        <v>128</v>
      </c>
      <c r="M208" s="132">
        <v>0</v>
      </c>
      <c r="N208" s="132">
        <v>1.5235726812795761E+19</v>
      </c>
    </row>
    <row r="209" spans="4:14" ht="15" customHeight="1" x14ac:dyDescent="0.2">
      <c r="D209" s="130" t="b">
        <v>0</v>
      </c>
      <c r="E209" s="124" t="s">
        <v>94</v>
      </c>
      <c r="F209" s="125" t="s">
        <v>91</v>
      </c>
      <c r="G209" s="125">
        <v>2</v>
      </c>
      <c r="H209" s="123" t="s">
        <v>98</v>
      </c>
      <c r="I209" s="123" t="s">
        <v>97</v>
      </c>
      <c r="J209" s="123" t="s">
        <v>96</v>
      </c>
      <c r="K209" s="123" t="s">
        <v>93</v>
      </c>
      <c r="L209" s="132">
        <v>129</v>
      </c>
      <c r="M209" s="132">
        <v>0</v>
      </c>
      <c r="N209" s="132">
        <v>1.1742728724180181E+19</v>
      </c>
    </row>
    <row r="210" spans="4:14" ht="15" customHeight="1" x14ac:dyDescent="0.2">
      <c r="D210" s="130" t="b">
        <v>0</v>
      </c>
      <c r="E210" s="124" t="s">
        <v>94</v>
      </c>
      <c r="F210" s="125" t="s">
        <v>91</v>
      </c>
      <c r="G210" s="125">
        <v>2</v>
      </c>
      <c r="H210" s="123" t="s">
        <v>98</v>
      </c>
      <c r="I210" s="123" t="s">
        <v>97</v>
      </c>
      <c r="J210" s="123" t="s">
        <v>97</v>
      </c>
      <c r="K210" s="123" t="s">
        <v>93</v>
      </c>
      <c r="L210" s="132">
        <v>130</v>
      </c>
      <c r="M210" s="132">
        <v>0</v>
      </c>
      <c r="N210" s="132">
        <v>1.1775166491903832E+19</v>
      </c>
    </row>
    <row r="211" spans="4:14" ht="15" customHeight="1" x14ac:dyDescent="0.2">
      <c r="D211" s="130" t="b">
        <v>0</v>
      </c>
      <c r="E211" s="124" t="s">
        <v>94</v>
      </c>
      <c r="F211" s="125" t="s">
        <v>91</v>
      </c>
      <c r="G211" s="125">
        <v>2</v>
      </c>
      <c r="H211" s="123" t="s">
        <v>98</v>
      </c>
      <c r="I211" s="123" t="s">
        <v>97</v>
      </c>
      <c r="J211" s="123" t="s">
        <v>91</v>
      </c>
      <c r="K211" s="123" t="s">
        <v>93</v>
      </c>
      <c r="L211" s="132">
        <v>131</v>
      </c>
      <c r="M211" s="132">
        <v>0</v>
      </c>
      <c r="N211" s="132">
        <v>1.9572341892906414E+18</v>
      </c>
    </row>
    <row r="212" spans="4:14" ht="15" customHeight="1" x14ac:dyDescent="0.2">
      <c r="D212" s="130" t="b">
        <v>0</v>
      </c>
      <c r="E212" s="124" t="s">
        <v>94</v>
      </c>
      <c r="F212" s="125" t="s">
        <v>91</v>
      </c>
      <c r="G212" s="125">
        <v>2</v>
      </c>
      <c r="H212" s="123" t="s">
        <v>98</v>
      </c>
      <c r="I212" s="123" t="s">
        <v>92</v>
      </c>
      <c r="J212" s="123" t="s">
        <v>96</v>
      </c>
      <c r="K212" s="123" t="s">
        <v>93</v>
      </c>
      <c r="L212" s="132">
        <v>132</v>
      </c>
      <c r="M212" s="132">
        <v>0</v>
      </c>
      <c r="N212" s="132">
        <v>1.609761560589697E+19</v>
      </c>
    </row>
    <row r="213" spans="4:14" ht="15" customHeight="1" x14ac:dyDescent="0.2">
      <c r="D213" s="130" t="b">
        <v>0</v>
      </c>
      <c r="E213" s="124" t="s">
        <v>94</v>
      </c>
      <c r="F213" s="125" t="s">
        <v>91</v>
      </c>
      <c r="G213" s="125">
        <v>2</v>
      </c>
      <c r="H213" s="123" t="s">
        <v>98</v>
      </c>
      <c r="I213" s="123" t="s">
        <v>92</v>
      </c>
      <c r="J213" s="123" t="s">
        <v>97</v>
      </c>
      <c r="K213" s="123" t="s">
        <v>93</v>
      </c>
      <c r="L213" s="132">
        <v>133</v>
      </c>
      <c r="M213" s="132">
        <v>0</v>
      </c>
      <c r="N213" s="132">
        <v>4.0331265153268275E+18</v>
      </c>
    </row>
    <row r="214" spans="4:14" ht="15" customHeight="1" x14ac:dyDescent="0.2">
      <c r="D214" s="130" t="b">
        <v>0</v>
      </c>
      <c r="E214" s="124" t="s">
        <v>94</v>
      </c>
      <c r="F214" s="125" t="s">
        <v>91</v>
      </c>
      <c r="G214" s="125">
        <v>2</v>
      </c>
      <c r="H214" s="123" t="s">
        <v>98</v>
      </c>
      <c r="I214" s="123" t="s">
        <v>92</v>
      </c>
      <c r="J214" s="123" t="s">
        <v>91</v>
      </c>
      <c r="K214" s="123" t="s">
        <v>93</v>
      </c>
      <c r="L214" s="132">
        <v>134</v>
      </c>
      <c r="M214" s="132">
        <v>0</v>
      </c>
      <c r="N214" s="132">
        <v>3.4948786929608673E+18</v>
      </c>
    </row>
    <row r="215" spans="4:14" ht="15" customHeight="1" x14ac:dyDescent="0.2">
      <c r="D215" s="130" t="b">
        <v>0</v>
      </c>
      <c r="E215" s="124" t="s">
        <v>94</v>
      </c>
      <c r="F215" s="125" t="s">
        <v>91</v>
      </c>
      <c r="G215" s="125">
        <v>3</v>
      </c>
      <c r="H215" s="123">
        <v>2</v>
      </c>
      <c r="I215" s="123" t="s">
        <v>95</v>
      </c>
      <c r="J215" s="123" t="s">
        <v>96</v>
      </c>
      <c r="K215" s="123" t="s">
        <v>93</v>
      </c>
      <c r="L215" s="132">
        <v>135</v>
      </c>
      <c r="M215" s="132">
        <v>0</v>
      </c>
      <c r="N215" s="132">
        <v>3.8364667861392302E+18</v>
      </c>
    </row>
    <row r="216" spans="4:14" ht="15" customHeight="1" x14ac:dyDescent="0.2">
      <c r="D216" s="130" t="b">
        <v>0</v>
      </c>
      <c r="E216" s="124" t="s">
        <v>94</v>
      </c>
      <c r="F216" s="125" t="s">
        <v>91</v>
      </c>
      <c r="G216" s="125">
        <v>3</v>
      </c>
      <c r="H216" s="123">
        <v>2</v>
      </c>
      <c r="I216" s="123" t="s">
        <v>95</v>
      </c>
      <c r="J216" s="123" t="s">
        <v>97</v>
      </c>
      <c r="K216" s="123" t="s">
        <v>93</v>
      </c>
      <c r="L216" s="132">
        <v>136</v>
      </c>
      <c r="M216" s="132">
        <v>0</v>
      </c>
      <c r="N216" s="132">
        <v>7.2854906129119826E+18</v>
      </c>
    </row>
    <row r="217" spans="4:14" ht="15" customHeight="1" x14ac:dyDescent="0.2">
      <c r="D217" s="130" t="b">
        <v>0</v>
      </c>
      <c r="E217" s="124" t="s">
        <v>94</v>
      </c>
      <c r="F217" s="125" t="s">
        <v>91</v>
      </c>
      <c r="G217" s="125">
        <v>3</v>
      </c>
      <c r="H217" s="123">
        <v>2</v>
      </c>
      <c r="I217" s="123" t="s">
        <v>95</v>
      </c>
      <c r="J217" s="123" t="s">
        <v>91</v>
      </c>
      <c r="K217" s="123" t="s">
        <v>93</v>
      </c>
      <c r="L217" s="132">
        <v>137</v>
      </c>
      <c r="M217" s="132">
        <v>0</v>
      </c>
      <c r="N217" s="132">
        <v>1.0876948891249083E+18</v>
      </c>
    </row>
    <row r="218" spans="4:14" ht="15" customHeight="1" x14ac:dyDescent="0.2">
      <c r="D218" s="130" t="b">
        <v>0</v>
      </c>
      <c r="E218" s="124" t="s">
        <v>94</v>
      </c>
      <c r="F218" s="125" t="s">
        <v>91</v>
      </c>
      <c r="G218" s="125">
        <v>3</v>
      </c>
      <c r="H218" s="123">
        <v>2</v>
      </c>
      <c r="I218" s="123" t="s">
        <v>97</v>
      </c>
      <c r="J218" s="123" t="s">
        <v>96</v>
      </c>
      <c r="K218" s="123" t="s">
        <v>93</v>
      </c>
      <c r="L218" s="132">
        <v>138</v>
      </c>
      <c r="M218" s="132">
        <v>0</v>
      </c>
      <c r="N218" s="132">
        <v>1.2615419091619168E+19</v>
      </c>
    </row>
    <row r="219" spans="4:14" ht="15" customHeight="1" x14ac:dyDescent="0.2">
      <c r="D219" s="130" t="b">
        <v>0</v>
      </c>
      <c r="E219" s="124" t="s">
        <v>94</v>
      </c>
      <c r="F219" s="125" t="s">
        <v>91</v>
      </c>
      <c r="G219" s="125">
        <v>3</v>
      </c>
      <c r="H219" s="123">
        <v>2</v>
      </c>
      <c r="I219" s="123" t="s">
        <v>97</v>
      </c>
      <c r="J219" s="123" t="s">
        <v>97</v>
      </c>
      <c r="K219" s="123" t="s">
        <v>93</v>
      </c>
      <c r="L219" s="132">
        <v>139</v>
      </c>
      <c r="M219" s="132">
        <v>0</v>
      </c>
      <c r="N219" s="132">
        <v>5.5401676407709839E+18</v>
      </c>
    </row>
    <row r="220" spans="4:14" ht="15" customHeight="1" x14ac:dyDescent="0.2">
      <c r="D220" s="130" t="b">
        <v>0</v>
      </c>
      <c r="E220" s="124" t="s">
        <v>94</v>
      </c>
      <c r="F220" s="125" t="s">
        <v>91</v>
      </c>
      <c r="G220" s="125">
        <v>3</v>
      </c>
      <c r="H220" s="123">
        <v>2</v>
      </c>
      <c r="I220" s="123" t="s">
        <v>97</v>
      </c>
      <c r="J220" s="123" t="s">
        <v>91</v>
      </c>
      <c r="K220" s="123" t="s">
        <v>93</v>
      </c>
      <c r="L220" s="132">
        <v>140</v>
      </c>
      <c r="M220" s="132">
        <v>0</v>
      </c>
      <c r="N220" s="132">
        <v>1.4492377498607694E+19</v>
      </c>
    </row>
    <row r="221" spans="4:14" ht="15" customHeight="1" x14ac:dyDescent="0.2">
      <c r="D221" s="130" t="b">
        <v>0</v>
      </c>
      <c r="E221" s="124" t="s">
        <v>94</v>
      </c>
      <c r="F221" s="125" t="s">
        <v>91</v>
      </c>
      <c r="G221" s="125">
        <v>3</v>
      </c>
      <c r="H221" s="123">
        <v>2</v>
      </c>
      <c r="I221" s="123" t="s">
        <v>92</v>
      </c>
      <c r="J221" s="123" t="s">
        <v>96</v>
      </c>
      <c r="K221" s="123" t="s">
        <v>93</v>
      </c>
      <c r="L221" s="132">
        <v>141</v>
      </c>
      <c r="M221" s="132">
        <v>0</v>
      </c>
      <c r="N221" s="132">
        <v>1.4899345506376864E+19</v>
      </c>
    </row>
    <row r="222" spans="4:14" ht="15" customHeight="1" x14ac:dyDescent="0.2">
      <c r="D222" s="130" t="b">
        <v>0</v>
      </c>
      <c r="E222" s="124" t="s">
        <v>94</v>
      </c>
      <c r="F222" s="125" t="s">
        <v>91</v>
      </c>
      <c r="G222" s="125">
        <v>3</v>
      </c>
      <c r="H222" s="123">
        <v>2</v>
      </c>
      <c r="I222" s="123" t="s">
        <v>92</v>
      </c>
      <c r="J222" s="123" t="s">
        <v>97</v>
      </c>
      <c r="K222" s="123" t="s">
        <v>93</v>
      </c>
      <c r="L222" s="132">
        <v>142</v>
      </c>
      <c r="M222" s="132">
        <v>0</v>
      </c>
      <c r="N222" s="132">
        <v>1.3210317192519342E+19</v>
      </c>
    </row>
    <row r="223" spans="4:14" ht="15" customHeight="1" x14ac:dyDescent="0.2">
      <c r="D223" s="130" t="b">
        <v>0</v>
      </c>
      <c r="E223" s="124" t="s">
        <v>94</v>
      </c>
      <c r="F223" s="125" t="s">
        <v>91</v>
      </c>
      <c r="G223" s="125">
        <v>3</v>
      </c>
      <c r="H223" s="123">
        <v>2</v>
      </c>
      <c r="I223" s="123" t="s">
        <v>92</v>
      </c>
      <c r="J223" s="123" t="s">
        <v>91</v>
      </c>
      <c r="K223" s="123" t="s">
        <v>93</v>
      </c>
      <c r="L223" s="132">
        <v>143</v>
      </c>
      <c r="M223" s="132">
        <v>0</v>
      </c>
      <c r="N223" s="132">
        <v>4.522081543454591E+18</v>
      </c>
    </row>
    <row r="224" spans="4:14" ht="15" customHeight="1" x14ac:dyDescent="0.2">
      <c r="D224" s="130" t="b">
        <v>0</v>
      </c>
      <c r="E224" s="124" t="s">
        <v>94</v>
      </c>
      <c r="F224" s="125" t="s">
        <v>91</v>
      </c>
      <c r="G224" s="125">
        <v>3</v>
      </c>
      <c r="H224" s="123">
        <v>4</v>
      </c>
      <c r="I224" s="123" t="s">
        <v>95</v>
      </c>
      <c r="J224" s="123" t="s">
        <v>96</v>
      </c>
      <c r="K224" s="123" t="s">
        <v>93</v>
      </c>
      <c r="L224" s="132">
        <v>144</v>
      </c>
      <c r="M224" s="132">
        <v>0</v>
      </c>
      <c r="N224" s="132">
        <v>7.5105441205172388E+18</v>
      </c>
    </row>
    <row r="225" spans="4:14" ht="15" customHeight="1" x14ac:dyDescent="0.2">
      <c r="D225" s="130" t="b">
        <v>0</v>
      </c>
      <c r="E225" s="124" t="s">
        <v>94</v>
      </c>
      <c r="F225" s="125" t="s">
        <v>91</v>
      </c>
      <c r="G225" s="125">
        <v>3</v>
      </c>
      <c r="H225" s="123">
        <v>4</v>
      </c>
      <c r="I225" s="123" t="s">
        <v>95</v>
      </c>
      <c r="J225" s="123" t="s">
        <v>97</v>
      </c>
      <c r="K225" s="123" t="s">
        <v>93</v>
      </c>
      <c r="L225" s="132">
        <v>145</v>
      </c>
      <c r="M225" s="132">
        <v>0</v>
      </c>
      <c r="N225" s="132">
        <v>1.2300402199556833E+18</v>
      </c>
    </row>
    <row r="226" spans="4:14" ht="15" customHeight="1" x14ac:dyDescent="0.2">
      <c r="D226" s="130" t="b">
        <v>0</v>
      </c>
      <c r="E226" s="124" t="s">
        <v>94</v>
      </c>
      <c r="F226" s="125" t="s">
        <v>91</v>
      </c>
      <c r="G226" s="125">
        <v>3</v>
      </c>
      <c r="H226" s="123">
        <v>4</v>
      </c>
      <c r="I226" s="123" t="s">
        <v>95</v>
      </c>
      <c r="J226" s="123" t="s">
        <v>91</v>
      </c>
      <c r="K226" s="123" t="s">
        <v>93</v>
      </c>
      <c r="L226" s="132">
        <v>146</v>
      </c>
      <c r="M226" s="132">
        <v>0</v>
      </c>
      <c r="N226" s="132">
        <v>1.8348255610505129E+18</v>
      </c>
    </row>
    <row r="227" spans="4:14" ht="15" customHeight="1" x14ac:dyDescent="0.2">
      <c r="D227" s="130" t="b">
        <v>0</v>
      </c>
      <c r="E227" s="124" t="s">
        <v>94</v>
      </c>
      <c r="F227" s="125" t="s">
        <v>91</v>
      </c>
      <c r="G227" s="125">
        <v>3</v>
      </c>
      <c r="H227" s="123">
        <v>4</v>
      </c>
      <c r="I227" s="123" t="s">
        <v>97</v>
      </c>
      <c r="J227" s="123" t="s">
        <v>96</v>
      </c>
      <c r="K227" s="123" t="s">
        <v>93</v>
      </c>
      <c r="L227" s="132">
        <v>147</v>
      </c>
      <c r="M227" s="132">
        <v>0</v>
      </c>
      <c r="N227" s="132">
        <v>1.109920671361767E+19</v>
      </c>
    </row>
    <row r="228" spans="4:14" ht="15" customHeight="1" x14ac:dyDescent="0.2">
      <c r="D228" s="130" t="b">
        <v>0</v>
      </c>
      <c r="E228" s="124" t="s">
        <v>94</v>
      </c>
      <c r="F228" s="125" t="s">
        <v>91</v>
      </c>
      <c r="G228" s="125">
        <v>3</v>
      </c>
      <c r="H228" s="123">
        <v>4</v>
      </c>
      <c r="I228" s="123" t="s">
        <v>97</v>
      </c>
      <c r="J228" s="123" t="s">
        <v>97</v>
      </c>
      <c r="K228" s="123" t="s">
        <v>93</v>
      </c>
      <c r="L228" s="132">
        <v>148</v>
      </c>
      <c r="M228" s="132">
        <v>0</v>
      </c>
      <c r="N228" s="132">
        <v>1.6728901268563931E+19</v>
      </c>
    </row>
    <row r="229" spans="4:14" ht="15" customHeight="1" x14ac:dyDescent="0.2">
      <c r="D229" s="130" t="b">
        <v>0</v>
      </c>
      <c r="E229" s="124" t="s">
        <v>94</v>
      </c>
      <c r="F229" s="125" t="s">
        <v>91</v>
      </c>
      <c r="G229" s="125">
        <v>3</v>
      </c>
      <c r="H229" s="123">
        <v>4</v>
      </c>
      <c r="I229" s="123" t="s">
        <v>97</v>
      </c>
      <c r="J229" s="123" t="s">
        <v>91</v>
      </c>
      <c r="K229" s="123" t="s">
        <v>93</v>
      </c>
      <c r="L229" s="132">
        <v>149</v>
      </c>
      <c r="M229" s="132">
        <v>0</v>
      </c>
      <c r="N229" s="132">
        <v>3.5951825595537751E+18</v>
      </c>
    </row>
    <row r="230" spans="4:14" ht="15" customHeight="1" x14ac:dyDescent="0.2">
      <c r="D230" s="130" t="b">
        <v>0</v>
      </c>
      <c r="E230" s="124" t="s">
        <v>94</v>
      </c>
      <c r="F230" s="125" t="s">
        <v>91</v>
      </c>
      <c r="G230" s="125">
        <v>3</v>
      </c>
      <c r="H230" s="123">
        <v>4</v>
      </c>
      <c r="I230" s="123" t="s">
        <v>92</v>
      </c>
      <c r="J230" s="123" t="s">
        <v>96</v>
      </c>
      <c r="K230" s="123" t="s">
        <v>93</v>
      </c>
      <c r="L230" s="132">
        <v>150</v>
      </c>
      <c r="M230" s="132">
        <v>0</v>
      </c>
      <c r="N230" s="132">
        <v>3.5968807986627802E+17</v>
      </c>
    </row>
    <row r="231" spans="4:14" ht="15" customHeight="1" x14ac:dyDescent="0.2">
      <c r="D231" s="130" t="b">
        <v>0</v>
      </c>
      <c r="E231" s="124" t="s">
        <v>94</v>
      </c>
      <c r="F231" s="125" t="s">
        <v>91</v>
      </c>
      <c r="G231" s="125">
        <v>3</v>
      </c>
      <c r="H231" s="123">
        <v>4</v>
      </c>
      <c r="I231" s="123" t="s">
        <v>92</v>
      </c>
      <c r="J231" s="123" t="s">
        <v>97</v>
      </c>
      <c r="K231" s="123" t="s">
        <v>93</v>
      </c>
      <c r="L231" s="132">
        <v>151</v>
      </c>
      <c r="M231" s="132">
        <v>0</v>
      </c>
      <c r="N231" s="132">
        <v>1.2303568330192093E+19</v>
      </c>
    </row>
    <row r="232" spans="4:14" ht="15" customHeight="1" x14ac:dyDescent="0.2">
      <c r="D232" s="130" t="b">
        <v>0</v>
      </c>
      <c r="E232" s="124" t="s">
        <v>94</v>
      </c>
      <c r="F232" s="125" t="s">
        <v>91</v>
      </c>
      <c r="G232" s="125">
        <v>3</v>
      </c>
      <c r="H232" s="123">
        <v>4</v>
      </c>
      <c r="I232" s="123" t="s">
        <v>92</v>
      </c>
      <c r="J232" s="123" t="s">
        <v>91</v>
      </c>
      <c r="K232" s="123" t="s">
        <v>93</v>
      </c>
      <c r="L232" s="132">
        <v>152</v>
      </c>
      <c r="M232" s="132">
        <v>0</v>
      </c>
      <c r="N232" s="132">
        <v>1.2708132073868042E+19</v>
      </c>
    </row>
    <row r="233" spans="4:14" ht="15" customHeight="1" x14ac:dyDescent="0.2">
      <c r="D233" s="130" t="b">
        <v>0</v>
      </c>
      <c r="E233" s="124" t="s">
        <v>94</v>
      </c>
      <c r="F233" s="125" t="s">
        <v>91</v>
      </c>
      <c r="G233" s="125">
        <v>3</v>
      </c>
      <c r="H233" s="123" t="s">
        <v>98</v>
      </c>
      <c r="I233" s="123" t="s">
        <v>95</v>
      </c>
      <c r="J233" s="123" t="s">
        <v>96</v>
      </c>
      <c r="K233" s="123" t="s">
        <v>93</v>
      </c>
      <c r="L233" s="132">
        <v>153</v>
      </c>
      <c r="M233" s="132">
        <v>0</v>
      </c>
      <c r="N233" s="132">
        <v>3.7780547437659709E+18</v>
      </c>
    </row>
    <row r="234" spans="4:14" ht="15" customHeight="1" x14ac:dyDescent="0.2">
      <c r="D234" s="130" t="b">
        <v>0</v>
      </c>
      <c r="E234" s="124" t="s">
        <v>94</v>
      </c>
      <c r="F234" s="125" t="s">
        <v>91</v>
      </c>
      <c r="G234" s="125">
        <v>3</v>
      </c>
      <c r="H234" s="123" t="s">
        <v>98</v>
      </c>
      <c r="I234" s="123" t="s">
        <v>95</v>
      </c>
      <c r="J234" s="123" t="s">
        <v>97</v>
      </c>
      <c r="K234" s="123" t="s">
        <v>93</v>
      </c>
      <c r="L234" s="132">
        <v>154</v>
      </c>
      <c r="M234" s="132">
        <v>0</v>
      </c>
      <c r="N234" s="132">
        <v>1.233522225372491E+19</v>
      </c>
    </row>
    <row r="235" spans="4:14" ht="15" customHeight="1" x14ac:dyDescent="0.2">
      <c r="D235" s="130" t="b">
        <v>0</v>
      </c>
      <c r="E235" s="124" t="s">
        <v>94</v>
      </c>
      <c r="F235" s="125" t="s">
        <v>91</v>
      </c>
      <c r="G235" s="125">
        <v>3</v>
      </c>
      <c r="H235" s="123" t="s">
        <v>98</v>
      </c>
      <c r="I235" s="123" t="s">
        <v>95</v>
      </c>
      <c r="J235" s="123" t="s">
        <v>91</v>
      </c>
      <c r="K235" s="123" t="s">
        <v>93</v>
      </c>
      <c r="L235" s="132">
        <v>155</v>
      </c>
      <c r="M235" s="132">
        <v>0</v>
      </c>
      <c r="N235" s="132">
        <v>1.5286437103977601E+19</v>
      </c>
    </row>
    <row r="236" spans="4:14" ht="15" customHeight="1" x14ac:dyDescent="0.2">
      <c r="D236" s="130" t="b">
        <v>0</v>
      </c>
      <c r="E236" s="124" t="s">
        <v>94</v>
      </c>
      <c r="F236" s="125" t="s">
        <v>91</v>
      </c>
      <c r="G236" s="125">
        <v>3</v>
      </c>
      <c r="H236" s="123" t="s">
        <v>98</v>
      </c>
      <c r="I236" s="123" t="s">
        <v>97</v>
      </c>
      <c r="J236" s="123" t="s">
        <v>96</v>
      </c>
      <c r="K236" s="123" t="s">
        <v>93</v>
      </c>
      <c r="L236" s="132">
        <v>156</v>
      </c>
      <c r="M236" s="132">
        <v>0</v>
      </c>
      <c r="N236" s="132">
        <v>9.4705714450501898E+18</v>
      </c>
    </row>
    <row r="237" spans="4:14" ht="15" customHeight="1" x14ac:dyDescent="0.2">
      <c r="D237" s="130" t="b">
        <v>0</v>
      </c>
      <c r="E237" s="124" t="s">
        <v>94</v>
      </c>
      <c r="F237" s="125" t="s">
        <v>91</v>
      </c>
      <c r="G237" s="125">
        <v>3</v>
      </c>
      <c r="H237" s="123" t="s">
        <v>98</v>
      </c>
      <c r="I237" s="123" t="s">
        <v>97</v>
      </c>
      <c r="J237" s="123" t="s">
        <v>97</v>
      </c>
      <c r="K237" s="123" t="s">
        <v>93</v>
      </c>
      <c r="L237" s="132">
        <v>157</v>
      </c>
      <c r="M237" s="132">
        <v>0</v>
      </c>
      <c r="N237" s="132">
        <v>1.4171982731276673E+19</v>
      </c>
    </row>
    <row r="238" spans="4:14" ht="15" customHeight="1" x14ac:dyDescent="0.2">
      <c r="D238" s="130" t="b">
        <v>0</v>
      </c>
      <c r="E238" s="124" t="s">
        <v>94</v>
      </c>
      <c r="F238" s="125" t="s">
        <v>91</v>
      </c>
      <c r="G238" s="125">
        <v>3</v>
      </c>
      <c r="H238" s="123" t="s">
        <v>98</v>
      </c>
      <c r="I238" s="123" t="s">
        <v>97</v>
      </c>
      <c r="J238" s="123" t="s">
        <v>91</v>
      </c>
      <c r="K238" s="123" t="s">
        <v>93</v>
      </c>
      <c r="L238" s="132">
        <v>158</v>
      </c>
      <c r="M238" s="132">
        <v>0</v>
      </c>
      <c r="N238" s="132">
        <v>1.2515447202006342E+17</v>
      </c>
    </row>
    <row r="239" spans="4:14" ht="15" customHeight="1" x14ac:dyDescent="0.2">
      <c r="D239" s="130" t="b">
        <v>0</v>
      </c>
      <c r="E239" s="124" t="s">
        <v>94</v>
      </c>
      <c r="F239" s="125" t="s">
        <v>91</v>
      </c>
      <c r="G239" s="125">
        <v>3</v>
      </c>
      <c r="H239" s="123" t="s">
        <v>98</v>
      </c>
      <c r="I239" s="123" t="s">
        <v>92</v>
      </c>
      <c r="J239" s="123" t="s">
        <v>96</v>
      </c>
      <c r="K239" s="123" t="s">
        <v>93</v>
      </c>
      <c r="L239" s="132">
        <v>159</v>
      </c>
      <c r="M239" s="132">
        <v>0</v>
      </c>
      <c r="N239" s="132">
        <v>4.6107446038128942E+18</v>
      </c>
    </row>
    <row r="240" spans="4:14" ht="15" customHeight="1" x14ac:dyDescent="0.2">
      <c r="D240" s="130" t="b">
        <v>0</v>
      </c>
      <c r="E240" s="124" t="s">
        <v>94</v>
      </c>
      <c r="F240" s="125" t="s">
        <v>91</v>
      </c>
      <c r="G240" s="125">
        <v>3</v>
      </c>
      <c r="H240" s="123" t="s">
        <v>98</v>
      </c>
      <c r="I240" s="123" t="s">
        <v>92</v>
      </c>
      <c r="J240" s="123" t="s">
        <v>97</v>
      </c>
      <c r="K240" s="123" t="s">
        <v>93</v>
      </c>
      <c r="L240" s="132">
        <v>160</v>
      </c>
      <c r="M240" s="132">
        <v>0</v>
      </c>
      <c r="N240" s="132">
        <v>1.7037703447272825E+19</v>
      </c>
    </row>
    <row r="241" spans="4:14" ht="15" customHeight="1" x14ac:dyDescent="0.2">
      <c r="D241" s="130" t="b">
        <v>0</v>
      </c>
      <c r="E241" s="124" t="s">
        <v>94</v>
      </c>
      <c r="F241" s="125" t="s">
        <v>91</v>
      </c>
      <c r="G241" s="125">
        <v>3</v>
      </c>
      <c r="H241" s="123" t="s">
        <v>98</v>
      </c>
      <c r="I241" s="123" t="s">
        <v>92</v>
      </c>
      <c r="J241" s="123" t="s">
        <v>91</v>
      </c>
      <c r="K241" s="123" t="s">
        <v>93</v>
      </c>
      <c r="L241" s="132">
        <v>161</v>
      </c>
      <c r="M241" s="132">
        <v>0</v>
      </c>
      <c r="N241" s="132">
        <v>1.0945987982591906E+19</v>
      </c>
    </row>
    <row r="242" spans="4:14" ht="15" customHeight="1" x14ac:dyDescent="0.2">
      <c r="D242" s="130" t="b">
        <v>0</v>
      </c>
      <c r="E242" s="124" t="s">
        <v>94</v>
      </c>
      <c r="F242" s="125" t="s">
        <v>91</v>
      </c>
      <c r="G242" s="125">
        <v>4</v>
      </c>
      <c r="H242" s="123">
        <v>2</v>
      </c>
      <c r="I242" s="123" t="s">
        <v>95</v>
      </c>
      <c r="J242" s="123" t="s">
        <v>96</v>
      </c>
      <c r="K242" s="123" t="s">
        <v>93</v>
      </c>
      <c r="L242" s="132">
        <v>162</v>
      </c>
      <c r="M242" s="132">
        <v>0</v>
      </c>
      <c r="N242" s="132">
        <v>1.0027106433911546E+19</v>
      </c>
    </row>
    <row r="243" spans="4:14" ht="15" customHeight="1" x14ac:dyDescent="0.2">
      <c r="D243" s="130" t="b">
        <v>0</v>
      </c>
      <c r="E243" s="124" t="s">
        <v>94</v>
      </c>
      <c r="F243" s="125" t="s">
        <v>91</v>
      </c>
      <c r="G243" s="125">
        <v>4</v>
      </c>
      <c r="H243" s="123">
        <v>2</v>
      </c>
      <c r="I243" s="123" t="s">
        <v>95</v>
      </c>
      <c r="J243" s="123" t="s">
        <v>97</v>
      </c>
      <c r="K243" s="123" t="s">
        <v>93</v>
      </c>
      <c r="L243" s="132">
        <v>163</v>
      </c>
      <c r="M243" s="132">
        <v>0</v>
      </c>
      <c r="N243" s="132">
        <v>4.1295975244988575E+18</v>
      </c>
    </row>
    <row r="244" spans="4:14" ht="15" customHeight="1" x14ac:dyDescent="0.2">
      <c r="D244" s="130" t="b">
        <v>0</v>
      </c>
      <c r="E244" s="124" t="s">
        <v>94</v>
      </c>
      <c r="F244" s="125" t="s">
        <v>91</v>
      </c>
      <c r="G244" s="125">
        <v>4</v>
      </c>
      <c r="H244" s="123">
        <v>2</v>
      </c>
      <c r="I244" s="123" t="s">
        <v>95</v>
      </c>
      <c r="J244" s="123" t="s">
        <v>91</v>
      </c>
      <c r="K244" s="123" t="s">
        <v>93</v>
      </c>
      <c r="L244" s="132">
        <v>164</v>
      </c>
      <c r="M244" s="132">
        <v>0</v>
      </c>
      <c r="N244" s="132">
        <v>1.6890851577701691E+19</v>
      </c>
    </row>
    <row r="245" spans="4:14" ht="15" customHeight="1" x14ac:dyDescent="0.2">
      <c r="D245" s="130" t="b">
        <v>0</v>
      </c>
      <c r="E245" s="124" t="s">
        <v>94</v>
      </c>
      <c r="F245" s="125" t="s">
        <v>91</v>
      </c>
      <c r="G245" s="125">
        <v>4</v>
      </c>
      <c r="H245" s="123">
        <v>2</v>
      </c>
      <c r="I245" s="123" t="s">
        <v>97</v>
      </c>
      <c r="J245" s="123" t="s">
        <v>96</v>
      </c>
      <c r="K245" s="123" t="s">
        <v>93</v>
      </c>
      <c r="L245" s="132">
        <v>165</v>
      </c>
      <c r="M245" s="132">
        <v>0</v>
      </c>
      <c r="N245" s="132">
        <v>1.4362907189551852E+19</v>
      </c>
    </row>
    <row r="246" spans="4:14" ht="15" customHeight="1" x14ac:dyDescent="0.2">
      <c r="D246" s="130" t="b">
        <v>0</v>
      </c>
      <c r="E246" s="124" t="s">
        <v>94</v>
      </c>
      <c r="F246" s="125" t="s">
        <v>91</v>
      </c>
      <c r="G246" s="125">
        <v>4</v>
      </c>
      <c r="H246" s="123">
        <v>2</v>
      </c>
      <c r="I246" s="123" t="s">
        <v>97</v>
      </c>
      <c r="J246" s="123" t="s">
        <v>97</v>
      </c>
      <c r="K246" s="123" t="s">
        <v>93</v>
      </c>
      <c r="L246" s="132">
        <v>166</v>
      </c>
      <c r="M246" s="132">
        <v>0</v>
      </c>
      <c r="N246" s="132">
        <v>1.4337923970328318E+19</v>
      </c>
    </row>
    <row r="247" spans="4:14" ht="15" customHeight="1" x14ac:dyDescent="0.2">
      <c r="D247" s="130" t="b">
        <v>0</v>
      </c>
      <c r="E247" s="124" t="s">
        <v>94</v>
      </c>
      <c r="F247" s="125" t="s">
        <v>91</v>
      </c>
      <c r="G247" s="125">
        <v>4</v>
      </c>
      <c r="H247" s="123">
        <v>2</v>
      </c>
      <c r="I247" s="123" t="s">
        <v>97</v>
      </c>
      <c r="J247" s="123" t="s">
        <v>91</v>
      </c>
      <c r="K247" s="123" t="s">
        <v>93</v>
      </c>
      <c r="L247" s="132">
        <v>167</v>
      </c>
      <c r="M247" s="132">
        <v>0</v>
      </c>
      <c r="N247" s="132">
        <v>6.8350810739044987E+18</v>
      </c>
    </row>
    <row r="248" spans="4:14" ht="15" customHeight="1" x14ac:dyDescent="0.2">
      <c r="D248" s="130" t="b">
        <v>0</v>
      </c>
      <c r="E248" s="124" t="s">
        <v>94</v>
      </c>
      <c r="F248" s="125" t="s">
        <v>91</v>
      </c>
      <c r="G248" s="125">
        <v>4</v>
      </c>
      <c r="H248" s="123">
        <v>2</v>
      </c>
      <c r="I248" s="123" t="s">
        <v>92</v>
      </c>
      <c r="J248" s="123" t="s">
        <v>96</v>
      </c>
      <c r="K248" s="123" t="s">
        <v>93</v>
      </c>
      <c r="L248" s="132">
        <v>168</v>
      </c>
      <c r="M248" s="132">
        <v>0</v>
      </c>
      <c r="N248" s="132">
        <v>1.6691371947253871E+19</v>
      </c>
    </row>
    <row r="249" spans="4:14" ht="15" customHeight="1" x14ac:dyDescent="0.2">
      <c r="D249" s="130" t="b">
        <v>0</v>
      </c>
      <c r="E249" s="124" t="s">
        <v>94</v>
      </c>
      <c r="F249" s="125" t="s">
        <v>91</v>
      </c>
      <c r="G249" s="125">
        <v>4</v>
      </c>
      <c r="H249" s="123">
        <v>2</v>
      </c>
      <c r="I249" s="123" t="s">
        <v>92</v>
      </c>
      <c r="J249" s="123" t="s">
        <v>97</v>
      </c>
      <c r="K249" s="123" t="s">
        <v>93</v>
      </c>
      <c r="L249" s="132">
        <v>169</v>
      </c>
      <c r="M249" s="132">
        <v>0</v>
      </c>
      <c r="N249" s="132">
        <v>1.7182108402968887E+19</v>
      </c>
    </row>
    <row r="250" spans="4:14" ht="15" customHeight="1" x14ac:dyDescent="0.2">
      <c r="D250" s="130" t="b">
        <v>0</v>
      </c>
      <c r="E250" s="124" t="s">
        <v>94</v>
      </c>
      <c r="F250" s="125" t="s">
        <v>91</v>
      </c>
      <c r="G250" s="125">
        <v>4</v>
      </c>
      <c r="H250" s="123">
        <v>2</v>
      </c>
      <c r="I250" s="123" t="s">
        <v>92</v>
      </c>
      <c r="J250" s="123" t="s">
        <v>91</v>
      </c>
      <c r="K250" s="123" t="s">
        <v>93</v>
      </c>
      <c r="L250" s="132">
        <v>170</v>
      </c>
      <c r="M250" s="132">
        <v>0</v>
      </c>
      <c r="N250" s="132">
        <v>5.0248087904310579E+18</v>
      </c>
    </row>
    <row r="251" spans="4:14" ht="15" customHeight="1" x14ac:dyDescent="0.2">
      <c r="D251" s="130" t="b">
        <v>0</v>
      </c>
      <c r="E251" s="124" t="s">
        <v>94</v>
      </c>
      <c r="F251" s="125" t="s">
        <v>91</v>
      </c>
      <c r="G251" s="125">
        <v>4</v>
      </c>
      <c r="H251" s="123">
        <v>4</v>
      </c>
      <c r="I251" s="123" t="s">
        <v>95</v>
      </c>
      <c r="J251" s="123" t="s">
        <v>96</v>
      </c>
      <c r="K251" s="123" t="s">
        <v>93</v>
      </c>
      <c r="L251" s="132">
        <v>171</v>
      </c>
      <c r="M251" s="132">
        <v>0</v>
      </c>
      <c r="N251" s="132">
        <v>8.7497729399785789E+18</v>
      </c>
    </row>
    <row r="252" spans="4:14" ht="15" customHeight="1" x14ac:dyDescent="0.2">
      <c r="D252" s="130" t="b">
        <v>0</v>
      </c>
      <c r="E252" s="124" t="s">
        <v>94</v>
      </c>
      <c r="F252" s="125" t="s">
        <v>91</v>
      </c>
      <c r="G252" s="125">
        <v>4</v>
      </c>
      <c r="H252" s="123">
        <v>4</v>
      </c>
      <c r="I252" s="123" t="s">
        <v>95</v>
      </c>
      <c r="J252" s="123" t="s">
        <v>97</v>
      </c>
      <c r="K252" s="123" t="s">
        <v>93</v>
      </c>
      <c r="L252" s="132">
        <v>172</v>
      </c>
      <c r="M252" s="132">
        <v>0</v>
      </c>
      <c r="N252" s="132">
        <v>1.8326278981871702E+19</v>
      </c>
    </row>
    <row r="253" spans="4:14" ht="15" customHeight="1" x14ac:dyDescent="0.2">
      <c r="D253" s="130" t="b">
        <v>0</v>
      </c>
      <c r="E253" s="124" t="s">
        <v>94</v>
      </c>
      <c r="F253" s="125" t="s">
        <v>91</v>
      </c>
      <c r="G253" s="125">
        <v>4</v>
      </c>
      <c r="H253" s="123">
        <v>4</v>
      </c>
      <c r="I253" s="123" t="s">
        <v>95</v>
      </c>
      <c r="J253" s="123" t="s">
        <v>91</v>
      </c>
      <c r="K253" s="123" t="s">
        <v>93</v>
      </c>
      <c r="L253" s="132">
        <v>173</v>
      </c>
      <c r="M253" s="132">
        <v>0</v>
      </c>
      <c r="N253" s="132">
        <v>9.6035652810765558E+18</v>
      </c>
    </row>
    <row r="254" spans="4:14" ht="15" customHeight="1" x14ac:dyDescent="0.2">
      <c r="D254" s="130" t="b">
        <v>0</v>
      </c>
      <c r="E254" s="124" t="s">
        <v>94</v>
      </c>
      <c r="F254" s="125" t="s">
        <v>91</v>
      </c>
      <c r="G254" s="125">
        <v>4</v>
      </c>
      <c r="H254" s="123">
        <v>4</v>
      </c>
      <c r="I254" s="123" t="s">
        <v>97</v>
      </c>
      <c r="J254" s="123" t="s">
        <v>96</v>
      </c>
      <c r="K254" s="123" t="s">
        <v>93</v>
      </c>
      <c r="L254" s="132">
        <v>174</v>
      </c>
      <c r="M254" s="132">
        <v>0</v>
      </c>
      <c r="N254" s="132">
        <v>6.4672321965187482E+18</v>
      </c>
    </row>
    <row r="255" spans="4:14" ht="15" customHeight="1" x14ac:dyDescent="0.2">
      <c r="D255" s="130" t="b">
        <v>0</v>
      </c>
      <c r="E255" s="124" t="s">
        <v>94</v>
      </c>
      <c r="F255" s="125" t="s">
        <v>91</v>
      </c>
      <c r="G255" s="125">
        <v>4</v>
      </c>
      <c r="H255" s="123">
        <v>4</v>
      </c>
      <c r="I255" s="123" t="s">
        <v>97</v>
      </c>
      <c r="J255" s="123" t="s">
        <v>97</v>
      </c>
      <c r="K255" s="123" t="s">
        <v>93</v>
      </c>
      <c r="L255" s="132">
        <v>175</v>
      </c>
      <c r="M255" s="132">
        <v>0</v>
      </c>
      <c r="N255" s="132">
        <v>1.0493863285939558E+19</v>
      </c>
    </row>
    <row r="256" spans="4:14" ht="15" customHeight="1" x14ac:dyDescent="0.2">
      <c r="D256" s="130" t="b">
        <v>0</v>
      </c>
      <c r="E256" s="124" t="s">
        <v>94</v>
      </c>
      <c r="F256" s="125" t="s">
        <v>91</v>
      </c>
      <c r="G256" s="125">
        <v>4</v>
      </c>
      <c r="H256" s="123">
        <v>4</v>
      </c>
      <c r="I256" s="123" t="s">
        <v>97</v>
      </c>
      <c r="J256" s="123" t="s">
        <v>91</v>
      </c>
      <c r="K256" s="123" t="s">
        <v>93</v>
      </c>
      <c r="L256" s="132">
        <v>176</v>
      </c>
      <c r="M256" s="132">
        <v>0</v>
      </c>
      <c r="N256" s="132">
        <v>1.6145148510147457E+19</v>
      </c>
    </row>
    <row r="257" spans="4:14" ht="15" customHeight="1" x14ac:dyDescent="0.2">
      <c r="D257" s="130" t="b">
        <v>0</v>
      </c>
      <c r="E257" s="124" t="s">
        <v>94</v>
      </c>
      <c r="F257" s="125" t="s">
        <v>91</v>
      </c>
      <c r="G257" s="125">
        <v>4</v>
      </c>
      <c r="H257" s="123">
        <v>4</v>
      </c>
      <c r="I257" s="123" t="s">
        <v>92</v>
      </c>
      <c r="J257" s="123" t="s">
        <v>96</v>
      </c>
      <c r="K257" s="123" t="s">
        <v>93</v>
      </c>
      <c r="L257" s="132">
        <v>177</v>
      </c>
      <c r="M257" s="132">
        <v>0</v>
      </c>
      <c r="N257" s="132">
        <v>9.9289890910739374E+18</v>
      </c>
    </row>
    <row r="258" spans="4:14" ht="15" customHeight="1" x14ac:dyDescent="0.2">
      <c r="D258" s="130" t="b">
        <v>0</v>
      </c>
      <c r="E258" s="124" t="s">
        <v>94</v>
      </c>
      <c r="F258" s="125" t="s">
        <v>91</v>
      </c>
      <c r="G258" s="125">
        <v>4</v>
      </c>
      <c r="H258" s="123">
        <v>4</v>
      </c>
      <c r="I258" s="123" t="s">
        <v>92</v>
      </c>
      <c r="J258" s="123" t="s">
        <v>97</v>
      </c>
      <c r="K258" s="123" t="s">
        <v>93</v>
      </c>
      <c r="L258" s="132">
        <v>178</v>
      </c>
      <c r="M258" s="132">
        <v>0</v>
      </c>
      <c r="N258" s="132">
        <v>4.5597994206796887E+18</v>
      </c>
    </row>
    <row r="259" spans="4:14" ht="15" customHeight="1" x14ac:dyDescent="0.2">
      <c r="D259" s="130" t="b">
        <v>0</v>
      </c>
      <c r="E259" s="124" t="s">
        <v>94</v>
      </c>
      <c r="F259" s="125" t="s">
        <v>91</v>
      </c>
      <c r="G259" s="125">
        <v>4</v>
      </c>
      <c r="H259" s="123">
        <v>4</v>
      </c>
      <c r="I259" s="123" t="s">
        <v>92</v>
      </c>
      <c r="J259" s="123" t="s">
        <v>91</v>
      </c>
      <c r="K259" s="123" t="s">
        <v>93</v>
      </c>
      <c r="L259" s="132">
        <v>179</v>
      </c>
      <c r="M259" s="132">
        <v>0</v>
      </c>
      <c r="N259" s="132">
        <v>1.4439908885688844E+19</v>
      </c>
    </row>
    <row r="260" spans="4:14" ht="15" customHeight="1" x14ac:dyDescent="0.2">
      <c r="D260" s="130" t="b">
        <v>0</v>
      </c>
      <c r="E260" s="124" t="s">
        <v>94</v>
      </c>
      <c r="F260" s="125" t="s">
        <v>91</v>
      </c>
      <c r="G260" s="125">
        <v>4</v>
      </c>
      <c r="H260" s="123" t="s">
        <v>98</v>
      </c>
      <c r="I260" s="123" t="s">
        <v>95</v>
      </c>
      <c r="J260" s="123" t="s">
        <v>96</v>
      </c>
      <c r="K260" s="123" t="s">
        <v>93</v>
      </c>
      <c r="L260" s="132">
        <v>180</v>
      </c>
      <c r="M260" s="132">
        <v>0</v>
      </c>
      <c r="N260" s="132">
        <v>8.593491650085033E+18</v>
      </c>
    </row>
    <row r="261" spans="4:14" ht="15" customHeight="1" x14ac:dyDescent="0.2">
      <c r="D261" s="130" t="b">
        <v>0</v>
      </c>
      <c r="E261" s="124" t="s">
        <v>94</v>
      </c>
      <c r="F261" s="125" t="s">
        <v>91</v>
      </c>
      <c r="G261" s="125">
        <v>4</v>
      </c>
      <c r="H261" s="123" t="s">
        <v>98</v>
      </c>
      <c r="I261" s="123" t="s">
        <v>95</v>
      </c>
      <c r="J261" s="123" t="s">
        <v>97</v>
      </c>
      <c r="K261" s="123" t="s">
        <v>93</v>
      </c>
      <c r="L261" s="132">
        <v>181</v>
      </c>
      <c r="M261" s="132">
        <v>0</v>
      </c>
      <c r="N261" s="132">
        <v>1.1677265015041069E+19</v>
      </c>
    </row>
    <row r="262" spans="4:14" ht="15" customHeight="1" x14ac:dyDescent="0.2">
      <c r="D262" s="130" t="b">
        <v>0</v>
      </c>
      <c r="E262" s="124" t="s">
        <v>94</v>
      </c>
      <c r="F262" s="125" t="s">
        <v>91</v>
      </c>
      <c r="G262" s="125">
        <v>4</v>
      </c>
      <c r="H262" s="123" t="s">
        <v>98</v>
      </c>
      <c r="I262" s="123" t="s">
        <v>95</v>
      </c>
      <c r="J262" s="123" t="s">
        <v>91</v>
      </c>
      <c r="K262" s="123" t="s">
        <v>93</v>
      </c>
      <c r="L262" s="132">
        <v>182</v>
      </c>
      <c r="M262" s="132">
        <v>0</v>
      </c>
      <c r="N262" s="132">
        <v>1.3581801519458505E+19</v>
      </c>
    </row>
    <row r="263" spans="4:14" ht="15" customHeight="1" x14ac:dyDescent="0.2">
      <c r="D263" s="130" t="b">
        <v>0</v>
      </c>
      <c r="E263" s="124" t="s">
        <v>94</v>
      </c>
      <c r="F263" s="125" t="s">
        <v>91</v>
      </c>
      <c r="G263" s="125">
        <v>4</v>
      </c>
      <c r="H263" s="123" t="s">
        <v>98</v>
      </c>
      <c r="I263" s="123" t="s">
        <v>97</v>
      </c>
      <c r="J263" s="123" t="s">
        <v>96</v>
      </c>
      <c r="K263" s="123" t="s">
        <v>93</v>
      </c>
      <c r="L263" s="132">
        <v>183</v>
      </c>
      <c r="M263" s="132">
        <v>0</v>
      </c>
      <c r="N263" s="132">
        <v>5.9286490421849846E+18</v>
      </c>
    </row>
    <row r="264" spans="4:14" ht="15" customHeight="1" x14ac:dyDescent="0.2">
      <c r="D264" s="130" t="b">
        <v>0</v>
      </c>
      <c r="E264" s="124" t="s">
        <v>94</v>
      </c>
      <c r="F264" s="125" t="s">
        <v>91</v>
      </c>
      <c r="G264" s="125">
        <v>4</v>
      </c>
      <c r="H264" s="123" t="s">
        <v>98</v>
      </c>
      <c r="I264" s="123" t="s">
        <v>97</v>
      </c>
      <c r="J264" s="123" t="s">
        <v>97</v>
      </c>
      <c r="K264" s="123" t="s">
        <v>93</v>
      </c>
      <c r="L264" s="132">
        <v>184</v>
      </c>
      <c r="M264" s="132">
        <v>0</v>
      </c>
      <c r="N264" s="132">
        <v>1.0919173746949523E+19</v>
      </c>
    </row>
    <row r="265" spans="4:14" ht="15" customHeight="1" x14ac:dyDescent="0.2">
      <c r="D265" s="130" t="b">
        <v>0</v>
      </c>
      <c r="E265" s="124" t="s">
        <v>94</v>
      </c>
      <c r="F265" s="125" t="s">
        <v>91</v>
      </c>
      <c r="G265" s="125">
        <v>4</v>
      </c>
      <c r="H265" s="123" t="s">
        <v>98</v>
      </c>
      <c r="I265" s="123" t="s">
        <v>97</v>
      </c>
      <c r="J265" s="123" t="s">
        <v>91</v>
      </c>
      <c r="K265" s="123" t="s">
        <v>93</v>
      </c>
      <c r="L265" s="132">
        <v>185</v>
      </c>
      <c r="M265" s="132">
        <v>0</v>
      </c>
      <c r="N265" s="132">
        <v>1.1147639430812742E+19</v>
      </c>
    </row>
    <row r="266" spans="4:14" ht="15" customHeight="1" x14ac:dyDescent="0.2">
      <c r="D266" s="130" t="b">
        <v>0</v>
      </c>
      <c r="E266" s="124" t="s">
        <v>94</v>
      </c>
      <c r="F266" s="125" t="s">
        <v>91</v>
      </c>
      <c r="G266" s="125">
        <v>4</v>
      </c>
      <c r="H266" s="123" t="s">
        <v>98</v>
      </c>
      <c r="I266" s="123" t="s">
        <v>92</v>
      </c>
      <c r="J266" s="123" t="s">
        <v>96</v>
      </c>
      <c r="K266" s="123" t="s">
        <v>93</v>
      </c>
      <c r="L266" s="132">
        <v>186</v>
      </c>
      <c r="M266" s="132">
        <v>0</v>
      </c>
      <c r="N266" s="132">
        <v>2.6063070053479782E+18</v>
      </c>
    </row>
    <row r="267" spans="4:14" ht="15" customHeight="1" x14ac:dyDescent="0.2">
      <c r="D267" s="130" t="b">
        <v>0</v>
      </c>
      <c r="E267" s="124" t="s">
        <v>94</v>
      </c>
      <c r="F267" s="125" t="s">
        <v>91</v>
      </c>
      <c r="G267" s="125">
        <v>4</v>
      </c>
      <c r="H267" s="123" t="s">
        <v>98</v>
      </c>
      <c r="I267" s="123" t="s">
        <v>92</v>
      </c>
      <c r="J267" s="123" t="s">
        <v>97</v>
      </c>
      <c r="K267" s="123" t="s">
        <v>93</v>
      </c>
      <c r="L267" s="132">
        <v>187</v>
      </c>
      <c r="M267" s="132">
        <v>0</v>
      </c>
      <c r="N267" s="132">
        <v>1.0542970455399526E+19</v>
      </c>
    </row>
    <row r="268" spans="4:14" ht="15" customHeight="1" x14ac:dyDescent="0.2">
      <c r="D268" s="130" t="b">
        <v>0</v>
      </c>
      <c r="E268" s="124" t="s">
        <v>94</v>
      </c>
      <c r="F268" s="125" t="s">
        <v>91</v>
      </c>
      <c r="G268" s="125">
        <v>4</v>
      </c>
      <c r="H268" s="123" t="s">
        <v>98</v>
      </c>
      <c r="I268" s="123" t="s">
        <v>92</v>
      </c>
      <c r="J268" s="123" t="s">
        <v>91</v>
      </c>
      <c r="K268" s="123" t="s">
        <v>93</v>
      </c>
      <c r="L268" s="132">
        <v>188</v>
      </c>
      <c r="M268" s="132">
        <v>0</v>
      </c>
      <c r="N268" s="132">
        <v>6.660806373404802E+18</v>
      </c>
    </row>
    <row r="269" spans="4:14" ht="15" customHeight="1" x14ac:dyDescent="0.2">
      <c r="D269" s="130" t="b">
        <v>0</v>
      </c>
      <c r="E269" s="124" t="s">
        <v>94</v>
      </c>
      <c r="F269" s="125" t="s">
        <v>91</v>
      </c>
      <c r="G269" s="125" t="s">
        <v>99</v>
      </c>
      <c r="H269" s="123">
        <v>2</v>
      </c>
      <c r="I269" s="123" t="s">
        <v>95</v>
      </c>
      <c r="J269" s="123" t="s">
        <v>96</v>
      </c>
      <c r="K269" s="123" t="s">
        <v>93</v>
      </c>
      <c r="L269" s="132">
        <v>189</v>
      </c>
      <c r="M269" s="132">
        <v>0</v>
      </c>
      <c r="N269" s="132">
        <v>2.2403773488239849E+18</v>
      </c>
    </row>
    <row r="270" spans="4:14" ht="15" customHeight="1" x14ac:dyDescent="0.2">
      <c r="D270" s="130" t="b">
        <v>0</v>
      </c>
      <c r="E270" s="124" t="s">
        <v>94</v>
      </c>
      <c r="F270" s="125" t="s">
        <v>91</v>
      </c>
      <c r="G270" s="125" t="s">
        <v>99</v>
      </c>
      <c r="H270" s="123">
        <v>2</v>
      </c>
      <c r="I270" s="123" t="s">
        <v>95</v>
      </c>
      <c r="J270" s="123" t="s">
        <v>97</v>
      </c>
      <c r="K270" s="123" t="s">
        <v>93</v>
      </c>
      <c r="L270" s="132">
        <v>190</v>
      </c>
      <c r="M270" s="132">
        <v>0</v>
      </c>
      <c r="N270" s="132">
        <v>3.4592747381847255E+18</v>
      </c>
    </row>
    <row r="271" spans="4:14" ht="15" customHeight="1" x14ac:dyDescent="0.2">
      <c r="D271" s="130" t="b">
        <v>0</v>
      </c>
      <c r="E271" s="124" t="s">
        <v>94</v>
      </c>
      <c r="F271" s="125" t="s">
        <v>91</v>
      </c>
      <c r="G271" s="125" t="s">
        <v>99</v>
      </c>
      <c r="H271" s="123">
        <v>2</v>
      </c>
      <c r="I271" s="123" t="s">
        <v>95</v>
      </c>
      <c r="J271" s="123" t="s">
        <v>91</v>
      </c>
      <c r="K271" s="123" t="s">
        <v>93</v>
      </c>
      <c r="L271" s="132">
        <v>191</v>
      </c>
      <c r="M271" s="132">
        <v>0</v>
      </c>
      <c r="N271" s="132">
        <v>1.338458032307993E+19</v>
      </c>
    </row>
    <row r="272" spans="4:14" ht="15" customHeight="1" x14ac:dyDescent="0.2">
      <c r="D272" s="130" t="b">
        <v>0</v>
      </c>
      <c r="E272" s="124" t="s">
        <v>94</v>
      </c>
      <c r="F272" s="125" t="s">
        <v>91</v>
      </c>
      <c r="G272" s="125" t="s">
        <v>99</v>
      </c>
      <c r="H272" s="123">
        <v>2</v>
      </c>
      <c r="I272" s="123" t="s">
        <v>97</v>
      </c>
      <c r="J272" s="123" t="s">
        <v>96</v>
      </c>
      <c r="K272" s="123" t="s">
        <v>93</v>
      </c>
      <c r="L272" s="132">
        <v>192</v>
      </c>
      <c r="M272" s="132">
        <v>0</v>
      </c>
      <c r="N272" s="132">
        <v>1.7784591074490132E+19</v>
      </c>
    </row>
    <row r="273" spans="4:14" ht="15" customHeight="1" x14ac:dyDescent="0.2">
      <c r="D273" s="130" t="b">
        <v>0</v>
      </c>
      <c r="E273" s="124" t="s">
        <v>94</v>
      </c>
      <c r="F273" s="125" t="s">
        <v>91</v>
      </c>
      <c r="G273" s="125" t="s">
        <v>99</v>
      </c>
      <c r="H273" s="123">
        <v>2</v>
      </c>
      <c r="I273" s="123" t="s">
        <v>97</v>
      </c>
      <c r="J273" s="123" t="s">
        <v>97</v>
      </c>
      <c r="K273" s="123" t="s">
        <v>93</v>
      </c>
      <c r="L273" s="132">
        <v>193</v>
      </c>
      <c r="M273" s="132">
        <v>0</v>
      </c>
      <c r="N273" s="132">
        <v>1.2535979661752312E+18</v>
      </c>
    </row>
    <row r="274" spans="4:14" ht="15" customHeight="1" x14ac:dyDescent="0.2">
      <c r="D274" s="130" t="b">
        <v>0</v>
      </c>
      <c r="E274" s="124" t="s">
        <v>94</v>
      </c>
      <c r="F274" s="125" t="s">
        <v>91</v>
      </c>
      <c r="G274" s="125" t="s">
        <v>99</v>
      </c>
      <c r="H274" s="123">
        <v>2</v>
      </c>
      <c r="I274" s="123" t="s">
        <v>97</v>
      </c>
      <c r="J274" s="123" t="s">
        <v>91</v>
      </c>
      <c r="K274" s="123" t="s">
        <v>93</v>
      </c>
      <c r="L274" s="132">
        <v>194</v>
      </c>
      <c r="M274" s="132">
        <v>0</v>
      </c>
      <c r="N274" s="132">
        <v>8.6013733204806221E+17</v>
      </c>
    </row>
    <row r="275" spans="4:14" ht="15" customHeight="1" x14ac:dyDescent="0.2">
      <c r="D275" s="130" t="b">
        <v>0</v>
      </c>
      <c r="E275" s="124" t="s">
        <v>94</v>
      </c>
      <c r="F275" s="125" t="s">
        <v>91</v>
      </c>
      <c r="G275" s="125" t="s">
        <v>99</v>
      </c>
      <c r="H275" s="123">
        <v>2</v>
      </c>
      <c r="I275" s="123" t="s">
        <v>92</v>
      </c>
      <c r="J275" s="123" t="s">
        <v>96</v>
      </c>
      <c r="K275" s="123" t="s">
        <v>93</v>
      </c>
      <c r="L275" s="132">
        <v>195</v>
      </c>
      <c r="M275" s="132">
        <v>0</v>
      </c>
      <c r="N275" s="132">
        <v>7.7596419303343718E+17</v>
      </c>
    </row>
    <row r="276" spans="4:14" ht="15" customHeight="1" x14ac:dyDescent="0.2">
      <c r="D276" s="130" t="b">
        <v>0</v>
      </c>
      <c r="E276" s="124" t="s">
        <v>94</v>
      </c>
      <c r="F276" s="125" t="s">
        <v>91</v>
      </c>
      <c r="G276" s="125" t="s">
        <v>99</v>
      </c>
      <c r="H276" s="123">
        <v>2</v>
      </c>
      <c r="I276" s="123" t="s">
        <v>92</v>
      </c>
      <c r="J276" s="123" t="s">
        <v>97</v>
      </c>
      <c r="K276" s="123" t="s">
        <v>93</v>
      </c>
      <c r="L276" s="132">
        <v>196</v>
      </c>
      <c r="M276" s="132">
        <v>0</v>
      </c>
      <c r="N276" s="132">
        <v>5.0781142600497224E+18</v>
      </c>
    </row>
    <row r="277" spans="4:14" ht="15" customHeight="1" x14ac:dyDescent="0.2">
      <c r="D277" s="130" t="b">
        <v>0</v>
      </c>
      <c r="E277" s="124" t="s">
        <v>94</v>
      </c>
      <c r="F277" s="125" t="s">
        <v>91</v>
      </c>
      <c r="G277" s="125" t="s">
        <v>99</v>
      </c>
      <c r="H277" s="123">
        <v>2</v>
      </c>
      <c r="I277" s="123" t="s">
        <v>92</v>
      </c>
      <c r="J277" s="123" t="s">
        <v>91</v>
      </c>
      <c r="K277" s="123" t="s">
        <v>93</v>
      </c>
      <c r="L277" s="132">
        <v>197</v>
      </c>
      <c r="M277" s="132">
        <v>0</v>
      </c>
      <c r="N277" s="132">
        <v>9.1240692509495306E+18</v>
      </c>
    </row>
    <row r="278" spans="4:14" ht="15" customHeight="1" x14ac:dyDescent="0.2">
      <c r="D278" s="130" t="b">
        <v>0</v>
      </c>
      <c r="E278" s="124" t="s">
        <v>94</v>
      </c>
      <c r="F278" s="125" t="s">
        <v>91</v>
      </c>
      <c r="G278" s="125" t="s">
        <v>99</v>
      </c>
      <c r="H278" s="123">
        <v>4</v>
      </c>
      <c r="I278" s="123" t="s">
        <v>95</v>
      </c>
      <c r="J278" s="123" t="s">
        <v>96</v>
      </c>
      <c r="K278" s="123" t="s">
        <v>93</v>
      </c>
      <c r="L278" s="132">
        <v>198</v>
      </c>
      <c r="M278" s="132">
        <v>0</v>
      </c>
      <c r="N278" s="132">
        <v>9.3071426852187832E+18</v>
      </c>
    </row>
    <row r="279" spans="4:14" ht="15" customHeight="1" x14ac:dyDescent="0.2">
      <c r="D279" s="130" t="b">
        <v>0</v>
      </c>
      <c r="E279" s="124" t="s">
        <v>94</v>
      </c>
      <c r="F279" s="125" t="s">
        <v>91</v>
      </c>
      <c r="G279" s="125" t="s">
        <v>99</v>
      </c>
      <c r="H279" s="123">
        <v>4</v>
      </c>
      <c r="I279" s="123" t="s">
        <v>95</v>
      </c>
      <c r="J279" s="123" t="s">
        <v>97</v>
      </c>
      <c r="K279" s="123" t="s">
        <v>93</v>
      </c>
      <c r="L279" s="132">
        <v>199</v>
      </c>
      <c r="M279" s="132">
        <v>0</v>
      </c>
      <c r="N279" s="132">
        <v>7.3997237213648998E+18</v>
      </c>
    </row>
    <row r="280" spans="4:14" ht="15" customHeight="1" x14ac:dyDescent="0.2">
      <c r="D280" s="130" t="b">
        <v>0</v>
      </c>
      <c r="E280" s="124" t="s">
        <v>94</v>
      </c>
      <c r="F280" s="125" t="s">
        <v>91</v>
      </c>
      <c r="G280" s="125" t="s">
        <v>99</v>
      </c>
      <c r="H280" s="123">
        <v>4</v>
      </c>
      <c r="I280" s="123" t="s">
        <v>95</v>
      </c>
      <c r="J280" s="123" t="s">
        <v>91</v>
      </c>
      <c r="K280" s="123" t="s">
        <v>93</v>
      </c>
      <c r="L280" s="132">
        <v>200</v>
      </c>
      <c r="M280" s="132">
        <v>0</v>
      </c>
      <c r="N280" s="132">
        <v>4.1868860367524357E+18</v>
      </c>
    </row>
    <row r="281" spans="4:14" ht="15" customHeight="1" x14ac:dyDescent="0.2">
      <c r="D281" s="130" t="b">
        <v>0</v>
      </c>
      <c r="E281" s="124" t="s">
        <v>94</v>
      </c>
      <c r="F281" s="125" t="s">
        <v>91</v>
      </c>
      <c r="G281" s="125" t="s">
        <v>99</v>
      </c>
      <c r="H281" s="123">
        <v>4</v>
      </c>
      <c r="I281" s="123" t="s">
        <v>97</v>
      </c>
      <c r="J281" s="123" t="s">
        <v>96</v>
      </c>
      <c r="K281" s="123" t="s">
        <v>93</v>
      </c>
      <c r="L281" s="132">
        <v>201</v>
      </c>
      <c r="M281" s="132">
        <v>0</v>
      </c>
      <c r="N281" s="132">
        <v>1.1165952886230684E+19</v>
      </c>
    </row>
    <row r="282" spans="4:14" ht="15" customHeight="1" x14ac:dyDescent="0.2">
      <c r="D282" s="130" t="b">
        <v>0</v>
      </c>
      <c r="E282" s="124" t="s">
        <v>94</v>
      </c>
      <c r="F282" s="125" t="s">
        <v>91</v>
      </c>
      <c r="G282" s="125" t="s">
        <v>99</v>
      </c>
      <c r="H282" s="123">
        <v>4</v>
      </c>
      <c r="I282" s="123" t="s">
        <v>97</v>
      </c>
      <c r="J282" s="123" t="s">
        <v>97</v>
      </c>
      <c r="K282" s="123" t="s">
        <v>93</v>
      </c>
      <c r="L282" s="132">
        <v>202</v>
      </c>
      <c r="M282" s="132">
        <v>0</v>
      </c>
      <c r="N282" s="132">
        <v>1.2398438125236398E+19</v>
      </c>
    </row>
    <row r="283" spans="4:14" ht="15" customHeight="1" x14ac:dyDescent="0.2">
      <c r="D283" s="130" t="b">
        <v>0</v>
      </c>
      <c r="E283" s="124" t="s">
        <v>94</v>
      </c>
      <c r="F283" s="125" t="s">
        <v>91</v>
      </c>
      <c r="G283" s="125" t="s">
        <v>99</v>
      </c>
      <c r="H283" s="123">
        <v>4</v>
      </c>
      <c r="I283" s="123" t="s">
        <v>97</v>
      </c>
      <c r="J283" s="123" t="s">
        <v>91</v>
      </c>
      <c r="K283" s="123" t="s">
        <v>93</v>
      </c>
      <c r="L283" s="132">
        <v>203</v>
      </c>
      <c r="M283" s="132">
        <v>0</v>
      </c>
      <c r="N283" s="132">
        <v>1.8562137366821819E+18</v>
      </c>
    </row>
    <row r="284" spans="4:14" ht="15" customHeight="1" x14ac:dyDescent="0.2">
      <c r="D284" s="130" t="b">
        <v>0</v>
      </c>
      <c r="E284" s="124" t="s">
        <v>94</v>
      </c>
      <c r="F284" s="125" t="s">
        <v>91</v>
      </c>
      <c r="G284" s="125" t="s">
        <v>99</v>
      </c>
      <c r="H284" s="123">
        <v>4</v>
      </c>
      <c r="I284" s="123" t="s">
        <v>92</v>
      </c>
      <c r="J284" s="123" t="s">
        <v>96</v>
      </c>
      <c r="K284" s="123" t="s">
        <v>93</v>
      </c>
      <c r="L284" s="132">
        <v>204</v>
      </c>
      <c r="M284" s="132">
        <v>0</v>
      </c>
      <c r="N284" s="132">
        <v>8.6685242248566292E+18</v>
      </c>
    </row>
    <row r="285" spans="4:14" ht="15" customHeight="1" x14ac:dyDescent="0.2">
      <c r="D285" s="130" t="b">
        <v>0</v>
      </c>
      <c r="E285" s="124" t="s">
        <v>94</v>
      </c>
      <c r="F285" s="125" t="s">
        <v>91</v>
      </c>
      <c r="G285" s="125" t="s">
        <v>99</v>
      </c>
      <c r="H285" s="123">
        <v>4</v>
      </c>
      <c r="I285" s="123" t="s">
        <v>92</v>
      </c>
      <c r="J285" s="123" t="s">
        <v>97</v>
      </c>
      <c r="K285" s="123" t="s">
        <v>93</v>
      </c>
      <c r="L285" s="132">
        <v>205</v>
      </c>
      <c r="M285" s="132">
        <v>0</v>
      </c>
      <c r="N285" s="132">
        <v>4.6257492060498131E+17</v>
      </c>
    </row>
    <row r="286" spans="4:14" ht="15" customHeight="1" x14ac:dyDescent="0.2">
      <c r="D286" s="130" t="b">
        <v>0</v>
      </c>
      <c r="E286" s="124" t="s">
        <v>94</v>
      </c>
      <c r="F286" s="125" t="s">
        <v>91</v>
      </c>
      <c r="G286" s="125" t="s">
        <v>99</v>
      </c>
      <c r="H286" s="123">
        <v>4</v>
      </c>
      <c r="I286" s="123" t="s">
        <v>92</v>
      </c>
      <c r="J286" s="123" t="s">
        <v>91</v>
      </c>
      <c r="K286" s="123" t="s">
        <v>93</v>
      </c>
      <c r="L286" s="132">
        <v>206</v>
      </c>
      <c r="M286" s="132">
        <v>0</v>
      </c>
      <c r="N286" s="132">
        <v>1.664408970493661E+19</v>
      </c>
    </row>
    <row r="287" spans="4:14" ht="15" customHeight="1" x14ac:dyDescent="0.2">
      <c r="D287" s="130" t="b">
        <v>0</v>
      </c>
      <c r="E287" s="124" t="s">
        <v>94</v>
      </c>
      <c r="F287" s="125" t="s">
        <v>91</v>
      </c>
      <c r="G287" s="125" t="s">
        <v>99</v>
      </c>
      <c r="H287" s="123" t="s">
        <v>98</v>
      </c>
      <c r="I287" s="123" t="s">
        <v>95</v>
      </c>
      <c r="J287" s="123" t="s">
        <v>96</v>
      </c>
      <c r="K287" s="123" t="s">
        <v>93</v>
      </c>
      <c r="L287" s="132">
        <v>207</v>
      </c>
      <c r="M287" s="132">
        <v>0</v>
      </c>
      <c r="N287" s="132">
        <v>2.852000745327765E+18</v>
      </c>
    </row>
    <row r="288" spans="4:14" ht="15" customHeight="1" x14ac:dyDescent="0.2">
      <c r="D288" s="130" t="b">
        <v>0</v>
      </c>
      <c r="E288" s="124" t="s">
        <v>94</v>
      </c>
      <c r="F288" s="125" t="s">
        <v>91</v>
      </c>
      <c r="G288" s="125" t="s">
        <v>99</v>
      </c>
      <c r="H288" s="123" t="s">
        <v>98</v>
      </c>
      <c r="I288" s="123" t="s">
        <v>95</v>
      </c>
      <c r="J288" s="123" t="s">
        <v>97</v>
      </c>
      <c r="K288" s="123" t="s">
        <v>93</v>
      </c>
      <c r="L288" s="132">
        <v>208</v>
      </c>
      <c r="M288" s="132">
        <v>0</v>
      </c>
      <c r="N288" s="132">
        <v>1.6666773399689011E+19</v>
      </c>
    </row>
    <row r="289" spans="4:14" ht="15" customHeight="1" x14ac:dyDescent="0.2">
      <c r="D289" s="130" t="b">
        <v>0</v>
      </c>
      <c r="E289" s="124" t="s">
        <v>94</v>
      </c>
      <c r="F289" s="125" t="s">
        <v>91</v>
      </c>
      <c r="G289" s="125" t="s">
        <v>99</v>
      </c>
      <c r="H289" s="123" t="s">
        <v>98</v>
      </c>
      <c r="I289" s="123" t="s">
        <v>95</v>
      </c>
      <c r="J289" s="123" t="s">
        <v>91</v>
      </c>
      <c r="K289" s="123" t="s">
        <v>93</v>
      </c>
      <c r="L289" s="132">
        <v>209</v>
      </c>
      <c r="M289" s="132">
        <v>0</v>
      </c>
      <c r="N289" s="132">
        <v>8.8441643419496909E+18</v>
      </c>
    </row>
    <row r="290" spans="4:14" ht="15" customHeight="1" x14ac:dyDescent="0.2">
      <c r="D290" s="130" t="b">
        <v>0</v>
      </c>
      <c r="E290" s="124" t="s">
        <v>94</v>
      </c>
      <c r="F290" s="125" t="s">
        <v>91</v>
      </c>
      <c r="G290" s="125" t="s">
        <v>99</v>
      </c>
      <c r="H290" s="123" t="s">
        <v>98</v>
      </c>
      <c r="I290" s="123" t="s">
        <v>97</v>
      </c>
      <c r="J290" s="123" t="s">
        <v>96</v>
      </c>
      <c r="K290" s="123" t="s">
        <v>93</v>
      </c>
      <c r="L290" s="132">
        <v>210</v>
      </c>
      <c r="M290" s="132">
        <v>0</v>
      </c>
      <c r="N290" s="132">
        <v>1.3907740450334956E+19</v>
      </c>
    </row>
    <row r="291" spans="4:14" ht="15" customHeight="1" x14ac:dyDescent="0.2">
      <c r="D291" s="130" t="b">
        <v>0</v>
      </c>
      <c r="E291" s="124" t="s">
        <v>94</v>
      </c>
      <c r="F291" s="125" t="s">
        <v>91</v>
      </c>
      <c r="G291" s="125" t="s">
        <v>99</v>
      </c>
      <c r="H291" s="123" t="s">
        <v>98</v>
      </c>
      <c r="I291" s="123" t="s">
        <v>97</v>
      </c>
      <c r="J291" s="123" t="s">
        <v>97</v>
      </c>
      <c r="K291" s="123" t="s">
        <v>93</v>
      </c>
      <c r="L291" s="132">
        <v>211</v>
      </c>
      <c r="M291" s="132">
        <v>0</v>
      </c>
      <c r="N291" s="132">
        <v>1.4028672723916329E+19</v>
      </c>
    </row>
    <row r="292" spans="4:14" ht="15" customHeight="1" x14ac:dyDescent="0.2">
      <c r="D292" s="130" t="b">
        <v>0</v>
      </c>
      <c r="E292" s="124" t="s">
        <v>94</v>
      </c>
      <c r="F292" s="125" t="s">
        <v>91</v>
      </c>
      <c r="G292" s="125" t="s">
        <v>99</v>
      </c>
      <c r="H292" s="123" t="s">
        <v>98</v>
      </c>
      <c r="I292" s="123" t="s">
        <v>97</v>
      </c>
      <c r="J292" s="123" t="s">
        <v>91</v>
      </c>
      <c r="K292" s="123" t="s">
        <v>93</v>
      </c>
      <c r="L292" s="132">
        <v>212</v>
      </c>
      <c r="M292" s="132">
        <v>0</v>
      </c>
      <c r="N292" s="132">
        <v>8.3934586404800676E+18</v>
      </c>
    </row>
    <row r="293" spans="4:14" ht="15" customHeight="1" x14ac:dyDescent="0.2">
      <c r="D293" s="130" t="b">
        <v>0</v>
      </c>
      <c r="E293" s="124" t="s">
        <v>94</v>
      </c>
      <c r="F293" s="125" t="s">
        <v>91</v>
      </c>
      <c r="G293" s="125" t="s">
        <v>99</v>
      </c>
      <c r="H293" s="123" t="s">
        <v>98</v>
      </c>
      <c r="I293" s="123" t="s">
        <v>92</v>
      </c>
      <c r="J293" s="123" t="s">
        <v>96</v>
      </c>
      <c r="K293" s="123" t="s">
        <v>93</v>
      </c>
      <c r="L293" s="132">
        <v>213</v>
      </c>
      <c r="M293" s="132">
        <v>0</v>
      </c>
      <c r="N293" s="132">
        <v>4.6389112122152192E+18</v>
      </c>
    </row>
    <row r="294" spans="4:14" ht="15" customHeight="1" x14ac:dyDescent="0.2">
      <c r="D294" s="130" t="b">
        <v>0</v>
      </c>
      <c r="E294" s="124" t="s">
        <v>94</v>
      </c>
      <c r="F294" s="125" t="s">
        <v>91</v>
      </c>
      <c r="G294" s="125" t="s">
        <v>99</v>
      </c>
      <c r="H294" s="123" t="s">
        <v>98</v>
      </c>
      <c r="I294" s="123" t="s">
        <v>92</v>
      </c>
      <c r="J294" s="123" t="s">
        <v>97</v>
      </c>
      <c r="K294" s="123" t="s">
        <v>93</v>
      </c>
      <c r="L294" s="132">
        <v>214</v>
      </c>
      <c r="M294" s="132">
        <v>0</v>
      </c>
      <c r="N294" s="132">
        <v>1.5144468899984325E+19</v>
      </c>
    </row>
    <row r="295" spans="4:14" ht="15" customHeight="1" x14ac:dyDescent="0.2">
      <c r="D295" s="130" t="b">
        <v>0</v>
      </c>
      <c r="E295" s="124" t="s">
        <v>94</v>
      </c>
      <c r="F295" s="125" t="s">
        <v>91</v>
      </c>
      <c r="G295" s="125" t="s">
        <v>99</v>
      </c>
      <c r="H295" s="123" t="s">
        <v>98</v>
      </c>
      <c r="I295" s="123" t="s">
        <v>92</v>
      </c>
      <c r="J295" s="123" t="s">
        <v>91</v>
      </c>
      <c r="K295" s="123" t="s">
        <v>93</v>
      </c>
      <c r="L295" s="132">
        <v>215</v>
      </c>
      <c r="M295" s="132">
        <v>0</v>
      </c>
      <c r="N295" s="132">
        <v>1.7161460280801829E+19</v>
      </c>
    </row>
    <row r="296" spans="4:14" ht="15" customHeight="1" x14ac:dyDescent="0.2">
      <c r="D296" s="130" t="b">
        <v>0</v>
      </c>
      <c r="E296" s="124" t="s">
        <v>94</v>
      </c>
      <c r="F296" s="125" t="s">
        <v>97</v>
      </c>
      <c r="G296" s="125">
        <v>2</v>
      </c>
      <c r="H296" s="123">
        <v>2</v>
      </c>
      <c r="I296" s="123" t="s">
        <v>95</v>
      </c>
      <c r="J296" s="123" t="s">
        <v>96</v>
      </c>
      <c r="K296" s="123" t="s">
        <v>93</v>
      </c>
      <c r="L296" s="132">
        <v>216</v>
      </c>
      <c r="M296" s="132">
        <v>0</v>
      </c>
      <c r="N296" s="132">
        <v>4.0249832942172616E+18</v>
      </c>
    </row>
    <row r="297" spans="4:14" ht="15" customHeight="1" x14ac:dyDescent="0.2">
      <c r="D297" s="130" t="b">
        <v>0</v>
      </c>
      <c r="E297" s="124" t="s">
        <v>94</v>
      </c>
      <c r="F297" s="125" t="s">
        <v>97</v>
      </c>
      <c r="G297" s="125">
        <v>2</v>
      </c>
      <c r="H297" s="123">
        <v>2</v>
      </c>
      <c r="I297" s="123" t="s">
        <v>95</v>
      </c>
      <c r="J297" s="123" t="s">
        <v>97</v>
      </c>
      <c r="K297" s="123" t="s">
        <v>93</v>
      </c>
      <c r="L297" s="132">
        <v>217</v>
      </c>
      <c r="M297" s="132">
        <v>0</v>
      </c>
      <c r="N297" s="132">
        <v>5.8202894612570675E+18</v>
      </c>
    </row>
    <row r="298" spans="4:14" ht="15" customHeight="1" x14ac:dyDescent="0.2">
      <c r="D298" s="130" t="b">
        <v>0</v>
      </c>
      <c r="E298" s="124" t="s">
        <v>94</v>
      </c>
      <c r="F298" s="125" t="s">
        <v>97</v>
      </c>
      <c r="G298" s="125">
        <v>2</v>
      </c>
      <c r="H298" s="123">
        <v>2</v>
      </c>
      <c r="I298" s="123" t="s">
        <v>95</v>
      </c>
      <c r="J298" s="123" t="s">
        <v>91</v>
      </c>
      <c r="K298" s="123" t="s">
        <v>93</v>
      </c>
      <c r="L298" s="132">
        <v>218</v>
      </c>
      <c r="M298" s="132">
        <v>0</v>
      </c>
      <c r="N298" s="132">
        <v>1.0935045488419609E+19</v>
      </c>
    </row>
    <row r="299" spans="4:14" ht="15" customHeight="1" x14ac:dyDescent="0.2">
      <c r="D299" s="130" t="b">
        <v>0</v>
      </c>
      <c r="E299" s="124" t="s">
        <v>94</v>
      </c>
      <c r="F299" s="125" t="s">
        <v>97</v>
      </c>
      <c r="G299" s="125">
        <v>2</v>
      </c>
      <c r="H299" s="123">
        <v>2</v>
      </c>
      <c r="I299" s="123" t="s">
        <v>97</v>
      </c>
      <c r="J299" s="123" t="s">
        <v>96</v>
      </c>
      <c r="K299" s="123" t="s">
        <v>93</v>
      </c>
      <c r="L299" s="132">
        <v>219</v>
      </c>
      <c r="M299" s="132">
        <v>0</v>
      </c>
      <c r="N299" s="132">
        <v>1.639523197118739E+19</v>
      </c>
    </row>
    <row r="300" spans="4:14" ht="15" customHeight="1" x14ac:dyDescent="0.2">
      <c r="D300" s="130" t="b">
        <v>0</v>
      </c>
      <c r="E300" s="124" t="s">
        <v>94</v>
      </c>
      <c r="F300" s="125" t="s">
        <v>97</v>
      </c>
      <c r="G300" s="125">
        <v>2</v>
      </c>
      <c r="H300" s="123">
        <v>2</v>
      </c>
      <c r="I300" s="123" t="s">
        <v>97</v>
      </c>
      <c r="J300" s="123" t="s">
        <v>97</v>
      </c>
      <c r="K300" s="123" t="s">
        <v>93</v>
      </c>
      <c r="L300" s="132">
        <v>220</v>
      </c>
      <c r="M300" s="132">
        <v>0</v>
      </c>
      <c r="N300" s="132">
        <v>1.6612296469279037E+19</v>
      </c>
    </row>
    <row r="301" spans="4:14" ht="15" customHeight="1" x14ac:dyDescent="0.2">
      <c r="D301" s="130" t="b">
        <v>0</v>
      </c>
      <c r="E301" s="124" t="s">
        <v>94</v>
      </c>
      <c r="F301" s="125" t="s">
        <v>97</v>
      </c>
      <c r="G301" s="125">
        <v>2</v>
      </c>
      <c r="H301" s="123">
        <v>2</v>
      </c>
      <c r="I301" s="123" t="s">
        <v>97</v>
      </c>
      <c r="J301" s="123" t="s">
        <v>91</v>
      </c>
      <c r="K301" s="123" t="s">
        <v>93</v>
      </c>
      <c r="L301" s="132">
        <v>221</v>
      </c>
      <c r="M301" s="132">
        <v>0</v>
      </c>
      <c r="N301" s="132">
        <v>1.4957040597431101E+19</v>
      </c>
    </row>
    <row r="302" spans="4:14" ht="15" customHeight="1" x14ac:dyDescent="0.2">
      <c r="D302" s="130" t="b">
        <v>0</v>
      </c>
      <c r="E302" s="124" t="s">
        <v>94</v>
      </c>
      <c r="F302" s="125" t="s">
        <v>97</v>
      </c>
      <c r="G302" s="125">
        <v>2</v>
      </c>
      <c r="H302" s="123">
        <v>2</v>
      </c>
      <c r="I302" s="123" t="s">
        <v>92</v>
      </c>
      <c r="J302" s="123" t="s">
        <v>96</v>
      </c>
      <c r="K302" s="123" t="s">
        <v>93</v>
      </c>
      <c r="L302" s="132">
        <v>222</v>
      </c>
      <c r="M302" s="132">
        <v>0</v>
      </c>
      <c r="N302" s="132">
        <v>1.8083414273493381E+19</v>
      </c>
    </row>
    <row r="303" spans="4:14" ht="15" customHeight="1" x14ac:dyDescent="0.2">
      <c r="D303" s="130" t="b">
        <v>0</v>
      </c>
      <c r="E303" s="124" t="s">
        <v>94</v>
      </c>
      <c r="F303" s="125" t="s">
        <v>97</v>
      </c>
      <c r="G303" s="125">
        <v>2</v>
      </c>
      <c r="H303" s="123">
        <v>2</v>
      </c>
      <c r="I303" s="123" t="s">
        <v>92</v>
      </c>
      <c r="J303" s="123" t="s">
        <v>97</v>
      </c>
      <c r="K303" s="123" t="s">
        <v>93</v>
      </c>
      <c r="L303" s="132">
        <v>223</v>
      </c>
      <c r="M303" s="132">
        <v>0</v>
      </c>
      <c r="N303" s="132">
        <v>1.7148267064202508E+19</v>
      </c>
    </row>
    <row r="304" spans="4:14" ht="15" customHeight="1" x14ac:dyDescent="0.2">
      <c r="D304" s="130" t="b">
        <v>0</v>
      </c>
      <c r="E304" s="124" t="s">
        <v>94</v>
      </c>
      <c r="F304" s="125" t="s">
        <v>97</v>
      </c>
      <c r="G304" s="125">
        <v>2</v>
      </c>
      <c r="H304" s="123">
        <v>2</v>
      </c>
      <c r="I304" s="123" t="s">
        <v>92</v>
      </c>
      <c r="J304" s="123" t="s">
        <v>91</v>
      </c>
      <c r="K304" s="123" t="s">
        <v>93</v>
      </c>
      <c r="L304" s="132">
        <v>224</v>
      </c>
      <c r="M304" s="132">
        <v>0</v>
      </c>
      <c r="N304" s="132">
        <v>1.8019664367999379E+19</v>
      </c>
    </row>
    <row r="305" spans="4:14" ht="15" customHeight="1" x14ac:dyDescent="0.2">
      <c r="D305" s="130" t="b">
        <v>0</v>
      </c>
      <c r="E305" s="124" t="s">
        <v>94</v>
      </c>
      <c r="F305" s="125" t="s">
        <v>97</v>
      </c>
      <c r="G305" s="125">
        <v>2</v>
      </c>
      <c r="H305" s="123">
        <v>4</v>
      </c>
      <c r="I305" s="123" t="s">
        <v>95</v>
      </c>
      <c r="J305" s="123" t="s">
        <v>96</v>
      </c>
      <c r="K305" s="123" t="s">
        <v>93</v>
      </c>
      <c r="L305" s="132">
        <v>225</v>
      </c>
      <c r="M305" s="132">
        <v>0</v>
      </c>
      <c r="N305" s="132">
        <v>1.0910557798213802E+18</v>
      </c>
    </row>
    <row r="306" spans="4:14" ht="15" customHeight="1" x14ac:dyDescent="0.2">
      <c r="D306" s="130" t="b">
        <v>0</v>
      </c>
      <c r="E306" s="124" t="s">
        <v>94</v>
      </c>
      <c r="F306" s="125" t="s">
        <v>97</v>
      </c>
      <c r="G306" s="125">
        <v>2</v>
      </c>
      <c r="H306" s="123">
        <v>4</v>
      </c>
      <c r="I306" s="123" t="s">
        <v>95</v>
      </c>
      <c r="J306" s="123" t="s">
        <v>97</v>
      </c>
      <c r="K306" s="123" t="s">
        <v>93</v>
      </c>
      <c r="L306" s="132">
        <v>226</v>
      </c>
      <c r="M306" s="132">
        <v>0</v>
      </c>
      <c r="N306" s="132">
        <v>7.0690804757212938E+18</v>
      </c>
    </row>
    <row r="307" spans="4:14" ht="15" customHeight="1" x14ac:dyDescent="0.2">
      <c r="D307" s="130" t="b">
        <v>0</v>
      </c>
      <c r="E307" s="124" t="s">
        <v>94</v>
      </c>
      <c r="F307" s="125" t="s">
        <v>97</v>
      </c>
      <c r="G307" s="125">
        <v>2</v>
      </c>
      <c r="H307" s="123">
        <v>4</v>
      </c>
      <c r="I307" s="123" t="s">
        <v>95</v>
      </c>
      <c r="J307" s="123" t="s">
        <v>91</v>
      </c>
      <c r="K307" s="123" t="s">
        <v>100</v>
      </c>
      <c r="L307" s="132">
        <v>227</v>
      </c>
      <c r="M307" s="132">
        <v>0</v>
      </c>
      <c r="N307" s="132">
        <v>8.444430466858241E+18</v>
      </c>
    </row>
    <row r="308" spans="4:14" ht="15" customHeight="1" x14ac:dyDescent="0.2">
      <c r="D308" s="130" t="b">
        <v>0</v>
      </c>
      <c r="E308" s="124" t="s">
        <v>94</v>
      </c>
      <c r="F308" s="125" t="s">
        <v>97</v>
      </c>
      <c r="G308" s="125">
        <v>2</v>
      </c>
      <c r="H308" s="123">
        <v>4</v>
      </c>
      <c r="I308" s="123" t="s">
        <v>97</v>
      </c>
      <c r="J308" s="123" t="s">
        <v>96</v>
      </c>
      <c r="K308" s="123" t="s">
        <v>93</v>
      </c>
      <c r="L308" s="132">
        <v>228</v>
      </c>
      <c r="M308" s="132">
        <v>0</v>
      </c>
      <c r="N308" s="132">
        <v>6.2744987166504489E+18</v>
      </c>
    </row>
    <row r="309" spans="4:14" ht="15" customHeight="1" x14ac:dyDescent="0.2">
      <c r="D309" s="130" t="b">
        <v>0</v>
      </c>
      <c r="E309" s="124" t="s">
        <v>94</v>
      </c>
      <c r="F309" s="125" t="s">
        <v>97</v>
      </c>
      <c r="G309" s="125">
        <v>2</v>
      </c>
      <c r="H309" s="123">
        <v>4</v>
      </c>
      <c r="I309" s="123" t="s">
        <v>97</v>
      </c>
      <c r="J309" s="123" t="s">
        <v>97</v>
      </c>
      <c r="K309" s="123" t="s">
        <v>93</v>
      </c>
      <c r="L309" s="132">
        <v>229</v>
      </c>
      <c r="M309" s="132">
        <v>0</v>
      </c>
      <c r="N309" s="132">
        <v>1.1687904360858706E+19</v>
      </c>
    </row>
    <row r="310" spans="4:14" ht="15" customHeight="1" x14ac:dyDescent="0.2">
      <c r="D310" s="130" t="b">
        <v>0</v>
      </c>
      <c r="E310" s="124" t="s">
        <v>94</v>
      </c>
      <c r="F310" s="125" t="s">
        <v>97</v>
      </c>
      <c r="G310" s="125">
        <v>2</v>
      </c>
      <c r="H310" s="123">
        <v>4</v>
      </c>
      <c r="I310" s="123" t="s">
        <v>97</v>
      </c>
      <c r="J310" s="123" t="s">
        <v>91</v>
      </c>
      <c r="K310" s="123" t="s">
        <v>100</v>
      </c>
      <c r="L310" s="132">
        <v>230</v>
      </c>
      <c r="M310" s="132">
        <v>0</v>
      </c>
      <c r="N310" s="132">
        <v>1.7841054865634542E+19</v>
      </c>
    </row>
    <row r="311" spans="4:14" ht="15" customHeight="1" x14ac:dyDescent="0.2">
      <c r="D311" s="130" t="b">
        <v>0</v>
      </c>
      <c r="E311" s="124" t="s">
        <v>94</v>
      </c>
      <c r="F311" s="125" t="s">
        <v>97</v>
      </c>
      <c r="G311" s="125">
        <v>2</v>
      </c>
      <c r="H311" s="123">
        <v>4</v>
      </c>
      <c r="I311" s="123" t="s">
        <v>92</v>
      </c>
      <c r="J311" s="123" t="s">
        <v>96</v>
      </c>
      <c r="K311" s="123" t="s">
        <v>93</v>
      </c>
      <c r="L311" s="132">
        <v>231</v>
      </c>
      <c r="M311" s="132">
        <v>0</v>
      </c>
      <c r="N311" s="132">
        <v>1.3341384017961384E+19</v>
      </c>
    </row>
    <row r="312" spans="4:14" ht="15" customHeight="1" x14ac:dyDescent="0.2">
      <c r="D312" s="130" t="b">
        <v>0</v>
      </c>
      <c r="E312" s="124" t="s">
        <v>94</v>
      </c>
      <c r="F312" s="125" t="s">
        <v>97</v>
      </c>
      <c r="G312" s="125">
        <v>2</v>
      </c>
      <c r="H312" s="123">
        <v>4</v>
      </c>
      <c r="I312" s="123" t="s">
        <v>92</v>
      </c>
      <c r="J312" s="123" t="s">
        <v>97</v>
      </c>
      <c r="K312" s="123" t="s">
        <v>100</v>
      </c>
      <c r="L312" s="132">
        <v>232</v>
      </c>
      <c r="M312" s="132">
        <v>0</v>
      </c>
      <c r="N312" s="132">
        <v>3.3170602816819799E+18</v>
      </c>
    </row>
    <row r="313" spans="4:14" ht="15" customHeight="1" x14ac:dyDescent="0.2">
      <c r="D313" s="130" t="b">
        <v>0</v>
      </c>
      <c r="E313" s="124" t="s">
        <v>94</v>
      </c>
      <c r="F313" s="125" t="s">
        <v>97</v>
      </c>
      <c r="G313" s="125">
        <v>2</v>
      </c>
      <c r="H313" s="123">
        <v>4</v>
      </c>
      <c r="I313" s="123" t="s">
        <v>92</v>
      </c>
      <c r="J313" s="123" t="s">
        <v>91</v>
      </c>
      <c r="K313" s="123" t="s">
        <v>100</v>
      </c>
      <c r="L313" s="132">
        <v>233</v>
      </c>
      <c r="M313" s="132">
        <v>0</v>
      </c>
      <c r="N313" s="132">
        <v>9.0205869284329124E+18</v>
      </c>
    </row>
    <row r="314" spans="4:14" ht="15" customHeight="1" x14ac:dyDescent="0.2">
      <c r="D314" s="130" t="b">
        <v>0</v>
      </c>
      <c r="E314" s="124" t="s">
        <v>94</v>
      </c>
      <c r="F314" s="125" t="s">
        <v>97</v>
      </c>
      <c r="G314" s="125">
        <v>2</v>
      </c>
      <c r="H314" s="123" t="s">
        <v>98</v>
      </c>
      <c r="I314" s="123" t="s">
        <v>95</v>
      </c>
      <c r="J314" s="123" t="s">
        <v>96</v>
      </c>
      <c r="K314" s="123" t="s">
        <v>93</v>
      </c>
      <c r="L314" s="132">
        <v>234</v>
      </c>
      <c r="M314" s="132">
        <v>0</v>
      </c>
      <c r="N314" s="132">
        <v>2.9807402481013586E+18</v>
      </c>
    </row>
    <row r="315" spans="4:14" ht="15" customHeight="1" x14ac:dyDescent="0.2">
      <c r="D315" s="130" t="b">
        <v>0</v>
      </c>
      <c r="E315" s="124" t="s">
        <v>94</v>
      </c>
      <c r="F315" s="125" t="s">
        <v>97</v>
      </c>
      <c r="G315" s="125">
        <v>2</v>
      </c>
      <c r="H315" s="123" t="s">
        <v>98</v>
      </c>
      <c r="I315" s="123" t="s">
        <v>95</v>
      </c>
      <c r="J315" s="123" t="s">
        <v>97</v>
      </c>
      <c r="K315" s="123" t="s">
        <v>93</v>
      </c>
      <c r="L315" s="132">
        <v>235</v>
      </c>
      <c r="M315" s="132">
        <v>0</v>
      </c>
      <c r="N315" s="132">
        <v>3.2400519804772859E+18</v>
      </c>
    </row>
    <row r="316" spans="4:14" ht="15" customHeight="1" x14ac:dyDescent="0.2">
      <c r="D316" s="130" t="b">
        <v>0</v>
      </c>
      <c r="E316" s="124" t="s">
        <v>94</v>
      </c>
      <c r="F316" s="125" t="s">
        <v>97</v>
      </c>
      <c r="G316" s="125">
        <v>2</v>
      </c>
      <c r="H316" s="123" t="s">
        <v>98</v>
      </c>
      <c r="I316" s="123" t="s">
        <v>95</v>
      </c>
      <c r="J316" s="123" t="s">
        <v>91</v>
      </c>
      <c r="K316" s="123" t="s">
        <v>93</v>
      </c>
      <c r="L316" s="132">
        <v>236</v>
      </c>
      <c r="M316" s="132">
        <v>0</v>
      </c>
      <c r="N316" s="132">
        <v>1.4560326105561295E+19</v>
      </c>
    </row>
    <row r="317" spans="4:14" ht="15" customHeight="1" x14ac:dyDescent="0.2">
      <c r="D317" s="130" t="b">
        <v>0</v>
      </c>
      <c r="E317" s="124" t="s">
        <v>94</v>
      </c>
      <c r="F317" s="125" t="s">
        <v>97</v>
      </c>
      <c r="G317" s="125">
        <v>2</v>
      </c>
      <c r="H317" s="123" t="s">
        <v>98</v>
      </c>
      <c r="I317" s="123" t="s">
        <v>97</v>
      </c>
      <c r="J317" s="123" t="s">
        <v>96</v>
      </c>
      <c r="K317" s="123" t="s">
        <v>93</v>
      </c>
      <c r="L317" s="132">
        <v>237</v>
      </c>
      <c r="M317" s="132">
        <v>0</v>
      </c>
      <c r="N317" s="132">
        <v>1.1265201975621333E+19</v>
      </c>
    </row>
    <row r="318" spans="4:14" ht="15" customHeight="1" x14ac:dyDescent="0.2">
      <c r="D318" s="130" t="b">
        <v>0</v>
      </c>
      <c r="E318" s="124" t="s">
        <v>94</v>
      </c>
      <c r="F318" s="125" t="s">
        <v>97</v>
      </c>
      <c r="G318" s="125">
        <v>2</v>
      </c>
      <c r="H318" s="123" t="s">
        <v>98</v>
      </c>
      <c r="I318" s="123" t="s">
        <v>97</v>
      </c>
      <c r="J318" s="123" t="s">
        <v>97</v>
      </c>
      <c r="K318" s="123" t="s">
        <v>93</v>
      </c>
      <c r="L318" s="132">
        <v>238</v>
      </c>
      <c r="M318" s="132">
        <v>0</v>
      </c>
      <c r="N318" s="132">
        <v>4.2789780703373527E+18</v>
      </c>
    </row>
    <row r="319" spans="4:14" ht="15" customHeight="1" x14ac:dyDescent="0.2">
      <c r="D319" s="130" t="b">
        <v>0</v>
      </c>
      <c r="E319" s="124" t="s">
        <v>94</v>
      </c>
      <c r="F319" s="125" t="s">
        <v>97</v>
      </c>
      <c r="G319" s="125">
        <v>2</v>
      </c>
      <c r="H319" s="123" t="s">
        <v>98</v>
      </c>
      <c r="I319" s="123" t="s">
        <v>97</v>
      </c>
      <c r="J319" s="123" t="s">
        <v>91</v>
      </c>
      <c r="K319" s="123" t="s">
        <v>100</v>
      </c>
      <c r="L319" s="132">
        <v>239</v>
      </c>
      <c r="M319" s="132">
        <v>0</v>
      </c>
      <c r="N319" s="132">
        <v>1.1394657658314179E+19</v>
      </c>
    </row>
    <row r="320" spans="4:14" ht="15" customHeight="1" x14ac:dyDescent="0.2">
      <c r="D320" s="130" t="b">
        <v>0</v>
      </c>
      <c r="E320" s="124" t="s">
        <v>94</v>
      </c>
      <c r="F320" s="125" t="s">
        <v>97</v>
      </c>
      <c r="G320" s="125">
        <v>2</v>
      </c>
      <c r="H320" s="123" t="s">
        <v>98</v>
      </c>
      <c r="I320" s="123" t="s">
        <v>92</v>
      </c>
      <c r="J320" s="123" t="s">
        <v>96</v>
      </c>
      <c r="K320" s="123" t="s">
        <v>93</v>
      </c>
      <c r="L320" s="132">
        <v>240</v>
      </c>
      <c r="M320" s="132">
        <v>0</v>
      </c>
      <c r="N320" s="132">
        <v>1.0075281683843873E+19</v>
      </c>
    </row>
    <row r="321" spans="4:14" ht="15" customHeight="1" x14ac:dyDescent="0.2">
      <c r="D321" s="130" t="b">
        <v>0</v>
      </c>
      <c r="E321" s="124" t="s">
        <v>94</v>
      </c>
      <c r="F321" s="125" t="s">
        <v>97</v>
      </c>
      <c r="G321" s="125">
        <v>2</v>
      </c>
      <c r="H321" s="123" t="s">
        <v>98</v>
      </c>
      <c r="I321" s="123" t="s">
        <v>92</v>
      </c>
      <c r="J321" s="123" t="s">
        <v>97</v>
      </c>
      <c r="K321" s="123" t="s">
        <v>100</v>
      </c>
      <c r="L321" s="132">
        <v>241</v>
      </c>
      <c r="M321" s="132">
        <v>0</v>
      </c>
      <c r="N321" s="132">
        <v>3.8179257518042931E+18</v>
      </c>
    </row>
    <row r="322" spans="4:14" ht="15" customHeight="1" x14ac:dyDescent="0.2">
      <c r="D322" s="130" t="b">
        <v>0</v>
      </c>
      <c r="E322" s="124" t="s">
        <v>94</v>
      </c>
      <c r="F322" s="125" t="s">
        <v>97</v>
      </c>
      <c r="G322" s="125">
        <v>2</v>
      </c>
      <c r="H322" s="123" t="s">
        <v>98</v>
      </c>
      <c r="I322" s="123" t="s">
        <v>92</v>
      </c>
      <c r="J322" s="123" t="s">
        <v>91</v>
      </c>
      <c r="K322" s="123" t="s">
        <v>100</v>
      </c>
      <c r="L322" s="132">
        <v>242</v>
      </c>
      <c r="M322" s="132">
        <v>0</v>
      </c>
      <c r="N322" s="132">
        <v>1.4299430456585253E+19</v>
      </c>
    </row>
    <row r="323" spans="4:14" ht="15" customHeight="1" x14ac:dyDescent="0.2">
      <c r="D323" s="130" t="b">
        <v>0</v>
      </c>
      <c r="E323" s="124" t="s">
        <v>94</v>
      </c>
      <c r="F323" s="125" t="s">
        <v>97</v>
      </c>
      <c r="G323" s="125">
        <v>3</v>
      </c>
      <c r="H323" s="123">
        <v>2</v>
      </c>
      <c r="I323" s="123" t="s">
        <v>95</v>
      </c>
      <c r="J323" s="123" t="s">
        <v>96</v>
      </c>
      <c r="K323" s="123" t="s">
        <v>93</v>
      </c>
      <c r="L323" s="132">
        <v>243</v>
      </c>
      <c r="M323" s="132">
        <v>0</v>
      </c>
      <c r="N323" s="132">
        <v>6.0092617955495741E+18</v>
      </c>
    </row>
    <row r="324" spans="4:14" ht="15" customHeight="1" x14ac:dyDescent="0.2">
      <c r="D324" s="130" t="b">
        <v>0</v>
      </c>
      <c r="E324" s="124" t="s">
        <v>94</v>
      </c>
      <c r="F324" s="125" t="s">
        <v>97</v>
      </c>
      <c r="G324" s="125">
        <v>3</v>
      </c>
      <c r="H324" s="123">
        <v>2</v>
      </c>
      <c r="I324" s="123" t="s">
        <v>95</v>
      </c>
      <c r="J324" s="123" t="s">
        <v>97</v>
      </c>
      <c r="K324" s="123" t="s">
        <v>93</v>
      </c>
      <c r="L324" s="132">
        <v>244</v>
      </c>
      <c r="M324" s="132">
        <v>0</v>
      </c>
      <c r="N324" s="132">
        <v>9.3701565509857485E+18</v>
      </c>
    </row>
    <row r="325" spans="4:14" ht="15" customHeight="1" x14ac:dyDescent="0.2">
      <c r="D325" s="130" t="b">
        <v>0</v>
      </c>
      <c r="E325" s="124" t="s">
        <v>94</v>
      </c>
      <c r="F325" s="125" t="s">
        <v>97</v>
      </c>
      <c r="G325" s="125">
        <v>3</v>
      </c>
      <c r="H325" s="123">
        <v>2</v>
      </c>
      <c r="I325" s="123" t="s">
        <v>95</v>
      </c>
      <c r="J325" s="123" t="s">
        <v>91</v>
      </c>
      <c r="K325" s="123" t="s">
        <v>93</v>
      </c>
      <c r="L325" s="132">
        <v>245</v>
      </c>
      <c r="M325" s="132">
        <v>0</v>
      </c>
      <c r="N325" s="132">
        <v>1.7400639770490278E+19</v>
      </c>
    </row>
    <row r="326" spans="4:14" ht="15" customHeight="1" x14ac:dyDescent="0.2">
      <c r="D326" s="130" t="b">
        <v>0</v>
      </c>
      <c r="E326" s="124" t="s">
        <v>94</v>
      </c>
      <c r="F326" s="125" t="s">
        <v>97</v>
      </c>
      <c r="G326" s="125">
        <v>3</v>
      </c>
      <c r="H326" s="123">
        <v>2</v>
      </c>
      <c r="I326" s="123" t="s">
        <v>97</v>
      </c>
      <c r="J326" s="123" t="s">
        <v>96</v>
      </c>
      <c r="K326" s="123" t="s">
        <v>93</v>
      </c>
      <c r="L326" s="132">
        <v>246</v>
      </c>
      <c r="M326" s="132">
        <v>0</v>
      </c>
      <c r="N326" s="132">
        <v>1.359409554790279E+19</v>
      </c>
    </row>
    <row r="327" spans="4:14" ht="15" customHeight="1" x14ac:dyDescent="0.2">
      <c r="D327" s="130" t="b">
        <v>0</v>
      </c>
      <c r="E327" s="124" t="s">
        <v>94</v>
      </c>
      <c r="F327" s="125" t="s">
        <v>97</v>
      </c>
      <c r="G327" s="125">
        <v>3</v>
      </c>
      <c r="H327" s="123">
        <v>2</v>
      </c>
      <c r="I327" s="123" t="s">
        <v>97</v>
      </c>
      <c r="J327" s="123" t="s">
        <v>97</v>
      </c>
      <c r="K327" s="123" t="s">
        <v>93</v>
      </c>
      <c r="L327" s="132">
        <v>247</v>
      </c>
      <c r="M327" s="132">
        <v>0</v>
      </c>
      <c r="N327" s="132">
        <v>6.2128655969943828E+18</v>
      </c>
    </row>
    <row r="328" spans="4:14" ht="15" customHeight="1" x14ac:dyDescent="0.2">
      <c r="D328" s="130" t="b">
        <v>0</v>
      </c>
      <c r="E328" s="124" t="s">
        <v>94</v>
      </c>
      <c r="F328" s="125" t="s">
        <v>97</v>
      </c>
      <c r="G328" s="125">
        <v>3</v>
      </c>
      <c r="H328" s="123">
        <v>2</v>
      </c>
      <c r="I328" s="123" t="s">
        <v>97</v>
      </c>
      <c r="J328" s="123" t="s">
        <v>91</v>
      </c>
      <c r="K328" s="123" t="s">
        <v>93</v>
      </c>
      <c r="L328" s="132">
        <v>248</v>
      </c>
      <c r="M328" s="132">
        <v>0</v>
      </c>
      <c r="N328" s="132">
        <v>6.499333230597121E+18</v>
      </c>
    </row>
    <row r="329" spans="4:14" ht="15" customHeight="1" x14ac:dyDescent="0.2">
      <c r="D329" s="130" t="b">
        <v>0</v>
      </c>
      <c r="E329" s="124" t="s">
        <v>94</v>
      </c>
      <c r="F329" s="125" t="s">
        <v>97</v>
      </c>
      <c r="G329" s="125">
        <v>3</v>
      </c>
      <c r="H329" s="123">
        <v>2</v>
      </c>
      <c r="I329" s="123" t="s">
        <v>92</v>
      </c>
      <c r="J329" s="123" t="s">
        <v>96</v>
      </c>
      <c r="K329" s="123" t="s">
        <v>93</v>
      </c>
      <c r="L329" s="132">
        <v>249</v>
      </c>
      <c r="M329" s="132">
        <v>0</v>
      </c>
      <c r="N329" s="132">
        <v>1.6759024573337209E+19</v>
      </c>
    </row>
    <row r="330" spans="4:14" ht="15" customHeight="1" x14ac:dyDescent="0.2">
      <c r="D330" s="130" t="b">
        <v>0</v>
      </c>
      <c r="E330" s="124" t="s">
        <v>94</v>
      </c>
      <c r="F330" s="125" t="s">
        <v>97</v>
      </c>
      <c r="G330" s="125">
        <v>3</v>
      </c>
      <c r="H330" s="123">
        <v>2</v>
      </c>
      <c r="I330" s="123" t="s">
        <v>92</v>
      </c>
      <c r="J330" s="123" t="s">
        <v>97</v>
      </c>
      <c r="K330" s="123" t="s">
        <v>93</v>
      </c>
      <c r="L330" s="132">
        <v>250</v>
      </c>
      <c r="M330" s="132">
        <v>0</v>
      </c>
      <c r="N330" s="132">
        <v>8.806876247495639E+18</v>
      </c>
    </row>
    <row r="331" spans="4:14" ht="15" customHeight="1" x14ac:dyDescent="0.2">
      <c r="D331" s="130" t="b">
        <v>0</v>
      </c>
      <c r="E331" s="124" t="s">
        <v>94</v>
      </c>
      <c r="F331" s="125" t="s">
        <v>97</v>
      </c>
      <c r="G331" s="125">
        <v>3</v>
      </c>
      <c r="H331" s="123">
        <v>2</v>
      </c>
      <c r="I331" s="123" t="s">
        <v>92</v>
      </c>
      <c r="J331" s="123" t="s">
        <v>91</v>
      </c>
      <c r="K331" s="123" t="s">
        <v>93</v>
      </c>
      <c r="L331" s="132">
        <v>251</v>
      </c>
      <c r="M331" s="132">
        <v>0</v>
      </c>
      <c r="N331" s="132">
        <v>1.011045009105791E+19</v>
      </c>
    </row>
    <row r="332" spans="4:14" ht="15" customHeight="1" x14ac:dyDescent="0.2">
      <c r="D332" s="130" t="b">
        <v>0</v>
      </c>
      <c r="E332" s="124" t="s">
        <v>94</v>
      </c>
      <c r="F332" s="125" t="s">
        <v>97</v>
      </c>
      <c r="G332" s="125">
        <v>3</v>
      </c>
      <c r="H332" s="123">
        <v>4</v>
      </c>
      <c r="I332" s="123" t="s">
        <v>95</v>
      </c>
      <c r="J332" s="123" t="s">
        <v>96</v>
      </c>
      <c r="K332" s="123" t="s">
        <v>93</v>
      </c>
      <c r="L332" s="132">
        <v>252</v>
      </c>
      <c r="M332" s="132">
        <v>0</v>
      </c>
      <c r="N332" s="132">
        <v>4.2195734881572603E+18</v>
      </c>
    </row>
    <row r="333" spans="4:14" ht="15" customHeight="1" x14ac:dyDescent="0.2">
      <c r="D333" s="130" t="b">
        <v>0</v>
      </c>
      <c r="E333" s="124" t="s">
        <v>94</v>
      </c>
      <c r="F333" s="125" t="s">
        <v>97</v>
      </c>
      <c r="G333" s="125">
        <v>3</v>
      </c>
      <c r="H333" s="123">
        <v>4</v>
      </c>
      <c r="I333" s="123" t="s">
        <v>95</v>
      </c>
      <c r="J333" s="123" t="s">
        <v>97</v>
      </c>
      <c r="K333" s="123" t="s">
        <v>93</v>
      </c>
      <c r="L333" s="132">
        <v>253</v>
      </c>
      <c r="M333" s="132">
        <v>0</v>
      </c>
      <c r="N333" s="132">
        <v>3.6790793878357084E+18</v>
      </c>
    </row>
    <row r="334" spans="4:14" ht="15" customHeight="1" x14ac:dyDescent="0.2">
      <c r="D334" s="130" t="b">
        <v>0</v>
      </c>
      <c r="E334" s="124" t="s">
        <v>94</v>
      </c>
      <c r="F334" s="125" t="s">
        <v>97</v>
      </c>
      <c r="G334" s="125">
        <v>3</v>
      </c>
      <c r="H334" s="123">
        <v>4</v>
      </c>
      <c r="I334" s="123" t="s">
        <v>95</v>
      </c>
      <c r="J334" s="123" t="s">
        <v>91</v>
      </c>
      <c r="K334" s="123" t="s">
        <v>100</v>
      </c>
      <c r="L334" s="132">
        <v>254</v>
      </c>
      <c r="M334" s="132">
        <v>0</v>
      </c>
      <c r="N334" s="132">
        <v>1.3576552632731359E+19</v>
      </c>
    </row>
    <row r="335" spans="4:14" ht="15" customHeight="1" x14ac:dyDescent="0.2">
      <c r="D335" s="130" t="b">
        <v>0</v>
      </c>
      <c r="E335" s="124" t="s">
        <v>94</v>
      </c>
      <c r="F335" s="125" t="s">
        <v>97</v>
      </c>
      <c r="G335" s="125">
        <v>3</v>
      </c>
      <c r="H335" s="123">
        <v>4</v>
      </c>
      <c r="I335" s="123" t="s">
        <v>97</v>
      </c>
      <c r="J335" s="123" t="s">
        <v>96</v>
      </c>
      <c r="K335" s="123" t="s">
        <v>93</v>
      </c>
      <c r="L335" s="132">
        <v>255</v>
      </c>
      <c r="M335" s="132">
        <v>0</v>
      </c>
      <c r="N335" s="132">
        <v>9.7519221185825874E+18</v>
      </c>
    </row>
    <row r="336" spans="4:14" ht="15" customHeight="1" x14ac:dyDescent="0.2">
      <c r="D336" s="130" t="b">
        <v>0</v>
      </c>
      <c r="E336" s="124" t="s">
        <v>94</v>
      </c>
      <c r="F336" s="125" t="s">
        <v>97</v>
      </c>
      <c r="G336" s="125">
        <v>3</v>
      </c>
      <c r="H336" s="123">
        <v>4</v>
      </c>
      <c r="I336" s="123" t="s">
        <v>97</v>
      </c>
      <c r="J336" s="123" t="s">
        <v>97</v>
      </c>
      <c r="K336" s="123" t="s">
        <v>93</v>
      </c>
      <c r="L336" s="132">
        <v>256</v>
      </c>
      <c r="M336" s="132">
        <v>0</v>
      </c>
      <c r="N336" s="132">
        <v>1.7349674597283946E+19</v>
      </c>
    </row>
    <row r="337" spans="4:14" ht="15" customHeight="1" x14ac:dyDescent="0.2">
      <c r="D337" s="130" t="b">
        <v>0</v>
      </c>
      <c r="E337" s="124" t="s">
        <v>94</v>
      </c>
      <c r="F337" s="125" t="s">
        <v>97</v>
      </c>
      <c r="G337" s="125">
        <v>3</v>
      </c>
      <c r="H337" s="123">
        <v>4</v>
      </c>
      <c r="I337" s="123" t="s">
        <v>97</v>
      </c>
      <c r="J337" s="123" t="s">
        <v>91</v>
      </c>
      <c r="K337" s="123" t="s">
        <v>100</v>
      </c>
      <c r="L337" s="132">
        <v>257</v>
      </c>
      <c r="M337" s="132">
        <v>0</v>
      </c>
      <c r="N337" s="132">
        <v>1.4376912359296545E+19</v>
      </c>
    </row>
    <row r="338" spans="4:14" ht="15" customHeight="1" x14ac:dyDescent="0.2">
      <c r="D338" s="130" t="b">
        <v>0</v>
      </c>
      <c r="E338" s="124" t="s">
        <v>94</v>
      </c>
      <c r="F338" s="125" t="s">
        <v>97</v>
      </c>
      <c r="G338" s="125">
        <v>3</v>
      </c>
      <c r="H338" s="123">
        <v>4</v>
      </c>
      <c r="I338" s="123" t="s">
        <v>92</v>
      </c>
      <c r="J338" s="123" t="s">
        <v>96</v>
      </c>
      <c r="K338" s="123" t="s">
        <v>93</v>
      </c>
      <c r="L338" s="132">
        <v>258</v>
      </c>
      <c r="M338" s="132">
        <v>0</v>
      </c>
      <c r="N338" s="132">
        <v>1.8283790327917156E+19</v>
      </c>
    </row>
    <row r="339" spans="4:14" ht="15" customHeight="1" x14ac:dyDescent="0.2">
      <c r="D339" s="130" t="b">
        <v>0</v>
      </c>
      <c r="E339" s="124" t="s">
        <v>94</v>
      </c>
      <c r="F339" s="125" t="s">
        <v>97</v>
      </c>
      <c r="G339" s="125">
        <v>3</v>
      </c>
      <c r="H339" s="123">
        <v>4</v>
      </c>
      <c r="I339" s="123" t="s">
        <v>92</v>
      </c>
      <c r="J339" s="123" t="s">
        <v>97</v>
      </c>
      <c r="K339" s="123" t="s">
        <v>100</v>
      </c>
      <c r="L339" s="132">
        <v>259</v>
      </c>
      <c r="M339" s="132">
        <v>0</v>
      </c>
      <c r="N339" s="132">
        <v>1.0840853318693794E+19</v>
      </c>
    </row>
    <row r="340" spans="4:14" ht="15" customHeight="1" x14ac:dyDescent="0.2">
      <c r="D340" s="130" t="b">
        <v>0</v>
      </c>
      <c r="E340" s="124" t="s">
        <v>94</v>
      </c>
      <c r="F340" s="125" t="s">
        <v>97</v>
      </c>
      <c r="G340" s="125">
        <v>3</v>
      </c>
      <c r="H340" s="123">
        <v>4</v>
      </c>
      <c r="I340" s="123" t="s">
        <v>92</v>
      </c>
      <c r="J340" s="123" t="s">
        <v>91</v>
      </c>
      <c r="K340" s="123" t="s">
        <v>100</v>
      </c>
      <c r="L340" s="132">
        <v>260</v>
      </c>
      <c r="M340" s="132">
        <v>0</v>
      </c>
      <c r="N340" s="132">
        <v>1.4824088052473434E+19</v>
      </c>
    </row>
    <row r="341" spans="4:14" ht="15" customHeight="1" x14ac:dyDescent="0.2">
      <c r="D341" s="130" t="b">
        <v>0</v>
      </c>
      <c r="E341" s="124" t="s">
        <v>94</v>
      </c>
      <c r="F341" s="125" t="s">
        <v>97</v>
      </c>
      <c r="G341" s="125">
        <v>3</v>
      </c>
      <c r="H341" s="123" t="s">
        <v>98</v>
      </c>
      <c r="I341" s="123" t="s">
        <v>95</v>
      </c>
      <c r="J341" s="123" t="s">
        <v>96</v>
      </c>
      <c r="K341" s="123" t="s">
        <v>93</v>
      </c>
      <c r="L341" s="132">
        <v>261</v>
      </c>
      <c r="M341" s="132">
        <v>0</v>
      </c>
      <c r="N341" s="132">
        <v>1.0603246071605639E+19</v>
      </c>
    </row>
    <row r="342" spans="4:14" ht="15" customHeight="1" x14ac:dyDescent="0.2">
      <c r="D342" s="130" t="b">
        <v>0</v>
      </c>
      <c r="E342" s="124" t="s">
        <v>94</v>
      </c>
      <c r="F342" s="125" t="s">
        <v>97</v>
      </c>
      <c r="G342" s="125">
        <v>3</v>
      </c>
      <c r="H342" s="123" t="s">
        <v>98</v>
      </c>
      <c r="I342" s="123" t="s">
        <v>95</v>
      </c>
      <c r="J342" s="123" t="s">
        <v>97</v>
      </c>
      <c r="K342" s="123" t="s">
        <v>93</v>
      </c>
      <c r="L342" s="132">
        <v>262</v>
      </c>
      <c r="M342" s="132">
        <v>0</v>
      </c>
      <c r="N342" s="132">
        <v>1.4009563781406243E+19</v>
      </c>
    </row>
    <row r="343" spans="4:14" ht="15" customHeight="1" x14ac:dyDescent="0.2">
      <c r="D343" s="130" t="b">
        <v>0</v>
      </c>
      <c r="E343" s="124" t="s">
        <v>94</v>
      </c>
      <c r="F343" s="125" t="s">
        <v>97</v>
      </c>
      <c r="G343" s="125">
        <v>3</v>
      </c>
      <c r="H343" s="123" t="s">
        <v>98</v>
      </c>
      <c r="I343" s="123" t="s">
        <v>95</v>
      </c>
      <c r="J343" s="123" t="s">
        <v>91</v>
      </c>
      <c r="K343" s="123" t="s">
        <v>100</v>
      </c>
      <c r="L343" s="132">
        <v>263</v>
      </c>
      <c r="M343" s="132">
        <v>0</v>
      </c>
      <c r="N343" s="132">
        <v>8.1462543592332237E+18</v>
      </c>
    </row>
    <row r="344" spans="4:14" ht="15" customHeight="1" x14ac:dyDescent="0.2">
      <c r="D344" s="130" t="b">
        <v>0</v>
      </c>
      <c r="E344" s="124" t="s">
        <v>94</v>
      </c>
      <c r="F344" s="125" t="s">
        <v>97</v>
      </c>
      <c r="G344" s="125">
        <v>3</v>
      </c>
      <c r="H344" s="123" t="s">
        <v>98</v>
      </c>
      <c r="I344" s="123" t="s">
        <v>97</v>
      </c>
      <c r="J344" s="123" t="s">
        <v>96</v>
      </c>
      <c r="K344" s="123" t="s">
        <v>93</v>
      </c>
      <c r="L344" s="132">
        <v>264</v>
      </c>
      <c r="M344" s="132">
        <v>0</v>
      </c>
      <c r="N344" s="132">
        <v>1.3775670799681479E+19</v>
      </c>
    </row>
    <row r="345" spans="4:14" ht="15" customHeight="1" x14ac:dyDescent="0.2">
      <c r="D345" s="130" t="b">
        <v>0</v>
      </c>
      <c r="E345" s="124" t="s">
        <v>94</v>
      </c>
      <c r="F345" s="125" t="s">
        <v>97</v>
      </c>
      <c r="G345" s="125">
        <v>3</v>
      </c>
      <c r="H345" s="123" t="s">
        <v>98</v>
      </c>
      <c r="I345" s="123" t="s">
        <v>97</v>
      </c>
      <c r="J345" s="123" t="s">
        <v>97</v>
      </c>
      <c r="K345" s="123" t="s">
        <v>100</v>
      </c>
      <c r="L345" s="132">
        <v>265</v>
      </c>
      <c r="M345" s="132">
        <v>0</v>
      </c>
      <c r="N345" s="132">
        <v>6.3725202690244485E+18</v>
      </c>
    </row>
    <row r="346" spans="4:14" ht="15" customHeight="1" x14ac:dyDescent="0.2">
      <c r="D346" s="130" t="b">
        <v>0</v>
      </c>
      <c r="E346" s="124" t="s">
        <v>94</v>
      </c>
      <c r="F346" s="125" t="s">
        <v>97</v>
      </c>
      <c r="G346" s="125">
        <v>3</v>
      </c>
      <c r="H346" s="123" t="s">
        <v>98</v>
      </c>
      <c r="I346" s="123" t="s">
        <v>97</v>
      </c>
      <c r="J346" s="123" t="s">
        <v>91</v>
      </c>
      <c r="K346" s="123" t="s">
        <v>100</v>
      </c>
      <c r="L346" s="132">
        <v>266</v>
      </c>
      <c r="M346" s="132">
        <v>0</v>
      </c>
      <c r="N346" s="132">
        <v>1.5963926044690579E+19</v>
      </c>
    </row>
    <row r="347" spans="4:14" ht="15" customHeight="1" x14ac:dyDescent="0.2">
      <c r="D347" s="130" t="b">
        <v>0</v>
      </c>
      <c r="E347" s="124" t="s">
        <v>94</v>
      </c>
      <c r="F347" s="125" t="s">
        <v>97</v>
      </c>
      <c r="G347" s="125">
        <v>3</v>
      </c>
      <c r="H347" s="123" t="s">
        <v>98</v>
      </c>
      <c r="I347" s="123" t="s">
        <v>92</v>
      </c>
      <c r="J347" s="123" t="s">
        <v>96</v>
      </c>
      <c r="K347" s="123" t="s">
        <v>93</v>
      </c>
      <c r="L347" s="132">
        <v>267</v>
      </c>
      <c r="M347" s="132">
        <v>0</v>
      </c>
      <c r="N347" s="132">
        <v>1.4184007137867203E+18</v>
      </c>
    </row>
    <row r="348" spans="4:14" ht="15" customHeight="1" x14ac:dyDescent="0.2">
      <c r="D348" s="130" t="b">
        <v>0</v>
      </c>
      <c r="E348" s="124" t="s">
        <v>94</v>
      </c>
      <c r="F348" s="125" t="s">
        <v>97</v>
      </c>
      <c r="G348" s="125">
        <v>3</v>
      </c>
      <c r="H348" s="123" t="s">
        <v>98</v>
      </c>
      <c r="I348" s="123" t="s">
        <v>92</v>
      </c>
      <c r="J348" s="123" t="s">
        <v>97</v>
      </c>
      <c r="K348" s="123" t="s">
        <v>100</v>
      </c>
      <c r="L348" s="132">
        <v>268</v>
      </c>
      <c r="M348" s="132">
        <v>0</v>
      </c>
      <c r="N348" s="132">
        <v>3.5688229596969185E+18</v>
      </c>
    </row>
    <row r="349" spans="4:14" ht="15" customHeight="1" x14ac:dyDescent="0.2">
      <c r="D349" s="130" t="b">
        <v>0</v>
      </c>
      <c r="E349" s="124" t="s">
        <v>94</v>
      </c>
      <c r="F349" s="125" t="s">
        <v>97</v>
      </c>
      <c r="G349" s="125">
        <v>3</v>
      </c>
      <c r="H349" s="123" t="s">
        <v>98</v>
      </c>
      <c r="I349" s="123" t="s">
        <v>92</v>
      </c>
      <c r="J349" s="123" t="s">
        <v>91</v>
      </c>
      <c r="K349" s="123" t="s">
        <v>100</v>
      </c>
      <c r="L349" s="132">
        <v>269</v>
      </c>
      <c r="M349" s="132">
        <v>0</v>
      </c>
      <c r="N349" s="132">
        <v>1.0424403218125421E+19</v>
      </c>
    </row>
    <row r="350" spans="4:14" ht="15" customHeight="1" x14ac:dyDescent="0.2">
      <c r="D350" s="130" t="b">
        <v>0</v>
      </c>
      <c r="E350" s="124" t="s">
        <v>94</v>
      </c>
      <c r="F350" s="125" t="s">
        <v>97</v>
      </c>
      <c r="G350" s="125">
        <v>4</v>
      </c>
      <c r="H350" s="123">
        <v>2</v>
      </c>
      <c r="I350" s="123" t="s">
        <v>95</v>
      </c>
      <c r="J350" s="123" t="s">
        <v>96</v>
      </c>
      <c r="K350" s="123" t="s">
        <v>93</v>
      </c>
      <c r="L350" s="132">
        <v>270</v>
      </c>
      <c r="M350" s="132">
        <v>0</v>
      </c>
      <c r="N350" s="132">
        <v>1.4714579433162324E+19</v>
      </c>
    </row>
    <row r="351" spans="4:14" ht="15" customHeight="1" x14ac:dyDescent="0.2">
      <c r="D351" s="130" t="b">
        <v>0</v>
      </c>
      <c r="E351" s="124" t="s">
        <v>94</v>
      </c>
      <c r="F351" s="125" t="s">
        <v>97</v>
      </c>
      <c r="G351" s="125">
        <v>4</v>
      </c>
      <c r="H351" s="123">
        <v>2</v>
      </c>
      <c r="I351" s="123" t="s">
        <v>95</v>
      </c>
      <c r="J351" s="123" t="s">
        <v>97</v>
      </c>
      <c r="K351" s="123" t="s">
        <v>93</v>
      </c>
      <c r="L351" s="132">
        <v>271</v>
      </c>
      <c r="M351" s="132">
        <v>0</v>
      </c>
      <c r="N351" s="132">
        <v>1.1608306962704511E+19</v>
      </c>
    </row>
    <row r="352" spans="4:14" ht="15" customHeight="1" x14ac:dyDescent="0.2">
      <c r="D352" s="130" t="b">
        <v>0</v>
      </c>
      <c r="E352" s="124" t="s">
        <v>94</v>
      </c>
      <c r="F352" s="125" t="s">
        <v>97</v>
      </c>
      <c r="G352" s="125">
        <v>4</v>
      </c>
      <c r="H352" s="123">
        <v>2</v>
      </c>
      <c r="I352" s="123" t="s">
        <v>95</v>
      </c>
      <c r="J352" s="123" t="s">
        <v>91</v>
      </c>
      <c r="K352" s="123" t="s">
        <v>93</v>
      </c>
      <c r="L352" s="132">
        <v>272</v>
      </c>
      <c r="M352" s="132">
        <v>0</v>
      </c>
      <c r="N352" s="132">
        <v>9.8012877614838702E+18</v>
      </c>
    </row>
    <row r="353" spans="4:14" ht="15" customHeight="1" x14ac:dyDescent="0.2">
      <c r="D353" s="130" t="b">
        <v>0</v>
      </c>
      <c r="E353" s="124" t="s">
        <v>94</v>
      </c>
      <c r="F353" s="125" t="s">
        <v>97</v>
      </c>
      <c r="G353" s="125">
        <v>4</v>
      </c>
      <c r="H353" s="123">
        <v>2</v>
      </c>
      <c r="I353" s="123" t="s">
        <v>97</v>
      </c>
      <c r="J353" s="123" t="s">
        <v>96</v>
      </c>
      <c r="K353" s="123" t="s">
        <v>93</v>
      </c>
      <c r="L353" s="132">
        <v>273</v>
      </c>
      <c r="M353" s="132">
        <v>0</v>
      </c>
      <c r="N353" s="132">
        <v>1.3716855069460503E+19</v>
      </c>
    </row>
    <row r="354" spans="4:14" ht="15" customHeight="1" x14ac:dyDescent="0.2">
      <c r="D354" s="130" t="b">
        <v>0</v>
      </c>
      <c r="E354" s="124" t="s">
        <v>94</v>
      </c>
      <c r="F354" s="125" t="s">
        <v>97</v>
      </c>
      <c r="G354" s="125">
        <v>4</v>
      </c>
      <c r="H354" s="123">
        <v>2</v>
      </c>
      <c r="I354" s="123" t="s">
        <v>97</v>
      </c>
      <c r="J354" s="123" t="s">
        <v>97</v>
      </c>
      <c r="K354" s="123" t="s">
        <v>93</v>
      </c>
      <c r="L354" s="132">
        <v>274</v>
      </c>
      <c r="M354" s="132">
        <v>0</v>
      </c>
      <c r="N354" s="132">
        <v>1.5966676047871571E+17</v>
      </c>
    </row>
    <row r="355" spans="4:14" ht="15" customHeight="1" x14ac:dyDescent="0.2">
      <c r="D355" s="130" t="b">
        <v>0</v>
      </c>
      <c r="E355" s="124" t="s">
        <v>94</v>
      </c>
      <c r="F355" s="125" t="s">
        <v>97</v>
      </c>
      <c r="G355" s="125">
        <v>4</v>
      </c>
      <c r="H355" s="123">
        <v>2</v>
      </c>
      <c r="I355" s="123" t="s">
        <v>97</v>
      </c>
      <c r="J355" s="123" t="s">
        <v>91</v>
      </c>
      <c r="K355" s="123" t="s">
        <v>93</v>
      </c>
      <c r="L355" s="132">
        <v>275</v>
      </c>
      <c r="M355" s="132">
        <v>0</v>
      </c>
      <c r="N355" s="132">
        <v>7.5564784862454804E+18</v>
      </c>
    </row>
    <row r="356" spans="4:14" ht="15" customHeight="1" x14ac:dyDescent="0.2">
      <c r="D356" s="130" t="b">
        <v>0</v>
      </c>
      <c r="E356" s="124" t="s">
        <v>94</v>
      </c>
      <c r="F356" s="125" t="s">
        <v>97</v>
      </c>
      <c r="G356" s="125">
        <v>4</v>
      </c>
      <c r="H356" s="123">
        <v>2</v>
      </c>
      <c r="I356" s="123" t="s">
        <v>92</v>
      </c>
      <c r="J356" s="123" t="s">
        <v>96</v>
      </c>
      <c r="K356" s="123" t="s">
        <v>93</v>
      </c>
      <c r="L356" s="132">
        <v>276</v>
      </c>
      <c r="M356" s="132">
        <v>0</v>
      </c>
      <c r="N356" s="132">
        <v>9.5894717188978957E+17</v>
      </c>
    </row>
    <row r="357" spans="4:14" ht="15" customHeight="1" x14ac:dyDescent="0.2">
      <c r="D357" s="130" t="b">
        <v>0</v>
      </c>
      <c r="E357" s="124" t="s">
        <v>94</v>
      </c>
      <c r="F357" s="125" t="s">
        <v>97</v>
      </c>
      <c r="G357" s="125">
        <v>4</v>
      </c>
      <c r="H357" s="123">
        <v>2</v>
      </c>
      <c r="I357" s="123" t="s">
        <v>92</v>
      </c>
      <c r="J357" s="123" t="s">
        <v>97</v>
      </c>
      <c r="K357" s="123" t="s">
        <v>93</v>
      </c>
      <c r="L357" s="132">
        <v>277</v>
      </c>
      <c r="M357" s="132">
        <v>0</v>
      </c>
      <c r="N357" s="132">
        <v>1.4565225154535039E+19</v>
      </c>
    </row>
    <row r="358" spans="4:14" ht="15" customHeight="1" x14ac:dyDescent="0.2">
      <c r="D358" s="130" t="b">
        <v>0</v>
      </c>
      <c r="E358" s="124" t="s">
        <v>94</v>
      </c>
      <c r="F358" s="125" t="s">
        <v>97</v>
      </c>
      <c r="G358" s="125">
        <v>4</v>
      </c>
      <c r="H358" s="123">
        <v>2</v>
      </c>
      <c r="I358" s="123" t="s">
        <v>92</v>
      </c>
      <c r="J358" s="123" t="s">
        <v>91</v>
      </c>
      <c r="K358" s="123" t="s">
        <v>93</v>
      </c>
      <c r="L358" s="132">
        <v>278</v>
      </c>
      <c r="M358" s="132">
        <v>0</v>
      </c>
      <c r="N358" s="132">
        <v>7.6395417002333962E+18</v>
      </c>
    </row>
    <row r="359" spans="4:14" ht="15" customHeight="1" x14ac:dyDescent="0.2">
      <c r="D359" s="130" t="b">
        <v>0</v>
      </c>
      <c r="E359" s="124" t="s">
        <v>94</v>
      </c>
      <c r="F359" s="125" t="s">
        <v>97</v>
      </c>
      <c r="G359" s="125">
        <v>4</v>
      </c>
      <c r="H359" s="123">
        <v>4</v>
      </c>
      <c r="I359" s="123" t="s">
        <v>95</v>
      </c>
      <c r="J359" s="123" t="s">
        <v>96</v>
      </c>
      <c r="K359" s="123" t="s">
        <v>93</v>
      </c>
      <c r="L359" s="132">
        <v>279</v>
      </c>
      <c r="M359" s="132">
        <v>0</v>
      </c>
      <c r="N359" s="132">
        <v>3.3102805279897257E+18</v>
      </c>
    </row>
    <row r="360" spans="4:14" ht="15" customHeight="1" x14ac:dyDescent="0.2">
      <c r="D360" s="130" t="b">
        <v>0</v>
      </c>
      <c r="E360" s="124" t="s">
        <v>94</v>
      </c>
      <c r="F360" s="125" t="s">
        <v>97</v>
      </c>
      <c r="G360" s="125">
        <v>4</v>
      </c>
      <c r="H360" s="123">
        <v>4</v>
      </c>
      <c r="I360" s="123" t="s">
        <v>95</v>
      </c>
      <c r="J360" s="123" t="s">
        <v>97</v>
      </c>
      <c r="K360" s="123" t="s">
        <v>93</v>
      </c>
      <c r="L360" s="132">
        <v>280</v>
      </c>
      <c r="M360" s="132">
        <v>0</v>
      </c>
      <c r="N360" s="132">
        <v>1.3389069264088844E+19</v>
      </c>
    </row>
    <row r="361" spans="4:14" ht="15" customHeight="1" x14ac:dyDescent="0.2">
      <c r="D361" s="130" t="b">
        <v>0</v>
      </c>
      <c r="E361" s="124" t="s">
        <v>94</v>
      </c>
      <c r="F361" s="125" t="s">
        <v>97</v>
      </c>
      <c r="G361" s="125">
        <v>4</v>
      </c>
      <c r="H361" s="123">
        <v>4</v>
      </c>
      <c r="I361" s="123" t="s">
        <v>95</v>
      </c>
      <c r="J361" s="123" t="s">
        <v>91</v>
      </c>
      <c r="K361" s="123" t="s">
        <v>100</v>
      </c>
      <c r="L361" s="132">
        <v>281</v>
      </c>
      <c r="M361" s="132">
        <v>0</v>
      </c>
      <c r="N361" s="132">
        <v>6.1443185017759273E+18</v>
      </c>
    </row>
    <row r="362" spans="4:14" ht="15" customHeight="1" x14ac:dyDescent="0.2">
      <c r="D362" s="130" t="b">
        <v>0</v>
      </c>
      <c r="E362" s="124" t="s">
        <v>94</v>
      </c>
      <c r="F362" s="125" t="s">
        <v>97</v>
      </c>
      <c r="G362" s="125">
        <v>4</v>
      </c>
      <c r="H362" s="123">
        <v>4</v>
      </c>
      <c r="I362" s="123" t="s">
        <v>97</v>
      </c>
      <c r="J362" s="123" t="s">
        <v>96</v>
      </c>
      <c r="K362" s="123" t="s">
        <v>93</v>
      </c>
      <c r="L362" s="132">
        <v>282</v>
      </c>
      <c r="M362" s="132">
        <v>0</v>
      </c>
      <c r="N362" s="132">
        <v>9.1427215333503867E+18</v>
      </c>
    </row>
    <row r="363" spans="4:14" ht="15" customHeight="1" x14ac:dyDescent="0.2">
      <c r="D363" s="130" t="b">
        <v>0</v>
      </c>
      <c r="E363" s="124" t="s">
        <v>94</v>
      </c>
      <c r="F363" s="125" t="s">
        <v>97</v>
      </c>
      <c r="G363" s="125">
        <v>4</v>
      </c>
      <c r="H363" s="123">
        <v>4</v>
      </c>
      <c r="I363" s="123" t="s">
        <v>97</v>
      </c>
      <c r="J363" s="123" t="s">
        <v>97</v>
      </c>
      <c r="K363" s="123" t="s">
        <v>100</v>
      </c>
      <c r="L363" s="132">
        <v>283</v>
      </c>
      <c r="M363" s="132">
        <v>0</v>
      </c>
      <c r="N363" s="132">
        <v>9.4123791702640845E+18</v>
      </c>
    </row>
    <row r="364" spans="4:14" ht="15" customHeight="1" x14ac:dyDescent="0.2">
      <c r="D364" s="130" t="b">
        <v>0</v>
      </c>
      <c r="E364" s="124" t="s">
        <v>94</v>
      </c>
      <c r="F364" s="125" t="s">
        <v>97</v>
      </c>
      <c r="G364" s="125">
        <v>4</v>
      </c>
      <c r="H364" s="123">
        <v>4</v>
      </c>
      <c r="I364" s="123" t="s">
        <v>97</v>
      </c>
      <c r="J364" s="123" t="s">
        <v>91</v>
      </c>
      <c r="K364" s="123" t="s">
        <v>100</v>
      </c>
      <c r="L364" s="132">
        <v>284</v>
      </c>
      <c r="M364" s="132">
        <v>0</v>
      </c>
      <c r="N364" s="132">
        <v>1.2691725290221509E+19</v>
      </c>
    </row>
    <row r="365" spans="4:14" ht="15" customHeight="1" x14ac:dyDescent="0.2">
      <c r="D365" s="130" t="b">
        <v>0</v>
      </c>
      <c r="E365" s="124" t="s">
        <v>94</v>
      </c>
      <c r="F365" s="125" t="s">
        <v>97</v>
      </c>
      <c r="G365" s="125">
        <v>4</v>
      </c>
      <c r="H365" s="123">
        <v>4</v>
      </c>
      <c r="I365" s="123" t="s">
        <v>92</v>
      </c>
      <c r="J365" s="123" t="s">
        <v>96</v>
      </c>
      <c r="K365" s="123" t="s">
        <v>93</v>
      </c>
      <c r="L365" s="132">
        <v>285</v>
      </c>
      <c r="M365" s="132">
        <v>0</v>
      </c>
      <c r="N365" s="132">
        <v>1.549039429144611E+19</v>
      </c>
    </row>
    <row r="366" spans="4:14" ht="15" customHeight="1" x14ac:dyDescent="0.2">
      <c r="D366" s="130" t="b">
        <v>0</v>
      </c>
      <c r="E366" s="124" t="s">
        <v>94</v>
      </c>
      <c r="F366" s="125" t="s">
        <v>97</v>
      </c>
      <c r="G366" s="125">
        <v>4</v>
      </c>
      <c r="H366" s="123">
        <v>4</v>
      </c>
      <c r="I366" s="123" t="s">
        <v>92</v>
      </c>
      <c r="J366" s="123" t="s">
        <v>97</v>
      </c>
      <c r="K366" s="123" t="s">
        <v>100</v>
      </c>
      <c r="L366" s="132">
        <v>286</v>
      </c>
      <c r="M366" s="132">
        <v>0</v>
      </c>
      <c r="N366" s="132">
        <v>1.4037800467768613E+19</v>
      </c>
    </row>
    <row r="367" spans="4:14" ht="15" customHeight="1" x14ac:dyDescent="0.2">
      <c r="D367" s="130" t="b">
        <v>0</v>
      </c>
      <c r="E367" s="124" t="s">
        <v>94</v>
      </c>
      <c r="F367" s="125" t="s">
        <v>97</v>
      </c>
      <c r="G367" s="125">
        <v>4</v>
      </c>
      <c r="H367" s="123">
        <v>4</v>
      </c>
      <c r="I367" s="123" t="s">
        <v>92</v>
      </c>
      <c r="J367" s="123" t="s">
        <v>91</v>
      </c>
      <c r="K367" s="123" t="s">
        <v>100</v>
      </c>
      <c r="L367" s="132">
        <v>287</v>
      </c>
      <c r="M367" s="132">
        <v>0</v>
      </c>
      <c r="N367" s="132">
        <v>5.3600621635045847E+18</v>
      </c>
    </row>
    <row r="368" spans="4:14" ht="15" customHeight="1" x14ac:dyDescent="0.2">
      <c r="D368" s="130" t="b">
        <v>0</v>
      </c>
      <c r="E368" s="124" t="s">
        <v>94</v>
      </c>
      <c r="F368" s="125" t="s">
        <v>97</v>
      </c>
      <c r="G368" s="125">
        <v>4</v>
      </c>
      <c r="H368" s="123" t="s">
        <v>98</v>
      </c>
      <c r="I368" s="123" t="s">
        <v>95</v>
      </c>
      <c r="J368" s="123" t="s">
        <v>96</v>
      </c>
      <c r="K368" s="123" t="s">
        <v>93</v>
      </c>
      <c r="L368" s="132">
        <v>288</v>
      </c>
      <c r="M368" s="132">
        <v>0</v>
      </c>
      <c r="N368" s="132">
        <v>3.7507104140721427E+17</v>
      </c>
    </row>
    <row r="369" spans="4:14" ht="15" customHeight="1" x14ac:dyDescent="0.2">
      <c r="D369" s="130" t="b">
        <v>0</v>
      </c>
      <c r="E369" s="124" t="s">
        <v>94</v>
      </c>
      <c r="F369" s="125" t="s">
        <v>97</v>
      </c>
      <c r="G369" s="125">
        <v>4</v>
      </c>
      <c r="H369" s="123" t="s">
        <v>98</v>
      </c>
      <c r="I369" s="123" t="s">
        <v>95</v>
      </c>
      <c r="J369" s="123" t="s">
        <v>97</v>
      </c>
      <c r="K369" s="123" t="s">
        <v>93</v>
      </c>
      <c r="L369" s="132">
        <v>289</v>
      </c>
      <c r="M369" s="132">
        <v>0</v>
      </c>
      <c r="N369" s="132">
        <v>1.1176217096870998E+19</v>
      </c>
    </row>
    <row r="370" spans="4:14" ht="15" customHeight="1" x14ac:dyDescent="0.2">
      <c r="D370" s="130" t="b">
        <v>0</v>
      </c>
      <c r="E370" s="124" t="s">
        <v>94</v>
      </c>
      <c r="F370" s="125" t="s">
        <v>97</v>
      </c>
      <c r="G370" s="125">
        <v>4</v>
      </c>
      <c r="H370" s="123" t="s">
        <v>98</v>
      </c>
      <c r="I370" s="123" t="s">
        <v>95</v>
      </c>
      <c r="J370" s="123" t="s">
        <v>91</v>
      </c>
      <c r="K370" s="123" t="s">
        <v>100</v>
      </c>
      <c r="L370" s="132">
        <v>290</v>
      </c>
      <c r="M370" s="132">
        <v>0</v>
      </c>
      <c r="N370" s="132">
        <v>1.3670012952132248E+19</v>
      </c>
    </row>
    <row r="371" spans="4:14" ht="15" customHeight="1" x14ac:dyDescent="0.2">
      <c r="D371" s="130" t="b">
        <v>0</v>
      </c>
      <c r="E371" s="124" t="s">
        <v>94</v>
      </c>
      <c r="F371" s="125" t="s">
        <v>97</v>
      </c>
      <c r="G371" s="125">
        <v>4</v>
      </c>
      <c r="H371" s="123" t="s">
        <v>98</v>
      </c>
      <c r="I371" s="123" t="s">
        <v>97</v>
      </c>
      <c r="J371" s="123" t="s">
        <v>96</v>
      </c>
      <c r="K371" s="123" t="s">
        <v>93</v>
      </c>
      <c r="L371" s="132">
        <v>291</v>
      </c>
      <c r="M371" s="132">
        <v>0</v>
      </c>
      <c r="N371" s="132">
        <v>4.9983010922676009E+18</v>
      </c>
    </row>
    <row r="372" spans="4:14" ht="15" customHeight="1" x14ac:dyDescent="0.2">
      <c r="D372" s="130" t="b">
        <v>0</v>
      </c>
      <c r="E372" s="124" t="s">
        <v>94</v>
      </c>
      <c r="F372" s="125" t="s">
        <v>97</v>
      </c>
      <c r="G372" s="125">
        <v>4</v>
      </c>
      <c r="H372" s="123" t="s">
        <v>98</v>
      </c>
      <c r="I372" s="123" t="s">
        <v>97</v>
      </c>
      <c r="J372" s="123" t="s">
        <v>97</v>
      </c>
      <c r="K372" s="123" t="s">
        <v>100</v>
      </c>
      <c r="L372" s="132">
        <v>292</v>
      </c>
      <c r="M372" s="132">
        <v>0</v>
      </c>
      <c r="N372" s="132">
        <v>5.2031328486927022E+18</v>
      </c>
    </row>
    <row r="373" spans="4:14" ht="15" customHeight="1" x14ac:dyDescent="0.2">
      <c r="D373" s="130" t="b">
        <v>0</v>
      </c>
      <c r="E373" s="124" t="s">
        <v>94</v>
      </c>
      <c r="F373" s="125" t="s">
        <v>97</v>
      </c>
      <c r="G373" s="125">
        <v>4</v>
      </c>
      <c r="H373" s="123" t="s">
        <v>98</v>
      </c>
      <c r="I373" s="123" t="s">
        <v>97</v>
      </c>
      <c r="J373" s="123" t="s">
        <v>91</v>
      </c>
      <c r="K373" s="123" t="s">
        <v>100</v>
      </c>
      <c r="L373" s="132">
        <v>293</v>
      </c>
      <c r="M373" s="132">
        <v>0</v>
      </c>
      <c r="N373" s="132">
        <v>1.7681788966125197E+17</v>
      </c>
    </row>
    <row r="374" spans="4:14" ht="15" customHeight="1" x14ac:dyDescent="0.2">
      <c r="D374" s="130" t="b">
        <v>0</v>
      </c>
      <c r="E374" s="124" t="s">
        <v>94</v>
      </c>
      <c r="F374" s="125" t="s">
        <v>97</v>
      </c>
      <c r="G374" s="125">
        <v>4</v>
      </c>
      <c r="H374" s="123" t="s">
        <v>98</v>
      </c>
      <c r="I374" s="123" t="s">
        <v>92</v>
      </c>
      <c r="J374" s="123" t="s">
        <v>96</v>
      </c>
      <c r="K374" s="123" t="s">
        <v>93</v>
      </c>
      <c r="L374" s="132">
        <v>294</v>
      </c>
      <c r="M374" s="132">
        <v>0</v>
      </c>
      <c r="N374" s="132">
        <v>1.676634192629983E+19</v>
      </c>
    </row>
    <row r="375" spans="4:14" ht="15" customHeight="1" x14ac:dyDescent="0.2">
      <c r="D375" s="130" t="b">
        <v>0</v>
      </c>
      <c r="E375" s="124" t="s">
        <v>94</v>
      </c>
      <c r="F375" s="125" t="s">
        <v>97</v>
      </c>
      <c r="G375" s="125">
        <v>4</v>
      </c>
      <c r="H375" s="123" t="s">
        <v>98</v>
      </c>
      <c r="I375" s="123" t="s">
        <v>92</v>
      </c>
      <c r="J375" s="123" t="s">
        <v>97</v>
      </c>
      <c r="K375" s="123" t="s">
        <v>100</v>
      </c>
      <c r="L375" s="132">
        <v>295</v>
      </c>
      <c r="M375" s="132">
        <v>0</v>
      </c>
      <c r="N375" s="132">
        <v>7.4666871455007724E+18</v>
      </c>
    </row>
    <row r="376" spans="4:14" ht="15" customHeight="1" x14ac:dyDescent="0.2">
      <c r="D376" s="130" t="b">
        <v>0</v>
      </c>
      <c r="E376" s="124" t="s">
        <v>94</v>
      </c>
      <c r="F376" s="125" t="s">
        <v>97</v>
      </c>
      <c r="G376" s="125">
        <v>4</v>
      </c>
      <c r="H376" s="123" t="s">
        <v>98</v>
      </c>
      <c r="I376" s="123" t="s">
        <v>92</v>
      </c>
      <c r="J376" s="123" t="s">
        <v>91</v>
      </c>
      <c r="K376" s="123" t="s">
        <v>100</v>
      </c>
      <c r="L376" s="132">
        <v>296</v>
      </c>
      <c r="M376" s="132">
        <v>0</v>
      </c>
      <c r="N376" s="132">
        <v>1.7864666697275118E+19</v>
      </c>
    </row>
    <row r="377" spans="4:14" ht="15" customHeight="1" x14ac:dyDescent="0.2">
      <c r="D377" s="130" t="b">
        <v>0</v>
      </c>
      <c r="E377" s="124" t="s">
        <v>94</v>
      </c>
      <c r="F377" s="125" t="s">
        <v>97</v>
      </c>
      <c r="G377" s="125" t="s">
        <v>99</v>
      </c>
      <c r="H377" s="123">
        <v>2</v>
      </c>
      <c r="I377" s="123" t="s">
        <v>95</v>
      </c>
      <c r="J377" s="123" t="s">
        <v>96</v>
      </c>
      <c r="K377" s="123" t="s">
        <v>93</v>
      </c>
      <c r="L377" s="132">
        <v>297</v>
      </c>
      <c r="M377" s="132">
        <v>0</v>
      </c>
      <c r="N377" s="132">
        <v>9.4117173540657377E+18</v>
      </c>
    </row>
    <row r="378" spans="4:14" ht="15" customHeight="1" x14ac:dyDescent="0.2">
      <c r="D378" s="130" t="b">
        <v>0</v>
      </c>
      <c r="E378" s="124" t="s">
        <v>94</v>
      </c>
      <c r="F378" s="125" t="s">
        <v>97</v>
      </c>
      <c r="G378" s="125" t="s">
        <v>99</v>
      </c>
      <c r="H378" s="123">
        <v>2</v>
      </c>
      <c r="I378" s="123" t="s">
        <v>95</v>
      </c>
      <c r="J378" s="123" t="s">
        <v>97</v>
      </c>
      <c r="K378" s="123" t="s">
        <v>93</v>
      </c>
      <c r="L378" s="132">
        <v>298</v>
      </c>
      <c r="M378" s="132">
        <v>0</v>
      </c>
      <c r="N378" s="132">
        <v>1.3259512928080816E+19</v>
      </c>
    </row>
    <row r="379" spans="4:14" ht="15" customHeight="1" x14ac:dyDescent="0.2">
      <c r="D379" s="130" t="b">
        <v>0</v>
      </c>
      <c r="E379" s="124" t="s">
        <v>94</v>
      </c>
      <c r="F379" s="125" t="s">
        <v>97</v>
      </c>
      <c r="G379" s="125" t="s">
        <v>99</v>
      </c>
      <c r="H379" s="123">
        <v>2</v>
      </c>
      <c r="I379" s="123" t="s">
        <v>95</v>
      </c>
      <c r="J379" s="123" t="s">
        <v>91</v>
      </c>
      <c r="K379" s="123" t="s">
        <v>93</v>
      </c>
      <c r="L379" s="132">
        <v>299</v>
      </c>
      <c r="M379" s="132">
        <v>0</v>
      </c>
      <c r="N379" s="132">
        <v>3.4265141113625528E+18</v>
      </c>
    </row>
    <row r="380" spans="4:14" ht="15" customHeight="1" x14ac:dyDescent="0.2">
      <c r="D380" s="130" t="b">
        <v>0</v>
      </c>
      <c r="E380" s="124" t="s">
        <v>94</v>
      </c>
      <c r="F380" s="125" t="s">
        <v>97</v>
      </c>
      <c r="G380" s="125" t="s">
        <v>99</v>
      </c>
      <c r="H380" s="123">
        <v>2</v>
      </c>
      <c r="I380" s="123" t="s">
        <v>97</v>
      </c>
      <c r="J380" s="123" t="s">
        <v>96</v>
      </c>
      <c r="K380" s="123" t="s">
        <v>93</v>
      </c>
      <c r="L380" s="132">
        <v>300</v>
      </c>
      <c r="M380" s="132">
        <v>0</v>
      </c>
      <c r="N380" s="132">
        <v>1.2467335875825072E+19</v>
      </c>
    </row>
    <row r="381" spans="4:14" ht="15" customHeight="1" x14ac:dyDescent="0.2">
      <c r="D381" s="130" t="b">
        <v>0</v>
      </c>
      <c r="E381" s="124" t="s">
        <v>94</v>
      </c>
      <c r="F381" s="125" t="s">
        <v>97</v>
      </c>
      <c r="G381" s="125" t="s">
        <v>99</v>
      </c>
      <c r="H381" s="123">
        <v>2</v>
      </c>
      <c r="I381" s="123" t="s">
        <v>97</v>
      </c>
      <c r="J381" s="123" t="s">
        <v>97</v>
      </c>
      <c r="K381" s="123" t="s">
        <v>93</v>
      </c>
      <c r="L381" s="132">
        <v>301</v>
      </c>
      <c r="M381" s="132">
        <v>0</v>
      </c>
      <c r="N381" s="132">
        <v>3.8350181276576399E+18</v>
      </c>
    </row>
    <row r="382" spans="4:14" ht="15" customHeight="1" x14ac:dyDescent="0.2">
      <c r="D382" s="130" t="b">
        <v>0</v>
      </c>
      <c r="E382" s="124" t="s">
        <v>94</v>
      </c>
      <c r="F382" s="125" t="s">
        <v>97</v>
      </c>
      <c r="G382" s="125" t="s">
        <v>99</v>
      </c>
      <c r="H382" s="123">
        <v>2</v>
      </c>
      <c r="I382" s="123" t="s">
        <v>97</v>
      </c>
      <c r="J382" s="123" t="s">
        <v>91</v>
      </c>
      <c r="K382" s="123" t="s">
        <v>93</v>
      </c>
      <c r="L382" s="132">
        <v>302</v>
      </c>
      <c r="M382" s="132">
        <v>0</v>
      </c>
      <c r="N382" s="132">
        <v>1.0190886916701153E+19</v>
      </c>
    </row>
    <row r="383" spans="4:14" ht="15" customHeight="1" x14ac:dyDescent="0.2">
      <c r="D383" s="130" t="b">
        <v>0</v>
      </c>
      <c r="E383" s="124" t="s">
        <v>94</v>
      </c>
      <c r="F383" s="125" t="s">
        <v>97</v>
      </c>
      <c r="G383" s="125" t="s">
        <v>99</v>
      </c>
      <c r="H383" s="123">
        <v>2</v>
      </c>
      <c r="I383" s="123" t="s">
        <v>92</v>
      </c>
      <c r="J383" s="123" t="s">
        <v>96</v>
      </c>
      <c r="K383" s="123" t="s">
        <v>93</v>
      </c>
      <c r="L383" s="132">
        <v>303</v>
      </c>
      <c r="M383" s="132">
        <v>0</v>
      </c>
      <c r="N383" s="132">
        <v>8.8322728035567104E+18</v>
      </c>
    </row>
    <row r="384" spans="4:14" ht="15" customHeight="1" x14ac:dyDescent="0.2">
      <c r="D384" s="130" t="b">
        <v>0</v>
      </c>
      <c r="E384" s="124" t="s">
        <v>94</v>
      </c>
      <c r="F384" s="125" t="s">
        <v>97</v>
      </c>
      <c r="G384" s="125" t="s">
        <v>99</v>
      </c>
      <c r="H384" s="123">
        <v>2</v>
      </c>
      <c r="I384" s="123" t="s">
        <v>92</v>
      </c>
      <c r="J384" s="123" t="s">
        <v>97</v>
      </c>
      <c r="K384" s="123" t="s">
        <v>93</v>
      </c>
      <c r="L384" s="132">
        <v>304</v>
      </c>
      <c r="M384" s="132">
        <v>0</v>
      </c>
      <c r="N384" s="132">
        <v>6.259097775003861E+18</v>
      </c>
    </row>
    <row r="385" spans="4:14" ht="15" customHeight="1" x14ac:dyDescent="0.2">
      <c r="D385" s="130" t="b">
        <v>0</v>
      </c>
      <c r="E385" s="124" t="s">
        <v>94</v>
      </c>
      <c r="F385" s="125" t="s">
        <v>97</v>
      </c>
      <c r="G385" s="125" t="s">
        <v>99</v>
      </c>
      <c r="H385" s="123">
        <v>2</v>
      </c>
      <c r="I385" s="123" t="s">
        <v>92</v>
      </c>
      <c r="J385" s="123" t="s">
        <v>91</v>
      </c>
      <c r="K385" s="123" t="s">
        <v>93</v>
      </c>
      <c r="L385" s="132">
        <v>305</v>
      </c>
      <c r="M385" s="132">
        <v>0</v>
      </c>
      <c r="N385" s="132">
        <v>8.8853553599287183E+18</v>
      </c>
    </row>
    <row r="386" spans="4:14" ht="15" customHeight="1" x14ac:dyDescent="0.2">
      <c r="D386" s="130" t="b">
        <v>0</v>
      </c>
      <c r="E386" s="124" t="s">
        <v>94</v>
      </c>
      <c r="F386" s="125" t="s">
        <v>97</v>
      </c>
      <c r="G386" s="125" t="s">
        <v>99</v>
      </c>
      <c r="H386" s="123">
        <v>4</v>
      </c>
      <c r="I386" s="123" t="s">
        <v>95</v>
      </c>
      <c r="J386" s="123" t="s">
        <v>96</v>
      </c>
      <c r="K386" s="123" t="s">
        <v>93</v>
      </c>
      <c r="L386" s="132">
        <v>306</v>
      </c>
      <c r="M386" s="132">
        <v>0</v>
      </c>
      <c r="N386" s="132">
        <v>6.5218342460157819E+18</v>
      </c>
    </row>
    <row r="387" spans="4:14" ht="15" customHeight="1" x14ac:dyDescent="0.2">
      <c r="D387" s="130" t="b">
        <v>0</v>
      </c>
      <c r="E387" s="124" t="s">
        <v>94</v>
      </c>
      <c r="F387" s="125" t="s">
        <v>97</v>
      </c>
      <c r="G387" s="125" t="s">
        <v>99</v>
      </c>
      <c r="H387" s="123">
        <v>4</v>
      </c>
      <c r="I387" s="123" t="s">
        <v>95</v>
      </c>
      <c r="J387" s="123" t="s">
        <v>97</v>
      </c>
      <c r="K387" s="123" t="s">
        <v>93</v>
      </c>
      <c r="L387" s="132">
        <v>307</v>
      </c>
      <c r="M387" s="132">
        <v>0</v>
      </c>
      <c r="N387" s="132">
        <v>1.8307205738916745E+19</v>
      </c>
    </row>
    <row r="388" spans="4:14" ht="15" customHeight="1" x14ac:dyDescent="0.2">
      <c r="D388" s="130" t="b">
        <v>0</v>
      </c>
      <c r="E388" s="124" t="s">
        <v>94</v>
      </c>
      <c r="F388" s="125" t="s">
        <v>97</v>
      </c>
      <c r="G388" s="125" t="s">
        <v>99</v>
      </c>
      <c r="H388" s="123">
        <v>4</v>
      </c>
      <c r="I388" s="123" t="s">
        <v>95</v>
      </c>
      <c r="J388" s="123" t="s">
        <v>91</v>
      </c>
      <c r="K388" s="123" t="s">
        <v>100</v>
      </c>
      <c r="L388" s="132">
        <v>308</v>
      </c>
      <c r="M388" s="132">
        <v>0</v>
      </c>
      <c r="N388" s="132">
        <v>3.6092934042888612E+18</v>
      </c>
    </row>
    <row r="389" spans="4:14" ht="15" customHeight="1" x14ac:dyDescent="0.2">
      <c r="D389" s="130" t="b">
        <v>0</v>
      </c>
      <c r="E389" s="124" t="s">
        <v>94</v>
      </c>
      <c r="F389" s="125" t="s">
        <v>97</v>
      </c>
      <c r="G389" s="125" t="s">
        <v>99</v>
      </c>
      <c r="H389" s="123">
        <v>4</v>
      </c>
      <c r="I389" s="123" t="s">
        <v>97</v>
      </c>
      <c r="J389" s="123" t="s">
        <v>96</v>
      </c>
      <c r="K389" s="123" t="s">
        <v>93</v>
      </c>
      <c r="L389" s="132">
        <v>309</v>
      </c>
      <c r="M389" s="132">
        <v>0</v>
      </c>
      <c r="N389" s="132">
        <v>7.4541708347354511E+18</v>
      </c>
    </row>
    <row r="390" spans="4:14" ht="15" customHeight="1" x14ac:dyDescent="0.2">
      <c r="D390" s="130" t="b">
        <v>0</v>
      </c>
      <c r="E390" s="124" t="s">
        <v>94</v>
      </c>
      <c r="F390" s="125" t="s">
        <v>97</v>
      </c>
      <c r="G390" s="125" t="s">
        <v>99</v>
      </c>
      <c r="H390" s="123">
        <v>4</v>
      </c>
      <c r="I390" s="123" t="s">
        <v>97</v>
      </c>
      <c r="J390" s="123" t="s">
        <v>97</v>
      </c>
      <c r="K390" s="123" t="s">
        <v>100</v>
      </c>
      <c r="L390" s="132">
        <v>310</v>
      </c>
      <c r="M390" s="132">
        <v>0</v>
      </c>
      <c r="N390" s="132">
        <v>6.35780176981901E+18</v>
      </c>
    </row>
    <row r="391" spans="4:14" ht="15" customHeight="1" x14ac:dyDescent="0.2">
      <c r="D391" s="130" t="b">
        <v>0</v>
      </c>
      <c r="E391" s="124" t="s">
        <v>94</v>
      </c>
      <c r="F391" s="125" t="s">
        <v>97</v>
      </c>
      <c r="G391" s="125" t="s">
        <v>99</v>
      </c>
      <c r="H391" s="123">
        <v>4</v>
      </c>
      <c r="I391" s="123" t="s">
        <v>97</v>
      </c>
      <c r="J391" s="123" t="s">
        <v>91</v>
      </c>
      <c r="K391" s="123" t="s">
        <v>100</v>
      </c>
      <c r="L391" s="132">
        <v>311</v>
      </c>
      <c r="M391" s="132">
        <v>0</v>
      </c>
      <c r="N391" s="132">
        <v>1.2959584990580763E+19</v>
      </c>
    </row>
    <row r="392" spans="4:14" ht="15" customHeight="1" x14ac:dyDescent="0.2">
      <c r="D392" s="130" t="b">
        <v>0</v>
      </c>
      <c r="E392" s="124" t="s">
        <v>94</v>
      </c>
      <c r="F392" s="125" t="s">
        <v>97</v>
      </c>
      <c r="G392" s="125" t="s">
        <v>99</v>
      </c>
      <c r="H392" s="123">
        <v>4</v>
      </c>
      <c r="I392" s="123" t="s">
        <v>92</v>
      </c>
      <c r="J392" s="123" t="s">
        <v>96</v>
      </c>
      <c r="K392" s="123" t="s">
        <v>93</v>
      </c>
      <c r="L392" s="132">
        <v>312</v>
      </c>
      <c r="M392" s="132">
        <v>0</v>
      </c>
      <c r="N392" s="132">
        <v>3.6528146399671757E+18</v>
      </c>
    </row>
    <row r="393" spans="4:14" ht="15" customHeight="1" x14ac:dyDescent="0.2">
      <c r="D393" s="130" t="b">
        <v>0</v>
      </c>
      <c r="E393" s="124" t="s">
        <v>94</v>
      </c>
      <c r="F393" s="125" t="s">
        <v>97</v>
      </c>
      <c r="G393" s="125" t="s">
        <v>99</v>
      </c>
      <c r="H393" s="123">
        <v>4</v>
      </c>
      <c r="I393" s="123" t="s">
        <v>92</v>
      </c>
      <c r="J393" s="123" t="s">
        <v>97</v>
      </c>
      <c r="K393" s="123" t="s">
        <v>100</v>
      </c>
      <c r="L393" s="132">
        <v>313</v>
      </c>
      <c r="M393" s="132">
        <v>0</v>
      </c>
      <c r="N393" s="132">
        <v>2.6604925609609687E+18</v>
      </c>
    </row>
    <row r="394" spans="4:14" ht="15" customHeight="1" x14ac:dyDescent="0.2">
      <c r="D394" s="130" t="b">
        <v>0</v>
      </c>
      <c r="E394" s="124" t="s">
        <v>94</v>
      </c>
      <c r="F394" s="125" t="s">
        <v>97</v>
      </c>
      <c r="G394" s="125" t="s">
        <v>99</v>
      </c>
      <c r="H394" s="123">
        <v>4</v>
      </c>
      <c r="I394" s="123" t="s">
        <v>92</v>
      </c>
      <c r="J394" s="123" t="s">
        <v>91</v>
      </c>
      <c r="K394" s="123" t="s">
        <v>100</v>
      </c>
      <c r="L394" s="132">
        <v>314</v>
      </c>
      <c r="M394" s="132">
        <v>0</v>
      </c>
      <c r="N394" s="132">
        <v>2.0468281450568287E+18</v>
      </c>
    </row>
    <row r="395" spans="4:14" ht="15" customHeight="1" x14ac:dyDescent="0.2">
      <c r="D395" s="130" t="b">
        <v>0</v>
      </c>
      <c r="E395" s="124" t="s">
        <v>94</v>
      </c>
      <c r="F395" s="125" t="s">
        <v>97</v>
      </c>
      <c r="G395" s="125" t="s">
        <v>99</v>
      </c>
      <c r="H395" s="123" t="s">
        <v>98</v>
      </c>
      <c r="I395" s="123" t="s">
        <v>95</v>
      </c>
      <c r="J395" s="123" t="s">
        <v>96</v>
      </c>
      <c r="K395" s="123" t="s">
        <v>93</v>
      </c>
      <c r="L395" s="132">
        <v>315</v>
      </c>
      <c r="M395" s="132">
        <v>0</v>
      </c>
      <c r="N395" s="132">
        <v>1.0307311833428707E+19</v>
      </c>
    </row>
    <row r="396" spans="4:14" ht="15" customHeight="1" x14ac:dyDescent="0.2">
      <c r="D396" s="130" t="b">
        <v>0</v>
      </c>
      <c r="E396" s="124" t="s">
        <v>94</v>
      </c>
      <c r="F396" s="125" t="s">
        <v>97</v>
      </c>
      <c r="G396" s="125" t="s">
        <v>99</v>
      </c>
      <c r="H396" s="123" t="s">
        <v>98</v>
      </c>
      <c r="I396" s="123" t="s">
        <v>95</v>
      </c>
      <c r="J396" s="123" t="s">
        <v>97</v>
      </c>
      <c r="K396" s="123" t="s">
        <v>93</v>
      </c>
      <c r="L396" s="132">
        <v>316</v>
      </c>
      <c r="M396" s="132">
        <v>0</v>
      </c>
      <c r="N396" s="132">
        <v>1.55942411746489E+19</v>
      </c>
    </row>
    <row r="397" spans="4:14" ht="15" customHeight="1" x14ac:dyDescent="0.2">
      <c r="D397" s="130" t="b">
        <v>0</v>
      </c>
      <c r="E397" s="124" t="s">
        <v>94</v>
      </c>
      <c r="F397" s="125" t="s">
        <v>97</v>
      </c>
      <c r="G397" s="125" t="s">
        <v>99</v>
      </c>
      <c r="H397" s="123" t="s">
        <v>98</v>
      </c>
      <c r="I397" s="123" t="s">
        <v>95</v>
      </c>
      <c r="J397" s="123" t="s">
        <v>91</v>
      </c>
      <c r="K397" s="123" t="s">
        <v>100</v>
      </c>
      <c r="L397" s="132">
        <v>317</v>
      </c>
      <c r="M397" s="132">
        <v>0</v>
      </c>
      <c r="N397" s="132">
        <v>1.0516268951275999E+19</v>
      </c>
    </row>
    <row r="398" spans="4:14" ht="15" customHeight="1" x14ac:dyDescent="0.2">
      <c r="D398" s="130" t="b">
        <v>0</v>
      </c>
      <c r="E398" s="124" t="s">
        <v>94</v>
      </c>
      <c r="F398" s="125" t="s">
        <v>97</v>
      </c>
      <c r="G398" s="125" t="s">
        <v>99</v>
      </c>
      <c r="H398" s="123" t="s">
        <v>98</v>
      </c>
      <c r="I398" s="123" t="s">
        <v>97</v>
      </c>
      <c r="J398" s="123" t="s">
        <v>96</v>
      </c>
      <c r="K398" s="123" t="s">
        <v>93</v>
      </c>
      <c r="L398" s="132">
        <v>318</v>
      </c>
      <c r="M398" s="132">
        <v>0</v>
      </c>
      <c r="N398" s="132">
        <v>1.1599571944579045E+19</v>
      </c>
    </row>
    <row r="399" spans="4:14" ht="15" customHeight="1" x14ac:dyDescent="0.2">
      <c r="D399" s="130" t="b">
        <v>0</v>
      </c>
      <c r="E399" s="124" t="s">
        <v>94</v>
      </c>
      <c r="F399" s="125" t="s">
        <v>97</v>
      </c>
      <c r="G399" s="125" t="s">
        <v>99</v>
      </c>
      <c r="H399" s="123" t="s">
        <v>98</v>
      </c>
      <c r="I399" s="123" t="s">
        <v>97</v>
      </c>
      <c r="J399" s="123" t="s">
        <v>97</v>
      </c>
      <c r="K399" s="123" t="s">
        <v>100</v>
      </c>
      <c r="L399" s="132">
        <v>319</v>
      </c>
      <c r="M399" s="132">
        <v>0</v>
      </c>
      <c r="N399" s="132">
        <v>1.6000410039027395E+19</v>
      </c>
    </row>
    <row r="400" spans="4:14" ht="15" customHeight="1" x14ac:dyDescent="0.2">
      <c r="D400" s="130" t="b">
        <v>0</v>
      </c>
      <c r="E400" s="124" t="s">
        <v>94</v>
      </c>
      <c r="F400" s="125" t="s">
        <v>97</v>
      </c>
      <c r="G400" s="125" t="s">
        <v>99</v>
      </c>
      <c r="H400" s="123" t="s">
        <v>98</v>
      </c>
      <c r="I400" s="123" t="s">
        <v>97</v>
      </c>
      <c r="J400" s="123" t="s">
        <v>91</v>
      </c>
      <c r="K400" s="123" t="s">
        <v>100</v>
      </c>
      <c r="L400" s="132">
        <v>320</v>
      </c>
      <c r="M400" s="132">
        <v>0</v>
      </c>
      <c r="N400" s="132">
        <v>4.8760452123719639E+18</v>
      </c>
    </row>
    <row r="401" spans="4:14" ht="15" customHeight="1" x14ac:dyDescent="0.2">
      <c r="D401" s="130" t="b">
        <v>0</v>
      </c>
      <c r="E401" s="124" t="s">
        <v>94</v>
      </c>
      <c r="F401" s="125" t="s">
        <v>97</v>
      </c>
      <c r="G401" s="125" t="s">
        <v>99</v>
      </c>
      <c r="H401" s="123" t="s">
        <v>98</v>
      </c>
      <c r="I401" s="123" t="s">
        <v>92</v>
      </c>
      <c r="J401" s="123" t="s">
        <v>96</v>
      </c>
      <c r="K401" s="123" t="s">
        <v>93</v>
      </c>
      <c r="L401" s="132">
        <v>321</v>
      </c>
      <c r="M401" s="132">
        <v>0</v>
      </c>
      <c r="N401" s="132">
        <v>1.1211728739302965E+19</v>
      </c>
    </row>
    <row r="402" spans="4:14" ht="15" customHeight="1" x14ac:dyDescent="0.2">
      <c r="D402" s="130" t="b">
        <v>0</v>
      </c>
      <c r="E402" s="124" t="s">
        <v>94</v>
      </c>
      <c r="F402" s="125" t="s">
        <v>97</v>
      </c>
      <c r="G402" s="125" t="s">
        <v>99</v>
      </c>
      <c r="H402" s="123" t="s">
        <v>98</v>
      </c>
      <c r="I402" s="123" t="s">
        <v>92</v>
      </c>
      <c r="J402" s="123" t="s">
        <v>97</v>
      </c>
      <c r="K402" s="123" t="s">
        <v>100</v>
      </c>
      <c r="L402" s="132">
        <v>322</v>
      </c>
      <c r="M402" s="132">
        <v>0</v>
      </c>
      <c r="N402" s="132">
        <v>1.5815742876986444E+19</v>
      </c>
    </row>
    <row r="403" spans="4:14" ht="15" customHeight="1" x14ac:dyDescent="0.2">
      <c r="D403" s="130" t="b">
        <v>0</v>
      </c>
      <c r="E403" s="124" t="s">
        <v>94</v>
      </c>
      <c r="F403" s="125" t="s">
        <v>97</v>
      </c>
      <c r="G403" s="125" t="s">
        <v>99</v>
      </c>
      <c r="H403" s="123" t="s">
        <v>98</v>
      </c>
      <c r="I403" s="123" t="s">
        <v>92</v>
      </c>
      <c r="J403" s="123" t="s">
        <v>91</v>
      </c>
      <c r="K403" s="123" t="s">
        <v>100</v>
      </c>
      <c r="L403" s="132">
        <v>323</v>
      </c>
      <c r="M403" s="132">
        <v>0</v>
      </c>
      <c r="N403" s="132">
        <v>4.4320835442475668E+18</v>
      </c>
    </row>
    <row r="404" spans="4:14" ht="15" customHeight="1" x14ac:dyDescent="0.2">
      <c r="D404" s="130" t="b">
        <v>0</v>
      </c>
      <c r="E404" s="124" t="s">
        <v>94</v>
      </c>
      <c r="F404" s="125" t="s">
        <v>96</v>
      </c>
      <c r="G404" s="125">
        <v>2</v>
      </c>
      <c r="H404" s="123">
        <v>2</v>
      </c>
      <c r="I404" s="123" t="s">
        <v>95</v>
      </c>
      <c r="J404" s="123" t="s">
        <v>96</v>
      </c>
      <c r="K404" s="123" t="s">
        <v>93</v>
      </c>
      <c r="L404" s="132">
        <v>324</v>
      </c>
      <c r="M404" s="132">
        <v>0</v>
      </c>
      <c r="N404" s="132">
        <v>6.5089460576143186E+18</v>
      </c>
    </row>
    <row r="405" spans="4:14" ht="15" customHeight="1" x14ac:dyDescent="0.2">
      <c r="D405" s="130" t="b">
        <v>0</v>
      </c>
      <c r="E405" s="124" t="s">
        <v>94</v>
      </c>
      <c r="F405" s="125" t="s">
        <v>96</v>
      </c>
      <c r="G405" s="125">
        <v>2</v>
      </c>
      <c r="H405" s="123">
        <v>2</v>
      </c>
      <c r="I405" s="123" t="s">
        <v>95</v>
      </c>
      <c r="J405" s="123" t="s">
        <v>97</v>
      </c>
      <c r="K405" s="123" t="s">
        <v>93</v>
      </c>
      <c r="L405" s="132">
        <v>325</v>
      </c>
      <c r="M405" s="132">
        <v>0</v>
      </c>
      <c r="N405" s="132">
        <v>1.5158879184210204E+18</v>
      </c>
    </row>
    <row r="406" spans="4:14" ht="15" customHeight="1" x14ac:dyDescent="0.2">
      <c r="D406" s="130" t="b">
        <v>0</v>
      </c>
      <c r="E406" s="124" t="s">
        <v>94</v>
      </c>
      <c r="F406" s="125" t="s">
        <v>96</v>
      </c>
      <c r="G406" s="125">
        <v>2</v>
      </c>
      <c r="H406" s="123">
        <v>2</v>
      </c>
      <c r="I406" s="123" t="s">
        <v>95</v>
      </c>
      <c r="J406" s="123" t="s">
        <v>91</v>
      </c>
      <c r="K406" s="123" t="s">
        <v>93</v>
      </c>
      <c r="L406" s="132">
        <v>326</v>
      </c>
      <c r="M406" s="132">
        <v>0</v>
      </c>
      <c r="N406" s="132">
        <v>3.1763868195869706E+18</v>
      </c>
    </row>
    <row r="407" spans="4:14" ht="15" customHeight="1" x14ac:dyDescent="0.2">
      <c r="D407" s="130" t="b">
        <v>0</v>
      </c>
      <c r="E407" s="124" t="s">
        <v>94</v>
      </c>
      <c r="F407" s="125" t="s">
        <v>96</v>
      </c>
      <c r="G407" s="125">
        <v>2</v>
      </c>
      <c r="H407" s="123">
        <v>2</v>
      </c>
      <c r="I407" s="123" t="s">
        <v>97</v>
      </c>
      <c r="J407" s="123" t="s">
        <v>96</v>
      </c>
      <c r="K407" s="123" t="s">
        <v>93</v>
      </c>
      <c r="L407" s="132">
        <v>327</v>
      </c>
      <c r="M407" s="132">
        <v>0</v>
      </c>
      <c r="N407" s="132">
        <v>1.8262055047695137E+19</v>
      </c>
    </row>
    <row r="408" spans="4:14" ht="15" customHeight="1" x14ac:dyDescent="0.2">
      <c r="D408" s="130" t="b">
        <v>0</v>
      </c>
      <c r="E408" s="124" t="s">
        <v>94</v>
      </c>
      <c r="F408" s="125" t="s">
        <v>96</v>
      </c>
      <c r="G408" s="125">
        <v>2</v>
      </c>
      <c r="H408" s="123">
        <v>2</v>
      </c>
      <c r="I408" s="123" t="s">
        <v>97</v>
      </c>
      <c r="J408" s="123" t="s">
        <v>97</v>
      </c>
      <c r="K408" s="123" t="s">
        <v>93</v>
      </c>
      <c r="L408" s="132">
        <v>328</v>
      </c>
      <c r="M408" s="132">
        <v>0</v>
      </c>
      <c r="N408" s="132">
        <v>1.611945316130866E+19</v>
      </c>
    </row>
    <row r="409" spans="4:14" ht="15" customHeight="1" x14ac:dyDescent="0.2">
      <c r="D409" s="130" t="b">
        <v>0</v>
      </c>
      <c r="E409" s="124" t="s">
        <v>94</v>
      </c>
      <c r="F409" s="125" t="s">
        <v>96</v>
      </c>
      <c r="G409" s="125">
        <v>2</v>
      </c>
      <c r="H409" s="123">
        <v>2</v>
      </c>
      <c r="I409" s="123" t="s">
        <v>97</v>
      </c>
      <c r="J409" s="123" t="s">
        <v>91</v>
      </c>
      <c r="K409" s="123" t="s">
        <v>93</v>
      </c>
      <c r="L409" s="132">
        <v>329</v>
      </c>
      <c r="M409" s="132">
        <v>0</v>
      </c>
      <c r="N409" s="132">
        <v>1.3113066346945745E+19</v>
      </c>
    </row>
    <row r="410" spans="4:14" ht="15" customHeight="1" x14ac:dyDescent="0.2">
      <c r="D410" s="130" t="b">
        <v>0</v>
      </c>
      <c r="E410" s="124" t="s">
        <v>94</v>
      </c>
      <c r="F410" s="125" t="s">
        <v>96</v>
      </c>
      <c r="G410" s="125">
        <v>2</v>
      </c>
      <c r="H410" s="123">
        <v>2</v>
      </c>
      <c r="I410" s="123" t="s">
        <v>92</v>
      </c>
      <c r="J410" s="123" t="s">
        <v>96</v>
      </c>
      <c r="K410" s="123" t="s">
        <v>93</v>
      </c>
      <c r="L410" s="132">
        <v>330</v>
      </c>
      <c r="M410" s="132">
        <v>0</v>
      </c>
      <c r="N410" s="132">
        <v>3.061088929167337E+18</v>
      </c>
    </row>
    <row r="411" spans="4:14" ht="15" customHeight="1" x14ac:dyDescent="0.2">
      <c r="D411" s="130" t="b">
        <v>0</v>
      </c>
      <c r="E411" s="124" t="s">
        <v>94</v>
      </c>
      <c r="F411" s="125" t="s">
        <v>96</v>
      </c>
      <c r="G411" s="125">
        <v>2</v>
      </c>
      <c r="H411" s="123">
        <v>2</v>
      </c>
      <c r="I411" s="123" t="s">
        <v>92</v>
      </c>
      <c r="J411" s="123" t="s">
        <v>97</v>
      </c>
      <c r="K411" s="123" t="s">
        <v>93</v>
      </c>
      <c r="L411" s="132">
        <v>331</v>
      </c>
      <c r="M411" s="132">
        <v>0</v>
      </c>
      <c r="N411" s="132">
        <v>8.1827722194572826E+17</v>
      </c>
    </row>
    <row r="412" spans="4:14" ht="15" customHeight="1" x14ac:dyDescent="0.2">
      <c r="D412" s="130" t="b">
        <v>0</v>
      </c>
      <c r="E412" s="124" t="s">
        <v>94</v>
      </c>
      <c r="F412" s="125" t="s">
        <v>96</v>
      </c>
      <c r="G412" s="125">
        <v>2</v>
      </c>
      <c r="H412" s="123">
        <v>2</v>
      </c>
      <c r="I412" s="123" t="s">
        <v>92</v>
      </c>
      <c r="J412" s="123" t="s">
        <v>91</v>
      </c>
      <c r="K412" s="123" t="s">
        <v>93</v>
      </c>
      <c r="L412" s="132">
        <v>332</v>
      </c>
      <c r="M412" s="132">
        <v>0</v>
      </c>
      <c r="N412" s="132">
        <v>1.6004680459064635E+19</v>
      </c>
    </row>
    <row r="413" spans="4:14" ht="15" customHeight="1" x14ac:dyDescent="0.2">
      <c r="D413" s="130" t="b">
        <v>0</v>
      </c>
      <c r="E413" s="124" t="s">
        <v>94</v>
      </c>
      <c r="F413" s="125" t="s">
        <v>96</v>
      </c>
      <c r="G413" s="125">
        <v>2</v>
      </c>
      <c r="H413" s="123">
        <v>4</v>
      </c>
      <c r="I413" s="123" t="s">
        <v>95</v>
      </c>
      <c r="J413" s="123" t="s">
        <v>96</v>
      </c>
      <c r="K413" s="123" t="s">
        <v>93</v>
      </c>
      <c r="L413" s="132">
        <v>333</v>
      </c>
      <c r="M413" s="132">
        <v>0</v>
      </c>
      <c r="N413" s="132">
        <v>1.091259524333015E+19</v>
      </c>
    </row>
    <row r="414" spans="4:14" ht="15" customHeight="1" x14ac:dyDescent="0.2">
      <c r="D414" s="130" t="b">
        <v>0</v>
      </c>
      <c r="E414" s="124" t="s">
        <v>94</v>
      </c>
      <c r="F414" s="125" t="s">
        <v>96</v>
      </c>
      <c r="G414" s="125">
        <v>2</v>
      </c>
      <c r="H414" s="123">
        <v>4</v>
      </c>
      <c r="I414" s="123" t="s">
        <v>95</v>
      </c>
      <c r="J414" s="123" t="s">
        <v>97</v>
      </c>
      <c r="K414" s="123" t="s">
        <v>93</v>
      </c>
      <c r="L414" s="132">
        <v>334</v>
      </c>
      <c r="M414" s="132">
        <v>0</v>
      </c>
      <c r="N414" s="132">
        <v>1.6534578848210031E+19</v>
      </c>
    </row>
    <row r="415" spans="4:14" ht="15" customHeight="1" x14ac:dyDescent="0.2">
      <c r="D415" s="130" t="b">
        <v>0</v>
      </c>
      <c r="E415" s="124" t="s">
        <v>94</v>
      </c>
      <c r="F415" s="125" t="s">
        <v>96</v>
      </c>
      <c r="G415" s="125">
        <v>2</v>
      </c>
      <c r="H415" s="123">
        <v>4</v>
      </c>
      <c r="I415" s="123" t="s">
        <v>95</v>
      </c>
      <c r="J415" s="123" t="s">
        <v>91</v>
      </c>
      <c r="K415" s="123" t="s">
        <v>100</v>
      </c>
      <c r="L415" s="132">
        <v>335</v>
      </c>
      <c r="M415" s="132">
        <v>0</v>
      </c>
      <c r="N415" s="132">
        <v>1.3624223476314192E+19</v>
      </c>
    </row>
    <row r="416" spans="4:14" ht="15" customHeight="1" x14ac:dyDescent="0.2">
      <c r="D416" s="130" t="b">
        <v>0</v>
      </c>
      <c r="E416" s="124" t="s">
        <v>94</v>
      </c>
      <c r="F416" s="125" t="s">
        <v>96</v>
      </c>
      <c r="G416" s="125">
        <v>2</v>
      </c>
      <c r="H416" s="123">
        <v>4</v>
      </c>
      <c r="I416" s="123" t="s">
        <v>97</v>
      </c>
      <c r="J416" s="123" t="s">
        <v>96</v>
      </c>
      <c r="K416" s="123" t="s">
        <v>93</v>
      </c>
      <c r="L416" s="132">
        <v>336</v>
      </c>
      <c r="M416" s="132">
        <v>0</v>
      </c>
      <c r="N416" s="132">
        <v>1.3493813308591978E+19</v>
      </c>
    </row>
    <row r="417" spans="4:14" ht="15" customHeight="1" x14ac:dyDescent="0.2">
      <c r="D417" s="130" t="b">
        <v>0</v>
      </c>
      <c r="E417" s="124" t="s">
        <v>94</v>
      </c>
      <c r="F417" s="125" t="s">
        <v>96</v>
      </c>
      <c r="G417" s="125">
        <v>2</v>
      </c>
      <c r="H417" s="123">
        <v>4</v>
      </c>
      <c r="I417" s="123" t="s">
        <v>97</v>
      </c>
      <c r="J417" s="123" t="s">
        <v>97</v>
      </c>
      <c r="K417" s="123" t="s">
        <v>93</v>
      </c>
      <c r="L417" s="132">
        <v>337</v>
      </c>
      <c r="M417" s="132">
        <v>0</v>
      </c>
      <c r="N417" s="132">
        <v>1.2593680528316688E+19</v>
      </c>
    </row>
    <row r="418" spans="4:14" ht="15" customHeight="1" x14ac:dyDescent="0.2">
      <c r="D418" s="130" t="b">
        <v>0</v>
      </c>
      <c r="E418" s="124" t="s">
        <v>94</v>
      </c>
      <c r="F418" s="125" t="s">
        <v>96</v>
      </c>
      <c r="G418" s="125">
        <v>2</v>
      </c>
      <c r="H418" s="123">
        <v>4</v>
      </c>
      <c r="I418" s="123" t="s">
        <v>97</v>
      </c>
      <c r="J418" s="123" t="s">
        <v>91</v>
      </c>
      <c r="K418" s="123" t="s">
        <v>100</v>
      </c>
      <c r="L418" s="132">
        <v>338</v>
      </c>
      <c r="M418" s="132">
        <v>0</v>
      </c>
      <c r="N418" s="132">
        <v>8.3269124898908826E+18</v>
      </c>
    </row>
    <row r="419" spans="4:14" ht="15" customHeight="1" x14ac:dyDescent="0.2">
      <c r="D419" s="130" t="b">
        <v>0</v>
      </c>
      <c r="E419" s="124" t="s">
        <v>94</v>
      </c>
      <c r="F419" s="125" t="s">
        <v>96</v>
      </c>
      <c r="G419" s="125">
        <v>2</v>
      </c>
      <c r="H419" s="123">
        <v>4</v>
      </c>
      <c r="I419" s="123" t="s">
        <v>92</v>
      </c>
      <c r="J419" s="123" t="s">
        <v>96</v>
      </c>
      <c r="K419" s="123" t="s">
        <v>93</v>
      </c>
      <c r="L419" s="132">
        <v>339</v>
      </c>
      <c r="M419" s="132">
        <v>0</v>
      </c>
      <c r="N419" s="132">
        <v>2.69341932196333E+18</v>
      </c>
    </row>
    <row r="420" spans="4:14" ht="15" customHeight="1" x14ac:dyDescent="0.2">
      <c r="D420" s="130" t="b">
        <v>0</v>
      </c>
      <c r="E420" s="124" t="s">
        <v>94</v>
      </c>
      <c r="F420" s="125" t="s">
        <v>96</v>
      </c>
      <c r="G420" s="125">
        <v>2</v>
      </c>
      <c r="H420" s="123">
        <v>4</v>
      </c>
      <c r="I420" s="123" t="s">
        <v>92</v>
      </c>
      <c r="J420" s="123" t="s">
        <v>97</v>
      </c>
      <c r="K420" s="123" t="s">
        <v>100</v>
      </c>
      <c r="L420" s="132">
        <v>340</v>
      </c>
      <c r="M420" s="132">
        <v>0</v>
      </c>
      <c r="N420" s="132">
        <v>2.1177086583147622E+18</v>
      </c>
    </row>
    <row r="421" spans="4:14" ht="15" customHeight="1" x14ac:dyDescent="0.2">
      <c r="D421" s="130" t="b">
        <v>0</v>
      </c>
      <c r="E421" s="124" t="s">
        <v>94</v>
      </c>
      <c r="F421" s="125" t="s">
        <v>96</v>
      </c>
      <c r="G421" s="125">
        <v>2</v>
      </c>
      <c r="H421" s="123">
        <v>4</v>
      </c>
      <c r="I421" s="123" t="s">
        <v>92</v>
      </c>
      <c r="J421" s="123" t="s">
        <v>91</v>
      </c>
      <c r="K421" s="123" t="s">
        <v>100</v>
      </c>
      <c r="L421" s="132">
        <v>341</v>
      </c>
      <c r="M421" s="132">
        <v>0</v>
      </c>
      <c r="N421" s="132">
        <v>1.1393884535498369E+19</v>
      </c>
    </row>
    <row r="422" spans="4:14" ht="15" customHeight="1" x14ac:dyDescent="0.2">
      <c r="D422" s="130" t="b">
        <v>0</v>
      </c>
      <c r="E422" s="124" t="s">
        <v>94</v>
      </c>
      <c r="F422" s="125" t="s">
        <v>96</v>
      </c>
      <c r="G422" s="125">
        <v>2</v>
      </c>
      <c r="H422" s="123" t="s">
        <v>98</v>
      </c>
      <c r="I422" s="123" t="s">
        <v>95</v>
      </c>
      <c r="J422" s="123" t="s">
        <v>96</v>
      </c>
      <c r="K422" s="123" t="s">
        <v>93</v>
      </c>
      <c r="L422" s="132">
        <v>342</v>
      </c>
      <c r="M422" s="132">
        <v>0</v>
      </c>
      <c r="N422" s="132">
        <v>2.1875751798286436E+18</v>
      </c>
    </row>
    <row r="423" spans="4:14" ht="15" customHeight="1" x14ac:dyDescent="0.2">
      <c r="D423" s="130" t="b">
        <v>0</v>
      </c>
      <c r="E423" s="124" t="s">
        <v>94</v>
      </c>
      <c r="F423" s="125" t="s">
        <v>96</v>
      </c>
      <c r="G423" s="125">
        <v>2</v>
      </c>
      <c r="H423" s="123" t="s">
        <v>98</v>
      </c>
      <c r="I423" s="123" t="s">
        <v>95</v>
      </c>
      <c r="J423" s="123" t="s">
        <v>97</v>
      </c>
      <c r="K423" s="123" t="s">
        <v>93</v>
      </c>
      <c r="L423" s="132">
        <v>343</v>
      </c>
      <c r="M423" s="132">
        <v>0</v>
      </c>
      <c r="N423" s="132">
        <v>2.367458807013929E+18</v>
      </c>
    </row>
    <row r="424" spans="4:14" ht="15" customHeight="1" x14ac:dyDescent="0.2">
      <c r="D424" s="130" t="b">
        <v>0</v>
      </c>
      <c r="E424" s="124" t="s">
        <v>94</v>
      </c>
      <c r="F424" s="125" t="s">
        <v>96</v>
      </c>
      <c r="G424" s="125">
        <v>2</v>
      </c>
      <c r="H424" s="123" t="s">
        <v>98</v>
      </c>
      <c r="I424" s="123" t="s">
        <v>95</v>
      </c>
      <c r="J424" s="123" t="s">
        <v>91</v>
      </c>
      <c r="K424" s="123" t="s">
        <v>93</v>
      </c>
      <c r="L424" s="132">
        <v>344</v>
      </c>
      <c r="M424" s="132">
        <v>0</v>
      </c>
      <c r="N424" s="132">
        <v>1.4805461822166866E+19</v>
      </c>
    </row>
    <row r="425" spans="4:14" ht="15" customHeight="1" x14ac:dyDescent="0.2">
      <c r="D425" s="130" t="b">
        <v>0</v>
      </c>
      <c r="E425" s="124" t="s">
        <v>94</v>
      </c>
      <c r="F425" s="125" t="s">
        <v>96</v>
      </c>
      <c r="G425" s="125">
        <v>2</v>
      </c>
      <c r="H425" s="123" t="s">
        <v>98</v>
      </c>
      <c r="I425" s="123" t="s">
        <v>97</v>
      </c>
      <c r="J425" s="123" t="s">
        <v>96</v>
      </c>
      <c r="K425" s="123" t="s">
        <v>93</v>
      </c>
      <c r="L425" s="132">
        <v>345</v>
      </c>
      <c r="M425" s="132">
        <v>0</v>
      </c>
      <c r="N425" s="132">
        <v>1.476751383251764E+19</v>
      </c>
    </row>
    <row r="426" spans="4:14" ht="15" customHeight="1" x14ac:dyDescent="0.2">
      <c r="D426" s="130" t="b">
        <v>0</v>
      </c>
      <c r="E426" s="124" t="s">
        <v>94</v>
      </c>
      <c r="F426" s="125" t="s">
        <v>96</v>
      </c>
      <c r="G426" s="125">
        <v>2</v>
      </c>
      <c r="H426" s="123" t="s">
        <v>98</v>
      </c>
      <c r="I426" s="123" t="s">
        <v>97</v>
      </c>
      <c r="J426" s="123" t="s">
        <v>97</v>
      </c>
      <c r="K426" s="123" t="s">
        <v>93</v>
      </c>
      <c r="L426" s="132">
        <v>346</v>
      </c>
      <c r="M426" s="132">
        <v>0</v>
      </c>
      <c r="N426" s="132">
        <v>1.019927699197475E+19</v>
      </c>
    </row>
    <row r="427" spans="4:14" ht="15" customHeight="1" x14ac:dyDescent="0.2">
      <c r="D427" s="130" t="b">
        <v>0</v>
      </c>
      <c r="E427" s="124" t="s">
        <v>94</v>
      </c>
      <c r="F427" s="125" t="s">
        <v>96</v>
      </c>
      <c r="G427" s="125">
        <v>2</v>
      </c>
      <c r="H427" s="123" t="s">
        <v>98</v>
      </c>
      <c r="I427" s="123" t="s">
        <v>97</v>
      </c>
      <c r="J427" s="123" t="s">
        <v>91</v>
      </c>
      <c r="K427" s="123" t="s">
        <v>100</v>
      </c>
      <c r="L427" s="132">
        <v>347</v>
      </c>
      <c r="M427" s="132">
        <v>0</v>
      </c>
      <c r="N427" s="132">
        <v>2.8932811073143726E+18</v>
      </c>
    </row>
    <row r="428" spans="4:14" ht="15" customHeight="1" x14ac:dyDescent="0.2">
      <c r="D428" s="130" t="b">
        <v>0</v>
      </c>
      <c r="E428" s="124" t="s">
        <v>94</v>
      </c>
      <c r="F428" s="125" t="s">
        <v>96</v>
      </c>
      <c r="G428" s="125">
        <v>2</v>
      </c>
      <c r="H428" s="123" t="s">
        <v>98</v>
      </c>
      <c r="I428" s="123" t="s">
        <v>92</v>
      </c>
      <c r="J428" s="123" t="s">
        <v>96</v>
      </c>
      <c r="K428" s="123" t="s">
        <v>93</v>
      </c>
      <c r="L428" s="132">
        <v>348</v>
      </c>
      <c r="M428" s="132">
        <v>0</v>
      </c>
      <c r="N428" s="132">
        <v>1.6472008348357976E+19</v>
      </c>
    </row>
    <row r="429" spans="4:14" ht="15" customHeight="1" x14ac:dyDescent="0.2">
      <c r="D429" s="130" t="b">
        <v>0</v>
      </c>
      <c r="E429" s="124" t="s">
        <v>94</v>
      </c>
      <c r="F429" s="125" t="s">
        <v>96</v>
      </c>
      <c r="G429" s="125">
        <v>2</v>
      </c>
      <c r="H429" s="123" t="s">
        <v>98</v>
      </c>
      <c r="I429" s="123" t="s">
        <v>92</v>
      </c>
      <c r="J429" s="123" t="s">
        <v>97</v>
      </c>
      <c r="K429" s="123" t="s">
        <v>100</v>
      </c>
      <c r="L429" s="132">
        <v>349</v>
      </c>
      <c r="M429" s="132">
        <v>0</v>
      </c>
      <c r="N429" s="132">
        <v>1.0389578309320921E+19</v>
      </c>
    </row>
    <row r="430" spans="4:14" ht="15" customHeight="1" x14ac:dyDescent="0.2">
      <c r="D430" s="130" t="b">
        <v>0</v>
      </c>
      <c r="E430" s="124" t="s">
        <v>94</v>
      </c>
      <c r="F430" s="125" t="s">
        <v>96</v>
      </c>
      <c r="G430" s="125">
        <v>2</v>
      </c>
      <c r="H430" s="123" t="s">
        <v>98</v>
      </c>
      <c r="I430" s="123" t="s">
        <v>92</v>
      </c>
      <c r="J430" s="123" t="s">
        <v>91</v>
      </c>
      <c r="K430" s="123" t="s">
        <v>100</v>
      </c>
      <c r="L430" s="132">
        <v>350</v>
      </c>
      <c r="M430" s="132">
        <v>0</v>
      </c>
      <c r="N430" s="132">
        <v>1.4126211026307873E+19</v>
      </c>
    </row>
    <row r="431" spans="4:14" ht="15" customHeight="1" x14ac:dyDescent="0.2">
      <c r="D431" s="130" t="b">
        <v>0</v>
      </c>
      <c r="E431" s="124" t="s">
        <v>94</v>
      </c>
      <c r="F431" s="125" t="s">
        <v>96</v>
      </c>
      <c r="G431" s="125">
        <v>3</v>
      </c>
      <c r="H431" s="123">
        <v>2</v>
      </c>
      <c r="I431" s="123" t="s">
        <v>95</v>
      </c>
      <c r="J431" s="123" t="s">
        <v>96</v>
      </c>
      <c r="K431" s="123" t="s">
        <v>93</v>
      </c>
      <c r="L431" s="132">
        <v>351</v>
      </c>
      <c r="M431" s="132">
        <v>0</v>
      </c>
      <c r="N431" s="132">
        <v>1.3510367097083781E+19</v>
      </c>
    </row>
    <row r="432" spans="4:14" ht="15" customHeight="1" x14ac:dyDescent="0.2">
      <c r="D432" s="130" t="b">
        <v>0</v>
      </c>
      <c r="E432" s="124" t="s">
        <v>94</v>
      </c>
      <c r="F432" s="125" t="s">
        <v>96</v>
      </c>
      <c r="G432" s="125">
        <v>3</v>
      </c>
      <c r="H432" s="123">
        <v>2</v>
      </c>
      <c r="I432" s="123" t="s">
        <v>95</v>
      </c>
      <c r="J432" s="123" t="s">
        <v>97</v>
      </c>
      <c r="K432" s="123" t="s">
        <v>93</v>
      </c>
      <c r="L432" s="132">
        <v>352</v>
      </c>
      <c r="M432" s="132">
        <v>0</v>
      </c>
      <c r="N432" s="132">
        <v>1.741709419964713E+19</v>
      </c>
    </row>
    <row r="433" spans="4:14" ht="15" customHeight="1" x14ac:dyDescent="0.2">
      <c r="D433" s="130" t="b">
        <v>0</v>
      </c>
      <c r="E433" s="124" t="s">
        <v>94</v>
      </c>
      <c r="F433" s="125" t="s">
        <v>96</v>
      </c>
      <c r="G433" s="125">
        <v>3</v>
      </c>
      <c r="H433" s="123">
        <v>2</v>
      </c>
      <c r="I433" s="123" t="s">
        <v>95</v>
      </c>
      <c r="J433" s="123" t="s">
        <v>91</v>
      </c>
      <c r="K433" s="123" t="s">
        <v>93</v>
      </c>
      <c r="L433" s="132">
        <v>353</v>
      </c>
      <c r="M433" s="132">
        <v>0</v>
      </c>
      <c r="N433" s="132">
        <v>2.358050792880236E+18</v>
      </c>
    </row>
    <row r="434" spans="4:14" ht="15" customHeight="1" x14ac:dyDescent="0.2">
      <c r="D434" s="130" t="b">
        <v>0</v>
      </c>
      <c r="E434" s="124" t="s">
        <v>94</v>
      </c>
      <c r="F434" s="125" t="s">
        <v>96</v>
      </c>
      <c r="G434" s="125">
        <v>3</v>
      </c>
      <c r="H434" s="123">
        <v>2</v>
      </c>
      <c r="I434" s="123" t="s">
        <v>97</v>
      </c>
      <c r="J434" s="123" t="s">
        <v>96</v>
      </c>
      <c r="K434" s="123" t="s">
        <v>93</v>
      </c>
      <c r="L434" s="132">
        <v>354</v>
      </c>
      <c r="M434" s="132">
        <v>0</v>
      </c>
      <c r="N434" s="132">
        <v>7.0118512364406605E+17</v>
      </c>
    </row>
    <row r="435" spans="4:14" ht="15" customHeight="1" x14ac:dyDescent="0.2">
      <c r="D435" s="130" t="b">
        <v>0</v>
      </c>
      <c r="E435" s="124" t="s">
        <v>94</v>
      </c>
      <c r="F435" s="125" t="s">
        <v>96</v>
      </c>
      <c r="G435" s="125">
        <v>3</v>
      </c>
      <c r="H435" s="123">
        <v>2</v>
      </c>
      <c r="I435" s="123" t="s">
        <v>97</v>
      </c>
      <c r="J435" s="123" t="s">
        <v>97</v>
      </c>
      <c r="K435" s="123" t="s">
        <v>93</v>
      </c>
      <c r="L435" s="132">
        <v>355</v>
      </c>
      <c r="M435" s="132">
        <v>0</v>
      </c>
      <c r="N435" s="132">
        <v>7.4581754960385935E+18</v>
      </c>
    </row>
    <row r="436" spans="4:14" ht="15" customHeight="1" x14ac:dyDescent="0.2">
      <c r="D436" s="130" t="b">
        <v>0</v>
      </c>
      <c r="E436" s="124" t="s">
        <v>94</v>
      </c>
      <c r="F436" s="125" t="s">
        <v>96</v>
      </c>
      <c r="G436" s="125">
        <v>3</v>
      </c>
      <c r="H436" s="123">
        <v>2</v>
      </c>
      <c r="I436" s="123" t="s">
        <v>97</v>
      </c>
      <c r="J436" s="123" t="s">
        <v>91</v>
      </c>
      <c r="K436" s="123" t="s">
        <v>93</v>
      </c>
      <c r="L436" s="132">
        <v>356</v>
      </c>
      <c r="M436" s="132">
        <v>0</v>
      </c>
      <c r="N436" s="132">
        <v>1.1006356718761213E+18</v>
      </c>
    </row>
    <row r="437" spans="4:14" ht="15" customHeight="1" x14ac:dyDescent="0.2">
      <c r="D437" s="130" t="b">
        <v>0</v>
      </c>
      <c r="E437" s="124" t="s">
        <v>94</v>
      </c>
      <c r="F437" s="125" t="s">
        <v>96</v>
      </c>
      <c r="G437" s="125">
        <v>3</v>
      </c>
      <c r="H437" s="123">
        <v>2</v>
      </c>
      <c r="I437" s="123" t="s">
        <v>92</v>
      </c>
      <c r="J437" s="123" t="s">
        <v>96</v>
      </c>
      <c r="K437" s="123" t="s">
        <v>93</v>
      </c>
      <c r="L437" s="132">
        <v>357</v>
      </c>
      <c r="M437" s="132">
        <v>0</v>
      </c>
      <c r="N437" s="132">
        <v>8.2026168661706762E+18</v>
      </c>
    </row>
    <row r="438" spans="4:14" ht="15" customHeight="1" x14ac:dyDescent="0.2">
      <c r="D438" s="130" t="b">
        <v>0</v>
      </c>
      <c r="E438" s="124" t="s">
        <v>94</v>
      </c>
      <c r="F438" s="125" t="s">
        <v>96</v>
      </c>
      <c r="G438" s="125">
        <v>3</v>
      </c>
      <c r="H438" s="123">
        <v>2</v>
      </c>
      <c r="I438" s="123" t="s">
        <v>92</v>
      </c>
      <c r="J438" s="123" t="s">
        <v>97</v>
      </c>
      <c r="K438" s="123" t="s">
        <v>93</v>
      </c>
      <c r="L438" s="132">
        <v>358</v>
      </c>
      <c r="M438" s="132">
        <v>0</v>
      </c>
      <c r="N438" s="132">
        <v>1.2581577381782634E+19</v>
      </c>
    </row>
    <row r="439" spans="4:14" ht="15" customHeight="1" x14ac:dyDescent="0.2">
      <c r="D439" s="130" t="b">
        <v>0</v>
      </c>
      <c r="E439" s="124" t="s">
        <v>94</v>
      </c>
      <c r="F439" s="125" t="s">
        <v>96</v>
      </c>
      <c r="G439" s="125">
        <v>3</v>
      </c>
      <c r="H439" s="123">
        <v>2</v>
      </c>
      <c r="I439" s="123" t="s">
        <v>92</v>
      </c>
      <c r="J439" s="123" t="s">
        <v>91</v>
      </c>
      <c r="K439" s="123" t="s">
        <v>93</v>
      </c>
      <c r="L439" s="132">
        <v>359</v>
      </c>
      <c r="M439" s="132">
        <v>0</v>
      </c>
      <c r="N439" s="132">
        <v>1.5147412987406004E+19</v>
      </c>
    </row>
    <row r="440" spans="4:14" ht="15" customHeight="1" x14ac:dyDescent="0.2">
      <c r="D440" s="130" t="b">
        <v>0</v>
      </c>
      <c r="E440" s="124" t="s">
        <v>94</v>
      </c>
      <c r="F440" s="125" t="s">
        <v>96</v>
      </c>
      <c r="G440" s="125">
        <v>3</v>
      </c>
      <c r="H440" s="123">
        <v>4</v>
      </c>
      <c r="I440" s="123" t="s">
        <v>95</v>
      </c>
      <c r="J440" s="123" t="s">
        <v>96</v>
      </c>
      <c r="K440" s="123" t="s">
        <v>93</v>
      </c>
      <c r="L440" s="132">
        <v>360</v>
      </c>
      <c r="M440" s="132">
        <v>0</v>
      </c>
      <c r="N440" s="132">
        <v>1.555648892021103E+19</v>
      </c>
    </row>
    <row r="441" spans="4:14" ht="15" customHeight="1" x14ac:dyDescent="0.2">
      <c r="D441" s="130" t="b">
        <v>0</v>
      </c>
      <c r="E441" s="124" t="s">
        <v>94</v>
      </c>
      <c r="F441" s="125" t="s">
        <v>96</v>
      </c>
      <c r="G441" s="125">
        <v>3</v>
      </c>
      <c r="H441" s="123">
        <v>4</v>
      </c>
      <c r="I441" s="123" t="s">
        <v>95</v>
      </c>
      <c r="J441" s="123" t="s">
        <v>97</v>
      </c>
      <c r="K441" s="123" t="s">
        <v>93</v>
      </c>
      <c r="L441" s="132">
        <v>361</v>
      </c>
      <c r="M441" s="132">
        <v>0</v>
      </c>
      <c r="N441" s="132">
        <v>1.4229612380205438E+17</v>
      </c>
    </row>
    <row r="442" spans="4:14" ht="15" customHeight="1" x14ac:dyDescent="0.2">
      <c r="D442" s="130" t="b">
        <v>0</v>
      </c>
      <c r="E442" s="124" t="s">
        <v>94</v>
      </c>
      <c r="F442" s="125" t="s">
        <v>96</v>
      </c>
      <c r="G442" s="125">
        <v>3</v>
      </c>
      <c r="H442" s="123">
        <v>4</v>
      </c>
      <c r="I442" s="123" t="s">
        <v>95</v>
      </c>
      <c r="J442" s="123" t="s">
        <v>91</v>
      </c>
      <c r="K442" s="123" t="s">
        <v>100</v>
      </c>
      <c r="L442" s="132">
        <v>362</v>
      </c>
      <c r="M442" s="132">
        <v>0</v>
      </c>
      <c r="N442" s="132">
        <v>6.8955592199138176E+17</v>
      </c>
    </row>
    <row r="443" spans="4:14" ht="15" customHeight="1" x14ac:dyDescent="0.2">
      <c r="D443" s="130" t="b">
        <v>0</v>
      </c>
      <c r="E443" s="124" t="s">
        <v>94</v>
      </c>
      <c r="F443" s="125" t="s">
        <v>96</v>
      </c>
      <c r="G443" s="125">
        <v>3</v>
      </c>
      <c r="H443" s="123">
        <v>4</v>
      </c>
      <c r="I443" s="123" t="s">
        <v>97</v>
      </c>
      <c r="J443" s="123" t="s">
        <v>96</v>
      </c>
      <c r="K443" s="123" t="s">
        <v>93</v>
      </c>
      <c r="L443" s="132">
        <v>363</v>
      </c>
      <c r="M443" s="132">
        <v>0</v>
      </c>
      <c r="N443" s="132">
        <v>1.6137300745612085E+19</v>
      </c>
    </row>
    <row r="444" spans="4:14" ht="15" customHeight="1" x14ac:dyDescent="0.2">
      <c r="D444" s="130" t="b">
        <v>0</v>
      </c>
      <c r="E444" s="124" t="s">
        <v>94</v>
      </c>
      <c r="F444" s="125" t="s">
        <v>96</v>
      </c>
      <c r="G444" s="125">
        <v>3</v>
      </c>
      <c r="H444" s="123">
        <v>4</v>
      </c>
      <c r="I444" s="123" t="s">
        <v>97</v>
      </c>
      <c r="J444" s="123" t="s">
        <v>97</v>
      </c>
      <c r="K444" s="123" t="s">
        <v>93</v>
      </c>
      <c r="L444" s="132">
        <v>364</v>
      </c>
      <c r="M444" s="132">
        <v>0</v>
      </c>
      <c r="N444" s="132">
        <v>4.1592353939393951E+18</v>
      </c>
    </row>
    <row r="445" spans="4:14" ht="15" customHeight="1" x14ac:dyDescent="0.2">
      <c r="D445" s="130" t="b">
        <v>0</v>
      </c>
      <c r="E445" s="124" t="s">
        <v>94</v>
      </c>
      <c r="F445" s="125" t="s">
        <v>96</v>
      </c>
      <c r="G445" s="125">
        <v>3</v>
      </c>
      <c r="H445" s="123">
        <v>4</v>
      </c>
      <c r="I445" s="123" t="s">
        <v>97</v>
      </c>
      <c r="J445" s="123" t="s">
        <v>91</v>
      </c>
      <c r="K445" s="123" t="s">
        <v>100</v>
      </c>
      <c r="L445" s="132">
        <v>365</v>
      </c>
      <c r="M445" s="132">
        <v>0</v>
      </c>
      <c r="N445" s="132">
        <v>8.4426040837575398E+17</v>
      </c>
    </row>
    <row r="446" spans="4:14" ht="15" customHeight="1" x14ac:dyDescent="0.2">
      <c r="D446" s="130" t="b">
        <v>0</v>
      </c>
      <c r="E446" s="124" t="s">
        <v>94</v>
      </c>
      <c r="F446" s="125" t="s">
        <v>96</v>
      </c>
      <c r="G446" s="125">
        <v>3</v>
      </c>
      <c r="H446" s="123">
        <v>4</v>
      </c>
      <c r="I446" s="123" t="s">
        <v>92</v>
      </c>
      <c r="J446" s="123" t="s">
        <v>96</v>
      </c>
      <c r="K446" s="123" t="s">
        <v>93</v>
      </c>
      <c r="L446" s="132">
        <v>366</v>
      </c>
      <c r="M446" s="132">
        <v>0</v>
      </c>
      <c r="N446" s="132">
        <v>4.2385682442962565E+18</v>
      </c>
    </row>
    <row r="447" spans="4:14" ht="15" customHeight="1" x14ac:dyDescent="0.2">
      <c r="D447" s="130" t="b">
        <v>0</v>
      </c>
      <c r="E447" s="124" t="s">
        <v>94</v>
      </c>
      <c r="F447" s="125" t="s">
        <v>96</v>
      </c>
      <c r="G447" s="125">
        <v>3</v>
      </c>
      <c r="H447" s="123">
        <v>4</v>
      </c>
      <c r="I447" s="123" t="s">
        <v>92</v>
      </c>
      <c r="J447" s="123" t="s">
        <v>97</v>
      </c>
      <c r="K447" s="123" t="s">
        <v>100</v>
      </c>
      <c r="L447" s="132">
        <v>367</v>
      </c>
      <c r="M447" s="132">
        <v>0</v>
      </c>
      <c r="N447" s="132">
        <v>1.0708851424865482E+18</v>
      </c>
    </row>
    <row r="448" spans="4:14" ht="15" customHeight="1" x14ac:dyDescent="0.2">
      <c r="D448" s="130" t="b">
        <v>0</v>
      </c>
      <c r="E448" s="124" t="s">
        <v>94</v>
      </c>
      <c r="F448" s="125" t="s">
        <v>96</v>
      </c>
      <c r="G448" s="125">
        <v>3</v>
      </c>
      <c r="H448" s="123">
        <v>4</v>
      </c>
      <c r="I448" s="123" t="s">
        <v>92</v>
      </c>
      <c r="J448" s="123" t="s">
        <v>91</v>
      </c>
      <c r="K448" s="123" t="s">
        <v>100</v>
      </c>
      <c r="L448" s="132">
        <v>368</v>
      </c>
      <c r="M448" s="132">
        <v>0</v>
      </c>
      <c r="N448" s="132">
        <v>1.0302180229209448E+19</v>
      </c>
    </row>
    <row r="449" spans="4:14" ht="15" customHeight="1" x14ac:dyDescent="0.2">
      <c r="D449" s="130" t="b">
        <v>0</v>
      </c>
      <c r="E449" s="124" t="s">
        <v>94</v>
      </c>
      <c r="F449" s="125" t="s">
        <v>96</v>
      </c>
      <c r="G449" s="125">
        <v>3</v>
      </c>
      <c r="H449" s="123" t="s">
        <v>98</v>
      </c>
      <c r="I449" s="123" t="s">
        <v>95</v>
      </c>
      <c r="J449" s="123" t="s">
        <v>96</v>
      </c>
      <c r="K449" s="123" t="s">
        <v>93</v>
      </c>
      <c r="L449" s="132">
        <v>369</v>
      </c>
      <c r="M449" s="132">
        <v>0</v>
      </c>
      <c r="N449" s="132">
        <v>1.5810811310843877E+19</v>
      </c>
    </row>
    <row r="450" spans="4:14" ht="15" customHeight="1" x14ac:dyDescent="0.2">
      <c r="D450" s="130" t="b">
        <v>0</v>
      </c>
      <c r="E450" s="124" t="s">
        <v>94</v>
      </c>
      <c r="F450" s="125" t="s">
        <v>96</v>
      </c>
      <c r="G450" s="125">
        <v>3</v>
      </c>
      <c r="H450" s="123" t="s">
        <v>98</v>
      </c>
      <c r="I450" s="123" t="s">
        <v>95</v>
      </c>
      <c r="J450" s="123" t="s">
        <v>97</v>
      </c>
      <c r="K450" s="123" t="s">
        <v>93</v>
      </c>
      <c r="L450" s="132">
        <v>370</v>
      </c>
      <c r="M450" s="132">
        <v>0</v>
      </c>
      <c r="N450" s="132">
        <v>1.4740121602476562E+19</v>
      </c>
    </row>
    <row r="451" spans="4:14" ht="15" customHeight="1" x14ac:dyDescent="0.2">
      <c r="D451" s="130" t="b">
        <v>0</v>
      </c>
      <c r="E451" s="124" t="s">
        <v>94</v>
      </c>
      <c r="F451" s="125" t="s">
        <v>96</v>
      </c>
      <c r="G451" s="125">
        <v>3</v>
      </c>
      <c r="H451" s="123" t="s">
        <v>98</v>
      </c>
      <c r="I451" s="123" t="s">
        <v>95</v>
      </c>
      <c r="J451" s="123" t="s">
        <v>91</v>
      </c>
      <c r="K451" s="123" t="s">
        <v>100</v>
      </c>
      <c r="L451" s="132">
        <v>371</v>
      </c>
      <c r="M451" s="132">
        <v>0</v>
      </c>
      <c r="N451" s="132">
        <v>3.0716825698254346E+18</v>
      </c>
    </row>
    <row r="452" spans="4:14" ht="15" customHeight="1" x14ac:dyDescent="0.2">
      <c r="D452" s="130" t="b">
        <v>0</v>
      </c>
      <c r="E452" s="124" t="s">
        <v>94</v>
      </c>
      <c r="F452" s="125" t="s">
        <v>96</v>
      </c>
      <c r="G452" s="125">
        <v>3</v>
      </c>
      <c r="H452" s="123" t="s">
        <v>98</v>
      </c>
      <c r="I452" s="123" t="s">
        <v>97</v>
      </c>
      <c r="J452" s="123" t="s">
        <v>96</v>
      </c>
      <c r="K452" s="123" t="s">
        <v>93</v>
      </c>
      <c r="L452" s="132">
        <v>372</v>
      </c>
      <c r="M452" s="132">
        <v>0</v>
      </c>
      <c r="N452" s="132">
        <v>9.2419369357316915E+18</v>
      </c>
    </row>
    <row r="453" spans="4:14" ht="15" customHeight="1" x14ac:dyDescent="0.2">
      <c r="D453" s="130" t="b">
        <v>0</v>
      </c>
      <c r="E453" s="124" t="s">
        <v>94</v>
      </c>
      <c r="F453" s="125" t="s">
        <v>96</v>
      </c>
      <c r="G453" s="125">
        <v>3</v>
      </c>
      <c r="H453" s="123" t="s">
        <v>98</v>
      </c>
      <c r="I453" s="123" t="s">
        <v>97</v>
      </c>
      <c r="J453" s="123" t="s">
        <v>97</v>
      </c>
      <c r="K453" s="123" t="s">
        <v>100</v>
      </c>
      <c r="L453" s="132">
        <v>373</v>
      </c>
      <c r="M453" s="132">
        <v>0</v>
      </c>
      <c r="N453" s="132">
        <v>1.0296844598801185E+19</v>
      </c>
    </row>
    <row r="454" spans="4:14" ht="15" customHeight="1" x14ac:dyDescent="0.2">
      <c r="D454" s="130" t="b">
        <v>0</v>
      </c>
      <c r="E454" s="124" t="s">
        <v>94</v>
      </c>
      <c r="F454" s="125" t="s">
        <v>96</v>
      </c>
      <c r="G454" s="125">
        <v>3</v>
      </c>
      <c r="H454" s="123" t="s">
        <v>98</v>
      </c>
      <c r="I454" s="123" t="s">
        <v>97</v>
      </c>
      <c r="J454" s="123" t="s">
        <v>91</v>
      </c>
      <c r="K454" s="123" t="s">
        <v>100</v>
      </c>
      <c r="L454" s="132">
        <v>374</v>
      </c>
      <c r="M454" s="132">
        <v>0</v>
      </c>
      <c r="N454" s="132">
        <v>9.2157135097078866E+18</v>
      </c>
    </row>
    <row r="455" spans="4:14" ht="15" customHeight="1" x14ac:dyDescent="0.2">
      <c r="D455" s="130" t="b">
        <v>0</v>
      </c>
      <c r="E455" s="124" t="s">
        <v>94</v>
      </c>
      <c r="F455" s="125" t="s">
        <v>96</v>
      </c>
      <c r="G455" s="125">
        <v>3</v>
      </c>
      <c r="H455" s="123" t="s">
        <v>98</v>
      </c>
      <c r="I455" s="123" t="s">
        <v>92</v>
      </c>
      <c r="J455" s="123" t="s">
        <v>96</v>
      </c>
      <c r="K455" s="123" t="s">
        <v>93</v>
      </c>
      <c r="L455" s="132">
        <v>375</v>
      </c>
      <c r="M455" s="132">
        <v>0</v>
      </c>
      <c r="N455" s="132">
        <v>1.5318648637117741E+19</v>
      </c>
    </row>
    <row r="456" spans="4:14" ht="15" customHeight="1" x14ac:dyDescent="0.2">
      <c r="D456" s="130" t="b">
        <v>0</v>
      </c>
      <c r="E456" s="124" t="s">
        <v>94</v>
      </c>
      <c r="F456" s="125" t="s">
        <v>96</v>
      </c>
      <c r="G456" s="125">
        <v>3</v>
      </c>
      <c r="H456" s="123" t="s">
        <v>98</v>
      </c>
      <c r="I456" s="123" t="s">
        <v>92</v>
      </c>
      <c r="J456" s="123" t="s">
        <v>97</v>
      </c>
      <c r="K456" s="123" t="s">
        <v>100</v>
      </c>
      <c r="L456" s="132">
        <v>376</v>
      </c>
      <c r="M456" s="132">
        <v>0</v>
      </c>
      <c r="N456" s="132">
        <v>7.9368184358098483E+18</v>
      </c>
    </row>
    <row r="457" spans="4:14" ht="15" customHeight="1" x14ac:dyDescent="0.2">
      <c r="D457" s="130" t="b">
        <v>0</v>
      </c>
      <c r="E457" s="124" t="s">
        <v>94</v>
      </c>
      <c r="F457" s="125" t="s">
        <v>96</v>
      </c>
      <c r="G457" s="125">
        <v>3</v>
      </c>
      <c r="H457" s="123" t="s">
        <v>98</v>
      </c>
      <c r="I457" s="123" t="s">
        <v>92</v>
      </c>
      <c r="J457" s="123" t="s">
        <v>91</v>
      </c>
      <c r="K457" s="123" t="s">
        <v>100</v>
      </c>
      <c r="L457" s="132">
        <v>377</v>
      </c>
      <c r="M457" s="132">
        <v>0</v>
      </c>
      <c r="N457" s="132">
        <v>2.9789393021459988E+18</v>
      </c>
    </row>
    <row r="458" spans="4:14" ht="15" customHeight="1" x14ac:dyDescent="0.2">
      <c r="D458" s="130" t="b">
        <v>0</v>
      </c>
      <c r="E458" s="124" t="s">
        <v>94</v>
      </c>
      <c r="F458" s="125" t="s">
        <v>96</v>
      </c>
      <c r="G458" s="125">
        <v>4</v>
      </c>
      <c r="H458" s="123">
        <v>2</v>
      </c>
      <c r="I458" s="123" t="s">
        <v>95</v>
      </c>
      <c r="J458" s="123" t="s">
        <v>96</v>
      </c>
      <c r="K458" s="123" t="s">
        <v>93</v>
      </c>
      <c r="L458" s="132">
        <v>378</v>
      </c>
      <c r="M458" s="132">
        <v>0</v>
      </c>
      <c r="N458" s="132">
        <v>1.2247682723834796E+19</v>
      </c>
    </row>
    <row r="459" spans="4:14" ht="15" customHeight="1" x14ac:dyDescent="0.2">
      <c r="D459" s="130" t="b">
        <v>0</v>
      </c>
      <c r="E459" s="124" t="s">
        <v>94</v>
      </c>
      <c r="F459" s="125" t="s">
        <v>96</v>
      </c>
      <c r="G459" s="125">
        <v>4</v>
      </c>
      <c r="H459" s="123">
        <v>2</v>
      </c>
      <c r="I459" s="123" t="s">
        <v>95</v>
      </c>
      <c r="J459" s="123" t="s">
        <v>97</v>
      </c>
      <c r="K459" s="123" t="s">
        <v>93</v>
      </c>
      <c r="L459" s="132">
        <v>379</v>
      </c>
      <c r="M459" s="132">
        <v>0</v>
      </c>
      <c r="N459" s="132">
        <v>1.1495445446547122E+19</v>
      </c>
    </row>
    <row r="460" spans="4:14" ht="15" customHeight="1" x14ac:dyDescent="0.2">
      <c r="D460" s="130" t="b">
        <v>0</v>
      </c>
      <c r="E460" s="124" t="s">
        <v>94</v>
      </c>
      <c r="F460" s="125" t="s">
        <v>96</v>
      </c>
      <c r="G460" s="125">
        <v>4</v>
      </c>
      <c r="H460" s="123">
        <v>2</v>
      </c>
      <c r="I460" s="123" t="s">
        <v>95</v>
      </c>
      <c r="J460" s="123" t="s">
        <v>91</v>
      </c>
      <c r="K460" s="123" t="s">
        <v>93</v>
      </c>
      <c r="L460" s="132">
        <v>380</v>
      </c>
      <c r="M460" s="132">
        <v>0</v>
      </c>
      <c r="N460" s="132">
        <v>8.8887648880178524E+18</v>
      </c>
    </row>
    <row r="461" spans="4:14" ht="15" customHeight="1" x14ac:dyDescent="0.2">
      <c r="D461" s="130" t="b">
        <v>0</v>
      </c>
      <c r="E461" s="124" t="s">
        <v>94</v>
      </c>
      <c r="F461" s="125" t="s">
        <v>96</v>
      </c>
      <c r="G461" s="125">
        <v>4</v>
      </c>
      <c r="H461" s="123">
        <v>2</v>
      </c>
      <c r="I461" s="123" t="s">
        <v>97</v>
      </c>
      <c r="J461" s="123" t="s">
        <v>96</v>
      </c>
      <c r="K461" s="123" t="s">
        <v>93</v>
      </c>
      <c r="L461" s="132">
        <v>381</v>
      </c>
      <c r="M461" s="132">
        <v>0</v>
      </c>
      <c r="N461" s="132">
        <v>3.6479592601012234E+18</v>
      </c>
    </row>
    <row r="462" spans="4:14" ht="15" customHeight="1" x14ac:dyDescent="0.2">
      <c r="D462" s="130" t="b">
        <v>0</v>
      </c>
      <c r="E462" s="124" t="s">
        <v>94</v>
      </c>
      <c r="F462" s="125" t="s">
        <v>96</v>
      </c>
      <c r="G462" s="125">
        <v>4</v>
      </c>
      <c r="H462" s="123">
        <v>2</v>
      </c>
      <c r="I462" s="123" t="s">
        <v>97</v>
      </c>
      <c r="J462" s="123" t="s">
        <v>97</v>
      </c>
      <c r="K462" s="123" t="s">
        <v>93</v>
      </c>
      <c r="L462" s="132">
        <v>382</v>
      </c>
      <c r="M462" s="132">
        <v>0</v>
      </c>
      <c r="N462" s="132">
        <v>1.2450942872207473E+19</v>
      </c>
    </row>
    <row r="463" spans="4:14" ht="15" customHeight="1" x14ac:dyDescent="0.2">
      <c r="D463" s="130" t="b">
        <v>0</v>
      </c>
      <c r="E463" s="124" t="s">
        <v>94</v>
      </c>
      <c r="F463" s="125" t="s">
        <v>96</v>
      </c>
      <c r="G463" s="125">
        <v>4</v>
      </c>
      <c r="H463" s="123">
        <v>2</v>
      </c>
      <c r="I463" s="123" t="s">
        <v>97</v>
      </c>
      <c r="J463" s="123" t="s">
        <v>91</v>
      </c>
      <c r="K463" s="123" t="s">
        <v>93</v>
      </c>
      <c r="L463" s="132">
        <v>383</v>
      </c>
      <c r="M463" s="132">
        <v>0</v>
      </c>
      <c r="N463" s="132">
        <v>4.5391087635938668E+18</v>
      </c>
    </row>
    <row r="464" spans="4:14" ht="15" customHeight="1" x14ac:dyDescent="0.2">
      <c r="D464" s="130" t="b">
        <v>0</v>
      </c>
      <c r="E464" s="124" t="s">
        <v>94</v>
      </c>
      <c r="F464" s="125" t="s">
        <v>96</v>
      </c>
      <c r="G464" s="125">
        <v>4</v>
      </c>
      <c r="H464" s="123">
        <v>2</v>
      </c>
      <c r="I464" s="123" t="s">
        <v>92</v>
      </c>
      <c r="J464" s="123" t="s">
        <v>96</v>
      </c>
      <c r="K464" s="123" t="s">
        <v>93</v>
      </c>
      <c r="L464" s="132">
        <v>384</v>
      </c>
      <c r="M464" s="132">
        <v>0</v>
      </c>
      <c r="N464" s="132">
        <v>2.3830057721699215E+18</v>
      </c>
    </row>
    <row r="465" spans="4:14" ht="15" customHeight="1" x14ac:dyDescent="0.2">
      <c r="D465" s="130" t="b">
        <v>0</v>
      </c>
      <c r="E465" s="124" t="s">
        <v>94</v>
      </c>
      <c r="F465" s="125" t="s">
        <v>96</v>
      </c>
      <c r="G465" s="125">
        <v>4</v>
      </c>
      <c r="H465" s="123">
        <v>2</v>
      </c>
      <c r="I465" s="123" t="s">
        <v>92</v>
      </c>
      <c r="J465" s="123" t="s">
        <v>97</v>
      </c>
      <c r="K465" s="123" t="s">
        <v>93</v>
      </c>
      <c r="L465" s="132">
        <v>385</v>
      </c>
      <c r="M465" s="132">
        <v>0</v>
      </c>
      <c r="N465" s="132">
        <v>3.2110132935576018E+18</v>
      </c>
    </row>
    <row r="466" spans="4:14" ht="15" customHeight="1" x14ac:dyDescent="0.2">
      <c r="D466" s="130" t="b">
        <v>0</v>
      </c>
      <c r="E466" s="124" t="s">
        <v>94</v>
      </c>
      <c r="F466" s="125" t="s">
        <v>96</v>
      </c>
      <c r="G466" s="125">
        <v>4</v>
      </c>
      <c r="H466" s="123">
        <v>2</v>
      </c>
      <c r="I466" s="123" t="s">
        <v>92</v>
      </c>
      <c r="J466" s="123" t="s">
        <v>91</v>
      </c>
      <c r="K466" s="123" t="s">
        <v>93</v>
      </c>
      <c r="L466" s="132">
        <v>386</v>
      </c>
      <c r="M466" s="132">
        <v>0</v>
      </c>
      <c r="N466" s="132">
        <v>1.3973778675716162E+19</v>
      </c>
    </row>
    <row r="467" spans="4:14" ht="15" customHeight="1" x14ac:dyDescent="0.2">
      <c r="D467" s="130" t="b">
        <v>0</v>
      </c>
      <c r="E467" s="124" t="s">
        <v>94</v>
      </c>
      <c r="F467" s="125" t="s">
        <v>96</v>
      </c>
      <c r="G467" s="125">
        <v>4</v>
      </c>
      <c r="H467" s="123">
        <v>4</v>
      </c>
      <c r="I467" s="123" t="s">
        <v>95</v>
      </c>
      <c r="J467" s="123" t="s">
        <v>96</v>
      </c>
      <c r="K467" s="123" t="s">
        <v>93</v>
      </c>
      <c r="L467" s="132">
        <v>387</v>
      </c>
      <c r="M467" s="132">
        <v>0</v>
      </c>
      <c r="N467" s="132">
        <v>1.3355809250506514E+19</v>
      </c>
    </row>
    <row r="468" spans="4:14" ht="15" customHeight="1" x14ac:dyDescent="0.2">
      <c r="D468" s="130" t="b">
        <v>0</v>
      </c>
      <c r="E468" s="124" t="s">
        <v>94</v>
      </c>
      <c r="F468" s="125" t="s">
        <v>96</v>
      </c>
      <c r="G468" s="125">
        <v>4</v>
      </c>
      <c r="H468" s="123">
        <v>4</v>
      </c>
      <c r="I468" s="123" t="s">
        <v>95</v>
      </c>
      <c r="J468" s="123" t="s">
        <v>97</v>
      </c>
      <c r="K468" s="123" t="s">
        <v>93</v>
      </c>
      <c r="L468" s="132">
        <v>388</v>
      </c>
      <c r="M468" s="132">
        <v>0</v>
      </c>
      <c r="N468" s="132">
        <v>5.5018610652699935E+18</v>
      </c>
    </row>
    <row r="469" spans="4:14" ht="15" customHeight="1" x14ac:dyDescent="0.2">
      <c r="D469" s="130" t="b">
        <v>0</v>
      </c>
      <c r="E469" s="124" t="s">
        <v>94</v>
      </c>
      <c r="F469" s="125" t="s">
        <v>96</v>
      </c>
      <c r="G469" s="125">
        <v>4</v>
      </c>
      <c r="H469" s="123">
        <v>4</v>
      </c>
      <c r="I469" s="123" t="s">
        <v>95</v>
      </c>
      <c r="J469" s="123" t="s">
        <v>91</v>
      </c>
      <c r="K469" s="123" t="s">
        <v>100</v>
      </c>
      <c r="L469" s="132">
        <v>389</v>
      </c>
      <c r="M469" s="132">
        <v>0</v>
      </c>
      <c r="N469" s="132">
        <v>2.1927310930335176E+18</v>
      </c>
    </row>
    <row r="470" spans="4:14" ht="15" customHeight="1" x14ac:dyDescent="0.2">
      <c r="D470" s="130" t="b">
        <v>0</v>
      </c>
      <c r="E470" s="124" t="s">
        <v>94</v>
      </c>
      <c r="F470" s="125" t="s">
        <v>96</v>
      </c>
      <c r="G470" s="125">
        <v>4</v>
      </c>
      <c r="H470" s="123">
        <v>4</v>
      </c>
      <c r="I470" s="123" t="s">
        <v>97</v>
      </c>
      <c r="J470" s="123" t="s">
        <v>96</v>
      </c>
      <c r="K470" s="123" t="s">
        <v>93</v>
      </c>
      <c r="L470" s="132">
        <v>390</v>
      </c>
      <c r="M470" s="132">
        <v>0</v>
      </c>
      <c r="N470" s="132">
        <v>2.6884526185241938E+18</v>
      </c>
    </row>
    <row r="471" spans="4:14" ht="15" customHeight="1" x14ac:dyDescent="0.2">
      <c r="D471" s="130" t="b">
        <v>0</v>
      </c>
      <c r="E471" s="124" t="s">
        <v>94</v>
      </c>
      <c r="F471" s="125" t="s">
        <v>96</v>
      </c>
      <c r="G471" s="125">
        <v>4</v>
      </c>
      <c r="H471" s="123">
        <v>4</v>
      </c>
      <c r="I471" s="123" t="s">
        <v>97</v>
      </c>
      <c r="J471" s="123" t="s">
        <v>97</v>
      </c>
      <c r="K471" s="123" t="s">
        <v>100</v>
      </c>
      <c r="L471" s="132">
        <v>391</v>
      </c>
      <c r="M471" s="132">
        <v>0</v>
      </c>
      <c r="N471" s="132">
        <v>9.0158142404961014E+18</v>
      </c>
    </row>
    <row r="472" spans="4:14" ht="15" customHeight="1" x14ac:dyDescent="0.2">
      <c r="D472" s="130" t="b">
        <v>0</v>
      </c>
      <c r="E472" s="124" t="s">
        <v>94</v>
      </c>
      <c r="F472" s="125" t="s">
        <v>96</v>
      </c>
      <c r="G472" s="125">
        <v>4</v>
      </c>
      <c r="H472" s="123">
        <v>4</v>
      </c>
      <c r="I472" s="123" t="s">
        <v>97</v>
      </c>
      <c r="J472" s="123" t="s">
        <v>91</v>
      </c>
      <c r="K472" s="123" t="s">
        <v>100</v>
      </c>
      <c r="L472" s="132">
        <v>392</v>
      </c>
      <c r="M472" s="132">
        <v>0</v>
      </c>
      <c r="N472" s="132">
        <v>6.4590701703066399E+18</v>
      </c>
    </row>
    <row r="473" spans="4:14" ht="15" customHeight="1" x14ac:dyDescent="0.2">
      <c r="D473" s="130" t="b">
        <v>0</v>
      </c>
      <c r="E473" s="124" t="s">
        <v>94</v>
      </c>
      <c r="F473" s="125" t="s">
        <v>96</v>
      </c>
      <c r="G473" s="125">
        <v>4</v>
      </c>
      <c r="H473" s="123">
        <v>4</v>
      </c>
      <c r="I473" s="123" t="s">
        <v>92</v>
      </c>
      <c r="J473" s="123" t="s">
        <v>96</v>
      </c>
      <c r="K473" s="123" t="s">
        <v>93</v>
      </c>
      <c r="L473" s="132">
        <v>393</v>
      </c>
      <c r="M473" s="132">
        <v>0</v>
      </c>
      <c r="N473" s="132">
        <v>1.030937791264299E+19</v>
      </c>
    </row>
    <row r="474" spans="4:14" ht="15" customHeight="1" x14ac:dyDescent="0.2">
      <c r="D474" s="130" t="b">
        <v>0</v>
      </c>
      <c r="E474" s="124" t="s">
        <v>94</v>
      </c>
      <c r="F474" s="125" t="s">
        <v>96</v>
      </c>
      <c r="G474" s="125">
        <v>4</v>
      </c>
      <c r="H474" s="123">
        <v>4</v>
      </c>
      <c r="I474" s="123" t="s">
        <v>92</v>
      </c>
      <c r="J474" s="123" t="s">
        <v>97</v>
      </c>
      <c r="K474" s="123" t="s">
        <v>100</v>
      </c>
      <c r="L474" s="132">
        <v>394</v>
      </c>
      <c r="M474" s="132">
        <v>0</v>
      </c>
      <c r="N474" s="132">
        <v>4.0345332705746668E+18</v>
      </c>
    </row>
    <row r="475" spans="4:14" ht="15" customHeight="1" x14ac:dyDescent="0.2">
      <c r="D475" s="130" t="b">
        <v>0</v>
      </c>
      <c r="E475" s="124" t="s">
        <v>94</v>
      </c>
      <c r="F475" s="125" t="s">
        <v>96</v>
      </c>
      <c r="G475" s="125">
        <v>4</v>
      </c>
      <c r="H475" s="123">
        <v>4</v>
      </c>
      <c r="I475" s="123" t="s">
        <v>92</v>
      </c>
      <c r="J475" s="123" t="s">
        <v>91</v>
      </c>
      <c r="K475" s="123" t="s">
        <v>100</v>
      </c>
      <c r="L475" s="132">
        <v>395</v>
      </c>
      <c r="M475" s="132">
        <v>0</v>
      </c>
      <c r="N475" s="132">
        <v>1.7631606082773131E+19</v>
      </c>
    </row>
    <row r="476" spans="4:14" ht="15" customHeight="1" x14ac:dyDescent="0.2">
      <c r="D476" s="130" t="b">
        <v>0</v>
      </c>
      <c r="E476" s="124" t="s">
        <v>94</v>
      </c>
      <c r="F476" s="125" t="s">
        <v>96</v>
      </c>
      <c r="G476" s="125">
        <v>4</v>
      </c>
      <c r="H476" s="123" t="s">
        <v>98</v>
      </c>
      <c r="I476" s="123" t="s">
        <v>95</v>
      </c>
      <c r="J476" s="123" t="s">
        <v>96</v>
      </c>
      <c r="K476" s="123" t="s">
        <v>93</v>
      </c>
      <c r="L476" s="132">
        <v>396</v>
      </c>
      <c r="M476" s="132">
        <v>0</v>
      </c>
      <c r="N476" s="132">
        <v>1.1785757220038377E+19</v>
      </c>
    </row>
    <row r="477" spans="4:14" ht="15" customHeight="1" x14ac:dyDescent="0.2">
      <c r="D477" s="130" t="b">
        <v>0</v>
      </c>
      <c r="E477" s="124" t="s">
        <v>94</v>
      </c>
      <c r="F477" s="125" t="s">
        <v>96</v>
      </c>
      <c r="G477" s="125">
        <v>4</v>
      </c>
      <c r="H477" s="123" t="s">
        <v>98</v>
      </c>
      <c r="I477" s="123" t="s">
        <v>95</v>
      </c>
      <c r="J477" s="123" t="s">
        <v>97</v>
      </c>
      <c r="K477" s="123" t="s">
        <v>93</v>
      </c>
      <c r="L477" s="132">
        <v>397</v>
      </c>
      <c r="M477" s="132">
        <v>0</v>
      </c>
      <c r="N477" s="132">
        <v>1.5348582724677747E+19</v>
      </c>
    </row>
    <row r="478" spans="4:14" ht="15" customHeight="1" x14ac:dyDescent="0.2">
      <c r="D478" s="130" t="b">
        <v>0</v>
      </c>
      <c r="E478" s="124" t="s">
        <v>94</v>
      </c>
      <c r="F478" s="125" t="s">
        <v>96</v>
      </c>
      <c r="G478" s="125">
        <v>4</v>
      </c>
      <c r="H478" s="123" t="s">
        <v>98</v>
      </c>
      <c r="I478" s="123" t="s">
        <v>95</v>
      </c>
      <c r="J478" s="123" t="s">
        <v>91</v>
      </c>
      <c r="K478" s="123" t="s">
        <v>100</v>
      </c>
      <c r="L478" s="132">
        <v>398</v>
      </c>
      <c r="M478" s="132">
        <v>0</v>
      </c>
      <c r="N478" s="132">
        <v>3.7780935179991424E+17</v>
      </c>
    </row>
    <row r="479" spans="4:14" ht="15" customHeight="1" x14ac:dyDescent="0.2">
      <c r="D479" s="130" t="b">
        <v>0</v>
      </c>
      <c r="E479" s="124" t="s">
        <v>94</v>
      </c>
      <c r="F479" s="125" t="s">
        <v>96</v>
      </c>
      <c r="G479" s="125">
        <v>4</v>
      </c>
      <c r="H479" s="123" t="s">
        <v>98</v>
      </c>
      <c r="I479" s="123" t="s">
        <v>97</v>
      </c>
      <c r="J479" s="123" t="s">
        <v>96</v>
      </c>
      <c r="K479" s="123" t="s">
        <v>93</v>
      </c>
      <c r="L479" s="132">
        <v>399</v>
      </c>
      <c r="M479" s="132">
        <v>0</v>
      </c>
      <c r="N479" s="132">
        <v>1.8031321749483172E+18</v>
      </c>
    </row>
    <row r="480" spans="4:14" ht="15" customHeight="1" x14ac:dyDescent="0.2">
      <c r="D480" s="130" t="b">
        <v>0</v>
      </c>
      <c r="E480" s="124" t="s">
        <v>94</v>
      </c>
      <c r="F480" s="125" t="s">
        <v>96</v>
      </c>
      <c r="G480" s="125">
        <v>4</v>
      </c>
      <c r="H480" s="123" t="s">
        <v>98</v>
      </c>
      <c r="I480" s="123" t="s">
        <v>97</v>
      </c>
      <c r="J480" s="123" t="s">
        <v>97</v>
      </c>
      <c r="K480" s="123" t="s">
        <v>100</v>
      </c>
      <c r="L480" s="132">
        <v>400</v>
      </c>
      <c r="M480" s="132">
        <v>0</v>
      </c>
      <c r="N480" s="132">
        <v>1.4213963253545161E+19</v>
      </c>
    </row>
    <row r="481" spans="4:14" ht="15" customHeight="1" x14ac:dyDescent="0.2">
      <c r="D481" s="130" t="b">
        <v>0</v>
      </c>
      <c r="E481" s="124" t="s">
        <v>94</v>
      </c>
      <c r="F481" s="125" t="s">
        <v>96</v>
      </c>
      <c r="G481" s="125">
        <v>4</v>
      </c>
      <c r="H481" s="123" t="s">
        <v>98</v>
      </c>
      <c r="I481" s="123" t="s">
        <v>97</v>
      </c>
      <c r="J481" s="123" t="s">
        <v>91</v>
      </c>
      <c r="K481" s="123" t="s">
        <v>100</v>
      </c>
      <c r="L481" s="132">
        <v>401</v>
      </c>
      <c r="M481" s="132">
        <v>0</v>
      </c>
      <c r="N481" s="132">
        <v>1.2423916041983574E+19</v>
      </c>
    </row>
    <row r="482" spans="4:14" ht="15" customHeight="1" x14ac:dyDescent="0.2">
      <c r="D482" s="130" t="b">
        <v>0</v>
      </c>
      <c r="E482" s="124" t="s">
        <v>94</v>
      </c>
      <c r="F482" s="125" t="s">
        <v>96</v>
      </c>
      <c r="G482" s="125">
        <v>4</v>
      </c>
      <c r="H482" s="123" t="s">
        <v>98</v>
      </c>
      <c r="I482" s="123" t="s">
        <v>92</v>
      </c>
      <c r="J482" s="123" t="s">
        <v>96</v>
      </c>
      <c r="K482" s="123" t="s">
        <v>93</v>
      </c>
      <c r="L482" s="132">
        <v>402</v>
      </c>
      <c r="M482" s="132">
        <v>0</v>
      </c>
      <c r="N482" s="132">
        <v>4.7918775268611379E+18</v>
      </c>
    </row>
    <row r="483" spans="4:14" ht="15" customHeight="1" x14ac:dyDescent="0.2">
      <c r="D483" s="130" t="b">
        <v>0</v>
      </c>
      <c r="E483" s="124" t="s">
        <v>94</v>
      </c>
      <c r="F483" s="125" t="s">
        <v>96</v>
      </c>
      <c r="G483" s="125">
        <v>4</v>
      </c>
      <c r="H483" s="123" t="s">
        <v>98</v>
      </c>
      <c r="I483" s="123" t="s">
        <v>92</v>
      </c>
      <c r="J483" s="123" t="s">
        <v>97</v>
      </c>
      <c r="K483" s="123" t="s">
        <v>100</v>
      </c>
      <c r="L483" s="132">
        <v>403</v>
      </c>
      <c r="M483" s="132">
        <v>0</v>
      </c>
      <c r="N483" s="132">
        <v>1.3406556850789487E+19</v>
      </c>
    </row>
    <row r="484" spans="4:14" ht="15" customHeight="1" x14ac:dyDescent="0.2">
      <c r="D484" s="130" t="b">
        <v>0</v>
      </c>
      <c r="E484" s="124" t="s">
        <v>94</v>
      </c>
      <c r="F484" s="125" t="s">
        <v>96</v>
      </c>
      <c r="G484" s="125">
        <v>4</v>
      </c>
      <c r="H484" s="123" t="s">
        <v>98</v>
      </c>
      <c r="I484" s="123" t="s">
        <v>92</v>
      </c>
      <c r="J484" s="123" t="s">
        <v>91</v>
      </c>
      <c r="K484" s="123" t="s">
        <v>100</v>
      </c>
      <c r="L484" s="132">
        <v>404</v>
      </c>
      <c r="M484" s="132">
        <v>0</v>
      </c>
      <c r="N484" s="132">
        <v>4.9635925552008141E+18</v>
      </c>
    </row>
    <row r="485" spans="4:14" ht="15" customHeight="1" x14ac:dyDescent="0.2">
      <c r="D485" s="130" t="b">
        <v>0</v>
      </c>
      <c r="E485" s="124" t="s">
        <v>94</v>
      </c>
      <c r="F485" s="125" t="s">
        <v>96</v>
      </c>
      <c r="G485" s="125" t="s">
        <v>99</v>
      </c>
      <c r="H485" s="123">
        <v>2</v>
      </c>
      <c r="I485" s="123" t="s">
        <v>95</v>
      </c>
      <c r="J485" s="123" t="s">
        <v>96</v>
      </c>
      <c r="K485" s="123" t="s">
        <v>93</v>
      </c>
      <c r="L485" s="132">
        <v>405</v>
      </c>
      <c r="M485" s="132">
        <v>0</v>
      </c>
      <c r="N485" s="132">
        <v>6.6219758953082962E+18</v>
      </c>
    </row>
    <row r="486" spans="4:14" ht="15" customHeight="1" x14ac:dyDescent="0.2">
      <c r="D486" s="130" t="b">
        <v>0</v>
      </c>
      <c r="E486" s="124" t="s">
        <v>94</v>
      </c>
      <c r="F486" s="125" t="s">
        <v>96</v>
      </c>
      <c r="G486" s="125" t="s">
        <v>99</v>
      </c>
      <c r="H486" s="123">
        <v>2</v>
      </c>
      <c r="I486" s="123" t="s">
        <v>95</v>
      </c>
      <c r="J486" s="123" t="s">
        <v>97</v>
      </c>
      <c r="K486" s="123" t="s">
        <v>93</v>
      </c>
      <c r="L486" s="132">
        <v>406</v>
      </c>
      <c r="M486" s="132">
        <v>0</v>
      </c>
      <c r="N486" s="132">
        <v>1.6773143447516187E+19</v>
      </c>
    </row>
    <row r="487" spans="4:14" ht="15" customHeight="1" x14ac:dyDescent="0.2">
      <c r="D487" s="130" t="b">
        <v>0</v>
      </c>
      <c r="E487" s="124" t="s">
        <v>94</v>
      </c>
      <c r="F487" s="125" t="s">
        <v>96</v>
      </c>
      <c r="G487" s="125" t="s">
        <v>99</v>
      </c>
      <c r="H487" s="123">
        <v>2</v>
      </c>
      <c r="I487" s="123" t="s">
        <v>95</v>
      </c>
      <c r="J487" s="123" t="s">
        <v>91</v>
      </c>
      <c r="K487" s="123" t="s">
        <v>93</v>
      </c>
      <c r="L487" s="132">
        <v>407</v>
      </c>
      <c r="M487" s="132">
        <v>0</v>
      </c>
      <c r="N487" s="132">
        <v>9.4196727564627558E+18</v>
      </c>
    </row>
    <row r="488" spans="4:14" ht="15" customHeight="1" x14ac:dyDescent="0.2">
      <c r="D488" s="130" t="b">
        <v>0</v>
      </c>
      <c r="E488" s="124" t="s">
        <v>94</v>
      </c>
      <c r="F488" s="125" t="s">
        <v>96</v>
      </c>
      <c r="G488" s="125" t="s">
        <v>99</v>
      </c>
      <c r="H488" s="123">
        <v>2</v>
      </c>
      <c r="I488" s="123" t="s">
        <v>97</v>
      </c>
      <c r="J488" s="123" t="s">
        <v>96</v>
      </c>
      <c r="K488" s="123" t="s">
        <v>93</v>
      </c>
      <c r="L488" s="132">
        <v>408</v>
      </c>
      <c r="M488" s="132">
        <v>0</v>
      </c>
      <c r="N488" s="132">
        <v>3.2094244433331953E+18</v>
      </c>
    </row>
    <row r="489" spans="4:14" ht="15" customHeight="1" x14ac:dyDescent="0.2">
      <c r="D489" s="130" t="b">
        <v>0</v>
      </c>
      <c r="E489" s="124" t="s">
        <v>94</v>
      </c>
      <c r="F489" s="125" t="s">
        <v>96</v>
      </c>
      <c r="G489" s="125" t="s">
        <v>99</v>
      </c>
      <c r="H489" s="123">
        <v>2</v>
      </c>
      <c r="I489" s="123" t="s">
        <v>97</v>
      </c>
      <c r="J489" s="123" t="s">
        <v>97</v>
      </c>
      <c r="K489" s="123" t="s">
        <v>93</v>
      </c>
      <c r="L489" s="132">
        <v>409</v>
      </c>
      <c r="M489" s="132">
        <v>0</v>
      </c>
      <c r="N489" s="132">
        <v>1.4985772448228675E+18</v>
      </c>
    </row>
    <row r="490" spans="4:14" ht="15" customHeight="1" x14ac:dyDescent="0.2">
      <c r="D490" s="130" t="b">
        <v>0</v>
      </c>
      <c r="E490" s="124" t="s">
        <v>94</v>
      </c>
      <c r="F490" s="125" t="s">
        <v>96</v>
      </c>
      <c r="G490" s="125" t="s">
        <v>99</v>
      </c>
      <c r="H490" s="123">
        <v>2</v>
      </c>
      <c r="I490" s="123" t="s">
        <v>97</v>
      </c>
      <c r="J490" s="123" t="s">
        <v>91</v>
      </c>
      <c r="K490" s="123" t="s">
        <v>93</v>
      </c>
      <c r="L490" s="132">
        <v>410</v>
      </c>
      <c r="M490" s="132">
        <v>0</v>
      </c>
      <c r="N490" s="132">
        <v>1.1617679869024836E+19</v>
      </c>
    </row>
    <row r="491" spans="4:14" ht="15" customHeight="1" x14ac:dyDescent="0.2">
      <c r="D491" s="130" t="b">
        <v>0</v>
      </c>
      <c r="E491" s="124" t="s">
        <v>94</v>
      </c>
      <c r="F491" s="125" t="s">
        <v>96</v>
      </c>
      <c r="G491" s="125" t="s">
        <v>99</v>
      </c>
      <c r="H491" s="123">
        <v>2</v>
      </c>
      <c r="I491" s="123" t="s">
        <v>92</v>
      </c>
      <c r="J491" s="123" t="s">
        <v>96</v>
      </c>
      <c r="K491" s="123" t="s">
        <v>93</v>
      </c>
      <c r="L491" s="132">
        <v>411</v>
      </c>
      <c r="M491" s="132">
        <v>0</v>
      </c>
      <c r="N491" s="132">
        <v>1.682845992335273E+19</v>
      </c>
    </row>
    <row r="492" spans="4:14" ht="15" customHeight="1" x14ac:dyDescent="0.2">
      <c r="D492" s="130" t="b">
        <v>0</v>
      </c>
      <c r="E492" s="124" t="s">
        <v>94</v>
      </c>
      <c r="F492" s="125" t="s">
        <v>96</v>
      </c>
      <c r="G492" s="125" t="s">
        <v>99</v>
      </c>
      <c r="H492" s="123">
        <v>2</v>
      </c>
      <c r="I492" s="123" t="s">
        <v>92</v>
      </c>
      <c r="J492" s="123" t="s">
        <v>97</v>
      </c>
      <c r="K492" s="123" t="s">
        <v>93</v>
      </c>
      <c r="L492" s="132">
        <v>412</v>
      </c>
      <c r="M492" s="132">
        <v>0</v>
      </c>
      <c r="N492" s="132">
        <v>1.4566135513024813E+19</v>
      </c>
    </row>
    <row r="493" spans="4:14" ht="15" customHeight="1" x14ac:dyDescent="0.2">
      <c r="D493" s="130" t="b">
        <v>0</v>
      </c>
      <c r="E493" s="124" t="s">
        <v>94</v>
      </c>
      <c r="F493" s="125" t="s">
        <v>96</v>
      </c>
      <c r="G493" s="125" t="s">
        <v>99</v>
      </c>
      <c r="H493" s="123">
        <v>2</v>
      </c>
      <c r="I493" s="123" t="s">
        <v>92</v>
      </c>
      <c r="J493" s="123" t="s">
        <v>91</v>
      </c>
      <c r="K493" s="123" t="s">
        <v>93</v>
      </c>
      <c r="L493" s="132">
        <v>413</v>
      </c>
      <c r="M493" s="132">
        <v>0</v>
      </c>
      <c r="N493" s="132">
        <v>1.779721192513282E+19</v>
      </c>
    </row>
    <row r="494" spans="4:14" ht="15" customHeight="1" x14ac:dyDescent="0.2">
      <c r="D494" s="130" t="b">
        <v>0</v>
      </c>
      <c r="E494" s="124" t="s">
        <v>94</v>
      </c>
      <c r="F494" s="125" t="s">
        <v>96</v>
      </c>
      <c r="G494" s="125" t="s">
        <v>99</v>
      </c>
      <c r="H494" s="123">
        <v>4</v>
      </c>
      <c r="I494" s="123" t="s">
        <v>95</v>
      </c>
      <c r="J494" s="123" t="s">
        <v>96</v>
      </c>
      <c r="K494" s="123" t="s">
        <v>93</v>
      </c>
      <c r="L494" s="132">
        <v>414</v>
      </c>
      <c r="M494" s="132">
        <v>0</v>
      </c>
      <c r="N494" s="132">
        <v>1.2488758264450138E+19</v>
      </c>
    </row>
    <row r="495" spans="4:14" ht="15" customHeight="1" x14ac:dyDescent="0.2">
      <c r="D495" s="130" t="b">
        <v>0</v>
      </c>
      <c r="E495" s="124" t="s">
        <v>94</v>
      </c>
      <c r="F495" s="125" t="s">
        <v>96</v>
      </c>
      <c r="G495" s="125" t="s">
        <v>99</v>
      </c>
      <c r="H495" s="123">
        <v>4</v>
      </c>
      <c r="I495" s="123" t="s">
        <v>95</v>
      </c>
      <c r="J495" s="123" t="s">
        <v>97</v>
      </c>
      <c r="K495" s="123" t="s">
        <v>93</v>
      </c>
      <c r="L495" s="132">
        <v>415</v>
      </c>
      <c r="M495" s="132">
        <v>0</v>
      </c>
      <c r="N495" s="132">
        <v>5.7022804016862249E+18</v>
      </c>
    </row>
    <row r="496" spans="4:14" ht="15" customHeight="1" x14ac:dyDescent="0.2">
      <c r="D496" s="130" t="b">
        <v>0</v>
      </c>
      <c r="E496" s="124" t="s">
        <v>94</v>
      </c>
      <c r="F496" s="125" t="s">
        <v>96</v>
      </c>
      <c r="G496" s="125" t="s">
        <v>99</v>
      </c>
      <c r="H496" s="123">
        <v>4</v>
      </c>
      <c r="I496" s="123" t="s">
        <v>95</v>
      </c>
      <c r="J496" s="123" t="s">
        <v>91</v>
      </c>
      <c r="K496" s="123" t="s">
        <v>100</v>
      </c>
      <c r="L496" s="132">
        <v>416</v>
      </c>
      <c r="M496" s="132">
        <v>0</v>
      </c>
      <c r="N496" s="132">
        <v>1.2639998365605231E+19</v>
      </c>
    </row>
    <row r="497" spans="4:14" ht="15" customHeight="1" x14ac:dyDescent="0.2">
      <c r="D497" s="130" t="b">
        <v>0</v>
      </c>
      <c r="E497" s="124" t="s">
        <v>94</v>
      </c>
      <c r="F497" s="125" t="s">
        <v>96</v>
      </c>
      <c r="G497" s="125" t="s">
        <v>99</v>
      </c>
      <c r="H497" s="123">
        <v>4</v>
      </c>
      <c r="I497" s="123" t="s">
        <v>97</v>
      </c>
      <c r="J497" s="123" t="s">
        <v>96</v>
      </c>
      <c r="K497" s="123" t="s">
        <v>93</v>
      </c>
      <c r="L497" s="132">
        <v>417</v>
      </c>
      <c r="M497" s="132">
        <v>0</v>
      </c>
      <c r="N497" s="132">
        <v>1.7095631364965775E+19</v>
      </c>
    </row>
    <row r="498" spans="4:14" ht="15" customHeight="1" x14ac:dyDescent="0.2">
      <c r="D498" s="130" t="b">
        <v>0</v>
      </c>
      <c r="E498" s="124" t="s">
        <v>94</v>
      </c>
      <c r="F498" s="125" t="s">
        <v>96</v>
      </c>
      <c r="G498" s="125" t="s">
        <v>99</v>
      </c>
      <c r="H498" s="123">
        <v>4</v>
      </c>
      <c r="I498" s="123" t="s">
        <v>97</v>
      </c>
      <c r="J498" s="123" t="s">
        <v>97</v>
      </c>
      <c r="K498" s="123" t="s">
        <v>100</v>
      </c>
      <c r="L498" s="132">
        <v>418</v>
      </c>
      <c r="M498" s="132">
        <v>0</v>
      </c>
      <c r="N498" s="132">
        <v>6.2318077877406515E+18</v>
      </c>
    </row>
    <row r="499" spans="4:14" ht="15" customHeight="1" x14ac:dyDescent="0.2">
      <c r="D499" s="130" t="b">
        <v>0</v>
      </c>
      <c r="E499" s="124" t="s">
        <v>94</v>
      </c>
      <c r="F499" s="125" t="s">
        <v>96</v>
      </c>
      <c r="G499" s="125" t="s">
        <v>99</v>
      </c>
      <c r="H499" s="123">
        <v>4</v>
      </c>
      <c r="I499" s="123" t="s">
        <v>97</v>
      </c>
      <c r="J499" s="123" t="s">
        <v>91</v>
      </c>
      <c r="K499" s="123" t="s">
        <v>100</v>
      </c>
      <c r="L499" s="132">
        <v>419</v>
      </c>
      <c r="M499" s="132">
        <v>0</v>
      </c>
      <c r="N499" s="132">
        <v>8.201378413852544E+18</v>
      </c>
    </row>
    <row r="500" spans="4:14" ht="15" customHeight="1" x14ac:dyDescent="0.2">
      <c r="D500" s="130" t="b">
        <v>0</v>
      </c>
      <c r="E500" s="124" t="s">
        <v>94</v>
      </c>
      <c r="F500" s="125" t="s">
        <v>96</v>
      </c>
      <c r="G500" s="125" t="s">
        <v>99</v>
      </c>
      <c r="H500" s="123">
        <v>4</v>
      </c>
      <c r="I500" s="123" t="s">
        <v>92</v>
      </c>
      <c r="J500" s="123" t="s">
        <v>96</v>
      </c>
      <c r="K500" s="123" t="s">
        <v>93</v>
      </c>
      <c r="L500" s="132">
        <v>420</v>
      </c>
      <c r="M500" s="132">
        <v>0</v>
      </c>
      <c r="N500" s="132">
        <v>1.1478412764040036E+19</v>
      </c>
    </row>
    <row r="501" spans="4:14" ht="15" customHeight="1" x14ac:dyDescent="0.2">
      <c r="D501" s="130" t="b">
        <v>0</v>
      </c>
      <c r="E501" s="124" t="s">
        <v>94</v>
      </c>
      <c r="F501" s="125" t="s">
        <v>96</v>
      </c>
      <c r="G501" s="125" t="s">
        <v>99</v>
      </c>
      <c r="H501" s="123">
        <v>4</v>
      </c>
      <c r="I501" s="123" t="s">
        <v>92</v>
      </c>
      <c r="J501" s="123" t="s">
        <v>97</v>
      </c>
      <c r="K501" s="123" t="s">
        <v>100</v>
      </c>
      <c r="L501" s="132">
        <v>421</v>
      </c>
      <c r="M501" s="132">
        <v>0</v>
      </c>
      <c r="N501" s="132">
        <v>5.6579714409468232E+18</v>
      </c>
    </row>
    <row r="502" spans="4:14" ht="15" customHeight="1" x14ac:dyDescent="0.2">
      <c r="D502" s="130" t="b">
        <v>0</v>
      </c>
      <c r="E502" s="124" t="s">
        <v>94</v>
      </c>
      <c r="F502" s="125" t="s">
        <v>96</v>
      </c>
      <c r="G502" s="125" t="s">
        <v>99</v>
      </c>
      <c r="H502" s="123">
        <v>4</v>
      </c>
      <c r="I502" s="123" t="s">
        <v>92</v>
      </c>
      <c r="J502" s="123" t="s">
        <v>91</v>
      </c>
      <c r="K502" s="123" t="s">
        <v>100</v>
      </c>
      <c r="L502" s="132">
        <v>422</v>
      </c>
      <c r="M502" s="132">
        <v>0</v>
      </c>
      <c r="N502" s="132">
        <v>1.1281238701567136E+19</v>
      </c>
    </row>
    <row r="503" spans="4:14" ht="15" customHeight="1" x14ac:dyDescent="0.2">
      <c r="D503" s="130" t="b">
        <v>0</v>
      </c>
      <c r="E503" s="124" t="s">
        <v>94</v>
      </c>
      <c r="F503" s="125" t="s">
        <v>96</v>
      </c>
      <c r="G503" s="125" t="s">
        <v>99</v>
      </c>
      <c r="H503" s="123" t="s">
        <v>98</v>
      </c>
      <c r="I503" s="123" t="s">
        <v>95</v>
      </c>
      <c r="J503" s="123" t="s">
        <v>96</v>
      </c>
      <c r="K503" s="123" t="s">
        <v>93</v>
      </c>
      <c r="L503" s="132">
        <v>423</v>
      </c>
      <c r="M503" s="132">
        <v>0</v>
      </c>
      <c r="N503" s="132">
        <v>1.8026297712123021E+19</v>
      </c>
    </row>
    <row r="504" spans="4:14" ht="15" customHeight="1" x14ac:dyDescent="0.2">
      <c r="D504" s="130" t="b">
        <v>0</v>
      </c>
      <c r="E504" s="124" t="s">
        <v>94</v>
      </c>
      <c r="F504" s="125" t="s">
        <v>96</v>
      </c>
      <c r="G504" s="125" t="s">
        <v>99</v>
      </c>
      <c r="H504" s="123" t="s">
        <v>98</v>
      </c>
      <c r="I504" s="123" t="s">
        <v>95</v>
      </c>
      <c r="J504" s="123" t="s">
        <v>97</v>
      </c>
      <c r="K504" s="123" t="s">
        <v>93</v>
      </c>
      <c r="L504" s="132">
        <v>424</v>
      </c>
      <c r="M504" s="132">
        <v>0</v>
      </c>
      <c r="N504" s="132">
        <v>1.2746733836606492E+18</v>
      </c>
    </row>
    <row r="505" spans="4:14" ht="15" customHeight="1" x14ac:dyDescent="0.2">
      <c r="D505" s="130" t="b">
        <v>0</v>
      </c>
      <c r="E505" s="124" t="s">
        <v>94</v>
      </c>
      <c r="F505" s="125" t="s">
        <v>96</v>
      </c>
      <c r="G505" s="125" t="s">
        <v>99</v>
      </c>
      <c r="H505" s="123" t="s">
        <v>98</v>
      </c>
      <c r="I505" s="123" t="s">
        <v>95</v>
      </c>
      <c r="J505" s="123" t="s">
        <v>91</v>
      </c>
      <c r="K505" s="123" t="s">
        <v>100</v>
      </c>
      <c r="L505" s="132">
        <v>425</v>
      </c>
      <c r="M505" s="132">
        <v>0</v>
      </c>
      <c r="N505" s="132">
        <v>1.7491458938796569E+19</v>
      </c>
    </row>
    <row r="506" spans="4:14" ht="15" customHeight="1" x14ac:dyDescent="0.2">
      <c r="D506" s="130" t="b">
        <v>0</v>
      </c>
      <c r="E506" s="124" t="s">
        <v>94</v>
      </c>
      <c r="F506" s="125" t="s">
        <v>96</v>
      </c>
      <c r="G506" s="125" t="s">
        <v>99</v>
      </c>
      <c r="H506" s="123" t="s">
        <v>98</v>
      </c>
      <c r="I506" s="123" t="s">
        <v>97</v>
      </c>
      <c r="J506" s="123" t="s">
        <v>96</v>
      </c>
      <c r="K506" s="123" t="s">
        <v>93</v>
      </c>
      <c r="L506" s="132">
        <v>426</v>
      </c>
      <c r="M506" s="132">
        <v>0</v>
      </c>
      <c r="N506" s="132">
        <v>1.3646370404451365E+19</v>
      </c>
    </row>
    <row r="507" spans="4:14" ht="15" customHeight="1" x14ac:dyDescent="0.2">
      <c r="D507" s="130" t="b">
        <v>0</v>
      </c>
      <c r="E507" s="124" t="s">
        <v>94</v>
      </c>
      <c r="F507" s="125" t="s">
        <v>96</v>
      </c>
      <c r="G507" s="125" t="s">
        <v>99</v>
      </c>
      <c r="H507" s="123" t="s">
        <v>98</v>
      </c>
      <c r="I507" s="123" t="s">
        <v>97</v>
      </c>
      <c r="J507" s="123" t="s">
        <v>97</v>
      </c>
      <c r="K507" s="123" t="s">
        <v>100</v>
      </c>
      <c r="L507" s="132">
        <v>427</v>
      </c>
      <c r="M507" s="132">
        <v>0</v>
      </c>
      <c r="N507" s="132">
        <v>2.6125008455490966E+17</v>
      </c>
    </row>
    <row r="508" spans="4:14" ht="15" customHeight="1" x14ac:dyDescent="0.2">
      <c r="D508" s="130" t="b">
        <v>0</v>
      </c>
      <c r="E508" s="124" t="s">
        <v>94</v>
      </c>
      <c r="F508" s="125" t="s">
        <v>96</v>
      </c>
      <c r="G508" s="125" t="s">
        <v>99</v>
      </c>
      <c r="H508" s="123" t="s">
        <v>98</v>
      </c>
      <c r="I508" s="123" t="s">
        <v>97</v>
      </c>
      <c r="J508" s="123" t="s">
        <v>91</v>
      </c>
      <c r="K508" s="123" t="s">
        <v>100</v>
      </c>
      <c r="L508" s="132">
        <v>428</v>
      </c>
      <c r="M508" s="132">
        <v>0</v>
      </c>
      <c r="N508" s="132">
        <v>5.1438228802886236E+18</v>
      </c>
    </row>
    <row r="509" spans="4:14" ht="15" customHeight="1" x14ac:dyDescent="0.2">
      <c r="D509" s="130" t="b">
        <v>0</v>
      </c>
      <c r="E509" s="124" t="s">
        <v>94</v>
      </c>
      <c r="F509" s="125" t="s">
        <v>96</v>
      </c>
      <c r="G509" s="125" t="s">
        <v>99</v>
      </c>
      <c r="H509" s="123" t="s">
        <v>98</v>
      </c>
      <c r="I509" s="123" t="s">
        <v>92</v>
      </c>
      <c r="J509" s="123" t="s">
        <v>96</v>
      </c>
      <c r="K509" s="123" t="s">
        <v>93</v>
      </c>
      <c r="L509" s="132">
        <v>429</v>
      </c>
      <c r="M509" s="132">
        <v>0</v>
      </c>
      <c r="N509" s="132">
        <v>1.1515459580473659E+19</v>
      </c>
    </row>
    <row r="510" spans="4:14" ht="15" customHeight="1" x14ac:dyDescent="0.2">
      <c r="D510" s="130" t="b">
        <v>0</v>
      </c>
      <c r="E510" s="124" t="s">
        <v>94</v>
      </c>
      <c r="F510" s="125" t="s">
        <v>96</v>
      </c>
      <c r="G510" s="125" t="s">
        <v>99</v>
      </c>
      <c r="H510" s="123" t="s">
        <v>98</v>
      </c>
      <c r="I510" s="123" t="s">
        <v>92</v>
      </c>
      <c r="J510" s="123" t="s">
        <v>97</v>
      </c>
      <c r="K510" s="123" t="s">
        <v>100</v>
      </c>
      <c r="L510" s="132">
        <v>430</v>
      </c>
      <c r="M510" s="132">
        <v>0</v>
      </c>
      <c r="N510" s="132">
        <v>1.8297249419532947E+19</v>
      </c>
    </row>
    <row r="511" spans="4:14" ht="15" customHeight="1" x14ac:dyDescent="0.2">
      <c r="D511" s="130" t="b">
        <v>0</v>
      </c>
      <c r="E511" s="124" t="s">
        <v>94</v>
      </c>
      <c r="F511" s="125" t="s">
        <v>96</v>
      </c>
      <c r="G511" s="125" t="s">
        <v>99</v>
      </c>
      <c r="H511" s="123" t="s">
        <v>98</v>
      </c>
      <c r="I511" s="123" t="s">
        <v>92</v>
      </c>
      <c r="J511" s="123" t="s">
        <v>91</v>
      </c>
      <c r="K511" s="123" t="s">
        <v>100</v>
      </c>
      <c r="L511" s="132">
        <v>431</v>
      </c>
      <c r="M511" s="132">
        <v>0</v>
      </c>
      <c r="N511" s="132">
        <v>1.5311122877213542E+19</v>
      </c>
    </row>
    <row r="512" spans="4:14" ht="15" customHeight="1" x14ac:dyDescent="0.2">
      <c r="D512" s="130" t="b">
        <v>0</v>
      </c>
      <c r="E512" s="124" t="s">
        <v>91</v>
      </c>
      <c r="F512" s="125" t="s">
        <v>94</v>
      </c>
      <c r="G512" s="125">
        <v>2</v>
      </c>
      <c r="H512" s="123">
        <v>2</v>
      </c>
      <c r="I512" s="123" t="s">
        <v>95</v>
      </c>
      <c r="J512" s="123" t="s">
        <v>96</v>
      </c>
      <c r="K512" s="123" t="s">
        <v>93</v>
      </c>
      <c r="L512" s="132">
        <v>432</v>
      </c>
      <c r="M512" s="132">
        <v>0</v>
      </c>
      <c r="N512" s="132">
        <v>1.4262839269004351E+19</v>
      </c>
    </row>
    <row r="513" spans="4:14" ht="15" customHeight="1" x14ac:dyDescent="0.2">
      <c r="D513" s="130" t="b">
        <v>0</v>
      </c>
      <c r="E513" s="124" t="s">
        <v>91</v>
      </c>
      <c r="F513" s="125" t="s">
        <v>94</v>
      </c>
      <c r="G513" s="125">
        <v>2</v>
      </c>
      <c r="H513" s="123">
        <v>2</v>
      </c>
      <c r="I513" s="123" t="s">
        <v>95</v>
      </c>
      <c r="J513" s="123" t="s">
        <v>97</v>
      </c>
      <c r="K513" s="123" t="s">
        <v>93</v>
      </c>
      <c r="L513" s="132">
        <v>433</v>
      </c>
      <c r="M513" s="132">
        <v>0</v>
      </c>
      <c r="N513" s="132">
        <v>3.3739162897224044E+18</v>
      </c>
    </row>
    <row r="514" spans="4:14" ht="15" customHeight="1" x14ac:dyDescent="0.2">
      <c r="D514" s="130" t="b">
        <v>0</v>
      </c>
      <c r="E514" s="124" t="s">
        <v>91</v>
      </c>
      <c r="F514" s="125" t="s">
        <v>94</v>
      </c>
      <c r="G514" s="125">
        <v>2</v>
      </c>
      <c r="H514" s="123">
        <v>2</v>
      </c>
      <c r="I514" s="123" t="s">
        <v>95</v>
      </c>
      <c r="J514" s="123" t="s">
        <v>91</v>
      </c>
      <c r="K514" s="123" t="s">
        <v>93</v>
      </c>
      <c r="L514" s="132">
        <v>434</v>
      </c>
      <c r="M514" s="132">
        <v>0</v>
      </c>
      <c r="N514" s="132">
        <v>2.0828748237818145E+18</v>
      </c>
    </row>
    <row r="515" spans="4:14" ht="15" customHeight="1" x14ac:dyDescent="0.2">
      <c r="D515" s="130" t="b">
        <v>0</v>
      </c>
      <c r="E515" s="124" t="s">
        <v>91</v>
      </c>
      <c r="F515" s="125" t="s">
        <v>94</v>
      </c>
      <c r="G515" s="125">
        <v>2</v>
      </c>
      <c r="H515" s="123">
        <v>2</v>
      </c>
      <c r="I515" s="123" t="s">
        <v>97</v>
      </c>
      <c r="J515" s="123" t="s">
        <v>96</v>
      </c>
      <c r="K515" s="123" t="s">
        <v>93</v>
      </c>
      <c r="L515" s="132">
        <v>435</v>
      </c>
      <c r="M515" s="132">
        <v>0</v>
      </c>
      <c r="N515" s="132">
        <v>5.6862979445617193E+18</v>
      </c>
    </row>
    <row r="516" spans="4:14" ht="15" customHeight="1" x14ac:dyDescent="0.2">
      <c r="D516" s="130" t="b">
        <v>0</v>
      </c>
      <c r="E516" s="124" t="s">
        <v>91</v>
      </c>
      <c r="F516" s="125" t="s">
        <v>94</v>
      </c>
      <c r="G516" s="125">
        <v>2</v>
      </c>
      <c r="H516" s="123">
        <v>2</v>
      </c>
      <c r="I516" s="123" t="s">
        <v>97</v>
      </c>
      <c r="J516" s="123" t="s">
        <v>97</v>
      </c>
      <c r="K516" s="123" t="s">
        <v>93</v>
      </c>
      <c r="L516" s="132">
        <v>436</v>
      </c>
      <c r="M516" s="132">
        <v>0</v>
      </c>
      <c r="N516" s="132">
        <v>4.2879146048822743E+18</v>
      </c>
    </row>
    <row r="517" spans="4:14" ht="15" customHeight="1" x14ac:dyDescent="0.2">
      <c r="D517" s="130" t="b">
        <v>0</v>
      </c>
      <c r="E517" s="124" t="s">
        <v>91</v>
      </c>
      <c r="F517" s="125" t="s">
        <v>94</v>
      </c>
      <c r="G517" s="125">
        <v>2</v>
      </c>
      <c r="H517" s="123">
        <v>2</v>
      </c>
      <c r="I517" s="123" t="s">
        <v>97</v>
      </c>
      <c r="J517" s="123" t="s">
        <v>91</v>
      </c>
      <c r="K517" s="123" t="s">
        <v>93</v>
      </c>
      <c r="L517" s="132">
        <v>437</v>
      </c>
      <c r="M517" s="132">
        <v>0</v>
      </c>
      <c r="N517" s="132">
        <v>3.4973371995749683E+17</v>
      </c>
    </row>
    <row r="518" spans="4:14" ht="15" customHeight="1" x14ac:dyDescent="0.2">
      <c r="D518" s="130" t="b">
        <v>0</v>
      </c>
      <c r="E518" s="124" t="s">
        <v>91</v>
      </c>
      <c r="F518" s="125" t="s">
        <v>94</v>
      </c>
      <c r="G518" s="125">
        <v>2</v>
      </c>
      <c r="H518" s="123">
        <v>2</v>
      </c>
      <c r="I518" s="123" t="s">
        <v>92</v>
      </c>
      <c r="J518" s="123" t="s">
        <v>96</v>
      </c>
      <c r="K518" s="123" t="s">
        <v>93</v>
      </c>
      <c r="L518" s="132">
        <v>438</v>
      </c>
      <c r="M518" s="132">
        <v>0</v>
      </c>
      <c r="N518" s="132">
        <v>5.3770220677354982E+17</v>
      </c>
    </row>
    <row r="519" spans="4:14" ht="15" customHeight="1" x14ac:dyDescent="0.2">
      <c r="D519" s="130" t="b">
        <v>0</v>
      </c>
      <c r="E519" s="124" t="s">
        <v>91</v>
      </c>
      <c r="F519" s="125" t="s">
        <v>94</v>
      </c>
      <c r="G519" s="125">
        <v>2</v>
      </c>
      <c r="H519" s="123">
        <v>2</v>
      </c>
      <c r="I519" s="123" t="s">
        <v>92</v>
      </c>
      <c r="J519" s="123" t="s">
        <v>97</v>
      </c>
      <c r="K519" s="123" t="s">
        <v>93</v>
      </c>
      <c r="L519" s="132">
        <v>439</v>
      </c>
      <c r="M519" s="132">
        <v>0</v>
      </c>
      <c r="N519" s="132">
        <v>1.3424361662601239E+19</v>
      </c>
    </row>
    <row r="520" spans="4:14" ht="15" customHeight="1" x14ac:dyDescent="0.2">
      <c r="D520" s="130" t="b">
        <v>0</v>
      </c>
      <c r="E520" s="124" t="s">
        <v>91</v>
      </c>
      <c r="F520" s="125" t="s">
        <v>94</v>
      </c>
      <c r="G520" s="125">
        <v>2</v>
      </c>
      <c r="H520" s="123">
        <v>2</v>
      </c>
      <c r="I520" s="123" t="s">
        <v>92</v>
      </c>
      <c r="J520" s="123" t="s">
        <v>91</v>
      </c>
      <c r="K520" s="123" t="s">
        <v>93</v>
      </c>
      <c r="L520" s="132">
        <v>440</v>
      </c>
      <c r="M520" s="132">
        <v>0</v>
      </c>
      <c r="N520" s="132">
        <v>9.6203338885059789E+18</v>
      </c>
    </row>
    <row r="521" spans="4:14" ht="15" customHeight="1" x14ac:dyDescent="0.2">
      <c r="D521" s="130" t="b">
        <v>0</v>
      </c>
      <c r="E521" s="124" t="s">
        <v>91</v>
      </c>
      <c r="F521" s="125" t="s">
        <v>94</v>
      </c>
      <c r="G521" s="125">
        <v>2</v>
      </c>
      <c r="H521" s="123">
        <v>4</v>
      </c>
      <c r="I521" s="123" t="s">
        <v>95</v>
      </c>
      <c r="J521" s="123" t="s">
        <v>96</v>
      </c>
      <c r="K521" s="123" t="s">
        <v>93</v>
      </c>
      <c r="L521" s="132">
        <v>441</v>
      </c>
      <c r="M521" s="132">
        <v>0</v>
      </c>
      <c r="N521" s="132">
        <v>4.1701345291611315E+18</v>
      </c>
    </row>
    <row r="522" spans="4:14" ht="15" customHeight="1" x14ac:dyDescent="0.2">
      <c r="D522" s="130" t="b">
        <v>0</v>
      </c>
      <c r="E522" s="124" t="s">
        <v>91</v>
      </c>
      <c r="F522" s="125" t="s">
        <v>94</v>
      </c>
      <c r="G522" s="125">
        <v>2</v>
      </c>
      <c r="H522" s="123">
        <v>4</v>
      </c>
      <c r="I522" s="123" t="s">
        <v>95</v>
      </c>
      <c r="J522" s="123" t="s">
        <v>97</v>
      </c>
      <c r="K522" s="123" t="s">
        <v>93</v>
      </c>
      <c r="L522" s="132">
        <v>442</v>
      </c>
      <c r="M522" s="132">
        <v>0</v>
      </c>
      <c r="N522" s="132">
        <v>7.1118451087514061E+18</v>
      </c>
    </row>
    <row r="523" spans="4:14" ht="15" customHeight="1" x14ac:dyDescent="0.2">
      <c r="D523" s="130" t="b">
        <v>0</v>
      </c>
      <c r="E523" s="124" t="s">
        <v>91</v>
      </c>
      <c r="F523" s="125" t="s">
        <v>94</v>
      </c>
      <c r="G523" s="125">
        <v>2</v>
      </c>
      <c r="H523" s="123">
        <v>4</v>
      </c>
      <c r="I523" s="123" t="s">
        <v>95</v>
      </c>
      <c r="J523" s="123" t="s">
        <v>91</v>
      </c>
      <c r="K523" s="123" t="s">
        <v>93</v>
      </c>
      <c r="L523" s="132">
        <v>443</v>
      </c>
      <c r="M523" s="132">
        <v>0</v>
      </c>
      <c r="N523" s="132">
        <v>1.4980955569152129E+19</v>
      </c>
    </row>
    <row r="524" spans="4:14" ht="15" customHeight="1" x14ac:dyDescent="0.2">
      <c r="D524" s="130" t="b">
        <v>0</v>
      </c>
      <c r="E524" s="124" t="s">
        <v>91</v>
      </c>
      <c r="F524" s="125" t="s">
        <v>94</v>
      </c>
      <c r="G524" s="125">
        <v>2</v>
      </c>
      <c r="H524" s="123">
        <v>4</v>
      </c>
      <c r="I524" s="123" t="s">
        <v>97</v>
      </c>
      <c r="J524" s="123" t="s">
        <v>96</v>
      </c>
      <c r="K524" s="123" t="s">
        <v>93</v>
      </c>
      <c r="L524" s="132">
        <v>444</v>
      </c>
      <c r="M524" s="132">
        <v>0</v>
      </c>
      <c r="N524" s="132">
        <v>3.6350871676720517E+18</v>
      </c>
    </row>
    <row r="525" spans="4:14" ht="15" customHeight="1" x14ac:dyDescent="0.2">
      <c r="D525" s="130" t="b">
        <v>0</v>
      </c>
      <c r="E525" s="124" t="s">
        <v>91</v>
      </c>
      <c r="F525" s="125" t="s">
        <v>94</v>
      </c>
      <c r="G525" s="125">
        <v>2</v>
      </c>
      <c r="H525" s="123">
        <v>4</v>
      </c>
      <c r="I525" s="123" t="s">
        <v>97</v>
      </c>
      <c r="J525" s="123" t="s">
        <v>97</v>
      </c>
      <c r="K525" s="123" t="s">
        <v>93</v>
      </c>
      <c r="L525" s="132">
        <v>445</v>
      </c>
      <c r="M525" s="132">
        <v>0</v>
      </c>
      <c r="N525" s="132">
        <v>1.339895765188334E+19</v>
      </c>
    </row>
    <row r="526" spans="4:14" ht="15" customHeight="1" x14ac:dyDescent="0.2">
      <c r="D526" s="130" t="b">
        <v>0</v>
      </c>
      <c r="E526" s="124" t="s">
        <v>91</v>
      </c>
      <c r="F526" s="125" t="s">
        <v>94</v>
      </c>
      <c r="G526" s="125">
        <v>2</v>
      </c>
      <c r="H526" s="123">
        <v>4</v>
      </c>
      <c r="I526" s="123" t="s">
        <v>97</v>
      </c>
      <c r="J526" s="123" t="s">
        <v>91</v>
      </c>
      <c r="K526" s="123" t="s">
        <v>93</v>
      </c>
      <c r="L526" s="132">
        <v>446</v>
      </c>
      <c r="M526" s="132">
        <v>0</v>
      </c>
      <c r="N526" s="132">
        <v>1.7432756381392296E+19</v>
      </c>
    </row>
    <row r="527" spans="4:14" ht="15" customHeight="1" x14ac:dyDescent="0.2">
      <c r="D527" s="130" t="b">
        <v>0</v>
      </c>
      <c r="E527" s="124" t="s">
        <v>91</v>
      </c>
      <c r="F527" s="125" t="s">
        <v>94</v>
      </c>
      <c r="G527" s="125">
        <v>2</v>
      </c>
      <c r="H527" s="123">
        <v>4</v>
      </c>
      <c r="I527" s="123" t="s">
        <v>92</v>
      </c>
      <c r="J527" s="123" t="s">
        <v>96</v>
      </c>
      <c r="K527" s="123" t="s">
        <v>93</v>
      </c>
      <c r="L527" s="132">
        <v>447</v>
      </c>
      <c r="M527" s="132">
        <v>0</v>
      </c>
      <c r="N527" s="132">
        <v>5.6212879133425142E+18</v>
      </c>
    </row>
    <row r="528" spans="4:14" ht="15" customHeight="1" x14ac:dyDescent="0.2">
      <c r="D528" s="130" t="b">
        <v>0</v>
      </c>
      <c r="E528" s="124" t="s">
        <v>91</v>
      </c>
      <c r="F528" s="125" t="s">
        <v>94</v>
      </c>
      <c r="G528" s="125">
        <v>2</v>
      </c>
      <c r="H528" s="123">
        <v>4</v>
      </c>
      <c r="I528" s="123" t="s">
        <v>92</v>
      </c>
      <c r="J528" s="123" t="s">
        <v>97</v>
      </c>
      <c r="K528" s="123" t="s">
        <v>93</v>
      </c>
      <c r="L528" s="132">
        <v>448</v>
      </c>
      <c r="M528" s="132">
        <v>0</v>
      </c>
      <c r="N528" s="132">
        <v>1.4328945918387558E+19</v>
      </c>
    </row>
    <row r="529" spans="4:14" ht="15" customHeight="1" x14ac:dyDescent="0.2">
      <c r="D529" s="130" t="b">
        <v>0</v>
      </c>
      <c r="E529" s="124" t="s">
        <v>91</v>
      </c>
      <c r="F529" s="125" t="s">
        <v>94</v>
      </c>
      <c r="G529" s="125">
        <v>2</v>
      </c>
      <c r="H529" s="123">
        <v>4</v>
      </c>
      <c r="I529" s="123" t="s">
        <v>92</v>
      </c>
      <c r="J529" s="123" t="s">
        <v>91</v>
      </c>
      <c r="K529" s="123" t="s">
        <v>93</v>
      </c>
      <c r="L529" s="132">
        <v>449</v>
      </c>
      <c r="M529" s="132">
        <v>0</v>
      </c>
      <c r="N529" s="132">
        <v>2.074305953743391E+18</v>
      </c>
    </row>
    <row r="530" spans="4:14" ht="15" customHeight="1" x14ac:dyDescent="0.2">
      <c r="D530" s="130" t="b">
        <v>0</v>
      </c>
      <c r="E530" s="124" t="s">
        <v>91</v>
      </c>
      <c r="F530" s="125" t="s">
        <v>94</v>
      </c>
      <c r="G530" s="125">
        <v>2</v>
      </c>
      <c r="H530" s="123" t="s">
        <v>98</v>
      </c>
      <c r="I530" s="123" t="s">
        <v>95</v>
      </c>
      <c r="J530" s="123" t="s">
        <v>96</v>
      </c>
      <c r="K530" s="123" t="s">
        <v>93</v>
      </c>
      <c r="L530" s="132">
        <v>450</v>
      </c>
      <c r="M530" s="132">
        <v>0</v>
      </c>
      <c r="N530" s="132">
        <v>1.48675521066263E+19</v>
      </c>
    </row>
    <row r="531" spans="4:14" ht="15" customHeight="1" x14ac:dyDescent="0.2">
      <c r="D531" s="130" t="b">
        <v>0</v>
      </c>
      <c r="E531" s="124" t="s">
        <v>91</v>
      </c>
      <c r="F531" s="125" t="s">
        <v>94</v>
      </c>
      <c r="G531" s="125">
        <v>2</v>
      </c>
      <c r="H531" s="123" t="s">
        <v>98</v>
      </c>
      <c r="I531" s="123" t="s">
        <v>95</v>
      </c>
      <c r="J531" s="123" t="s">
        <v>97</v>
      </c>
      <c r="K531" s="123" t="s">
        <v>93</v>
      </c>
      <c r="L531" s="132">
        <v>451</v>
      </c>
      <c r="M531" s="132">
        <v>0</v>
      </c>
      <c r="N531" s="132">
        <v>3.4365589717398067E+17</v>
      </c>
    </row>
    <row r="532" spans="4:14" ht="15" customHeight="1" x14ac:dyDescent="0.2">
      <c r="D532" s="130" t="b">
        <v>0</v>
      </c>
      <c r="E532" s="124" t="s">
        <v>91</v>
      </c>
      <c r="F532" s="125" t="s">
        <v>94</v>
      </c>
      <c r="G532" s="125">
        <v>2</v>
      </c>
      <c r="H532" s="123" t="s">
        <v>98</v>
      </c>
      <c r="I532" s="123" t="s">
        <v>95</v>
      </c>
      <c r="J532" s="123" t="s">
        <v>91</v>
      </c>
      <c r="K532" s="123" t="s">
        <v>93</v>
      </c>
      <c r="L532" s="132">
        <v>452</v>
      </c>
      <c r="M532" s="132">
        <v>0</v>
      </c>
      <c r="N532" s="132">
        <v>1.1980531207923966E+19</v>
      </c>
    </row>
    <row r="533" spans="4:14" ht="15" customHeight="1" x14ac:dyDescent="0.2">
      <c r="D533" s="130" t="b">
        <v>0</v>
      </c>
      <c r="E533" s="124" t="s">
        <v>91</v>
      </c>
      <c r="F533" s="125" t="s">
        <v>94</v>
      </c>
      <c r="G533" s="125">
        <v>2</v>
      </c>
      <c r="H533" s="123" t="s">
        <v>98</v>
      </c>
      <c r="I533" s="123" t="s">
        <v>97</v>
      </c>
      <c r="J533" s="123" t="s">
        <v>96</v>
      </c>
      <c r="K533" s="123" t="s">
        <v>93</v>
      </c>
      <c r="L533" s="132">
        <v>453</v>
      </c>
      <c r="M533" s="132">
        <v>0</v>
      </c>
      <c r="N533" s="132">
        <v>1.6114080679808283E+19</v>
      </c>
    </row>
    <row r="534" spans="4:14" ht="15" customHeight="1" x14ac:dyDescent="0.2">
      <c r="D534" s="130" t="b">
        <v>0</v>
      </c>
      <c r="E534" s="124" t="s">
        <v>91</v>
      </c>
      <c r="F534" s="125" t="s">
        <v>94</v>
      </c>
      <c r="G534" s="125">
        <v>2</v>
      </c>
      <c r="H534" s="123" t="s">
        <v>98</v>
      </c>
      <c r="I534" s="123" t="s">
        <v>97</v>
      </c>
      <c r="J534" s="123" t="s">
        <v>97</v>
      </c>
      <c r="K534" s="123" t="s">
        <v>93</v>
      </c>
      <c r="L534" s="132">
        <v>454</v>
      </c>
      <c r="M534" s="132">
        <v>0</v>
      </c>
      <c r="N534" s="132">
        <v>6.9698146519097664E+17</v>
      </c>
    </row>
    <row r="535" spans="4:14" ht="15" customHeight="1" x14ac:dyDescent="0.2">
      <c r="D535" s="130" t="b">
        <v>0</v>
      </c>
      <c r="E535" s="124" t="s">
        <v>91</v>
      </c>
      <c r="F535" s="125" t="s">
        <v>94</v>
      </c>
      <c r="G535" s="125">
        <v>2</v>
      </c>
      <c r="H535" s="123" t="s">
        <v>98</v>
      </c>
      <c r="I535" s="123" t="s">
        <v>97</v>
      </c>
      <c r="J535" s="123" t="s">
        <v>91</v>
      </c>
      <c r="K535" s="123" t="s">
        <v>93</v>
      </c>
      <c r="L535" s="132">
        <v>455</v>
      </c>
      <c r="M535" s="132">
        <v>0</v>
      </c>
      <c r="N535" s="132">
        <v>7.8757425311688008E+18</v>
      </c>
    </row>
    <row r="536" spans="4:14" ht="15" customHeight="1" x14ac:dyDescent="0.2">
      <c r="D536" s="130" t="b">
        <v>0</v>
      </c>
      <c r="E536" s="124" t="s">
        <v>91</v>
      </c>
      <c r="F536" s="125" t="s">
        <v>94</v>
      </c>
      <c r="G536" s="125">
        <v>2</v>
      </c>
      <c r="H536" s="123" t="s">
        <v>98</v>
      </c>
      <c r="I536" s="123" t="s">
        <v>92</v>
      </c>
      <c r="J536" s="123" t="s">
        <v>96</v>
      </c>
      <c r="K536" s="123" t="s">
        <v>93</v>
      </c>
      <c r="L536" s="132">
        <v>456</v>
      </c>
      <c r="M536" s="132">
        <v>0</v>
      </c>
      <c r="N536" s="132">
        <v>1.4994449913318361E+19</v>
      </c>
    </row>
    <row r="537" spans="4:14" ht="15" customHeight="1" x14ac:dyDescent="0.2">
      <c r="D537" s="130" t="b">
        <v>0</v>
      </c>
      <c r="E537" s="124" t="s">
        <v>91</v>
      </c>
      <c r="F537" s="125" t="s">
        <v>94</v>
      </c>
      <c r="G537" s="125">
        <v>2</v>
      </c>
      <c r="H537" s="123" t="s">
        <v>98</v>
      </c>
      <c r="I537" s="123" t="s">
        <v>92</v>
      </c>
      <c r="J537" s="123" t="s">
        <v>97</v>
      </c>
      <c r="K537" s="123" t="s">
        <v>93</v>
      </c>
      <c r="L537" s="132">
        <v>457</v>
      </c>
      <c r="M537" s="132">
        <v>0</v>
      </c>
      <c r="N537" s="132">
        <v>7.5705923893146706E+18</v>
      </c>
    </row>
    <row r="538" spans="4:14" ht="15" customHeight="1" x14ac:dyDescent="0.2">
      <c r="D538" s="130" t="b">
        <v>0</v>
      </c>
      <c r="E538" s="124" t="s">
        <v>91</v>
      </c>
      <c r="F538" s="125" t="s">
        <v>94</v>
      </c>
      <c r="G538" s="125">
        <v>2</v>
      </c>
      <c r="H538" s="123" t="s">
        <v>98</v>
      </c>
      <c r="I538" s="123" t="s">
        <v>92</v>
      </c>
      <c r="J538" s="123" t="s">
        <v>91</v>
      </c>
      <c r="K538" s="123" t="s">
        <v>93</v>
      </c>
      <c r="L538" s="132">
        <v>458</v>
      </c>
      <c r="M538" s="132">
        <v>0</v>
      </c>
      <c r="N538" s="132">
        <v>1.3092937238704335E+19</v>
      </c>
    </row>
    <row r="539" spans="4:14" ht="15" customHeight="1" x14ac:dyDescent="0.2">
      <c r="D539" s="130" t="b">
        <v>0</v>
      </c>
      <c r="E539" s="124" t="s">
        <v>91</v>
      </c>
      <c r="F539" s="125" t="s">
        <v>94</v>
      </c>
      <c r="G539" s="125">
        <v>3</v>
      </c>
      <c r="H539" s="123">
        <v>2</v>
      </c>
      <c r="I539" s="123" t="s">
        <v>95</v>
      </c>
      <c r="J539" s="123" t="s">
        <v>96</v>
      </c>
      <c r="K539" s="123" t="s">
        <v>93</v>
      </c>
      <c r="L539" s="132">
        <v>459</v>
      </c>
      <c r="M539" s="132">
        <v>0</v>
      </c>
      <c r="N539" s="132">
        <v>1.126801298674903E+19</v>
      </c>
    </row>
    <row r="540" spans="4:14" ht="15" customHeight="1" x14ac:dyDescent="0.2">
      <c r="D540" s="130" t="b">
        <v>0</v>
      </c>
      <c r="E540" s="124" t="s">
        <v>91</v>
      </c>
      <c r="F540" s="125" t="s">
        <v>94</v>
      </c>
      <c r="G540" s="125">
        <v>3</v>
      </c>
      <c r="H540" s="123">
        <v>2</v>
      </c>
      <c r="I540" s="123" t="s">
        <v>95</v>
      </c>
      <c r="J540" s="123" t="s">
        <v>97</v>
      </c>
      <c r="K540" s="123" t="s">
        <v>93</v>
      </c>
      <c r="L540" s="132">
        <v>460</v>
      </c>
      <c r="M540" s="132">
        <v>0</v>
      </c>
      <c r="N540" s="132">
        <v>5.7511501012004045E+18</v>
      </c>
    </row>
    <row r="541" spans="4:14" ht="15" customHeight="1" x14ac:dyDescent="0.2">
      <c r="D541" s="130" t="b">
        <v>0</v>
      </c>
      <c r="E541" s="124" t="s">
        <v>91</v>
      </c>
      <c r="F541" s="125" t="s">
        <v>94</v>
      </c>
      <c r="G541" s="125">
        <v>3</v>
      </c>
      <c r="H541" s="123">
        <v>2</v>
      </c>
      <c r="I541" s="123" t="s">
        <v>95</v>
      </c>
      <c r="J541" s="123" t="s">
        <v>91</v>
      </c>
      <c r="K541" s="123" t="s">
        <v>93</v>
      </c>
      <c r="L541" s="132">
        <v>461</v>
      </c>
      <c r="M541" s="132">
        <v>0</v>
      </c>
      <c r="N541" s="132">
        <v>1.4479107924931039E+19</v>
      </c>
    </row>
    <row r="542" spans="4:14" ht="15" customHeight="1" x14ac:dyDescent="0.2">
      <c r="D542" s="130" t="b">
        <v>0</v>
      </c>
      <c r="E542" s="124" t="s">
        <v>91</v>
      </c>
      <c r="F542" s="125" t="s">
        <v>94</v>
      </c>
      <c r="G542" s="125">
        <v>3</v>
      </c>
      <c r="H542" s="123">
        <v>2</v>
      </c>
      <c r="I542" s="123" t="s">
        <v>97</v>
      </c>
      <c r="J542" s="123" t="s">
        <v>96</v>
      </c>
      <c r="K542" s="123" t="s">
        <v>93</v>
      </c>
      <c r="L542" s="132">
        <v>462</v>
      </c>
      <c r="M542" s="132">
        <v>0</v>
      </c>
      <c r="N542" s="132">
        <v>4.4458294344005274E+18</v>
      </c>
    </row>
    <row r="543" spans="4:14" ht="15" customHeight="1" x14ac:dyDescent="0.2">
      <c r="D543" s="130" t="b">
        <v>0</v>
      </c>
      <c r="E543" s="124" t="s">
        <v>91</v>
      </c>
      <c r="F543" s="125" t="s">
        <v>94</v>
      </c>
      <c r="G543" s="125">
        <v>3</v>
      </c>
      <c r="H543" s="123">
        <v>2</v>
      </c>
      <c r="I543" s="123" t="s">
        <v>97</v>
      </c>
      <c r="J543" s="123" t="s">
        <v>97</v>
      </c>
      <c r="K543" s="123" t="s">
        <v>93</v>
      </c>
      <c r="L543" s="132">
        <v>463</v>
      </c>
      <c r="M543" s="132">
        <v>0</v>
      </c>
      <c r="N543" s="132">
        <v>3.661387414121111E+18</v>
      </c>
    </row>
    <row r="544" spans="4:14" ht="15" customHeight="1" x14ac:dyDescent="0.2">
      <c r="D544" s="130" t="b">
        <v>0</v>
      </c>
      <c r="E544" s="124" t="s">
        <v>91</v>
      </c>
      <c r="F544" s="125" t="s">
        <v>94</v>
      </c>
      <c r="G544" s="125">
        <v>3</v>
      </c>
      <c r="H544" s="123">
        <v>2</v>
      </c>
      <c r="I544" s="123" t="s">
        <v>97</v>
      </c>
      <c r="J544" s="123" t="s">
        <v>91</v>
      </c>
      <c r="K544" s="123" t="s">
        <v>93</v>
      </c>
      <c r="L544" s="132">
        <v>464</v>
      </c>
      <c r="M544" s="132">
        <v>0</v>
      </c>
      <c r="N544" s="132">
        <v>1.7330123798911949E+19</v>
      </c>
    </row>
    <row r="545" spans="4:14" ht="15" customHeight="1" x14ac:dyDescent="0.2">
      <c r="D545" s="130" t="b">
        <v>0</v>
      </c>
      <c r="E545" s="124" t="s">
        <v>91</v>
      </c>
      <c r="F545" s="125" t="s">
        <v>94</v>
      </c>
      <c r="G545" s="125">
        <v>3</v>
      </c>
      <c r="H545" s="123">
        <v>2</v>
      </c>
      <c r="I545" s="123" t="s">
        <v>92</v>
      </c>
      <c r="J545" s="123" t="s">
        <v>96</v>
      </c>
      <c r="K545" s="123" t="s">
        <v>93</v>
      </c>
      <c r="L545" s="132">
        <v>465</v>
      </c>
      <c r="M545" s="132">
        <v>0</v>
      </c>
      <c r="N545" s="132">
        <v>7.7816867964140073E+18</v>
      </c>
    </row>
    <row r="546" spans="4:14" ht="15" customHeight="1" x14ac:dyDescent="0.2">
      <c r="D546" s="130" t="b">
        <v>0</v>
      </c>
      <c r="E546" s="124" t="s">
        <v>91</v>
      </c>
      <c r="F546" s="125" t="s">
        <v>94</v>
      </c>
      <c r="G546" s="125">
        <v>3</v>
      </c>
      <c r="H546" s="123">
        <v>2</v>
      </c>
      <c r="I546" s="123" t="s">
        <v>92</v>
      </c>
      <c r="J546" s="123" t="s">
        <v>97</v>
      </c>
      <c r="K546" s="123" t="s">
        <v>93</v>
      </c>
      <c r="L546" s="132">
        <v>466</v>
      </c>
      <c r="M546" s="132">
        <v>0</v>
      </c>
      <c r="N546" s="132">
        <v>2.8990727294854303E+18</v>
      </c>
    </row>
    <row r="547" spans="4:14" ht="15" customHeight="1" x14ac:dyDescent="0.2">
      <c r="D547" s="130" t="b">
        <v>0</v>
      </c>
      <c r="E547" s="124" t="s">
        <v>91</v>
      </c>
      <c r="F547" s="125" t="s">
        <v>94</v>
      </c>
      <c r="G547" s="125">
        <v>3</v>
      </c>
      <c r="H547" s="123">
        <v>2</v>
      </c>
      <c r="I547" s="123" t="s">
        <v>92</v>
      </c>
      <c r="J547" s="123" t="s">
        <v>91</v>
      </c>
      <c r="K547" s="123" t="s">
        <v>93</v>
      </c>
      <c r="L547" s="132">
        <v>467</v>
      </c>
      <c r="M547" s="132">
        <v>0</v>
      </c>
      <c r="N547" s="132">
        <v>9.4757271713173955E+18</v>
      </c>
    </row>
    <row r="548" spans="4:14" ht="15" customHeight="1" x14ac:dyDescent="0.2">
      <c r="D548" s="130" t="b">
        <v>0</v>
      </c>
      <c r="E548" s="124" t="s">
        <v>91</v>
      </c>
      <c r="F548" s="125" t="s">
        <v>94</v>
      </c>
      <c r="G548" s="125">
        <v>3</v>
      </c>
      <c r="H548" s="123">
        <v>4</v>
      </c>
      <c r="I548" s="123" t="s">
        <v>95</v>
      </c>
      <c r="J548" s="123" t="s">
        <v>96</v>
      </c>
      <c r="K548" s="123" t="s">
        <v>93</v>
      </c>
      <c r="L548" s="132">
        <v>468</v>
      </c>
      <c r="M548" s="132">
        <v>0</v>
      </c>
      <c r="N548" s="132">
        <v>1.3920983035599315E+19</v>
      </c>
    </row>
    <row r="549" spans="4:14" ht="15" customHeight="1" x14ac:dyDescent="0.2">
      <c r="D549" s="130" t="b">
        <v>0</v>
      </c>
      <c r="E549" s="124" t="s">
        <v>91</v>
      </c>
      <c r="F549" s="125" t="s">
        <v>94</v>
      </c>
      <c r="G549" s="125">
        <v>3</v>
      </c>
      <c r="H549" s="123">
        <v>4</v>
      </c>
      <c r="I549" s="123" t="s">
        <v>95</v>
      </c>
      <c r="J549" s="123" t="s">
        <v>97</v>
      </c>
      <c r="K549" s="123" t="s">
        <v>93</v>
      </c>
      <c r="L549" s="132">
        <v>469</v>
      </c>
      <c r="M549" s="132">
        <v>0</v>
      </c>
      <c r="N549" s="132">
        <v>4.9586097651519683E+18</v>
      </c>
    </row>
    <row r="550" spans="4:14" ht="15" customHeight="1" x14ac:dyDescent="0.2">
      <c r="D550" s="130" t="b">
        <v>0</v>
      </c>
      <c r="E550" s="124" t="s">
        <v>91</v>
      </c>
      <c r="F550" s="125" t="s">
        <v>94</v>
      </c>
      <c r="G550" s="125">
        <v>3</v>
      </c>
      <c r="H550" s="123">
        <v>4</v>
      </c>
      <c r="I550" s="123" t="s">
        <v>95</v>
      </c>
      <c r="J550" s="123" t="s">
        <v>91</v>
      </c>
      <c r="K550" s="123" t="s">
        <v>93</v>
      </c>
      <c r="L550" s="132">
        <v>470</v>
      </c>
      <c r="M550" s="132">
        <v>0</v>
      </c>
      <c r="N550" s="132">
        <v>9.5160088404997693E+18</v>
      </c>
    </row>
    <row r="551" spans="4:14" ht="15" customHeight="1" x14ac:dyDescent="0.2">
      <c r="D551" s="130" t="b">
        <v>0</v>
      </c>
      <c r="E551" s="124" t="s">
        <v>91</v>
      </c>
      <c r="F551" s="125" t="s">
        <v>94</v>
      </c>
      <c r="G551" s="125">
        <v>3</v>
      </c>
      <c r="H551" s="123">
        <v>4</v>
      </c>
      <c r="I551" s="123" t="s">
        <v>97</v>
      </c>
      <c r="J551" s="123" t="s">
        <v>96</v>
      </c>
      <c r="K551" s="123" t="s">
        <v>93</v>
      </c>
      <c r="L551" s="132">
        <v>471</v>
      </c>
      <c r="M551" s="132">
        <v>0</v>
      </c>
      <c r="N551" s="132">
        <v>9.9642636937926308E+18</v>
      </c>
    </row>
    <row r="552" spans="4:14" ht="15" customHeight="1" x14ac:dyDescent="0.2">
      <c r="D552" s="130" t="b">
        <v>0</v>
      </c>
      <c r="E552" s="124" t="s">
        <v>91</v>
      </c>
      <c r="F552" s="125" t="s">
        <v>94</v>
      </c>
      <c r="G552" s="125">
        <v>3</v>
      </c>
      <c r="H552" s="123">
        <v>4</v>
      </c>
      <c r="I552" s="123" t="s">
        <v>97</v>
      </c>
      <c r="J552" s="123" t="s">
        <v>97</v>
      </c>
      <c r="K552" s="123" t="s">
        <v>93</v>
      </c>
      <c r="L552" s="132">
        <v>472</v>
      </c>
      <c r="M552" s="132">
        <v>0</v>
      </c>
      <c r="N552" s="132">
        <v>7.2298040881189171E+18</v>
      </c>
    </row>
    <row r="553" spans="4:14" ht="15" customHeight="1" x14ac:dyDescent="0.2">
      <c r="D553" s="130" t="b">
        <v>0</v>
      </c>
      <c r="E553" s="124" t="s">
        <v>91</v>
      </c>
      <c r="F553" s="125" t="s">
        <v>94</v>
      </c>
      <c r="G553" s="125">
        <v>3</v>
      </c>
      <c r="H553" s="123">
        <v>4</v>
      </c>
      <c r="I553" s="123" t="s">
        <v>97</v>
      </c>
      <c r="J553" s="123" t="s">
        <v>91</v>
      </c>
      <c r="K553" s="123" t="s">
        <v>93</v>
      </c>
      <c r="L553" s="132">
        <v>473</v>
      </c>
      <c r="M553" s="132">
        <v>0</v>
      </c>
      <c r="N553" s="132">
        <v>3.3489148631472937E+18</v>
      </c>
    </row>
    <row r="554" spans="4:14" ht="15" customHeight="1" x14ac:dyDescent="0.2">
      <c r="D554" s="130" t="b">
        <v>0</v>
      </c>
      <c r="E554" s="124" t="s">
        <v>91</v>
      </c>
      <c r="F554" s="125" t="s">
        <v>94</v>
      </c>
      <c r="G554" s="125">
        <v>3</v>
      </c>
      <c r="H554" s="123">
        <v>4</v>
      </c>
      <c r="I554" s="123" t="s">
        <v>92</v>
      </c>
      <c r="J554" s="123" t="s">
        <v>96</v>
      </c>
      <c r="K554" s="123" t="s">
        <v>93</v>
      </c>
      <c r="L554" s="132">
        <v>474</v>
      </c>
      <c r="M554" s="132">
        <v>0</v>
      </c>
      <c r="N554" s="132">
        <v>7.6449202706417367E+18</v>
      </c>
    </row>
    <row r="555" spans="4:14" ht="15" customHeight="1" x14ac:dyDescent="0.2">
      <c r="D555" s="130" t="b">
        <v>0</v>
      </c>
      <c r="E555" s="124" t="s">
        <v>91</v>
      </c>
      <c r="F555" s="125" t="s">
        <v>94</v>
      </c>
      <c r="G555" s="125">
        <v>3</v>
      </c>
      <c r="H555" s="123">
        <v>4</v>
      </c>
      <c r="I555" s="123" t="s">
        <v>92</v>
      </c>
      <c r="J555" s="123" t="s">
        <v>97</v>
      </c>
      <c r="K555" s="123" t="s">
        <v>93</v>
      </c>
      <c r="L555" s="132">
        <v>475</v>
      </c>
      <c r="M555" s="132">
        <v>0</v>
      </c>
      <c r="N555" s="132">
        <v>1.831801547233005E+19</v>
      </c>
    </row>
    <row r="556" spans="4:14" ht="15" customHeight="1" x14ac:dyDescent="0.2">
      <c r="D556" s="130" t="b">
        <v>0</v>
      </c>
      <c r="E556" s="124" t="s">
        <v>91</v>
      </c>
      <c r="F556" s="125" t="s">
        <v>94</v>
      </c>
      <c r="G556" s="125">
        <v>3</v>
      </c>
      <c r="H556" s="123">
        <v>4</v>
      </c>
      <c r="I556" s="123" t="s">
        <v>92</v>
      </c>
      <c r="J556" s="123" t="s">
        <v>91</v>
      </c>
      <c r="K556" s="123" t="s">
        <v>93</v>
      </c>
      <c r="L556" s="132">
        <v>476</v>
      </c>
      <c r="M556" s="132">
        <v>0</v>
      </c>
      <c r="N556" s="132">
        <v>3.8370214548538573E+18</v>
      </c>
    </row>
    <row r="557" spans="4:14" ht="15" customHeight="1" x14ac:dyDescent="0.2">
      <c r="D557" s="130" t="b">
        <v>0</v>
      </c>
      <c r="E557" s="124" t="s">
        <v>91</v>
      </c>
      <c r="F557" s="125" t="s">
        <v>94</v>
      </c>
      <c r="G557" s="125">
        <v>3</v>
      </c>
      <c r="H557" s="123" t="s">
        <v>98</v>
      </c>
      <c r="I557" s="123" t="s">
        <v>95</v>
      </c>
      <c r="J557" s="123" t="s">
        <v>96</v>
      </c>
      <c r="K557" s="123" t="s">
        <v>93</v>
      </c>
      <c r="L557" s="132">
        <v>477</v>
      </c>
      <c r="M557" s="132">
        <v>0</v>
      </c>
      <c r="N557" s="132">
        <v>1.4448211906242159E+19</v>
      </c>
    </row>
    <row r="558" spans="4:14" ht="15" customHeight="1" x14ac:dyDescent="0.2">
      <c r="D558" s="130" t="b">
        <v>0</v>
      </c>
      <c r="E558" s="124" t="s">
        <v>91</v>
      </c>
      <c r="F558" s="125" t="s">
        <v>94</v>
      </c>
      <c r="G558" s="125">
        <v>3</v>
      </c>
      <c r="H558" s="123" t="s">
        <v>98</v>
      </c>
      <c r="I558" s="123" t="s">
        <v>95</v>
      </c>
      <c r="J558" s="123" t="s">
        <v>97</v>
      </c>
      <c r="K558" s="123" t="s">
        <v>93</v>
      </c>
      <c r="L558" s="132">
        <v>478</v>
      </c>
      <c r="M558" s="132">
        <v>0</v>
      </c>
      <c r="N558" s="132">
        <v>1.1788227117049311E+19</v>
      </c>
    </row>
    <row r="559" spans="4:14" ht="15" customHeight="1" x14ac:dyDescent="0.2">
      <c r="D559" s="130" t="b">
        <v>0</v>
      </c>
      <c r="E559" s="124" t="s">
        <v>91</v>
      </c>
      <c r="F559" s="125" t="s">
        <v>94</v>
      </c>
      <c r="G559" s="125">
        <v>3</v>
      </c>
      <c r="H559" s="123" t="s">
        <v>98</v>
      </c>
      <c r="I559" s="123" t="s">
        <v>95</v>
      </c>
      <c r="J559" s="123" t="s">
        <v>91</v>
      </c>
      <c r="K559" s="123" t="s">
        <v>93</v>
      </c>
      <c r="L559" s="132">
        <v>479</v>
      </c>
      <c r="M559" s="132">
        <v>0</v>
      </c>
      <c r="N559" s="132">
        <v>2.9005250668281129E+18</v>
      </c>
    </row>
    <row r="560" spans="4:14" ht="15" customHeight="1" x14ac:dyDescent="0.2">
      <c r="D560" s="130" t="b">
        <v>0</v>
      </c>
      <c r="E560" s="124" t="s">
        <v>91</v>
      </c>
      <c r="F560" s="125" t="s">
        <v>94</v>
      </c>
      <c r="G560" s="125">
        <v>3</v>
      </c>
      <c r="H560" s="123" t="s">
        <v>98</v>
      </c>
      <c r="I560" s="123" t="s">
        <v>97</v>
      </c>
      <c r="J560" s="123" t="s">
        <v>96</v>
      </c>
      <c r="K560" s="123" t="s">
        <v>93</v>
      </c>
      <c r="L560" s="132">
        <v>480</v>
      </c>
      <c r="M560" s="132">
        <v>0</v>
      </c>
      <c r="N560" s="132">
        <v>4.1466890516582185E+18</v>
      </c>
    </row>
    <row r="561" spans="4:14" ht="15" customHeight="1" x14ac:dyDescent="0.2">
      <c r="D561" s="130" t="b">
        <v>0</v>
      </c>
      <c r="E561" s="124" t="s">
        <v>91</v>
      </c>
      <c r="F561" s="125" t="s">
        <v>94</v>
      </c>
      <c r="G561" s="125">
        <v>3</v>
      </c>
      <c r="H561" s="123" t="s">
        <v>98</v>
      </c>
      <c r="I561" s="123" t="s">
        <v>97</v>
      </c>
      <c r="J561" s="123" t="s">
        <v>97</v>
      </c>
      <c r="K561" s="123" t="s">
        <v>93</v>
      </c>
      <c r="L561" s="132">
        <v>481</v>
      </c>
      <c r="M561" s="132">
        <v>0</v>
      </c>
      <c r="N561" s="132">
        <v>1.9115488240889976E+18</v>
      </c>
    </row>
    <row r="562" spans="4:14" ht="15" customHeight="1" x14ac:dyDescent="0.2">
      <c r="D562" s="130" t="b">
        <v>0</v>
      </c>
      <c r="E562" s="124" t="s">
        <v>91</v>
      </c>
      <c r="F562" s="125" t="s">
        <v>94</v>
      </c>
      <c r="G562" s="125">
        <v>3</v>
      </c>
      <c r="H562" s="123" t="s">
        <v>98</v>
      </c>
      <c r="I562" s="123" t="s">
        <v>97</v>
      </c>
      <c r="J562" s="123" t="s">
        <v>91</v>
      </c>
      <c r="K562" s="123" t="s">
        <v>93</v>
      </c>
      <c r="L562" s="132">
        <v>482</v>
      </c>
      <c r="M562" s="132">
        <v>0</v>
      </c>
      <c r="N562" s="132">
        <v>7.4231601641087355E+18</v>
      </c>
    </row>
    <row r="563" spans="4:14" ht="15" customHeight="1" x14ac:dyDescent="0.2">
      <c r="D563" s="130" t="b">
        <v>0</v>
      </c>
      <c r="E563" s="124" t="s">
        <v>91</v>
      </c>
      <c r="F563" s="125" t="s">
        <v>94</v>
      </c>
      <c r="G563" s="125">
        <v>3</v>
      </c>
      <c r="H563" s="123" t="s">
        <v>98</v>
      </c>
      <c r="I563" s="123" t="s">
        <v>92</v>
      </c>
      <c r="J563" s="123" t="s">
        <v>96</v>
      </c>
      <c r="K563" s="123" t="s">
        <v>93</v>
      </c>
      <c r="L563" s="132">
        <v>483</v>
      </c>
      <c r="M563" s="132">
        <v>0</v>
      </c>
      <c r="N563" s="132">
        <v>3.9465580784614989E+17</v>
      </c>
    </row>
    <row r="564" spans="4:14" ht="15" customHeight="1" x14ac:dyDescent="0.2">
      <c r="D564" s="130" t="b">
        <v>0</v>
      </c>
      <c r="E564" s="124" t="s">
        <v>91</v>
      </c>
      <c r="F564" s="125" t="s">
        <v>94</v>
      </c>
      <c r="G564" s="125">
        <v>3</v>
      </c>
      <c r="H564" s="123" t="s">
        <v>98</v>
      </c>
      <c r="I564" s="123" t="s">
        <v>92</v>
      </c>
      <c r="J564" s="123" t="s">
        <v>97</v>
      </c>
      <c r="K564" s="123" t="s">
        <v>93</v>
      </c>
      <c r="L564" s="132">
        <v>484</v>
      </c>
      <c r="M564" s="132">
        <v>0</v>
      </c>
      <c r="N564" s="132">
        <v>1.3998251879291763E+19</v>
      </c>
    </row>
    <row r="565" spans="4:14" ht="15" customHeight="1" x14ac:dyDescent="0.2">
      <c r="D565" s="130" t="b">
        <v>0</v>
      </c>
      <c r="E565" s="124" t="s">
        <v>91</v>
      </c>
      <c r="F565" s="125" t="s">
        <v>94</v>
      </c>
      <c r="G565" s="125">
        <v>3</v>
      </c>
      <c r="H565" s="123" t="s">
        <v>98</v>
      </c>
      <c r="I565" s="123" t="s">
        <v>92</v>
      </c>
      <c r="J565" s="123" t="s">
        <v>91</v>
      </c>
      <c r="K565" s="123" t="s">
        <v>93</v>
      </c>
      <c r="L565" s="132">
        <v>485</v>
      </c>
      <c r="M565" s="132">
        <v>0</v>
      </c>
      <c r="N565" s="132">
        <v>2.5837194748316662E+18</v>
      </c>
    </row>
    <row r="566" spans="4:14" ht="15" customHeight="1" x14ac:dyDescent="0.2">
      <c r="D566" s="130" t="b">
        <v>0</v>
      </c>
      <c r="E566" s="124" t="s">
        <v>91</v>
      </c>
      <c r="F566" s="125" t="s">
        <v>94</v>
      </c>
      <c r="G566" s="125">
        <v>4</v>
      </c>
      <c r="H566" s="123">
        <v>2</v>
      </c>
      <c r="I566" s="123" t="s">
        <v>95</v>
      </c>
      <c r="J566" s="123" t="s">
        <v>96</v>
      </c>
      <c r="K566" s="123" t="s">
        <v>93</v>
      </c>
      <c r="L566" s="132">
        <v>486</v>
      </c>
      <c r="M566" s="132">
        <v>0</v>
      </c>
      <c r="N566" s="132">
        <v>1.5855891107692024E+19</v>
      </c>
    </row>
    <row r="567" spans="4:14" ht="15" customHeight="1" x14ac:dyDescent="0.2">
      <c r="D567" s="130" t="b">
        <v>0</v>
      </c>
      <c r="E567" s="124" t="s">
        <v>91</v>
      </c>
      <c r="F567" s="125" t="s">
        <v>94</v>
      </c>
      <c r="G567" s="125">
        <v>4</v>
      </c>
      <c r="H567" s="123">
        <v>2</v>
      </c>
      <c r="I567" s="123" t="s">
        <v>95</v>
      </c>
      <c r="J567" s="123" t="s">
        <v>97</v>
      </c>
      <c r="K567" s="123" t="s">
        <v>93</v>
      </c>
      <c r="L567" s="132">
        <v>487</v>
      </c>
      <c r="M567" s="132">
        <v>0</v>
      </c>
      <c r="N567" s="132">
        <v>8.6165231132377938E+18</v>
      </c>
    </row>
    <row r="568" spans="4:14" ht="15" customHeight="1" x14ac:dyDescent="0.2">
      <c r="D568" s="130" t="b">
        <v>0</v>
      </c>
      <c r="E568" s="124" t="s">
        <v>91</v>
      </c>
      <c r="F568" s="125" t="s">
        <v>94</v>
      </c>
      <c r="G568" s="125">
        <v>4</v>
      </c>
      <c r="H568" s="123">
        <v>2</v>
      </c>
      <c r="I568" s="123" t="s">
        <v>95</v>
      </c>
      <c r="J568" s="123" t="s">
        <v>91</v>
      </c>
      <c r="K568" s="123" t="s">
        <v>93</v>
      </c>
      <c r="L568" s="132">
        <v>488</v>
      </c>
      <c r="M568" s="132">
        <v>0</v>
      </c>
      <c r="N568" s="132">
        <v>3.0962541833368504E+18</v>
      </c>
    </row>
    <row r="569" spans="4:14" ht="15" customHeight="1" x14ac:dyDescent="0.2">
      <c r="D569" s="130" t="b">
        <v>0</v>
      </c>
      <c r="E569" s="124" t="s">
        <v>91</v>
      </c>
      <c r="F569" s="125" t="s">
        <v>94</v>
      </c>
      <c r="G569" s="125">
        <v>4</v>
      </c>
      <c r="H569" s="123">
        <v>2</v>
      </c>
      <c r="I569" s="123" t="s">
        <v>97</v>
      </c>
      <c r="J569" s="123" t="s">
        <v>96</v>
      </c>
      <c r="K569" s="123" t="s">
        <v>93</v>
      </c>
      <c r="L569" s="132">
        <v>489</v>
      </c>
      <c r="M569" s="132">
        <v>0</v>
      </c>
      <c r="N569" s="132">
        <v>1.3027973793313405E+19</v>
      </c>
    </row>
    <row r="570" spans="4:14" ht="15" customHeight="1" x14ac:dyDescent="0.2">
      <c r="D570" s="130" t="b">
        <v>0</v>
      </c>
      <c r="E570" s="124" t="s">
        <v>91</v>
      </c>
      <c r="F570" s="125" t="s">
        <v>94</v>
      </c>
      <c r="G570" s="125">
        <v>4</v>
      </c>
      <c r="H570" s="123">
        <v>2</v>
      </c>
      <c r="I570" s="123" t="s">
        <v>97</v>
      </c>
      <c r="J570" s="123" t="s">
        <v>97</v>
      </c>
      <c r="K570" s="123" t="s">
        <v>93</v>
      </c>
      <c r="L570" s="132">
        <v>490</v>
      </c>
      <c r="M570" s="132">
        <v>0</v>
      </c>
      <c r="N570" s="132">
        <v>1.6569491798674487E+19</v>
      </c>
    </row>
    <row r="571" spans="4:14" ht="15" customHeight="1" x14ac:dyDescent="0.2">
      <c r="D571" s="130" t="b">
        <v>0</v>
      </c>
      <c r="E571" s="124" t="s">
        <v>91</v>
      </c>
      <c r="F571" s="125" t="s">
        <v>94</v>
      </c>
      <c r="G571" s="125">
        <v>4</v>
      </c>
      <c r="H571" s="123">
        <v>2</v>
      </c>
      <c r="I571" s="123" t="s">
        <v>97</v>
      </c>
      <c r="J571" s="123" t="s">
        <v>91</v>
      </c>
      <c r="K571" s="123" t="s">
        <v>93</v>
      </c>
      <c r="L571" s="132">
        <v>491</v>
      </c>
      <c r="M571" s="132">
        <v>0</v>
      </c>
      <c r="N571" s="132">
        <v>7.7913959703938775E+18</v>
      </c>
    </row>
    <row r="572" spans="4:14" ht="15" customHeight="1" x14ac:dyDescent="0.2">
      <c r="D572" s="130" t="b">
        <v>0</v>
      </c>
      <c r="E572" s="124" t="s">
        <v>91</v>
      </c>
      <c r="F572" s="125" t="s">
        <v>94</v>
      </c>
      <c r="G572" s="125">
        <v>4</v>
      </c>
      <c r="H572" s="123">
        <v>2</v>
      </c>
      <c r="I572" s="123" t="s">
        <v>92</v>
      </c>
      <c r="J572" s="123" t="s">
        <v>96</v>
      </c>
      <c r="K572" s="123" t="s">
        <v>93</v>
      </c>
      <c r="L572" s="132">
        <v>492</v>
      </c>
      <c r="M572" s="132">
        <v>0</v>
      </c>
      <c r="N572" s="132">
        <v>9.3441573127247278E+18</v>
      </c>
    </row>
    <row r="573" spans="4:14" ht="15" customHeight="1" x14ac:dyDescent="0.2">
      <c r="D573" s="130" t="b">
        <v>0</v>
      </c>
      <c r="E573" s="124" t="s">
        <v>91</v>
      </c>
      <c r="F573" s="125" t="s">
        <v>94</v>
      </c>
      <c r="G573" s="125">
        <v>4</v>
      </c>
      <c r="H573" s="123">
        <v>2</v>
      </c>
      <c r="I573" s="123" t="s">
        <v>92</v>
      </c>
      <c r="J573" s="123" t="s">
        <v>97</v>
      </c>
      <c r="K573" s="123" t="s">
        <v>93</v>
      </c>
      <c r="L573" s="132">
        <v>493</v>
      </c>
      <c r="M573" s="132">
        <v>0</v>
      </c>
      <c r="N573" s="132">
        <v>4.8194230495264543E+18</v>
      </c>
    </row>
    <row r="574" spans="4:14" ht="15" customHeight="1" x14ac:dyDescent="0.2">
      <c r="D574" s="130" t="b">
        <v>0</v>
      </c>
      <c r="E574" s="124" t="s">
        <v>91</v>
      </c>
      <c r="F574" s="125" t="s">
        <v>94</v>
      </c>
      <c r="G574" s="125">
        <v>4</v>
      </c>
      <c r="H574" s="123">
        <v>2</v>
      </c>
      <c r="I574" s="123" t="s">
        <v>92</v>
      </c>
      <c r="J574" s="123" t="s">
        <v>91</v>
      </c>
      <c r="K574" s="123" t="s">
        <v>93</v>
      </c>
      <c r="L574" s="132">
        <v>494</v>
      </c>
      <c r="M574" s="132">
        <v>0</v>
      </c>
      <c r="N574" s="132">
        <v>2.7443981067691848E+18</v>
      </c>
    </row>
    <row r="575" spans="4:14" ht="15" customHeight="1" x14ac:dyDescent="0.2">
      <c r="D575" s="130" t="b">
        <v>0</v>
      </c>
      <c r="E575" s="124" t="s">
        <v>91</v>
      </c>
      <c r="F575" s="125" t="s">
        <v>94</v>
      </c>
      <c r="G575" s="125">
        <v>4</v>
      </c>
      <c r="H575" s="123">
        <v>4</v>
      </c>
      <c r="I575" s="123" t="s">
        <v>95</v>
      </c>
      <c r="J575" s="123" t="s">
        <v>96</v>
      </c>
      <c r="K575" s="123" t="s">
        <v>93</v>
      </c>
      <c r="L575" s="132">
        <v>495</v>
      </c>
      <c r="M575" s="132">
        <v>0</v>
      </c>
      <c r="N575" s="132">
        <v>1.0674353189335714E+19</v>
      </c>
    </row>
    <row r="576" spans="4:14" ht="15" customHeight="1" x14ac:dyDescent="0.2">
      <c r="D576" s="130" t="b">
        <v>0</v>
      </c>
      <c r="E576" s="124" t="s">
        <v>91</v>
      </c>
      <c r="F576" s="125" t="s">
        <v>94</v>
      </c>
      <c r="G576" s="125">
        <v>4</v>
      </c>
      <c r="H576" s="123">
        <v>4</v>
      </c>
      <c r="I576" s="123" t="s">
        <v>95</v>
      </c>
      <c r="J576" s="123" t="s">
        <v>97</v>
      </c>
      <c r="K576" s="123" t="s">
        <v>93</v>
      </c>
      <c r="L576" s="132">
        <v>496</v>
      </c>
      <c r="M576" s="132">
        <v>0</v>
      </c>
      <c r="N576" s="132">
        <v>8.9905737926407537E+18</v>
      </c>
    </row>
    <row r="577" spans="4:14" ht="15" customHeight="1" x14ac:dyDescent="0.2">
      <c r="D577" s="130" t="b">
        <v>0</v>
      </c>
      <c r="E577" s="124" t="s">
        <v>91</v>
      </c>
      <c r="F577" s="125" t="s">
        <v>94</v>
      </c>
      <c r="G577" s="125">
        <v>4</v>
      </c>
      <c r="H577" s="123">
        <v>4</v>
      </c>
      <c r="I577" s="123" t="s">
        <v>95</v>
      </c>
      <c r="J577" s="123" t="s">
        <v>91</v>
      </c>
      <c r="K577" s="123" t="s">
        <v>93</v>
      </c>
      <c r="L577" s="132">
        <v>497</v>
      </c>
      <c r="M577" s="132">
        <v>0</v>
      </c>
      <c r="N577" s="132">
        <v>2.710812207192553E+18</v>
      </c>
    </row>
    <row r="578" spans="4:14" ht="15" customHeight="1" x14ac:dyDescent="0.2">
      <c r="D578" s="130" t="b">
        <v>0</v>
      </c>
      <c r="E578" s="124" t="s">
        <v>91</v>
      </c>
      <c r="F578" s="125" t="s">
        <v>94</v>
      </c>
      <c r="G578" s="125">
        <v>4</v>
      </c>
      <c r="H578" s="123">
        <v>4</v>
      </c>
      <c r="I578" s="123" t="s">
        <v>97</v>
      </c>
      <c r="J578" s="123" t="s">
        <v>96</v>
      </c>
      <c r="K578" s="123" t="s">
        <v>93</v>
      </c>
      <c r="L578" s="132">
        <v>498</v>
      </c>
      <c r="M578" s="132">
        <v>0</v>
      </c>
      <c r="N578" s="132">
        <v>5.410850856203734E+18</v>
      </c>
    </row>
    <row r="579" spans="4:14" ht="15" customHeight="1" x14ac:dyDescent="0.2">
      <c r="D579" s="130" t="b">
        <v>0</v>
      </c>
      <c r="E579" s="124" t="s">
        <v>91</v>
      </c>
      <c r="F579" s="125" t="s">
        <v>94</v>
      </c>
      <c r="G579" s="125">
        <v>4</v>
      </c>
      <c r="H579" s="123">
        <v>4</v>
      </c>
      <c r="I579" s="123" t="s">
        <v>97</v>
      </c>
      <c r="J579" s="123" t="s">
        <v>97</v>
      </c>
      <c r="K579" s="123" t="s">
        <v>93</v>
      </c>
      <c r="L579" s="132">
        <v>499</v>
      </c>
      <c r="M579" s="132">
        <v>0</v>
      </c>
      <c r="N579" s="132">
        <v>4.4811946862163517E+18</v>
      </c>
    </row>
    <row r="580" spans="4:14" ht="15" customHeight="1" x14ac:dyDescent="0.2">
      <c r="D580" s="130" t="b">
        <v>0</v>
      </c>
      <c r="E580" s="124" t="s">
        <v>91</v>
      </c>
      <c r="F580" s="125" t="s">
        <v>94</v>
      </c>
      <c r="G580" s="125">
        <v>4</v>
      </c>
      <c r="H580" s="123">
        <v>4</v>
      </c>
      <c r="I580" s="123" t="s">
        <v>97</v>
      </c>
      <c r="J580" s="123" t="s">
        <v>91</v>
      </c>
      <c r="K580" s="123" t="s">
        <v>93</v>
      </c>
      <c r="L580" s="132">
        <v>500</v>
      </c>
      <c r="M580" s="132">
        <v>0</v>
      </c>
      <c r="N580" s="132">
        <v>1.3321521661608327E+19</v>
      </c>
    </row>
    <row r="581" spans="4:14" ht="15" customHeight="1" x14ac:dyDescent="0.2">
      <c r="D581" s="130" t="b">
        <v>0</v>
      </c>
      <c r="E581" s="124" t="s">
        <v>91</v>
      </c>
      <c r="F581" s="125" t="s">
        <v>94</v>
      </c>
      <c r="G581" s="125">
        <v>4</v>
      </c>
      <c r="H581" s="123">
        <v>4</v>
      </c>
      <c r="I581" s="123" t="s">
        <v>92</v>
      </c>
      <c r="J581" s="123" t="s">
        <v>96</v>
      </c>
      <c r="K581" s="123" t="s">
        <v>93</v>
      </c>
      <c r="L581" s="132">
        <v>501</v>
      </c>
      <c r="M581" s="132">
        <v>0</v>
      </c>
      <c r="N581" s="132">
        <v>1.4508543843990028E+19</v>
      </c>
    </row>
    <row r="582" spans="4:14" ht="15" customHeight="1" x14ac:dyDescent="0.2">
      <c r="D582" s="130" t="b">
        <v>0</v>
      </c>
      <c r="E582" s="124" t="s">
        <v>91</v>
      </c>
      <c r="F582" s="125" t="s">
        <v>94</v>
      </c>
      <c r="G582" s="125">
        <v>4</v>
      </c>
      <c r="H582" s="123">
        <v>4</v>
      </c>
      <c r="I582" s="123" t="s">
        <v>92</v>
      </c>
      <c r="J582" s="123" t="s">
        <v>97</v>
      </c>
      <c r="K582" s="123" t="s">
        <v>93</v>
      </c>
      <c r="L582" s="132">
        <v>502</v>
      </c>
      <c r="M582" s="132">
        <v>0</v>
      </c>
      <c r="N582" s="132">
        <v>2.8306587827503703E+18</v>
      </c>
    </row>
    <row r="583" spans="4:14" ht="15" customHeight="1" x14ac:dyDescent="0.2">
      <c r="D583" s="130" t="b">
        <v>0</v>
      </c>
      <c r="E583" s="124" t="s">
        <v>91</v>
      </c>
      <c r="F583" s="125" t="s">
        <v>94</v>
      </c>
      <c r="G583" s="125">
        <v>4</v>
      </c>
      <c r="H583" s="123">
        <v>4</v>
      </c>
      <c r="I583" s="123" t="s">
        <v>92</v>
      </c>
      <c r="J583" s="123" t="s">
        <v>91</v>
      </c>
      <c r="K583" s="123" t="s">
        <v>93</v>
      </c>
      <c r="L583" s="132">
        <v>503</v>
      </c>
      <c r="M583" s="132">
        <v>0</v>
      </c>
      <c r="N583" s="132">
        <v>4.4955911912376955E+18</v>
      </c>
    </row>
    <row r="584" spans="4:14" ht="15" customHeight="1" x14ac:dyDescent="0.2">
      <c r="D584" s="130" t="b">
        <v>0</v>
      </c>
      <c r="E584" s="124" t="s">
        <v>91</v>
      </c>
      <c r="F584" s="125" t="s">
        <v>94</v>
      </c>
      <c r="G584" s="125">
        <v>4</v>
      </c>
      <c r="H584" s="123" t="s">
        <v>98</v>
      </c>
      <c r="I584" s="123" t="s">
        <v>95</v>
      </c>
      <c r="J584" s="123" t="s">
        <v>96</v>
      </c>
      <c r="K584" s="123" t="s">
        <v>93</v>
      </c>
      <c r="L584" s="132">
        <v>504</v>
      </c>
      <c r="M584" s="132">
        <v>0</v>
      </c>
      <c r="N584" s="132">
        <v>5.8135788854707548E+18</v>
      </c>
    </row>
    <row r="585" spans="4:14" ht="15" customHeight="1" x14ac:dyDescent="0.2">
      <c r="D585" s="130" t="b">
        <v>0</v>
      </c>
      <c r="E585" s="124" t="s">
        <v>91</v>
      </c>
      <c r="F585" s="125" t="s">
        <v>94</v>
      </c>
      <c r="G585" s="125">
        <v>4</v>
      </c>
      <c r="H585" s="123" t="s">
        <v>98</v>
      </c>
      <c r="I585" s="123" t="s">
        <v>95</v>
      </c>
      <c r="J585" s="123" t="s">
        <v>97</v>
      </c>
      <c r="K585" s="123" t="s">
        <v>93</v>
      </c>
      <c r="L585" s="132">
        <v>505</v>
      </c>
      <c r="M585" s="132">
        <v>0</v>
      </c>
      <c r="N585" s="132">
        <v>4.3247925250743291E+18</v>
      </c>
    </row>
    <row r="586" spans="4:14" ht="15" customHeight="1" x14ac:dyDescent="0.2">
      <c r="D586" s="130" t="b">
        <v>0</v>
      </c>
      <c r="E586" s="124" t="s">
        <v>91</v>
      </c>
      <c r="F586" s="125" t="s">
        <v>94</v>
      </c>
      <c r="G586" s="125">
        <v>4</v>
      </c>
      <c r="H586" s="123" t="s">
        <v>98</v>
      </c>
      <c r="I586" s="123" t="s">
        <v>95</v>
      </c>
      <c r="J586" s="123" t="s">
        <v>91</v>
      </c>
      <c r="K586" s="123" t="s">
        <v>93</v>
      </c>
      <c r="L586" s="132">
        <v>506</v>
      </c>
      <c r="M586" s="132">
        <v>0</v>
      </c>
      <c r="N586" s="132">
        <v>1.5932476120140562E+19</v>
      </c>
    </row>
    <row r="587" spans="4:14" ht="15" customHeight="1" x14ac:dyDescent="0.2">
      <c r="D587" s="130" t="b">
        <v>0</v>
      </c>
      <c r="E587" s="124" t="s">
        <v>91</v>
      </c>
      <c r="F587" s="125" t="s">
        <v>94</v>
      </c>
      <c r="G587" s="125">
        <v>4</v>
      </c>
      <c r="H587" s="123" t="s">
        <v>98</v>
      </c>
      <c r="I587" s="123" t="s">
        <v>97</v>
      </c>
      <c r="J587" s="123" t="s">
        <v>96</v>
      </c>
      <c r="K587" s="123" t="s">
        <v>93</v>
      </c>
      <c r="L587" s="132">
        <v>507</v>
      </c>
      <c r="M587" s="132">
        <v>0</v>
      </c>
      <c r="N587" s="132">
        <v>4.1882828876401772E+18</v>
      </c>
    </row>
    <row r="588" spans="4:14" ht="15" customHeight="1" x14ac:dyDescent="0.2">
      <c r="D588" s="130" t="b">
        <v>0</v>
      </c>
      <c r="E588" s="124" t="s">
        <v>91</v>
      </c>
      <c r="F588" s="125" t="s">
        <v>94</v>
      </c>
      <c r="G588" s="125">
        <v>4</v>
      </c>
      <c r="H588" s="123" t="s">
        <v>98</v>
      </c>
      <c r="I588" s="123" t="s">
        <v>97</v>
      </c>
      <c r="J588" s="123" t="s">
        <v>97</v>
      </c>
      <c r="K588" s="123" t="s">
        <v>93</v>
      </c>
      <c r="L588" s="132">
        <v>508</v>
      </c>
      <c r="M588" s="132">
        <v>0</v>
      </c>
      <c r="N588" s="132">
        <v>8.0162434735140628E+18</v>
      </c>
    </row>
    <row r="589" spans="4:14" ht="15" customHeight="1" x14ac:dyDescent="0.2">
      <c r="D589" s="130" t="b">
        <v>0</v>
      </c>
      <c r="E589" s="124" t="s">
        <v>91</v>
      </c>
      <c r="F589" s="125" t="s">
        <v>94</v>
      </c>
      <c r="G589" s="125">
        <v>4</v>
      </c>
      <c r="H589" s="123" t="s">
        <v>98</v>
      </c>
      <c r="I589" s="123" t="s">
        <v>97</v>
      </c>
      <c r="J589" s="123" t="s">
        <v>91</v>
      </c>
      <c r="K589" s="123" t="s">
        <v>93</v>
      </c>
      <c r="L589" s="132">
        <v>509</v>
      </c>
      <c r="M589" s="132">
        <v>0</v>
      </c>
      <c r="N589" s="132">
        <v>9.1316284669084736E+17</v>
      </c>
    </row>
    <row r="590" spans="4:14" ht="15" customHeight="1" x14ac:dyDescent="0.2">
      <c r="D590" s="130" t="b">
        <v>0</v>
      </c>
      <c r="E590" s="124" t="s">
        <v>91</v>
      </c>
      <c r="F590" s="125" t="s">
        <v>94</v>
      </c>
      <c r="G590" s="125">
        <v>4</v>
      </c>
      <c r="H590" s="123" t="s">
        <v>98</v>
      </c>
      <c r="I590" s="123" t="s">
        <v>92</v>
      </c>
      <c r="J590" s="123" t="s">
        <v>96</v>
      </c>
      <c r="K590" s="123" t="s">
        <v>93</v>
      </c>
      <c r="L590" s="132">
        <v>510</v>
      </c>
      <c r="M590" s="132">
        <v>0</v>
      </c>
      <c r="N590" s="132">
        <v>7.49105601464928E+17</v>
      </c>
    </row>
    <row r="591" spans="4:14" ht="15" customHeight="1" x14ac:dyDescent="0.2">
      <c r="D591" s="130" t="b">
        <v>0</v>
      </c>
      <c r="E591" s="124" t="s">
        <v>91</v>
      </c>
      <c r="F591" s="125" t="s">
        <v>94</v>
      </c>
      <c r="G591" s="125">
        <v>4</v>
      </c>
      <c r="H591" s="123" t="s">
        <v>98</v>
      </c>
      <c r="I591" s="123" t="s">
        <v>92</v>
      </c>
      <c r="J591" s="123" t="s">
        <v>97</v>
      </c>
      <c r="K591" s="123" t="s">
        <v>93</v>
      </c>
      <c r="L591" s="132">
        <v>511</v>
      </c>
      <c r="M591" s="132">
        <v>0</v>
      </c>
      <c r="N591" s="132">
        <v>5.1250530665302282E+18</v>
      </c>
    </row>
    <row r="592" spans="4:14" ht="15" customHeight="1" x14ac:dyDescent="0.2">
      <c r="D592" s="130" t="b">
        <v>0</v>
      </c>
      <c r="E592" s="124" t="s">
        <v>91</v>
      </c>
      <c r="F592" s="125" t="s">
        <v>94</v>
      </c>
      <c r="G592" s="125">
        <v>4</v>
      </c>
      <c r="H592" s="123" t="s">
        <v>98</v>
      </c>
      <c r="I592" s="123" t="s">
        <v>92</v>
      </c>
      <c r="J592" s="123" t="s">
        <v>91</v>
      </c>
      <c r="K592" s="123" t="s">
        <v>93</v>
      </c>
      <c r="L592" s="132">
        <v>512</v>
      </c>
      <c r="M592" s="132">
        <v>0</v>
      </c>
      <c r="N592" s="132">
        <v>6.4431582523722076E+18</v>
      </c>
    </row>
    <row r="593" spans="4:14" ht="15" customHeight="1" x14ac:dyDescent="0.2">
      <c r="D593" s="130" t="b">
        <v>0</v>
      </c>
      <c r="E593" s="124" t="s">
        <v>91</v>
      </c>
      <c r="F593" s="125" t="s">
        <v>94</v>
      </c>
      <c r="G593" s="125" t="s">
        <v>99</v>
      </c>
      <c r="H593" s="123">
        <v>2</v>
      </c>
      <c r="I593" s="123" t="s">
        <v>95</v>
      </c>
      <c r="J593" s="123" t="s">
        <v>96</v>
      </c>
      <c r="K593" s="123" t="s">
        <v>93</v>
      </c>
      <c r="L593" s="132">
        <v>513</v>
      </c>
      <c r="M593" s="132">
        <v>0</v>
      </c>
      <c r="N593" s="132">
        <v>4.1664963249383322E+18</v>
      </c>
    </row>
    <row r="594" spans="4:14" ht="15" customHeight="1" x14ac:dyDescent="0.2">
      <c r="D594" s="130" t="b">
        <v>0</v>
      </c>
      <c r="E594" s="124" t="s">
        <v>91</v>
      </c>
      <c r="F594" s="125" t="s">
        <v>94</v>
      </c>
      <c r="G594" s="125" t="s">
        <v>99</v>
      </c>
      <c r="H594" s="123">
        <v>2</v>
      </c>
      <c r="I594" s="123" t="s">
        <v>95</v>
      </c>
      <c r="J594" s="123" t="s">
        <v>97</v>
      </c>
      <c r="K594" s="123" t="s">
        <v>93</v>
      </c>
      <c r="L594" s="132">
        <v>514</v>
      </c>
      <c r="M594" s="132">
        <v>0</v>
      </c>
      <c r="N594" s="132">
        <v>1.6107402479304522E+19</v>
      </c>
    </row>
    <row r="595" spans="4:14" ht="15" customHeight="1" x14ac:dyDescent="0.2">
      <c r="D595" s="130" t="b">
        <v>0</v>
      </c>
      <c r="E595" s="124" t="s">
        <v>91</v>
      </c>
      <c r="F595" s="125" t="s">
        <v>94</v>
      </c>
      <c r="G595" s="125" t="s">
        <v>99</v>
      </c>
      <c r="H595" s="123">
        <v>2</v>
      </c>
      <c r="I595" s="123" t="s">
        <v>95</v>
      </c>
      <c r="J595" s="123" t="s">
        <v>91</v>
      </c>
      <c r="K595" s="123" t="s">
        <v>93</v>
      </c>
      <c r="L595" s="132">
        <v>515</v>
      </c>
      <c r="M595" s="132">
        <v>0</v>
      </c>
      <c r="N595" s="132">
        <v>1.4487433962187016E+19</v>
      </c>
    </row>
    <row r="596" spans="4:14" ht="15" customHeight="1" x14ac:dyDescent="0.2">
      <c r="D596" s="130" t="b">
        <v>0</v>
      </c>
      <c r="E596" s="124" t="s">
        <v>91</v>
      </c>
      <c r="F596" s="125" t="s">
        <v>94</v>
      </c>
      <c r="G596" s="125" t="s">
        <v>99</v>
      </c>
      <c r="H596" s="123">
        <v>2</v>
      </c>
      <c r="I596" s="123" t="s">
        <v>97</v>
      </c>
      <c r="J596" s="123" t="s">
        <v>96</v>
      </c>
      <c r="K596" s="123" t="s">
        <v>93</v>
      </c>
      <c r="L596" s="132">
        <v>516</v>
      </c>
      <c r="M596" s="132">
        <v>0</v>
      </c>
      <c r="N596" s="132">
        <v>1.4573491806070327E+19</v>
      </c>
    </row>
    <row r="597" spans="4:14" ht="15" customHeight="1" x14ac:dyDescent="0.2">
      <c r="D597" s="130" t="b">
        <v>0</v>
      </c>
      <c r="E597" s="124" t="s">
        <v>91</v>
      </c>
      <c r="F597" s="125" t="s">
        <v>94</v>
      </c>
      <c r="G597" s="125" t="s">
        <v>99</v>
      </c>
      <c r="H597" s="123">
        <v>2</v>
      </c>
      <c r="I597" s="123" t="s">
        <v>97</v>
      </c>
      <c r="J597" s="123" t="s">
        <v>97</v>
      </c>
      <c r="K597" s="123" t="s">
        <v>93</v>
      </c>
      <c r="L597" s="132">
        <v>517</v>
      </c>
      <c r="M597" s="132">
        <v>0</v>
      </c>
      <c r="N597" s="132">
        <v>1.3820930799382174E+19</v>
      </c>
    </row>
    <row r="598" spans="4:14" ht="15" customHeight="1" x14ac:dyDescent="0.2">
      <c r="D598" s="130" t="b">
        <v>0</v>
      </c>
      <c r="E598" s="124" t="s">
        <v>91</v>
      </c>
      <c r="F598" s="125" t="s">
        <v>94</v>
      </c>
      <c r="G598" s="125" t="s">
        <v>99</v>
      </c>
      <c r="H598" s="123">
        <v>2</v>
      </c>
      <c r="I598" s="123" t="s">
        <v>97</v>
      </c>
      <c r="J598" s="123" t="s">
        <v>91</v>
      </c>
      <c r="K598" s="123" t="s">
        <v>93</v>
      </c>
      <c r="L598" s="132">
        <v>518</v>
      </c>
      <c r="M598" s="132">
        <v>0</v>
      </c>
      <c r="N598" s="132">
        <v>1.6530979604552376E+19</v>
      </c>
    </row>
    <row r="599" spans="4:14" ht="15" customHeight="1" x14ac:dyDescent="0.2">
      <c r="D599" s="130" t="b">
        <v>0</v>
      </c>
      <c r="E599" s="124" t="s">
        <v>91</v>
      </c>
      <c r="F599" s="125" t="s">
        <v>94</v>
      </c>
      <c r="G599" s="125" t="s">
        <v>99</v>
      </c>
      <c r="H599" s="123">
        <v>2</v>
      </c>
      <c r="I599" s="123" t="s">
        <v>92</v>
      </c>
      <c r="J599" s="123" t="s">
        <v>96</v>
      </c>
      <c r="K599" s="123" t="s">
        <v>93</v>
      </c>
      <c r="L599" s="132">
        <v>519</v>
      </c>
      <c r="M599" s="132">
        <v>0</v>
      </c>
      <c r="N599" s="132">
        <v>2.3043403594044242E+18</v>
      </c>
    </row>
    <row r="600" spans="4:14" ht="15" customHeight="1" x14ac:dyDescent="0.2">
      <c r="D600" s="130" t="b">
        <v>0</v>
      </c>
      <c r="E600" s="124" t="s">
        <v>91</v>
      </c>
      <c r="F600" s="125" t="s">
        <v>94</v>
      </c>
      <c r="G600" s="125" t="s">
        <v>99</v>
      </c>
      <c r="H600" s="123">
        <v>2</v>
      </c>
      <c r="I600" s="123" t="s">
        <v>92</v>
      </c>
      <c r="J600" s="123" t="s">
        <v>97</v>
      </c>
      <c r="K600" s="123" t="s">
        <v>93</v>
      </c>
      <c r="L600" s="132">
        <v>520</v>
      </c>
      <c r="M600" s="132">
        <v>0</v>
      </c>
      <c r="N600" s="132">
        <v>2.559820763019989E+18</v>
      </c>
    </row>
    <row r="601" spans="4:14" ht="15" customHeight="1" x14ac:dyDescent="0.2">
      <c r="D601" s="130" t="b">
        <v>0</v>
      </c>
      <c r="E601" s="124" t="s">
        <v>91</v>
      </c>
      <c r="F601" s="125" t="s">
        <v>94</v>
      </c>
      <c r="G601" s="125" t="s">
        <v>99</v>
      </c>
      <c r="H601" s="123">
        <v>2</v>
      </c>
      <c r="I601" s="123" t="s">
        <v>92</v>
      </c>
      <c r="J601" s="123" t="s">
        <v>91</v>
      </c>
      <c r="K601" s="123" t="s">
        <v>93</v>
      </c>
      <c r="L601" s="132">
        <v>521</v>
      </c>
      <c r="M601" s="132">
        <v>0</v>
      </c>
      <c r="N601" s="132">
        <v>1.6199230732412244E+19</v>
      </c>
    </row>
    <row r="602" spans="4:14" ht="15" customHeight="1" x14ac:dyDescent="0.2">
      <c r="D602" s="130" t="b">
        <v>0</v>
      </c>
      <c r="E602" s="124" t="s">
        <v>91</v>
      </c>
      <c r="F602" s="125" t="s">
        <v>94</v>
      </c>
      <c r="G602" s="125" t="s">
        <v>99</v>
      </c>
      <c r="H602" s="123">
        <v>4</v>
      </c>
      <c r="I602" s="123" t="s">
        <v>95</v>
      </c>
      <c r="J602" s="123" t="s">
        <v>96</v>
      </c>
      <c r="K602" s="123" t="s">
        <v>93</v>
      </c>
      <c r="L602" s="132">
        <v>522</v>
      </c>
      <c r="M602" s="132">
        <v>0</v>
      </c>
      <c r="N602" s="132">
        <v>8.1574079519505254E+18</v>
      </c>
    </row>
    <row r="603" spans="4:14" ht="15" customHeight="1" x14ac:dyDescent="0.2">
      <c r="D603" s="130" t="b">
        <v>0</v>
      </c>
      <c r="E603" s="124" t="s">
        <v>91</v>
      </c>
      <c r="F603" s="125" t="s">
        <v>94</v>
      </c>
      <c r="G603" s="125" t="s">
        <v>99</v>
      </c>
      <c r="H603" s="123">
        <v>4</v>
      </c>
      <c r="I603" s="123" t="s">
        <v>95</v>
      </c>
      <c r="J603" s="123" t="s">
        <v>97</v>
      </c>
      <c r="K603" s="123" t="s">
        <v>93</v>
      </c>
      <c r="L603" s="132">
        <v>523</v>
      </c>
      <c r="M603" s="132">
        <v>0</v>
      </c>
      <c r="N603" s="132">
        <v>1.7952573769122861E+19</v>
      </c>
    </row>
    <row r="604" spans="4:14" ht="15" customHeight="1" x14ac:dyDescent="0.2">
      <c r="D604" s="130" t="b">
        <v>0</v>
      </c>
      <c r="E604" s="124" t="s">
        <v>91</v>
      </c>
      <c r="F604" s="125" t="s">
        <v>94</v>
      </c>
      <c r="G604" s="125" t="s">
        <v>99</v>
      </c>
      <c r="H604" s="123">
        <v>4</v>
      </c>
      <c r="I604" s="123" t="s">
        <v>95</v>
      </c>
      <c r="J604" s="123" t="s">
        <v>91</v>
      </c>
      <c r="K604" s="123" t="s">
        <v>93</v>
      </c>
      <c r="L604" s="132">
        <v>524</v>
      </c>
      <c r="M604" s="132">
        <v>0</v>
      </c>
      <c r="N604" s="132">
        <v>1.7364238105973041E+19</v>
      </c>
    </row>
    <row r="605" spans="4:14" ht="15" customHeight="1" x14ac:dyDescent="0.2">
      <c r="D605" s="130" t="b">
        <v>0</v>
      </c>
      <c r="E605" s="124" t="s">
        <v>91</v>
      </c>
      <c r="F605" s="125" t="s">
        <v>94</v>
      </c>
      <c r="G605" s="125" t="s">
        <v>99</v>
      </c>
      <c r="H605" s="123">
        <v>4</v>
      </c>
      <c r="I605" s="123" t="s">
        <v>97</v>
      </c>
      <c r="J605" s="123" t="s">
        <v>96</v>
      </c>
      <c r="K605" s="123" t="s">
        <v>93</v>
      </c>
      <c r="L605" s="132">
        <v>525</v>
      </c>
      <c r="M605" s="132">
        <v>0</v>
      </c>
      <c r="N605" s="132">
        <v>1.0713373071871957E+19</v>
      </c>
    </row>
    <row r="606" spans="4:14" ht="15" customHeight="1" x14ac:dyDescent="0.2">
      <c r="D606" s="130" t="b">
        <v>0</v>
      </c>
      <c r="E606" s="124" t="s">
        <v>91</v>
      </c>
      <c r="F606" s="125" t="s">
        <v>94</v>
      </c>
      <c r="G606" s="125" t="s">
        <v>99</v>
      </c>
      <c r="H606" s="123">
        <v>4</v>
      </c>
      <c r="I606" s="123" t="s">
        <v>97</v>
      </c>
      <c r="J606" s="123" t="s">
        <v>97</v>
      </c>
      <c r="K606" s="123" t="s">
        <v>93</v>
      </c>
      <c r="L606" s="132">
        <v>526</v>
      </c>
      <c r="M606" s="132">
        <v>0</v>
      </c>
      <c r="N606" s="132">
        <v>1.7490109028259957E+19</v>
      </c>
    </row>
    <row r="607" spans="4:14" ht="15" customHeight="1" x14ac:dyDescent="0.2">
      <c r="D607" s="130" t="b">
        <v>0</v>
      </c>
      <c r="E607" s="124" t="s">
        <v>91</v>
      </c>
      <c r="F607" s="125" t="s">
        <v>94</v>
      </c>
      <c r="G607" s="125" t="s">
        <v>99</v>
      </c>
      <c r="H607" s="123">
        <v>4</v>
      </c>
      <c r="I607" s="123" t="s">
        <v>97</v>
      </c>
      <c r="J607" s="123" t="s">
        <v>91</v>
      </c>
      <c r="K607" s="123" t="s">
        <v>93</v>
      </c>
      <c r="L607" s="132">
        <v>527</v>
      </c>
      <c r="M607" s="132">
        <v>0</v>
      </c>
      <c r="N607" s="132">
        <v>1.0728598552915565E+19</v>
      </c>
    </row>
    <row r="608" spans="4:14" ht="15" customHeight="1" x14ac:dyDescent="0.2">
      <c r="D608" s="130" t="b">
        <v>0</v>
      </c>
      <c r="E608" s="124" t="s">
        <v>91</v>
      </c>
      <c r="F608" s="125" t="s">
        <v>94</v>
      </c>
      <c r="G608" s="125" t="s">
        <v>99</v>
      </c>
      <c r="H608" s="123">
        <v>4</v>
      </c>
      <c r="I608" s="123" t="s">
        <v>92</v>
      </c>
      <c r="J608" s="123" t="s">
        <v>96</v>
      </c>
      <c r="K608" s="123" t="s">
        <v>93</v>
      </c>
      <c r="L608" s="132">
        <v>528</v>
      </c>
      <c r="M608" s="132">
        <v>0</v>
      </c>
      <c r="N608" s="132">
        <v>1.2504371569571312E+19</v>
      </c>
    </row>
    <row r="609" spans="4:14" ht="15" customHeight="1" x14ac:dyDescent="0.2">
      <c r="D609" s="130" t="b">
        <v>0</v>
      </c>
      <c r="E609" s="124" t="s">
        <v>91</v>
      </c>
      <c r="F609" s="125" t="s">
        <v>94</v>
      </c>
      <c r="G609" s="125" t="s">
        <v>99</v>
      </c>
      <c r="H609" s="123">
        <v>4</v>
      </c>
      <c r="I609" s="123" t="s">
        <v>92</v>
      </c>
      <c r="J609" s="123" t="s">
        <v>97</v>
      </c>
      <c r="K609" s="123" t="s">
        <v>93</v>
      </c>
      <c r="L609" s="132">
        <v>529</v>
      </c>
      <c r="M609" s="132">
        <v>0</v>
      </c>
      <c r="N609" s="132">
        <v>1.1746092234709934E+19</v>
      </c>
    </row>
    <row r="610" spans="4:14" ht="15" customHeight="1" x14ac:dyDescent="0.2">
      <c r="D610" s="130" t="b">
        <v>0</v>
      </c>
      <c r="E610" s="124" t="s">
        <v>91</v>
      </c>
      <c r="F610" s="125" t="s">
        <v>94</v>
      </c>
      <c r="G610" s="125" t="s">
        <v>99</v>
      </c>
      <c r="H610" s="123">
        <v>4</v>
      </c>
      <c r="I610" s="123" t="s">
        <v>92</v>
      </c>
      <c r="J610" s="123" t="s">
        <v>91</v>
      </c>
      <c r="K610" s="123" t="s">
        <v>93</v>
      </c>
      <c r="L610" s="132">
        <v>530</v>
      </c>
      <c r="M610" s="132">
        <v>0</v>
      </c>
      <c r="N610" s="132">
        <v>9.5571122405774029E+18</v>
      </c>
    </row>
    <row r="611" spans="4:14" ht="15" customHeight="1" x14ac:dyDescent="0.2">
      <c r="D611" s="130" t="b">
        <v>0</v>
      </c>
      <c r="E611" s="124" t="s">
        <v>91</v>
      </c>
      <c r="F611" s="125" t="s">
        <v>94</v>
      </c>
      <c r="G611" s="125" t="s">
        <v>99</v>
      </c>
      <c r="H611" s="123" t="s">
        <v>98</v>
      </c>
      <c r="I611" s="123" t="s">
        <v>95</v>
      </c>
      <c r="J611" s="123" t="s">
        <v>96</v>
      </c>
      <c r="K611" s="123" t="s">
        <v>93</v>
      </c>
      <c r="L611" s="132">
        <v>531</v>
      </c>
      <c r="M611" s="132">
        <v>0</v>
      </c>
      <c r="N611" s="132">
        <v>4.8706892520664044E+18</v>
      </c>
    </row>
    <row r="612" spans="4:14" ht="15" customHeight="1" x14ac:dyDescent="0.2">
      <c r="D612" s="130" t="b">
        <v>0</v>
      </c>
      <c r="E612" s="124" t="s">
        <v>91</v>
      </c>
      <c r="F612" s="125" t="s">
        <v>94</v>
      </c>
      <c r="G612" s="125" t="s">
        <v>99</v>
      </c>
      <c r="H612" s="123" t="s">
        <v>98</v>
      </c>
      <c r="I612" s="123" t="s">
        <v>95</v>
      </c>
      <c r="J612" s="123" t="s">
        <v>97</v>
      </c>
      <c r="K612" s="123" t="s">
        <v>93</v>
      </c>
      <c r="L612" s="132">
        <v>532</v>
      </c>
      <c r="M612" s="132">
        <v>0</v>
      </c>
      <c r="N612" s="132">
        <v>3.637000350250092E+18</v>
      </c>
    </row>
    <row r="613" spans="4:14" ht="15" customHeight="1" x14ac:dyDescent="0.2">
      <c r="D613" s="130" t="b">
        <v>0</v>
      </c>
      <c r="E613" s="124" t="s">
        <v>91</v>
      </c>
      <c r="F613" s="125" t="s">
        <v>94</v>
      </c>
      <c r="G613" s="125" t="s">
        <v>99</v>
      </c>
      <c r="H613" s="123" t="s">
        <v>98</v>
      </c>
      <c r="I613" s="123" t="s">
        <v>95</v>
      </c>
      <c r="J613" s="123" t="s">
        <v>91</v>
      </c>
      <c r="K613" s="123" t="s">
        <v>93</v>
      </c>
      <c r="L613" s="132">
        <v>533</v>
      </c>
      <c r="M613" s="132">
        <v>0</v>
      </c>
      <c r="N613" s="132">
        <v>7.6640665100621696E+16</v>
      </c>
    </row>
    <row r="614" spans="4:14" ht="15" customHeight="1" x14ac:dyDescent="0.2">
      <c r="D614" s="130" t="b">
        <v>0</v>
      </c>
      <c r="E614" s="124" t="s">
        <v>91</v>
      </c>
      <c r="F614" s="125" t="s">
        <v>94</v>
      </c>
      <c r="G614" s="125" t="s">
        <v>99</v>
      </c>
      <c r="H614" s="123" t="s">
        <v>98</v>
      </c>
      <c r="I614" s="123" t="s">
        <v>97</v>
      </c>
      <c r="J614" s="123" t="s">
        <v>96</v>
      </c>
      <c r="K614" s="123" t="s">
        <v>93</v>
      </c>
      <c r="L614" s="132">
        <v>534</v>
      </c>
      <c r="M614" s="132">
        <v>0</v>
      </c>
      <c r="N614" s="132">
        <v>1.4616693618786834E+19</v>
      </c>
    </row>
    <row r="615" spans="4:14" ht="15" customHeight="1" x14ac:dyDescent="0.2">
      <c r="D615" s="130" t="b">
        <v>0</v>
      </c>
      <c r="E615" s="124" t="s">
        <v>91</v>
      </c>
      <c r="F615" s="125" t="s">
        <v>94</v>
      </c>
      <c r="G615" s="125" t="s">
        <v>99</v>
      </c>
      <c r="H615" s="123" t="s">
        <v>98</v>
      </c>
      <c r="I615" s="123" t="s">
        <v>97</v>
      </c>
      <c r="J615" s="123" t="s">
        <v>97</v>
      </c>
      <c r="K615" s="123" t="s">
        <v>93</v>
      </c>
      <c r="L615" s="132">
        <v>535</v>
      </c>
      <c r="M615" s="132">
        <v>0</v>
      </c>
      <c r="N615" s="132">
        <v>7.2632073617581691E+18</v>
      </c>
    </row>
    <row r="616" spans="4:14" ht="15" customHeight="1" x14ac:dyDescent="0.2">
      <c r="D616" s="130" t="b">
        <v>0</v>
      </c>
      <c r="E616" s="124" t="s">
        <v>91</v>
      </c>
      <c r="F616" s="125" t="s">
        <v>94</v>
      </c>
      <c r="G616" s="125" t="s">
        <v>99</v>
      </c>
      <c r="H616" s="123" t="s">
        <v>98</v>
      </c>
      <c r="I616" s="123" t="s">
        <v>97</v>
      </c>
      <c r="J616" s="123" t="s">
        <v>91</v>
      </c>
      <c r="K616" s="123" t="s">
        <v>93</v>
      </c>
      <c r="L616" s="132">
        <v>536</v>
      </c>
      <c r="M616" s="132">
        <v>0</v>
      </c>
      <c r="N616" s="132">
        <v>8.4575031015491994E+18</v>
      </c>
    </row>
    <row r="617" spans="4:14" ht="15" customHeight="1" x14ac:dyDescent="0.2">
      <c r="D617" s="130" t="b">
        <v>0</v>
      </c>
      <c r="E617" s="124" t="s">
        <v>91</v>
      </c>
      <c r="F617" s="125" t="s">
        <v>94</v>
      </c>
      <c r="G617" s="125" t="s">
        <v>99</v>
      </c>
      <c r="H617" s="123" t="s">
        <v>98</v>
      </c>
      <c r="I617" s="123" t="s">
        <v>92</v>
      </c>
      <c r="J617" s="123" t="s">
        <v>96</v>
      </c>
      <c r="K617" s="123" t="s">
        <v>93</v>
      </c>
      <c r="L617" s="132">
        <v>537</v>
      </c>
      <c r="M617" s="132">
        <v>0</v>
      </c>
      <c r="N617" s="132">
        <v>1.7976288643425651E+19</v>
      </c>
    </row>
    <row r="618" spans="4:14" ht="15" customHeight="1" x14ac:dyDescent="0.2">
      <c r="D618" s="130" t="b">
        <v>0</v>
      </c>
      <c r="E618" s="124" t="s">
        <v>91</v>
      </c>
      <c r="F618" s="125" t="s">
        <v>94</v>
      </c>
      <c r="G618" s="125" t="s">
        <v>99</v>
      </c>
      <c r="H618" s="123" t="s">
        <v>98</v>
      </c>
      <c r="I618" s="123" t="s">
        <v>92</v>
      </c>
      <c r="J618" s="123" t="s">
        <v>97</v>
      </c>
      <c r="K618" s="123" t="s">
        <v>93</v>
      </c>
      <c r="L618" s="132">
        <v>538</v>
      </c>
      <c r="M618" s="132">
        <v>0</v>
      </c>
      <c r="N618" s="132">
        <v>3.3891151163316291E+18</v>
      </c>
    </row>
    <row r="619" spans="4:14" ht="15" customHeight="1" x14ac:dyDescent="0.2">
      <c r="D619" s="130" t="b">
        <v>0</v>
      </c>
      <c r="E619" s="124" t="s">
        <v>91</v>
      </c>
      <c r="F619" s="125" t="s">
        <v>94</v>
      </c>
      <c r="G619" s="125" t="s">
        <v>99</v>
      </c>
      <c r="H619" s="123" t="s">
        <v>98</v>
      </c>
      <c r="I619" s="123" t="s">
        <v>92</v>
      </c>
      <c r="J619" s="123" t="s">
        <v>91</v>
      </c>
      <c r="K619" s="123" t="s">
        <v>93</v>
      </c>
      <c r="L619" s="132">
        <v>539</v>
      </c>
      <c r="M619" s="132">
        <v>0</v>
      </c>
      <c r="N619" s="132">
        <v>7.982374773430528E+18</v>
      </c>
    </row>
    <row r="620" spans="4:14" ht="15" customHeight="1" x14ac:dyDescent="0.2">
      <c r="D620" s="130" t="b">
        <v>0</v>
      </c>
      <c r="E620" s="124" t="s">
        <v>91</v>
      </c>
      <c r="F620" s="125" t="s">
        <v>91</v>
      </c>
      <c r="G620" s="125">
        <v>2</v>
      </c>
      <c r="H620" s="123">
        <v>2</v>
      </c>
      <c r="I620" s="123" t="s">
        <v>95</v>
      </c>
      <c r="J620" s="123" t="s">
        <v>96</v>
      </c>
      <c r="K620" s="123" t="s">
        <v>93</v>
      </c>
      <c r="L620" s="132">
        <v>540</v>
      </c>
      <c r="M620" s="132">
        <v>0</v>
      </c>
      <c r="N620" s="132">
        <v>1.3842291384645452E+19</v>
      </c>
    </row>
    <row r="621" spans="4:14" ht="15" customHeight="1" x14ac:dyDescent="0.2">
      <c r="D621" s="130" t="b">
        <v>0</v>
      </c>
      <c r="E621" s="124" t="s">
        <v>91</v>
      </c>
      <c r="F621" s="125" t="s">
        <v>91</v>
      </c>
      <c r="G621" s="125">
        <v>2</v>
      </c>
      <c r="H621" s="123">
        <v>2</v>
      </c>
      <c r="I621" s="123" t="s">
        <v>95</v>
      </c>
      <c r="J621" s="123" t="s">
        <v>97</v>
      </c>
      <c r="K621" s="123" t="s">
        <v>93</v>
      </c>
      <c r="L621" s="132">
        <v>541</v>
      </c>
      <c r="M621" s="132">
        <v>0</v>
      </c>
      <c r="N621" s="132">
        <v>3.8008942518559498E+18</v>
      </c>
    </row>
    <row r="622" spans="4:14" ht="15" customHeight="1" x14ac:dyDescent="0.2">
      <c r="D622" s="130" t="b">
        <v>0</v>
      </c>
      <c r="E622" s="124" t="s">
        <v>91</v>
      </c>
      <c r="F622" s="125" t="s">
        <v>91</v>
      </c>
      <c r="G622" s="125">
        <v>2</v>
      </c>
      <c r="H622" s="123">
        <v>2</v>
      </c>
      <c r="I622" s="123" t="s">
        <v>95</v>
      </c>
      <c r="J622" s="123" t="s">
        <v>91</v>
      </c>
      <c r="K622" s="123" t="s">
        <v>93</v>
      </c>
      <c r="L622" s="132">
        <v>542</v>
      </c>
      <c r="M622" s="132">
        <v>0</v>
      </c>
      <c r="N622" s="132">
        <v>4.0934634020373729E+18</v>
      </c>
    </row>
    <row r="623" spans="4:14" ht="15" customHeight="1" x14ac:dyDescent="0.2">
      <c r="D623" s="130" t="b">
        <v>0</v>
      </c>
      <c r="E623" s="124" t="s">
        <v>91</v>
      </c>
      <c r="F623" s="125" t="s">
        <v>91</v>
      </c>
      <c r="G623" s="125">
        <v>2</v>
      </c>
      <c r="H623" s="123">
        <v>2</v>
      </c>
      <c r="I623" s="123" t="s">
        <v>97</v>
      </c>
      <c r="J623" s="123" t="s">
        <v>96</v>
      </c>
      <c r="K623" s="123" t="s">
        <v>93</v>
      </c>
      <c r="L623" s="132">
        <v>543</v>
      </c>
      <c r="M623" s="132">
        <v>0</v>
      </c>
      <c r="N623" s="132">
        <v>9.3673247389559767E+18</v>
      </c>
    </row>
    <row r="624" spans="4:14" ht="15" customHeight="1" x14ac:dyDescent="0.2">
      <c r="D624" s="130" t="b">
        <v>0</v>
      </c>
      <c r="E624" s="124" t="s">
        <v>91</v>
      </c>
      <c r="F624" s="125" t="s">
        <v>91</v>
      </c>
      <c r="G624" s="125">
        <v>2</v>
      </c>
      <c r="H624" s="123">
        <v>2</v>
      </c>
      <c r="I624" s="123" t="s">
        <v>97</v>
      </c>
      <c r="J624" s="123" t="s">
        <v>97</v>
      </c>
      <c r="K624" s="123" t="s">
        <v>93</v>
      </c>
      <c r="L624" s="132">
        <v>544</v>
      </c>
      <c r="M624" s="132">
        <v>0</v>
      </c>
      <c r="N624" s="132">
        <v>2.5684104213767101E+18</v>
      </c>
    </row>
    <row r="625" spans="4:14" ht="15" customHeight="1" x14ac:dyDescent="0.2">
      <c r="D625" s="130" t="b">
        <v>0</v>
      </c>
      <c r="E625" s="124" t="s">
        <v>91</v>
      </c>
      <c r="F625" s="125" t="s">
        <v>91</v>
      </c>
      <c r="G625" s="125">
        <v>2</v>
      </c>
      <c r="H625" s="123">
        <v>2</v>
      </c>
      <c r="I625" s="123" t="s">
        <v>97</v>
      </c>
      <c r="J625" s="123" t="s">
        <v>91</v>
      </c>
      <c r="K625" s="123" t="s">
        <v>93</v>
      </c>
      <c r="L625" s="132">
        <v>545</v>
      </c>
      <c r="M625" s="132">
        <v>0</v>
      </c>
      <c r="N625" s="132">
        <v>1.4141048790436041E+19</v>
      </c>
    </row>
    <row r="626" spans="4:14" ht="15" customHeight="1" x14ac:dyDescent="0.2">
      <c r="D626" s="130" t="b">
        <v>0</v>
      </c>
      <c r="E626" s="124" t="s">
        <v>91</v>
      </c>
      <c r="F626" s="125" t="s">
        <v>91</v>
      </c>
      <c r="G626" s="125">
        <v>2</v>
      </c>
      <c r="H626" s="123">
        <v>2</v>
      </c>
      <c r="I626" s="123" t="s">
        <v>92</v>
      </c>
      <c r="J626" s="123" t="s">
        <v>96</v>
      </c>
      <c r="K626" s="123" t="s">
        <v>93</v>
      </c>
      <c r="L626" s="132">
        <v>546</v>
      </c>
      <c r="M626" s="132">
        <v>0</v>
      </c>
      <c r="N626" s="132">
        <v>6.3156885126335232E+18</v>
      </c>
    </row>
    <row r="627" spans="4:14" ht="15" customHeight="1" x14ac:dyDescent="0.2">
      <c r="D627" s="130" t="b">
        <v>0</v>
      </c>
      <c r="E627" s="124" t="s">
        <v>91</v>
      </c>
      <c r="F627" s="125" t="s">
        <v>91</v>
      </c>
      <c r="G627" s="125">
        <v>2</v>
      </c>
      <c r="H627" s="123">
        <v>2</v>
      </c>
      <c r="I627" s="123" t="s">
        <v>92</v>
      </c>
      <c r="J627" s="123" t="s">
        <v>97</v>
      </c>
      <c r="K627" s="123" t="s">
        <v>93</v>
      </c>
      <c r="L627" s="132">
        <v>547</v>
      </c>
      <c r="M627" s="132">
        <v>0</v>
      </c>
      <c r="N627" s="132">
        <v>7.2084932102477189E+18</v>
      </c>
    </row>
    <row r="628" spans="4:14" ht="15" customHeight="1" x14ac:dyDescent="0.2">
      <c r="D628" s="130" t="b">
        <v>0</v>
      </c>
      <c r="E628" s="124" t="s">
        <v>91</v>
      </c>
      <c r="F628" s="125" t="s">
        <v>91</v>
      </c>
      <c r="G628" s="125">
        <v>2</v>
      </c>
      <c r="H628" s="123">
        <v>2</v>
      </c>
      <c r="I628" s="123" t="s">
        <v>92</v>
      </c>
      <c r="J628" s="123" t="s">
        <v>91</v>
      </c>
      <c r="K628" s="123" t="s">
        <v>93</v>
      </c>
      <c r="L628" s="132">
        <v>548</v>
      </c>
      <c r="M628" s="132">
        <v>0</v>
      </c>
      <c r="N628" s="132">
        <v>1.361966996500779E+19</v>
      </c>
    </row>
    <row r="629" spans="4:14" ht="15" customHeight="1" x14ac:dyDescent="0.2">
      <c r="D629" s="130" t="b">
        <v>0</v>
      </c>
      <c r="E629" s="124" t="s">
        <v>91</v>
      </c>
      <c r="F629" s="125" t="s">
        <v>91</v>
      </c>
      <c r="G629" s="125">
        <v>2</v>
      </c>
      <c r="H629" s="123">
        <v>4</v>
      </c>
      <c r="I629" s="123" t="s">
        <v>95</v>
      </c>
      <c r="J629" s="123" t="s">
        <v>96</v>
      </c>
      <c r="K629" s="123" t="s">
        <v>93</v>
      </c>
      <c r="L629" s="132">
        <v>549</v>
      </c>
      <c r="M629" s="132">
        <v>0</v>
      </c>
      <c r="N629" s="132">
        <v>5.0766020411783383E+18</v>
      </c>
    </row>
    <row r="630" spans="4:14" ht="15" customHeight="1" x14ac:dyDescent="0.2">
      <c r="D630" s="130" t="b">
        <v>0</v>
      </c>
      <c r="E630" s="124" t="s">
        <v>91</v>
      </c>
      <c r="F630" s="125" t="s">
        <v>91</v>
      </c>
      <c r="G630" s="125">
        <v>2</v>
      </c>
      <c r="H630" s="123">
        <v>4</v>
      </c>
      <c r="I630" s="123" t="s">
        <v>95</v>
      </c>
      <c r="J630" s="123" t="s">
        <v>97</v>
      </c>
      <c r="K630" s="123" t="s">
        <v>93</v>
      </c>
      <c r="L630" s="132">
        <v>550</v>
      </c>
      <c r="M630" s="132">
        <v>0</v>
      </c>
      <c r="N630" s="132">
        <v>6.5737584700060846E+18</v>
      </c>
    </row>
    <row r="631" spans="4:14" ht="15" customHeight="1" x14ac:dyDescent="0.2">
      <c r="D631" s="130" t="b">
        <v>0</v>
      </c>
      <c r="E631" s="124" t="s">
        <v>91</v>
      </c>
      <c r="F631" s="125" t="s">
        <v>91</v>
      </c>
      <c r="G631" s="125">
        <v>2</v>
      </c>
      <c r="H631" s="123">
        <v>4</v>
      </c>
      <c r="I631" s="123" t="s">
        <v>95</v>
      </c>
      <c r="J631" s="123" t="s">
        <v>91</v>
      </c>
      <c r="K631" s="123" t="s">
        <v>100</v>
      </c>
      <c r="L631" s="132">
        <v>551</v>
      </c>
      <c r="M631" s="132">
        <v>0</v>
      </c>
      <c r="N631" s="132">
        <v>1.3952493250352175E+19</v>
      </c>
    </row>
    <row r="632" spans="4:14" ht="15" customHeight="1" x14ac:dyDescent="0.2">
      <c r="D632" s="130" t="b">
        <v>0</v>
      </c>
      <c r="E632" s="124" t="s">
        <v>91</v>
      </c>
      <c r="F632" s="125" t="s">
        <v>91</v>
      </c>
      <c r="G632" s="125">
        <v>2</v>
      </c>
      <c r="H632" s="123">
        <v>4</v>
      </c>
      <c r="I632" s="123" t="s">
        <v>97</v>
      </c>
      <c r="J632" s="123" t="s">
        <v>96</v>
      </c>
      <c r="K632" s="123" t="s">
        <v>93</v>
      </c>
      <c r="L632" s="132">
        <v>552</v>
      </c>
      <c r="M632" s="132">
        <v>0</v>
      </c>
      <c r="N632" s="132">
        <v>1.7998279287155788E+19</v>
      </c>
    </row>
    <row r="633" spans="4:14" ht="15" customHeight="1" x14ac:dyDescent="0.2">
      <c r="D633" s="130" t="b">
        <v>0</v>
      </c>
      <c r="E633" s="124" t="s">
        <v>91</v>
      </c>
      <c r="F633" s="125" t="s">
        <v>91</v>
      </c>
      <c r="G633" s="125">
        <v>2</v>
      </c>
      <c r="H633" s="123">
        <v>4</v>
      </c>
      <c r="I633" s="123" t="s">
        <v>97</v>
      </c>
      <c r="J633" s="123" t="s">
        <v>97</v>
      </c>
      <c r="K633" s="123" t="s">
        <v>93</v>
      </c>
      <c r="L633" s="132">
        <v>553</v>
      </c>
      <c r="M633" s="132">
        <v>0</v>
      </c>
      <c r="N633" s="132">
        <v>5.6410449656105533E+18</v>
      </c>
    </row>
    <row r="634" spans="4:14" ht="15" customHeight="1" x14ac:dyDescent="0.2">
      <c r="D634" s="130" t="b">
        <v>0</v>
      </c>
      <c r="E634" s="124" t="s">
        <v>91</v>
      </c>
      <c r="F634" s="125" t="s">
        <v>91</v>
      </c>
      <c r="G634" s="125">
        <v>2</v>
      </c>
      <c r="H634" s="123">
        <v>4</v>
      </c>
      <c r="I634" s="123" t="s">
        <v>97</v>
      </c>
      <c r="J634" s="123" t="s">
        <v>91</v>
      </c>
      <c r="K634" s="123" t="s">
        <v>100</v>
      </c>
      <c r="L634" s="132">
        <v>554</v>
      </c>
      <c r="M634" s="132">
        <v>0</v>
      </c>
      <c r="N634" s="132">
        <v>1.6279984673219109E+19</v>
      </c>
    </row>
    <row r="635" spans="4:14" ht="15" customHeight="1" x14ac:dyDescent="0.2">
      <c r="D635" s="130" t="b">
        <v>0</v>
      </c>
      <c r="E635" s="124" t="s">
        <v>91</v>
      </c>
      <c r="F635" s="125" t="s">
        <v>91</v>
      </c>
      <c r="G635" s="125">
        <v>2</v>
      </c>
      <c r="H635" s="123">
        <v>4</v>
      </c>
      <c r="I635" s="123" t="s">
        <v>92</v>
      </c>
      <c r="J635" s="123" t="s">
        <v>96</v>
      </c>
      <c r="K635" s="123" t="s">
        <v>93</v>
      </c>
      <c r="L635" s="132">
        <v>555</v>
      </c>
      <c r="M635" s="132">
        <v>0</v>
      </c>
      <c r="N635" s="132">
        <v>6.2108406638076498E+18</v>
      </c>
    </row>
    <row r="636" spans="4:14" ht="15" customHeight="1" x14ac:dyDescent="0.2">
      <c r="D636" s="130" t="b">
        <v>0</v>
      </c>
      <c r="E636" s="124" t="s">
        <v>91</v>
      </c>
      <c r="F636" s="125" t="s">
        <v>91</v>
      </c>
      <c r="G636" s="125">
        <v>2</v>
      </c>
      <c r="H636" s="123">
        <v>4</v>
      </c>
      <c r="I636" s="123" t="s">
        <v>92</v>
      </c>
      <c r="J636" s="123" t="s">
        <v>97</v>
      </c>
      <c r="K636" s="123" t="s">
        <v>100</v>
      </c>
      <c r="L636" s="132">
        <v>556</v>
      </c>
      <c r="M636" s="132">
        <v>0</v>
      </c>
      <c r="N636" s="132">
        <v>3.1779708173461499E+18</v>
      </c>
    </row>
    <row r="637" spans="4:14" ht="15" customHeight="1" x14ac:dyDescent="0.2">
      <c r="D637" s="130" t="b">
        <v>0</v>
      </c>
      <c r="E637" s="124" t="s">
        <v>91</v>
      </c>
      <c r="F637" s="125" t="s">
        <v>91</v>
      </c>
      <c r="G637" s="125">
        <v>2</v>
      </c>
      <c r="H637" s="123">
        <v>4</v>
      </c>
      <c r="I637" s="123" t="s">
        <v>92</v>
      </c>
      <c r="J637" s="123" t="s">
        <v>91</v>
      </c>
      <c r="K637" s="123" t="s">
        <v>100</v>
      </c>
      <c r="L637" s="132">
        <v>557</v>
      </c>
      <c r="M637" s="132">
        <v>0</v>
      </c>
      <c r="N637" s="132">
        <v>7.7532834762044375E+18</v>
      </c>
    </row>
    <row r="638" spans="4:14" ht="15" customHeight="1" x14ac:dyDescent="0.2">
      <c r="D638" s="130" t="b">
        <v>0</v>
      </c>
      <c r="E638" s="124" t="s">
        <v>91</v>
      </c>
      <c r="F638" s="125" t="s">
        <v>91</v>
      </c>
      <c r="G638" s="125">
        <v>2</v>
      </c>
      <c r="H638" s="123" t="s">
        <v>98</v>
      </c>
      <c r="I638" s="123" t="s">
        <v>95</v>
      </c>
      <c r="J638" s="123" t="s">
        <v>96</v>
      </c>
      <c r="K638" s="123" t="s">
        <v>93</v>
      </c>
      <c r="L638" s="132">
        <v>558</v>
      </c>
      <c r="M638" s="132">
        <v>0</v>
      </c>
      <c r="N638" s="132">
        <v>1.078300564175111E+19</v>
      </c>
    </row>
    <row r="639" spans="4:14" ht="15" customHeight="1" x14ac:dyDescent="0.2">
      <c r="D639" s="130" t="b">
        <v>0</v>
      </c>
      <c r="E639" s="124" t="s">
        <v>91</v>
      </c>
      <c r="F639" s="125" t="s">
        <v>91</v>
      </c>
      <c r="G639" s="125">
        <v>2</v>
      </c>
      <c r="H639" s="123" t="s">
        <v>98</v>
      </c>
      <c r="I639" s="123" t="s">
        <v>95</v>
      </c>
      <c r="J639" s="123" t="s">
        <v>97</v>
      </c>
      <c r="K639" s="123" t="s">
        <v>93</v>
      </c>
      <c r="L639" s="132">
        <v>559</v>
      </c>
      <c r="M639" s="132">
        <v>0</v>
      </c>
      <c r="N639" s="132">
        <v>1.0002884874303646E+19</v>
      </c>
    </row>
    <row r="640" spans="4:14" ht="15" customHeight="1" x14ac:dyDescent="0.2">
      <c r="D640" s="130" t="b">
        <v>0</v>
      </c>
      <c r="E640" s="124" t="s">
        <v>91</v>
      </c>
      <c r="F640" s="125" t="s">
        <v>91</v>
      </c>
      <c r="G640" s="125">
        <v>2</v>
      </c>
      <c r="H640" s="123" t="s">
        <v>98</v>
      </c>
      <c r="I640" s="123" t="s">
        <v>95</v>
      </c>
      <c r="J640" s="123" t="s">
        <v>91</v>
      </c>
      <c r="K640" s="123" t="s">
        <v>93</v>
      </c>
      <c r="L640" s="132">
        <v>560</v>
      </c>
      <c r="M640" s="132">
        <v>0</v>
      </c>
      <c r="N640" s="132">
        <v>1.2752975386302241E+19</v>
      </c>
    </row>
    <row r="641" spans="4:14" ht="15" customHeight="1" x14ac:dyDescent="0.2">
      <c r="D641" s="130" t="b">
        <v>0</v>
      </c>
      <c r="E641" s="124" t="s">
        <v>91</v>
      </c>
      <c r="F641" s="125" t="s">
        <v>91</v>
      </c>
      <c r="G641" s="125">
        <v>2</v>
      </c>
      <c r="H641" s="123" t="s">
        <v>98</v>
      </c>
      <c r="I641" s="123" t="s">
        <v>97</v>
      </c>
      <c r="J641" s="123" t="s">
        <v>96</v>
      </c>
      <c r="K641" s="123" t="s">
        <v>93</v>
      </c>
      <c r="L641" s="132">
        <v>561</v>
      </c>
      <c r="M641" s="132">
        <v>0</v>
      </c>
      <c r="N641" s="132">
        <v>2.2827550856531986E+18</v>
      </c>
    </row>
    <row r="642" spans="4:14" ht="15" customHeight="1" x14ac:dyDescent="0.2">
      <c r="D642" s="130" t="b">
        <v>0</v>
      </c>
      <c r="E642" s="124" t="s">
        <v>91</v>
      </c>
      <c r="F642" s="125" t="s">
        <v>91</v>
      </c>
      <c r="G642" s="125">
        <v>2</v>
      </c>
      <c r="H642" s="123" t="s">
        <v>98</v>
      </c>
      <c r="I642" s="123" t="s">
        <v>97</v>
      </c>
      <c r="J642" s="123" t="s">
        <v>97</v>
      </c>
      <c r="K642" s="123" t="s">
        <v>93</v>
      </c>
      <c r="L642" s="132">
        <v>562</v>
      </c>
      <c r="M642" s="132">
        <v>0</v>
      </c>
      <c r="N642" s="132">
        <v>1.277278710858315E+19</v>
      </c>
    </row>
    <row r="643" spans="4:14" ht="15" customHeight="1" x14ac:dyDescent="0.2">
      <c r="D643" s="130" t="b">
        <v>0</v>
      </c>
      <c r="E643" s="124" t="s">
        <v>91</v>
      </c>
      <c r="F643" s="125" t="s">
        <v>91</v>
      </c>
      <c r="G643" s="125">
        <v>2</v>
      </c>
      <c r="H643" s="123" t="s">
        <v>98</v>
      </c>
      <c r="I643" s="123" t="s">
        <v>97</v>
      </c>
      <c r="J643" s="123" t="s">
        <v>91</v>
      </c>
      <c r="K643" s="123" t="s">
        <v>100</v>
      </c>
      <c r="L643" s="132">
        <v>563</v>
      </c>
      <c r="M643" s="132">
        <v>0</v>
      </c>
      <c r="N643" s="132">
        <v>9.0098859578859223E+18</v>
      </c>
    </row>
    <row r="644" spans="4:14" ht="15" customHeight="1" x14ac:dyDescent="0.2">
      <c r="D644" s="130" t="b">
        <v>0</v>
      </c>
      <c r="E644" s="124" t="s">
        <v>91</v>
      </c>
      <c r="F644" s="125" t="s">
        <v>91</v>
      </c>
      <c r="G644" s="125">
        <v>2</v>
      </c>
      <c r="H644" s="123" t="s">
        <v>98</v>
      </c>
      <c r="I644" s="123" t="s">
        <v>92</v>
      </c>
      <c r="J644" s="123" t="s">
        <v>96</v>
      </c>
      <c r="K644" s="123" t="s">
        <v>93</v>
      </c>
      <c r="L644" s="132">
        <v>564</v>
      </c>
      <c r="M644" s="132">
        <v>0</v>
      </c>
      <c r="N644" s="132">
        <v>1.2379760553446998E+19</v>
      </c>
    </row>
    <row r="645" spans="4:14" ht="15" customHeight="1" x14ac:dyDescent="0.2">
      <c r="D645" s="130" t="b">
        <v>0</v>
      </c>
      <c r="E645" s="124" t="s">
        <v>91</v>
      </c>
      <c r="F645" s="125" t="s">
        <v>91</v>
      </c>
      <c r="G645" s="125">
        <v>2</v>
      </c>
      <c r="H645" s="123" t="s">
        <v>98</v>
      </c>
      <c r="I645" s="123" t="s">
        <v>92</v>
      </c>
      <c r="J645" s="123" t="s">
        <v>97</v>
      </c>
      <c r="K645" s="123" t="s">
        <v>100</v>
      </c>
      <c r="L645" s="132">
        <v>565</v>
      </c>
      <c r="M645" s="132">
        <v>0</v>
      </c>
      <c r="N645" s="132">
        <v>1.763669471199069E+19</v>
      </c>
    </row>
    <row r="646" spans="4:14" ht="15" customHeight="1" x14ac:dyDescent="0.2">
      <c r="D646" s="130" t="b">
        <v>0</v>
      </c>
      <c r="E646" s="124" t="s">
        <v>91</v>
      </c>
      <c r="F646" s="125" t="s">
        <v>91</v>
      </c>
      <c r="G646" s="125">
        <v>2</v>
      </c>
      <c r="H646" s="123" t="s">
        <v>98</v>
      </c>
      <c r="I646" s="123" t="s">
        <v>92</v>
      </c>
      <c r="J646" s="123" t="s">
        <v>91</v>
      </c>
      <c r="K646" s="123" t="s">
        <v>100</v>
      </c>
      <c r="L646" s="132">
        <v>566</v>
      </c>
      <c r="M646" s="132">
        <v>0</v>
      </c>
      <c r="N646" s="132">
        <v>4.9341242918470943E+18</v>
      </c>
    </row>
    <row r="647" spans="4:14" ht="15" customHeight="1" x14ac:dyDescent="0.2">
      <c r="D647" s="130" t="b">
        <v>0</v>
      </c>
      <c r="E647" s="124" t="s">
        <v>91</v>
      </c>
      <c r="F647" s="125" t="s">
        <v>91</v>
      </c>
      <c r="G647" s="125">
        <v>3</v>
      </c>
      <c r="H647" s="123">
        <v>2</v>
      </c>
      <c r="I647" s="123" t="s">
        <v>95</v>
      </c>
      <c r="J647" s="123" t="s">
        <v>96</v>
      </c>
      <c r="K647" s="123" t="s">
        <v>93</v>
      </c>
      <c r="L647" s="132">
        <v>567</v>
      </c>
      <c r="M647" s="132">
        <v>0</v>
      </c>
      <c r="N647" s="132">
        <v>1.2073115965397049E+19</v>
      </c>
    </row>
    <row r="648" spans="4:14" ht="15" customHeight="1" x14ac:dyDescent="0.2">
      <c r="D648" s="130" t="b">
        <v>0</v>
      </c>
      <c r="E648" s="124" t="s">
        <v>91</v>
      </c>
      <c r="F648" s="125" t="s">
        <v>91</v>
      </c>
      <c r="G648" s="125">
        <v>3</v>
      </c>
      <c r="H648" s="123">
        <v>2</v>
      </c>
      <c r="I648" s="123" t="s">
        <v>95</v>
      </c>
      <c r="J648" s="123" t="s">
        <v>97</v>
      </c>
      <c r="K648" s="123" t="s">
        <v>93</v>
      </c>
      <c r="L648" s="132">
        <v>568</v>
      </c>
      <c r="M648" s="132">
        <v>0</v>
      </c>
      <c r="N648" s="132">
        <v>4.1045318758456837E+18</v>
      </c>
    </row>
    <row r="649" spans="4:14" ht="15" customHeight="1" x14ac:dyDescent="0.2">
      <c r="D649" s="130" t="b">
        <v>0</v>
      </c>
      <c r="E649" s="124" t="s">
        <v>91</v>
      </c>
      <c r="F649" s="125" t="s">
        <v>91</v>
      </c>
      <c r="G649" s="125">
        <v>3</v>
      </c>
      <c r="H649" s="123">
        <v>2</v>
      </c>
      <c r="I649" s="123" t="s">
        <v>95</v>
      </c>
      <c r="J649" s="123" t="s">
        <v>91</v>
      </c>
      <c r="K649" s="123" t="s">
        <v>93</v>
      </c>
      <c r="L649" s="132">
        <v>569</v>
      </c>
      <c r="M649" s="132">
        <v>0</v>
      </c>
      <c r="N649" s="132">
        <v>2.3456343582390646E+18</v>
      </c>
    </row>
    <row r="650" spans="4:14" ht="15" customHeight="1" x14ac:dyDescent="0.2">
      <c r="D650" s="130" t="b">
        <v>0</v>
      </c>
      <c r="E650" s="124" t="s">
        <v>91</v>
      </c>
      <c r="F650" s="125" t="s">
        <v>91</v>
      </c>
      <c r="G650" s="125">
        <v>3</v>
      </c>
      <c r="H650" s="123">
        <v>2</v>
      </c>
      <c r="I650" s="123" t="s">
        <v>97</v>
      </c>
      <c r="J650" s="123" t="s">
        <v>96</v>
      </c>
      <c r="K650" s="123" t="s">
        <v>93</v>
      </c>
      <c r="L650" s="132">
        <v>570</v>
      </c>
      <c r="M650" s="132">
        <v>0</v>
      </c>
      <c r="N650" s="132">
        <v>1.7463424076725027E+19</v>
      </c>
    </row>
    <row r="651" spans="4:14" ht="15" customHeight="1" x14ac:dyDescent="0.2">
      <c r="D651" s="130" t="b">
        <v>0</v>
      </c>
      <c r="E651" s="124" t="s">
        <v>91</v>
      </c>
      <c r="F651" s="125" t="s">
        <v>91</v>
      </c>
      <c r="G651" s="125">
        <v>3</v>
      </c>
      <c r="H651" s="123">
        <v>2</v>
      </c>
      <c r="I651" s="123" t="s">
        <v>97</v>
      </c>
      <c r="J651" s="123" t="s">
        <v>97</v>
      </c>
      <c r="K651" s="123" t="s">
        <v>93</v>
      </c>
      <c r="L651" s="132">
        <v>571</v>
      </c>
      <c r="M651" s="132">
        <v>0</v>
      </c>
      <c r="N651" s="132">
        <v>1.0705998672021823E+19</v>
      </c>
    </row>
    <row r="652" spans="4:14" ht="15" customHeight="1" x14ac:dyDescent="0.2">
      <c r="D652" s="130" t="b">
        <v>0</v>
      </c>
      <c r="E652" s="124" t="s">
        <v>91</v>
      </c>
      <c r="F652" s="125" t="s">
        <v>91</v>
      </c>
      <c r="G652" s="125">
        <v>3</v>
      </c>
      <c r="H652" s="123">
        <v>2</v>
      </c>
      <c r="I652" s="123" t="s">
        <v>97</v>
      </c>
      <c r="J652" s="123" t="s">
        <v>91</v>
      </c>
      <c r="K652" s="123" t="s">
        <v>93</v>
      </c>
      <c r="L652" s="132">
        <v>572</v>
      </c>
      <c r="M652" s="132">
        <v>0</v>
      </c>
      <c r="N652" s="132">
        <v>5.75066850195456E+18</v>
      </c>
    </row>
    <row r="653" spans="4:14" ht="15" customHeight="1" x14ac:dyDescent="0.2">
      <c r="D653" s="130" t="b">
        <v>0</v>
      </c>
      <c r="E653" s="124" t="s">
        <v>91</v>
      </c>
      <c r="F653" s="125" t="s">
        <v>91</v>
      </c>
      <c r="G653" s="125">
        <v>3</v>
      </c>
      <c r="H653" s="123">
        <v>2</v>
      </c>
      <c r="I653" s="123" t="s">
        <v>92</v>
      </c>
      <c r="J653" s="123" t="s">
        <v>96</v>
      </c>
      <c r="K653" s="123" t="s">
        <v>93</v>
      </c>
      <c r="L653" s="132">
        <v>573</v>
      </c>
      <c r="M653" s="132">
        <v>0</v>
      </c>
      <c r="N653" s="132">
        <v>1.552883797734537E+19</v>
      </c>
    </row>
    <row r="654" spans="4:14" ht="15" customHeight="1" x14ac:dyDescent="0.2">
      <c r="D654" s="130" t="b">
        <v>0</v>
      </c>
      <c r="E654" s="124" t="s">
        <v>91</v>
      </c>
      <c r="F654" s="125" t="s">
        <v>91</v>
      </c>
      <c r="G654" s="125">
        <v>3</v>
      </c>
      <c r="H654" s="123">
        <v>2</v>
      </c>
      <c r="I654" s="123" t="s">
        <v>92</v>
      </c>
      <c r="J654" s="123" t="s">
        <v>97</v>
      </c>
      <c r="K654" s="123" t="s">
        <v>93</v>
      </c>
      <c r="L654" s="132">
        <v>574</v>
      </c>
      <c r="M654" s="132">
        <v>0</v>
      </c>
      <c r="N654" s="132">
        <v>1.1362961370158133E+19</v>
      </c>
    </row>
    <row r="655" spans="4:14" ht="15" customHeight="1" x14ac:dyDescent="0.2">
      <c r="D655" s="130" t="b">
        <v>0</v>
      </c>
      <c r="E655" s="124" t="s">
        <v>91</v>
      </c>
      <c r="F655" s="125" t="s">
        <v>91</v>
      </c>
      <c r="G655" s="125">
        <v>3</v>
      </c>
      <c r="H655" s="123">
        <v>2</v>
      </c>
      <c r="I655" s="123" t="s">
        <v>92</v>
      </c>
      <c r="J655" s="123" t="s">
        <v>91</v>
      </c>
      <c r="K655" s="123" t="s">
        <v>93</v>
      </c>
      <c r="L655" s="132">
        <v>575</v>
      </c>
      <c r="M655" s="132">
        <v>0</v>
      </c>
      <c r="N655" s="132">
        <v>7.9931259917578537E+18</v>
      </c>
    </row>
    <row r="656" spans="4:14" ht="15" customHeight="1" x14ac:dyDescent="0.2">
      <c r="D656" s="130" t="b">
        <v>0</v>
      </c>
      <c r="E656" s="124" t="s">
        <v>91</v>
      </c>
      <c r="F656" s="125" t="s">
        <v>91</v>
      </c>
      <c r="G656" s="125">
        <v>3</v>
      </c>
      <c r="H656" s="123">
        <v>4</v>
      </c>
      <c r="I656" s="123" t="s">
        <v>95</v>
      </c>
      <c r="J656" s="123" t="s">
        <v>96</v>
      </c>
      <c r="K656" s="123" t="s">
        <v>93</v>
      </c>
      <c r="L656" s="132">
        <v>576</v>
      </c>
      <c r="M656" s="132">
        <v>0</v>
      </c>
      <c r="N656" s="132">
        <v>1.4425524054718169E+19</v>
      </c>
    </row>
    <row r="657" spans="4:14" ht="15" customHeight="1" x14ac:dyDescent="0.2">
      <c r="D657" s="130" t="b">
        <v>0</v>
      </c>
      <c r="E657" s="124" t="s">
        <v>91</v>
      </c>
      <c r="F657" s="125" t="s">
        <v>91</v>
      </c>
      <c r="G657" s="125">
        <v>3</v>
      </c>
      <c r="H657" s="123">
        <v>4</v>
      </c>
      <c r="I657" s="123" t="s">
        <v>95</v>
      </c>
      <c r="J657" s="123" t="s">
        <v>97</v>
      </c>
      <c r="K657" s="123" t="s">
        <v>93</v>
      </c>
      <c r="L657" s="132">
        <v>577</v>
      </c>
      <c r="M657" s="132">
        <v>0</v>
      </c>
      <c r="N657" s="132">
        <v>6.8794516398590403E+18</v>
      </c>
    </row>
    <row r="658" spans="4:14" ht="15" customHeight="1" x14ac:dyDescent="0.2">
      <c r="D658" s="130" t="b">
        <v>0</v>
      </c>
      <c r="E658" s="124" t="s">
        <v>91</v>
      </c>
      <c r="F658" s="125" t="s">
        <v>91</v>
      </c>
      <c r="G658" s="125">
        <v>3</v>
      </c>
      <c r="H658" s="123">
        <v>4</v>
      </c>
      <c r="I658" s="123" t="s">
        <v>95</v>
      </c>
      <c r="J658" s="123" t="s">
        <v>91</v>
      </c>
      <c r="K658" s="123" t="s">
        <v>100</v>
      </c>
      <c r="L658" s="132">
        <v>578</v>
      </c>
      <c r="M658" s="132">
        <v>0</v>
      </c>
      <c r="N658" s="132">
        <v>8.3169037276355727E+18</v>
      </c>
    </row>
    <row r="659" spans="4:14" ht="15" customHeight="1" x14ac:dyDescent="0.2">
      <c r="D659" s="130" t="b">
        <v>0</v>
      </c>
      <c r="E659" s="124" t="s">
        <v>91</v>
      </c>
      <c r="F659" s="125" t="s">
        <v>91</v>
      </c>
      <c r="G659" s="125">
        <v>3</v>
      </c>
      <c r="H659" s="123">
        <v>4</v>
      </c>
      <c r="I659" s="123" t="s">
        <v>97</v>
      </c>
      <c r="J659" s="123" t="s">
        <v>96</v>
      </c>
      <c r="K659" s="123" t="s">
        <v>93</v>
      </c>
      <c r="L659" s="132">
        <v>579</v>
      </c>
      <c r="M659" s="132">
        <v>0</v>
      </c>
      <c r="N659" s="132">
        <v>6.3334228074637629E+18</v>
      </c>
    </row>
    <row r="660" spans="4:14" ht="15" customHeight="1" x14ac:dyDescent="0.2">
      <c r="D660" s="130" t="b">
        <v>0</v>
      </c>
      <c r="E660" s="124" t="s">
        <v>91</v>
      </c>
      <c r="F660" s="125" t="s">
        <v>91</v>
      </c>
      <c r="G660" s="125">
        <v>3</v>
      </c>
      <c r="H660" s="123">
        <v>4</v>
      </c>
      <c r="I660" s="123" t="s">
        <v>97</v>
      </c>
      <c r="J660" s="123" t="s">
        <v>97</v>
      </c>
      <c r="K660" s="123" t="s">
        <v>93</v>
      </c>
      <c r="L660" s="132">
        <v>580</v>
      </c>
      <c r="M660" s="132">
        <v>0</v>
      </c>
      <c r="N660" s="132">
        <v>9.6368707416408904E+18</v>
      </c>
    </row>
    <row r="661" spans="4:14" ht="15" customHeight="1" x14ac:dyDescent="0.2">
      <c r="D661" s="130" t="b">
        <v>0</v>
      </c>
      <c r="E661" s="124" t="s">
        <v>91</v>
      </c>
      <c r="F661" s="125" t="s">
        <v>91</v>
      </c>
      <c r="G661" s="125">
        <v>3</v>
      </c>
      <c r="H661" s="123">
        <v>4</v>
      </c>
      <c r="I661" s="123" t="s">
        <v>97</v>
      </c>
      <c r="J661" s="123" t="s">
        <v>91</v>
      </c>
      <c r="K661" s="123" t="s">
        <v>100</v>
      </c>
      <c r="L661" s="132">
        <v>581</v>
      </c>
      <c r="M661" s="132">
        <v>0</v>
      </c>
      <c r="N661" s="132">
        <v>3.0514741659637572E+16</v>
      </c>
    </row>
    <row r="662" spans="4:14" ht="15" customHeight="1" x14ac:dyDescent="0.2">
      <c r="D662" s="130" t="b">
        <v>0</v>
      </c>
      <c r="E662" s="124" t="s">
        <v>91</v>
      </c>
      <c r="F662" s="125" t="s">
        <v>91</v>
      </c>
      <c r="G662" s="125">
        <v>3</v>
      </c>
      <c r="H662" s="123">
        <v>4</v>
      </c>
      <c r="I662" s="123" t="s">
        <v>92</v>
      </c>
      <c r="J662" s="123" t="s">
        <v>96</v>
      </c>
      <c r="K662" s="123" t="s">
        <v>93</v>
      </c>
      <c r="L662" s="132">
        <v>582</v>
      </c>
      <c r="M662" s="132">
        <v>0</v>
      </c>
      <c r="N662" s="132">
        <v>2.5269139573997967E+18</v>
      </c>
    </row>
    <row r="663" spans="4:14" ht="15" customHeight="1" x14ac:dyDescent="0.2">
      <c r="D663" s="130" t="b">
        <v>0</v>
      </c>
      <c r="E663" s="124" t="s">
        <v>91</v>
      </c>
      <c r="F663" s="125" t="s">
        <v>91</v>
      </c>
      <c r="G663" s="125">
        <v>3</v>
      </c>
      <c r="H663" s="123">
        <v>4</v>
      </c>
      <c r="I663" s="123" t="s">
        <v>92</v>
      </c>
      <c r="J663" s="123" t="s">
        <v>97</v>
      </c>
      <c r="K663" s="123" t="s">
        <v>100</v>
      </c>
      <c r="L663" s="132">
        <v>583</v>
      </c>
      <c r="M663" s="132">
        <v>0</v>
      </c>
      <c r="N663" s="132">
        <v>1.4532085843202666E+19</v>
      </c>
    </row>
    <row r="664" spans="4:14" ht="15" customHeight="1" x14ac:dyDescent="0.2">
      <c r="D664" s="130" t="b">
        <v>0</v>
      </c>
      <c r="E664" s="124" t="s">
        <v>91</v>
      </c>
      <c r="F664" s="125" t="s">
        <v>91</v>
      </c>
      <c r="G664" s="125">
        <v>3</v>
      </c>
      <c r="H664" s="123">
        <v>4</v>
      </c>
      <c r="I664" s="123" t="s">
        <v>92</v>
      </c>
      <c r="J664" s="123" t="s">
        <v>91</v>
      </c>
      <c r="K664" s="123" t="s">
        <v>100</v>
      </c>
      <c r="L664" s="132">
        <v>584</v>
      </c>
      <c r="M664" s="132">
        <v>0</v>
      </c>
      <c r="N664" s="132">
        <v>1.3297141231380294E+19</v>
      </c>
    </row>
    <row r="665" spans="4:14" ht="15" customHeight="1" x14ac:dyDescent="0.2">
      <c r="D665" s="130" t="b">
        <v>0</v>
      </c>
      <c r="E665" s="124" t="s">
        <v>91</v>
      </c>
      <c r="F665" s="125" t="s">
        <v>91</v>
      </c>
      <c r="G665" s="125">
        <v>3</v>
      </c>
      <c r="H665" s="123" t="s">
        <v>98</v>
      </c>
      <c r="I665" s="123" t="s">
        <v>95</v>
      </c>
      <c r="J665" s="123" t="s">
        <v>96</v>
      </c>
      <c r="K665" s="123" t="s">
        <v>93</v>
      </c>
      <c r="L665" s="132">
        <v>585</v>
      </c>
      <c r="M665" s="132">
        <v>0</v>
      </c>
      <c r="N665" s="132">
        <v>1.3564345293054073E+19</v>
      </c>
    </row>
    <row r="666" spans="4:14" ht="15" customHeight="1" x14ac:dyDescent="0.2">
      <c r="D666" s="130" t="b">
        <v>0</v>
      </c>
      <c r="E666" s="124" t="s">
        <v>91</v>
      </c>
      <c r="F666" s="125" t="s">
        <v>91</v>
      </c>
      <c r="G666" s="125">
        <v>3</v>
      </c>
      <c r="H666" s="123" t="s">
        <v>98</v>
      </c>
      <c r="I666" s="123" t="s">
        <v>95</v>
      </c>
      <c r="J666" s="123" t="s">
        <v>97</v>
      </c>
      <c r="K666" s="123" t="s">
        <v>93</v>
      </c>
      <c r="L666" s="132">
        <v>586</v>
      </c>
      <c r="M666" s="132">
        <v>0</v>
      </c>
      <c r="N666" s="132">
        <v>2.5533079831547628E+18</v>
      </c>
    </row>
    <row r="667" spans="4:14" ht="15" customHeight="1" x14ac:dyDescent="0.2">
      <c r="D667" s="130" t="b">
        <v>0</v>
      </c>
      <c r="E667" s="124" t="s">
        <v>91</v>
      </c>
      <c r="F667" s="125" t="s">
        <v>91</v>
      </c>
      <c r="G667" s="125">
        <v>3</v>
      </c>
      <c r="H667" s="123" t="s">
        <v>98</v>
      </c>
      <c r="I667" s="123" t="s">
        <v>95</v>
      </c>
      <c r="J667" s="123" t="s">
        <v>91</v>
      </c>
      <c r="K667" s="123" t="s">
        <v>100</v>
      </c>
      <c r="L667" s="132">
        <v>587</v>
      </c>
      <c r="M667" s="132">
        <v>0</v>
      </c>
      <c r="N667" s="132">
        <v>9.7740741505585541E+18</v>
      </c>
    </row>
    <row r="668" spans="4:14" ht="15" customHeight="1" x14ac:dyDescent="0.2">
      <c r="D668" s="130" t="b">
        <v>0</v>
      </c>
      <c r="E668" s="124" t="s">
        <v>91</v>
      </c>
      <c r="F668" s="125" t="s">
        <v>91</v>
      </c>
      <c r="G668" s="125">
        <v>3</v>
      </c>
      <c r="H668" s="123" t="s">
        <v>98</v>
      </c>
      <c r="I668" s="123" t="s">
        <v>97</v>
      </c>
      <c r="J668" s="123" t="s">
        <v>96</v>
      </c>
      <c r="K668" s="123" t="s">
        <v>93</v>
      </c>
      <c r="L668" s="132">
        <v>588</v>
      </c>
      <c r="M668" s="132">
        <v>0</v>
      </c>
      <c r="N668" s="132">
        <v>1.4907259688253649E+19</v>
      </c>
    </row>
    <row r="669" spans="4:14" ht="15" customHeight="1" x14ac:dyDescent="0.2">
      <c r="D669" s="130" t="b">
        <v>0</v>
      </c>
      <c r="E669" s="124" t="s">
        <v>91</v>
      </c>
      <c r="F669" s="125" t="s">
        <v>91</v>
      </c>
      <c r="G669" s="125">
        <v>3</v>
      </c>
      <c r="H669" s="123" t="s">
        <v>98</v>
      </c>
      <c r="I669" s="123" t="s">
        <v>97</v>
      </c>
      <c r="J669" s="123" t="s">
        <v>97</v>
      </c>
      <c r="K669" s="123" t="s">
        <v>100</v>
      </c>
      <c r="L669" s="132">
        <v>589</v>
      </c>
      <c r="M669" s="132">
        <v>0</v>
      </c>
      <c r="N669" s="132">
        <v>1.1120429582200635E+19</v>
      </c>
    </row>
    <row r="670" spans="4:14" ht="15" customHeight="1" x14ac:dyDescent="0.2">
      <c r="D670" s="130" t="b">
        <v>0</v>
      </c>
      <c r="E670" s="124" t="s">
        <v>91</v>
      </c>
      <c r="F670" s="125" t="s">
        <v>91</v>
      </c>
      <c r="G670" s="125">
        <v>3</v>
      </c>
      <c r="H670" s="123" t="s">
        <v>98</v>
      </c>
      <c r="I670" s="123" t="s">
        <v>97</v>
      </c>
      <c r="J670" s="123" t="s">
        <v>91</v>
      </c>
      <c r="K670" s="123" t="s">
        <v>100</v>
      </c>
      <c r="L670" s="132">
        <v>590</v>
      </c>
      <c r="M670" s="132">
        <v>0</v>
      </c>
      <c r="N670" s="132">
        <v>1.1152372832191425E+19</v>
      </c>
    </row>
    <row r="671" spans="4:14" ht="15" customHeight="1" x14ac:dyDescent="0.2">
      <c r="D671" s="130" t="b">
        <v>0</v>
      </c>
      <c r="E671" s="124" t="s">
        <v>91</v>
      </c>
      <c r="F671" s="125" t="s">
        <v>91</v>
      </c>
      <c r="G671" s="125">
        <v>3</v>
      </c>
      <c r="H671" s="123" t="s">
        <v>98</v>
      </c>
      <c r="I671" s="123" t="s">
        <v>92</v>
      </c>
      <c r="J671" s="123" t="s">
        <v>96</v>
      </c>
      <c r="K671" s="123" t="s">
        <v>93</v>
      </c>
      <c r="L671" s="132">
        <v>591</v>
      </c>
      <c r="M671" s="132">
        <v>0</v>
      </c>
      <c r="N671" s="132">
        <v>1.5161107270299214E+19</v>
      </c>
    </row>
    <row r="672" spans="4:14" ht="15" customHeight="1" x14ac:dyDescent="0.2">
      <c r="D672" s="130" t="b">
        <v>0</v>
      </c>
      <c r="E672" s="124" t="s">
        <v>91</v>
      </c>
      <c r="F672" s="125" t="s">
        <v>91</v>
      </c>
      <c r="G672" s="125">
        <v>3</v>
      </c>
      <c r="H672" s="123" t="s">
        <v>98</v>
      </c>
      <c r="I672" s="123" t="s">
        <v>92</v>
      </c>
      <c r="J672" s="123" t="s">
        <v>97</v>
      </c>
      <c r="K672" s="123" t="s">
        <v>100</v>
      </c>
      <c r="L672" s="132">
        <v>592</v>
      </c>
      <c r="M672" s="132">
        <v>0</v>
      </c>
      <c r="N672" s="132">
        <v>1.4374720682297E+19</v>
      </c>
    </row>
    <row r="673" spans="4:14" ht="15" customHeight="1" x14ac:dyDescent="0.2">
      <c r="D673" s="130" t="b">
        <v>0</v>
      </c>
      <c r="E673" s="124" t="s">
        <v>91</v>
      </c>
      <c r="F673" s="125" t="s">
        <v>91</v>
      </c>
      <c r="G673" s="125">
        <v>3</v>
      </c>
      <c r="H673" s="123" t="s">
        <v>98</v>
      </c>
      <c r="I673" s="123" t="s">
        <v>92</v>
      </c>
      <c r="J673" s="123" t="s">
        <v>91</v>
      </c>
      <c r="K673" s="123" t="s">
        <v>100</v>
      </c>
      <c r="L673" s="132">
        <v>593</v>
      </c>
      <c r="M673" s="132">
        <v>0</v>
      </c>
      <c r="N673" s="132">
        <v>8.2385690793942784E+18</v>
      </c>
    </row>
    <row r="674" spans="4:14" ht="15" customHeight="1" x14ac:dyDescent="0.2">
      <c r="D674" s="130" t="b">
        <v>0</v>
      </c>
      <c r="E674" s="124" t="s">
        <v>91</v>
      </c>
      <c r="F674" s="125" t="s">
        <v>91</v>
      </c>
      <c r="G674" s="125">
        <v>4</v>
      </c>
      <c r="H674" s="123">
        <v>2</v>
      </c>
      <c r="I674" s="123" t="s">
        <v>95</v>
      </c>
      <c r="J674" s="123" t="s">
        <v>96</v>
      </c>
      <c r="K674" s="123" t="s">
        <v>93</v>
      </c>
      <c r="L674" s="132">
        <v>594</v>
      </c>
      <c r="M674" s="132">
        <v>0</v>
      </c>
      <c r="N674" s="132">
        <v>1.7995221747685468E+19</v>
      </c>
    </row>
    <row r="675" spans="4:14" ht="15" customHeight="1" x14ac:dyDescent="0.2">
      <c r="D675" s="130" t="b">
        <v>0</v>
      </c>
      <c r="E675" s="124" t="s">
        <v>91</v>
      </c>
      <c r="F675" s="125" t="s">
        <v>91</v>
      </c>
      <c r="G675" s="125">
        <v>4</v>
      </c>
      <c r="H675" s="123">
        <v>2</v>
      </c>
      <c r="I675" s="123" t="s">
        <v>95</v>
      </c>
      <c r="J675" s="123" t="s">
        <v>97</v>
      </c>
      <c r="K675" s="123" t="s">
        <v>93</v>
      </c>
      <c r="L675" s="132">
        <v>595</v>
      </c>
      <c r="M675" s="132">
        <v>0</v>
      </c>
      <c r="N675" s="132">
        <v>1.4455409492137236E+19</v>
      </c>
    </row>
    <row r="676" spans="4:14" ht="15" customHeight="1" x14ac:dyDescent="0.2">
      <c r="D676" s="130" t="b">
        <v>0</v>
      </c>
      <c r="E676" s="124" t="s">
        <v>91</v>
      </c>
      <c r="F676" s="125" t="s">
        <v>91</v>
      </c>
      <c r="G676" s="125">
        <v>4</v>
      </c>
      <c r="H676" s="123">
        <v>2</v>
      </c>
      <c r="I676" s="123" t="s">
        <v>95</v>
      </c>
      <c r="J676" s="123" t="s">
        <v>91</v>
      </c>
      <c r="K676" s="123" t="s">
        <v>93</v>
      </c>
      <c r="L676" s="132">
        <v>596</v>
      </c>
      <c r="M676" s="132">
        <v>0</v>
      </c>
      <c r="N676" s="132">
        <v>9.1533972599134403E+18</v>
      </c>
    </row>
    <row r="677" spans="4:14" ht="15" customHeight="1" x14ac:dyDescent="0.2">
      <c r="D677" s="130" t="b">
        <v>0</v>
      </c>
      <c r="E677" s="124" t="s">
        <v>91</v>
      </c>
      <c r="F677" s="125" t="s">
        <v>91</v>
      </c>
      <c r="G677" s="125">
        <v>4</v>
      </c>
      <c r="H677" s="123">
        <v>2</v>
      </c>
      <c r="I677" s="123" t="s">
        <v>97</v>
      </c>
      <c r="J677" s="123" t="s">
        <v>96</v>
      </c>
      <c r="K677" s="123" t="s">
        <v>93</v>
      </c>
      <c r="L677" s="132">
        <v>597</v>
      </c>
      <c r="M677" s="132">
        <v>0</v>
      </c>
      <c r="N677" s="132">
        <v>8.3249454498853632E+18</v>
      </c>
    </row>
    <row r="678" spans="4:14" ht="15" customHeight="1" x14ac:dyDescent="0.2">
      <c r="D678" s="130" t="b">
        <v>0</v>
      </c>
      <c r="E678" s="124" t="s">
        <v>91</v>
      </c>
      <c r="F678" s="125" t="s">
        <v>91</v>
      </c>
      <c r="G678" s="125">
        <v>4</v>
      </c>
      <c r="H678" s="123">
        <v>2</v>
      </c>
      <c r="I678" s="123" t="s">
        <v>97</v>
      </c>
      <c r="J678" s="123" t="s">
        <v>97</v>
      </c>
      <c r="K678" s="123" t="s">
        <v>93</v>
      </c>
      <c r="L678" s="132">
        <v>598</v>
      </c>
      <c r="M678" s="132">
        <v>0</v>
      </c>
      <c r="N678" s="132">
        <v>9.860427174457858E+18</v>
      </c>
    </row>
    <row r="679" spans="4:14" ht="15" customHeight="1" x14ac:dyDescent="0.2">
      <c r="D679" s="130" t="b">
        <v>0</v>
      </c>
      <c r="E679" s="124" t="s">
        <v>91</v>
      </c>
      <c r="F679" s="125" t="s">
        <v>91</v>
      </c>
      <c r="G679" s="125">
        <v>4</v>
      </c>
      <c r="H679" s="123">
        <v>2</v>
      </c>
      <c r="I679" s="123" t="s">
        <v>97</v>
      </c>
      <c r="J679" s="123" t="s">
        <v>91</v>
      </c>
      <c r="K679" s="123" t="s">
        <v>93</v>
      </c>
      <c r="L679" s="132">
        <v>599</v>
      </c>
      <c r="M679" s="132">
        <v>0</v>
      </c>
      <c r="N679" s="132">
        <v>6.9312986716926802E+18</v>
      </c>
    </row>
    <row r="680" spans="4:14" ht="15" customHeight="1" x14ac:dyDescent="0.2">
      <c r="D680" s="130" t="b">
        <v>0</v>
      </c>
      <c r="E680" s="124" t="s">
        <v>91</v>
      </c>
      <c r="F680" s="125" t="s">
        <v>91</v>
      </c>
      <c r="G680" s="125">
        <v>4</v>
      </c>
      <c r="H680" s="123">
        <v>2</v>
      </c>
      <c r="I680" s="123" t="s">
        <v>92</v>
      </c>
      <c r="J680" s="123" t="s">
        <v>96</v>
      </c>
      <c r="K680" s="123" t="s">
        <v>93</v>
      </c>
      <c r="L680" s="132">
        <v>600</v>
      </c>
      <c r="M680" s="132">
        <v>0</v>
      </c>
      <c r="N680" s="132">
        <v>3.4430885131871903E+18</v>
      </c>
    </row>
    <row r="681" spans="4:14" ht="15" customHeight="1" x14ac:dyDescent="0.2">
      <c r="D681" s="130" t="b">
        <v>0</v>
      </c>
      <c r="E681" s="124" t="s">
        <v>91</v>
      </c>
      <c r="F681" s="125" t="s">
        <v>91</v>
      </c>
      <c r="G681" s="125">
        <v>4</v>
      </c>
      <c r="H681" s="123">
        <v>2</v>
      </c>
      <c r="I681" s="123" t="s">
        <v>92</v>
      </c>
      <c r="J681" s="123" t="s">
        <v>97</v>
      </c>
      <c r="K681" s="123" t="s">
        <v>93</v>
      </c>
      <c r="L681" s="132">
        <v>601</v>
      </c>
      <c r="M681" s="132">
        <v>0</v>
      </c>
      <c r="N681" s="132">
        <v>3.4486995063264522E+18</v>
      </c>
    </row>
    <row r="682" spans="4:14" ht="15" customHeight="1" x14ac:dyDescent="0.2">
      <c r="D682" s="130" t="b">
        <v>0</v>
      </c>
      <c r="E682" s="124" t="s">
        <v>91</v>
      </c>
      <c r="F682" s="125" t="s">
        <v>91</v>
      </c>
      <c r="G682" s="125">
        <v>4</v>
      </c>
      <c r="H682" s="123">
        <v>2</v>
      </c>
      <c r="I682" s="123" t="s">
        <v>92</v>
      </c>
      <c r="J682" s="123" t="s">
        <v>91</v>
      </c>
      <c r="K682" s="123" t="s">
        <v>93</v>
      </c>
      <c r="L682" s="132">
        <v>602</v>
      </c>
      <c r="M682" s="132">
        <v>0</v>
      </c>
      <c r="N682" s="132">
        <v>1.4138128980294902E+19</v>
      </c>
    </row>
    <row r="683" spans="4:14" ht="15" customHeight="1" x14ac:dyDescent="0.2">
      <c r="D683" s="130" t="b">
        <v>0</v>
      </c>
      <c r="E683" s="124" t="s">
        <v>91</v>
      </c>
      <c r="F683" s="125" t="s">
        <v>91</v>
      </c>
      <c r="G683" s="125">
        <v>4</v>
      </c>
      <c r="H683" s="123">
        <v>4</v>
      </c>
      <c r="I683" s="123" t="s">
        <v>95</v>
      </c>
      <c r="J683" s="123" t="s">
        <v>96</v>
      </c>
      <c r="K683" s="123" t="s">
        <v>93</v>
      </c>
      <c r="L683" s="132">
        <v>603</v>
      </c>
      <c r="M683" s="132">
        <v>0</v>
      </c>
      <c r="N683" s="132">
        <v>1.5914580089463349E+19</v>
      </c>
    </row>
    <row r="684" spans="4:14" ht="15" customHeight="1" x14ac:dyDescent="0.2">
      <c r="D684" s="130" t="b">
        <v>0</v>
      </c>
      <c r="E684" s="124" t="s">
        <v>91</v>
      </c>
      <c r="F684" s="125" t="s">
        <v>91</v>
      </c>
      <c r="G684" s="125">
        <v>4</v>
      </c>
      <c r="H684" s="123">
        <v>4</v>
      </c>
      <c r="I684" s="123" t="s">
        <v>95</v>
      </c>
      <c r="J684" s="123" t="s">
        <v>97</v>
      </c>
      <c r="K684" s="123" t="s">
        <v>93</v>
      </c>
      <c r="L684" s="132">
        <v>604</v>
      </c>
      <c r="M684" s="132">
        <v>0</v>
      </c>
      <c r="N684" s="132">
        <v>2.4444905601296691E+18</v>
      </c>
    </row>
    <row r="685" spans="4:14" ht="15" customHeight="1" x14ac:dyDescent="0.2">
      <c r="D685" s="130" t="b">
        <v>0</v>
      </c>
      <c r="E685" s="124" t="s">
        <v>91</v>
      </c>
      <c r="F685" s="125" t="s">
        <v>91</v>
      </c>
      <c r="G685" s="125">
        <v>4</v>
      </c>
      <c r="H685" s="123">
        <v>4</v>
      </c>
      <c r="I685" s="123" t="s">
        <v>95</v>
      </c>
      <c r="J685" s="123" t="s">
        <v>91</v>
      </c>
      <c r="K685" s="123" t="s">
        <v>100</v>
      </c>
      <c r="L685" s="132">
        <v>605</v>
      </c>
      <c r="M685" s="132">
        <v>0</v>
      </c>
      <c r="N685" s="132">
        <v>2.5051118136508196E+18</v>
      </c>
    </row>
    <row r="686" spans="4:14" ht="15" customHeight="1" x14ac:dyDescent="0.2">
      <c r="D686" s="130" t="b">
        <v>0</v>
      </c>
      <c r="E686" s="124" t="s">
        <v>91</v>
      </c>
      <c r="F686" s="125" t="s">
        <v>91</v>
      </c>
      <c r="G686" s="125">
        <v>4</v>
      </c>
      <c r="H686" s="123">
        <v>4</v>
      </c>
      <c r="I686" s="123" t="s">
        <v>97</v>
      </c>
      <c r="J686" s="123" t="s">
        <v>96</v>
      </c>
      <c r="K686" s="123" t="s">
        <v>93</v>
      </c>
      <c r="L686" s="132">
        <v>606</v>
      </c>
      <c r="M686" s="132">
        <v>0</v>
      </c>
      <c r="N686" s="132">
        <v>1.114581507142185E+19</v>
      </c>
    </row>
    <row r="687" spans="4:14" ht="15" customHeight="1" x14ac:dyDescent="0.2">
      <c r="D687" s="130" t="b">
        <v>0</v>
      </c>
      <c r="E687" s="124" t="s">
        <v>91</v>
      </c>
      <c r="F687" s="125" t="s">
        <v>91</v>
      </c>
      <c r="G687" s="125">
        <v>4</v>
      </c>
      <c r="H687" s="123">
        <v>4</v>
      </c>
      <c r="I687" s="123" t="s">
        <v>97</v>
      </c>
      <c r="J687" s="123" t="s">
        <v>97</v>
      </c>
      <c r="K687" s="123" t="s">
        <v>100</v>
      </c>
      <c r="L687" s="132">
        <v>607</v>
      </c>
      <c r="M687" s="132">
        <v>0</v>
      </c>
      <c r="N687" s="132">
        <v>1.3276422939799456E+19</v>
      </c>
    </row>
    <row r="688" spans="4:14" ht="15" customHeight="1" x14ac:dyDescent="0.2">
      <c r="D688" s="130" t="b">
        <v>0</v>
      </c>
      <c r="E688" s="124" t="s">
        <v>91</v>
      </c>
      <c r="F688" s="125" t="s">
        <v>91</v>
      </c>
      <c r="G688" s="125">
        <v>4</v>
      </c>
      <c r="H688" s="123">
        <v>4</v>
      </c>
      <c r="I688" s="123" t="s">
        <v>97</v>
      </c>
      <c r="J688" s="123" t="s">
        <v>91</v>
      </c>
      <c r="K688" s="123" t="s">
        <v>100</v>
      </c>
      <c r="L688" s="132">
        <v>608</v>
      </c>
      <c r="M688" s="132">
        <v>0</v>
      </c>
      <c r="N688" s="132">
        <v>1.1054323240530639E+19</v>
      </c>
    </row>
    <row r="689" spans="4:14" ht="15" customHeight="1" x14ac:dyDescent="0.2">
      <c r="D689" s="130" t="b">
        <v>0</v>
      </c>
      <c r="E689" s="124" t="s">
        <v>91</v>
      </c>
      <c r="F689" s="125" t="s">
        <v>91</v>
      </c>
      <c r="G689" s="125">
        <v>4</v>
      </c>
      <c r="H689" s="123">
        <v>4</v>
      </c>
      <c r="I689" s="123" t="s">
        <v>92</v>
      </c>
      <c r="J689" s="123" t="s">
        <v>96</v>
      </c>
      <c r="K689" s="123" t="s">
        <v>93</v>
      </c>
      <c r="L689" s="132">
        <v>609</v>
      </c>
      <c r="M689" s="132">
        <v>0</v>
      </c>
      <c r="N689" s="132">
        <v>1.5441468970177681E+19</v>
      </c>
    </row>
    <row r="690" spans="4:14" ht="15" customHeight="1" x14ac:dyDescent="0.2">
      <c r="D690" s="130" t="b">
        <v>0</v>
      </c>
      <c r="E690" s="124" t="s">
        <v>91</v>
      </c>
      <c r="F690" s="125" t="s">
        <v>91</v>
      </c>
      <c r="G690" s="125">
        <v>4</v>
      </c>
      <c r="H690" s="123">
        <v>4</v>
      </c>
      <c r="I690" s="123" t="s">
        <v>92</v>
      </c>
      <c r="J690" s="123" t="s">
        <v>97</v>
      </c>
      <c r="K690" s="123" t="s">
        <v>100</v>
      </c>
      <c r="L690" s="132">
        <v>610</v>
      </c>
      <c r="M690" s="132">
        <v>0</v>
      </c>
      <c r="N690" s="132">
        <v>1.8396202115039449E+19</v>
      </c>
    </row>
    <row r="691" spans="4:14" ht="15" customHeight="1" x14ac:dyDescent="0.2">
      <c r="D691" s="130" t="b">
        <v>0</v>
      </c>
      <c r="E691" s="124" t="s">
        <v>91</v>
      </c>
      <c r="F691" s="125" t="s">
        <v>91</v>
      </c>
      <c r="G691" s="125">
        <v>4</v>
      </c>
      <c r="H691" s="123">
        <v>4</v>
      </c>
      <c r="I691" s="123" t="s">
        <v>92</v>
      </c>
      <c r="J691" s="123" t="s">
        <v>91</v>
      </c>
      <c r="K691" s="123" t="s">
        <v>100</v>
      </c>
      <c r="L691" s="132">
        <v>611</v>
      </c>
      <c r="M691" s="132">
        <v>0</v>
      </c>
      <c r="N691" s="132">
        <v>9.5968842385376522E+18</v>
      </c>
    </row>
    <row r="692" spans="4:14" ht="15" customHeight="1" x14ac:dyDescent="0.2">
      <c r="D692" s="130" t="b">
        <v>0</v>
      </c>
      <c r="E692" s="124" t="s">
        <v>91</v>
      </c>
      <c r="F692" s="125" t="s">
        <v>91</v>
      </c>
      <c r="G692" s="125">
        <v>4</v>
      </c>
      <c r="H692" s="123" t="s">
        <v>98</v>
      </c>
      <c r="I692" s="123" t="s">
        <v>95</v>
      </c>
      <c r="J692" s="123" t="s">
        <v>96</v>
      </c>
      <c r="K692" s="123" t="s">
        <v>93</v>
      </c>
      <c r="L692" s="132">
        <v>612</v>
      </c>
      <c r="M692" s="132">
        <v>0</v>
      </c>
      <c r="N692" s="132">
        <v>1.3600359848557396E+19</v>
      </c>
    </row>
    <row r="693" spans="4:14" ht="15" customHeight="1" x14ac:dyDescent="0.2">
      <c r="D693" s="130" t="b">
        <v>0</v>
      </c>
      <c r="E693" s="124" t="s">
        <v>91</v>
      </c>
      <c r="F693" s="125" t="s">
        <v>91</v>
      </c>
      <c r="G693" s="125">
        <v>4</v>
      </c>
      <c r="H693" s="123" t="s">
        <v>98</v>
      </c>
      <c r="I693" s="123" t="s">
        <v>95</v>
      </c>
      <c r="J693" s="123" t="s">
        <v>97</v>
      </c>
      <c r="K693" s="123" t="s">
        <v>93</v>
      </c>
      <c r="L693" s="132">
        <v>613</v>
      </c>
      <c r="M693" s="132">
        <v>0</v>
      </c>
      <c r="N693" s="132">
        <v>1.5627376877190611E+19</v>
      </c>
    </row>
    <row r="694" spans="4:14" ht="15" customHeight="1" x14ac:dyDescent="0.2">
      <c r="D694" s="130" t="b">
        <v>0</v>
      </c>
      <c r="E694" s="124" t="s">
        <v>91</v>
      </c>
      <c r="F694" s="125" t="s">
        <v>91</v>
      </c>
      <c r="G694" s="125">
        <v>4</v>
      </c>
      <c r="H694" s="123" t="s">
        <v>98</v>
      </c>
      <c r="I694" s="123" t="s">
        <v>95</v>
      </c>
      <c r="J694" s="123" t="s">
        <v>91</v>
      </c>
      <c r="K694" s="123" t="s">
        <v>100</v>
      </c>
      <c r="L694" s="132">
        <v>614</v>
      </c>
      <c r="M694" s="132">
        <v>0</v>
      </c>
      <c r="N694" s="132">
        <v>1.1764080278473478E+19</v>
      </c>
    </row>
    <row r="695" spans="4:14" ht="15" customHeight="1" x14ac:dyDescent="0.2">
      <c r="D695" s="130" t="b">
        <v>0</v>
      </c>
      <c r="E695" s="124" t="s">
        <v>91</v>
      </c>
      <c r="F695" s="125" t="s">
        <v>91</v>
      </c>
      <c r="G695" s="125">
        <v>4</v>
      </c>
      <c r="H695" s="123" t="s">
        <v>98</v>
      </c>
      <c r="I695" s="123" t="s">
        <v>97</v>
      </c>
      <c r="J695" s="123" t="s">
        <v>96</v>
      </c>
      <c r="K695" s="123" t="s">
        <v>93</v>
      </c>
      <c r="L695" s="132">
        <v>615</v>
      </c>
      <c r="M695" s="132">
        <v>0</v>
      </c>
      <c r="N695" s="132">
        <v>8.9147837245907528E+18</v>
      </c>
    </row>
    <row r="696" spans="4:14" ht="15" customHeight="1" x14ac:dyDescent="0.2">
      <c r="D696" s="130" t="b">
        <v>0</v>
      </c>
      <c r="E696" s="124" t="s">
        <v>91</v>
      </c>
      <c r="F696" s="125" t="s">
        <v>91</v>
      </c>
      <c r="G696" s="125">
        <v>4</v>
      </c>
      <c r="H696" s="123" t="s">
        <v>98</v>
      </c>
      <c r="I696" s="123" t="s">
        <v>97</v>
      </c>
      <c r="J696" s="123" t="s">
        <v>97</v>
      </c>
      <c r="K696" s="123" t="s">
        <v>100</v>
      </c>
      <c r="L696" s="132">
        <v>616</v>
      </c>
      <c r="M696" s="132">
        <v>0</v>
      </c>
      <c r="N696" s="132">
        <v>7.9619266683722885E+18</v>
      </c>
    </row>
    <row r="697" spans="4:14" ht="15" customHeight="1" x14ac:dyDescent="0.2">
      <c r="D697" s="130" t="b">
        <v>0</v>
      </c>
      <c r="E697" s="124" t="s">
        <v>91</v>
      </c>
      <c r="F697" s="125" t="s">
        <v>91</v>
      </c>
      <c r="G697" s="125">
        <v>4</v>
      </c>
      <c r="H697" s="123" t="s">
        <v>98</v>
      </c>
      <c r="I697" s="123" t="s">
        <v>97</v>
      </c>
      <c r="J697" s="123" t="s">
        <v>91</v>
      </c>
      <c r="K697" s="123" t="s">
        <v>100</v>
      </c>
      <c r="L697" s="132">
        <v>617</v>
      </c>
      <c r="M697" s="132">
        <v>0</v>
      </c>
      <c r="N697" s="132">
        <v>2.2793195074016015E+18</v>
      </c>
    </row>
    <row r="698" spans="4:14" ht="15" customHeight="1" x14ac:dyDescent="0.2">
      <c r="D698" s="130" t="b">
        <v>0</v>
      </c>
      <c r="E698" s="124" t="s">
        <v>91</v>
      </c>
      <c r="F698" s="125" t="s">
        <v>91</v>
      </c>
      <c r="G698" s="125">
        <v>4</v>
      </c>
      <c r="H698" s="123" t="s">
        <v>98</v>
      </c>
      <c r="I698" s="123" t="s">
        <v>92</v>
      </c>
      <c r="J698" s="123" t="s">
        <v>96</v>
      </c>
      <c r="K698" s="123" t="s">
        <v>93</v>
      </c>
      <c r="L698" s="132">
        <v>618</v>
      </c>
      <c r="M698" s="132">
        <v>0</v>
      </c>
      <c r="N698" s="132">
        <v>1.6296140675670888E+19</v>
      </c>
    </row>
    <row r="699" spans="4:14" ht="15" customHeight="1" x14ac:dyDescent="0.2">
      <c r="D699" s="130" t="b">
        <v>0</v>
      </c>
      <c r="E699" s="124" t="s">
        <v>91</v>
      </c>
      <c r="F699" s="125" t="s">
        <v>91</v>
      </c>
      <c r="G699" s="125">
        <v>4</v>
      </c>
      <c r="H699" s="123" t="s">
        <v>98</v>
      </c>
      <c r="I699" s="123" t="s">
        <v>92</v>
      </c>
      <c r="J699" s="123" t="s">
        <v>97</v>
      </c>
      <c r="K699" s="123" t="s">
        <v>100</v>
      </c>
      <c r="L699" s="132">
        <v>619</v>
      </c>
      <c r="M699" s="132">
        <v>0</v>
      </c>
      <c r="N699" s="132">
        <v>1.7357754788856183E+19</v>
      </c>
    </row>
    <row r="700" spans="4:14" ht="15" customHeight="1" x14ac:dyDescent="0.2">
      <c r="D700" s="130" t="b">
        <v>0</v>
      </c>
      <c r="E700" s="124" t="s">
        <v>91</v>
      </c>
      <c r="F700" s="125" t="s">
        <v>91</v>
      </c>
      <c r="G700" s="125">
        <v>4</v>
      </c>
      <c r="H700" s="123" t="s">
        <v>98</v>
      </c>
      <c r="I700" s="123" t="s">
        <v>92</v>
      </c>
      <c r="J700" s="123" t="s">
        <v>91</v>
      </c>
      <c r="K700" s="123" t="s">
        <v>100</v>
      </c>
      <c r="L700" s="132">
        <v>620</v>
      </c>
      <c r="M700" s="132">
        <v>0</v>
      </c>
      <c r="N700" s="132">
        <v>5.0898351711342008E+18</v>
      </c>
    </row>
    <row r="701" spans="4:14" ht="15" customHeight="1" x14ac:dyDescent="0.2">
      <c r="D701" s="130" t="b">
        <v>0</v>
      </c>
      <c r="E701" s="124" t="s">
        <v>91</v>
      </c>
      <c r="F701" s="125" t="s">
        <v>91</v>
      </c>
      <c r="G701" s="125" t="s">
        <v>99</v>
      </c>
      <c r="H701" s="123">
        <v>2</v>
      </c>
      <c r="I701" s="123" t="s">
        <v>95</v>
      </c>
      <c r="J701" s="123" t="s">
        <v>96</v>
      </c>
      <c r="K701" s="123" t="s">
        <v>93</v>
      </c>
      <c r="L701" s="132">
        <v>621</v>
      </c>
      <c r="M701" s="132">
        <v>0</v>
      </c>
      <c r="N701" s="132">
        <v>1.0927020211621971E+18</v>
      </c>
    </row>
    <row r="702" spans="4:14" ht="15" customHeight="1" x14ac:dyDescent="0.2">
      <c r="D702" s="130" t="b">
        <v>0</v>
      </c>
      <c r="E702" s="124" t="s">
        <v>91</v>
      </c>
      <c r="F702" s="125" t="s">
        <v>91</v>
      </c>
      <c r="G702" s="125" t="s">
        <v>99</v>
      </c>
      <c r="H702" s="123">
        <v>2</v>
      </c>
      <c r="I702" s="123" t="s">
        <v>95</v>
      </c>
      <c r="J702" s="123" t="s">
        <v>97</v>
      </c>
      <c r="K702" s="123" t="s">
        <v>93</v>
      </c>
      <c r="L702" s="132">
        <v>622</v>
      </c>
      <c r="M702" s="132">
        <v>0</v>
      </c>
      <c r="N702" s="132">
        <v>6.8503149553600502E+18</v>
      </c>
    </row>
    <row r="703" spans="4:14" ht="15" customHeight="1" x14ac:dyDescent="0.2">
      <c r="D703" s="130" t="b">
        <v>0</v>
      </c>
      <c r="E703" s="124" t="s">
        <v>91</v>
      </c>
      <c r="F703" s="125" t="s">
        <v>91</v>
      </c>
      <c r="G703" s="125" t="s">
        <v>99</v>
      </c>
      <c r="H703" s="123">
        <v>2</v>
      </c>
      <c r="I703" s="123" t="s">
        <v>95</v>
      </c>
      <c r="J703" s="123" t="s">
        <v>91</v>
      </c>
      <c r="K703" s="123" t="s">
        <v>93</v>
      </c>
      <c r="L703" s="132">
        <v>623</v>
      </c>
      <c r="M703" s="132">
        <v>0</v>
      </c>
      <c r="N703" s="132">
        <v>1.6679900406838925E+19</v>
      </c>
    </row>
    <row r="704" spans="4:14" ht="15" customHeight="1" x14ac:dyDescent="0.2">
      <c r="D704" s="130" t="b">
        <v>0</v>
      </c>
      <c r="E704" s="124" t="s">
        <v>91</v>
      </c>
      <c r="F704" s="125" t="s">
        <v>91</v>
      </c>
      <c r="G704" s="125" t="s">
        <v>99</v>
      </c>
      <c r="H704" s="123">
        <v>2</v>
      </c>
      <c r="I704" s="123" t="s">
        <v>97</v>
      </c>
      <c r="J704" s="123" t="s">
        <v>96</v>
      </c>
      <c r="K704" s="123" t="s">
        <v>93</v>
      </c>
      <c r="L704" s="132">
        <v>624</v>
      </c>
      <c r="M704" s="132">
        <v>0</v>
      </c>
      <c r="N704" s="132">
        <v>1.2218464885408031E+18</v>
      </c>
    </row>
    <row r="705" spans="4:14" ht="15" customHeight="1" x14ac:dyDescent="0.2">
      <c r="D705" s="130" t="b">
        <v>0</v>
      </c>
      <c r="E705" s="124" t="s">
        <v>91</v>
      </c>
      <c r="F705" s="125" t="s">
        <v>91</v>
      </c>
      <c r="G705" s="125" t="s">
        <v>99</v>
      </c>
      <c r="H705" s="123">
        <v>2</v>
      </c>
      <c r="I705" s="123" t="s">
        <v>97</v>
      </c>
      <c r="J705" s="123" t="s">
        <v>97</v>
      </c>
      <c r="K705" s="123" t="s">
        <v>93</v>
      </c>
      <c r="L705" s="132">
        <v>625</v>
      </c>
      <c r="M705" s="132">
        <v>0</v>
      </c>
      <c r="N705" s="132">
        <v>6.3220734520613192E+18</v>
      </c>
    </row>
    <row r="706" spans="4:14" ht="15" customHeight="1" x14ac:dyDescent="0.2">
      <c r="D706" s="130" t="b">
        <v>0</v>
      </c>
      <c r="E706" s="124" t="s">
        <v>91</v>
      </c>
      <c r="F706" s="125" t="s">
        <v>91</v>
      </c>
      <c r="G706" s="125" t="s">
        <v>99</v>
      </c>
      <c r="H706" s="123">
        <v>2</v>
      </c>
      <c r="I706" s="123" t="s">
        <v>97</v>
      </c>
      <c r="J706" s="123" t="s">
        <v>91</v>
      </c>
      <c r="K706" s="123" t="s">
        <v>93</v>
      </c>
      <c r="L706" s="132">
        <v>626</v>
      </c>
      <c r="M706" s="132">
        <v>0</v>
      </c>
      <c r="N706" s="132">
        <v>3.7767905883393495E+18</v>
      </c>
    </row>
    <row r="707" spans="4:14" ht="15" customHeight="1" x14ac:dyDescent="0.2">
      <c r="D707" s="130" t="b">
        <v>0</v>
      </c>
      <c r="E707" s="124" t="s">
        <v>91</v>
      </c>
      <c r="F707" s="125" t="s">
        <v>91</v>
      </c>
      <c r="G707" s="125" t="s">
        <v>99</v>
      </c>
      <c r="H707" s="123">
        <v>2</v>
      </c>
      <c r="I707" s="123" t="s">
        <v>92</v>
      </c>
      <c r="J707" s="123" t="s">
        <v>96</v>
      </c>
      <c r="K707" s="123" t="s">
        <v>93</v>
      </c>
      <c r="L707" s="132">
        <v>627</v>
      </c>
      <c r="M707" s="132">
        <v>0</v>
      </c>
      <c r="N707" s="132">
        <v>1.5219788386663145E+18</v>
      </c>
    </row>
    <row r="708" spans="4:14" ht="15" customHeight="1" x14ac:dyDescent="0.2">
      <c r="D708" s="130" t="b">
        <v>0</v>
      </c>
      <c r="E708" s="124" t="s">
        <v>91</v>
      </c>
      <c r="F708" s="125" t="s">
        <v>91</v>
      </c>
      <c r="G708" s="125" t="s">
        <v>99</v>
      </c>
      <c r="H708" s="123">
        <v>2</v>
      </c>
      <c r="I708" s="123" t="s">
        <v>92</v>
      </c>
      <c r="J708" s="123" t="s">
        <v>97</v>
      </c>
      <c r="K708" s="123" t="s">
        <v>93</v>
      </c>
      <c r="L708" s="132">
        <v>628</v>
      </c>
      <c r="M708" s="132">
        <v>0</v>
      </c>
      <c r="N708" s="132">
        <v>1.4689588294559738E+19</v>
      </c>
    </row>
    <row r="709" spans="4:14" ht="15" customHeight="1" x14ac:dyDescent="0.2">
      <c r="D709" s="130" t="b">
        <v>0</v>
      </c>
      <c r="E709" s="124" t="s">
        <v>91</v>
      </c>
      <c r="F709" s="125" t="s">
        <v>91</v>
      </c>
      <c r="G709" s="125" t="s">
        <v>99</v>
      </c>
      <c r="H709" s="123">
        <v>2</v>
      </c>
      <c r="I709" s="123" t="s">
        <v>92</v>
      </c>
      <c r="J709" s="123" t="s">
        <v>91</v>
      </c>
      <c r="K709" s="123" t="s">
        <v>93</v>
      </c>
      <c r="L709" s="132">
        <v>629</v>
      </c>
      <c r="M709" s="132">
        <v>0</v>
      </c>
      <c r="N709" s="132">
        <v>8.896584112427092E+18</v>
      </c>
    </row>
    <row r="710" spans="4:14" ht="15" customHeight="1" x14ac:dyDescent="0.2">
      <c r="D710" s="130" t="b">
        <v>0</v>
      </c>
      <c r="E710" s="124" t="s">
        <v>91</v>
      </c>
      <c r="F710" s="125" t="s">
        <v>91</v>
      </c>
      <c r="G710" s="125" t="s">
        <v>99</v>
      </c>
      <c r="H710" s="123">
        <v>4</v>
      </c>
      <c r="I710" s="123" t="s">
        <v>95</v>
      </c>
      <c r="J710" s="123" t="s">
        <v>96</v>
      </c>
      <c r="K710" s="123" t="s">
        <v>93</v>
      </c>
      <c r="L710" s="132">
        <v>630</v>
      </c>
      <c r="M710" s="132">
        <v>0</v>
      </c>
      <c r="N710" s="132">
        <v>1.3958722795964586E+19</v>
      </c>
    </row>
    <row r="711" spans="4:14" ht="15" customHeight="1" x14ac:dyDescent="0.2">
      <c r="D711" s="130" t="b">
        <v>0</v>
      </c>
      <c r="E711" s="124" t="s">
        <v>91</v>
      </c>
      <c r="F711" s="125" t="s">
        <v>91</v>
      </c>
      <c r="G711" s="125" t="s">
        <v>99</v>
      </c>
      <c r="H711" s="123">
        <v>4</v>
      </c>
      <c r="I711" s="123" t="s">
        <v>95</v>
      </c>
      <c r="J711" s="123" t="s">
        <v>97</v>
      </c>
      <c r="K711" s="123" t="s">
        <v>93</v>
      </c>
      <c r="L711" s="132">
        <v>631</v>
      </c>
      <c r="M711" s="132">
        <v>0</v>
      </c>
      <c r="N711" s="132">
        <v>6.6575087603081933E+18</v>
      </c>
    </row>
    <row r="712" spans="4:14" ht="15" customHeight="1" x14ac:dyDescent="0.2">
      <c r="D712" s="130" t="b">
        <v>0</v>
      </c>
      <c r="E712" s="124" t="s">
        <v>91</v>
      </c>
      <c r="F712" s="125" t="s">
        <v>91</v>
      </c>
      <c r="G712" s="125" t="s">
        <v>99</v>
      </c>
      <c r="H712" s="123">
        <v>4</v>
      </c>
      <c r="I712" s="123" t="s">
        <v>95</v>
      </c>
      <c r="J712" s="123" t="s">
        <v>91</v>
      </c>
      <c r="K712" s="123" t="s">
        <v>100</v>
      </c>
      <c r="L712" s="132">
        <v>632</v>
      </c>
      <c r="M712" s="132">
        <v>0</v>
      </c>
      <c r="N712" s="132">
        <v>1.7982478734202081E+19</v>
      </c>
    </row>
    <row r="713" spans="4:14" ht="15" customHeight="1" x14ac:dyDescent="0.2">
      <c r="D713" s="130" t="b">
        <v>0</v>
      </c>
      <c r="E713" s="124" t="s">
        <v>91</v>
      </c>
      <c r="F713" s="125" t="s">
        <v>91</v>
      </c>
      <c r="G713" s="125" t="s">
        <v>99</v>
      </c>
      <c r="H713" s="123">
        <v>4</v>
      </c>
      <c r="I713" s="123" t="s">
        <v>97</v>
      </c>
      <c r="J713" s="123" t="s">
        <v>96</v>
      </c>
      <c r="K713" s="123" t="s">
        <v>93</v>
      </c>
      <c r="L713" s="132">
        <v>633</v>
      </c>
      <c r="M713" s="132">
        <v>0</v>
      </c>
      <c r="N713" s="132">
        <v>1.6189295727659213E+19</v>
      </c>
    </row>
    <row r="714" spans="4:14" ht="15" customHeight="1" x14ac:dyDescent="0.2">
      <c r="D714" s="130" t="b">
        <v>0</v>
      </c>
      <c r="E714" s="124" t="s">
        <v>91</v>
      </c>
      <c r="F714" s="125" t="s">
        <v>91</v>
      </c>
      <c r="G714" s="125" t="s">
        <v>99</v>
      </c>
      <c r="H714" s="123">
        <v>4</v>
      </c>
      <c r="I714" s="123" t="s">
        <v>97</v>
      </c>
      <c r="J714" s="123" t="s">
        <v>97</v>
      </c>
      <c r="K714" s="123" t="s">
        <v>100</v>
      </c>
      <c r="L714" s="132">
        <v>634</v>
      </c>
      <c r="M714" s="132">
        <v>0</v>
      </c>
      <c r="N714" s="132">
        <v>1.2627980444965629E+18</v>
      </c>
    </row>
    <row r="715" spans="4:14" ht="15" customHeight="1" x14ac:dyDescent="0.2">
      <c r="D715" s="130" t="b">
        <v>0</v>
      </c>
      <c r="E715" s="124" t="s">
        <v>91</v>
      </c>
      <c r="F715" s="125" t="s">
        <v>91</v>
      </c>
      <c r="G715" s="125" t="s">
        <v>99</v>
      </c>
      <c r="H715" s="123">
        <v>4</v>
      </c>
      <c r="I715" s="123" t="s">
        <v>97</v>
      </c>
      <c r="J715" s="123" t="s">
        <v>91</v>
      </c>
      <c r="K715" s="123" t="s">
        <v>100</v>
      </c>
      <c r="L715" s="132">
        <v>635</v>
      </c>
      <c r="M715" s="132">
        <v>0</v>
      </c>
      <c r="N715" s="132">
        <v>6.0500616407620209E+18</v>
      </c>
    </row>
    <row r="716" spans="4:14" ht="15" customHeight="1" x14ac:dyDescent="0.2">
      <c r="D716" s="130" t="b">
        <v>0</v>
      </c>
      <c r="E716" s="124" t="s">
        <v>91</v>
      </c>
      <c r="F716" s="125" t="s">
        <v>91</v>
      </c>
      <c r="G716" s="125" t="s">
        <v>99</v>
      </c>
      <c r="H716" s="123">
        <v>4</v>
      </c>
      <c r="I716" s="123" t="s">
        <v>92</v>
      </c>
      <c r="J716" s="123" t="s">
        <v>96</v>
      </c>
      <c r="K716" s="123" t="s">
        <v>93</v>
      </c>
      <c r="L716" s="132">
        <v>636</v>
      </c>
      <c r="M716" s="132">
        <v>0</v>
      </c>
      <c r="N716" s="132">
        <v>1.5002051399062843E+19</v>
      </c>
    </row>
    <row r="717" spans="4:14" ht="15" customHeight="1" x14ac:dyDescent="0.2">
      <c r="D717" s="130" t="b">
        <v>0</v>
      </c>
      <c r="E717" s="124" t="s">
        <v>91</v>
      </c>
      <c r="F717" s="125" t="s">
        <v>91</v>
      </c>
      <c r="G717" s="125" t="s">
        <v>99</v>
      </c>
      <c r="H717" s="123">
        <v>4</v>
      </c>
      <c r="I717" s="123" t="s">
        <v>92</v>
      </c>
      <c r="J717" s="123" t="s">
        <v>97</v>
      </c>
      <c r="K717" s="123" t="s">
        <v>100</v>
      </c>
      <c r="L717" s="132">
        <v>637</v>
      </c>
      <c r="M717" s="132">
        <v>0</v>
      </c>
      <c r="N717" s="132">
        <v>1.4898191806734029E+19</v>
      </c>
    </row>
    <row r="718" spans="4:14" ht="15" customHeight="1" x14ac:dyDescent="0.2">
      <c r="D718" s="130" t="b">
        <v>0</v>
      </c>
      <c r="E718" s="124" t="s">
        <v>91</v>
      </c>
      <c r="F718" s="125" t="s">
        <v>91</v>
      </c>
      <c r="G718" s="125" t="s">
        <v>99</v>
      </c>
      <c r="H718" s="123">
        <v>4</v>
      </c>
      <c r="I718" s="123" t="s">
        <v>92</v>
      </c>
      <c r="J718" s="123" t="s">
        <v>91</v>
      </c>
      <c r="K718" s="123" t="s">
        <v>100</v>
      </c>
      <c r="L718" s="132">
        <v>638</v>
      </c>
      <c r="M718" s="132">
        <v>0</v>
      </c>
      <c r="N718" s="132">
        <v>1.649349086248764E+19</v>
      </c>
    </row>
    <row r="719" spans="4:14" ht="15" customHeight="1" x14ac:dyDescent="0.2">
      <c r="D719" s="130" t="b">
        <v>0</v>
      </c>
      <c r="E719" s="124" t="s">
        <v>91</v>
      </c>
      <c r="F719" s="125" t="s">
        <v>91</v>
      </c>
      <c r="G719" s="125" t="s">
        <v>99</v>
      </c>
      <c r="H719" s="123" t="s">
        <v>98</v>
      </c>
      <c r="I719" s="123" t="s">
        <v>95</v>
      </c>
      <c r="J719" s="123" t="s">
        <v>96</v>
      </c>
      <c r="K719" s="123" t="s">
        <v>93</v>
      </c>
      <c r="L719" s="132">
        <v>639</v>
      </c>
      <c r="M719" s="132">
        <v>0</v>
      </c>
      <c r="N719" s="132">
        <v>5.4081005428401091E+18</v>
      </c>
    </row>
    <row r="720" spans="4:14" ht="15" customHeight="1" x14ac:dyDescent="0.2">
      <c r="D720" s="130" t="b">
        <v>0</v>
      </c>
      <c r="E720" s="124" t="s">
        <v>91</v>
      </c>
      <c r="F720" s="125" t="s">
        <v>91</v>
      </c>
      <c r="G720" s="125" t="s">
        <v>99</v>
      </c>
      <c r="H720" s="123" t="s">
        <v>98</v>
      </c>
      <c r="I720" s="123" t="s">
        <v>95</v>
      </c>
      <c r="J720" s="123" t="s">
        <v>97</v>
      </c>
      <c r="K720" s="123" t="s">
        <v>93</v>
      </c>
      <c r="L720" s="132">
        <v>640</v>
      </c>
      <c r="M720" s="132">
        <v>0</v>
      </c>
      <c r="N720" s="132">
        <v>1.4521660823124089E+19</v>
      </c>
    </row>
    <row r="721" spans="4:14" ht="15" customHeight="1" x14ac:dyDescent="0.2">
      <c r="D721" s="130" t="b">
        <v>0</v>
      </c>
      <c r="E721" s="124" t="s">
        <v>91</v>
      </c>
      <c r="F721" s="125" t="s">
        <v>91</v>
      </c>
      <c r="G721" s="125" t="s">
        <v>99</v>
      </c>
      <c r="H721" s="123" t="s">
        <v>98</v>
      </c>
      <c r="I721" s="123" t="s">
        <v>95</v>
      </c>
      <c r="J721" s="123" t="s">
        <v>91</v>
      </c>
      <c r="K721" s="123" t="s">
        <v>100</v>
      </c>
      <c r="L721" s="132">
        <v>641</v>
      </c>
      <c r="M721" s="132">
        <v>0</v>
      </c>
      <c r="N721" s="132">
        <v>1.4324344072696142E+19</v>
      </c>
    </row>
    <row r="722" spans="4:14" ht="15" customHeight="1" x14ac:dyDescent="0.2">
      <c r="D722" s="130" t="b">
        <v>0</v>
      </c>
      <c r="E722" s="124" t="s">
        <v>91</v>
      </c>
      <c r="F722" s="125" t="s">
        <v>91</v>
      </c>
      <c r="G722" s="125" t="s">
        <v>99</v>
      </c>
      <c r="H722" s="123" t="s">
        <v>98</v>
      </c>
      <c r="I722" s="123" t="s">
        <v>97</v>
      </c>
      <c r="J722" s="123" t="s">
        <v>96</v>
      </c>
      <c r="K722" s="123" t="s">
        <v>93</v>
      </c>
      <c r="L722" s="132">
        <v>642</v>
      </c>
      <c r="M722" s="132">
        <v>0</v>
      </c>
      <c r="N722" s="132">
        <v>1.2947202056848583E+19</v>
      </c>
    </row>
    <row r="723" spans="4:14" ht="15" customHeight="1" x14ac:dyDescent="0.2">
      <c r="D723" s="130" t="b">
        <v>0</v>
      </c>
      <c r="E723" s="124" t="s">
        <v>91</v>
      </c>
      <c r="F723" s="125" t="s">
        <v>91</v>
      </c>
      <c r="G723" s="125" t="s">
        <v>99</v>
      </c>
      <c r="H723" s="123" t="s">
        <v>98</v>
      </c>
      <c r="I723" s="123" t="s">
        <v>97</v>
      </c>
      <c r="J723" s="123" t="s">
        <v>97</v>
      </c>
      <c r="K723" s="123" t="s">
        <v>100</v>
      </c>
      <c r="L723" s="132">
        <v>643</v>
      </c>
      <c r="M723" s="132">
        <v>0</v>
      </c>
      <c r="N723" s="132">
        <v>3.0687561408596209E+18</v>
      </c>
    </row>
    <row r="724" spans="4:14" ht="15" customHeight="1" x14ac:dyDescent="0.2">
      <c r="D724" s="130" t="b">
        <v>0</v>
      </c>
      <c r="E724" s="124" t="s">
        <v>91</v>
      </c>
      <c r="F724" s="125" t="s">
        <v>91</v>
      </c>
      <c r="G724" s="125" t="s">
        <v>99</v>
      </c>
      <c r="H724" s="123" t="s">
        <v>98</v>
      </c>
      <c r="I724" s="123" t="s">
        <v>97</v>
      </c>
      <c r="J724" s="123" t="s">
        <v>91</v>
      </c>
      <c r="K724" s="123" t="s">
        <v>100</v>
      </c>
      <c r="L724" s="132">
        <v>644</v>
      </c>
      <c r="M724" s="132">
        <v>0</v>
      </c>
      <c r="N724" s="132">
        <v>1.5460176559237124E+19</v>
      </c>
    </row>
    <row r="725" spans="4:14" ht="15" customHeight="1" x14ac:dyDescent="0.2">
      <c r="D725" s="130" t="b">
        <v>0</v>
      </c>
      <c r="E725" s="124" t="s">
        <v>91</v>
      </c>
      <c r="F725" s="125" t="s">
        <v>91</v>
      </c>
      <c r="G725" s="125" t="s">
        <v>99</v>
      </c>
      <c r="H725" s="123" t="s">
        <v>98</v>
      </c>
      <c r="I725" s="123" t="s">
        <v>92</v>
      </c>
      <c r="J725" s="123" t="s">
        <v>96</v>
      </c>
      <c r="K725" s="123" t="s">
        <v>93</v>
      </c>
      <c r="L725" s="132">
        <v>645</v>
      </c>
      <c r="M725" s="132">
        <v>0</v>
      </c>
      <c r="N725" s="132">
        <v>9.1981803334009928E+18</v>
      </c>
    </row>
    <row r="726" spans="4:14" ht="15" customHeight="1" x14ac:dyDescent="0.2">
      <c r="D726" s="130" t="b">
        <v>0</v>
      </c>
      <c r="E726" s="124" t="s">
        <v>91</v>
      </c>
      <c r="F726" s="125" t="s">
        <v>91</v>
      </c>
      <c r="G726" s="125" t="s">
        <v>99</v>
      </c>
      <c r="H726" s="123" t="s">
        <v>98</v>
      </c>
      <c r="I726" s="123" t="s">
        <v>92</v>
      </c>
      <c r="J726" s="123" t="s">
        <v>97</v>
      </c>
      <c r="K726" s="123" t="s">
        <v>100</v>
      </c>
      <c r="L726" s="132">
        <v>646</v>
      </c>
      <c r="M726" s="132">
        <v>0</v>
      </c>
      <c r="N726" s="132">
        <v>1.3225976763952607E+19</v>
      </c>
    </row>
    <row r="727" spans="4:14" ht="15" customHeight="1" x14ac:dyDescent="0.2">
      <c r="D727" s="130" t="b">
        <v>0</v>
      </c>
      <c r="E727" s="124" t="s">
        <v>91</v>
      </c>
      <c r="F727" s="125" t="s">
        <v>91</v>
      </c>
      <c r="G727" s="125" t="s">
        <v>99</v>
      </c>
      <c r="H727" s="123" t="s">
        <v>98</v>
      </c>
      <c r="I727" s="123" t="s">
        <v>92</v>
      </c>
      <c r="J727" s="123" t="s">
        <v>91</v>
      </c>
      <c r="K727" s="123" t="s">
        <v>100</v>
      </c>
      <c r="L727" s="132">
        <v>647</v>
      </c>
      <c r="M727" s="132">
        <v>0</v>
      </c>
      <c r="N727" s="132">
        <v>1.6537302223678237E+19</v>
      </c>
    </row>
    <row r="728" spans="4:14" ht="15" customHeight="1" x14ac:dyDescent="0.2">
      <c r="D728" s="130" t="b">
        <v>0</v>
      </c>
      <c r="E728" s="124" t="s">
        <v>91</v>
      </c>
      <c r="F728" s="125" t="s">
        <v>97</v>
      </c>
      <c r="G728" s="125">
        <v>2</v>
      </c>
      <c r="H728" s="123">
        <v>2</v>
      </c>
      <c r="I728" s="123" t="s">
        <v>95</v>
      </c>
      <c r="J728" s="123" t="s">
        <v>96</v>
      </c>
      <c r="K728" s="123" t="s">
        <v>93</v>
      </c>
      <c r="L728" s="132">
        <v>648</v>
      </c>
      <c r="M728" s="132">
        <v>0</v>
      </c>
      <c r="N728" s="132">
        <v>5.3708671300202179E+18</v>
      </c>
    </row>
    <row r="729" spans="4:14" ht="15" customHeight="1" x14ac:dyDescent="0.2">
      <c r="D729" s="130" t="b">
        <v>0</v>
      </c>
      <c r="E729" s="124" t="s">
        <v>91</v>
      </c>
      <c r="F729" s="125" t="s">
        <v>97</v>
      </c>
      <c r="G729" s="125">
        <v>2</v>
      </c>
      <c r="H729" s="123">
        <v>2</v>
      </c>
      <c r="I729" s="123" t="s">
        <v>95</v>
      </c>
      <c r="J729" s="123" t="s">
        <v>97</v>
      </c>
      <c r="K729" s="123" t="s">
        <v>93</v>
      </c>
      <c r="L729" s="132">
        <v>649</v>
      </c>
      <c r="M729" s="132">
        <v>0</v>
      </c>
      <c r="N729" s="132">
        <v>7.8800201242739845E+18</v>
      </c>
    </row>
    <row r="730" spans="4:14" ht="15" customHeight="1" x14ac:dyDescent="0.2">
      <c r="D730" s="130" t="b">
        <v>0</v>
      </c>
      <c r="E730" s="124" t="s">
        <v>91</v>
      </c>
      <c r="F730" s="125" t="s">
        <v>97</v>
      </c>
      <c r="G730" s="125">
        <v>2</v>
      </c>
      <c r="H730" s="123">
        <v>2</v>
      </c>
      <c r="I730" s="123" t="s">
        <v>95</v>
      </c>
      <c r="J730" s="123" t="s">
        <v>91</v>
      </c>
      <c r="K730" s="123" t="s">
        <v>93</v>
      </c>
      <c r="L730" s="132">
        <v>650</v>
      </c>
      <c r="M730" s="132">
        <v>0</v>
      </c>
      <c r="N730" s="132">
        <v>4.0762797856681569E+18</v>
      </c>
    </row>
    <row r="731" spans="4:14" ht="15" customHeight="1" x14ac:dyDescent="0.2">
      <c r="D731" s="130" t="b">
        <v>0</v>
      </c>
      <c r="E731" s="124" t="s">
        <v>91</v>
      </c>
      <c r="F731" s="125" t="s">
        <v>97</v>
      </c>
      <c r="G731" s="125">
        <v>2</v>
      </c>
      <c r="H731" s="123">
        <v>2</v>
      </c>
      <c r="I731" s="123" t="s">
        <v>97</v>
      </c>
      <c r="J731" s="123" t="s">
        <v>96</v>
      </c>
      <c r="K731" s="123" t="s">
        <v>93</v>
      </c>
      <c r="L731" s="132">
        <v>651</v>
      </c>
      <c r="M731" s="132">
        <v>0</v>
      </c>
      <c r="N731" s="132">
        <v>1.3354774883646425E+19</v>
      </c>
    </row>
    <row r="732" spans="4:14" ht="15" customHeight="1" x14ac:dyDescent="0.2">
      <c r="D732" s="130" t="b">
        <v>0</v>
      </c>
      <c r="E732" s="124" t="s">
        <v>91</v>
      </c>
      <c r="F732" s="125" t="s">
        <v>97</v>
      </c>
      <c r="G732" s="125">
        <v>2</v>
      </c>
      <c r="H732" s="123">
        <v>2</v>
      </c>
      <c r="I732" s="123" t="s">
        <v>97</v>
      </c>
      <c r="J732" s="123" t="s">
        <v>97</v>
      </c>
      <c r="K732" s="123" t="s">
        <v>93</v>
      </c>
      <c r="L732" s="132">
        <v>652</v>
      </c>
      <c r="M732" s="132">
        <v>0</v>
      </c>
      <c r="N732" s="132">
        <v>1.6817794597100751E+19</v>
      </c>
    </row>
    <row r="733" spans="4:14" ht="15" customHeight="1" x14ac:dyDescent="0.2">
      <c r="D733" s="130" t="b">
        <v>0</v>
      </c>
      <c r="E733" s="124" t="s">
        <v>91</v>
      </c>
      <c r="F733" s="125" t="s">
        <v>97</v>
      </c>
      <c r="G733" s="125">
        <v>2</v>
      </c>
      <c r="H733" s="123">
        <v>2</v>
      </c>
      <c r="I733" s="123" t="s">
        <v>97</v>
      </c>
      <c r="J733" s="123" t="s">
        <v>91</v>
      </c>
      <c r="K733" s="123" t="s">
        <v>93</v>
      </c>
      <c r="L733" s="132">
        <v>653</v>
      </c>
      <c r="M733" s="132">
        <v>0</v>
      </c>
      <c r="N733" s="132">
        <v>3.3298642413581097E+18</v>
      </c>
    </row>
    <row r="734" spans="4:14" ht="15" customHeight="1" x14ac:dyDescent="0.2">
      <c r="D734" s="130" t="b">
        <v>0</v>
      </c>
      <c r="E734" s="124" t="s">
        <v>91</v>
      </c>
      <c r="F734" s="125" t="s">
        <v>97</v>
      </c>
      <c r="G734" s="125">
        <v>2</v>
      </c>
      <c r="H734" s="123">
        <v>2</v>
      </c>
      <c r="I734" s="123" t="s">
        <v>92</v>
      </c>
      <c r="J734" s="123" t="s">
        <v>96</v>
      </c>
      <c r="K734" s="123" t="s">
        <v>93</v>
      </c>
      <c r="L734" s="132">
        <v>654</v>
      </c>
      <c r="M734" s="132">
        <v>0</v>
      </c>
      <c r="N734" s="132">
        <v>3.3062960588010342E+17</v>
      </c>
    </row>
    <row r="735" spans="4:14" ht="15" customHeight="1" x14ac:dyDescent="0.2">
      <c r="D735" s="130" t="b">
        <v>0</v>
      </c>
      <c r="E735" s="124" t="s">
        <v>91</v>
      </c>
      <c r="F735" s="125" t="s">
        <v>97</v>
      </c>
      <c r="G735" s="125">
        <v>2</v>
      </c>
      <c r="H735" s="123">
        <v>2</v>
      </c>
      <c r="I735" s="123" t="s">
        <v>92</v>
      </c>
      <c r="J735" s="123" t="s">
        <v>97</v>
      </c>
      <c r="K735" s="123" t="s">
        <v>93</v>
      </c>
      <c r="L735" s="132">
        <v>655</v>
      </c>
      <c r="M735" s="132">
        <v>0</v>
      </c>
      <c r="N735" s="132">
        <v>6.181046286976511E+18</v>
      </c>
    </row>
    <row r="736" spans="4:14" ht="15" customHeight="1" x14ac:dyDescent="0.2">
      <c r="D736" s="130" t="b">
        <v>0</v>
      </c>
      <c r="E736" s="124" t="s">
        <v>91</v>
      </c>
      <c r="F736" s="125" t="s">
        <v>97</v>
      </c>
      <c r="G736" s="125">
        <v>2</v>
      </c>
      <c r="H736" s="123">
        <v>2</v>
      </c>
      <c r="I736" s="123" t="s">
        <v>92</v>
      </c>
      <c r="J736" s="123" t="s">
        <v>91</v>
      </c>
      <c r="K736" s="123" t="s">
        <v>93</v>
      </c>
      <c r="L736" s="132">
        <v>656</v>
      </c>
      <c r="M736" s="132">
        <v>0</v>
      </c>
      <c r="N736" s="132">
        <v>4.0761569014761892E+18</v>
      </c>
    </row>
    <row r="737" spans="4:14" ht="15" customHeight="1" x14ac:dyDescent="0.2">
      <c r="D737" s="130" t="b">
        <v>0</v>
      </c>
      <c r="E737" s="124" t="s">
        <v>91</v>
      </c>
      <c r="F737" s="125" t="s">
        <v>97</v>
      </c>
      <c r="G737" s="125">
        <v>2</v>
      </c>
      <c r="H737" s="123">
        <v>4</v>
      </c>
      <c r="I737" s="123" t="s">
        <v>95</v>
      </c>
      <c r="J737" s="123" t="s">
        <v>96</v>
      </c>
      <c r="K737" s="123" t="s">
        <v>93</v>
      </c>
      <c r="L737" s="132">
        <v>657</v>
      </c>
      <c r="M737" s="132">
        <v>0</v>
      </c>
      <c r="N737" s="132">
        <v>8.2082796675418102E+18</v>
      </c>
    </row>
    <row r="738" spans="4:14" ht="15" customHeight="1" x14ac:dyDescent="0.2">
      <c r="D738" s="130" t="b">
        <v>0</v>
      </c>
      <c r="E738" s="124" t="s">
        <v>91</v>
      </c>
      <c r="F738" s="125" t="s">
        <v>97</v>
      </c>
      <c r="G738" s="125">
        <v>2</v>
      </c>
      <c r="H738" s="123">
        <v>4</v>
      </c>
      <c r="I738" s="123" t="s">
        <v>95</v>
      </c>
      <c r="J738" s="123" t="s">
        <v>97</v>
      </c>
      <c r="K738" s="123" t="s">
        <v>93</v>
      </c>
      <c r="L738" s="132">
        <v>658</v>
      </c>
      <c r="M738" s="132">
        <v>0</v>
      </c>
      <c r="N738" s="132">
        <v>4.1388253694040673E+18</v>
      </c>
    </row>
    <row r="739" spans="4:14" ht="15" customHeight="1" x14ac:dyDescent="0.2">
      <c r="D739" s="130" t="b">
        <v>0</v>
      </c>
      <c r="E739" s="124" t="s">
        <v>91</v>
      </c>
      <c r="F739" s="125" t="s">
        <v>97</v>
      </c>
      <c r="G739" s="125">
        <v>2</v>
      </c>
      <c r="H739" s="123">
        <v>4</v>
      </c>
      <c r="I739" s="123" t="s">
        <v>95</v>
      </c>
      <c r="J739" s="123" t="s">
        <v>91</v>
      </c>
      <c r="K739" s="123" t="s">
        <v>100</v>
      </c>
      <c r="L739" s="132">
        <v>659</v>
      </c>
      <c r="M739" s="132">
        <v>0</v>
      </c>
      <c r="N739" s="132">
        <v>1.6765302828219953E+19</v>
      </c>
    </row>
    <row r="740" spans="4:14" ht="15" customHeight="1" x14ac:dyDescent="0.2">
      <c r="D740" s="130" t="b">
        <v>0</v>
      </c>
      <c r="E740" s="124" t="s">
        <v>91</v>
      </c>
      <c r="F740" s="125" t="s">
        <v>97</v>
      </c>
      <c r="G740" s="125">
        <v>2</v>
      </c>
      <c r="H740" s="123">
        <v>4</v>
      </c>
      <c r="I740" s="123" t="s">
        <v>97</v>
      </c>
      <c r="J740" s="123" t="s">
        <v>96</v>
      </c>
      <c r="K740" s="123" t="s">
        <v>93</v>
      </c>
      <c r="L740" s="132">
        <v>660</v>
      </c>
      <c r="M740" s="132">
        <v>0</v>
      </c>
      <c r="N740" s="132">
        <v>8.7756762235909939E+18</v>
      </c>
    </row>
    <row r="741" spans="4:14" ht="15" customHeight="1" x14ac:dyDescent="0.2">
      <c r="D741" s="130" t="b">
        <v>0</v>
      </c>
      <c r="E741" s="124" t="s">
        <v>91</v>
      </c>
      <c r="F741" s="125" t="s">
        <v>97</v>
      </c>
      <c r="G741" s="125">
        <v>2</v>
      </c>
      <c r="H741" s="123">
        <v>4</v>
      </c>
      <c r="I741" s="123" t="s">
        <v>97</v>
      </c>
      <c r="J741" s="123" t="s">
        <v>97</v>
      </c>
      <c r="K741" s="123" t="s">
        <v>93</v>
      </c>
      <c r="L741" s="132">
        <v>661</v>
      </c>
      <c r="M741" s="132">
        <v>0</v>
      </c>
      <c r="N741" s="132">
        <v>9.844898502820735E+18</v>
      </c>
    </row>
    <row r="742" spans="4:14" ht="15" customHeight="1" x14ac:dyDescent="0.2">
      <c r="D742" s="130" t="b">
        <v>0</v>
      </c>
      <c r="E742" s="124" t="s">
        <v>91</v>
      </c>
      <c r="F742" s="125" t="s">
        <v>97</v>
      </c>
      <c r="G742" s="125">
        <v>2</v>
      </c>
      <c r="H742" s="123">
        <v>4</v>
      </c>
      <c r="I742" s="123" t="s">
        <v>97</v>
      </c>
      <c r="J742" s="123" t="s">
        <v>91</v>
      </c>
      <c r="K742" s="123" t="s">
        <v>100</v>
      </c>
      <c r="L742" s="132">
        <v>662</v>
      </c>
      <c r="M742" s="132">
        <v>0</v>
      </c>
      <c r="N742" s="132">
        <v>7.8785766661696276E+18</v>
      </c>
    </row>
    <row r="743" spans="4:14" ht="15" customHeight="1" x14ac:dyDescent="0.2">
      <c r="D743" s="130" t="b">
        <v>0</v>
      </c>
      <c r="E743" s="124" t="s">
        <v>91</v>
      </c>
      <c r="F743" s="125" t="s">
        <v>97</v>
      </c>
      <c r="G743" s="125">
        <v>2</v>
      </c>
      <c r="H743" s="123">
        <v>4</v>
      </c>
      <c r="I743" s="123" t="s">
        <v>92</v>
      </c>
      <c r="J743" s="123" t="s">
        <v>96</v>
      </c>
      <c r="K743" s="123" t="s">
        <v>93</v>
      </c>
      <c r="L743" s="132">
        <v>663</v>
      </c>
      <c r="M743" s="132">
        <v>0</v>
      </c>
      <c r="N743" s="132">
        <v>1.5156784651498828E+19</v>
      </c>
    </row>
    <row r="744" spans="4:14" ht="15" customHeight="1" x14ac:dyDescent="0.2">
      <c r="D744" s="130" t="b">
        <v>0</v>
      </c>
      <c r="E744" s="124" t="s">
        <v>91</v>
      </c>
      <c r="F744" s="125" t="s">
        <v>97</v>
      </c>
      <c r="G744" s="125">
        <v>2</v>
      </c>
      <c r="H744" s="123">
        <v>4</v>
      </c>
      <c r="I744" s="123" t="s">
        <v>92</v>
      </c>
      <c r="J744" s="123" t="s">
        <v>97</v>
      </c>
      <c r="K744" s="123" t="s">
        <v>100</v>
      </c>
      <c r="L744" s="132">
        <v>664</v>
      </c>
      <c r="M744" s="132">
        <v>0</v>
      </c>
      <c r="N744" s="132">
        <v>9.506641377965654E+18</v>
      </c>
    </row>
    <row r="745" spans="4:14" ht="15" customHeight="1" x14ac:dyDescent="0.2">
      <c r="D745" s="130" t="b">
        <v>0</v>
      </c>
      <c r="E745" s="124" t="s">
        <v>91</v>
      </c>
      <c r="F745" s="125" t="s">
        <v>97</v>
      </c>
      <c r="G745" s="125">
        <v>2</v>
      </c>
      <c r="H745" s="123">
        <v>4</v>
      </c>
      <c r="I745" s="123" t="s">
        <v>92</v>
      </c>
      <c r="J745" s="123" t="s">
        <v>91</v>
      </c>
      <c r="K745" s="123" t="s">
        <v>100</v>
      </c>
      <c r="L745" s="132">
        <v>665</v>
      </c>
      <c r="M745" s="132">
        <v>0</v>
      </c>
      <c r="N745" s="132">
        <v>8.1756026119925688E+18</v>
      </c>
    </row>
    <row r="746" spans="4:14" ht="15" customHeight="1" x14ac:dyDescent="0.2">
      <c r="D746" s="130" t="b">
        <v>0</v>
      </c>
      <c r="E746" s="124" t="s">
        <v>91</v>
      </c>
      <c r="F746" s="125" t="s">
        <v>97</v>
      </c>
      <c r="G746" s="125">
        <v>2</v>
      </c>
      <c r="H746" s="123" t="s">
        <v>98</v>
      </c>
      <c r="I746" s="123" t="s">
        <v>95</v>
      </c>
      <c r="J746" s="123" t="s">
        <v>96</v>
      </c>
      <c r="K746" s="123" t="s">
        <v>93</v>
      </c>
      <c r="L746" s="132">
        <v>666</v>
      </c>
      <c r="M746" s="132">
        <v>0</v>
      </c>
      <c r="N746" s="132">
        <v>2.4646719144795095E+18</v>
      </c>
    </row>
    <row r="747" spans="4:14" ht="15" customHeight="1" x14ac:dyDescent="0.2">
      <c r="D747" s="130" t="b">
        <v>0</v>
      </c>
      <c r="E747" s="124" t="s">
        <v>91</v>
      </c>
      <c r="F747" s="125" t="s">
        <v>97</v>
      </c>
      <c r="G747" s="125">
        <v>2</v>
      </c>
      <c r="H747" s="123" t="s">
        <v>98</v>
      </c>
      <c r="I747" s="123" t="s">
        <v>95</v>
      </c>
      <c r="J747" s="123" t="s">
        <v>97</v>
      </c>
      <c r="K747" s="123" t="s">
        <v>93</v>
      </c>
      <c r="L747" s="132">
        <v>667</v>
      </c>
      <c r="M747" s="132">
        <v>0</v>
      </c>
      <c r="N747" s="132">
        <v>1.1340219557895124E+18</v>
      </c>
    </row>
    <row r="748" spans="4:14" ht="15" customHeight="1" x14ac:dyDescent="0.2">
      <c r="D748" s="130" t="b">
        <v>0</v>
      </c>
      <c r="E748" s="124" t="s">
        <v>91</v>
      </c>
      <c r="F748" s="125" t="s">
        <v>97</v>
      </c>
      <c r="G748" s="125">
        <v>2</v>
      </c>
      <c r="H748" s="123" t="s">
        <v>98</v>
      </c>
      <c r="I748" s="123" t="s">
        <v>95</v>
      </c>
      <c r="J748" s="123" t="s">
        <v>91</v>
      </c>
      <c r="K748" s="123" t="s">
        <v>93</v>
      </c>
      <c r="L748" s="132">
        <v>668</v>
      </c>
      <c r="M748" s="132">
        <v>0</v>
      </c>
      <c r="N748" s="132">
        <v>8.9725600208051569E+18</v>
      </c>
    </row>
    <row r="749" spans="4:14" ht="15" customHeight="1" x14ac:dyDescent="0.2">
      <c r="D749" s="130" t="b">
        <v>0</v>
      </c>
      <c r="E749" s="124" t="s">
        <v>91</v>
      </c>
      <c r="F749" s="125" t="s">
        <v>97</v>
      </c>
      <c r="G749" s="125">
        <v>2</v>
      </c>
      <c r="H749" s="123" t="s">
        <v>98</v>
      </c>
      <c r="I749" s="123" t="s">
        <v>97</v>
      </c>
      <c r="J749" s="123" t="s">
        <v>96</v>
      </c>
      <c r="K749" s="123" t="s">
        <v>93</v>
      </c>
      <c r="L749" s="132">
        <v>669</v>
      </c>
      <c r="M749" s="132">
        <v>0</v>
      </c>
      <c r="N749" s="132">
        <v>8.9578065250934106E+17</v>
      </c>
    </row>
    <row r="750" spans="4:14" ht="15" customHeight="1" x14ac:dyDescent="0.2">
      <c r="D750" s="130" t="b">
        <v>0</v>
      </c>
      <c r="E750" s="124" t="s">
        <v>91</v>
      </c>
      <c r="F750" s="125" t="s">
        <v>97</v>
      </c>
      <c r="G750" s="125">
        <v>2</v>
      </c>
      <c r="H750" s="123" t="s">
        <v>98</v>
      </c>
      <c r="I750" s="123" t="s">
        <v>97</v>
      </c>
      <c r="J750" s="123" t="s">
        <v>97</v>
      </c>
      <c r="K750" s="123" t="s">
        <v>93</v>
      </c>
      <c r="L750" s="132">
        <v>670</v>
      </c>
      <c r="M750" s="132">
        <v>0</v>
      </c>
      <c r="N750" s="132">
        <v>4.400880449462892E+18</v>
      </c>
    </row>
    <row r="751" spans="4:14" ht="15" customHeight="1" x14ac:dyDescent="0.2">
      <c r="D751" s="130" t="b">
        <v>0</v>
      </c>
      <c r="E751" s="124" t="s">
        <v>91</v>
      </c>
      <c r="F751" s="125" t="s">
        <v>97</v>
      </c>
      <c r="G751" s="125">
        <v>2</v>
      </c>
      <c r="H751" s="123" t="s">
        <v>98</v>
      </c>
      <c r="I751" s="123" t="s">
        <v>97</v>
      </c>
      <c r="J751" s="123" t="s">
        <v>91</v>
      </c>
      <c r="K751" s="123" t="s">
        <v>100</v>
      </c>
      <c r="L751" s="132">
        <v>671</v>
      </c>
      <c r="M751" s="132">
        <v>0</v>
      </c>
      <c r="N751" s="132">
        <v>2.7175592810588605E+18</v>
      </c>
    </row>
    <row r="752" spans="4:14" ht="15" customHeight="1" x14ac:dyDescent="0.2">
      <c r="D752" s="130" t="b">
        <v>0</v>
      </c>
      <c r="E752" s="124" t="s">
        <v>91</v>
      </c>
      <c r="F752" s="125" t="s">
        <v>97</v>
      </c>
      <c r="G752" s="125">
        <v>2</v>
      </c>
      <c r="H752" s="123" t="s">
        <v>98</v>
      </c>
      <c r="I752" s="123" t="s">
        <v>92</v>
      </c>
      <c r="J752" s="123" t="s">
        <v>96</v>
      </c>
      <c r="K752" s="123" t="s">
        <v>93</v>
      </c>
      <c r="L752" s="132">
        <v>672</v>
      </c>
      <c r="M752" s="132">
        <v>0</v>
      </c>
      <c r="N752" s="132">
        <v>1.0442707084485693E+19</v>
      </c>
    </row>
    <row r="753" spans="4:14" ht="15" customHeight="1" x14ac:dyDescent="0.2">
      <c r="D753" s="130" t="b">
        <v>0</v>
      </c>
      <c r="E753" s="124" t="s">
        <v>91</v>
      </c>
      <c r="F753" s="125" t="s">
        <v>97</v>
      </c>
      <c r="G753" s="125">
        <v>2</v>
      </c>
      <c r="H753" s="123" t="s">
        <v>98</v>
      </c>
      <c r="I753" s="123" t="s">
        <v>92</v>
      </c>
      <c r="J753" s="123" t="s">
        <v>97</v>
      </c>
      <c r="K753" s="123" t="s">
        <v>100</v>
      </c>
      <c r="L753" s="132">
        <v>673</v>
      </c>
      <c r="M753" s="132">
        <v>0</v>
      </c>
      <c r="N753" s="132">
        <v>2.7658573587225626E+18</v>
      </c>
    </row>
    <row r="754" spans="4:14" ht="15" customHeight="1" x14ac:dyDescent="0.2">
      <c r="D754" s="130" t="b">
        <v>0</v>
      </c>
      <c r="E754" s="124" t="s">
        <v>91</v>
      </c>
      <c r="F754" s="125" t="s">
        <v>97</v>
      </c>
      <c r="G754" s="125">
        <v>2</v>
      </c>
      <c r="H754" s="123" t="s">
        <v>98</v>
      </c>
      <c r="I754" s="123" t="s">
        <v>92</v>
      </c>
      <c r="J754" s="123" t="s">
        <v>91</v>
      </c>
      <c r="K754" s="123" t="s">
        <v>100</v>
      </c>
      <c r="L754" s="132">
        <v>674</v>
      </c>
      <c r="M754" s="132">
        <v>0</v>
      </c>
      <c r="N754" s="132">
        <v>8.9753749695635261E+18</v>
      </c>
    </row>
    <row r="755" spans="4:14" ht="15" customHeight="1" x14ac:dyDescent="0.2">
      <c r="D755" s="130" t="b">
        <v>0</v>
      </c>
      <c r="E755" s="124" t="s">
        <v>91</v>
      </c>
      <c r="F755" s="125" t="s">
        <v>97</v>
      </c>
      <c r="G755" s="125">
        <v>3</v>
      </c>
      <c r="H755" s="123">
        <v>2</v>
      </c>
      <c r="I755" s="123" t="s">
        <v>95</v>
      </c>
      <c r="J755" s="123" t="s">
        <v>96</v>
      </c>
      <c r="K755" s="123" t="s">
        <v>93</v>
      </c>
      <c r="L755" s="132">
        <v>675</v>
      </c>
      <c r="M755" s="132">
        <v>0</v>
      </c>
      <c r="N755" s="132">
        <v>6.0018365467649495E+18</v>
      </c>
    </row>
    <row r="756" spans="4:14" ht="15" customHeight="1" x14ac:dyDescent="0.2">
      <c r="D756" s="130" t="b">
        <v>0</v>
      </c>
      <c r="E756" s="124" t="s">
        <v>91</v>
      </c>
      <c r="F756" s="125" t="s">
        <v>97</v>
      </c>
      <c r="G756" s="125">
        <v>3</v>
      </c>
      <c r="H756" s="123">
        <v>2</v>
      </c>
      <c r="I756" s="123" t="s">
        <v>95</v>
      </c>
      <c r="J756" s="123" t="s">
        <v>97</v>
      </c>
      <c r="K756" s="123" t="s">
        <v>93</v>
      </c>
      <c r="L756" s="132">
        <v>676</v>
      </c>
      <c r="M756" s="132">
        <v>0</v>
      </c>
      <c r="N756" s="132">
        <v>1.5726319638733801E+19</v>
      </c>
    </row>
    <row r="757" spans="4:14" ht="15" customHeight="1" x14ac:dyDescent="0.2">
      <c r="D757" s="130" t="b">
        <v>0</v>
      </c>
      <c r="E757" s="124" t="s">
        <v>91</v>
      </c>
      <c r="F757" s="125" t="s">
        <v>97</v>
      </c>
      <c r="G757" s="125">
        <v>3</v>
      </c>
      <c r="H757" s="123">
        <v>2</v>
      </c>
      <c r="I757" s="123" t="s">
        <v>95</v>
      </c>
      <c r="J757" s="123" t="s">
        <v>91</v>
      </c>
      <c r="K757" s="123" t="s">
        <v>93</v>
      </c>
      <c r="L757" s="132">
        <v>677</v>
      </c>
      <c r="M757" s="132">
        <v>0</v>
      </c>
      <c r="N757" s="132">
        <v>1.7831304220298904E+19</v>
      </c>
    </row>
    <row r="758" spans="4:14" ht="15" customHeight="1" x14ac:dyDescent="0.2">
      <c r="D758" s="130" t="b">
        <v>0</v>
      </c>
      <c r="E758" s="124" t="s">
        <v>91</v>
      </c>
      <c r="F758" s="125" t="s">
        <v>97</v>
      </c>
      <c r="G758" s="125">
        <v>3</v>
      </c>
      <c r="H758" s="123">
        <v>2</v>
      </c>
      <c r="I758" s="123" t="s">
        <v>97</v>
      </c>
      <c r="J758" s="123" t="s">
        <v>96</v>
      </c>
      <c r="K758" s="123" t="s">
        <v>93</v>
      </c>
      <c r="L758" s="132">
        <v>678</v>
      </c>
      <c r="M758" s="132">
        <v>0</v>
      </c>
      <c r="N758" s="132">
        <v>1.7112387781724858E+19</v>
      </c>
    </row>
    <row r="759" spans="4:14" ht="15" customHeight="1" x14ac:dyDescent="0.2">
      <c r="D759" s="130" t="b">
        <v>0</v>
      </c>
      <c r="E759" s="124" t="s">
        <v>91</v>
      </c>
      <c r="F759" s="125" t="s">
        <v>97</v>
      </c>
      <c r="G759" s="125">
        <v>3</v>
      </c>
      <c r="H759" s="123">
        <v>2</v>
      </c>
      <c r="I759" s="123" t="s">
        <v>97</v>
      </c>
      <c r="J759" s="123" t="s">
        <v>97</v>
      </c>
      <c r="K759" s="123" t="s">
        <v>93</v>
      </c>
      <c r="L759" s="132">
        <v>679</v>
      </c>
      <c r="M759" s="132">
        <v>0</v>
      </c>
      <c r="N759" s="132">
        <v>6.5877830451131853E+18</v>
      </c>
    </row>
    <row r="760" spans="4:14" ht="15" customHeight="1" x14ac:dyDescent="0.2">
      <c r="D760" s="130" t="b">
        <v>0</v>
      </c>
      <c r="E760" s="124" t="s">
        <v>91</v>
      </c>
      <c r="F760" s="125" t="s">
        <v>97</v>
      </c>
      <c r="G760" s="125">
        <v>3</v>
      </c>
      <c r="H760" s="123">
        <v>2</v>
      </c>
      <c r="I760" s="123" t="s">
        <v>97</v>
      </c>
      <c r="J760" s="123" t="s">
        <v>91</v>
      </c>
      <c r="K760" s="123" t="s">
        <v>93</v>
      </c>
      <c r="L760" s="132">
        <v>680</v>
      </c>
      <c r="M760" s="132">
        <v>0</v>
      </c>
      <c r="N760" s="132">
        <v>1.4573637524209668E+19</v>
      </c>
    </row>
    <row r="761" spans="4:14" ht="15" customHeight="1" x14ac:dyDescent="0.2">
      <c r="D761" s="130" t="b">
        <v>0</v>
      </c>
      <c r="E761" s="124" t="s">
        <v>91</v>
      </c>
      <c r="F761" s="125" t="s">
        <v>97</v>
      </c>
      <c r="G761" s="125">
        <v>3</v>
      </c>
      <c r="H761" s="123">
        <v>2</v>
      </c>
      <c r="I761" s="123" t="s">
        <v>92</v>
      </c>
      <c r="J761" s="123" t="s">
        <v>96</v>
      </c>
      <c r="K761" s="123" t="s">
        <v>93</v>
      </c>
      <c r="L761" s="132">
        <v>681</v>
      </c>
      <c r="M761" s="132">
        <v>0</v>
      </c>
      <c r="N761" s="132">
        <v>1.0687480804312697E+19</v>
      </c>
    </row>
    <row r="762" spans="4:14" ht="15" customHeight="1" x14ac:dyDescent="0.2">
      <c r="D762" s="130" t="b">
        <v>0</v>
      </c>
      <c r="E762" s="124" t="s">
        <v>91</v>
      </c>
      <c r="F762" s="125" t="s">
        <v>97</v>
      </c>
      <c r="G762" s="125">
        <v>3</v>
      </c>
      <c r="H762" s="123">
        <v>2</v>
      </c>
      <c r="I762" s="123" t="s">
        <v>92</v>
      </c>
      <c r="J762" s="123" t="s">
        <v>97</v>
      </c>
      <c r="K762" s="123" t="s">
        <v>93</v>
      </c>
      <c r="L762" s="132">
        <v>682</v>
      </c>
      <c r="M762" s="132">
        <v>0</v>
      </c>
      <c r="N762" s="132">
        <v>1.4071243557980189E+19</v>
      </c>
    </row>
    <row r="763" spans="4:14" ht="15" customHeight="1" x14ac:dyDescent="0.2">
      <c r="D763" s="130" t="b">
        <v>0</v>
      </c>
      <c r="E763" s="124" t="s">
        <v>91</v>
      </c>
      <c r="F763" s="125" t="s">
        <v>97</v>
      </c>
      <c r="G763" s="125">
        <v>3</v>
      </c>
      <c r="H763" s="123">
        <v>2</v>
      </c>
      <c r="I763" s="123" t="s">
        <v>92</v>
      </c>
      <c r="J763" s="123" t="s">
        <v>91</v>
      </c>
      <c r="K763" s="123" t="s">
        <v>93</v>
      </c>
      <c r="L763" s="132">
        <v>683</v>
      </c>
      <c r="M763" s="132">
        <v>0</v>
      </c>
      <c r="N763" s="132">
        <v>6.3369467101993554E+18</v>
      </c>
    </row>
    <row r="764" spans="4:14" ht="15" customHeight="1" x14ac:dyDescent="0.2">
      <c r="D764" s="130" t="b">
        <v>0</v>
      </c>
      <c r="E764" s="124" t="s">
        <v>91</v>
      </c>
      <c r="F764" s="125" t="s">
        <v>97</v>
      </c>
      <c r="G764" s="125">
        <v>3</v>
      </c>
      <c r="H764" s="123">
        <v>4</v>
      </c>
      <c r="I764" s="123" t="s">
        <v>95</v>
      </c>
      <c r="J764" s="123" t="s">
        <v>96</v>
      </c>
      <c r="K764" s="123" t="s">
        <v>93</v>
      </c>
      <c r="L764" s="132">
        <v>684</v>
      </c>
      <c r="M764" s="132">
        <v>0</v>
      </c>
      <c r="N764" s="132">
        <v>1.285016716743875E+19</v>
      </c>
    </row>
    <row r="765" spans="4:14" ht="15" customHeight="1" x14ac:dyDescent="0.2">
      <c r="D765" s="130" t="b">
        <v>0</v>
      </c>
      <c r="E765" s="124" t="s">
        <v>91</v>
      </c>
      <c r="F765" s="125" t="s">
        <v>97</v>
      </c>
      <c r="G765" s="125">
        <v>3</v>
      </c>
      <c r="H765" s="123">
        <v>4</v>
      </c>
      <c r="I765" s="123" t="s">
        <v>95</v>
      </c>
      <c r="J765" s="123" t="s">
        <v>97</v>
      </c>
      <c r="K765" s="123" t="s">
        <v>93</v>
      </c>
      <c r="L765" s="132">
        <v>685</v>
      </c>
      <c r="M765" s="132">
        <v>0</v>
      </c>
      <c r="N765" s="132">
        <v>3.419931107417918E+18</v>
      </c>
    </row>
    <row r="766" spans="4:14" ht="15" customHeight="1" x14ac:dyDescent="0.2">
      <c r="D766" s="130" t="b">
        <v>0</v>
      </c>
      <c r="E766" s="124" t="s">
        <v>91</v>
      </c>
      <c r="F766" s="125" t="s">
        <v>97</v>
      </c>
      <c r="G766" s="125">
        <v>3</v>
      </c>
      <c r="H766" s="123">
        <v>4</v>
      </c>
      <c r="I766" s="123" t="s">
        <v>95</v>
      </c>
      <c r="J766" s="123" t="s">
        <v>91</v>
      </c>
      <c r="K766" s="123" t="s">
        <v>100</v>
      </c>
      <c r="L766" s="132">
        <v>686</v>
      </c>
      <c r="M766" s="132">
        <v>0</v>
      </c>
      <c r="N766" s="132">
        <v>6.6963285858861046E+18</v>
      </c>
    </row>
    <row r="767" spans="4:14" ht="15" customHeight="1" x14ac:dyDescent="0.2">
      <c r="D767" s="130" t="b">
        <v>0</v>
      </c>
      <c r="E767" s="124" t="s">
        <v>91</v>
      </c>
      <c r="F767" s="125" t="s">
        <v>97</v>
      </c>
      <c r="G767" s="125">
        <v>3</v>
      </c>
      <c r="H767" s="123">
        <v>4</v>
      </c>
      <c r="I767" s="123" t="s">
        <v>97</v>
      </c>
      <c r="J767" s="123" t="s">
        <v>96</v>
      </c>
      <c r="K767" s="123" t="s">
        <v>93</v>
      </c>
      <c r="L767" s="132">
        <v>687</v>
      </c>
      <c r="M767" s="132">
        <v>0</v>
      </c>
      <c r="N767" s="132">
        <v>1.3608054171445731E+19</v>
      </c>
    </row>
    <row r="768" spans="4:14" ht="15" customHeight="1" x14ac:dyDescent="0.2">
      <c r="D768" s="130" t="b">
        <v>0</v>
      </c>
      <c r="E768" s="124" t="s">
        <v>91</v>
      </c>
      <c r="F768" s="125" t="s">
        <v>97</v>
      </c>
      <c r="G768" s="125">
        <v>3</v>
      </c>
      <c r="H768" s="123">
        <v>4</v>
      </c>
      <c r="I768" s="123" t="s">
        <v>97</v>
      </c>
      <c r="J768" s="123" t="s">
        <v>97</v>
      </c>
      <c r="K768" s="123" t="s">
        <v>93</v>
      </c>
      <c r="L768" s="132">
        <v>688</v>
      </c>
      <c r="M768" s="132">
        <v>0</v>
      </c>
      <c r="N768" s="132">
        <v>9.0331614522625997E+18</v>
      </c>
    </row>
    <row r="769" spans="4:14" ht="15" customHeight="1" x14ac:dyDescent="0.2">
      <c r="D769" s="130" t="b">
        <v>0</v>
      </c>
      <c r="E769" s="124" t="s">
        <v>91</v>
      </c>
      <c r="F769" s="125" t="s">
        <v>97</v>
      </c>
      <c r="G769" s="125">
        <v>3</v>
      </c>
      <c r="H769" s="123">
        <v>4</v>
      </c>
      <c r="I769" s="123" t="s">
        <v>97</v>
      </c>
      <c r="J769" s="123" t="s">
        <v>91</v>
      </c>
      <c r="K769" s="123" t="s">
        <v>100</v>
      </c>
      <c r="L769" s="132">
        <v>689</v>
      </c>
      <c r="M769" s="132">
        <v>0</v>
      </c>
      <c r="N769" s="132">
        <v>1.2066352240525877E+19</v>
      </c>
    </row>
    <row r="770" spans="4:14" ht="15" customHeight="1" x14ac:dyDescent="0.2">
      <c r="D770" s="130" t="b">
        <v>0</v>
      </c>
      <c r="E770" s="124" t="s">
        <v>91</v>
      </c>
      <c r="F770" s="125" t="s">
        <v>97</v>
      </c>
      <c r="G770" s="125">
        <v>3</v>
      </c>
      <c r="H770" s="123">
        <v>4</v>
      </c>
      <c r="I770" s="123" t="s">
        <v>92</v>
      </c>
      <c r="J770" s="123" t="s">
        <v>96</v>
      </c>
      <c r="K770" s="123" t="s">
        <v>93</v>
      </c>
      <c r="L770" s="132">
        <v>690</v>
      </c>
      <c r="M770" s="132">
        <v>0</v>
      </c>
      <c r="N770" s="132">
        <v>4.7351998233697475E+18</v>
      </c>
    </row>
    <row r="771" spans="4:14" ht="15" customHeight="1" x14ac:dyDescent="0.2">
      <c r="D771" s="130" t="b">
        <v>0</v>
      </c>
      <c r="E771" s="124" t="s">
        <v>91</v>
      </c>
      <c r="F771" s="125" t="s">
        <v>97</v>
      </c>
      <c r="G771" s="125">
        <v>3</v>
      </c>
      <c r="H771" s="123">
        <v>4</v>
      </c>
      <c r="I771" s="123" t="s">
        <v>92</v>
      </c>
      <c r="J771" s="123" t="s">
        <v>97</v>
      </c>
      <c r="K771" s="123" t="s">
        <v>100</v>
      </c>
      <c r="L771" s="132">
        <v>691</v>
      </c>
      <c r="M771" s="132">
        <v>0</v>
      </c>
      <c r="N771" s="132">
        <v>1.4534952629591091E+19</v>
      </c>
    </row>
    <row r="772" spans="4:14" ht="15" customHeight="1" x14ac:dyDescent="0.2">
      <c r="D772" s="130" t="b">
        <v>0</v>
      </c>
      <c r="E772" s="124" t="s">
        <v>91</v>
      </c>
      <c r="F772" s="125" t="s">
        <v>97</v>
      </c>
      <c r="G772" s="125">
        <v>3</v>
      </c>
      <c r="H772" s="123">
        <v>4</v>
      </c>
      <c r="I772" s="123" t="s">
        <v>92</v>
      </c>
      <c r="J772" s="123" t="s">
        <v>91</v>
      </c>
      <c r="K772" s="123" t="s">
        <v>100</v>
      </c>
      <c r="L772" s="132">
        <v>692</v>
      </c>
      <c r="M772" s="132">
        <v>0</v>
      </c>
      <c r="N772" s="132">
        <v>1.5687331744132311E+19</v>
      </c>
    </row>
    <row r="773" spans="4:14" ht="15" customHeight="1" x14ac:dyDescent="0.2">
      <c r="D773" s="130" t="b">
        <v>0</v>
      </c>
      <c r="E773" s="124" t="s">
        <v>91</v>
      </c>
      <c r="F773" s="125" t="s">
        <v>97</v>
      </c>
      <c r="G773" s="125">
        <v>3</v>
      </c>
      <c r="H773" s="123" t="s">
        <v>98</v>
      </c>
      <c r="I773" s="123" t="s">
        <v>95</v>
      </c>
      <c r="J773" s="123" t="s">
        <v>96</v>
      </c>
      <c r="K773" s="123" t="s">
        <v>93</v>
      </c>
      <c r="L773" s="132">
        <v>693</v>
      </c>
      <c r="M773" s="132">
        <v>0</v>
      </c>
      <c r="N773" s="132">
        <v>1.0708758416339104E+19</v>
      </c>
    </row>
    <row r="774" spans="4:14" ht="15" customHeight="1" x14ac:dyDescent="0.2">
      <c r="D774" s="130" t="b">
        <v>0</v>
      </c>
      <c r="E774" s="124" t="s">
        <v>91</v>
      </c>
      <c r="F774" s="125" t="s">
        <v>97</v>
      </c>
      <c r="G774" s="125">
        <v>3</v>
      </c>
      <c r="H774" s="123" t="s">
        <v>98</v>
      </c>
      <c r="I774" s="123" t="s">
        <v>95</v>
      </c>
      <c r="J774" s="123" t="s">
        <v>97</v>
      </c>
      <c r="K774" s="123" t="s">
        <v>93</v>
      </c>
      <c r="L774" s="132">
        <v>694</v>
      </c>
      <c r="M774" s="132">
        <v>0</v>
      </c>
      <c r="N774" s="132">
        <v>1.1208550192820414E+19</v>
      </c>
    </row>
    <row r="775" spans="4:14" ht="15" customHeight="1" x14ac:dyDescent="0.2">
      <c r="D775" s="130" t="b">
        <v>0</v>
      </c>
      <c r="E775" s="124" t="s">
        <v>91</v>
      </c>
      <c r="F775" s="125" t="s">
        <v>97</v>
      </c>
      <c r="G775" s="125">
        <v>3</v>
      </c>
      <c r="H775" s="123" t="s">
        <v>98</v>
      </c>
      <c r="I775" s="123" t="s">
        <v>95</v>
      </c>
      <c r="J775" s="123" t="s">
        <v>91</v>
      </c>
      <c r="K775" s="123" t="s">
        <v>100</v>
      </c>
      <c r="L775" s="132">
        <v>695</v>
      </c>
      <c r="M775" s="132">
        <v>0</v>
      </c>
      <c r="N775" s="132">
        <v>1.5669221411328459E+19</v>
      </c>
    </row>
    <row r="776" spans="4:14" ht="15" customHeight="1" x14ac:dyDescent="0.2">
      <c r="D776" s="130" t="b">
        <v>0</v>
      </c>
      <c r="E776" s="124" t="s">
        <v>91</v>
      </c>
      <c r="F776" s="125" t="s">
        <v>97</v>
      </c>
      <c r="G776" s="125">
        <v>3</v>
      </c>
      <c r="H776" s="123" t="s">
        <v>98</v>
      </c>
      <c r="I776" s="123" t="s">
        <v>97</v>
      </c>
      <c r="J776" s="123" t="s">
        <v>96</v>
      </c>
      <c r="K776" s="123" t="s">
        <v>93</v>
      </c>
      <c r="L776" s="132">
        <v>696</v>
      </c>
      <c r="M776" s="132">
        <v>0</v>
      </c>
      <c r="N776" s="132">
        <v>6.7527399345859011E+18</v>
      </c>
    </row>
    <row r="777" spans="4:14" ht="15" customHeight="1" x14ac:dyDescent="0.2">
      <c r="D777" s="130" t="b">
        <v>0</v>
      </c>
      <c r="E777" s="124" t="s">
        <v>91</v>
      </c>
      <c r="F777" s="125" t="s">
        <v>97</v>
      </c>
      <c r="G777" s="125">
        <v>3</v>
      </c>
      <c r="H777" s="123" t="s">
        <v>98</v>
      </c>
      <c r="I777" s="123" t="s">
        <v>97</v>
      </c>
      <c r="J777" s="123" t="s">
        <v>97</v>
      </c>
      <c r="K777" s="123" t="s">
        <v>100</v>
      </c>
      <c r="L777" s="132">
        <v>697</v>
      </c>
      <c r="M777" s="132">
        <v>0</v>
      </c>
      <c r="N777" s="132">
        <v>9.395841978919893E+18</v>
      </c>
    </row>
    <row r="778" spans="4:14" ht="15" customHeight="1" x14ac:dyDescent="0.2">
      <c r="D778" s="130" t="b">
        <v>0</v>
      </c>
      <c r="E778" s="124" t="s">
        <v>91</v>
      </c>
      <c r="F778" s="125" t="s">
        <v>97</v>
      </c>
      <c r="G778" s="125">
        <v>3</v>
      </c>
      <c r="H778" s="123" t="s">
        <v>98</v>
      </c>
      <c r="I778" s="123" t="s">
        <v>97</v>
      </c>
      <c r="J778" s="123" t="s">
        <v>91</v>
      </c>
      <c r="K778" s="123" t="s">
        <v>100</v>
      </c>
      <c r="L778" s="132">
        <v>698</v>
      </c>
      <c r="M778" s="132">
        <v>0</v>
      </c>
      <c r="N778" s="132">
        <v>1.5665823362453893E+19</v>
      </c>
    </row>
    <row r="779" spans="4:14" ht="15" customHeight="1" x14ac:dyDescent="0.2">
      <c r="D779" s="130" t="b">
        <v>0</v>
      </c>
      <c r="E779" s="124" t="s">
        <v>91</v>
      </c>
      <c r="F779" s="125" t="s">
        <v>97</v>
      </c>
      <c r="G779" s="125">
        <v>3</v>
      </c>
      <c r="H779" s="123" t="s">
        <v>98</v>
      </c>
      <c r="I779" s="123" t="s">
        <v>92</v>
      </c>
      <c r="J779" s="123" t="s">
        <v>96</v>
      </c>
      <c r="K779" s="123" t="s">
        <v>93</v>
      </c>
      <c r="L779" s="132">
        <v>699</v>
      </c>
      <c r="M779" s="132">
        <v>0</v>
      </c>
      <c r="N779" s="132">
        <v>1.7381684161699471E+19</v>
      </c>
    </row>
    <row r="780" spans="4:14" ht="15" customHeight="1" x14ac:dyDescent="0.2">
      <c r="D780" s="130" t="b">
        <v>0</v>
      </c>
      <c r="E780" s="124" t="s">
        <v>91</v>
      </c>
      <c r="F780" s="125" t="s">
        <v>97</v>
      </c>
      <c r="G780" s="125">
        <v>3</v>
      </c>
      <c r="H780" s="123" t="s">
        <v>98</v>
      </c>
      <c r="I780" s="123" t="s">
        <v>92</v>
      </c>
      <c r="J780" s="123" t="s">
        <v>97</v>
      </c>
      <c r="K780" s="123" t="s">
        <v>100</v>
      </c>
      <c r="L780" s="132">
        <v>700</v>
      </c>
      <c r="M780" s="132">
        <v>0</v>
      </c>
      <c r="N780" s="132">
        <v>4.6799619241378693E+18</v>
      </c>
    </row>
    <row r="781" spans="4:14" ht="15" customHeight="1" x14ac:dyDescent="0.2">
      <c r="D781" s="130" t="b">
        <v>0</v>
      </c>
      <c r="E781" s="124" t="s">
        <v>91</v>
      </c>
      <c r="F781" s="125" t="s">
        <v>97</v>
      </c>
      <c r="G781" s="125">
        <v>3</v>
      </c>
      <c r="H781" s="123" t="s">
        <v>98</v>
      </c>
      <c r="I781" s="123" t="s">
        <v>92</v>
      </c>
      <c r="J781" s="123" t="s">
        <v>91</v>
      </c>
      <c r="K781" s="123" t="s">
        <v>100</v>
      </c>
      <c r="L781" s="132">
        <v>701</v>
      </c>
      <c r="M781" s="132">
        <v>0</v>
      </c>
      <c r="N781" s="132">
        <v>3.0774642162002888E+18</v>
      </c>
    </row>
    <row r="782" spans="4:14" ht="15" customHeight="1" x14ac:dyDescent="0.2">
      <c r="D782" s="130" t="b">
        <v>0</v>
      </c>
      <c r="E782" s="124" t="s">
        <v>91</v>
      </c>
      <c r="F782" s="125" t="s">
        <v>97</v>
      </c>
      <c r="G782" s="125">
        <v>4</v>
      </c>
      <c r="H782" s="123">
        <v>2</v>
      </c>
      <c r="I782" s="123" t="s">
        <v>95</v>
      </c>
      <c r="J782" s="123" t="s">
        <v>96</v>
      </c>
      <c r="K782" s="123" t="s">
        <v>93</v>
      </c>
      <c r="L782" s="132">
        <v>702</v>
      </c>
      <c r="M782" s="132">
        <v>0</v>
      </c>
      <c r="N782" s="132">
        <v>1.693146785896184E+19</v>
      </c>
    </row>
    <row r="783" spans="4:14" ht="15" customHeight="1" x14ac:dyDescent="0.2">
      <c r="D783" s="130" t="b">
        <v>0</v>
      </c>
      <c r="E783" s="124" t="s">
        <v>91</v>
      </c>
      <c r="F783" s="125" t="s">
        <v>97</v>
      </c>
      <c r="G783" s="125">
        <v>4</v>
      </c>
      <c r="H783" s="123">
        <v>2</v>
      </c>
      <c r="I783" s="123" t="s">
        <v>95</v>
      </c>
      <c r="J783" s="123" t="s">
        <v>97</v>
      </c>
      <c r="K783" s="123" t="s">
        <v>93</v>
      </c>
      <c r="L783" s="132">
        <v>703</v>
      </c>
      <c r="M783" s="132">
        <v>0</v>
      </c>
      <c r="N783" s="132">
        <v>9.4974790697520824E+18</v>
      </c>
    </row>
    <row r="784" spans="4:14" ht="15" customHeight="1" x14ac:dyDescent="0.2">
      <c r="D784" s="130" t="b">
        <v>0</v>
      </c>
      <c r="E784" s="124" t="s">
        <v>91</v>
      </c>
      <c r="F784" s="125" t="s">
        <v>97</v>
      </c>
      <c r="G784" s="125">
        <v>4</v>
      </c>
      <c r="H784" s="123">
        <v>2</v>
      </c>
      <c r="I784" s="123" t="s">
        <v>95</v>
      </c>
      <c r="J784" s="123" t="s">
        <v>91</v>
      </c>
      <c r="K784" s="123" t="s">
        <v>93</v>
      </c>
      <c r="L784" s="132">
        <v>704</v>
      </c>
      <c r="M784" s="132">
        <v>0</v>
      </c>
      <c r="N784" s="132">
        <v>1.3523563100722162E+19</v>
      </c>
    </row>
    <row r="785" spans="4:14" ht="15" customHeight="1" x14ac:dyDescent="0.2">
      <c r="D785" s="130" t="b">
        <v>0</v>
      </c>
      <c r="E785" s="124" t="s">
        <v>91</v>
      </c>
      <c r="F785" s="125" t="s">
        <v>97</v>
      </c>
      <c r="G785" s="125">
        <v>4</v>
      </c>
      <c r="H785" s="123">
        <v>2</v>
      </c>
      <c r="I785" s="123" t="s">
        <v>97</v>
      </c>
      <c r="J785" s="123" t="s">
        <v>96</v>
      </c>
      <c r="K785" s="123" t="s">
        <v>93</v>
      </c>
      <c r="L785" s="132">
        <v>705</v>
      </c>
      <c r="M785" s="132">
        <v>0</v>
      </c>
      <c r="N785" s="132">
        <v>1.1221138770489651E+19</v>
      </c>
    </row>
    <row r="786" spans="4:14" ht="15" customHeight="1" x14ac:dyDescent="0.2">
      <c r="D786" s="130" t="b">
        <v>0</v>
      </c>
      <c r="E786" s="124" t="s">
        <v>91</v>
      </c>
      <c r="F786" s="125" t="s">
        <v>97</v>
      </c>
      <c r="G786" s="125">
        <v>4</v>
      </c>
      <c r="H786" s="123">
        <v>2</v>
      </c>
      <c r="I786" s="123" t="s">
        <v>97</v>
      </c>
      <c r="J786" s="123" t="s">
        <v>97</v>
      </c>
      <c r="K786" s="123" t="s">
        <v>93</v>
      </c>
      <c r="L786" s="132">
        <v>706</v>
      </c>
      <c r="M786" s="132">
        <v>0</v>
      </c>
      <c r="N786" s="132">
        <v>1.0032281086671835E+19</v>
      </c>
    </row>
    <row r="787" spans="4:14" ht="15" customHeight="1" x14ac:dyDescent="0.2">
      <c r="D787" s="130" t="b">
        <v>0</v>
      </c>
      <c r="E787" s="124" t="s">
        <v>91</v>
      </c>
      <c r="F787" s="125" t="s">
        <v>97</v>
      </c>
      <c r="G787" s="125">
        <v>4</v>
      </c>
      <c r="H787" s="123">
        <v>2</v>
      </c>
      <c r="I787" s="123" t="s">
        <v>97</v>
      </c>
      <c r="J787" s="123" t="s">
        <v>91</v>
      </c>
      <c r="K787" s="123" t="s">
        <v>93</v>
      </c>
      <c r="L787" s="132">
        <v>707</v>
      </c>
      <c r="M787" s="132">
        <v>0</v>
      </c>
      <c r="N787" s="132">
        <v>5.3033608631737836E+18</v>
      </c>
    </row>
    <row r="788" spans="4:14" ht="15" customHeight="1" x14ac:dyDescent="0.2">
      <c r="D788" s="130" t="b">
        <v>0</v>
      </c>
      <c r="E788" s="124" t="s">
        <v>91</v>
      </c>
      <c r="F788" s="125" t="s">
        <v>97</v>
      </c>
      <c r="G788" s="125">
        <v>4</v>
      </c>
      <c r="H788" s="123">
        <v>2</v>
      </c>
      <c r="I788" s="123" t="s">
        <v>92</v>
      </c>
      <c r="J788" s="123" t="s">
        <v>96</v>
      </c>
      <c r="K788" s="123" t="s">
        <v>93</v>
      </c>
      <c r="L788" s="132">
        <v>708</v>
      </c>
      <c r="M788" s="132">
        <v>0</v>
      </c>
      <c r="N788" s="132">
        <v>1.2473945420403655E+19</v>
      </c>
    </row>
    <row r="789" spans="4:14" ht="15" customHeight="1" x14ac:dyDescent="0.2">
      <c r="D789" s="130" t="b">
        <v>0</v>
      </c>
      <c r="E789" s="124" t="s">
        <v>91</v>
      </c>
      <c r="F789" s="125" t="s">
        <v>97</v>
      </c>
      <c r="G789" s="125">
        <v>4</v>
      </c>
      <c r="H789" s="123">
        <v>2</v>
      </c>
      <c r="I789" s="123" t="s">
        <v>92</v>
      </c>
      <c r="J789" s="123" t="s">
        <v>97</v>
      </c>
      <c r="K789" s="123" t="s">
        <v>93</v>
      </c>
      <c r="L789" s="132">
        <v>709</v>
      </c>
      <c r="M789" s="132">
        <v>0</v>
      </c>
      <c r="N789" s="132">
        <v>1.032727152450946E+19</v>
      </c>
    </row>
    <row r="790" spans="4:14" ht="15" customHeight="1" x14ac:dyDescent="0.2">
      <c r="D790" s="130" t="b">
        <v>0</v>
      </c>
      <c r="E790" s="124" t="s">
        <v>91</v>
      </c>
      <c r="F790" s="125" t="s">
        <v>97</v>
      </c>
      <c r="G790" s="125">
        <v>4</v>
      </c>
      <c r="H790" s="123">
        <v>2</v>
      </c>
      <c r="I790" s="123" t="s">
        <v>92</v>
      </c>
      <c r="J790" s="123" t="s">
        <v>91</v>
      </c>
      <c r="K790" s="123" t="s">
        <v>93</v>
      </c>
      <c r="L790" s="132">
        <v>710</v>
      </c>
      <c r="M790" s="132">
        <v>0</v>
      </c>
      <c r="N790" s="132">
        <v>1.6843858329159201E+19</v>
      </c>
    </row>
    <row r="791" spans="4:14" ht="15" customHeight="1" x14ac:dyDescent="0.2">
      <c r="D791" s="130" t="b">
        <v>0</v>
      </c>
      <c r="E791" s="124" t="s">
        <v>91</v>
      </c>
      <c r="F791" s="125" t="s">
        <v>97</v>
      </c>
      <c r="G791" s="125">
        <v>4</v>
      </c>
      <c r="H791" s="123">
        <v>4</v>
      </c>
      <c r="I791" s="123" t="s">
        <v>95</v>
      </c>
      <c r="J791" s="123" t="s">
        <v>96</v>
      </c>
      <c r="K791" s="123" t="s">
        <v>93</v>
      </c>
      <c r="L791" s="132">
        <v>711</v>
      </c>
      <c r="M791" s="132">
        <v>0</v>
      </c>
      <c r="N791" s="132">
        <v>1.6048084235809686E+19</v>
      </c>
    </row>
    <row r="792" spans="4:14" ht="15" customHeight="1" x14ac:dyDescent="0.2">
      <c r="D792" s="130" t="b">
        <v>0</v>
      </c>
      <c r="E792" s="124" t="s">
        <v>91</v>
      </c>
      <c r="F792" s="125" t="s">
        <v>97</v>
      </c>
      <c r="G792" s="125">
        <v>4</v>
      </c>
      <c r="H792" s="123">
        <v>4</v>
      </c>
      <c r="I792" s="123" t="s">
        <v>95</v>
      </c>
      <c r="J792" s="123" t="s">
        <v>97</v>
      </c>
      <c r="K792" s="123" t="s">
        <v>93</v>
      </c>
      <c r="L792" s="132">
        <v>712</v>
      </c>
      <c r="M792" s="132">
        <v>0</v>
      </c>
      <c r="N792" s="132">
        <v>3.7503255030785311E+18</v>
      </c>
    </row>
    <row r="793" spans="4:14" ht="15" customHeight="1" x14ac:dyDescent="0.2">
      <c r="D793" s="130" t="b">
        <v>0</v>
      </c>
      <c r="E793" s="124" t="s">
        <v>91</v>
      </c>
      <c r="F793" s="125" t="s">
        <v>97</v>
      </c>
      <c r="G793" s="125">
        <v>4</v>
      </c>
      <c r="H793" s="123">
        <v>4</v>
      </c>
      <c r="I793" s="123" t="s">
        <v>95</v>
      </c>
      <c r="J793" s="123" t="s">
        <v>91</v>
      </c>
      <c r="K793" s="123" t="s">
        <v>100</v>
      </c>
      <c r="L793" s="132">
        <v>713</v>
      </c>
      <c r="M793" s="132">
        <v>0</v>
      </c>
      <c r="N793" s="132">
        <v>2.1004069203483907E+18</v>
      </c>
    </row>
    <row r="794" spans="4:14" ht="15" customHeight="1" x14ac:dyDescent="0.2">
      <c r="D794" s="130" t="b">
        <v>0</v>
      </c>
      <c r="E794" s="124" t="s">
        <v>91</v>
      </c>
      <c r="F794" s="125" t="s">
        <v>97</v>
      </c>
      <c r="G794" s="125">
        <v>4</v>
      </c>
      <c r="H794" s="123">
        <v>4</v>
      </c>
      <c r="I794" s="123" t="s">
        <v>97</v>
      </c>
      <c r="J794" s="123" t="s">
        <v>96</v>
      </c>
      <c r="K794" s="123" t="s">
        <v>93</v>
      </c>
      <c r="L794" s="132">
        <v>714</v>
      </c>
      <c r="M794" s="132">
        <v>0</v>
      </c>
      <c r="N794" s="132">
        <v>5.3643829041791498E+18</v>
      </c>
    </row>
    <row r="795" spans="4:14" ht="15" customHeight="1" x14ac:dyDescent="0.2">
      <c r="D795" s="130" t="b">
        <v>0</v>
      </c>
      <c r="E795" s="124" t="s">
        <v>91</v>
      </c>
      <c r="F795" s="125" t="s">
        <v>97</v>
      </c>
      <c r="G795" s="125">
        <v>4</v>
      </c>
      <c r="H795" s="123">
        <v>4</v>
      </c>
      <c r="I795" s="123" t="s">
        <v>97</v>
      </c>
      <c r="J795" s="123" t="s">
        <v>97</v>
      </c>
      <c r="K795" s="123" t="s">
        <v>100</v>
      </c>
      <c r="L795" s="132">
        <v>715</v>
      </c>
      <c r="M795" s="132">
        <v>0</v>
      </c>
      <c r="N795" s="132">
        <v>4.813540873955201E+18</v>
      </c>
    </row>
    <row r="796" spans="4:14" ht="15" customHeight="1" x14ac:dyDescent="0.2">
      <c r="D796" s="130" t="b">
        <v>0</v>
      </c>
      <c r="E796" s="124" t="s">
        <v>91</v>
      </c>
      <c r="F796" s="125" t="s">
        <v>97</v>
      </c>
      <c r="G796" s="125">
        <v>4</v>
      </c>
      <c r="H796" s="123">
        <v>4</v>
      </c>
      <c r="I796" s="123" t="s">
        <v>97</v>
      </c>
      <c r="J796" s="123" t="s">
        <v>91</v>
      </c>
      <c r="K796" s="123" t="s">
        <v>100</v>
      </c>
      <c r="L796" s="132">
        <v>716</v>
      </c>
      <c r="M796" s="132">
        <v>0</v>
      </c>
      <c r="N796" s="132">
        <v>8.3534719145821819E+18</v>
      </c>
    </row>
    <row r="797" spans="4:14" ht="15" customHeight="1" x14ac:dyDescent="0.2">
      <c r="D797" s="130" t="b">
        <v>0</v>
      </c>
      <c r="E797" s="124" t="s">
        <v>91</v>
      </c>
      <c r="F797" s="125" t="s">
        <v>97</v>
      </c>
      <c r="G797" s="125">
        <v>4</v>
      </c>
      <c r="H797" s="123">
        <v>4</v>
      </c>
      <c r="I797" s="123" t="s">
        <v>92</v>
      </c>
      <c r="J797" s="123" t="s">
        <v>96</v>
      </c>
      <c r="K797" s="123" t="s">
        <v>93</v>
      </c>
      <c r="L797" s="132">
        <v>717</v>
      </c>
      <c r="M797" s="132">
        <v>0</v>
      </c>
      <c r="N797" s="132">
        <v>1.6620748356371983E+18</v>
      </c>
    </row>
    <row r="798" spans="4:14" ht="15" customHeight="1" x14ac:dyDescent="0.2">
      <c r="D798" s="130" t="b">
        <v>0</v>
      </c>
      <c r="E798" s="124" t="s">
        <v>91</v>
      </c>
      <c r="F798" s="125" t="s">
        <v>97</v>
      </c>
      <c r="G798" s="125">
        <v>4</v>
      </c>
      <c r="H798" s="123">
        <v>4</v>
      </c>
      <c r="I798" s="123" t="s">
        <v>92</v>
      </c>
      <c r="J798" s="123" t="s">
        <v>97</v>
      </c>
      <c r="K798" s="123" t="s">
        <v>100</v>
      </c>
      <c r="L798" s="132">
        <v>718</v>
      </c>
      <c r="M798" s="132">
        <v>0</v>
      </c>
      <c r="N798" s="132">
        <v>3.3778664319514798E+18</v>
      </c>
    </row>
    <row r="799" spans="4:14" ht="15" customHeight="1" x14ac:dyDescent="0.2">
      <c r="D799" s="130" t="b">
        <v>0</v>
      </c>
      <c r="E799" s="124" t="s">
        <v>91</v>
      </c>
      <c r="F799" s="125" t="s">
        <v>97</v>
      </c>
      <c r="G799" s="125">
        <v>4</v>
      </c>
      <c r="H799" s="123">
        <v>4</v>
      </c>
      <c r="I799" s="123" t="s">
        <v>92</v>
      </c>
      <c r="J799" s="123" t="s">
        <v>91</v>
      </c>
      <c r="K799" s="123" t="s">
        <v>100</v>
      </c>
      <c r="L799" s="132">
        <v>719</v>
      </c>
      <c r="M799" s="132">
        <v>0</v>
      </c>
      <c r="N799" s="132">
        <v>2.803317340855937E+18</v>
      </c>
    </row>
    <row r="800" spans="4:14" ht="15" customHeight="1" x14ac:dyDescent="0.2">
      <c r="D800" s="130" t="b">
        <v>0</v>
      </c>
      <c r="E800" s="124" t="s">
        <v>91</v>
      </c>
      <c r="F800" s="125" t="s">
        <v>97</v>
      </c>
      <c r="G800" s="125">
        <v>4</v>
      </c>
      <c r="H800" s="123" t="s">
        <v>98</v>
      </c>
      <c r="I800" s="123" t="s">
        <v>95</v>
      </c>
      <c r="J800" s="123" t="s">
        <v>96</v>
      </c>
      <c r="K800" s="123" t="s">
        <v>93</v>
      </c>
      <c r="L800" s="132">
        <v>720</v>
      </c>
      <c r="M800" s="132">
        <v>0</v>
      </c>
      <c r="N800" s="132">
        <v>1.1870065069678512E+19</v>
      </c>
    </row>
    <row r="801" spans="4:14" ht="15" customHeight="1" x14ac:dyDescent="0.2">
      <c r="D801" s="130" t="b">
        <v>0</v>
      </c>
      <c r="E801" s="124" t="s">
        <v>91</v>
      </c>
      <c r="F801" s="125" t="s">
        <v>97</v>
      </c>
      <c r="G801" s="125">
        <v>4</v>
      </c>
      <c r="H801" s="123" t="s">
        <v>98</v>
      </c>
      <c r="I801" s="123" t="s">
        <v>95</v>
      </c>
      <c r="J801" s="123" t="s">
        <v>97</v>
      </c>
      <c r="K801" s="123" t="s">
        <v>93</v>
      </c>
      <c r="L801" s="132">
        <v>721</v>
      </c>
      <c r="M801" s="132">
        <v>0</v>
      </c>
      <c r="N801" s="132">
        <v>1.3351825163501361E+19</v>
      </c>
    </row>
    <row r="802" spans="4:14" ht="15" customHeight="1" x14ac:dyDescent="0.2">
      <c r="D802" s="130" t="b">
        <v>0</v>
      </c>
      <c r="E802" s="124" t="s">
        <v>91</v>
      </c>
      <c r="F802" s="125" t="s">
        <v>97</v>
      </c>
      <c r="G802" s="125">
        <v>4</v>
      </c>
      <c r="H802" s="123" t="s">
        <v>98</v>
      </c>
      <c r="I802" s="123" t="s">
        <v>95</v>
      </c>
      <c r="J802" s="123" t="s">
        <v>91</v>
      </c>
      <c r="K802" s="123" t="s">
        <v>100</v>
      </c>
      <c r="L802" s="132">
        <v>722</v>
      </c>
      <c r="M802" s="132">
        <v>0</v>
      </c>
      <c r="N802" s="132">
        <v>3.9041142480964004E+18</v>
      </c>
    </row>
    <row r="803" spans="4:14" ht="15" customHeight="1" x14ac:dyDescent="0.2">
      <c r="D803" s="130" t="b">
        <v>0</v>
      </c>
      <c r="E803" s="124" t="s">
        <v>91</v>
      </c>
      <c r="F803" s="125" t="s">
        <v>97</v>
      </c>
      <c r="G803" s="125">
        <v>4</v>
      </c>
      <c r="H803" s="123" t="s">
        <v>98</v>
      </c>
      <c r="I803" s="123" t="s">
        <v>97</v>
      </c>
      <c r="J803" s="123" t="s">
        <v>96</v>
      </c>
      <c r="K803" s="123" t="s">
        <v>93</v>
      </c>
      <c r="L803" s="132">
        <v>723</v>
      </c>
      <c r="M803" s="132">
        <v>0</v>
      </c>
      <c r="N803" s="132">
        <v>1.596204390389155E+19</v>
      </c>
    </row>
    <row r="804" spans="4:14" ht="15" customHeight="1" x14ac:dyDescent="0.2">
      <c r="D804" s="130" t="b">
        <v>0</v>
      </c>
      <c r="E804" s="124" t="s">
        <v>91</v>
      </c>
      <c r="F804" s="125" t="s">
        <v>97</v>
      </c>
      <c r="G804" s="125">
        <v>4</v>
      </c>
      <c r="H804" s="123" t="s">
        <v>98</v>
      </c>
      <c r="I804" s="123" t="s">
        <v>97</v>
      </c>
      <c r="J804" s="123" t="s">
        <v>97</v>
      </c>
      <c r="K804" s="123" t="s">
        <v>100</v>
      </c>
      <c r="L804" s="132">
        <v>724</v>
      </c>
      <c r="M804" s="132">
        <v>0</v>
      </c>
      <c r="N804" s="132">
        <v>1.1951758744846764E+19</v>
      </c>
    </row>
    <row r="805" spans="4:14" ht="15" customHeight="1" x14ac:dyDescent="0.2">
      <c r="D805" s="130" t="b">
        <v>0</v>
      </c>
      <c r="E805" s="124" t="s">
        <v>91</v>
      </c>
      <c r="F805" s="125" t="s">
        <v>97</v>
      </c>
      <c r="G805" s="125">
        <v>4</v>
      </c>
      <c r="H805" s="123" t="s">
        <v>98</v>
      </c>
      <c r="I805" s="123" t="s">
        <v>97</v>
      </c>
      <c r="J805" s="123" t="s">
        <v>91</v>
      </c>
      <c r="K805" s="123" t="s">
        <v>100</v>
      </c>
      <c r="L805" s="132">
        <v>725</v>
      </c>
      <c r="M805" s="132">
        <v>0</v>
      </c>
      <c r="N805" s="132">
        <v>2.5008673134613468E+18</v>
      </c>
    </row>
    <row r="806" spans="4:14" ht="15" customHeight="1" x14ac:dyDescent="0.2">
      <c r="D806" s="130" t="b">
        <v>0</v>
      </c>
      <c r="E806" s="124" t="s">
        <v>91</v>
      </c>
      <c r="F806" s="125" t="s">
        <v>97</v>
      </c>
      <c r="G806" s="125">
        <v>4</v>
      </c>
      <c r="H806" s="123" t="s">
        <v>98</v>
      </c>
      <c r="I806" s="123" t="s">
        <v>92</v>
      </c>
      <c r="J806" s="123" t="s">
        <v>96</v>
      </c>
      <c r="K806" s="123" t="s">
        <v>93</v>
      </c>
      <c r="L806" s="132">
        <v>726</v>
      </c>
      <c r="M806" s="132">
        <v>0</v>
      </c>
      <c r="N806" s="132">
        <v>2.0383973447055631E+18</v>
      </c>
    </row>
    <row r="807" spans="4:14" ht="15" customHeight="1" x14ac:dyDescent="0.2">
      <c r="D807" s="130" t="b">
        <v>0</v>
      </c>
      <c r="E807" s="124" t="s">
        <v>91</v>
      </c>
      <c r="F807" s="125" t="s">
        <v>97</v>
      </c>
      <c r="G807" s="125">
        <v>4</v>
      </c>
      <c r="H807" s="123" t="s">
        <v>98</v>
      </c>
      <c r="I807" s="123" t="s">
        <v>92</v>
      </c>
      <c r="J807" s="123" t="s">
        <v>97</v>
      </c>
      <c r="K807" s="123" t="s">
        <v>100</v>
      </c>
      <c r="L807" s="132">
        <v>727</v>
      </c>
      <c r="M807" s="132">
        <v>0</v>
      </c>
      <c r="N807" s="132">
        <v>5.9456296024671373E+17</v>
      </c>
    </row>
    <row r="808" spans="4:14" ht="15" customHeight="1" x14ac:dyDescent="0.2">
      <c r="D808" s="130" t="b">
        <v>0</v>
      </c>
      <c r="E808" s="124" t="s">
        <v>91</v>
      </c>
      <c r="F808" s="125" t="s">
        <v>97</v>
      </c>
      <c r="G808" s="125">
        <v>4</v>
      </c>
      <c r="H808" s="123" t="s">
        <v>98</v>
      </c>
      <c r="I808" s="123" t="s">
        <v>92</v>
      </c>
      <c r="J808" s="123" t="s">
        <v>91</v>
      </c>
      <c r="K808" s="123" t="s">
        <v>100</v>
      </c>
      <c r="L808" s="132">
        <v>728</v>
      </c>
      <c r="M808" s="132">
        <v>0</v>
      </c>
      <c r="N808" s="132">
        <v>1.615824074212606E+19</v>
      </c>
    </row>
    <row r="809" spans="4:14" ht="15" customHeight="1" x14ac:dyDescent="0.2">
      <c r="D809" s="130" t="b">
        <v>0</v>
      </c>
      <c r="E809" s="124" t="s">
        <v>91</v>
      </c>
      <c r="F809" s="125" t="s">
        <v>97</v>
      </c>
      <c r="G809" s="125" t="s">
        <v>99</v>
      </c>
      <c r="H809" s="123">
        <v>2</v>
      </c>
      <c r="I809" s="123" t="s">
        <v>95</v>
      </c>
      <c r="J809" s="123" t="s">
        <v>96</v>
      </c>
      <c r="K809" s="123" t="s">
        <v>93</v>
      </c>
      <c r="L809" s="132">
        <v>729</v>
      </c>
      <c r="M809" s="132">
        <v>0</v>
      </c>
      <c r="N809" s="132">
        <v>1.2022016334568782E+19</v>
      </c>
    </row>
    <row r="810" spans="4:14" ht="15" customHeight="1" x14ac:dyDescent="0.2">
      <c r="D810" s="130" t="b">
        <v>0</v>
      </c>
      <c r="E810" s="124" t="s">
        <v>91</v>
      </c>
      <c r="F810" s="125" t="s">
        <v>97</v>
      </c>
      <c r="G810" s="125" t="s">
        <v>99</v>
      </c>
      <c r="H810" s="123">
        <v>2</v>
      </c>
      <c r="I810" s="123" t="s">
        <v>95</v>
      </c>
      <c r="J810" s="123" t="s">
        <v>97</v>
      </c>
      <c r="K810" s="123" t="s">
        <v>93</v>
      </c>
      <c r="L810" s="132">
        <v>730</v>
      </c>
      <c r="M810" s="132">
        <v>0</v>
      </c>
      <c r="N810" s="132">
        <v>9.08785313238707E+18</v>
      </c>
    </row>
    <row r="811" spans="4:14" ht="15" customHeight="1" x14ac:dyDescent="0.2">
      <c r="D811" s="130" t="b">
        <v>0</v>
      </c>
      <c r="E811" s="124" t="s">
        <v>91</v>
      </c>
      <c r="F811" s="125" t="s">
        <v>97</v>
      </c>
      <c r="G811" s="125" t="s">
        <v>99</v>
      </c>
      <c r="H811" s="123">
        <v>2</v>
      </c>
      <c r="I811" s="123" t="s">
        <v>95</v>
      </c>
      <c r="J811" s="123" t="s">
        <v>91</v>
      </c>
      <c r="K811" s="123" t="s">
        <v>93</v>
      </c>
      <c r="L811" s="132">
        <v>731</v>
      </c>
      <c r="M811" s="132">
        <v>0</v>
      </c>
      <c r="N811" s="132">
        <v>1.2830362949605282E+19</v>
      </c>
    </row>
    <row r="812" spans="4:14" ht="15" customHeight="1" x14ac:dyDescent="0.2">
      <c r="D812" s="130" t="b">
        <v>0</v>
      </c>
      <c r="E812" s="124" t="s">
        <v>91</v>
      </c>
      <c r="F812" s="125" t="s">
        <v>97</v>
      </c>
      <c r="G812" s="125" t="s">
        <v>99</v>
      </c>
      <c r="H812" s="123">
        <v>2</v>
      </c>
      <c r="I812" s="123" t="s">
        <v>97</v>
      </c>
      <c r="J812" s="123" t="s">
        <v>96</v>
      </c>
      <c r="K812" s="123" t="s">
        <v>93</v>
      </c>
      <c r="L812" s="132">
        <v>732</v>
      </c>
      <c r="M812" s="132">
        <v>0</v>
      </c>
      <c r="N812" s="132">
        <v>1.3374002711003017E+19</v>
      </c>
    </row>
    <row r="813" spans="4:14" ht="15" customHeight="1" x14ac:dyDescent="0.2">
      <c r="D813" s="130" t="b">
        <v>0</v>
      </c>
      <c r="E813" s="124" t="s">
        <v>91</v>
      </c>
      <c r="F813" s="125" t="s">
        <v>97</v>
      </c>
      <c r="G813" s="125" t="s">
        <v>99</v>
      </c>
      <c r="H813" s="123">
        <v>2</v>
      </c>
      <c r="I813" s="123" t="s">
        <v>97</v>
      </c>
      <c r="J813" s="123" t="s">
        <v>97</v>
      </c>
      <c r="K813" s="123" t="s">
        <v>93</v>
      </c>
      <c r="L813" s="132">
        <v>733</v>
      </c>
      <c r="M813" s="132">
        <v>0</v>
      </c>
      <c r="N813" s="132">
        <v>1.5632075290557047E+19</v>
      </c>
    </row>
    <row r="814" spans="4:14" ht="15" customHeight="1" x14ac:dyDescent="0.2">
      <c r="D814" s="130" t="b">
        <v>0</v>
      </c>
      <c r="E814" s="124" t="s">
        <v>91</v>
      </c>
      <c r="F814" s="125" t="s">
        <v>97</v>
      </c>
      <c r="G814" s="125" t="s">
        <v>99</v>
      </c>
      <c r="H814" s="123">
        <v>2</v>
      </c>
      <c r="I814" s="123" t="s">
        <v>97</v>
      </c>
      <c r="J814" s="123" t="s">
        <v>91</v>
      </c>
      <c r="K814" s="123" t="s">
        <v>93</v>
      </c>
      <c r="L814" s="132">
        <v>734</v>
      </c>
      <c r="M814" s="132">
        <v>0</v>
      </c>
      <c r="N814" s="132">
        <v>1.3657788890241513E+19</v>
      </c>
    </row>
    <row r="815" spans="4:14" ht="15" customHeight="1" x14ac:dyDescent="0.2">
      <c r="D815" s="130" t="b">
        <v>0</v>
      </c>
      <c r="E815" s="124" t="s">
        <v>91</v>
      </c>
      <c r="F815" s="125" t="s">
        <v>97</v>
      </c>
      <c r="G815" s="125" t="s">
        <v>99</v>
      </c>
      <c r="H815" s="123">
        <v>2</v>
      </c>
      <c r="I815" s="123" t="s">
        <v>92</v>
      </c>
      <c r="J815" s="123" t="s">
        <v>96</v>
      </c>
      <c r="K815" s="123" t="s">
        <v>93</v>
      </c>
      <c r="L815" s="132">
        <v>735</v>
      </c>
      <c r="M815" s="132">
        <v>0</v>
      </c>
      <c r="N815" s="132">
        <v>1.3870090037599359E+19</v>
      </c>
    </row>
    <row r="816" spans="4:14" ht="15" customHeight="1" x14ac:dyDescent="0.2">
      <c r="D816" s="130" t="b">
        <v>0</v>
      </c>
      <c r="E816" s="124" t="s">
        <v>91</v>
      </c>
      <c r="F816" s="125" t="s">
        <v>97</v>
      </c>
      <c r="G816" s="125" t="s">
        <v>99</v>
      </c>
      <c r="H816" s="123">
        <v>2</v>
      </c>
      <c r="I816" s="123" t="s">
        <v>92</v>
      </c>
      <c r="J816" s="123" t="s">
        <v>97</v>
      </c>
      <c r="K816" s="123" t="s">
        <v>93</v>
      </c>
      <c r="L816" s="132">
        <v>736</v>
      </c>
      <c r="M816" s="132">
        <v>0</v>
      </c>
      <c r="N816" s="132">
        <v>1.1264958870338886E+19</v>
      </c>
    </row>
    <row r="817" spans="4:14" ht="15" customHeight="1" x14ac:dyDescent="0.2">
      <c r="D817" s="130" t="b">
        <v>0</v>
      </c>
      <c r="E817" s="124" t="s">
        <v>91</v>
      </c>
      <c r="F817" s="125" t="s">
        <v>97</v>
      </c>
      <c r="G817" s="125" t="s">
        <v>99</v>
      </c>
      <c r="H817" s="123">
        <v>2</v>
      </c>
      <c r="I817" s="123" t="s">
        <v>92</v>
      </c>
      <c r="J817" s="123" t="s">
        <v>91</v>
      </c>
      <c r="K817" s="123" t="s">
        <v>93</v>
      </c>
      <c r="L817" s="132">
        <v>737</v>
      </c>
      <c r="M817" s="132">
        <v>0</v>
      </c>
      <c r="N817" s="132">
        <v>1.3525489015370068E+18</v>
      </c>
    </row>
    <row r="818" spans="4:14" ht="15" customHeight="1" x14ac:dyDescent="0.2">
      <c r="D818" s="130" t="b">
        <v>0</v>
      </c>
      <c r="E818" s="124" t="s">
        <v>91</v>
      </c>
      <c r="F818" s="125" t="s">
        <v>97</v>
      </c>
      <c r="G818" s="125" t="s">
        <v>99</v>
      </c>
      <c r="H818" s="123">
        <v>4</v>
      </c>
      <c r="I818" s="123" t="s">
        <v>95</v>
      </c>
      <c r="J818" s="123" t="s">
        <v>96</v>
      </c>
      <c r="K818" s="123" t="s">
        <v>93</v>
      </c>
      <c r="L818" s="132">
        <v>738</v>
      </c>
      <c r="M818" s="132">
        <v>0</v>
      </c>
      <c r="N818" s="132">
        <v>3.9801049485490335E+18</v>
      </c>
    </row>
    <row r="819" spans="4:14" ht="15" customHeight="1" x14ac:dyDescent="0.2">
      <c r="D819" s="130" t="b">
        <v>0</v>
      </c>
      <c r="E819" s="124" t="s">
        <v>91</v>
      </c>
      <c r="F819" s="125" t="s">
        <v>97</v>
      </c>
      <c r="G819" s="125" t="s">
        <v>99</v>
      </c>
      <c r="H819" s="123">
        <v>4</v>
      </c>
      <c r="I819" s="123" t="s">
        <v>95</v>
      </c>
      <c r="J819" s="123" t="s">
        <v>97</v>
      </c>
      <c r="K819" s="123" t="s">
        <v>93</v>
      </c>
      <c r="L819" s="132">
        <v>739</v>
      </c>
      <c r="M819" s="132">
        <v>0</v>
      </c>
      <c r="N819" s="132">
        <v>1.7430116747603888E+19</v>
      </c>
    </row>
    <row r="820" spans="4:14" ht="15" customHeight="1" x14ac:dyDescent="0.2">
      <c r="D820" s="130" t="b">
        <v>0</v>
      </c>
      <c r="E820" s="124" t="s">
        <v>91</v>
      </c>
      <c r="F820" s="125" t="s">
        <v>97</v>
      </c>
      <c r="G820" s="125" t="s">
        <v>99</v>
      </c>
      <c r="H820" s="123">
        <v>4</v>
      </c>
      <c r="I820" s="123" t="s">
        <v>95</v>
      </c>
      <c r="J820" s="123" t="s">
        <v>91</v>
      </c>
      <c r="K820" s="123" t="s">
        <v>100</v>
      </c>
      <c r="L820" s="132">
        <v>740</v>
      </c>
      <c r="M820" s="132">
        <v>0</v>
      </c>
      <c r="N820" s="132">
        <v>2.9455715803594182E+17</v>
      </c>
    </row>
    <row r="821" spans="4:14" ht="15" customHeight="1" x14ac:dyDescent="0.2">
      <c r="D821" s="130" t="b">
        <v>0</v>
      </c>
      <c r="E821" s="124" t="s">
        <v>91</v>
      </c>
      <c r="F821" s="125" t="s">
        <v>97</v>
      </c>
      <c r="G821" s="125" t="s">
        <v>99</v>
      </c>
      <c r="H821" s="123">
        <v>4</v>
      </c>
      <c r="I821" s="123" t="s">
        <v>97</v>
      </c>
      <c r="J821" s="123" t="s">
        <v>96</v>
      </c>
      <c r="K821" s="123" t="s">
        <v>93</v>
      </c>
      <c r="L821" s="132">
        <v>741</v>
      </c>
      <c r="M821" s="132">
        <v>0</v>
      </c>
      <c r="N821" s="132">
        <v>7.564557872976937E+18</v>
      </c>
    </row>
    <row r="822" spans="4:14" ht="15" customHeight="1" x14ac:dyDescent="0.2">
      <c r="D822" s="130" t="b">
        <v>0</v>
      </c>
      <c r="E822" s="124" t="s">
        <v>91</v>
      </c>
      <c r="F822" s="125" t="s">
        <v>97</v>
      </c>
      <c r="G822" s="125" t="s">
        <v>99</v>
      </c>
      <c r="H822" s="123">
        <v>4</v>
      </c>
      <c r="I822" s="123" t="s">
        <v>97</v>
      </c>
      <c r="J822" s="123" t="s">
        <v>97</v>
      </c>
      <c r="K822" s="123" t="s">
        <v>100</v>
      </c>
      <c r="L822" s="132">
        <v>742</v>
      </c>
      <c r="M822" s="132">
        <v>0</v>
      </c>
      <c r="N822" s="132">
        <v>1.3740285493432103E+19</v>
      </c>
    </row>
    <row r="823" spans="4:14" ht="15" customHeight="1" x14ac:dyDescent="0.2">
      <c r="D823" s="130" t="b">
        <v>0</v>
      </c>
      <c r="E823" s="124" t="s">
        <v>91</v>
      </c>
      <c r="F823" s="125" t="s">
        <v>97</v>
      </c>
      <c r="G823" s="125" t="s">
        <v>99</v>
      </c>
      <c r="H823" s="123">
        <v>4</v>
      </c>
      <c r="I823" s="123" t="s">
        <v>97</v>
      </c>
      <c r="J823" s="123" t="s">
        <v>91</v>
      </c>
      <c r="K823" s="123" t="s">
        <v>100</v>
      </c>
      <c r="L823" s="132">
        <v>743</v>
      </c>
      <c r="M823" s="132">
        <v>0</v>
      </c>
      <c r="N823" s="132">
        <v>4.5636341684928865E+18</v>
      </c>
    </row>
    <row r="824" spans="4:14" ht="15" customHeight="1" x14ac:dyDescent="0.2">
      <c r="D824" s="130" t="b">
        <v>0</v>
      </c>
      <c r="E824" s="124" t="s">
        <v>91</v>
      </c>
      <c r="F824" s="125" t="s">
        <v>97</v>
      </c>
      <c r="G824" s="125" t="s">
        <v>99</v>
      </c>
      <c r="H824" s="123">
        <v>4</v>
      </c>
      <c r="I824" s="123" t="s">
        <v>92</v>
      </c>
      <c r="J824" s="123" t="s">
        <v>96</v>
      </c>
      <c r="K824" s="123" t="s">
        <v>93</v>
      </c>
      <c r="L824" s="132">
        <v>744</v>
      </c>
      <c r="M824" s="132">
        <v>0</v>
      </c>
      <c r="N824" s="132">
        <v>1.6421197956200507E+19</v>
      </c>
    </row>
    <row r="825" spans="4:14" ht="15" customHeight="1" x14ac:dyDescent="0.2">
      <c r="D825" s="130" t="b">
        <v>0</v>
      </c>
      <c r="E825" s="124" t="s">
        <v>91</v>
      </c>
      <c r="F825" s="125" t="s">
        <v>97</v>
      </c>
      <c r="G825" s="125" t="s">
        <v>99</v>
      </c>
      <c r="H825" s="123">
        <v>4</v>
      </c>
      <c r="I825" s="123" t="s">
        <v>92</v>
      </c>
      <c r="J825" s="123" t="s">
        <v>97</v>
      </c>
      <c r="K825" s="123" t="s">
        <v>100</v>
      </c>
      <c r="L825" s="132">
        <v>745</v>
      </c>
      <c r="M825" s="132">
        <v>0</v>
      </c>
      <c r="N825" s="132">
        <v>3.130232911151103E+18</v>
      </c>
    </row>
    <row r="826" spans="4:14" ht="15" customHeight="1" x14ac:dyDescent="0.2">
      <c r="D826" s="130" t="b">
        <v>0</v>
      </c>
      <c r="E826" s="124" t="s">
        <v>91</v>
      </c>
      <c r="F826" s="125" t="s">
        <v>97</v>
      </c>
      <c r="G826" s="125" t="s">
        <v>99</v>
      </c>
      <c r="H826" s="123">
        <v>4</v>
      </c>
      <c r="I826" s="123" t="s">
        <v>92</v>
      </c>
      <c r="J826" s="123" t="s">
        <v>91</v>
      </c>
      <c r="K826" s="123" t="s">
        <v>100</v>
      </c>
      <c r="L826" s="132">
        <v>746</v>
      </c>
      <c r="M826" s="132">
        <v>0</v>
      </c>
      <c r="N826" s="132">
        <v>1.667243091753235E+19</v>
      </c>
    </row>
    <row r="827" spans="4:14" ht="15" customHeight="1" x14ac:dyDescent="0.2">
      <c r="D827" s="130" t="b">
        <v>0</v>
      </c>
      <c r="E827" s="124" t="s">
        <v>91</v>
      </c>
      <c r="F827" s="125" t="s">
        <v>97</v>
      </c>
      <c r="G827" s="125" t="s">
        <v>99</v>
      </c>
      <c r="H827" s="123" t="s">
        <v>98</v>
      </c>
      <c r="I827" s="123" t="s">
        <v>95</v>
      </c>
      <c r="J827" s="123" t="s">
        <v>96</v>
      </c>
      <c r="K827" s="123" t="s">
        <v>93</v>
      </c>
      <c r="L827" s="132">
        <v>747</v>
      </c>
      <c r="M827" s="132">
        <v>0</v>
      </c>
      <c r="N827" s="132">
        <v>3.9045373691463869E+18</v>
      </c>
    </row>
    <row r="828" spans="4:14" ht="15" customHeight="1" x14ac:dyDescent="0.2">
      <c r="D828" s="130" t="b">
        <v>0</v>
      </c>
      <c r="E828" s="124" t="s">
        <v>91</v>
      </c>
      <c r="F828" s="125" t="s">
        <v>97</v>
      </c>
      <c r="G828" s="125" t="s">
        <v>99</v>
      </c>
      <c r="H828" s="123" t="s">
        <v>98</v>
      </c>
      <c r="I828" s="123" t="s">
        <v>95</v>
      </c>
      <c r="J828" s="123" t="s">
        <v>97</v>
      </c>
      <c r="K828" s="123" t="s">
        <v>93</v>
      </c>
      <c r="L828" s="132">
        <v>748</v>
      </c>
      <c r="M828" s="132">
        <v>0</v>
      </c>
      <c r="N828" s="132">
        <v>1.5524974719395779E+19</v>
      </c>
    </row>
    <row r="829" spans="4:14" ht="15" customHeight="1" x14ac:dyDescent="0.2">
      <c r="D829" s="130" t="b">
        <v>0</v>
      </c>
      <c r="E829" s="124" t="s">
        <v>91</v>
      </c>
      <c r="F829" s="125" t="s">
        <v>97</v>
      </c>
      <c r="G829" s="125" t="s">
        <v>99</v>
      </c>
      <c r="H829" s="123" t="s">
        <v>98</v>
      </c>
      <c r="I829" s="123" t="s">
        <v>95</v>
      </c>
      <c r="J829" s="123" t="s">
        <v>91</v>
      </c>
      <c r="K829" s="123" t="s">
        <v>100</v>
      </c>
      <c r="L829" s="132">
        <v>749</v>
      </c>
      <c r="M829" s="132">
        <v>0</v>
      </c>
      <c r="N829" s="132">
        <v>1.5541612191387378E+19</v>
      </c>
    </row>
    <row r="830" spans="4:14" ht="15" customHeight="1" x14ac:dyDescent="0.2">
      <c r="D830" s="130" t="b">
        <v>0</v>
      </c>
      <c r="E830" s="124" t="s">
        <v>91</v>
      </c>
      <c r="F830" s="125" t="s">
        <v>97</v>
      </c>
      <c r="G830" s="125" t="s">
        <v>99</v>
      </c>
      <c r="H830" s="123" t="s">
        <v>98</v>
      </c>
      <c r="I830" s="123" t="s">
        <v>97</v>
      </c>
      <c r="J830" s="123" t="s">
        <v>96</v>
      </c>
      <c r="K830" s="123" t="s">
        <v>93</v>
      </c>
      <c r="L830" s="132">
        <v>750</v>
      </c>
      <c r="M830" s="132">
        <v>0</v>
      </c>
      <c r="N830" s="132">
        <v>3.8416893951157228E+18</v>
      </c>
    </row>
    <row r="831" spans="4:14" ht="15" customHeight="1" x14ac:dyDescent="0.2">
      <c r="D831" s="130" t="b">
        <v>0</v>
      </c>
      <c r="E831" s="124" t="s">
        <v>91</v>
      </c>
      <c r="F831" s="125" t="s">
        <v>97</v>
      </c>
      <c r="G831" s="125" t="s">
        <v>99</v>
      </c>
      <c r="H831" s="123" t="s">
        <v>98</v>
      </c>
      <c r="I831" s="123" t="s">
        <v>97</v>
      </c>
      <c r="J831" s="123" t="s">
        <v>97</v>
      </c>
      <c r="K831" s="123" t="s">
        <v>100</v>
      </c>
      <c r="L831" s="132">
        <v>751</v>
      </c>
      <c r="M831" s="132">
        <v>0</v>
      </c>
      <c r="N831" s="132">
        <v>1.5007282566661431E+19</v>
      </c>
    </row>
    <row r="832" spans="4:14" ht="15" customHeight="1" x14ac:dyDescent="0.2">
      <c r="D832" s="130" t="b">
        <v>0</v>
      </c>
      <c r="E832" s="124" t="s">
        <v>91</v>
      </c>
      <c r="F832" s="125" t="s">
        <v>97</v>
      </c>
      <c r="G832" s="125" t="s">
        <v>99</v>
      </c>
      <c r="H832" s="123" t="s">
        <v>98</v>
      </c>
      <c r="I832" s="123" t="s">
        <v>97</v>
      </c>
      <c r="J832" s="123" t="s">
        <v>91</v>
      </c>
      <c r="K832" s="123" t="s">
        <v>100</v>
      </c>
      <c r="L832" s="132">
        <v>752</v>
      </c>
      <c r="M832" s="132">
        <v>0</v>
      </c>
      <c r="N832" s="132">
        <v>1.8136470705062599E+19</v>
      </c>
    </row>
    <row r="833" spans="4:14" ht="15" customHeight="1" x14ac:dyDescent="0.2">
      <c r="D833" s="130" t="b">
        <v>0</v>
      </c>
      <c r="E833" s="124" t="s">
        <v>91</v>
      </c>
      <c r="F833" s="125" t="s">
        <v>97</v>
      </c>
      <c r="G833" s="125" t="s">
        <v>99</v>
      </c>
      <c r="H833" s="123" t="s">
        <v>98</v>
      </c>
      <c r="I833" s="123" t="s">
        <v>92</v>
      </c>
      <c r="J833" s="123" t="s">
        <v>96</v>
      </c>
      <c r="K833" s="123" t="s">
        <v>93</v>
      </c>
      <c r="L833" s="132">
        <v>753</v>
      </c>
      <c r="M833" s="132">
        <v>0</v>
      </c>
      <c r="N833" s="132">
        <v>1.2248651166102381E+19</v>
      </c>
    </row>
    <row r="834" spans="4:14" ht="15" customHeight="1" x14ac:dyDescent="0.2">
      <c r="D834" s="130" t="b">
        <v>0</v>
      </c>
      <c r="E834" s="124" t="s">
        <v>91</v>
      </c>
      <c r="F834" s="125" t="s">
        <v>97</v>
      </c>
      <c r="G834" s="125" t="s">
        <v>99</v>
      </c>
      <c r="H834" s="123" t="s">
        <v>98</v>
      </c>
      <c r="I834" s="123" t="s">
        <v>92</v>
      </c>
      <c r="J834" s="123" t="s">
        <v>97</v>
      </c>
      <c r="K834" s="123" t="s">
        <v>100</v>
      </c>
      <c r="L834" s="132">
        <v>754</v>
      </c>
      <c r="M834" s="132">
        <v>0</v>
      </c>
      <c r="N834" s="132">
        <v>9.0008904259591598E+18</v>
      </c>
    </row>
    <row r="835" spans="4:14" ht="15" customHeight="1" x14ac:dyDescent="0.2">
      <c r="D835" s="130" t="b">
        <v>0</v>
      </c>
      <c r="E835" s="124" t="s">
        <v>91</v>
      </c>
      <c r="F835" s="125" t="s">
        <v>97</v>
      </c>
      <c r="G835" s="125" t="s">
        <v>99</v>
      </c>
      <c r="H835" s="123" t="s">
        <v>98</v>
      </c>
      <c r="I835" s="123" t="s">
        <v>92</v>
      </c>
      <c r="J835" s="123" t="s">
        <v>91</v>
      </c>
      <c r="K835" s="123" t="s">
        <v>100</v>
      </c>
      <c r="L835" s="132">
        <v>755</v>
      </c>
      <c r="M835" s="132">
        <v>0</v>
      </c>
      <c r="N835" s="132">
        <v>9.5972359757047931E+18</v>
      </c>
    </row>
    <row r="836" spans="4:14" ht="15" customHeight="1" x14ac:dyDescent="0.2">
      <c r="D836" s="130" t="b">
        <v>0</v>
      </c>
      <c r="E836" s="124" t="s">
        <v>91</v>
      </c>
      <c r="F836" s="125" t="s">
        <v>96</v>
      </c>
      <c r="G836" s="125">
        <v>2</v>
      </c>
      <c r="H836" s="123">
        <v>2</v>
      </c>
      <c r="I836" s="123" t="s">
        <v>95</v>
      </c>
      <c r="J836" s="123" t="s">
        <v>96</v>
      </c>
      <c r="K836" s="123" t="s">
        <v>93</v>
      </c>
      <c r="L836" s="132">
        <v>756</v>
      </c>
      <c r="M836" s="132">
        <v>0</v>
      </c>
      <c r="N836" s="132">
        <v>1.5203830836748161E+19</v>
      </c>
    </row>
    <row r="837" spans="4:14" ht="15" customHeight="1" x14ac:dyDescent="0.2">
      <c r="D837" s="130" t="b">
        <v>0</v>
      </c>
      <c r="E837" s="124" t="s">
        <v>91</v>
      </c>
      <c r="F837" s="125" t="s">
        <v>96</v>
      </c>
      <c r="G837" s="125">
        <v>2</v>
      </c>
      <c r="H837" s="123">
        <v>2</v>
      </c>
      <c r="I837" s="123" t="s">
        <v>95</v>
      </c>
      <c r="J837" s="123" t="s">
        <v>97</v>
      </c>
      <c r="K837" s="123" t="s">
        <v>93</v>
      </c>
      <c r="L837" s="132">
        <v>757</v>
      </c>
      <c r="M837" s="132">
        <v>0</v>
      </c>
      <c r="N837" s="132">
        <v>1.5740425087584438E+18</v>
      </c>
    </row>
    <row r="838" spans="4:14" ht="15" customHeight="1" x14ac:dyDescent="0.2">
      <c r="D838" s="130" t="b">
        <v>0</v>
      </c>
      <c r="E838" s="124" t="s">
        <v>91</v>
      </c>
      <c r="F838" s="125" t="s">
        <v>96</v>
      </c>
      <c r="G838" s="125">
        <v>2</v>
      </c>
      <c r="H838" s="123">
        <v>2</v>
      </c>
      <c r="I838" s="123" t="s">
        <v>95</v>
      </c>
      <c r="J838" s="123" t="s">
        <v>91</v>
      </c>
      <c r="K838" s="123" t="s">
        <v>93</v>
      </c>
      <c r="L838" s="132">
        <v>758</v>
      </c>
      <c r="M838" s="132">
        <v>0</v>
      </c>
      <c r="N838" s="132">
        <v>1.5519013307517786E+19</v>
      </c>
    </row>
    <row r="839" spans="4:14" ht="15" customHeight="1" x14ac:dyDescent="0.2">
      <c r="D839" s="130" t="b">
        <v>0</v>
      </c>
      <c r="E839" s="124" t="s">
        <v>91</v>
      </c>
      <c r="F839" s="125" t="s">
        <v>96</v>
      </c>
      <c r="G839" s="125">
        <v>2</v>
      </c>
      <c r="H839" s="123">
        <v>2</v>
      </c>
      <c r="I839" s="123" t="s">
        <v>97</v>
      </c>
      <c r="J839" s="123" t="s">
        <v>96</v>
      </c>
      <c r="K839" s="123" t="s">
        <v>93</v>
      </c>
      <c r="L839" s="132">
        <v>759</v>
      </c>
      <c r="M839" s="132">
        <v>0</v>
      </c>
      <c r="N839" s="132">
        <v>2.1438851394085816E+18</v>
      </c>
    </row>
    <row r="840" spans="4:14" ht="15" customHeight="1" x14ac:dyDescent="0.2">
      <c r="D840" s="130" t="b">
        <v>0</v>
      </c>
      <c r="E840" s="124" t="s">
        <v>91</v>
      </c>
      <c r="F840" s="125" t="s">
        <v>96</v>
      </c>
      <c r="G840" s="125">
        <v>2</v>
      </c>
      <c r="H840" s="123">
        <v>2</v>
      </c>
      <c r="I840" s="123" t="s">
        <v>97</v>
      </c>
      <c r="J840" s="123" t="s">
        <v>97</v>
      </c>
      <c r="K840" s="123" t="s">
        <v>93</v>
      </c>
      <c r="L840" s="132">
        <v>760</v>
      </c>
      <c r="M840" s="132">
        <v>0</v>
      </c>
      <c r="N840" s="132">
        <v>1.0424009955317852E+19</v>
      </c>
    </row>
    <row r="841" spans="4:14" ht="15" customHeight="1" x14ac:dyDescent="0.2">
      <c r="D841" s="130" t="b">
        <v>0</v>
      </c>
      <c r="E841" s="124" t="s">
        <v>91</v>
      </c>
      <c r="F841" s="125" t="s">
        <v>96</v>
      </c>
      <c r="G841" s="125">
        <v>2</v>
      </c>
      <c r="H841" s="123">
        <v>2</v>
      </c>
      <c r="I841" s="123" t="s">
        <v>97</v>
      </c>
      <c r="J841" s="123" t="s">
        <v>91</v>
      </c>
      <c r="K841" s="123" t="s">
        <v>93</v>
      </c>
      <c r="L841" s="132">
        <v>761</v>
      </c>
      <c r="M841" s="132">
        <v>0</v>
      </c>
      <c r="N841" s="132">
        <v>1.7042541170342083E+19</v>
      </c>
    </row>
    <row r="842" spans="4:14" ht="15" customHeight="1" x14ac:dyDescent="0.2">
      <c r="D842" s="130" t="b">
        <v>0</v>
      </c>
      <c r="E842" s="124" t="s">
        <v>91</v>
      </c>
      <c r="F842" s="125" t="s">
        <v>96</v>
      </c>
      <c r="G842" s="125">
        <v>2</v>
      </c>
      <c r="H842" s="123">
        <v>2</v>
      </c>
      <c r="I842" s="123" t="s">
        <v>92</v>
      </c>
      <c r="J842" s="123" t="s">
        <v>96</v>
      </c>
      <c r="K842" s="123" t="s">
        <v>93</v>
      </c>
      <c r="L842" s="132">
        <v>762</v>
      </c>
      <c r="M842" s="132">
        <v>0</v>
      </c>
      <c r="N842" s="132">
        <v>9.3862885143181804E+18</v>
      </c>
    </row>
    <row r="843" spans="4:14" ht="15" customHeight="1" x14ac:dyDescent="0.2">
      <c r="D843" s="130" t="b">
        <v>0</v>
      </c>
      <c r="E843" s="124" t="s">
        <v>91</v>
      </c>
      <c r="F843" s="125" t="s">
        <v>96</v>
      </c>
      <c r="G843" s="125">
        <v>2</v>
      </c>
      <c r="H843" s="123">
        <v>2</v>
      </c>
      <c r="I843" s="123" t="s">
        <v>92</v>
      </c>
      <c r="J843" s="123" t="s">
        <v>97</v>
      </c>
      <c r="K843" s="123" t="s">
        <v>93</v>
      </c>
      <c r="L843" s="132">
        <v>763</v>
      </c>
      <c r="M843" s="132">
        <v>0</v>
      </c>
      <c r="N843" s="132">
        <v>1.4768340107001512E+19</v>
      </c>
    </row>
    <row r="844" spans="4:14" ht="15" customHeight="1" x14ac:dyDescent="0.2">
      <c r="D844" s="130" t="b">
        <v>0</v>
      </c>
      <c r="E844" s="124" t="s">
        <v>91</v>
      </c>
      <c r="F844" s="125" t="s">
        <v>96</v>
      </c>
      <c r="G844" s="125">
        <v>2</v>
      </c>
      <c r="H844" s="123">
        <v>2</v>
      </c>
      <c r="I844" s="123" t="s">
        <v>92</v>
      </c>
      <c r="J844" s="123" t="s">
        <v>91</v>
      </c>
      <c r="K844" s="123" t="s">
        <v>93</v>
      </c>
      <c r="L844" s="132">
        <v>764</v>
      </c>
      <c r="M844" s="132">
        <v>0</v>
      </c>
      <c r="N844" s="132">
        <v>1.6751517829991023E+19</v>
      </c>
    </row>
    <row r="845" spans="4:14" ht="15" customHeight="1" x14ac:dyDescent="0.2">
      <c r="D845" s="130" t="b">
        <v>0</v>
      </c>
      <c r="E845" s="124" t="s">
        <v>91</v>
      </c>
      <c r="F845" s="125" t="s">
        <v>96</v>
      </c>
      <c r="G845" s="125">
        <v>2</v>
      </c>
      <c r="H845" s="123">
        <v>4</v>
      </c>
      <c r="I845" s="123" t="s">
        <v>95</v>
      </c>
      <c r="J845" s="123" t="s">
        <v>96</v>
      </c>
      <c r="K845" s="123" t="s">
        <v>93</v>
      </c>
      <c r="L845" s="132">
        <v>765</v>
      </c>
      <c r="M845" s="132">
        <v>0</v>
      </c>
      <c r="N845" s="132">
        <v>1.4773439896492909E+19</v>
      </c>
    </row>
    <row r="846" spans="4:14" ht="15" customHeight="1" x14ac:dyDescent="0.2">
      <c r="D846" s="130" t="b">
        <v>0</v>
      </c>
      <c r="E846" s="124" t="s">
        <v>91</v>
      </c>
      <c r="F846" s="125" t="s">
        <v>96</v>
      </c>
      <c r="G846" s="125">
        <v>2</v>
      </c>
      <c r="H846" s="123">
        <v>4</v>
      </c>
      <c r="I846" s="123" t="s">
        <v>95</v>
      </c>
      <c r="J846" s="123" t="s">
        <v>97</v>
      </c>
      <c r="K846" s="123" t="s">
        <v>93</v>
      </c>
      <c r="L846" s="132">
        <v>766</v>
      </c>
      <c r="M846" s="132">
        <v>0</v>
      </c>
      <c r="N846" s="132">
        <v>8.8942546981663457E+18</v>
      </c>
    </row>
    <row r="847" spans="4:14" ht="15" customHeight="1" x14ac:dyDescent="0.2">
      <c r="D847" s="130" t="b">
        <v>0</v>
      </c>
      <c r="E847" s="124" t="s">
        <v>91</v>
      </c>
      <c r="F847" s="125" t="s">
        <v>96</v>
      </c>
      <c r="G847" s="125">
        <v>2</v>
      </c>
      <c r="H847" s="123">
        <v>4</v>
      </c>
      <c r="I847" s="123" t="s">
        <v>95</v>
      </c>
      <c r="J847" s="123" t="s">
        <v>91</v>
      </c>
      <c r="K847" s="123" t="s">
        <v>100</v>
      </c>
      <c r="L847" s="132">
        <v>767</v>
      </c>
      <c r="M847" s="132">
        <v>0</v>
      </c>
      <c r="N847" s="132">
        <v>3.2951768314981524E+18</v>
      </c>
    </row>
    <row r="848" spans="4:14" ht="15" customHeight="1" x14ac:dyDescent="0.2">
      <c r="D848" s="130" t="b">
        <v>0</v>
      </c>
      <c r="E848" s="124" t="s">
        <v>91</v>
      </c>
      <c r="F848" s="125" t="s">
        <v>96</v>
      </c>
      <c r="G848" s="125">
        <v>2</v>
      </c>
      <c r="H848" s="123">
        <v>4</v>
      </c>
      <c r="I848" s="123" t="s">
        <v>97</v>
      </c>
      <c r="J848" s="123" t="s">
        <v>96</v>
      </c>
      <c r="K848" s="123" t="s">
        <v>93</v>
      </c>
      <c r="L848" s="132">
        <v>768</v>
      </c>
      <c r="M848" s="132">
        <v>0</v>
      </c>
      <c r="N848" s="132">
        <v>6.6002641301599662E+18</v>
      </c>
    </row>
    <row r="849" spans="4:14" ht="15" customHeight="1" x14ac:dyDescent="0.2">
      <c r="D849" s="130" t="b">
        <v>0</v>
      </c>
      <c r="E849" s="124" t="s">
        <v>91</v>
      </c>
      <c r="F849" s="125" t="s">
        <v>96</v>
      </c>
      <c r="G849" s="125">
        <v>2</v>
      </c>
      <c r="H849" s="123">
        <v>4</v>
      </c>
      <c r="I849" s="123" t="s">
        <v>97</v>
      </c>
      <c r="J849" s="123" t="s">
        <v>97</v>
      </c>
      <c r="K849" s="123" t="s">
        <v>93</v>
      </c>
      <c r="L849" s="132">
        <v>769</v>
      </c>
      <c r="M849" s="132">
        <v>0</v>
      </c>
      <c r="N849" s="132">
        <v>1.6793771836297458E+19</v>
      </c>
    </row>
    <row r="850" spans="4:14" ht="15" customHeight="1" x14ac:dyDescent="0.2">
      <c r="D850" s="130" t="b">
        <v>0</v>
      </c>
      <c r="E850" s="124" t="s">
        <v>91</v>
      </c>
      <c r="F850" s="125" t="s">
        <v>96</v>
      </c>
      <c r="G850" s="125">
        <v>2</v>
      </c>
      <c r="H850" s="123">
        <v>4</v>
      </c>
      <c r="I850" s="123" t="s">
        <v>97</v>
      </c>
      <c r="J850" s="123" t="s">
        <v>91</v>
      </c>
      <c r="K850" s="123" t="s">
        <v>100</v>
      </c>
      <c r="L850" s="132">
        <v>770</v>
      </c>
      <c r="M850" s="132">
        <v>0</v>
      </c>
      <c r="N850" s="132">
        <v>8.9795478007881759E+18</v>
      </c>
    </row>
    <row r="851" spans="4:14" ht="15" customHeight="1" x14ac:dyDescent="0.2">
      <c r="D851" s="130" t="b">
        <v>0</v>
      </c>
      <c r="E851" s="124" t="s">
        <v>91</v>
      </c>
      <c r="F851" s="125" t="s">
        <v>96</v>
      </c>
      <c r="G851" s="125">
        <v>2</v>
      </c>
      <c r="H851" s="123">
        <v>4</v>
      </c>
      <c r="I851" s="123" t="s">
        <v>92</v>
      </c>
      <c r="J851" s="123" t="s">
        <v>96</v>
      </c>
      <c r="K851" s="123" t="s">
        <v>93</v>
      </c>
      <c r="L851" s="132">
        <v>771</v>
      </c>
      <c r="M851" s="132">
        <v>0</v>
      </c>
      <c r="N851" s="132">
        <v>1.1490681668512887E+19</v>
      </c>
    </row>
    <row r="852" spans="4:14" ht="15" customHeight="1" x14ac:dyDescent="0.2">
      <c r="D852" s="130" t="b">
        <v>0</v>
      </c>
      <c r="E852" s="124" t="s">
        <v>91</v>
      </c>
      <c r="F852" s="125" t="s">
        <v>96</v>
      </c>
      <c r="G852" s="125">
        <v>2</v>
      </c>
      <c r="H852" s="123">
        <v>4</v>
      </c>
      <c r="I852" s="123" t="s">
        <v>92</v>
      </c>
      <c r="J852" s="123" t="s">
        <v>97</v>
      </c>
      <c r="K852" s="123" t="s">
        <v>100</v>
      </c>
      <c r="L852" s="132">
        <v>772</v>
      </c>
      <c r="M852" s="132">
        <v>0</v>
      </c>
      <c r="N852" s="132">
        <v>8.57430585589265E+18</v>
      </c>
    </row>
    <row r="853" spans="4:14" ht="15" customHeight="1" x14ac:dyDescent="0.2">
      <c r="D853" s="130" t="b">
        <v>0</v>
      </c>
      <c r="E853" s="124" t="s">
        <v>91</v>
      </c>
      <c r="F853" s="125" t="s">
        <v>96</v>
      </c>
      <c r="G853" s="125">
        <v>2</v>
      </c>
      <c r="H853" s="123">
        <v>4</v>
      </c>
      <c r="I853" s="123" t="s">
        <v>92</v>
      </c>
      <c r="J853" s="123" t="s">
        <v>91</v>
      </c>
      <c r="K853" s="123" t="s">
        <v>100</v>
      </c>
      <c r="L853" s="132">
        <v>773</v>
      </c>
      <c r="M853" s="132">
        <v>0</v>
      </c>
      <c r="N853" s="132">
        <v>6.0980231930946642E+18</v>
      </c>
    </row>
    <row r="854" spans="4:14" ht="15" customHeight="1" x14ac:dyDescent="0.2">
      <c r="D854" s="130" t="b">
        <v>0</v>
      </c>
      <c r="E854" s="124" t="s">
        <v>91</v>
      </c>
      <c r="F854" s="125" t="s">
        <v>96</v>
      </c>
      <c r="G854" s="125">
        <v>2</v>
      </c>
      <c r="H854" s="123" t="s">
        <v>98</v>
      </c>
      <c r="I854" s="123" t="s">
        <v>95</v>
      </c>
      <c r="J854" s="123" t="s">
        <v>96</v>
      </c>
      <c r="K854" s="123" t="s">
        <v>93</v>
      </c>
      <c r="L854" s="132">
        <v>774</v>
      </c>
      <c r="M854" s="132">
        <v>0</v>
      </c>
      <c r="N854" s="132">
        <v>1.978628498160704E+18</v>
      </c>
    </row>
    <row r="855" spans="4:14" ht="15" customHeight="1" x14ac:dyDescent="0.2">
      <c r="D855" s="130" t="b">
        <v>0</v>
      </c>
      <c r="E855" s="124" t="s">
        <v>91</v>
      </c>
      <c r="F855" s="125" t="s">
        <v>96</v>
      </c>
      <c r="G855" s="125">
        <v>2</v>
      </c>
      <c r="H855" s="123" t="s">
        <v>98</v>
      </c>
      <c r="I855" s="123" t="s">
        <v>95</v>
      </c>
      <c r="J855" s="123" t="s">
        <v>97</v>
      </c>
      <c r="K855" s="123" t="s">
        <v>93</v>
      </c>
      <c r="L855" s="132">
        <v>775</v>
      </c>
      <c r="M855" s="132">
        <v>0</v>
      </c>
      <c r="N855" s="132">
        <v>6.8025696114342287E+18</v>
      </c>
    </row>
    <row r="856" spans="4:14" ht="15" customHeight="1" x14ac:dyDescent="0.2">
      <c r="D856" s="130" t="b">
        <v>0</v>
      </c>
      <c r="E856" s="124" t="s">
        <v>91</v>
      </c>
      <c r="F856" s="125" t="s">
        <v>96</v>
      </c>
      <c r="G856" s="125">
        <v>2</v>
      </c>
      <c r="H856" s="123" t="s">
        <v>98</v>
      </c>
      <c r="I856" s="123" t="s">
        <v>95</v>
      </c>
      <c r="J856" s="123" t="s">
        <v>91</v>
      </c>
      <c r="K856" s="123" t="s">
        <v>93</v>
      </c>
      <c r="L856" s="132">
        <v>776</v>
      </c>
      <c r="M856" s="132">
        <v>0</v>
      </c>
      <c r="N856" s="132">
        <v>1.4321056372720909E+18</v>
      </c>
    </row>
    <row r="857" spans="4:14" ht="15" customHeight="1" x14ac:dyDescent="0.2">
      <c r="D857" s="130" t="b">
        <v>0</v>
      </c>
      <c r="E857" s="124" t="s">
        <v>91</v>
      </c>
      <c r="F857" s="125" t="s">
        <v>96</v>
      </c>
      <c r="G857" s="125">
        <v>2</v>
      </c>
      <c r="H857" s="123" t="s">
        <v>98</v>
      </c>
      <c r="I857" s="123" t="s">
        <v>97</v>
      </c>
      <c r="J857" s="123" t="s">
        <v>96</v>
      </c>
      <c r="K857" s="123" t="s">
        <v>93</v>
      </c>
      <c r="L857" s="132">
        <v>777</v>
      </c>
      <c r="M857" s="132">
        <v>0</v>
      </c>
      <c r="N857" s="132">
        <v>1.5181203186746225E+19</v>
      </c>
    </row>
    <row r="858" spans="4:14" ht="15" customHeight="1" x14ac:dyDescent="0.2">
      <c r="D858" s="130" t="b">
        <v>0</v>
      </c>
      <c r="E858" s="124" t="s">
        <v>91</v>
      </c>
      <c r="F858" s="125" t="s">
        <v>96</v>
      </c>
      <c r="G858" s="125">
        <v>2</v>
      </c>
      <c r="H858" s="123" t="s">
        <v>98</v>
      </c>
      <c r="I858" s="123" t="s">
        <v>97</v>
      </c>
      <c r="J858" s="123" t="s">
        <v>97</v>
      </c>
      <c r="K858" s="123" t="s">
        <v>93</v>
      </c>
      <c r="L858" s="132">
        <v>778</v>
      </c>
      <c r="M858" s="132">
        <v>0</v>
      </c>
      <c r="N858" s="132">
        <v>2.5264722285442601E+18</v>
      </c>
    </row>
    <row r="859" spans="4:14" ht="15" customHeight="1" x14ac:dyDescent="0.2">
      <c r="D859" s="130" t="b">
        <v>0</v>
      </c>
      <c r="E859" s="124" t="s">
        <v>91</v>
      </c>
      <c r="F859" s="125" t="s">
        <v>96</v>
      </c>
      <c r="G859" s="125">
        <v>2</v>
      </c>
      <c r="H859" s="123" t="s">
        <v>98</v>
      </c>
      <c r="I859" s="123" t="s">
        <v>97</v>
      </c>
      <c r="J859" s="123" t="s">
        <v>91</v>
      </c>
      <c r="K859" s="123" t="s">
        <v>100</v>
      </c>
      <c r="L859" s="132">
        <v>779</v>
      </c>
      <c r="M859" s="132">
        <v>0</v>
      </c>
      <c r="N859" s="132">
        <v>1.7800662112171164E+19</v>
      </c>
    </row>
    <row r="860" spans="4:14" ht="15" customHeight="1" x14ac:dyDescent="0.2">
      <c r="D860" s="130" t="b">
        <v>0</v>
      </c>
      <c r="E860" s="124" t="s">
        <v>91</v>
      </c>
      <c r="F860" s="125" t="s">
        <v>96</v>
      </c>
      <c r="G860" s="125">
        <v>2</v>
      </c>
      <c r="H860" s="123" t="s">
        <v>98</v>
      </c>
      <c r="I860" s="123" t="s">
        <v>92</v>
      </c>
      <c r="J860" s="123" t="s">
        <v>96</v>
      </c>
      <c r="K860" s="123" t="s">
        <v>93</v>
      </c>
      <c r="L860" s="132">
        <v>780</v>
      </c>
      <c r="M860" s="132">
        <v>0</v>
      </c>
      <c r="N860" s="132">
        <v>1.3543944557838334E+19</v>
      </c>
    </row>
    <row r="861" spans="4:14" ht="15" customHeight="1" x14ac:dyDescent="0.2">
      <c r="D861" s="130" t="b">
        <v>0</v>
      </c>
      <c r="E861" s="124" t="s">
        <v>91</v>
      </c>
      <c r="F861" s="125" t="s">
        <v>96</v>
      </c>
      <c r="G861" s="125">
        <v>2</v>
      </c>
      <c r="H861" s="123" t="s">
        <v>98</v>
      </c>
      <c r="I861" s="123" t="s">
        <v>92</v>
      </c>
      <c r="J861" s="123" t="s">
        <v>97</v>
      </c>
      <c r="K861" s="123" t="s">
        <v>100</v>
      </c>
      <c r="L861" s="132">
        <v>781</v>
      </c>
      <c r="M861" s="132">
        <v>0</v>
      </c>
      <c r="N861" s="132">
        <v>1.2930409579033758E+19</v>
      </c>
    </row>
    <row r="862" spans="4:14" ht="15" customHeight="1" x14ac:dyDescent="0.2">
      <c r="D862" s="130" t="b">
        <v>0</v>
      </c>
      <c r="E862" s="124" t="s">
        <v>91</v>
      </c>
      <c r="F862" s="125" t="s">
        <v>96</v>
      </c>
      <c r="G862" s="125">
        <v>2</v>
      </c>
      <c r="H862" s="123" t="s">
        <v>98</v>
      </c>
      <c r="I862" s="123" t="s">
        <v>92</v>
      </c>
      <c r="J862" s="123" t="s">
        <v>91</v>
      </c>
      <c r="K862" s="123" t="s">
        <v>100</v>
      </c>
      <c r="L862" s="132">
        <v>782</v>
      </c>
      <c r="M862" s="132">
        <v>0</v>
      </c>
      <c r="N862" s="132">
        <v>1.2421702835056949E+19</v>
      </c>
    </row>
    <row r="863" spans="4:14" ht="15" customHeight="1" x14ac:dyDescent="0.2">
      <c r="D863" s="130" t="b">
        <v>0</v>
      </c>
      <c r="E863" s="124" t="s">
        <v>91</v>
      </c>
      <c r="F863" s="125" t="s">
        <v>96</v>
      </c>
      <c r="G863" s="125">
        <v>3</v>
      </c>
      <c r="H863" s="123">
        <v>2</v>
      </c>
      <c r="I863" s="123" t="s">
        <v>95</v>
      </c>
      <c r="J863" s="123" t="s">
        <v>96</v>
      </c>
      <c r="K863" s="123" t="s">
        <v>93</v>
      </c>
      <c r="L863" s="132">
        <v>783</v>
      </c>
      <c r="M863" s="132">
        <v>0</v>
      </c>
      <c r="N863" s="132">
        <v>3.5300310410682358E+18</v>
      </c>
    </row>
    <row r="864" spans="4:14" ht="15" customHeight="1" x14ac:dyDescent="0.2">
      <c r="D864" s="130" t="b">
        <v>0</v>
      </c>
      <c r="E864" s="124" t="s">
        <v>91</v>
      </c>
      <c r="F864" s="125" t="s">
        <v>96</v>
      </c>
      <c r="G864" s="125">
        <v>3</v>
      </c>
      <c r="H864" s="123">
        <v>2</v>
      </c>
      <c r="I864" s="123" t="s">
        <v>95</v>
      </c>
      <c r="J864" s="123" t="s">
        <v>97</v>
      </c>
      <c r="K864" s="123" t="s">
        <v>93</v>
      </c>
      <c r="L864" s="132">
        <v>784</v>
      </c>
      <c r="M864" s="132">
        <v>0</v>
      </c>
      <c r="N864" s="132">
        <v>1.038863614946084E+19</v>
      </c>
    </row>
    <row r="865" spans="4:14" ht="15" customHeight="1" x14ac:dyDescent="0.2">
      <c r="D865" s="130" t="b">
        <v>0</v>
      </c>
      <c r="E865" s="124" t="s">
        <v>91</v>
      </c>
      <c r="F865" s="125" t="s">
        <v>96</v>
      </c>
      <c r="G865" s="125">
        <v>3</v>
      </c>
      <c r="H865" s="123">
        <v>2</v>
      </c>
      <c r="I865" s="123" t="s">
        <v>95</v>
      </c>
      <c r="J865" s="123" t="s">
        <v>91</v>
      </c>
      <c r="K865" s="123" t="s">
        <v>93</v>
      </c>
      <c r="L865" s="132">
        <v>785</v>
      </c>
      <c r="M865" s="132">
        <v>0</v>
      </c>
      <c r="N865" s="132">
        <v>3.8916047669167017E+18</v>
      </c>
    </row>
    <row r="866" spans="4:14" ht="15" customHeight="1" x14ac:dyDescent="0.2">
      <c r="D866" s="130" t="b">
        <v>0</v>
      </c>
      <c r="E866" s="124" t="s">
        <v>91</v>
      </c>
      <c r="F866" s="125" t="s">
        <v>96</v>
      </c>
      <c r="G866" s="125">
        <v>3</v>
      </c>
      <c r="H866" s="123">
        <v>2</v>
      </c>
      <c r="I866" s="123" t="s">
        <v>97</v>
      </c>
      <c r="J866" s="123" t="s">
        <v>96</v>
      </c>
      <c r="K866" s="123" t="s">
        <v>93</v>
      </c>
      <c r="L866" s="132">
        <v>786</v>
      </c>
      <c r="M866" s="132">
        <v>0</v>
      </c>
      <c r="N866" s="132">
        <v>1.3840116185572602E+19</v>
      </c>
    </row>
    <row r="867" spans="4:14" ht="15" customHeight="1" x14ac:dyDescent="0.2">
      <c r="D867" s="130" t="b">
        <v>0</v>
      </c>
      <c r="E867" s="124" t="s">
        <v>91</v>
      </c>
      <c r="F867" s="125" t="s">
        <v>96</v>
      </c>
      <c r="G867" s="125">
        <v>3</v>
      </c>
      <c r="H867" s="123">
        <v>2</v>
      </c>
      <c r="I867" s="123" t="s">
        <v>97</v>
      </c>
      <c r="J867" s="123" t="s">
        <v>97</v>
      </c>
      <c r="K867" s="123" t="s">
        <v>93</v>
      </c>
      <c r="L867" s="132">
        <v>787</v>
      </c>
      <c r="M867" s="132">
        <v>0</v>
      </c>
      <c r="N867" s="132">
        <v>1.0449916081454283E+19</v>
      </c>
    </row>
    <row r="868" spans="4:14" ht="15" customHeight="1" x14ac:dyDescent="0.2">
      <c r="D868" s="130" t="b">
        <v>0</v>
      </c>
      <c r="E868" s="124" t="s">
        <v>91</v>
      </c>
      <c r="F868" s="125" t="s">
        <v>96</v>
      </c>
      <c r="G868" s="125">
        <v>3</v>
      </c>
      <c r="H868" s="123">
        <v>2</v>
      </c>
      <c r="I868" s="123" t="s">
        <v>97</v>
      </c>
      <c r="J868" s="123" t="s">
        <v>91</v>
      </c>
      <c r="K868" s="123" t="s">
        <v>93</v>
      </c>
      <c r="L868" s="132">
        <v>788</v>
      </c>
      <c r="M868" s="132">
        <v>0</v>
      </c>
      <c r="N868" s="132">
        <v>2.7963502087232952E+18</v>
      </c>
    </row>
    <row r="869" spans="4:14" ht="15" customHeight="1" x14ac:dyDescent="0.2">
      <c r="D869" s="130" t="b">
        <v>0</v>
      </c>
      <c r="E869" s="124" t="s">
        <v>91</v>
      </c>
      <c r="F869" s="125" t="s">
        <v>96</v>
      </c>
      <c r="G869" s="125">
        <v>3</v>
      </c>
      <c r="H869" s="123">
        <v>2</v>
      </c>
      <c r="I869" s="123" t="s">
        <v>92</v>
      </c>
      <c r="J869" s="123" t="s">
        <v>96</v>
      </c>
      <c r="K869" s="123" t="s">
        <v>93</v>
      </c>
      <c r="L869" s="132">
        <v>789</v>
      </c>
      <c r="M869" s="132">
        <v>0</v>
      </c>
      <c r="N869" s="132">
        <v>2.8025196535170196E+18</v>
      </c>
    </row>
    <row r="870" spans="4:14" ht="15" customHeight="1" x14ac:dyDescent="0.2">
      <c r="D870" s="130" t="b">
        <v>0</v>
      </c>
      <c r="E870" s="124" t="s">
        <v>91</v>
      </c>
      <c r="F870" s="125" t="s">
        <v>96</v>
      </c>
      <c r="G870" s="125">
        <v>3</v>
      </c>
      <c r="H870" s="123">
        <v>2</v>
      </c>
      <c r="I870" s="123" t="s">
        <v>92</v>
      </c>
      <c r="J870" s="123" t="s">
        <v>97</v>
      </c>
      <c r="K870" s="123" t="s">
        <v>93</v>
      </c>
      <c r="L870" s="132">
        <v>790</v>
      </c>
      <c r="M870" s="132">
        <v>0</v>
      </c>
      <c r="N870" s="132">
        <v>8.1604529170594007E+18</v>
      </c>
    </row>
    <row r="871" spans="4:14" ht="15" customHeight="1" x14ac:dyDescent="0.2">
      <c r="D871" s="130" t="b">
        <v>0</v>
      </c>
      <c r="E871" s="124" t="s">
        <v>91</v>
      </c>
      <c r="F871" s="125" t="s">
        <v>96</v>
      </c>
      <c r="G871" s="125">
        <v>3</v>
      </c>
      <c r="H871" s="123">
        <v>2</v>
      </c>
      <c r="I871" s="123" t="s">
        <v>92</v>
      </c>
      <c r="J871" s="123" t="s">
        <v>91</v>
      </c>
      <c r="K871" s="123" t="s">
        <v>93</v>
      </c>
      <c r="L871" s="132">
        <v>791</v>
      </c>
      <c r="M871" s="132">
        <v>0</v>
      </c>
      <c r="N871" s="132">
        <v>1.111046025126886E+19</v>
      </c>
    </row>
    <row r="872" spans="4:14" ht="15" customHeight="1" x14ac:dyDescent="0.2">
      <c r="D872" s="130" t="b">
        <v>0</v>
      </c>
      <c r="E872" s="124" t="s">
        <v>91</v>
      </c>
      <c r="F872" s="125" t="s">
        <v>96</v>
      </c>
      <c r="G872" s="125">
        <v>3</v>
      </c>
      <c r="H872" s="123">
        <v>4</v>
      </c>
      <c r="I872" s="123" t="s">
        <v>95</v>
      </c>
      <c r="J872" s="123" t="s">
        <v>96</v>
      </c>
      <c r="K872" s="123" t="s">
        <v>93</v>
      </c>
      <c r="L872" s="132">
        <v>792</v>
      </c>
      <c r="M872" s="132">
        <v>0</v>
      </c>
      <c r="N872" s="132">
        <v>1.2184612624753676E+19</v>
      </c>
    </row>
    <row r="873" spans="4:14" ht="15" customHeight="1" x14ac:dyDescent="0.2">
      <c r="D873" s="130" t="b">
        <v>0</v>
      </c>
      <c r="E873" s="124" t="s">
        <v>91</v>
      </c>
      <c r="F873" s="125" t="s">
        <v>96</v>
      </c>
      <c r="G873" s="125">
        <v>3</v>
      </c>
      <c r="H873" s="123">
        <v>4</v>
      </c>
      <c r="I873" s="123" t="s">
        <v>95</v>
      </c>
      <c r="J873" s="123" t="s">
        <v>97</v>
      </c>
      <c r="K873" s="123" t="s">
        <v>93</v>
      </c>
      <c r="L873" s="132">
        <v>793</v>
      </c>
      <c r="M873" s="132">
        <v>0</v>
      </c>
      <c r="N873" s="132">
        <v>1.6684766848548119E+19</v>
      </c>
    </row>
    <row r="874" spans="4:14" ht="15" customHeight="1" x14ac:dyDescent="0.2">
      <c r="D874" s="130" t="b">
        <v>0</v>
      </c>
      <c r="E874" s="124" t="s">
        <v>91</v>
      </c>
      <c r="F874" s="125" t="s">
        <v>96</v>
      </c>
      <c r="G874" s="125">
        <v>3</v>
      </c>
      <c r="H874" s="123">
        <v>4</v>
      </c>
      <c r="I874" s="123" t="s">
        <v>95</v>
      </c>
      <c r="J874" s="123" t="s">
        <v>91</v>
      </c>
      <c r="K874" s="123" t="s">
        <v>100</v>
      </c>
      <c r="L874" s="132">
        <v>794</v>
      </c>
      <c r="M874" s="132">
        <v>0</v>
      </c>
      <c r="N874" s="132">
        <v>8.6752661312682363E+18</v>
      </c>
    </row>
    <row r="875" spans="4:14" ht="15" customHeight="1" x14ac:dyDescent="0.2">
      <c r="D875" s="130" t="b">
        <v>0</v>
      </c>
      <c r="E875" s="124" t="s">
        <v>91</v>
      </c>
      <c r="F875" s="125" t="s">
        <v>96</v>
      </c>
      <c r="G875" s="125">
        <v>3</v>
      </c>
      <c r="H875" s="123">
        <v>4</v>
      </c>
      <c r="I875" s="123" t="s">
        <v>97</v>
      </c>
      <c r="J875" s="123" t="s">
        <v>96</v>
      </c>
      <c r="K875" s="123" t="s">
        <v>93</v>
      </c>
      <c r="L875" s="132">
        <v>795</v>
      </c>
      <c r="M875" s="132">
        <v>0</v>
      </c>
      <c r="N875" s="132">
        <v>9.0151727166520412E+18</v>
      </c>
    </row>
    <row r="876" spans="4:14" ht="15" customHeight="1" x14ac:dyDescent="0.2">
      <c r="D876" s="130" t="b">
        <v>0</v>
      </c>
      <c r="E876" s="124" t="s">
        <v>91</v>
      </c>
      <c r="F876" s="125" t="s">
        <v>96</v>
      </c>
      <c r="G876" s="125">
        <v>3</v>
      </c>
      <c r="H876" s="123">
        <v>4</v>
      </c>
      <c r="I876" s="123" t="s">
        <v>97</v>
      </c>
      <c r="J876" s="123" t="s">
        <v>97</v>
      </c>
      <c r="K876" s="123" t="s">
        <v>93</v>
      </c>
      <c r="L876" s="132">
        <v>796</v>
      </c>
      <c r="M876" s="132">
        <v>0</v>
      </c>
      <c r="N876" s="132">
        <v>8.7789691494339195E+18</v>
      </c>
    </row>
    <row r="877" spans="4:14" ht="15" customHeight="1" x14ac:dyDescent="0.2">
      <c r="D877" s="130" t="b">
        <v>0</v>
      </c>
      <c r="E877" s="124" t="s">
        <v>91</v>
      </c>
      <c r="F877" s="125" t="s">
        <v>96</v>
      </c>
      <c r="G877" s="125">
        <v>3</v>
      </c>
      <c r="H877" s="123">
        <v>4</v>
      </c>
      <c r="I877" s="123" t="s">
        <v>97</v>
      </c>
      <c r="J877" s="123" t="s">
        <v>91</v>
      </c>
      <c r="K877" s="123" t="s">
        <v>100</v>
      </c>
      <c r="L877" s="132">
        <v>797</v>
      </c>
      <c r="M877" s="132">
        <v>0</v>
      </c>
      <c r="N877" s="132">
        <v>1.7988026061606371E+19</v>
      </c>
    </row>
    <row r="878" spans="4:14" ht="15" customHeight="1" x14ac:dyDescent="0.2">
      <c r="D878" s="130" t="b">
        <v>0</v>
      </c>
      <c r="E878" s="124" t="s">
        <v>91</v>
      </c>
      <c r="F878" s="125" t="s">
        <v>96</v>
      </c>
      <c r="G878" s="125">
        <v>3</v>
      </c>
      <c r="H878" s="123">
        <v>4</v>
      </c>
      <c r="I878" s="123" t="s">
        <v>92</v>
      </c>
      <c r="J878" s="123" t="s">
        <v>96</v>
      </c>
      <c r="K878" s="123" t="s">
        <v>93</v>
      </c>
      <c r="L878" s="132">
        <v>798</v>
      </c>
      <c r="M878" s="132">
        <v>0</v>
      </c>
      <c r="N878" s="132">
        <v>7.9556239310876047E+18</v>
      </c>
    </row>
    <row r="879" spans="4:14" ht="15" customHeight="1" x14ac:dyDescent="0.2">
      <c r="D879" s="130" t="b">
        <v>0</v>
      </c>
      <c r="E879" s="124" t="s">
        <v>91</v>
      </c>
      <c r="F879" s="125" t="s">
        <v>96</v>
      </c>
      <c r="G879" s="125">
        <v>3</v>
      </c>
      <c r="H879" s="123">
        <v>4</v>
      </c>
      <c r="I879" s="123" t="s">
        <v>92</v>
      </c>
      <c r="J879" s="123" t="s">
        <v>97</v>
      </c>
      <c r="K879" s="123" t="s">
        <v>100</v>
      </c>
      <c r="L879" s="132">
        <v>799</v>
      </c>
      <c r="M879" s="132">
        <v>0</v>
      </c>
      <c r="N879" s="132">
        <v>7.1714527484832205E+18</v>
      </c>
    </row>
    <row r="880" spans="4:14" ht="15" customHeight="1" x14ac:dyDescent="0.2">
      <c r="D880" s="130" t="b">
        <v>0</v>
      </c>
      <c r="E880" s="124" t="s">
        <v>91</v>
      </c>
      <c r="F880" s="125" t="s">
        <v>96</v>
      </c>
      <c r="G880" s="125">
        <v>3</v>
      </c>
      <c r="H880" s="123">
        <v>4</v>
      </c>
      <c r="I880" s="123" t="s">
        <v>92</v>
      </c>
      <c r="J880" s="123" t="s">
        <v>91</v>
      </c>
      <c r="K880" s="123" t="s">
        <v>100</v>
      </c>
      <c r="L880" s="132">
        <v>800</v>
      </c>
      <c r="M880" s="132">
        <v>0</v>
      </c>
      <c r="N880" s="132">
        <v>1.6989233062672601E+19</v>
      </c>
    </row>
    <row r="881" spans="4:14" ht="15" customHeight="1" x14ac:dyDescent="0.2">
      <c r="D881" s="130" t="b">
        <v>0</v>
      </c>
      <c r="E881" s="124" t="s">
        <v>91</v>
      </c>
      <c r="F881" s="125" t="s">
        <v>96</v>
      </c>
      <c r="G881" s="125">
        <v>3</v>
      </c>
      <c r="H881" s="123" t="s">
        <v>98</v>
      </c>
      <c r="I881" s="123" t="s">
        <v>95</v>
      </c>
      <c r="J881" s="123" t="s">
        <v>96</v>
      </c>
      <c r="K881" s="123" t="s">
        <v>93</v>
      </c>
      <c r="L881" s="132">
        <v>801</v>
      </c>
      <c r="M881" s="132">
        <v>0</v>
      </c>
      <c r="N881" s="132">
        <v>1.6627551872463847E+19</v>
      </c>
    </row>
    <row r="882" spans="4:14" ht="15" customHeight="1" x14ac:dyDescent="0.2">
      <c r="D882" s="130" t="b">
        <v>0</v>
      </c>
      <c r="E882" s="124" t="s">
        <v>91</v>
      </c>
      <c r="F882" s="125" t="s">
        <v>96</v>
      </c>
      <c r="G882" s="125">
        <v>3</v>
      </c>
      <c r="H882" s="123" t="s">
        <v>98</v>
      </c>
      <c r="I882" s="123" t="s">
        <v>95</v>
      </c>
      <c r="J882" s="123" t="s">
        <v>97</v>
      </c>
      <c r="K882" s="123" t="s">
        <v>93</v>
      </c>
      <c r="L882" s="132">
        <v>802</v>
      </c>
      <c r="M882" s="132">
        <v>0</v>
      </c>
      <c r="N882" s="132">
        <v>1.0370536108959295E+19</v>
      </c>
    </row>
    <row r="883" spans="4:14" ht="15" customHeight="1" x14ac:dyDescent="0.2">
      <c r="D883" s="130" t="b">
        <v>0</v>
      </c>
      <c r="E883" s="124" t="s">
        <v>91</v>
      </c>
      <c r="F883" s="125" t="s">
        <v>96</v>
      </c>
      <c r="G883" s="125">
        <v>3</v>
      </c>
      <c r="H883" s="123" t="s">
        <v>98</v>
      </c>
      <c r="I883" s="123" t="s">
        <v>95</v>
      </c>
      <c r="J883" s="123" t="s">
        <v>91</v>
      </c>
      <c r="K883" s="123" t="s">
        <v>100</v>
      </c>
      <c r="L883" s="132">
        <v>803</v>
      </c>
      <c r="M883" s="132">
        <v>0</v>
      </c>
      <c r="N883" s="132">
        <v>1.1920703338589366E+19</v>
      </c>
    </row>
    <row r="884" spans="4:14" ht="15" customHeight="1" x14ac:dyDescent="0.2">
      <c r="D884" s="130" t="b">
        <v>0</v>
      </c>
      <c r="E884" s="124" t="s">
        <v>91</v>
      </c>
      <c r="F884" s="125" t="s">
        <v>96</v>
      </c>
      <c r="G884" s="125">
        <v>3</v>
      </c>
      <c r="H884" s="123" t="s">
        <v>98</v>
      </c>
      <c r="I884" s="123" t="s">
        <v>97</v>
      </c>
      <c r="J884" s="123" t="s">
        <v>96</v>
      </c>
      <c r="K884" s="123" t="s">
        <v>93</v>
      </c>
      <c r="L884" s="132">
        <v>804</v>
      </c>
      <c r="M884" s="132">
        <v>0</v>
      </c>
      <c r="N884" s="132">
        <v>8.9525183197588879E+18</v>
      </c>
    </row>
    <row r="885" spans="4:14" ht="15" customHeight="1" x14ac:dyDescent="0.2">
      <c r="D885" s="130" t="b">
        <v>0</v>
      </c>
      <c r="E885" s="124" t="s">
        <v>91</v>
      </c>
      <c r="F885" s="125" t="s">
        <v>96</v>
      </c>
      <c r="G885" s="125">
        <v>3</v>
      </c>
      <c r="H885" s="123" t="s">
        <v>98</v>
      </c>
      <c r="I885" s="123" t="s">
        <v>97</v>
      </c>
      <c r="J885" s="123" t="s">
        <v>97</v>
      </c>
      <c r="K885" s="123" t="s">
        <v>100</v>
      </c>
      <c r="L885" s="132">
        <v>805</v>
      </c>
      <c r="M885" s="132">
        <v>0</v>
      </c>
      <c r="N885" s="132">
        <v>3.5601576229335588E+18</v>
      </c>
    </row>
    <row r="886" spans="4:14" ht="15" customHeight="1" x14ac:dyDescent="0.2">
      <c r="D886" s="130" t="b">
        <v>0</v>
      </c>
      <c r="E886" s="124" t="s">
        <v>91</v>
      </c>
      <c r="F886" s="125" t="s">
        <v>96</v>
      </c>
      <c r="G886" s="125">
        <v>3</v>
      </c>
      <c r="H886" s="123" t="s">
        <v>98</v>
      </c>
      <c r="I886" s="123" t="s">
        <v>97</v>
      </c>
      <c r="J886" s="123" t="s">
        <v>91</v>
      </c>
      <c r="K886" s="123" t="s">
        <v>100</v>
      </c>
      <c r="L886" s="132">
        <v>806</v>
      </c>
      <c r="M886" s="132">
        <v>0</v>
      </c>
      <c r="N886" s="132">
        <v>1.2602986395642122E+19</v>
      </c>
    </row>
    <row r="887" spans="4:14" ht="15" customHeight="1" x14ac:dyDescent="0.2">
      <c r="D887" s="130" t="b">
        <v>0</v>
      </c>
      <c r="E887" s="124" t="s">
        <v>91</v>
      </c>
      <c r="F887" s="125" t="s">
        <v>96</v>
      </c>
      <c r="G887" s="125">
        <v>3</v>
      </c>
      <c r="H887" s="123" t="s">
        <v>98</v>
      </c>
      <c r="I887" s="123" t="s">
        <v>92</v>
      </c>
      <c r="J887" s="123" t="s">
        <v>96</v>
      </c>
      <c r="K887" s="123" t="s">
        <v>93</v>
      </c>
      <c r="L887" s="132">
        <v>807</v>
      </c>
      <c r="M887" s="132">
        <v>0</v>
      </c>
      <c r="N887" s="132">
        <v>4.405517628254059E+18</v>
      </c>
    </row>
    <row r="888" spans="4:14" ht="15" customHeight="1" x14ac:dyDescent="0.2">
      <c r="D888" s="130" t="b">
        <v>0</v>
      </c>
      <c r="E888" s="124" t="s">
        <v>91</v>
      </c>
      <c r="F888" s="125" t="s">
        <v>96</v>
      </c>
      <c r="G888" s="125">
        <v>3</v>
      </c>
      <c r="H888" s="123" t="s">
        <v>98</v>
      </c>
      <c r="I888" s="123" t="s">
        <v>92</v>
      </c>
      <c r="J888" s="123" t="s">
        <v>97</v>
      </c>
      <c r="K888" s="123" t="s">
        <v>100</v>
      </c>
      <c r="L888" s="132">
        <v>808</v>
      </c>
      <c r="M888" s="132">
        <v>0</v>
      </c>
      <c r="N888" s="132">
        <v>1.4452546209807847E+19</v>
      </c>
    </row>
    <row r="889" spans="4:14" ht="15" customHeight="1" x14ac:dyDescent="0.2">
      <c r="D889" s="130" t="b">
        <v>0</v>
      </c>
      <c r="E889" s="124" t="s">
        <v>91</v>
      </c>
      <c r="F889" s="125" t="s">
        <v>96</v>
      </c>
      <c r="G889" s="125">
        <v>3</v>
      </c>
      <c r="H889" s="123" t="s">
        <v>98</v>
      </c>
      <c r="I889" s="123" t="s">
        <v>92</v>
      </c>
      <c r="J889" s="123" t="s">
        <v>91</v>
      </c>
      <c r="K889" s="123" t="s">
        <v>100</v>
      </c>
      <c r="L889" s="132">
        <v>809</v>
      </c>
      <c r="M889" s="132">
        <v>0</v>
      </c>
      <c r="N889" s="132">
        <v>1.7506492016438596E+19</v>
      </c>
    </row>
    <row r="890" spans="4:14" ht="15" customHeight="1" x14ac:dyDescent="0.2">
      <c r="D890" s="130" t="b">
        <v>0</v>
      </c>
      <c r="E890" s="124" t="s">
        <v>91</v>
      </c>
      <c r="F890" s="125" t="s">
        <v>96</v>
      </c>
      <c r="G890" s="125">
        <v>4</v>
      </c>
      <c r="H890" s="123">
        <v>2</v>
      </c>
      <c r="I890" s="123" t="s">
        <v>95</v>
      </c>
      <c r="J890" s="123" t="s">
        <v>96</v>
      </c>
      <c r="K890" s="123" t="s">
        <v>93</v>
      </c>
      <c r="L890" s="132">
        <v>810</v>
      </c>
      <c r="M890" s="132">
        <v>0</v>
      </c>
      <c r="N890" s="132">
        <v>1.2820919616774326E+19</v>
      </c>
    </row>
    <row r="891" spans="4:14" ht="15" customHeight="1" x14ac:dyDescent="0.2">
      <c r="D891" s="130" t="b">
        <v>0</v>
      </c>
      <c r="E891" s="124" t="s">
        <v>91</v>
      </c>
      <c r="F891" s="125" t="s">
        <v>96</v>
      </c>
      <c r="G891" s="125">
        <v>4</v>
      </c>
      <c r="H891" s="123">
        <v>2</v>
      </c>
      <c r="I891" s="123" t="s">
        <v>95</v>
      </c>
      <c r="J891" s="123" t="s">
        <v>97</v>
      </c>
      <c r="K891" s="123" t="s">
        <v>93</v>
      </c>
      <c r="L891" s="132">
        <v>811</v>
      </c>
      <c r="M891" s="132">
        <v>0</v>
      </c>
      <c r="N891" s="132">
        <v>1.7207469100658303E+19</v>
      </c>
    </row>
    <row r="892" spans="4:14" ht="15" customHeight="1" x14ac:dyDescent="0.2">
      <c r="D892" s="130" t="b">
        <v>0</v>
      </c>
      <c r="E892" s="124" t="s">
        <v>91</v>
      </c>
      <c r="F892" s="125" t="s">
        <v>96</v>
      </c>
      <c r="G892" s="125">
        <v>4</v>
      </c>
      <c r="H892" s="123">
        <v>2</v>
      </c>
      <c r="I892" s="123" t="s">
        <v>95</v>
      </c>
      <c r="J892" s="123" t="s">
        <v>91</v>
      </c>
      <c r="K892" s="123" t="s">
        <v>93</v>
      </c>
      <c r="L892" s="132">
        <v>812</v>
      </c>
      <c r="M892" s="132">
        <v>0</v>
      </c>
      <c r="N892" s="132">
        <v>1.8037652529813844E+19</v>
      </c>
    </row>
    <row r="893" spans="4:14" ht="15" customHeight="1" x14ac:dyDescent="0.2">
      <c r="D893" s="130" t="b">
        <v>0</v>
      </c>
      <c r="E893" s="124" t="s">
        <v>91</v>
      </c>
      <c r="F893" s="125" t="s">
        <v>96</v>
      </c>
      <c r="G893" s="125">
        <v>4</v>
      </c>
      <c r="H893" s="123">
        <v>2</v>
      </c>
      <c r="I893" s="123" t="s">
        <v>97</v>
      </c>
      <c r="J893" s="123" t="s">
        <v>96</v>
      </c>
      <c r="K893" s="123" t="s">
        <v>93</v>
      </c>
      <c r="L893" s="132">
        <v>813</v>
      </c>
      <c r="M893" s="132">
        <v>0</v>
      </c>
      <c r="N893" s="132">
        <v>5.0892656342214267E+18</v>
      </c>
    </row>
    <row r="894" spans="4:14" ht="15" customHeight="1" x14ac:dyDescent="0.2">
      <c r="D894" s="130" t="b">
        <v>0</v>
      </c>
      <c r="E894" s="124" t="s">
        <v>91</v>
      </c>
      <c r="F894" s="125" t="s">
        <v>96</v>
      </c>
      <c r="G894" s="125">
        <v>4</v>
      </c>
      <c r="H894" s="123">
        <v>2</v>
      </c>
      <c r="I894" s="123" t="s">
        <v>97</v>
      </c>
      <c r="J894" s="123" t="s">
        <v>97</v>
      </c>
      <c r="K894" s="123" t="s">
        <v>93</v>
      </c>
      <c r="L894" s="132">
        <v>814</v>
      </c>
      <c r="M894" s="132">
        <v>0</v>
      </c>
      <c r="N894" s="132">
        <v>1.1613869492331633E+19</v>
      </c>
    </row>
    <row r="895" spans="4:14" ht="15" customHeight="1" x14ac:dyDescent="0.2">
      <c r="D895" s="130" t="b">
        <v>0</v>
      </c>
      <c r="E895" s="124" t="s">
        <v>91</v>
      </c>
      <c r="F895" s="125" t="s">
        <v>96</v>
      </c>
      <c r="G895" s="125">
        <v>4</v>
      </c>
      <c r="H895" s="123">
        <v>2</v>
      </c>
      <c r="I895" s="123" t="s">
        <v>97</v>
      </c>
      <c r="J895" s="123" t="s">
        <v>91</v>
      </c>
      <c r="K895" s="123" t="s">
        <v>93</v>
      </c>
      <c r="L895" s="132">
        <v>815</v>
      </c>
      <c r="M895" s="132">
        <v>0</v>
      </c>
      <c r="N895" s="132">
        <v>1.5815877140319441E+19</v>
      </c>
    </row>
    <row r="896" spans="4:14" ht="15" customHeight="1" x14ac:dyDescent="0.2">
      <c r="D896" s="130" t="b">
        <v>0</v>
      </c>
      <c r="E896" s="124" t="s">
        <v>91</v>
      </c>
      <c r="F896" s="125" t="s">
        <v>96</v>
      </c>
      <c r="G896" s="125">
        <v>4</v>
      </c>
      <c r="H896" s="123">
        <v>2</v>
      </c>
      <c r="I896" s="123" t="s">
        <v>92</v>
      </c>
      <c r="J896" s="123" t="s">
        <v>96</v>
      </c>
      <c r="K896" s="123" t="s">
        <v>93</v>
      </c>
      <c r="L896" s="132">
        <v>816</v>
      </c>
      <c r="M896" s="132">
        <v>0</v>
      </c>
      <c r="N896" s="132">
        <v>5.8598070181283348E+18</v>
      </c>
    </row>
    <row r="897" spans="4:14" ht="15" customHeight="1" x14ac:dyDescent="0.2">
      <c r="D897" s="130" t="b">
        <v>0</v>
      </c>
      <c r="E897" s="124" t="s">
        <v>91</v>
      </c>
      <c r="F897" s="125" t="s">
        <v>96</v>
      </c>
      <c r="G897" s="125">
        <v>4</v>
      </c>
      <c r="H897" s="123">
        <v>2</v>
      </c>
      <c r="I897" s="123" t="s">
        <v>92</v>
      </c>
      <c r="J897" s="123" t="s">
        <v>97</v>
      </c>
      <c r="K897" s="123" t="s">
        <v>93</v>
      </c>
      <c r="L897" s="132">
        <v>817</v>
      </c>
      <c r="M897" s="132">
        <v>0</v>
      </c>
      <c r="N897" s="132">
        <v>5.1502865157157202E+18</v>
      </c>
    </row>
    <row r="898" spans="4:14" ht="15" customHeight="1" x14ac:dyDescent="0.2">
      <c r="D898" s="130" t="b">
        <v>0</v>
      </c>
      <c r="E898" s="124" t="s">
        <v>91</v>
      </c>
      <c r="F898" s="125" t="s">
        <v>96</v>
      </c>
      <c r="G898" s="125">
        <v>4</v>
      </c>
      <c r="H898" s="123">
        <v>2</v>
      </c>
      <c r="I898" s="123" t="s">
        <v>92</v>
      </c>
      <c r="J898" s="123" t="s">
        <v>91</v>
      </c>
      <c r="K898" s="123" t="s">
        <v>93</v>
      </c>
      <c r="L898" s="132">
        <v>818</v>
      </c>
      <c r="M898" s="132">
        <v>0</v>
      </c>
      <c r="N898" s="132">
        <v>2.7600168200011459E+18</v>
      </c>
    </row>
    <row r="899" spans="4:14" ht="15" customHeight="1" x14ac:dyDescent="0.2">
      <c r="D899" s="130" t="b">
        <v>0</v>
      </c>
      <c r="E899" s="124" t="s">
        <v>91</v>
      </c>
      <c r="F899" s="125" t="s">
        <v>96</v>
      </c>
      <c r="G899" s="125">
        <v>4</v>
      </c>
      <c r="H899" s="123">
        <v>4</v>
      </c>
      <c r="I899" s="123" t="s">
        <v>95</v>
      </c>
      <c r="J899" s="123" t="s">
        <v>96</v>
      </c>
      <c r="K899" s="123" t="s">
        <v>93</v>
      </c>
      <c r="L899" s="132">
        <v>819</v>
      </c>
      <c r="M899" s="132">
        <v>0</v>
      </c>
      <c r="N899" s="132">
        <v>3.7487189381633884E+18</v>
      </c>
    </row>
    <row r="900" spans="4:14" ht="15" customHeight="1" x14ac:dyDescent="0.2">
      <c r="D900" s="130" t="b">
        <v>0</v>
      </c>
      <c r="E900" s="124" t="s">
        <v>91</v>
      </c>
      <c r="F900" s="125" t="s">
        <v>96</v>
      </c>
      <c r="G900" s="125">
        <v>4</v>
      </c>
      <c r="H900" s="123">
        <v>4</v>
      </c>
      <c r="I900" s="123" t="s">
        <v>95</v>
      </c>
      <c r="J900" s="123" t="s">
        <v>97</v>
      </c>
      <c r="K900" s="123" t="s">
        <v>93</v>
      </c>
      <c r="L900" s="132">
        <v>820</v>
      </c>
      <c r="M900" s="132">
        <v>0</v>
      </c>
      <c r="N900" s="132">
        <v>1.3901720723956498E+19</v>
      </c>
    </row>
    <row r="901" spans="4:14" ht="15" customHeight="1" x14ac:dyDescent="0.2">
      <c r="D901" s="130" t="b">
        <v>0</v>
      </c>
      <c r="E901" s="124" t="s">
        <v>91</v>
      </c>
      <c r="F901" s="125" t="s">
        <v>96</v>
      </c>
      <c r="G901" s="125">
        <v>4</v>
      </c>
      <c r="H901" s="123">
        <v>4</v>
      </c>
      <c r="I901" s="123" t="s">
        <v>95</v>
      </c>
      <c r="J901" s="123" t="s">
        <v>91</v>
      </c>
      <c r="K901" s="123" t="s">
        <v>100</v>
      </c>
      <c r="L901" s="132">
        <v>821</v>
      </c>
      <c r="M901" s="132">
        <v>0</v>
      </c>
      <c r="N901" s="132">
        <v>1.2878443405183441E+19</v>
      </c>
    </row>
    <row r="902" spans="4:14" ht="15" customHeight="1" x14ac:dyDescent="0.2">
      <c r="D902" s="130" t="b">
        <v>0</v>
      </c>
      <c r="E902" s="124" t="s">
        <v>91</v>
      </c>
      <c r="F902" s="125" t="s">
        <v>96</v>
      </c>
      <c r="G902" s="125">
        <v>4</v>
      </c>
      <c r="H902" s="123">
        <v>4</v>
      </c>
      <c r="I902" s="123" t="s">
        <v>97</v>
      </c>
      <c r="J902" s="123" t="s">
        <v>96</v>
      </c>
      <c r="K902" s="123" t="s">
        <v>93</v>
      </c>
      <c r="L902" s="132">
        <v>822</v>
      </c>
      <c r="M902" s="132">
        <v>0</v>
      </c>
      <c r="N902" s="132">
        <v>4.1679481002432717E+18</v>
      </c>
    </row>
    <row r="903" spans="4:14" ht="15" customHeight="1" x14ac:dyDescent="0.2">
      <c r="D903" s="130" t="b">
        <v>0</v>
      </c>
      <c r="E903" s="124" t="s">
        <v>91</v>
      </c>
      <c r="F903" s="125" t="s">
        <v>96</v>
      </c>
      <c r="G903" s="125">
        <v>4</v>
      </c>
      <c r="H903" s="123">
        <v>4</v>
      </c>
      <c r="I903" s="123" t="s">
        <v>97</v>
      </c>
      <c r="J903" s="123" t="s">
        <v>97</v>
      </c>
      <c r="K903" s="123" t="s">
        <v>100</v>
      </c>
      <c r="L903" s="132">
        <v>823</v>
      </c>
      <c r="M903" s="132">
        <v>0</v>
      </c>
      <c r="N903" s="132">
        <v>6.3203441586615183E+18</v>
      </c>
    </row>
    <row r="904" spans="4:14" ht="15" customHeight="1" x14ac:dyDescent="0.2">
      <c r="D904" s="130" t="b">
        <v>0</v>
      </c>
      <c r="E904" s="124" t="s">
        <v>91</v>
      </c>
      <c r="F904" s="125" t="s">
        <v>96</v>
      </c>
      <c r="G904" s="125">
        <v>4</v>
      </c>
      <c r="H904" s="123">
        <v>4</v>
      </c>
      <c r="I904" s="123" t="s">
        <v>97</v>
      </c>
      <c r="J904" s="123" t="s">
        <v>91</v>
      </c>
      <c r="K904" s="123" t="s">
        <v>100</v>
      </c>
      <c r="L904" s="132">
        <v>824</v>
      </c>
      <c r="M904" s="132">
        <v>0</v>
      </c>
      <c r="N904" s="132">
        <v>3.6158637399140465E+18</v>
      </c>
    </row>
    <row r="905" spans="4:14" ht="15" customHeight="1" x14ac:dyDescent="0.2">
      <c r="D905" s="130" t="b">
        <v>0</v>
      </c>
      <c r="E905" s="124" t="s">
        <v>91</v>
      </c>
      <c r="F905" s="125" t="s">
        <v>96</v>
      </c>
      <c r="G905" s="125">
        <v>4</v>
      </c>
      <c r="H905" s="123">
        <v>4</v>
      </c>
      <c r="I905" s="123" t="s">
        <v>92</v>
      </c>
      <c r="J905" s="123" t="s">
        <v>96</v>
      </c>
      <c r="K905" s="123" t="s">
        <v>93</v>
      </c>
      <c r="L905" s="132">
        <v>825</v>
      </c>
      <c r="M905" s="132">
        <v>0</v>
      </c>
      <c r="N905" s="132">
        <v>7.5183743165242624E+18</v>
      </c>
    </row>
    <row r="906" spans="4:14" ht="15" customHeight="1" x14ac:dyDescent="0.2">
      <c r="D906" s="130" t="b">
        <v>0</v>
      </c>
      <c r="E906" s="124" t="s">
        <v>91</v>
      </c>
      <c r="F906" s="125" t="s">
        <v>96</v>
      </c>
      <c r="G906" s="125">
        <v>4</v>
      </c>
      <c r="H906" s="123">
        <v>4</v>
      </c>
      <c r="I906" s="123" t="s">
        <v>92</v>
      </c>
      <c r="J906" s="123" t="s">
        <v>97</v>
      </c>
      <c r="K906" s="123" t="s">
        <v>100</v>
      </c>
      <c r="L906" s="132">
        <v>826</v>
      </c>
      <c r="M906" s="132">
        <v>0</v>
      </c>
      <c r="N906" s="132">
        <v>5.9587782126090619E+18</v>
      </c>
    </row>
    <row r="907" spans="4:14" ht="15" customHeight="1" x14ac:dyDescent="0.2">
      <c r="D907" s="130" t="b">
        <v>0</v>
      </c>
      <c r="E907" s="124" t="s">
        <v>91</v>
      </c>
      <c r="F907" s="125" t="s">
        <v>96</v>
      </c>
      <c r="G907" s="125">
        <v>4</v>
      </c>
      <c r="H907" s="123">
        <v>4</v>
      </c>
      <c r="I907" s="123" t="s">
        <v>92</v>
      </c>
      <c r="J907" s="123" t="s">
        <v>91</v>
      </c>
      <c r="K907" s="123" t="s">
        <v>100</v>
      </c>
      <c r="L907" s="132">
        <v>827</v>
      </c>
      <c r="M907" s="132">
        <v>0</v>
      </c>
      <c r="N907" s="132">
        <v>1.2936109964525596E+18</v>
      </c>
    </row>
    <row r="908" spans="4:14" ht="15" customHeight="1" x14ac:dyDescent="0.2">
      <c r="D908" s="130" t="b">
        <v>0</v>
      </c>
      <c r="E908" s="124" t="s">
        <v>91</v>
      </c>
      <c r="F908" s="125" t="s">
        <v>96</v>
      </c>
      <c r="G908" s="125">
        <v>4</v>
      </c>
      <c r="H908" s="123" t="s">
        <v>98</v>
      </c>
      <c r="I908" s="123" t="s">
        <v>95</v>
      </c>
      <c r="J908" s="123" t="s">
        <v>96</v>
      </c>
      <c r="K908" s="123" t="s">
        <v>93</v>
      </c>
      <c r="L908" s="132">
        <v>828</v>
      </c>
      <c r="M908" s="132">
        <v>0</v>
      </c>
      <c r="N908" s="132">
        <v>1.0134997252104565E+19</v>
      </c>
    </row>
    <row r="909" spans="4:14" ht="15" customHeight="1" x14ac:dyDescent="0.2">
      <c r="D909" s="130" t="b">
        <v>0</v>
      </c>
      <c r="E909" s="124" t="s">
        <v>91</v>
      </c>
      <c r="F909" s="125" t="s">
        <v>96</v>
      </c>
      <c r="G909" s="125">
        <v>4</v>
      </c>
      <c r="H909" s="123" t="s">
        <v>98</v>
      </c>
      <c r="I909" s="123" t="s">
        <v>95</v>
      </c>
      <c r="J909" s="123" t="s">
        <v>97</v>
      </c>
      <c r="K909" s="123" t="s">
        <v>93</v>
      </c>
      <c r="L909" s="132">
        <v>829</v>
      </c>
      <c r="M909" s="132">
        <v>0</v>
      </c>
      <c r="N909" s="132">
        <v>7.0271381486887045E+18</v>
      </c>
    </row>
    <row r="910" spans="4:14" ht="15" customHeight="1" x14ac:dyDescent="0.2">
      <c r="D910" s="130" t="b">
        <v>0</v>
      </c>
      <c r="E910" s="124" t="s">
        <v>91</v>
      </c>
      <c r="F910" s="125" t="s">
        <v>96</v>
      </c>
      <c r="G910" s="125">
        <v>4</v>
      </c>
      <c r="H910" s="123" t="s">
        <v>98</v>
      </c>
      <c r="I910" s="123" t="s">
        <v>95</v>
      </c>
      <c r="J910" s="123" t="s">
        <v>91</v>
      </c>
      <c r="K910" s="123" t="s">
        <v>100</v>
      </c>
      <c r="L910" s="132">
        <v>830</v>
      </c>
      <c r="M910" s="132">
        <v>0</v>
      </c>
      <c r="N910" s="132">
        <v>1.2145456848492837E+19</v>
      </c>
    </row>
    <row r="911" spans="4:14" ht="15" customHeight="1" x14ac:dyDescent="0.2">
      <c r="D911" s="130" t="b">
        <v>0</v>
      </c>
      <c r="E911" s="124" t="s">
        <v>91</v>
      </c>
      <c r="F911" s="125" t="s">
        <v>96</v>
      </c>
      <c r="G911" s="125">
        <v>4</v>
      </c>
      <c r="H911" s="123" t="s">
        <v>98</v>
      </c>
      <c r="I911" s="123" t="s">
        <v>97</v>
      </c>
      <c r="J911" s="123" t="s">
        <v>96</v>
      </c>
      <c r="K911" s="123" t="s">
        <v>93</v>
      </c>
      <c r="L911" s="132">
        <v>831</v>
      </c>
      <c r="M911" s="132">
        <v>0</v>
      </c>
      <c r="N911" s="132">
        <v>5.7478338763232123E+18</v>
      </c>
    </row>
    <row r="912" spans="4:14" ht="15" customHeight="1" x14ac:dyDescent="0.2">
      <c r="D912" s="130" t="b">
        <v>0</v>
      </c>
      <c r="E912" s="124" t="s">
        <v>91</v>
      </c>
      <c r="F912" s="125" t="s">
        <v>96</v>
      </c>
      <c r="G912" s="125">
        <v>4</v>
      </c>
      <c r="H912" s="123" t="s">
        <v>98</v>
      </c>
      <c r="I912" s="123" t="s">
        <v>97</v>
      </c>
      <c r="J912" s="123" t="s">
        <v>97</v>
      </c>
      <c r="K912" s="123" t="s">
        <v>100</v>
      </c>
      <c r="L912" s="132">
        <v>832</v>
      </c>
      <c r="M912" s="132">
        <v>0</v>
      </c>
      <c r="N912" s="132">
        <v>1.041026615540797E+19</v>
      </c>
    </row>
    <row r="913" spans="4:14" ht="15" customHeight="1" x14ac:dyDescent="0.2">
      <c r="D913" s="130" t="b">
        <v>0</v>
      </c>
      <c r="E913" s="124" t="s">
        <v>91</v>
      </c>
      <c r="F913" s="125" t="s">
        <v>96</v>
      </c>
      <c r="G913" s="125">
        <v>4</v>
      </c>
      <c r="H913" s="123" t="s">
        <v>98</v>
      </c>
      <c r="I913" s="123" t="s">
        <v>97</v>
      </c>
      <c r="J913" s="123" t="s">
        <v>91</v>
      </c>
      <c r="K913" s="123" t="s">
        <v>100</v>
      </c>
      <c r="L913" s="132">
        <v>833</v>
      </c>
      <c r="M913" s="132">
        <v>0</v>
      </c>
      <c r="N913" s="132">
        <v>1.2191543729384888E+19</v>
      </c>
    </row>
    <row r="914" spans="4:14" ht="15" customHeight="1" x14ac:dyDescent="0.2">
      <c r="D914" s="130" t="b">
        <v>0</v>
      </c>
      <c r="E914" s="124" t="s">
        <v>91</v>
      </c>
      <c r="F914" s="125" t="s">
        <v>96</v>
      </c>
      <c r="G914" s="125">
        <v>4</v>
      </c>
      <c r="H914" s="123" t="s">
        <v>98</v>
      </c>
      <c r="I914" s="123" t="s">
        <v>92</v>
      </c>
      <c r="J914" s="123" t="s">
        <v>96</v>
      </c>
      <c r="K914" s="123" t="s">
        <v>93</v>
      </c>
      <c r="L914" s="132">
        <v>834</v>
      </c>
      <c r="M914" s="132">
        <v>0</v>
      </c>
      <c r="N914" s="132">
        <v>6.967085286567511E+18</v>
      </c>
    </row>
    <row r="915" spans="4:14" ht="15" customHeight="1" x14ac:dyDescent="0.2">
      <c r="D915" s="130" t="b">
        <v>0</v>
      </c>
      <c r="E915" s="124" t="s">
        <v>91</v>
      </c>
      <c r="F915" s="125" t="s">
        <v>96</v>
      </c>
      <c r="G915" s="125">
        <v>4</v>
      </c>
      <c r="H915" s="123" t="s">
        <v>98</v>
      </c>
      <c r="I915" s="123" t="s">
        <v>92</v>
      </c>
      <c r="J915" s="123" t="s">
        <v>97</v>
      </c>
      <c r="K915" s="123" t="s">
        <v>100</v>
      </c>
      <c r="L915" s="132">
        <v>835</v>
      </c>
      <c r="M915" s="132">
        <v>0</v>
      </c>
      <c r="N915" s="132">
        <v>6.4986725490995681E+18</v>
      </c>
    </row>
    <row r="916" spans="4:14" ht="15" customHeight="1" x14ac:dyDescent="0.2">
      <c r="D916" s="130" t="b">
        <v>0</v>
      </c>
      <c r="E916" s="124" t="s">
        <v>91</v>
      </c>
      <c r="F916" s="125" t="s">
        <v>96</v>
      </c>
      <c r="G916" s="125">
        <v>4</v>
      </c>
      <c r="H916" s="123" t="s">
        <v>98</v>
      </c>
      <c r="I916" s="123" t="s">
        <v>92</v>
      </c>
      <c r="J916" s="123" t="s">
        <v>91</v>
      </c>
      <c r="K916" s="123" t="s">
        <v>100</v>
      </c>
      <c r="L916" s="132">
        <v>836</v>
      </c>
      <c r="M916" s="132">
        <v>0</v>
      </c>
      <c r="N916" s="132">
        <v>4.2653846631332859E+18</v>
      </c>
    </row>
    <row r="917" spans="4:14" ht="15" customHeight="1" x14ac:dyDescent="0.2">
      <c r="D917" s="130" t="b">
        <v>0</v>
      </c>
      <c r="E917" s="124" t="s">
        <v>91</v>
      </c>
      <c r="F917" s="125" t="s">
        <v>96</v>
      </c>
      <c r="G917" s="125" t="s">
        <v>99</v>
      </c>
      <c r="H917" s="123">
        <v>2</v>
      </c>
      <c r="I917" s="123" t="s">
        <v>95</v>
      </c>
      <c r="J917" s="123" t="s">
        <v>96</v>
      </c>
      <c r="K917" s="123" t="s">
        <v>93</v>
      </c>
      <c r="L917" s="132">
        <v>837</v>
      </c>
      <c r="M917" s="132">
        <v>0</v>
      </c>
      <c r="N917" s="132">
        <v>6.387919335726422E+18</v>
      </c>
    </row>
    <row r="918" spans="4:14" ht="15" customHeight="1" x14ac:dyDescent="0.2">
      <c r="D918" s="130" t="b">
        <v>0</v>
      </c>
      <c r="E918" s="124" t="s">
        <v>91</v>
      </c>
      <c r="F918" s="125" t="s">
        <v>96</v>
      </c>
      <c r="G918" s="125" t="s">
        <v>99</v>
      </c>
      <c r="H918" s="123">
        <v>2</v>
      </c>
      <c r="I918" s="123" t="s">
        <v>95</v>
      </c>
      <c r="J918" s="123" t="s">
        <v>97</v>
      </c>
      <c r="K918" s="123" t="s">
        <v>93</v>
      </c>
      <c r="L918" s="132">
        <v>838</v>
      </c>
      <c r="M918" s="132">
        <v>0</v>
      </c>
      <c r="N918" s="132">
        <v>7.8869172603550351E+18</v>
      </c>
    </row>
    <row r="919" spans="4:14" ht="15" customHeight="1" x14ac:dyDescent="0.2">
      <c r="D919" s="130" t="b">
        <v>0</v>
      </c>
      <c r="E919" s="124" t="s">
        <v>91</v>
      </c>
      <c r="F919" s="125" t="s">
        <v>96</v>
      </c>
      <c r="G919" s="125" t="s">
        <v>99</v>
      </c>
      <c r="H919" s="123">
        <v>2</v>
      </c>
      <c r="I919" s="123" t="s">
        <v>95</v>
      </c>
      <c r="J919" s="123" t="s">
        <v>91</v>
      </c>
      <c r="K919" s="123" t="s">
        <v>93</v>
      </c>
      <c r="L919" s="132">
        <v>839</v>
      </c>
      <c r="M919" s="132">
        <v>0</v>
      </c>
      <c r="N919" s="132">
        <v>5.1517737432938527E+18</v>
      </c>
    </row>
    <row r="920" spans="4:14" ht="15" customHeight="1" x14ac:dyDescent="0.2">
      <c r="D920" s="130" t="b">
        <v>0</v>
      </c>
      <c r="E920" s="124" t="s">
        <v>91</v>
      </c>
      <c r="F920" s="125" t="s">
        <v>96</v>
      </c>
      <c r="G920" s="125" t="s">
        <v>99</v>
      </c>
      <c r="H920" s="123">
        <v>2</v>
      </c>
      <c r="I920" s="123" t="s">
        <v>97</v>
      </c>
      <c r="J920" s="123" t="s">
        <v>96</v>
      </c>
      <c r="K920" s="123" t="s">
        <v>93</v>
      </c>
      <c r="L920" s="132">
        <v>840</v>
      </c>
      <c r="M920" s="132">
        <v>0</v>
      </c>
      <c r="N920" s="132">
        <v>2.0099769615502884E+18</v>
      </c>
    </row>
    <row r="921" spans="4:14" ht="15" customHeight="1" x14ac:dyDescent="0.2">
      <c r="D921" s="130" t="b">
        <v>0</v>
      </c>
      <c r="E921" s="124" t="s">
        <v>91</v>
      </c>
      <c r="F921" s="125" t="s">
        <v>96</v>
      </c>
      <c r="G921" s="125" t="s">
        <v>99</v>
      </c>
      <c r="H921" s="123">
        <v>2</v>
      </c>
      <c r="I921" s="123" t="s">
        <v>97</v>
      </c>
      <c r="J921" s="123" t="s">
        <v>97</v>
      </c>
      <c r="K921" s="123" t="s">
        <v>93</v>
      </c>
      <c r="L921" s="132">
        <v>841</v>
      </c>
      <c r="M921" s="132">
        <v>0</v>
      </c>
      <c r="N921" s="132">
        <v>1.6401856686075517E+19</v>
      </c>
    </row>
    <row r="922" spans="4:14" ht="15" customHeight="1" x14ac:dyDescent="0.2">
      <c r="D922" s="130" t="b">
        <v>0</v>
      </c>
      <c r="E922" s="124" t="s">
        <v>91</v>
      </c>
      <c r="F922" s="125" t="s">
        <v>96</v>
      </c>
      <c r="G922" s="125" t="s">
        <v>99</v>
      </c>
      <c r="H922" s="123">
        <v>2</v>
      </c>
      <c r="I922" s="123" t="s">
        <v>97</v>
      </c>
      <c r="J922" s="123" t="s">
        <v>91</v>
      </c>
      <c r="K922" s="123" t="s">
        <v>93</v>
      </c>
      <c r="L922" s="132">
        <v>842</v>
      </c>
      <c r="M922" s="132">
        <v>0</v>
      </c>
      <c r="N922" s="132">
        <v>1.425410717493113E+19</v>
      </c>
    </row>
    <row r="923" spans="4:14" ht="15" customHeight="1" x14ac:dyDescent="0.2">
      <c r="D923" s="130" t="b">
        <v>0</v>
      </c>
      <c r="E923" s="124" t="s">
        <v>91</v>
      </c>
      <c r="F923" s="125" t="s">
        <v>96</v>
      </c>
      <c r="G923" s="125" t="s">
        <v>99</v>
      </c>
      <c r="H923" s="123">
        <v>2</v>
      </c>
      <c r="I923" s="123" t="s">
        <v>92</v>
      </c>
      <c r="J923" s="123" t="s">
        <v>96</v>
      </c>
      <c r="K923" s="123" t="s">
        <v>93</v>
      </c>
      <c r="L923" s="132">
        <v>843</v>
      </c>
      <c r="M923" s="132">
        <v>0</v>
      </c>
      <c r="N923" s="132">
        <v>6.5346254062499604E+18</v>
      </c>
    </row>
    <row r="924" spans="4:14" ht="15" customHeight="1" x14ac:dyDescent="0.2">
      <c r="D924" s="130" t="b">
        <v>0</v>
      </c>
      <c r="E924" s="124" t="s">
        <v>91</v>
      </c>
      <c r="F924" s="125" t="s">
        <v>96</v>
      </c>
      <c r="G924" s="125" t="s">
        <v>99</v>
      </c>
      <c r="H924" s="123">
        <v>2</v>
      </c>
      <c r="I924" s="123" t="s">
        <v>92</v>
      </c>
      <c r="J924" s="123" t="s">
        <v>97</v>
      </c>
      <c r="K924" s="123" t="s">
        <v>93</v>
      </c>
      <c r="L924" s="132">
        <v>844</v>
      </c>
      <c r="M924" s="132">
        <v>0</v>
      </c>
      <c r="N924" s="132">
        <v>1.52083050499927E+19</v>
      </c>
    </row>
    <row r="925" spans="4:14" ht="15" customHeight="1" x14ac:dyDescent="0.2">
      <c r="D925" s="130" t="b">
        <v>0</v>
      </c>
      <c r="E925" s="124" t="s">
        <v>91</v>
      </c>
      <c r="F925" s="125" t="s">
        <v>96</v>
      </c>
      <c r="G925" s="125" t="s">
        <v>99</v>
      </c>
      <c r="H925" s="123">
        <v>2</v>
      </c>
      <c r="I925" s="123" t="s">
        <v>92</v>
      </c>
      <c r="J925" s="123" t="s">
        <v>91</v>
      </c>
      <c r="K925" s="123" t="s">
        <v>93</v>
      </c>
      <c r="L925" s="132">
        <v>845</v>
      </c>
      <c r="M925" s="132">
        <v>0</v>
      </c>
      <c r="N925" s="132">
        <v>1.0836316076699369E+18</v>
      </c>
    </row>
    <row r="926" spans="4:14" ht="15" customHeight="1" x14ac:dyDescent="0.2">
      <c r="D926" s="130" t="b">
        <v>0</v>
      </c>
      <c r="E926" s="124" t="s">
        <v>91</v>
      </c>
      <c r="F926" s="125" t="s">
        <v>96</v>
      </c>
      <c r="G926" s="125" t="s">
        <v>99</v>
      </c>
      <c r="H926" s="123">
        <v>4</v>
      </c>
      <c r="I926" s="123" t="s">
        <v>95</v>
      </c>
      <c r="J926" s="123" t="s">
        <v>96</v>
      </c>
      <c r="K926" s="123" t="s">
        <v>93</v>
      </c>
      <c r="L926" s="132">
        <v>846</v>
      </c>
      <c r="M926" s="132">
        <v>0</v>
      </c>
      <c r="N926" s="132">
        <v>1.7721251513864809E+18</v>
      </c>
    </row>
    <row r="927" spans="4:14" ht="15" customHeight="1" x14ac:dyDescent="0.2">
      <c r="D927" s="130" t="b">
        <v>0</v>
      </c>
      <c r="E927" s="124" t="s">
        <v>91</v>
      </c>
      <c r="F927" s="125" t="s">
        <v>96</v>
      </c>
      <c r="G927" s="125" t="s">
        <v>99</v>
      </c>
      <c r="H927" s="123">
        <v>4</v>
      </c>
      <c r="I927" s="123" t="s">
        <v>95</v>
      </c>
      <c r="J927" s="123" t="s">
        <v>97</v>
      </c>
      <c r="K927" s="123" t="s">
        <v>93</v>
      </c>
      <c r="L927" s="132">
        <v>847</v>
      </c>
      <c r="M927" s="132">
        <v>0</v>
      </c>
      <c r="N927" s="132">
        <v>1.1673351293162666E+19</v>
      </c>
    </row>
    <row r="928" spans="4:14" ht="15" customHeight="1" x14ac:dyDescent="0.2">
      <c r="D928" s="130" t="b">
        <v>0</v>
      </c>
      <c r="E928" s="124" t="s">
        <v>91</v>
      </c>
      <c r="F928" s="125" t="s">
        <v>96</v>
      </c>
      <c r="G928" s="125" t="s">
        <v>99</v>
      </c>
      <c r="H928" s="123">
        <v>4</v>
      </c>
      <c r="I928" s="123" t="s">
        <v>95</v>
      </c>
      <c r="J928" s="123" t="s">
        <v>91</v>
      </c>
      <c r="K928" s="123" t="s">
        <v>100</v>
      </c>
      <c r="L928" s="132">
        <v>848</v>
      </c>
      <c r="M928" s="132">
        <v>0</v>
      </c>
      <c r="N928" s="132">
        <v>2.6692188769196362E+17</v>
      </c>
    </row>
    <row r="929" spans="4:14" ht="15" customHeight="1" x14ac:dyDescent="0.2">
      <c r="D929" s="130" t="b">
        <v>0</v>
      </c>
      <c r="E929" s="124" t="s">
        <v>91</v>
      </c>
      <c r="F929" s="125" t="s">
        <v>96</v>
      </c>
      <c r="G929" s="125" t="s">
        <v>99</v>
      </c>
      <c r="H929" s="123">
        <v>4</v>
      </c>
      <c r="I929" s="123" t="s">
        <v>97</v>
      </c>
      <c r="J929" s="123" t="s">
        <v>96</v>
      </c>
      <c r="K929" s="123" t="s">
        <v>93</v>
      </c>
      <c r="L929" s="132">
        <v>849</v>
      </c>
      <c r="M929" s="132">
        <v>0</v>
      </c>
      <c r="N929" s="132">
        <v>5.2138921745880945E+18</v>
      </c>
    </row>
    <row r="930" spans="4:14" ht="15" customHeight="1" x14ac:dyDescent="0.2">
      <c r="D930" s="130" t="b">
        <v>0</v>
      </c>
      <c r="E930" s="124" t="s">
        <v>91</v>
      </c>
      <c r="F930" s="125" t="s">
        <v>96</v>
      </c>
      <c r="G930" s="125" t="s">
        <v>99</v>
      </c>
      <c r="H930" s="123">
        <v>4</v>
      </c>
      <c r="I930" s="123" t="s">
        <v>97</v>
      </c>
      <c r="J930" s="123" t="s">
        <v>97</v>
      </c>
      <c r="K930" s="123" t="s">
        <v>100</v>
      </c>
      <c r="L930" s="132">
        <v>850</v>
      </c>
      <c r="M930" s="132">
        <v>0</v>
      </c>
      <c r="N930" s="132">
        <v>1.7555773039326511E+19</v>
      </c>
    </row>
    <row r="931" spans="4:14" ht="15" customHeight="1" x14ac:dyDescent="0.2">
      <c r="D931" s="130" t="b">
        <v>0</v>
      </c>
      <c r="E931" s="124" t="s">
        <v>91</v>
      </c>
      <c r="F931" s="125" t="s">
        <v>96</v>
      </c>
      <c r="G931" s="125" t="s">
        <v>99</v>
      </c>
      <c r="H931" s="123">
        <v>4</v>
      </c>
      <c r="I931" s="123" t="s">
        <v>97</v>
      </c>
      <c r="J931" s="123" t="s">
        <v>91</v>
      </c>
      <c r="K931" s="123" t="s">
        <v>100</v>
      </c>
      <c r="L931" s="132">
        <v>851</v>
      </c>
      <c r="M931" s="132">
        <v>0</v>
      </c>
      <c r="N931" s="132">
        <v>4.4423513427125294E+18</v>
      </c>
    </row>
    <row r="932" spans="4:14" ht="15" customHeight="1" x14ac:dyDescent="0.2">
      <c r="D932" s="130" t="b">
        <v>0</v>
      </c>
      <c r="E932" s="124" t="s">
        <v>91</v>
      </c>
      <c r="F932" s="125" t="s">
        <v>96</v>
      </c>
      <c r="G932" s="125" t="s">
        <v>99</v>
      </c>
      <c r="H932" s="123">
        <v>4</v>
      </c>
      <c r="I932" s="123" t="s">
        <v>92</v>
      </c>
      <c r="J932" s="123" t="s">
        <v>96</v>
      </c>
      <c r="K932" s="123" t="s">
        <v>93</v>
      </c>
      <c r="L932" s="132">
        <v>852</v>
      </c>
      <c r="M932" s="132">
        <v>0</v>
      </c>
      <c r="N932" s="132">
        <v>1.7094164718420146E+19</v>
      </c>
    </row>
    <row r="933" spans="4:14" ht="15" customHeight="1" x14ac:dyDescent="0.2">
      <c r="D933" s="130" t="b">
        <v>0</v>
      </c>
      <c r="E933" s="124" t="s">
        <v>91</v>
      </c>
      <c r="F933" s="125" t="s">
        <v>96</v>
      </c>
      <c r="G933" s="125" t="s">
        <v>99</v>
      </c>
      <c r="H933" s="123">
        <v>4</v>
      </c>
      <c r="I933" s="123" t="s">
        <v>92</v>
      </c>
      <c r="J933" s="123" t="s">
        <v>97</v>
      </c>
      <c r="K933" s="123" t="s">
        <v>100</v>
      </c>
      <c r="L933" s="132">
        <v>853</v>
      </c>
      <c r="M933" s="132">
        <v>0</v>
      </c>
      <c r="N933" s="132">
        <v>1.6491709980099164E+19</v>
      </c>
    </row>
    <row r="934" spans="4:14" ht="15" customHeight="1" x14ac:dyDescent="0.2">
      <c r="D934" s="130" t="b">
        <v>0</v>
      </c>
      <c r="E934" s="124" t="s">
        <v>91</v>
      </c>
      <c r="F934" s="125" t="s">
        <v>96</v>
      </c>
      <c r="G934" s="125" t="s">
        <v>99</v>
      </c>
      <c r="H934" s="123">
        <v>4</v>
      </c>
      <c r="I934" s="123" t="s">
        <v>92</v>
      </c>
      <c r="J934" s="123" t="s">
        <v>91</v>
      </c>
      <c r="K934" s="123" t="s">
        <v>100</v>
      </c>
      <c r="L934" s="132">
        <v>854</v>
      </c>
      <c r="M934" s="132">
        <v>0</v>
      </c>
      <c r="N934" s="132">
        <v>1.7231904501003241E+19</v>
      </c>
    </row>
    <row r="935" spans="4:14" ht="15" customHeight="1" x14ac:dyDescent="0.2">
      <c r="D935" s="130" t="b">
        <v>0</v>
      </c>
      <c r="E935" s="124" t="s">
        <v>91</v>
      </c>
      <c r="F935" s="125" t="s">
        <v>96</v>
      </c>
      <c r="G935" s="125" t="s">
        <v>99</v>
      </c>
      <c r="H935" s="123" t="s">
        <v>98</v>
      </c>
      <c r="I935" s="123" t="s">
        <v>95</v>
      </c>
      <c r="J935" s="123" t="s">
        <v>96</v>
      </c>
      <c r="K935" s="123" t="s">
        <v>93</v>
      </c>
      <c r="L935" s="132">
        <v>855</v>
      </c>
      <c r="M935" s="132">
        <v>0</v>
      </c>
      <c r="N935" s="132">
        <v>5.8809966972860621E+18</v>
      </c>
    </row>
    <row r="936" spans="4:14" ht="15" customHeight="1" x14ac:dyDescent="0.2">
      <c r="D936" s="130" t="b">
        <v>0</v>
      </c>
      <c r="E936" s="124" t="s">
        <v>91</v>
      </c>
      <c r="F936" s="125" t="s">
        <v>96</v>
      </c>
      <c r="G936" s="125" t="s">
        <v>99</v>
      </c>
      <c r="H936" s="123" t="s">
        <v>98</v>
      </c>
      <c r="I936" s="123" t="s">
        <v>95</v>
      </c>
      <c r="J936" s="123" t="s">
        <v>97</v>
      </c>
      <c r="K936" s="123" t="s">
        <v>93</v>
      </c>
      <c r="L936" s="132">
        <v>856</v>
      </c>
      <c r="M936" s="132">
        <v>0</v>
      </c>
      <c r="N936" s="132">
        <v>5.5455132583611894E+18</v>
      </c>
    </row>
    <row r="937" spans="4:14" ht="15" customHeight="1" x14ac:dyDescent="0.2">
      <c r="D937" s="130" t="b">
        <v>0</v>
      </c>
      <c r="E937" s="124" t="s">
        <v>91</v>
      </c>
      <c r="F937" s="125" t="s">
        <v>96</v>
      </c>
      <c r="G937" s="125" t="s">
        <v>99</v>
      </c>
      <c r="H937" s="123" t="s">
        <v>98</v>
      </c>
      <c r="I937" s="123" t="s">
        <v>95</v>
      </c>
      <c r="J937" s="123" t="s">
        <v>91</v>
      </c>
      <c r="K937" s="123" t="s">
        <v>100</v>
      </c>
      <c r="L937" s="132">
        <v>857</v>
      </c>
      <c r="M937" s="132">
        <v>0</v>
      </c>
      <c r="N937" s="132">
        <v>1.1539262387069624E+19</v>
      </c>
    </row>
    <row r="938" spans="4:14" ht="15" customHeight="1" x14ac:dyDescent="0.2">
      <c r="D938" s="130" t="b">
        <v>0</v>
      </c>
      <c r="E938" s="124" t="s">
        <v>91</v>
      </c>
      <c r="F938" s="125" t="s">
        <v>96</v>
      </c>
      <c r="G938" s="125" t="s">
        <v>99</v>
      </c>
      <c r="H938" s="123" t="s">
        <v>98</v>
      </c>
      <c r="I938" s="123" t="s">
        <v>97</v>
      </c>
      <c r="J938" s="123" t="s">
        <v>96</v>
      </c>
      <c r="K938" s="123" t="s">
        <v>93</v>
      </c>
      <c r="L938" s="132">
        <v>858</v>
      </c>
      <c r="M938" s="132">
        <v>0</v>
      </c>
      <c r="N938" s="132">
        <v>6.4731258614748467E+18</v>
      </c>
    </row>
    <row r="939" spans="4:14" ht="15" customHeight="1" x14ac:dyDescent="0.2">
      <c r="D939" s="130" t="b">
        <v>0</v>
      </c>
      <c r="E939" s="124" t="s">
        <v>91</v>
      </c>
      <c r="F939" s="125" t="s">
        <v>96</v>
      </c>
      <c r="G939" s="125" t="s">
        <v>99</v>
      </c>
      <c r="H939" s="123" t="s">
        <v>98</v>
      </c>
      <c r="I939" s="123" t="s">
        <v>97</v>
      </c>
      <c r="J939" s="123" t="s">
        <v>97</v>
      </c>
      <c r="K939" s="123" t="s">
        <v>100</v>
      </c>
      <c r="L939" s="132">
        <v>859</v>
      </c>
      <c r="M939" s="132">
        <v>0</v>
      </c>
      <c r="N939" s="132">
        <v>8.562581253321387E+18</v>
      </c>
    </row>
    <row r="940" spans="4:14" ht="15" customHeight="1" x14ac:dyDescent="0.2">
      <c r="D940" s="130" t="b">
        <v>0</v>
      </c>
      <c r="E940" s="124" t="s">
        <v>91</v>
      </c>
      <c r="F940" s="125" t="s">
        <v>96</v>
      </c>
      <c r="G940" s="125" t="s">
        <v>99</v>
      </c>
      <c r="H940" s="123" t="s">
        <v>98</v>
      </c>
      <c r="I940" s="123" t="s">
        <v>97</v>
      </c>
      <c r="J940" s="123" t="s">
        <v>91</v>
      </c>
      <c r="K940" s="123" t="s">
        <v>100</v>
      </c>
      <c r="L940" s="132">
        <v>860</v>
      </c>
      <c r="M940" s="132">
        <v>0</v>
      </c>
      <c r="N940" s="132">
        <v>1.1077293184794327E+19</v>
      </c>
    </row>
    <row r="941" spans="4:14" ht="15" customHeight="1" x14ac:dyDescent="0.2">
      <c r="D941" s="130" t="b">
        <v>0</v>
      </c>
      <c r="E941" s="124" t="s">
        <v>91</v>
      </c>
      <c r="F941" s="125" t="s">
        <v>96</v>
      </c>
      <c r="G941" s="125" t="s">
        <v>99</v>
      </c>
      <c r="H941" s="123" t="s">
        <v>98</v>
      </c>
      <c r="I941" s="123" t="s">
        <v>92</v>
      </c>
      <c r="J941" s="123" t="s">
        <v>96</v>
      </c>
      <c r="K941" s="123" t="s">
        <v>93</v>
      </c>
      <c r="L941" s="132">
        <v>861</v>
      </c>
      <c r="M941" s="132">
        <v>0</v>
      </c>
      <c r="N941" s="132">
        <v>1.6633853516343065E+19</v>
      </c>
    </row>
    <row r="942" spans="4:14" ht="15" customHeight="1" x14ac:dyDescent="0.2">
      <c r="D942" s="130" t="b">
        <v>0</v>
      </c>
      <c r="E942" s="124" t="s">
        <v>91</v>
      </c>
      <c r="F942" s="125" t="s">
        <v>96</v>
      </c>
      <c r="G942" s="125" t="s">
        <v>99</v>
      </c>
      <c r="H942" s="123" t="s">
        <v>98</v>
      </c>
      <c r="I942" s="123" t="s">
        <v>92</v>
      </c>
      <c r="J942" s="123" t="s">
        <v>97</v>
      </c>
      <c r="K942" s="123" t="s">
        <v>100</v>
      </c>
      <c r="L942" s="132">
        <v>862</v>
      </c>
      <c r="M942" s="132">
        <v>0</v>
      </c>
      <c r="N942" s="132">
        <v>9.7830588507142902E+18</v>
      </c>
    </row>
    <row r="943" spans="4:14" ht="15" customHeight="1" x14ac:dyDescent="0.2">
      <c r="D943" s="130" t="b">
        <v>0</v>
      </c>
      <c r="E943" s="124" t="s">
        <v>91</v>
      </c>
      <c r="F943" s="125" t="s">
        <v>96</v>
      </c>
      <c r="G943" s="125" t="s">
        <v>99</v>
      </c>
      <c r="H943" s="123" t="s">
        <v>98</v>
      </c>
      <c r="I943" s="123" t="s">
        <v>92</v>
      </c>
      <c r="J943" s="123" t="s">
        <v>91</v>
      </c>
      <c r="K943" s="123" t="s">
        <v>100</v>
      </c>
      <c r="L943" s="132">
        <v>863</v>
      </c>
      <c r="M943" s="132">
        <v>0</v>
      </c>
      <c r="N943" s="132">
        <v>1.0607145129559077E+18</v>
      </c>
    </row>
    <row r="944" spans="4:14" ht="15" customHeight="1" x14ac:dyDescent="0.2">
      <c r="D944" s="130" t="b">
        <v>0</v>
      </c>
      <c r="E944" s="124" t="s">
        <v>97</v>
      </c>
      <c r="F944" s="125" t="s">
        <v>94</v>
      </c>
      <c r="G944" s="125">
        <v>2</v>
      </c>
      <c r="H944" s="123">
        <v>2</v>
      </c>
      <c r="I944" s="123" t="s">
        <v>95</v>
      </c>
      <c r="J944" s="123" t="s">
        <v>96</v>
      </c>
      <c r="K944" s="123" t="s">
        <v>93</v>
      </c>
      <c r="L944" s="132">
        <v>864</v>
      </c>
      <c r="M944" s="132">
        <v>0</v>
      </c>
      <c r="N944" s="132">
        <v>8.1495934036147743E+18</v>
      </c>
    </row>
    <row r="945" spans="4:14" ht="15" customHeight="1" x14ac:dyDescent="0.2">
      <c r="D945" s="130" t="b">
        <v>0</v>
      </c>
      <c r="E945" s="124" t="s">
        <v>97</v>
      </c>
      <c r="F945" s="125" t="s">
        <v>94</v>
      </c>
      <c r="G945" s="125">
        <v>2</v>
      </c>
      <c r="H945" s="123">
        <v>2</v>
      </c>
      <c r="I945" s="123" t="s">
        <v>95</v>
      </c>
      <c r="J945" s="123" t="s">
        <v>97</v>
      </c>
      <c r="K945" s="123" t="s">
        <v>93</v>
      </c>
      <c r="L945" s="132">
        <v>865</v>
      </c>
      <c r="M945" s="132">
        <v>0</v>
      </c>
      <c r="N945" s="132">
        <v>1.8211811804755517E+19</v>
      </c>
    </row>
    <row r="946" spans="4:14" ht="15" customHeight="1" x14ac:dyDescent="0.2">
      <c r="D946" s="130" t="b">
        <v>0</v>
      </c>
      <c r="E946" s="124" t="s">
        <v>97</v>
      </c>
      <c r="F946" s="125" t="s">
        <v>94</v>
      </c>
      <c r="G946" s="125">
        <v>2</v>
      </c>
      <c r="H946" s="123">
        <v>2</v>
      </c>
      <c r="I946" s="123" t="s">
        <v>95</v>
      </c>
      <c r="J946" s="123" t="s">
        <v>91</v>
      </c>
      <c r="K946" s="123" t="s">
        <v>93</v>
      </c>
      <c r="L946" s="132">
        <v>866</v>
      </c>
      <c r="M946" s="132">
        <v>0</v>
      </c>
      <c r="N946" s="132">
        <v>1.2000005135370145E+18</v>
      </c>
    </row>
    <row r="947" spans="4:14" ht="15" customHeight="1" x14ac:dyDescent="0.2">
      <c r="D947" s="130" t="b">
        <v>0</v>
      </c>
      <c r="E947" s="124" t="s">
        <v>97</v>
      </c>
      <c r="F947" s="125" t="s">
        <v>94</v>
      </c>
      <c r="G947" s="125">
        <v>2</v>
      </c>
      <c r="H947" s="123">
        <v>2</v>
      </c>
      <c r="I947" s="123" t="s">
        <v>97</v>
      </c>
      <c r="J947" s="123" t="s">
        <v>96</v>
      </c>
      <c r="K947" s="123" t="s">
        <v>93</v>
      </c>
      <c r="L947" s="132">
        <v>867</v>
      </c>
      <c r="M947" s="132">
        <v>0</v>
      </c>
      <c r="N947" s="132">
        <v>5.5580373165127875E+18</v>
      </c>
    </row>
    <row r="948" spans="4:14" ht="15" customHeight="1" x14ac:dyDescent="0.2">
      <c r="D948" s="130" t="b">
        <v>0</v>
      </c>
      <c r="E948" s="124" t="s">
        <v>97</v>
      </c>
      <c r="F948" s="125" t="s">
        <v>94</v>
      </c>
      <c r="G948" s="125">
        <v>2</v>
      </c>
      <c r="H948" s="123">
        <v>2</v>
      </c>
      <c r="I948" s="123" t="s">
        <v>97</v>
      </c>
      <c r="J948" s="123" t="s">
        <v>97</v>
      </c>
      <c r="K948" s="123" t="s">
        <v>93</v>
      </c>
      <c r="L948" s="132">
        <v>868</v>
      </c>
      <c r="M948" s="132">
        <v>0</v>
      </c>
      <c r="N948" s="132">
        <v>1.2552911113616198E+19</v>
      </c>
    </row>
    <row r="949" spans="4:14" ht="15" customHeight="1" x14ac:dyDescent="0.2">
      <c r="D949" s="130" t="b">
        <v>0</v>
      </c>
      <c r="E949" s="124" t="s">
        <v>97</v>
      </c>
      <c r="F949" s="125" t="s">
        <v>94</v>
      </c>
      <c r="G949" s="125">
        <v>2</v>
      </c>
      <c r="H949" s="123">
        <v>2</v>
      </c>
      <c r="I949" s="123" t="s">
        <v>97</v>
      </c>
      <c r="J949" s="123" t="s">
        <v>91</v>
      </c>
      <c r="K949" s="123" t="s">
        <v>93</v>
      </c>
      <c r="L949" s="132">
        <v>869</v>
      </c>
      <c r="M949" s="132">
        <v>0</v>
      </c>
      <c r="N949" s="132">
        <v>1.5727263953896817E+19</v>
      </c>
    </row>
    <row r="950" spans="4:14" ht="15" customHeight="1" x14ac:dyDescent="0.2">
      <c r="D950" s="130" t="b">
        <v>0</v>
      </c>
      <c r="E950" s="124" t="s">
        <v>97</v>
      </c>
      <c r="F950" s="125" t="s">
        <v>94</v>
      </c>
      <c r="G950" s="125">
        <v>2</v>
      </c>
      <c r="H950" s="123">
        <v>2</v>
      </c>
      <c r="I950" s="123" t="s">
        <v>92</v>
      </c>
      <c r="J950" s="123" t="s">
        <v>96</v>
      </c>
      <c r="K950" s="123" t="s">
        <v>93</v>
      </c>
      <c r="L950" s="132">
        <v>870</v>
      </c>
      <c r="M950" s="132">
        <v>0</v>
      </c>
      <c r="N950" s="132">
        <v>1.6926056023989846E+19</v>
      </c>
    </row>
    <row r="951" spans="4:14" ht="15" customHeight="1" x14ac:dyDescent="0.2">
      <c r="D951" s="130" t="b">
        <v>0</v>
      </c>
      <c r="E951" s="124" t="s">
        <v>97</v>
      </c>
      <c r="F951" s="125" t="s">
        <v>94</v>
      </c>
      <c r="G951" s="125">
        <v>2</v>
      </c>
      <c r="H951" s="123">
        <v>2</v>
      </c>
      <c r="I951" s="123" t="s">
        <v>92</v>
      </c>
      <c r="J951" s="123" t="s">
        <v>97</v>
      </c>
      <c r="K951" s="123" t="s">
        <v>93</v>
      </c>
      <c r="L951" s="132">
        <v>871</v>
      </c>
      <c r="M951" s="132">
        <v>0</v>
      </c>
      <c r="N951" s="132">
        <v>7.7863714550679235E+18</v>
      </c>
    </row>
    <row r="952" spans="4:14" ht="15" customHeight="1" x14ac:dyDescent="0.2">
      <c r="D952" s="130" t="b">
        <v>0</v>
      </c>
      <c r="E952" s="124" t="s">
        <v>97</v>
      </c>
      <c r="F952" s="125" t="s">
        <v>94</v>
      </c>
      <c r="G952" s="125">
        <v>2</v>
      </c>
      <c r="H952" s="123">
        <v>2</v>
      </c>
      <c r="I952" s="123" t="s">
        <v>92</v>
      </c>
      <c r="J952" s="123" t="s">
        <v>91</v>
      </c>
      <c r="K952" s="123" t="s">
        <v>93</v>
      </c>
      <c r="L952" s="132">
        <v>872</v>
      </c>
      <c r="M952" s="132">
        <v>0</v>
      </c>
      <c r="N952" s="132">
        <v>1.3071513613441776E+19</v>
      </c>
    </row>
    <row r="953" spans="4:14" ht="15" customHeight="1" x14ac:dyDescent="0.2">
      <c r="D953" s="130" t="b">
        <v>0</v>
      </c>
      <c r="E953" s="124" t="s">
        <v>97</v>
      </c>
      <c r="F953" s="125" t="s">
        <v>94</v>
      </c>
      <c r="G953" s="125">
        <v>2</v>
      </c>
      <c r="H953" s="123">
        <v>4</v>
      </c>
      <c r="I953" s="123" t="s">
        <v>95</v>
      </c>
      <c r="J953" s="123" t="s">
        <v>96</v>
      </c>
      <c r="K953" s="123" t="s">
        <v>93</v>
      </c>
      <c r="L953" s="132">
        <v>873</v>
      </c>
      <c r="M953" s="132">
        <v>0</v>
      </c>
      <c r="N953" s="132">
        <v>5.0633246332018708E+18</v>
      </c>
    </row>
    <row r="954" spans="4:14" ht="15" customHeight="1" x14ac:dyDescent="0.2">
      <c r="D954" s="130" t="b">
        <v>0</v>
      </c>
      <c r="E954" s="124" t="s">
        <v>97</v>
      </c>
      <c r="F954" s="125" t="s">
        <v>94</v>
      </c>
      <c r="G954" s="125">
        <v>2</v>
      </c>
      <c r="H954" s="123">
        <v>4</v>
      </c>
      <c r="I954" s="123" t="s">
        <v>95</v>
      </c>
      <c r="J954" s="123" t="s">
        <v>97</v>
      </c>
      <c r="K954" s="123" t="s">
        <v>93</v>
      </c>
      <c r="L954" s="132">
        <v>874</v>
      </c>
      <c r="M954" s="132">
        <v>0</v>
      </c>
      <c r="N954" s="132">
        <v>8.8734332786999941E+18</v>
      </c>
    </row>
    <row r="955" spans="4:14" ht="15" customHeight="1" x14ac:dyDescent="0.2">
      <c r="D955" s="130" t="b">
        <v>0</v>
      </c>
      <c r="E955" s="124" t="s">
        <v>97</v>
      </c>
      <c r="F955" s="125" t="s">
        <v>94</v>
      </c>
      <c r="G955" s="125">
        <v>2</v>
      </c>
      <c r="H955" s="123">
        <v>4</v>
      </c>
      <c r="I955" s="123" t="s">
        <v>95</v>
      </c>
      <c r="J955" s="123" t="s">
        <v>91</v>
      </c>
      <c r="K955" s="123" t="s">
        <v>100</v>
      </c>
      <c r="L955" s="132">
        <v>875</v>
      </c>
      <c r="M955" s="132">
        <v>0</v>
      </c>
      <c r="N955" s="132">
        <v>1.2834820580596189E+19</v>
      </c>
    </row>
    <row r="956" spans="4:14" ht="15" customHeight="1" x14ac:dyDescent="0.2">
      <c r="D956" s="130" t="b">
        <v>0</v>
      </c>
      <c r="E956" s="124" t="s">
        <v>97</v>
      </c>
      <c r="F956" s="125" t="s">
        <v>94</v>
      </c>
      <c r="G956" s="125">
        <v>2</v>
      </c>
      <c r="H956" s="123">
        <v>4</v>
      </c>
      <c r="I956" s="123" t="s">
        <v>97</v>
      </c>
      <c r="J956" s="123" t="s">
        <v>96</v>
      </c>
      <c r="K956" s="123" t="s">
        <v>93</v>
      </c>
      <c r="L956" s="132">
        <v>876</v>
      </c>
      <c r="M956" s="132">
        <v>0</v>
      </c>
      <c r="N956" s="132">
        <v>1.7515800841005664E+19</v>
      </c>
    </row>
    <row r="957" spans="4:14" ht="15" customHeight="1" x14ac:dyDescent="0.2">
      <c r="D957" s="130" t="b">
        <v>0</v>
      </c>
      <c r="E957" s="124" t="s">
        <v>97</v>
      </c>
      <c r="F957" s="125" t="s">
        <v>94</v>
      </c>
      <c r="G957" s="125">
        <v>2</v>
      </c>
      <c r="H957" s="123">
        <v>4</v>
      </c>
      <c r="I957" s="123" t="s">
        <v>97</v>
      </c>
      <c r="J957" s="123" t="s">
        <v>97</v>
      </c>
      <c r="K957" s="123" t="s">
        <v>93</v>
      </c>
      <c r="L957" s="132">
        <v>877</v>
      </c>
      <c r="M957" s="132">
        <v>0</v>
      </c>
      <c r="N957" s="132">
        <v>1.6232645051526009E+19</v>
      </c>
    </row>
    <row r="958" spans="4:14" ht="15" customHeight="1" x14ac:dyDescent="0.2">
      <c r="D958" s="130" t="b">
        <v>0</v>
      </c>
      <c r="E958" s="124" t="s">
        <v>97</v>
      </c>
      <c r="F958" s="125" t="s">
        <v>94</v>
      </c>
      <c r="G958" s="125">
        <v>2</v>
      </c>
      <c r="H958" s="123">
        <v>4</v>
      </c>
      <c r="I958" s="123" t="s">
        <v>97</v>
      </c>
      <c r="J958" s="123" t="s">
        <v>91</v>
      </c>
      <c r="K958" s="123" t="s">
        <v>100</v>
      </c>
      <c r="L958" s="132">
        <v>878</v>
      </c>
      <c r="M958" s="132">
        <v>0</v>
      </c>
      <c r="N958" s="132">
        <v>8.0827937738065306E+18</v>
      </c>
    </row>
    <row r="959" spans="4:14" ht="15" customHeight="1" x14ac:dyDescent="0.2">
      <c r="D959" s="130" t="b">
        <v>0</v>
      </c>
      <c r="E959" s="124" t="s">
        <v>97</v>
      </c>
      <c r="F959" s="125" t="s">
        <v>94</v>
      </c>
      <c r="G959" s="125">
        <v>2</v>
      </c>
      <c r="H959" s="123">
        <v>4</v>
      </c>
      <c r="I959" s="123" t="s">
        <v>92</v>
      </c>
      <c r="J959" s="123" t="s">
        <v>96</v>
      </c>
      <c r="K959" s="123" t="s">
        <v>93</v>
      </c>
      <c r="L959" s="132">
        <v>879</v>
      </c>
      <c r="M959" s="132">
        <v>0</v>
      </c>
      <c r="N959" s="132">
        <v>1.1200787168751669E+19</v>
      </c>
    </row>
    <row r="960" spans="4:14" ht="15" customHeight="1" x14ac:dyDescent="0.2">
      <c r="D960" s="130" t="b">
        <v>0</v>
      </c>
      <c r="E960" s="124" t="s">
        <v>97</v>
      </c>
      <c r="F960" s="125" t="s">
        <v>94</v>
      </c>
      <c r="G960" s="125">
        <v>2</v>
      </c>
      <c r="H960" s="123">
        <v>4</v>
      </c>
      <c r="I960" s="123" t="s">
        <v>92</v>
      </c>
      <c r="J960" s="123" t="s">
        <v>97</v>
      </c>
      <c r="K960" s="123" t="s">
        <v>100</v>
      </c>
      <c r="L960" s="132">
        <v>880</v>
      </c>
      <c r="M960" s="132">
        <v>0</v>
      </c>
      <c r="N960" s="132">
        <v>4.541186054497451E+18</v>
      </c>
    </row>
    <row r="961" spans="4:14" ht="15" customHeight="1" x14ac:dyDescent="0.2">
      <c r="D961" s="130" t="b">
        <v>0</v>
      </c>
      <c r="E961" s="124" t="s">
        <v>97</v>
      </c>
      <c r="F961" s="125" t="s">
        <v>94</v>
      </c>
      <c r="G961" s="125">
        <v>2</v>
      </c>
      <c r="H961" s="123">
        <v>4</v>
      </c>
      <c r="I961" s="123" t="s">
        <v>92</v>
      </c>
      <c r="J961" s="123" t="s">
        <v>91</v>
      </c>
      <c r="K961" s="123" t="s">
        <v>100</v>
      </c>
      <c r="L961" s="132">
        <v>881</v>
      </c>
      <c r="M961" s="132">
        <v>0</v>
      </c>
      <c r="N961" s="132">
        <v>2.5680387567715942E+18</v>
      </c>
    </row>
    <row r="962" spans="4:14" ht="15" customHeight="1" x14ac:dyDescent="0.2">
      <c r="D962" s="130" t="b">
        <v>0</v>
      </c>
      <c r="E962" s="124" t="s">
        <v>97</v>
      </c>
      <c r="F962" s="125" t="s">
        <v>94</v>
      </c>
      <c r="G962" s="125">
        <v>2</v>
      </c>
      <c r="H962" s="123" t="s">
        <v>98</v>
      </c>
      <c r="I962" s="123" t="s">
        <v>95</v>
      </c>
      <c r="J962" s="123" t="s">
        <v>96</v>
      </c>
      <c r="K962" s="123" t="s">
        <v>93</v>
      </c>
      <c r="L962" s="132">
        <v>882</v>
      </c>
      <c r="M962" s="132">
        <v>0</v>
      </c>
      <c r="N962" s="132">
        <v>1.0607499566086984E+19</v>
      </c>
    </row>
    <row r="963" spans="4:14" ht="15" customHeight="1" x14ac:dyDescent="0.2">
      <c r="D963" s="130" t="b">
        <v>0</v>
      </c>
      <c r="E963" s="124" t="s">
        <v>97</v>
      </c>
      <c r="F963" s="125" t="s">
        <v>94</v>
      </c>
      <c r="G963" s="125">
        <v>2</v>
      </c>
      <c r="H963" s="123" t="s">
        <v>98</v>
      </c>
      <c r="I963" s="123" t="s">
        <v>95</v>
      </c>
      <c r="J963" s="123" t="s">
        <v>97</v>
      </c>
      <c r="K963" s="123" t="s">
        <v>93</v>
      </c>
      <c r="L963" s="132">
        <v>883</v>
      </c>
      <c r="M963" s="132">
        <v>0</v>
      </c>
      <c r="N963" s="132">
        <v>1.3588628131780794E+19</v>
      </c>
    </row>
    <row r="964" spans="4:14" ht="15" customHeight="1" x14ac:dyDescent="0.2">
      <c r="D964" s="130" t="b">
        <v>0</v>
      </c>
      <c r="E964" s="124" t="s">
        <v>97</v>
      </c>
      <c r="F964" s="125" t="s">
        <v>94</v>
      </c>
      <c r="G964" s="125">
        <v>2</v>
      </c>
      <c r="H964" s="123" t="s">
        <v>98</v>
      </c>
      <c r="I964" s="123" t="s">
        <v>95</v>
      </c>
      <c r="J964" s="123" t="s">
        <v>91</v>
      </c>
      <c r="K964" s="123" t="s">
        <v>93</v>
      </c>
      <c r="L964" s="132">
        <v>884</v>
      </c>
      <c r="M964" s="132">
        <v>0</v>
      </c>
      <c r="N964" s="132">
        <v>1.0992756964303379E+18</v>
      </c>
    </row>
    <row r="965" spans="4:14" ht="15" customHeight="1" x14ac:dyDescent="0.2">
      <c r="D965" s="130" t="b">
        <v>0</v>
      </c>
      <c r="E965" s="124" t="s">
        <v>97</v>
      </c>
      <c r="F965" s="125" t="s">
        <v>94</v>
      </c>
      <c r="G965" s="125">
        <v>2</v>
      </c>
      <c r="H965" s="123" t="s">
        <v>98</v>
      </c>
      <c r="I965" s="123" t="s">
        <v>97</v>
      </c>
      <c r="J965" s="123" t="s">
        <v>96</v>
      </c>
      <c r="K965" s="123" t="s">
        <v>93</v>
      </c>
      <c r="L965" s="132">
        <v>885</v>
      </c>
      <c r="M965" s="132">
        <v>0</v>
      </c>
      <c r="N965" s="132">
        <v>1.6645978484386142E+19</v>
      </c>
    </row>
    <row r="966" spans="4:14" ht="15" customHeight="1" x14ac:dyDescent="0.2">
      <c r="D966" s="130" t="b">
        <v>0</v>
      </c>
      <c r="E966" s="124" t="s">
        <v>97</v>
      </c>
      <c r="F966" s="125" t="s">
        <v>94</v>
      </c>
      <c r="G966" s="125">
        <v>2</v>
      </c>
      <c r="H966" s="123" t="s">
        <v>98</v>
      </c>
      <c r="I966" s="123" t="s">
        <v>97</v>
      </c>
      <c r="J966" s="123" t="s">
        <v>97</v>
      </c>
      <c r="K966" s="123" t="s">
        <v>93</v>
      </c>
      <c r="L966" s="132">
        <v>886</v>
      </c>
      <c r="M966" s="132">
        <v>0</v>
      </c>
      <c r="N966" s="132">
        <v>1.0138308277915519E+19</v>
      </c>
    </row>
    <row r="967" spans="4:14" ht="15" customHeight="1" x14ac:dyDescent="0.2">
      <c r="D967" s="130" t="b">
        <v>0</v>
      </c>
      <c r="E967" s="124" t="s">
        <v>97</v>
      </c>
      <c r="F967" s="125" t="s">
        <v>94</v>
      </c>
      <c r="G967" s="125">
        <v>2</v>
      </c>
      <c r="H967" s="123" t="s">
        <v>98</v>
      </c>
      <c r="I967" s="123" t="s">
        <v>97</v>
      </c>
      <c r="J967" s="123" t="s">
        <v>91</v>
      </c>
      <c r="K967" s="123" t="s">
        <v>100</v>
      </c>
      <c r="L967" s="132">
        <v>887</v>
      </c>
      <c r="M967" s="132">
        <v>0</v>
      </c>
      <c r="N967" s="132">
        <v>1.0028669835182275E+19</v>
      </c>
    </row>
    <row r="968" spans="4:14" ht="15" customHeight="1" x14ac:dyDescent="0.2">
      <c r="D968" s="130" t="b">
        <v>0</v>
      </c>
      <c r="E968" s="124" t="s">
        <v>97</v>
      </c>
      <c r="F968" s="125" t="s">
        <v>94</v>
      </c>
      <c r="G968" s="125">
        <v>2</v>
      </c>
      <c r="H968" s="123" t="s">
        <v>98</v>
      </c>
      <c r="I968" s="123" t="s">
        <v>92</v>
      </c>
      <c r="J968" s="123" t="s">
        <v>96</v>
      </c>
      <c r="K968" s="123" t="s">
        <v>93</v>
      </c>
      <c r="L968" s="132">
        <v>888</v>
      </c>
      <c r="M968" s="132">
        <v>0</v>
      </c>
      <c r="N968" s="132">
        <v>1.6539894792226628E+19</v>
      </c>
    </row>
    <row r="969" spans="4:14" ht="15" customHeight="1" x14ac:dyDescent="0.2">
      <c r="D969" s="130" t="b">
        <v>0</v>
      </c>
      <c r="E969" s="124" t="s">
        <v>97</v>
      </c>
      <c r="F969" s="125" t="s">
        <v>94</v>
      </c>
      <c r="G969" s="125">
        <v>2</v>
      </c>
      <c r="H969" s="123" t="s">
        <v>98</v>
      </c>
      <c r="I969" s="123" t="s">
        <v>92</v>
      </c>
      <c r="J969" s="123" t="s">
        <v>97</v>
      </c>
      <c r="K969" s="123" t="s">
        <v>100</v>
      </c>
      <c r="L969" s="132">
        <v>889</v>
      </c>
      <c r="M969" s="132">
        <v>0</v>
      </c>
      <c r="N969" s="132">
        <v>1.1878021301430919E+19</v>
      </c>
    </row>
    <row r="970" spans="4:14" ht="15" customHeight="1" x14ac:dyDescent="0.2">
      <c r="D970" s="130" t="b">
        <v>0</v>
      </c>
      <c r="E970" s="124" t="s">
        <v>97</v>
      </c>
      <c r="F970" s="125" t="s">
        <v>94</v>
      </c>
      <c r="G970" s="125">
        <v>2</v>
      </c>
      <c r="H970" s="123" t="s">
        <v>98</v>
      </c>
      <c r="I970" s="123" t="s">
        <v>92</v>
      </c>
      <c r="J970" s="123" t="s">
        <v>91</v>
      </c>
      <c r="K970" s="123" t="s">
        <v>100</v>
      </c>
      <c r="L970" s="132">
        <v>890</v>
      </c>
      <c r="M970" s="132">
        <v>0</v>
      </c>
      <c r="N970" s="132">
        <v>1.7346060790746862E+18</v>
      </c>
    </row>
    <row r="971" spans="4:14" ht="15" customHeight="1" x14ac:dyDescent="0.2">
      <c r="D971" s="130" t="b">
        <v>0</v>
      </c>
      <c r="E971" s="124" t="s">
        <v>97</v>
      </c>
      <c r="F971" s="125" t="s">
        <v>94</v>
      </c>
      <c r="G971" s="125">
        <v>3</v>
      </c>
      <c r="H971" s="123">
        <v>2</v>
      </c>
      <c r="I971" s="123" t="s">
        <v>95</v>
      </c>
      <c r="J971" s="123" t="s">
        <v>96</v>
      </c>
      <c r="K971" s="123" t="s">
        <v>93</v>
      </c>
      <c r="L971" s="132">
        <v>891</v>
      </c>
      <c r="M971" s="132">
        <v>0</v>
      </c>
      <c r="N971" s="132">
        <v>1.2889128038152505E+19</v>
      </c>
    </row>
    <row r="972" spans="4:14" ht="15" customHeight="1" x14ac:dyDescent="0.2">
      <c r="D972" s="130" t="b">
        <v>0</v>
      </c>
      <c r="E972" s="124" t="s">
        <v>97</v>
      </c>
      <c r="F972" s="125" t="s">
        <v>94</v>
      </c>
      <c r="G972" s="125">
        <v>3</v>
      </c>
      <c r="H972" s="123">
        <v>2</v>
      </c>
      <c r="I972" s="123" t="s">
        <v>95</v>
      </c>
      <c r="J972" s="123" t="s">
        <v>97</v>
      </c>
      <c r="K972" s="123" t="s">
        <v>93</v>
      </c>
      <c r="L972" s="132">
        <v>892</v>
      </c>
      <c r="M972" s="132">
        <v>0</v>
      </c>
      <c r="N972" s="132">
        <v>3.1848978852377892E+18</v>
      </c>
    </row>
    <row r="973" spans="4:14" ht="15" customHeight="1" x14ac:dyDescent="0.2">
      <c r="D973" s="130" t="b">
        <v>0</v>
      </c>
      <c r="E973" s="124" t="s">
        <v>97</v>
      </c>
      <c r="F973" s="125" t="s">
        <v>94</v>
      </c>
      <c r="G973" s="125">
        <v>3</v>
      </c>
      <c r="H973" s="123">
        <v>2</v>
      </c>
      <c r="I973" s="123" t="s">
        <v>95</v>
      </c>
      <c r="J973" s="123" t="s">
        <v>91</v>
      </c>
      <c r="K973" s="123" t="s">
        <v>93</v>
      </c>
      <c r="L973" s="132">
        <v>893</v>
      </c>
      <c r="M973" s="132">
        <v>0</v>
      </c>
      <c r="N973" s="132">
        <v>1.6636368015084206E+19</v>
      </c>
    </row>
    <row r="974" spans="4:14" ht="15" customHeight="1" x14ac:dyDescent="0.2">
      <c r="D974" s="130" t="b">
        <v>0</v>
      </c>
      <c r="E974" s="124" t="s">
        <v>97</v>
      </c>
      <c r="F974" s="125" t="s">
        <v>94</v>
      </c>
      <c r="G974" s="125">
        <v>3</v>
      </c>
      <c r="H974" s="123">
        <v>2</v>
      </c>
      <c r="I974" s="123" t="s">
        <v>97</v>
      </c>
      <c r="J974" s="123" t="s">
        <v>96</v>
      </c>
      <c r="K974" s="123" t="s">
        <v>93</v>
      </c>
      <c r="L974" s="132">
        <v>894</v>
      </c>
      <c r="M974" s="132">
        <v>0</v>
      </c>
      <c r="N974" s="132">
        <v>1.8162602094000243E+19</v>
      </c>
    </row>
    <row r="975" spans="4:14" ht="15" customHeight="1" x14ac:dyDescent="0.2">
      <c r="D975" s="130" t="b">
        <v>0</v>
      </c>
      <c r="E975" s="124" t="s">
        <v>97</v>
      </c>
      <c r="F975" s="125" t="s">
        <v>94</v>
      </c>
      <c r="G975" s="125">
        <v>3</v>
      </c>
      <c r="H975" s="123">
        <v>2</v>
      </c>
      <c r="I975" s="123" t="s">
        <v>97</v>
      </c>
      <c r="J975" s="123" t="s">
        <v>97</v>
      </c>
      <c r="K975" s="123" t="s">
        <v>93</v>
      </c>
      <c r="L975" s="132">
        <v>895</v>
      </c>
      <c r="M975" s="132">
        <v>0</v>
      </c>
      <c r="N975" s="132">
        <v>1.5604435444167868E+19</v>
      </c>
    </row>
    <row r="976" spans="4:14" ht="15" customHeight="1" x14ac:dyDescent="0.2">
      <c r="D976" s="130" t="b">
        <v>0</v>
      </c>
      <c r="E976" s="124" t="s">
        <v>97</v>
      </c>
      <c r="F976" s="125" t="s">
        <v>94</v>
      </c>
      <c r="G976" s="125">
        <v>3</v>
      </c>
      <c r="H976" s="123">
        <v>2</v>
      </c>
      <c r="I976" s="123" t="s">
        <v>97</v>
      </c>
      <c r="J976" s="123" t="s">
        <v>91</v>
      </c>
      <c r="K976" s="123" t="s">
        <v>93</v>
      </c>
      <c r="L976" s="132">
        <v>896</v>
      </c>
      <c r="M976" s="132">
        <v>0</v>
      </c>
      <c r="N976" s="132">
        <v>2.02500398283871E+18</v>
      </c>
    </row>
    <row r="977" spans="4:14" ht="15" customHeight="1" x14ac:dyDescent="0.2">
      <c r="D977" s="130" t="b">
        <v>0</v>
      </c>
      <c r="E977" s="124" t="s">
        <v>97</v>
      </c>
      <c r="F977" s="125" t="s">
        <v>94</v>
      </c>
      <c r="G977" s="125">
        <v>3</v>
      </c>
      <c r="H977" s="123">
        <v>2</v>
      </c>
      <c r="I977" s="123" t="s">
        <v>92</v>
      </c>
      <c r="J977" s="123" t="s">
        <v>96</v>
      </c>
      <c r="K977" s="123" t="s">
        <v>93</v>
      </c>
      <c r="L977" s="132">
        <v>897</v>
      </c>
      <c r="M977" s="132">
        <v>0</v>
      </c>
      <c r="N977" s="132">
        <v>1.2749474215265462E+19</v>
      </c>
    </row>
    <row r="978" spans="4:14" ht="15" customHeight="1" x14ac:dyDescent="0.2">
      <c r="D978" s="130" t="b">
        <v>0</v>
      </c>
      <c r="E978" s="124" t="s">
        <v>97</v>
      </c>
      <c r="F978" s="125" t="s">
        <v>94</v>
      </c>
      <c r="G978" s="125">
        <v>3</v>
      </c>
      <c r="H978" s="123">
        <v>2</v>
      </c>
      <c r="I978" s="123" t="s">
        <v>92</v>
      </c>
      <c r="J978" s="123" t="s">
        <v>97</v>
      </c>
      <c r="K978" s="123" t="s">
        <v>93</v>
      </c>
      <c r="L978" s="132">
        <v>898</v>
      </c>
      <c r="M978" s="132">
        <v>0</v>
      </c>
      <c r="N978" s="132">
        <v>1.6315100914969074E+19</v>
      </c>
    </row>
    <row r="979" spans="4:14" ht="15" customHeight="1" x14ac:dyDescent="0.2">
      <c r="D979" s="130" t="b">
        <v>0</v>
      </c>
      <c r="E979" s="124" t="s">
        <v>97</v>
      </c>
      <c r="F979" s="125" t="s">
        <v>94</v>
      </c>
      <c r="G979" s="125">
        <v>3</v>
      </c>
      <c r="H979" s="123">
        <v>2</v>
      </c>
      <c r="I979" s="123" t="s">
        <v>92</v>
      </c>
      <c r="J979" s="123" t="s">
        <v>91</v>
      </c>
      <c r="K979" s="123" t="s">
        <v>93</v>
      </c>
      <c r="L979" s="132">
        <v>899</v>
      </c>
      <c r="M979" s="132">
        <v>0</v>
      </c>
      <c r="N979" s="132">
        <v>1.7161726174351426E+19</v>
      </c>
    </row>
    <row r="980" spans="4:14" ht="15" customHeight="1" x14ac:dyDescent="0.2">
      <c r="D980" s="130" t="b">
        <v>0</v>
      </c>
      <c r="E980" s="124" t="s">
        <v>97</v>
      </c>
      <c r="F980" s="125" t="s">
        <v>94</v>
      </c>
      <c r="G980" s="125">
        <v>3</v>
      </c>
      <c r="H980" s="123">
        <v>4</v>
      </c>
      <c r="I980" s="123" t="s">
        <v>95</v>
      </c>
      <c r="J980" s="123" t="s">
        <v>96</v>
      </c>
      <c r="K980" s="123" t="s">
        <v>93</v>
      </c>
      <c r="L980" s="132">
        <v>900</v>
      </c>
      <c r="M980" s="132">
        <v>0</v>
      </c>
      <c r="N980" s="132">
        <v>1.5082251734678338E+19</v>
      </c>
    </row>
    <row r="981" spans="4:14" ht="15" customHeight="1" x14ac:dyDescent="0.2">
      <c r="D981" s="130" t="b">
        <v>0</v>
      </c>
      <c r="E981" s="124" t="s">
        <v>97</v>
      </c>
      <c r="F981" s="125" t="s">
        <v>94</v>
      </c>
      <c r="G981" s="125">
        <v>3</v>
      </c>
      <c r="H981" s="123">
        <v>4</v>
      </c>
      <c r="I981" s="123" t="s">
        <v>95</v>
      </c>
      <c r="J981" s="123" t="s">
        <v>97</v>
      </c>
      <c r="K981" s="123" t="s">
        <v>93</v>
      </c>
      <c r="L981" s="132">
        <v>901</v>
      </c>
      <c r="M981" s="132">
        <v>0</v>
      </c>
      <c r="N981" s="132">
        <v>8.1227961003276227E+18</v>
      </c>
    </row>
    <row r="982" spans="4:14" ht="15" customHeight="1" x14ac:dyDescent="0.2">
      <c r="D982" s="130" t="b">
        <v>0</v>
      </c>
      <c r="E982" s="124" t="s">
        <v>97</v>
      </c>
      <c r="F982" s="125" t="s">
        <v>94</v>
      </c>
      <c r="G982" s="125">
        <v>3</v>
      </c>
      <c r="H982" s="123">
        <v>4</v>
      </c>
      <c r="I982" s="123" t="s">
        <v>95</v>
      </c>
      <c r="J982" s="123" t="s">
        <v>91</v>
      </c>
      <c r="K982" s="123" t="s">
        <v>100</v>
      </c>
      <c r="L982" s="132">
        <v>902</v>
      </c>
      <c r="M982" s="132">
        <v>0</v>
      </c>
      <c r="N982" s="132">
        <v>6.2328200379934024E+18</v>
      </c>
    </row>
    <row r="983" spans="4:14" ht="15" customHeight="1" x14ac:dyDescent="0.2">
      <c r="D983" s="130" t="b">
        <v>0</v>
      </c>
      <c r="E983" s="124" t="s">
        <v>97</v>
      </c>
      <c r="F983" s="125" t="s">
        <v>94</v>
      </c>
      <c r="G983" s="125">
        <v>3</v>
      </c>
      <c r="H983" s="123">
        <v>4</v>
      </c>
      <c r="I983" s="123" t="s">
        <v>97</v>
      </c>
      <c r="J983" s="123" t="s">
        <v>96</v>
      </c>
      <c r="K983" s="123" t="s">
        <v>93</v>
      </c>
      <c r="L983" s="132">
        <v>903</v>
      </c>
      <c r="M983" s="132">
        <v>0</v>
      </c>
      <c r="N983" s="132">
        <v>1.3947981175758596E+19</v>
      </c>
    </row>
    <row r="984" spans="4:14" ht="15" customHeight="1" x14ac:dyDescent="0.2">
      <c r="D984" s="130" t="b">
        <v>0</v>
      </c>
      <c r="E984" s="124" t="s">
        <v>97</v>
      </c>
      <c r="F984" s="125" t="s">
        <v>94</v>
      </c>
      <c r="G984" s="125">
        <v>3</v>
      </c>
      <c r="H984" s="123">
        <v>4</v>
      </c>
      <c r="I984" s="123" t="s">
        <v>97</v>
      </c>
      <c r="J984" s="123" t="s">
        <v>97</v>
      </c>
      <c r="K984" s="123" t="s">
        <v>93</v>
      </c>
      <c r="L984" s="132">
        <v>904</v>
      </c>
      <c r="M984" s="132">
        <v>0</v>
      </c>
      <c r="N984" s="132">
        <v>4.333516654667647E+18</v>
      </c>
    </row>
    <row r="985" spans="4:14" ht="15" customHeight="1" x14ac:dyDescent="0.2">
      <c r="D985" s="130" t="b">
        <v>0</v>
      </c>
      <c r="E985" s="124" t="s">
        <v>97</v>
      </c>
      <c r="F985" s="125" t="s">
        <v>94</v>
      </c>
      <c r="G985" s="125">
        <v>3</v>
      </c>
      <c r="H985" s="123">
        <v>4</v>
      </c>
      <c r="I985" s="123" t="s">
        <v>97</v>
      </c>
      <c r="J985" s="123" t="s">
        <v>91</v>
      </c>
      <c r="K985" s="123" t="s">
        <v>100</v>
      </c>
      <c r="L985" s="132">
        <v>905</v>
      </c>
      <c r="M985" s="132">
        <v>0</v>
      </c>
      <c r="N985" s="132">
        <v>1.3037886457031213E+19</v>
      </c>
    </row>
    <row r="986" spans="4:14" ht="15" customHeight="1" x14ac:dyDescent="0.2">
      <c r="D986" s="130" t="b">
        <v>0</v>
      </c>
      <c r="E986" s="124" t="s">
        <v>97</v>
      </c>
      <c r="F986" s="125" t="s">
        <v>94</v>
      </c>
      <c r="G986" s="125">
        <v>3</v>
      </c>
      <c r="H986" s="123">
        <v>4</v>
      </c>
      <c r="I986" s="123" t="s">
        <v>92</v>
      </c>
      <c r="J986" s="123" t="s">
        <v>96</v>
      </c>
      <c r="K986" s="123" t="s">
        <v>93</v>
      </c>
      <c r="L986" s="132">
        <v>906</v>
      </c>
      <c r="M986" s="132">
        <v>0</v>
      </c>
      <c r="N986" s="132">
        <v>8.884568474007808E+17</v>
      </c>
    </row>
    <row r="987" spans="4:14" ht="15" customHeight="1" x14ac:dyDescent="0.2">
      <c r="D987" s="130" t="b">
        <v>0</v>
      </c>
      <c r="E987" s="124" t="s">
        <v>97</v>
      </c>
      <c r="F987" s="125" t="s">
        <v>94</v>
      </c>
      <c r="G987" s="125">
        <v>3</v>
      </c>
      <c r="H987" s="123">
        <v>4</v>
      </c>
      <c r="I987" s="123" t="s">
        <v>92</v>
      </c>
      <c r="J987" s="123" t="s">
        <v>97</v>
      </c>
      <c r="K987" s="123" t="s">
        <v>100</v>
      </c>
      <c r="L987" s="132">
        <v>907</v>
      </c>
      <c r="M987" s="132">
        <v>0</v>
      </c>
      <c r="N987" s="132">
        <v>7.4302115703605463E+18</v>
      </c>
    </row>
    <row r="988" spans="4:14" ht="15" customHeight="1" x14ac:dyDescent="0.2">
      <c r="D988" s="130" t="b">
        <v>0</v>
      </c>
      <c r="E988" s="124" t="s">
        <v>97</v>
      </c>
      <c r="F988" s="125" t="s">
        <v>94</v>
      </c>
      <c r="G988" s="125">
        <v>3</v>
      </c>
      <c r="H988" s="123">
        <v>4</v>
      </c>
      <c r="I988" s="123" t="s">
        <v>92</v>
      </c>
      <c r="J988" s="123" t="s">
        <v>91</v>
      </c>
      <c r="K988" s="123" t="s">
        <v>100</v>
      </c>
      <c r="L988" s="132">
        <v>908</v>
      </c>
      <c r="M988" s="132">
        <v>0</v>
      </c>
      <c r="N988" s="132">
        <v>4.7671912105661061E+18</v>
      </c>
    </row>
    <row r="989" spans="4:14" ht="15" customHeight="1" x14ac:dyDescent="0.2">
      <c r="D989" s="130" t="b">
        <v>0</v>
      </c>
      <c r="E989" s="124" t="s">
        <v>97</v>
      </c>
      <c r="F989" s="125" t="s">
        <v>94</v>
      </c>
      <c r="G989" s="125">
        <v>3</v>
      </c>
      <c r="H989" s="123" t="s">
        <v>98</v>
      </c>
      <c r="I989" s="123" t="s">
        <v>95</v>
      </c>
      <c r="J989" s="123" t="s">
        <v>96</v>
      </c>
      <c r="K989" s="123" t="s">
        <v>93</v>
      </c>
      <c r="L989" s="132">
        <v>909</v>
      </c>
      <c r="M989" s="132">
        <v>0</v>
      </c>
      <c r="N989" s="132">
        <v>1.2310714171032824E+19</v>
      </c>
    </row>
    <row r="990" spans="4:14" ht="15" customHeight="1" x14ac:dyDescent="0.2">
      <c r="D990" s="130" t="b">
        <v>0</v>
      </c>
      <c r="E990" s="124" t="s">
        <v>97</v>
      </c>
      <c r="F990" s="125" t="s">
        <v>94</v>
      </c>
      <c r="G990" s="125">
        <v>3</v>
      </c>
      <c r="H990" s="123" t="s">
        <v>98</v>
      </c>
      <c r="I990" s="123" t="s">
        <v>95</v>
      </c>
      <c r="J990" s="123" t="s">
        <v>97</v>
      </c>
      <c r="K990" s="123" t="s">
        <v>93</v>
      </c>
      <c r="L990" s="132">
        <v>910</v>
      </c>
      <c r="M990" s="132">
        <v>0</v>
      </c>
      <c r="N990" s="132">
        <v>1.2816601324435833E+19</v>
      </c>
    </row>
    <row r="991" spans="4:14" ht="15" customHeight="1" x14ac:dyDescent="0.2">
      <c r="D991" s="130" t="b">
        <v>0</v>
      </c>
      <c r="E991" s="124" t="s">
        <v>97</v>
      </c>
      <c r="F991" s="125" t="s">
        <v>94</v>
      </c>
      <c r="G991" s="125">
        <v>3</v>
      </c>
      <c r="H991" s="123" t="s">
        <v>98</v>
      </c>
      <c r="I991" s="123" t="s">
        <v>95</v>
      </c>
      <c r="J991" s="123" t="s">
        <v>91</v>
      </c>
      <c r="K991" s="123" t="s">
        <v>100</v>
      </c>
      <c r="L991" s="132">
        <v>911</v>
      </c>
      <c r="M991" s="132">
        <v>0</v>
      </c>
      <c r="N991" s="132">
        <v>9.5031389922186936E+18</v>
      </c>
    </row>
    <row r="992" spans="4:14" ht="15" customHeight="1" x14ac:dyDescent="0.2">
      <c r="D992" s="130" t="b">
        <v>0</v>
      </c>
      <c r="E992" s="124" t="s">
        <v>97</v>
      </c>
      <c r="F992" s="125" t="s">
        <v>94</v>
      </c>
      <c r="G992" s="125">
        <v>3</v>
      </c>
      <c r="H992" s="123" t="s">
        <v>98</v>
      </c>
      <c r="I992" s="123" t="s">
        <v>97</v>
      </c>
      <c r="J992" s="123" t="s">
        <v>96</v>
      </c>
      <c r="K992" s="123" t="s">
        <v>93</v>
      </c>
      <c r="L992" s="132">
        <v>912</v>
      </c>
      <c r="M992" s="132">
        <v>0</v>
      </c>
      <c r="N992" s="132">
        <v>1.0493883414295243E+19</v>
      </c>
    </row>
    <row r="993" spans="4:14" ht="15" customHeight="1" x14ac:dyDescent="0.2">
      <c r="D993" s="130" t="b">
        <v>0</v>
      </c>
      <c r="E993" s="124" t="s">
        <v>97</v>
      </c>
      <c r="F993" s="125" t="s">
        <v>94</v>
      </c>
      <c r="G993" s="125">
        <v>3</v>
      </c>
      <c r="H993" s="123" t="s">
        <v>98</v>
      </c>
      <c r="I993" s="123" t="s">
        <v>97</v>
      </c>
      <c r="J993" s="123" t="s">
        <v>97</v>
      </c>
      <c r="K993" s="123" t="s">
        <v>100</v>
      </c>
      <c r="L993" s="132">
        <v>913</v>
      </c>
      <c r="M993" s="132">
        <v>0</v>
      </c>
      <c r="N993" s="132">
        <v>8.0068477825882194E+18</v>
      </c>
    </row>
    <row r="994" spans="4:14" ht="15" customHeight="1" x14ac:dyDescent="0.2">
      <c r="D994" s="130" t="b">
        <v>0</v>
      </c>
      <c r="E994" s="124" t="s">
        <v>97</v>
      </c>
      <c r="F994" s="125" t="s">
        <v>94</v>
      </c>
      <c r="G994" s="125">
        <v>3</v>
      </c>
      <c r="H994" s="123" t="s">
        <v>98</v>
      </c>
      <c r="I994" s="123" t="s">
        <v>97</v>
      </c>
      <c r="J994" s="123" t="s">
        <v>91</v>
      </c>
      <c r="K994" s="123" t="s">
        <v>100</v>
      </c>
      <c r="L994" s="132">
        <v>914</v>
      </c>
      <c r="M994" s="132">
        <v>0</v>
      </c>
      <c r="N994" s="132">
        <v>9.4957359277426565E+18</v>
      </c>
    </row>
    <row r="995" spans="4:14" ht="15" customHeight="1" x14ac:dyDescent="0.2">
      <c r="D995" s="130" t="b">
        <v>0</v>
      </c>
      <c r="E995" s="124" t="s">
        <v>97</v>
      </c>
      <c r="F995" s="125" t="s">
        <v>94</v>
      </c>
      <c r="G995" s="125">
        <v>3</v>
      </c>
      <c r="H995" s="123" t="s">
        <v>98</v>
      </c>
      <c r="I995" s="123" t="s">
        <v>92</v>
      </c>
      <c r="J995" s="123" t="s">
        <v>96</v>
      </c>
      <c r="K995" s="123" t="s">
        <v>93</v>
      </c>
      <c r="L995" s="132">
        <v>915</v>
      </c>
      <c r="M995" s="132">
        <v>0</v>
      </c>
      <c r="N995" s="132">
        <v>1.6371136349035725E+19</v>
      </c>
    </row>
    <row r="996" spans="4:14" ht="15" customHeight="1" x14ac:dyDescent="0.2">
      <c r="D996" s="130" t="b">
        <v>0</v>
      </c>
      <c r="E996" s="124" t="s">
        <v>97</v>
      </c>
      <c r="F996" s="125" t="s">
        <v>94</v>
      </c>
      <c r="G996" s="125">
        <v>3</v>
      </c>
      <c r="H996" s="123" t="s">
        <v>98</v>
      </c>
      <c r="I996" s="123" t="s">
        <v>92</v>
      </c>
      <c r="J996" s="123" t="s">
        <v>97</v>
      </c>
      <c r="K996" s="123" t="s">
        <v>100</v>
      </c>
      <c r="L996" s="132">
        <v>916</v>
      </c>
      <c r="M996" s="132">
        <v>0</v>
      </c>
      <c r="N996" s="132">
        <v>1.5909320327445844E+19</v>
      </c>
    </row>
    <row r="997" spans="4:14" ht="15" customHeight="1" x14ac:dyDescent="0.2">
      <c r="D997" s="130" t="b">
        <v>0</v>
      </c>
      <c r="E997" s="124" t="s">
        <v>97</v>
      </c>
      <c r="F997" s="125" t="s">
        <v>94</v>
      </c>
      <c r="G997" s="125">
        <v>3</v>
      </c>
      <c r="H997" s="123" t="s">
        <v>98</v>
      </c>
      <c r="I997" s="123" t="s">
        <v>92</v>
      </c>
      <c r="J997" s="123" t="s">
        <v>91</v>
      </c>
      <c r="K997" s="123" t="s">
        <v>100</v>
      </c>
      <c r="L997" s="132">
        <v>917</v>
      </c>
      <c r="M997" s="132">
        <v>0</v>
      </c>
      <c r="N997" s="132">
        <v>1.3296814754873211E+19</v>
      </c>
    </row>
    <row r="998" spans="4:14" ht="15" customHeight="1" x14ac:dyDescent="0.2">
      <c r="D998" s="130" t="b">
        <v>0</v>
      </c>
      <c r="E998" s="124" t="s">
        <v>97</v>
      </c>
      <c r="F998" s="125" t="s">
        <v>94</v>
      </c>
      <c r="G998" s="125">
        <v>4</v>
      </c>
      <c r="H998" s="123">
        <v>2</v>
      </c>
      <c r="I998" s="123" t="s">
        <v>95</v>
      </c>
      <c r="J998" s="123" t="s">
        <v>96</v>
      </c>
      <c r="K998" s="123" t="s">
        <v>93</v>
      </c>
      <c r="L998" s="132">
        <v>918</v>
      </c>
      <c r="M998" s="132">
        <v>0</v>
      </c>
      <c r="N998" s="132">
        <v>1.0763234442610629E+19</v>
      </c>
    </row>
    <row r="999" spans="4:14" ht="15" customHeight="1" x14ac:dyDescent="0.2">
      <c r="D999" s="130" t="b">
        <v>0</v>
      </c>
      <c r="E999" s="124" t="s">
        <v>97</v>
      </c>
      <c r="F999" s="125" t="s">
        <v>94</v>
      </c>
      <c r="G999" s="125">
        <v>4</v>
      </c>
      <c r="H999" s="123">
        <v>2</v>
      </c>
      <c r="I999" s="123" t="s">
        <v>95</v>
      </c>
      <c r="J999" s="123" t="s">
        <v>97</v>
      </c>
      <c r="K999" s="123" t="s">
        <v>93</v>
      </c>
      <c r="L999" s="132">
        <v>919</v>
      </c>
      <c r="M999" s="132">
        <v>0</v>
      </c>
      <c r="N999" s="132">
        <v>1.1124639494630283E+19</v>
      </c>
    </row>
    <row r="1000" spans="4:14" ht="15" customHeight="1" x14ac:dyDescent="0.2">
      <c r="D1000" s="130" t="b">
        <v>0</v>
      </c>
      <c r="E1000" s="124" t="s">
        <v>97</v>
      </c>
      <c r="F1000" s="125" t="s">
        <v>94</v>
      </c>
      <c r="G1000" s="125">
        <v>4</v>
      </c>
      <c r="H1000" s="123">
        <v>2</v>
      </c>
      <c r="I1000" s="123" t="s">
        <v>95</v>
      </c>
      <c r="J1000" s="123" t="s">
        <v>91</v>
      </c>
      <c r="K1000" s="123" t="s">
        <v>93</v>
      </c>
      <c r="L1000" s="132">
        <v>920</v>
      </c>
      <c r="M1000" s="132">
        <v>0</v>
      </c>
      <c r="N1000" s="132">
        <v>7.8893927051041802E+18</v>
      </c>
    </row>
    <row r="1001" spans="4:14" ht="15" customHeight="1" x14ac:dyDescent="0.2">
      <c r="D1001" s="130" t="b">
        <v>0</v>
      </c>
      <c r="E1001" s="124" t="s">
        <v>97</v>
      </c>
      <c r="F1001" s="125" t="s">
        <v>94</v>
      </c>
      <c r="G1001" s="125">
        <v>4</v>
      </c>
      <c r="H1001" s="123">
        <v>2</v>
      </c>
      <c r="I1001" s="123" t="s">
        <v>97</v>
      </c>
      <c r="J1001" s="123" t="s">
        <v>96</v>
      </c>
      <c r="K1001" s="123" t="s">
        <v>93</v>
      </c>
      <c r="L1001" s="132">
        <v>921</v>
      </c>
      <c r="M1001" s="132">
        <v>0</v>
      </c>
      <c r="N1001" s="132">
        <v>1.5921790621592068E+19</v>
      </c>
    </row>
    <row r="1002" spans="4:14" ht="15" customHeight="1" x14ac:dyDescent="0.2">
      <c r="D1002" s="130" t="b">
        <v>0</v>
      </c>
      <c r="E1002" s="124" t="s">
        <v>97</v>
      </c>
      <c r="F1002" s="125" t="s">
        <v>94</v>
      </c>
      <c r="G1002" s="125">
        <v>4</v>
      </c>
      <c r="H1002" s="123">
        <v>2</v>
      </c>
      <c r="I1002" s="123" t="s">
        <v>97</v>
      </c>
      <c r="J1002" s="123" t="s">
        <v>97</v>
      </c>
      <c r="K1002" s="123" t="s">
        <v>93</v>
      </c>
      <c r="L1002" s="132">
        <v>922</v>
      </c>
      <c r="M1002" s="132">
        <v>0</v>
      </c>
      <c r="N1002" s="132">
        <v>1.5197288551196885E+19</v>
      </c>
    </row>
    <row r="1003" spans="4:14" ht="15" customHeight="1" x14ac:dyDescent="0.2">
      <c r="D1003" s="130" t="b">
        <v>0</v>
      </c>
      <c r="E1003" s="124" t="s">
        <v>97</v>
      </c>
      <c r="F1003" s="125" t="s">
        <v>94</v>
      </c>
      <c r="G1003" s="125">
        <v>4</v>
      </c>
      <c r="H1003" s="123">
        <v>2</v>
      </c>
      <c r="I1003" s="123" t="s">
        <v>97</v>
      </c>
      <c r="J1003" s="123" t="s">
        <v>91</v>
      </c>
      <c r="K1003" s="123" t="s">
        <v>93</v>
      </c>
      <c r="L1003" s="132">
        <v>923</v>
      </c>
      <c r="M1003" s="132">
        <v>0</v>
      </c>
      <c r="N1003" s="132">
        <v>1.2412877186863198E+19</v>
      </c>
    </row>
    <row r="1004" spans="4:14" ht="15" customHeight="1" x14ac:dyDescent="0.2">
      <c r="D1004" s="130" t="b">
        <v>0</v>
      </c>
      <c r="E1004" s="124" t="s">
        <v>97</v>
      </c>
      <c r="F1004" s="125" t="s">
        <v>94</v>
      </c>
      <c r="G1004" s="125">
        <v>4</v>
      </c>
      <c r="H1004" s="123">
        <v>2</v>
      </c>
      <c r="I1004" s="123" t="s">
        <v>92</v>
      </c>
      <c r="J1004" s="123" t="s">
        <v>96</v>
      </c>
      <c r="K1004" s="123" t="s">
        <v>93</v>
      </c>
      <c r="L1004" s="132">
        <v>924</v>
      </c>
      <c r="M1004" s="132">
        <v>0</v>
      </c>
      <c r="N1004" s="132">
        <v>2.3289162473619497E+18</v>
      </c>
    </row>
    <row r="1005" spans="4:14" ht="15" customHeight="1" x14ac:dyDescent="0.2">
      <c r="D1005" s="130" t="b">
        <v>0</v>
      </c>
      <c r="E1005" s="124" t="s">
        <v>97</v>
      </c>
      <c r="F1005" s="125" t="s">
        <v>94</v>
      </c>
      <c r="G1005" s="125">
        <v>4</v>
      </c>
      <c r="H1005" s="123">
        <v>2</v>
      </c>
      <c r="I1005" s="123" t="s">
        <v>92</v>
      </c>
      <c r="J1005" s="123" t="s">
        <v>97</v>
      </c>
      <c r="K1005" s="123" t="s">
        <v>93</v>
      </c>
      <c r="L1005" s="132">
        <v>925</v>
      </c>
      <c r="M1005" s="132">
        <v>0</v>
      </c>
      <c r="N1005" s="132">
        <v>2.0241483758357235E+18</v>
      </c>
    </row>
    <row r="1006" spans="4:14" ht="15" customHeight="1" x14ac:dyDescent="0.2">
      <c r="D1006" s="130" t="b">
        <v>0</v>
      </c>
      <c r="E1006" s="124" t="s">
        <v>97</v>
      </c>
      <c r="F1006" s="125" t="s">
        <v>94</v>
      </c>
      <c r="G1006" s="125">
        <v>4</v>
      </c>
      <c r="H1006" s="123">
        <v>2</v>
      </c>
      <c r="I1006" s="123" t="s">
        <v>92</v>
      </c>
      <c r="J1006" s="123" t="s">
        <v>91</v>
      </c>
      <c r="K1006" s="123" t="s">
        <v>93</v>
      </c>
      <c r="L1006" s="132">
        <v>926</v>
      </c>
      <c r="M1006" s="132">
        <v>0</v>
      </c>
      <c r="N1006" s="132">
        <v>1.1374331304842203E+19</v>
      </c>
    </row>
    <row r="1007" spans="4:14" ht="15" customHeight="1" x14ac:dyDescent="0.2">
      <c r="D1007" s="130" t="b">
        <v>0</v>
      </c>
      <c r="E1007" s="124" t="s">
        <v>97</v>
      </c>
      <c r="F1007" s="125" t="s">
        <v>94</v>
      </c>
      <c r="G1007" s="125">
        <v>4</v>
      </c>
      <c r="H1007" s="123">
        <v>4</v>
      </c>
      <c r="I1007" s="123" t="s">
        <v>95</v>
      </c>
      <c r="J1007" s="123" t="s">
        <v>96</v>
      </c>
      <c r="K1007" s="123" t="s">
        <v>93</v>
      </c>
      <c r="L1007" s="132">
        <v>927</v>
      </c>
      <c r="M1007" s="132">
        <v>0</v>
      </c>
      <c r="N1007" s="132">
        <v>1.6131017875420502E+19</v>
      </c>
    </row>
    <row r="1008" spans="4:14" ht="15" customHeight="1" x14ac:dyDescent="0.2">
      <c r="D1008" s="130" t="b">
        <v>0</v>
      </c>
      <c r="E1008" s="124" t="s">
        <v>97</v>
      </c>
      <c r="F1008" s="125" t="s">
        <v>94</v>
      </c>
      <c r="G1008" s="125">
        <v>4</v>
      </c>
      <c r="H1008" s="123">
        <v>4</v>
      </c>
      <c r="I1008" s="123" t="s">
        <v>95</v>
      </c>
      <c r="J1008" s="123" t="s">
        <v>97</v>
      </c>
      <c r="K1008" s="123" t="s">
        <v>93</v>
      </c>
      <c r="L1008" s="132">
        <v>928</v>
      </c>
      <c r="M1008" s="132">
        <v>0</v>
      </c>
      <c r="N1008" s="132">
        <v>7.2323021867153377E+18</v>
      </c>
    </row>
    <row r="1009" spans="4:14" ht="15" customHeight="1" x14ac:dyDescent="0.2">
      <c r="D1009" s="130" t="b">
        <v>0</v>
      </c>
      <c r="E1009" s="124" t="s">
        <v>97</v>
      </c>
      <c r="F1009" s="125" t="s">
        <v>94</v>
      </c>
      <c r="G1009" s="125">
        <v>4</v>
      </c>
      <c r="H1009" s="123">
        <v>4</v>
      </c>
      <c r="I1009" s="123" t="s">
        <v>95</v>
      </c>
      <c r="J1009" s="123" t="s">
        <v>91</v>
      </c>
      <c r="K1009" s="123" t="s">
        <v>100</v>
      </c>
      <c r="L1009" s="132">
        <v>929</v>
      </c>
      <c r="M1009" s="132">
        <v>0</v>
      </c>
      <c r="N1009" s="132">
        <v>1.0121409750142011E+19</v>
      </c>
    </row>
    <row r="1010" spans="4:14" ht="15" customHeight="1" x14ac:dyDescent="0.2">
      <c r="D1010" s="130" t="b">
        <v>0</v>
      </c>
      <c r="E1010" s="124" t="s">
        <v>97</v>
      </c>
      <c r="F1010" s="125" t="s">
        <v>94</v>
      </c>
      <c r="G1010" s="125">
        <v>4</v>
      </c>
      <c r="H1010" s="123">
        <v>4</v>
      </c>
      <c r="I1010" s="123" t="s">
        <v>97</v>
      </c>
      <c r="J1010" s="123" t="s">
        <v>96</v>
      </c>
      <c r="K1010" s="123" t="s">
        <v>93</v>
      </c>
      <c r="L1010" s="132">
        <v>930</v>
      </c>
      <c r="M1010" s="132">
        <v>0</v>
      </c>
      <c r="N1010" s="132">
        <v>2.5426131814796503E+18</v>
      </c>
    </row>
    <row r="1011" spans="4:14" ht="15" customHeight="1" x14ac:dyDescent="0.2">
      <c r="D1011" s="130" t="b">
        <v>0</v>
      </c>
      <c r="E1011" s="124" t="s">
        <v>97</v>
      </c>
      <c r="F1011" s="125" t="s">
        <v>94</v>
      </c>
      <c r="G1011" s="125">
        <v>4</v>
      </c>
      <c r="H1011" s="123">
        <v>4</v>
      </c>
      <c r="I1011" s="123" t="s">
        <v>97</v>
      </c>
      <c r="J1011" s="123" t="s">
        <v>97</v>
      </c>
      <c r="K1011" s="123" t="s">
        <v>100</v>
      </c>
      <c r="L1011" s="132">
        <v>931</v>
      </c>
      <c r="M1011" s="132">
        <v>0</v>
      </c>
      <c r="N1011" s="132">
        <v>1.3149368829965908E+19</v>
      </c>
    </row>
    <row r="1012" spans="4:14" ht="15" customHeight="1" x14ac:dyDescent="0.2">
      <c r="D1012" s="130" t="b">
        <v>0</v>
      </c>
      <c r="E1012" s="124" t="s">
        <v>97</v>
      </c>
      <c r="F1012" s="125" t="s">
        <v>94</v>
      </c>
      <c r="G1012" s="125">
        <v>4</v>
      </c>
      <c r="H1012" s="123">
        <v>4</v>
      </c>
      <c r="I1012" s="123" t="s">
        <v>97</v>
      </c>
      <c r="J1012" s="123" t="s">
        <v>91</v>
      </c>
      <c r="K1012" s="123" t="s">
        <v>100</v>
      </c>
      <c r="L1012" s="132">
        <v>932</v>
      </c>
      <c r="M1012" s="132">
        <v>0</v>
      </c>
      <c r="N1012" s="132">
        <v>1.4345911718874221E+19</v>
      </c>
    </row>
    <row r="1013" spans="4:14" ht="15" customHeight="1" x14ac:dyDescent="0.2">
      <c r="D1013" s="130" t="b">
        <v>0</v>
      </c>
      <c r="E1013" s="124" t="s">
        <v>97</v>
      </c>
      <c r="F1013" s="125" t="s">
        <v>94</v>
      </c>
      <c r="G1013" s="125">
        <v>4</v>
      </c>
      <c r="H1013" s="123">
        <v>4</v>
      </c>
      <c r="I1013" s="123" t="s">
        <v>92</v>
      </c>
      <c r="J1013" s="123" t="s">
        <v>96</v>
      </c>
      <c r="K1013" s="123" t="s">
        <v>93</v>
      </c>
      <c r="L1013" s="132">
        <v>933</v>
      </c>
      <c r="M1013" s="132">
        <v>0</v>
      </c>
      <c r="N1013" s="132">
        <v>2.9646109826829184E+18</v>
      </c>
    </row>
    <row r="1014" spans="4:14" ht="15" customHeight="1" x14ac:dyDescent="0.2">
      <c r="D1014" s="130" t="b">
        <v>0</v>
      </c>
      <c r="E1014" s="124" t="s">
        <v>97</v>
      </c>
      <c r="F1014" s="125" t="s">
        <v>94</v>
      </c>
      <c r="G1014" s="125">
        <v>4</v>
      </c>
      <c r="H1014" s="123">
        <v>4</v>
      </c>
      <c r="I1014" s="123" t="s">
        <v>92</v>
      </c>
      <c r="J1014" s="123" t="s">
        <v>97</v>
      </c>
      <c r="K1014" s="123" t="s">
        <v>100</v>
      </c>
      <c r="L1014" s="132">
        <v>934</v>
      </c>
      <c r="M1014" s="132">
        <v>0</v>
      </c>
      <c r="N1014" s="132">
        <v>6.9486109683102177E+18</v>
      </c>
    </row>
    <row r="1015" spans="4:14" ht="15" customHeight="1" x14ac:dyDescent="0.2">
      <c r="D1015" s="130" t="b">
        <v>0</v>
      </c>
      <c r="E1015" s="124" t="s">
        <v>97</v>
      </c>
      <c r="F1015" s="125" t="s">
        <v>94</v>
      </c>
      <c r="G1015" s="125">
        <v>4</v>
      </c>
      <c r="H1015" s="123">
        <v>4</v>
      </c>
      <c r="I1015" s="123" t="s">
        <v>92</v>
      </c>
      <c r="J1015" s="123" t="s">
        <v>91</v>
      </c>
      <c r="K1015" s="123" t="s">
        <v>100</v>
      </c>
      <c r="L1015" s="132">
        <v>935</v>
      </c>
      <c r="M1015" s="132">
        <v>0</v>
      </c>
      <c r="N1015" s="132">
        <v>1.2652864073259903E+19</v>
      </c>
    </row>
    <row r="1016" spans="4:14" ht="15" customHeight="1" x14ac:dyDescent="0.2">
      <c r="D1016" s="130" t="b">
        <v>0</v>
      </c>
      <c r="E1016" s="124" t="s">
        <v>97</v>
      </c>
      <c r="F1016" s="125" t="s">
        <v>94</v>
      </c>
      <c r="G1016" s="125">
        <v>4</v>
      </c>
      <c r="H1016" s="123" t="s">
        <v>98</v>
      </c>
      <c r="I1016" s="123" t="s">
        <v>95</v>
      </c>
      <c r="J1016" s="123" t="s">
        <v>96</v>
      </c>
      <c r="K1016" s="123" t="s">
        <v>93</v>
      </c>
      <c r="L1016" s="132">
        <v>936</v>
      </c>
      <c r="M1016" s="132">
        <v>0</v>
      </c>
      <c r="N1016" s="132">
        <v>1.7956410902991976E+19</v>
      </c>
    </row>
    <row r="1017" spans="4:14" ht="15" customHeight="1" x14ac:dyDescent="0.2">
      <c r="D1017" s="130" t="b">
        <v>0</v>
      </c>
      <c r="E1017" s="124" t="s">
        <v>97</v>
      </c>
      <c r="F1017" s="125" t="s">
        <v>94</v>
      </c>
      <c r="G1017" s="125">
        <v>4</v>
      </c>
      <c r="H1017" s="123" t="s">
        <v>98</v>
      </c>
      <c r="I1017" s="123" t="s">
        <v>95</v>
      </c>
      <c r="J1017" s="123" t="s">
        <v>97</v>
      </c>
      <c r="K1017" s="123" t="s">
        <v>93</v>
      </c>
      <c r="L1017" s="132">
        <v>937</v>
      </c>
      <c r="M1017" s="132">
        <v>0</v>
      </c>
      <c r="N1017" s="132">
        <v>2.8874539455154959E+18</v>
      </c>
    </row>
    <row r="1018" spans="4:14" ht="15" customHeight="1" x14ac:dyDescent="0.2">
      <c r="D1018" s="130" t="b">
        <v>0</v>
      </c>
      <c r="E1018" s="124" t="s">
        <v>97</v>
      </c>
      <c r="F1018" s="125" t="s">
        <v>94</v>
      </c>
      <c r="G1018" s="125">
        <v>4</v>
      </c>
      <c r="H1018" s="123" t="s">
        <v>98</v>
      </c>
      <c r="I1018" s="123" t="s">
        <v>95</v>
      </c>
      <c r="J1018" s="123" t="s">
        <v>91</v>
      </c>
      <c r="K1018" s="123" t="s">
        <v>100</v>
      </c>
      <c r="L1018" s="132">
        <v>938</v>
      </c>
      <c r="M1018" s="132">
        <v>0</v>
      </c>
      <c r="N1018" s="132">
        <v>6.0636208212542771E+18</v>
      </c>
    </row>
    <row r="1019" spans="4:14" ht="15" customHeight="1" x14ac:dyDescent="0.2">
      <c r="D1019" s="130" t="b">
        <v>0</v>
      </c>
      <c r="E1019" s="124" t="s">
        <v>97</v>
      </c>
      <c r="F1019" s="125" t="s">
        <v>94</v>
      </c>
      <c r="G1019" s="125">
        <v>4</v>
      </c>
      <c r="H1019" s="123" t="s">
        <v>98</v>
      </c>
      <c r="I1019" s="123" t="s">
        <v>97</v>
      </c>
      <c r="J1019" s="123" t="s">
        <v>96</v>
      </c>
      <c r="K1019" s="123" t="s">
        <v>93</v>
      </c>
      <c r="L1019" s="132">
        <v>939</v>
      </c>
      <c r="M1019" s="132">
        <v>0</v>
      </c>
      <c r="N1019" s="132">
        <v>2.8070968195078431E+18</v>
      </c>
    </row>
    <row r="1020" spans="4:14" ht="15" customHeight="1" x14ac:dyDescent="0.2">
      <c r="D1020" s="130" t="b">
        <v>0</v>
      </c>
      <c r="E1020" s="124" t="s">
        <v>97</v>
      </c>
      <c r="F1020" s="125" t="s">
        <v>94</v>
      </c>
      <c r="G1020" s="125">
        <v>4</v>
      </c>
      <c r="H1020" s="123" t="s">
        <v>98</v>
      </c>
      <c r="I1020" s="123" t="s">
        <v>97</v>
      </c>
      <c r="J1020" s="123" t="s">
        <v>97</v>
      </c>
      <c r="K1020" s="123" t="s">
        <v>100</v>
      </c>
      <c r="L1020" s="132">
        <v>940</v>
      </c>
      <c r="M1020" s="132">
        <v>0</v>
      </c>
      <c r="N1020" s="132">
        <v>1.122859338961492E+18</v>
      </c>
    </row>
    <row r="1021" spans="4:14" ht="15" customHeight="1" x14ac:dyDescent="0.2">
      <c r="D1021" s="130" t="b">
        <v>0</v>
      </c>
      <c r="E1021" s="124" t="s">
        <v>97</v>
      </c>
      <c r="F1021" s="125" t="s">
        <v>94</v>
      </c>
      <c r="G1021" s="125">
        <v>4</v>
      </c>
      <c r="H1021" s="123" t="s">
        <v>98</v>
      </c>
      <c r="I1021" s="123" t="s">
        <v>97</v>
      </c>
      <c r="J1021" s="123" t="s">
        <v>91</v>
      </c>
      <c r="K1021" s="123" t="s">
        <v>100</v>
      </c>
      <c r="L1021" s="132">
        <v>941</v>
      </c>
      <c r="M1021" s="132">
        <v>0</v>
      </c>
      <c r="N1021" s="132">
        <v>7.7017672061496525E+18</v>
      </c>
    </row>
    <row r="1022" spans="4:14" ht="15" customHeight="1" x14ac:dyDescent="0.2">
      <c r="D1022" s="130" t="b">
        <v>0</v>
      </c>
      <c r="E1022" s="124" t="s">
        <v>97</v>
      </c>
      <c r="F1022" s="125" t="s">
        <v>94</v>
      </c>
      <c r="G1022" s="125">
        <v>4</v>
      </c>
      <c r="H1022" s="123" t="s">
        <v>98</v>
      </c>
      <c r="I1022" s="123" t="s">
        <v>92</v>
      </c>
      <c r="J1022" s="123" t="s">
        <v>96</v>
      </c>
      <c r="K1022" s="123" t="s">
        <v>93</v>
      </c>
      <c r="L1022" s="132">
        <v>942</v>
      </c>
      <c r="M1022" s="132">
        <v>0</v>
      </c>
      <c r="N1022" s="132">
        <v>9.1158815867174738E+18</v>
      </c>
    </row>
    <row r="1023" spans="4:14" ht="15" customHeight="1" x14ac:dyDescent="0.2">
      <c r="D1023" s="130" t="b">
        <v>0</v>
      </c>
      <c r="E1023" s="124" t="s">
        <v>97</v>
      </c>
      <c r="F1023" s="125" t="s">
        <v>94</v>
      </c>
      <c r="G1023" s="125">
        <v>4</v>
      </c>
      <c r="H1023" s="123" t="s">
        <v>98</v>
      </c>
      <c r="I1023" s="123" t="s">
        <v>92</v>
      </c>
      <c r="J1023" s="123" t="s">
        <v>97</v>
      </c>
      <c r="K1023" s="123" t="s">
        <v>100</v>
      </c>
      <c r="L1023" s="132">
        <v>943</v>
      </c>
      <c r="M1023" s="132">
        <v>0</v>
      </c>
      <c r="N1023" s="132">
        <v>1.3371020726762275E+19</v>
      </c>
    </row>
    <row r="1024" spans="4:14" ht="15" customHeight="1" x14ac:dyDescent="0.2">
      <c r="D1024" s="130" t="b">
        <v>0</v>
      </c>
      <c r="E1024" s="124" t="s">
        <v>97</v>
      </c>
      <c r="F1024" s="125" t="s">
        <v>94</v>
      </c>
      <c r="G1024" s="125">
        <v>4</v>
      </c>
      <c r="H1024" s="123" t="s">
        <v>98</v>
      </c>
      <c r="I1024" s="123" t="s">
        <v>92</v>
      </c>
      <c r="J1024" s="123" t="s">
        <v>91</v>
      </c>
      <c r="K1024" s="123" t="s">
        <v>100</v>
      </c>
      <c r="L1024" s="132">
        <v>944</v>
      </c>
      <c r="M1024" s="132">
        <v>0</v>
      </c>
      <c r="N1024" s="132">
        <v>8.1738971945369293E+18</v>
      </c>
    </row>
    <row r="1025" spans="4:14" ht="15" customHeight="1" x14ac:dyDescent="0.2">
      <c r="D1025" s="130" t="b">
        <v>0</v>
      </c>
      <c r="E1025" s="124" t="s">
        <v>97</v>
      </c>
      <c r="F1025" s="125" t="s">
        <v>94</v>
      </c>
      <c r="G1025" s="125" t="s">
        <v>99</v>
      </c>
      <c r="H1025" s="123">
        <v>2</v>
      </c>
      <c r="I1025" s="123" t="s">
        <v>95</v>
      </c>
      <c r="J1025" s="123" t="s">
        <v>96</v>
      </c>
      <c r="K1025" s="123" t="s">
        <v>93</v>
      </c>
      <c r="L1025" s="132">
        <v>945</v>
      </c>
      <c r="M1025" s="132">
        <v>0</v>
      </c>
      <c r="N1025" s="132">
        <v>1.483884468040157E+19</v>
      </c>
    </row>
    <row r="1026" spans="4:14" ht="15" customHeight="1" x14ac:dyDescent="0.2">
      <c r="D1026" s="130" t="b">
        <v>0</v>
      </c>
      <c r="E1026" s="124" t="s">
        <v>97</v>
      </c>
      <c r="F1026" s="125" t="s">
        <v>94</v>
      </c>
      <c r="G1026" s="125" t="s">
        <v>99</v>
      </c>
      <c r="H1026" s="123">
        <v>2</v>
      </c>
      <c r="I1026" s="123" t="s">
        <v>95</v>
      </c>
      <c r="J1026" s="123" t="s">
        <v>97</v>
      </c>
      <c r="K1026" s="123" t="s">
        <v>93</v>
      </c>
      <c r="L1026" s="132">
        <v>946</v>
      </c>
      <c r="M1026" s="132">
        <v>0</v>
      </c>
      <c r="N1026" s="132">
        <v>2.1213290491781798E+18</v>
      </c>
    </row>
    <row r="1027" spans="4:14" ht="15" customHeight="1" x14ac:dyDescent="0.2">
      <c r="D1027" s="130" t="b">
        <v>0</v>
      </c>
      <c r="E1027" s="124" t="s">
        <v>97</v>
      </c>
      <c r="F1027" s="125" t="s">
        <v>94</v>
      </c>
      <c r="G1027" s="125" t="s">
        <v>99</v>
      </c>
      <c r="H1027" s="123">
        <v>2</v>
      </c>
      <c r="I1027" s="123" t="s">
        <v>95</v>
      </c>
      <c r="J1027" s="123" t="s">
        <v>91</v>
      </c>
      <c r="K1027" s="123" t="s">
        <v>93</v>
      </c>
      <c r="L1027" s="132">
        <v>947</v>
      </c>
      <c r="M1027" s="132">
        <v>0</v>
      </c>
      <c r="N1027" s="132">
        <v>1.7134001436799412E+19</v>
      </c>
    </row>
    <row r="1028" spans="4:14" ht="15" customHeight="1" x14ac:dyDescent="0.2">
      <c r="D1028" s="130" t="b">
        <v>0</v>
      </c>
      <c r="E1028" s="124" t="s">
        <v>97</v>
      </c>
      <c r="F1028" s="125" t="s">
        <v>94</v>
      </c>
      <c r="G1028" s="125" t="s">
        <v>99</v>
      </c>
      <c r="H1028" s="123">
        <v>2</v>
      </c>
      <c r="I1028" s="123" t="s">
        <v>97</v>
      </c>
      <c r="J1028" s="123" t="s">
        <v>96</v>
      </c>
      <c r="K1028" s="123" t="s">
        <v>93</v>
      </c>
      <c r="L1028" s="132">
        <v>948</v>
      </c>
      <c r="M1028" s="132">
        <v>0</v>
      </c>
      <c r="N1028" s="132">
        <v>9.4425054805920584E+18</v>
      </c>
    </row>
    <row r="1029" spans="4:14" ht="15" customHeight="1" x14ac:dyDescent="0.2">
      <c r="D1029" s="130" t="b">
        <v>0</v>
      </c>
      <c r="E1029" s="124" t="s">
        <v>97</v>
      </c>
      <c r="F1029" s="125" t="s">
        <v>94</v>
      </c>
      <c r="G1029" s="125" t="s">
        <v>99</v>
      </c>
      <c r="H1029" s="123">
        <v>2</v>
      </c>
      <c r="I1029" s="123" t="s">
        <v>97</v>
      </c>
      <c r="J1029" s="123" t="s">
        <v>97</v>
      </c>
      <c r="K1029" s="123" t="s">
        <v>93</v>
      </c>
      <c r="L1029" s="132">
        <v>949</v>
      </c>
      <c r="M1029" s="132">
        <v>0</v>
      </c>
      <c r="N1029" s="132">
        <v>2.6871180458828713E+18</v>
      </c>
    </row>
    <row r="1030" spans="4:14" ht="15" customHeight="1" x14ac:dyDescent="0.2">
      <c r="D1030" s="130" t="b">
        <v>0</v>
      </c>
      <c r="E1030" s="124" t="s">
        <v>97</v>
      </c>
      <c r="F1030" s="125" t="s">
        <v>94</v>
      </c>
      <c r="G1030" s="125" t="s">
        <v>99</v>
      </c>
      <c r="H1030" s="123">
        <v>2</v>
      </c>
      <c r="I1030" s="123" t="s">
        <v>97</v>
      </c>
      <c r="J1030" s="123" t="s">
        <v>91</v>
      </c>
      <c r="K1030" s="123" t="s">
        <v>93</v>
      </c>
      <c r="L1030" s="132">
        <v>950</v>
      </c>
      <c r="M1030" s="132">
        <v>0</v>
      </c>
      <c r="N1030" s="132">
        <v>5.0724807042025032E+18</v>
      </c>
    </row>
    <row r="1031" spans="4:14" ht="15" customHeight="1" x14ac:dyDescent="0.2">
      <c r="D1031" s="130" t="b">
        <v>0</v>
      </c>
      <c r="E1031" s="124" t="s">
        <v>97</v>
      </c>
      <c r="F1031" s="125" t="s">
        <v>94</v>
      </c>
      <c r="G1031" s="125" t="s">
        <v>99</v>
      </c>
      <c r="H1031" s="123">
        <v>2</v>
      </c>
      <c r="I1031" s="123" t="s">
        <v>92</v>
      </c>
      <c r="J1031" s="123" t="s">
        <v>96</v>
      </c>
      <c r="K1031" s="123" t="s">
        <v>93</v>
      </c>
      <c r="L1031" s="132">
        <v>951</v>
      </c>
      <c r="M1031" s="132">
        <v>0</v>
      </c>
      <c r="N1031" s="132">
        <v>4.3938487463691756E+18</v>
      </c>
    </row>
    <row r="1032" spans="4:14" ht="15" customHeight="1" x14ac:dyDescent="0.2">
      <c r="D1032" s="130" t="b">
        <v>0</v>
      </c>
      <c r="E1032" s="124" t="s">
        <v>97</v>
      </c>
      <c r="F1032" s="125" t="s">
        <v>94</v>
      </c>
      <c r="G1032" s="125" t="s">
        <v>99</v>
      </c>
      <c r="H1032" s="123">
        <v>2</v>
      </c>
      <c r="I1032" s="123" t="s">
        <v>92</v>
      </c>
      <c r="J1032" s="123" t="s">
        <v>97</v>
      </c>
      <c r="K1032" s="123" t="s">
        <v>93</v>
      </c>
      <c r="L1032" s="132">
        <v>952</v>
      </c>
      <c r="M1032" s="132">
        <v>0</v>
      </c>
      <c r="N1032" s="132">
        <v>6.5057766567528868E+18</v>
      </c>
    </row>
    <row r="1033" spans="4:14" ht="15" customHeight="1" x14ac:dyDescent="0.2">
      <c r="D1033" s="130" t="b">
        <v>0</v>
      </c>
      <c r="E1033" s="124" t="s">
        <v>97</v>
      </c>
      <c r="F1033" s="125" t="s">
        <v>94</v>
      </c>
      <c r="G1033" s="125" t="s">
        <v>99</v>
      </c>
      <c r="H1033" s="123">
        <v>2</v>
      </c>
      <c r="I1033" s="123" t="s">
        <v>92</v>
      </c>
      <c r="J1033" s="123" t="s">
        <v>91</v>
      </c>
      <c r="K1033" s="123" t="s">
        <v>93</v>
      </c>
      <c r="L1033" s="132">
        <v>953</v>
      </c>
      <c r="M1033" s="132">
        <v>0</v>
      </c>
      <c r="N1033" s="132">
        <v>1.8811442648599593E+18</v>
      </c>
    </row>
    <row r="1034" spans="4:14" ht="15" customHeight="1" x14ac:dyDescent="0.2">
      <c r="D1034" s="130" t="b">
        <v>0</v>
      </c>
      <c r="E1034" s="124" t="s">
        <v>97</v>
      </c>
      <c r="F1034" s="125" t="s">
        <v>94</v>
      </c>
      <c r="G1034" s="125" t="s">
        <v>99</v>
      </c>
      <c r="H1034" s="123">
        <v>4</v>
      </c>
      <c r="I1034" s="123" t="s">
        <v>95</v>
      </c>
      <c r="J1034" s="123" t="s">
        <v>96</v>
      </c>
      <c r="K1034" s="123" t="s">
        <v>93</v>
      </c>
      <c r="L1034" s="132">
        <v>954</v>
      </c>
      <c r="M1034" s="132">
        <v>0</v>
      </c>
      <c r="N1034" s="132">
        <v>5.373461840749227E+18</v>
      </c>
    </row>
    <row r="1035" spans="4:14" ht="15" customHeight="1" x14ac:dyDescent="0.2">
      <c r="D1035" s="130" t="b">
        <v>0</v>
      </c>
      <c r="E1035" s="124" t="s">
        <v>97</v>
      </c>
      <c r="F1035" s="125" t="s">
        <v>94</v>
      </c>
      <c r="G1035" s="125" t="s">
        <v>99</v>
      </c>
      <c r="H1035" s="123">
        <v>4</v>
      </c>
      <c r="I1035" s="123" t="s">
        <v>95</v>
      </c>
      <c r="J1035" s="123" t="s">
        <v>97</v>
      </c>
      <c r="K1035" s="123" t="s">
        <v>93</v>
      </c>
      <c r="L1035" s="132">
        <v>955</v>
      </c>
      <c r="M1035" s="132">
        <v>0</v>
      </c>
      <c r="N1035" s="132">
        <v>7.1576952234914355E+18</v>
      </c>
    </row>
    <row r="1036" spans="4:14" ht="15" customHeight="1" x14ac:dyDescent="0.2">
      <c r="D1036" s="130" t="b">
        <v>0</v>
      </c>
      <c r="E1036" s="124" t="s">
        <v>97</v>
      </c>
      <c r="F1036" s="125" t="s">
        <v>94</v>
      </c>
      <c r="G1036" s="125" t="s">
        <v>99</v>
      </c>
      <c r="H1036" s="123">
        <v>4</v>
      </c>
      <c r="I1036" s="123" t="s">
        <v>95</v>
      </c>
      <c r="J1036" s="123" t="s">
        <v>91</v>
      </c>
      <c r="K1036" s="123" t="s">
        <v>100</v>
      </c>
      <c r="L1036" s="132">
        <v>956</v>
      </c>
      <c r="M1036" s="132">
        <v>0</v>
      </c>
      <c r="N1036" s="132">
        <v>6.7957566899921838E+18</v>
      </c>
    </row>
    <row r="1037" spans="4:14" ht="15" customHeight="1" x14ac:dyDescent="0.2">
      <c r="D1037" s="130" t="b">
        <v>0</v>
      </c>
      <c r="E1037" s="124" t="s">
        <v>97</v>
      </c>
      <c r="F1037" s="125" t="s">
        <v>94</v>
      </c>
      <c r="G1037" s="125" t="s">
        <v>99</v>
      </c>
      <c r="H1037" s="123">
        <v>4</v>
      </c>
      <c r="I1037" s="123" t="s">
        <v>97</v>
      </c>
      <c r="J1037" s="123" t="s">
        <v>96</v>
      </c>
      <c r="K1037" s="123" t="s">
        <v>93</v>
      </c>
      <c r="L1037" s="132">
        <v>957</v>
      </c>
      <c r="M1037" s="132">
        <v>0</v>
      </c>
      <c r="N1037" s="132">
        <v>1.1522811165203614E+19</v>
      </c>
    </row>
    <row r="1038" spans="4:14" ht="15" customHeight="1" x14ac:dyDescent="0.2">
      <c r="D1038" s="130" t="b">
        <v>0</v>
      </c>
      <c r="E1038" s="124" t="s">
        <v>97</v>
      </c>
      <c r="F1038" s="125" t="s">
        <v>94</v>
      </c>
      <c r="G1038" s="125" t="s">
        <v>99</v>
      </c>
      <c r="H1038" s="123">
        <v>4</v>
      </c>
      <c r="I1038" s="123" t="s">
        <v>97</v>
      </c>
      <c r="J1038" s="123" t="s">
        <v>97</v>
      </c>
      <c r="K1038" s="123" t="s">
        <v>100</v>
      </c>
      <c r="L1038" s="132">
        <v>958</v>
      </c>
      <c r="M1038" s="132">
        <v>0</v>
      </c>
      <c r="N1038" s="132">
        <v>7.9199220699344415E+18</v>
      </c>
    </row>
    <row r="1039" spans="4:14" ht="15" customHeight="1" x14ac:dyDescent="0.2">
      <c r="D1039" s="130" t="b">
        <v>0</v>
      </c>
      <c r="E1039" s="124" t="s">
        <v>97</v>
      </c>
      <c r="F1039" s="125" t="s">
        <v>94</v>
      </c>
      <c r="G1039" s="125" t="s">
        <v>99</v>
      </c>
      <c r="H1039" s="123">
        <v>4</v>
      </c>
      <c r="I1039" s="123" t="s">
        <v>97</v>
      </c>
      <c r="J1039" s="123" t="s">
        <v>91</v>
      </c>
      <c r="K1039" s="123" t="s">
        <v>100</v>
      </c>
      <c r="L1039" s="132">
        <v>959</v>
      </c>
      <c r="M1039" s="132">
        <v>0</v>
      </c>
      <c r="N1039" s="132">
        <v>1.9425516559460337E+18</v>
      </c>
    </row>
    <row r="1040" spans="4:14" ht="15" customHeight="1" x14ac:dyDescent="0.2">
      <c r="D1040" s="130" t="b">
        <v>0</v>
      </c>
      <c r="E1040" s="124" t="s">
        <v>97</v>
      </c>
      <c r="F1040" s="125" t="s">
        <v>94</v>
      </c>
      <c r="G1040" s="125" t="s">
        <v>99</v>
      </c>
      <c r="H1040" s="123">
        <v>4</v>
      </c>
      <c r="I1040" s="123" t="s">
        <v>92</v>
      </c>
      <c r="J1040" s="123" t="s">
        <v>96</v>
      </c>
      <c r="K1040" s="123" t="s">
        <v>93</v>
      </c>
      <c r="L1040" s="132">
        <v>960</v>
      </c>
      <c r="M1040" s="132">
        <v>0</v>
      </c>
      <c r="N1040" s="132">
        <v>1.5310544463757744E+19</v>
      </c>
    </row>
    <row r="1041" spans="4:14" ht="15" customHeight="1" x14ac:dyDescent="0.2">
      <c r="D1041" s="130" t="b">
        <v>0</v>
      </c>
      <c r="E1041" s="124" t="s">
        <v>97</v>
      </c>
      <c r="F1041" s="125" t="s">
        <v>94</v>
      </c>
      <c r="G1041" s="125" t="s">
        <v>99</v>
      </c>
      <c r="H1041" s="123">
        <v>4</v>
      </c>
      <c r="I1041" s="123" t="s">
        <v>92</v>
      </c>
      <c r="J1041" s="123" t="s">
        <v>97</v>
      </c>
      <c r="K1041" s="123" t="s">
        <v>100</v>
      </c>
      <c r="L1041" s="132">
        <v>961</v>
      </c>
      <c r="M1041" s="132">
        <v>0</v>
      </c>
      <c r="N1041" s="132">
        <v>4.0920890890682619E+18</v>
      </c>
    </row>
    <row r="1042" spans="4:14" ht="15" customHeight="1" x14ac:dyDescent="0.2">
      <c r="D1042" s="130" t="b">
        <v>0</v>
      </c>
      <c r="E1042" s="124" t="s">
        <v>97</v>
      </c>
      <c r="F1042" s="125" t="s">
        <v>94</v>
      </c>
      <c r="G1042" s="125" t="s">
        <v>99</v>
      </c>
      <c r="H1042" s="123">
        <v>4</v>
      </c>
      <c r="I1042" s="123" t="s">
        <v>92</v>
      </c>
      <c r="J1042" s="123" t="s">
        <v>91</v>
      </c>
      <c r="K1042" s="123" t="s">
        <v>100</v>
      </c>
      <c r="L1042" s="132">
        <v>962</v>
      </c>
      <c r="M1042" s="132">
        <v>0</v>
      </c>
      <c r="N1042" s="132">
        <v>7.0821539499843418E+17</v>
      </c>
    </row>
    <row r="1043" spans="4:14" ht="15" customHeight="1" x14ac:dyDescent="0.2">
      <c r="D1043" s="130" t="b">
        <v>0</v>
      </c>
      <c r="E1043" s="124" t="s">
        <v>97</v>
      </c>
      <c r="F1043" s="125" t="s">
        <v>94</v>
      </c>
      <c r="G1043" s="125" t="s">
        <v>99</v>
      </c>
      <c r="H1043" s="123" t="s">
        <v>98</v>
      </c>
      <c r="I1043" s="123" t="s">
        <v>95</v>
      </c>
      <c r="J1043" s="123" t="s">
        <v>96</v>
      </c>
      <c r="K1043" s="123" t="s">
        <v>93</v>
      </c>
      <c r="L1043" s="132">
        <v>963</v>
      </c>
      <c r="M1043" s="132">
        <v>0</v>
      </c>
      <c r="N1043" s="132">
        <v>4.1942221342054313E+18</v>
      </c>
    </row>
    <row r="1044" spans="4:14" ht="15" customHeight="1" x14ac:dyDescent="0.2">
      <c r="D1044" s="130" t="b">
        <v>0</v>
      </c>
      <c r="E1044" s="124" t="s">
        <v>97</v>
      </c>
      <c r="F1044" s="125" t="s">
        <v>94</v>
      </c>
      <c r="G1044" s="125" t="s">
        <v>99</v>
      </c>
      <c r="H1044" s="123" t="s">
        <v>98</v>
      </c>
      <c r="I1044" s="123" t="s">
        <v>95</v>
      </c>
      <c r="J1044" s="123" t="s">
        <v>97</v>
      </c>
      <c r="K1044" s="123" t="s">
        <v>93</v>
      </c>
      <c r="L1044" s="132">
        <v>964</v>
      </c>
      <c r="M1044" s="132">
        <v>0</v>
      </c>
      <c r="N1044" s="132">
        <v>9.2703294447672013E+18</v>
      </c>
    </row>
    <row r="1045" spans="4:14" ht="15" customHeight="1" x14ac:dyDescent="0.2">
      <c r="D1045" s="130" t="b">
        <v>0</v>
      </c>
      <c r="E1045" s="124" t="s">
        <v>97</v>
      </c>
      <c r="F1045" s="125" t="s">
        <v>94</v>
      </c>
      <c r="G1045" s="125" t="s">
        <v>99</v>
      </c>
      <c r="H1045" s="123" t="s">
        <v>98</v>
      </c>
      <c r="I1045" s="123" t="s">
        <v>95</v>
      </c>
      <c r="J1045" s="123" t="s">
        <v>91</v>
      </c>
      <c r="K1045" s="123" t="s">
        <v>100</v>
      </c>
      <c r="L1045" s="132">
        <v>965</v>
      </c>
      <c r="M1045" s="132">
        <v>0</v>
      </c>
      <c r="N1045" s="132">
        <v>7.9414366012236913E+18</v>
      </c>
    </row>
    <row r="1046" spans="4:14" ht="15" customHeight="1" x14ac:dyDescent="0.2">
      <c r="D1046" s="130" t="b">
        <v>0</v>
      </c>
      <c r="E1046" s="124" t="s">
        <v>97</v>
      </c>
      <c r="F1046" s="125" t="s">
        <v>94</v>
      </c>
      <c r="G1046" s="125" t="s">
        <v>99</v>
      </c>
      <c r="H1046" s="123" t="s">
        <v>98</v>
      </c>
      <c r="I1046" s="123" t="s">
        <v>97</v>
      </c>
      <c r="J1046" s="123" t="s">
        <v>96</v>
      </c>
      <c r="K1046" s="123" t="s">
        <v>93</v>
      </c>
      <c r="L1046" s="132">
        <v>966</v>
      </c>
      <c r="M1046" s="132">
        <v>0</v>
      </c>
      <c r="N1046" s="132">
        <v>9.4658123376401203E+18</v>
      </c>
    </row>
    <row r="1047" spans="4:14" ht="15" customHeight="1" x14ac:dyDescent="0.2">
      <c r="D1047" s="130" t="b">
        <v>0</v>
      </c>
      <c r="E1047" s="124" t="s">
        <v>97</v>
      </c>
      <c r="F1047" s="125" t="s">
        <v>94</v>
      </c>
      <c r="G1047" s="125" t="s">
        <v>99</v>
      </c>
      <c r="H1047" s="123" t="s">
        <v>98</v>
      </c>
      <c r="I1047" s="123" t="s">
        <v>97</v>
      </c>
      <c r="J1047" s="123" t="s">
        <v>97</v>
      </c>
      <c r="K1047" s="123" t="s">
        <v>100</v>
      </c>
      <c r="L1047" s="132">
        <v>967</v>
      </c>
      <c r="M1047" s="132">
        <v>0</v>
      </c>
      <c r="N1047" s="132">
        <v>3.5161318133862712E+18</v>
      </c>
    </row>
    <row r="1048" spans="4:14" ht="15" customHeight="1" x14ac:dyDescent="0.2">
      <c r="D1048" s="130" t="b">
        <v>0</v>
      </c>
      <c r="E1048" s="124" t="s">
        <v>97</v>
      </c>
      <c r="F1048" s="125" t="s">
        <v>94</v>
      </c>
      <c r="G1048" s="125" t="s">
        <v>99</v>
      </c>
      <c r="H1048" s="123" t="s">
        <v>98</v>
      </c>
      <c r="I1048" s="123" t="s">
        <v>97</v>
      </c>
      <c r="J1048" s="123" t="s">
        <v>91</v>
      </c>
      <c r="K1048" s="123" t="s">
        <v>100</v>
      </c>
      <c r="L1048" s="132">
        <v>968</v>
      </c>
      <c r="M1048" s="132">
        <v>0</v>
      </c>
      <c r="N1048" s="132">
        <v>1.1592915915632777E+19</v>
      </c>
    </row>
    <row r="1049" spans="4:14" ht="15" customHeight="1" x14ac:dyDescent="0.2">
      <c r="D1049" s="130" t="b">
        <v>0</v>
      </c>
      <c r="E1049" s="124" t="s">
        <v>97</v>
      </c>
      <c r="F1049" s="125" t="s">
        <v>94</v>
      </c>
      <c r="G1049" s="125" t="s">
        <v>99</v>
      </c>
      <c r="H1049" s="123" t="s">
        <v>98</v>
      </c>
      <c r="I1049" s="123" t="s">
        <v>92</v>
      </c>
      <c r="J1049" s="123" t="s">
        <v>96</v>
      </c>
      <c r="K1049" s="123" t="s">
        <v>93</v>
      </c>
      <c r="L1049" s="132">
        <v>969</v>
      </c>
      <c r="M1049" s="132">
        <v>0</v>
      </c>
      <c r="N1049" s="132">
        <v>6.4550030771619052E+18</v>
      </c>
    </row>
    <row r="1050" spans="4:14" ht="15" customHeight="1" x14ac:dyDescent="0.2">
      <c r="D1050" s="130" t="b">
        <v>0</v>
      </c>
      <c r="E1050" s="124" t="s">
        <v>97</v>
      </c>
      <c r="F1050" s="125" t="s">
        <v>94</v>
      </c>
      <c r="G1050" s="125" t="s">
        <v>99</v>
      </c>
      <c r="H1050" s="123" t="s">
        <v>98</v>
      </c>
      <c r="I1050" s="123" t="s">
        <v>92</v>
      </c>
      <c r="J1050" s="123" t="s">
        <v>97</v>
      </c>
      <c r="K1050" s="123" t="s">
        <v>100</v>
      </c>
      <c r="L1050" s="132">
        <v>970</v>
      </c>
      <c r="M1050" s="132">
        <v>0</v>
      </c>
      <c r="N1050" s="132">
        <v>2.9036078526451599E+18</v>
      </c>
    </row>
    <row r="1051" spans="4:14" ht="15" customHeight="1" x14ac:dyDescent="0.2">
      <c r="D1051" s="130" t="b">
        <v>0</v>
      </c>
      <c r="E1051" s="124" t="s">
        <v>97</v>
      </c>
      <c r="F1051" s="125" t="s">
        <v>94</v>
      </c>
      <c r="G1051" s="125" t="s">
        <v>99</v>
      </c>
      <c r="H1051" s="123" t="s">
        <v>98</v>
      </c>
      <c r="I1051" s="123" t="s">
        <v>92</v>
      </c>
      <c r="J1051" s="123" t="s">
        <v>91</v>
      </c>
      <c r="K1051" s="123" t="s">
        <v>100</v>
      </c>
      <c r="L1051" s="132">
        <v>971</v>
      </c>
      <c r="M1051" s="132">
        <v>0</v>
      </c>
      <c r="N1051" s="132">
        <v>8.1310457876854753E+18</v>
      </c>
    </row>
    <row r="1052" spans="4:14" ht="15" customHeight="1" x14ac:dyDescent="0.2">
      <c r="D1052" s="130" t="b">
        <v>0</v>
      </c>
      <c r="E1052" s="124" t="s">
        <v>97</v>
      </c>
      <c r="F1052" s="125" t="s">
        <v>91</v>
      </c>
      <c r="G1052" s="125">
        <v>2</v>
      </c>
      <c r="H1052" s="123">
        <v>2</v>
      </c>
      <c r="I1052" s="123" t="s">
        <v>95</v>
      </c>
      <c r="J1052" s="123" t="s">
        <v>96</v>
      </c>
      <c r="K1052" s="123" t="s">
        <v>93</v>
      </c>
      <c r="L1052" s="132">
        <v>972</v>
      </c>
      <c r="M1052" s="132">
        <v>0</v>
      </c>
      <c r="N1052" s="132">
        <v>1.3148118984482185E+19</v>
      </c>
    </row>
    <row r="1053" spans="4:14" ht="15" customHeight="1" x14ac:dyDescent="0.2">
      <c r="D1053" s="130" t="b">
        <v>0</v>
      </c>
      <c r="E1053" s="124" t="s">
        <v>97</v>
      </c>
      <c r="F1053" s="125" t="s">
        <v>91</v>
      </c>
      <c r="G1053" s="125">
        <v>2</v>
      </c>
      <c r="H1053" s="123">
        <v>2</v>
      </c>
      <c r="I1053" s="123" t="s">
        <v>95</v>
      </c>
      <c r="J1053" s="123" t="s">
        <v>97</v>
      </c>
      <c r="K1053" s="123" t="s">
        <v>93</v>
      </c>
      <c r="L1053" s="132">
        <v>973</v>
      </c>
      <c r="M1053" s="132">
        <v>0</v>
      </c>
      <c r="N1053" s="132">
        <v>6.4055051217854392E+18</v>
      </c>
    </row>
    <row r="1054" spans="4:14" ht="15" customHeight="1" x14ac:dyDescent="0.2">
      <c r="D1054" s="130" t="b">
        <v>0</v>
      </c>
      <c r="E1054" s="124" t="s">
        <v>97</v>
      </c>
      <c r="F1054" s="125" t="s">
        <v>91</v>
      </c>
      <c r="G1054" s="125">
        <v>2</v>
      </c>
      <c r="H1054" s="123">
        <v>2</v>
      </c>
      <c r="I1054" s="123" t="s">
        <v>95</v>
      </c>
      <c r="J1054" s="123" t="s">
        <v>91</v>
      </c>
      <c r="K1054" s="123" t="s">
        <v>93</v>
      </c>
      <c r="L1054" s="132">
        <v>974</v>
      </c>
      <c r="M1054" s="132">
        <v>0</v>
      </c>
      <c r="N1054" s="132">
        <v>1.5786920748850057E+19</v>
      </c>
    </row>
    <row r="1055" spans="4:14" ht="15" customHeight="1" x14ac:dyDescent="0.2">
      <c r="D1055" s="130" t="b">
        <v>0</v>
      </c>
      <c r="E1055" s="124" t="s">
        <v>97</v>
      </c>
      <c r="F1055" s="125" t="s">
        <v>91</v>
      </c>
      <c r="G1055" s="125">
        <v>2</v>
      </c>
      <c r="H1055" s="123">
        <v>2</v>
      </c>
      <c r="I1055" s="123" t="s">
        <v>97</v>
      </c>
      <c r="J1055" s="123" t="s">
        <v>96</v>
      </c>
      <c r="K1055" s="123" t="s">
        <v>93</v>
      </c>
      <c r="L1055" s="132">
        <v>975</v>
      </c>
      <c r="M1055" s="132">
        <v>0</v>
      </c>
      <c r="N1055" s="132">
        <v>2.7116658679440045E+17</v>
      </c>
    </row>
    <row r="1056" spans="4:14" ht="15" customHeight="1" x14ac:dyDescent="0.2">
      <c r="D1056" s="130" t="b">
        <v>0</v>
      </c>
      <c r="E1056" s="124" t="s">
        <v>97</v>
      </c>
      <c r="F1056" s="125" t="s">
        <v>91</v>
      </c>
      <c r="G1056" s="125">
        <v>2</v>
      </c>
      <c r="H1056" s="123">
        <v>2</v>
      </c>
      <c r="I1056" s="123" t="s">
        <v>97</v>
      </c>
      <c r="J1056" s="123" t="s">
        <v>97</v>
      </c>
      <c r="K1056" s="123" t="s">
        <v>93</v>
      </c>
      <c r="L1056" s="132">
        <v>976</v>
      </c>
      <c r="M1056" s="132">
        <v>0</v>
      </c>
      <c r="N1056" s="132">
        <v>6.0194770609438989E+17</v>
      </c>
    </row>
    <row r="1057" spans="4:14" ht="15" customHeight="1" x14ac:dyDescent="0.2">
      <c r="D1057" s="130" t="b">
        <v>0</v>
      </c>
      <c r="E1057" s="124" t="s">
        <v>97</v>
      </c>
      <c r="F1057" s="125" t="s">
        <v>91</v>
      </c>
      <c r="G1057" s="125">
        <v>2</v>
      </c>
      <c r="H1057" s="123">
        <v>2</v>
      </c>
      <c r="I1057" s="123" t="s">
        <v>97</v>
      </c>
      <c r="J1057" s="123" t="s">
        <v>91</v>
      </c>
      <c r="K1057" s="123" t="s">
        <v>93</v>
      </c>
      <c r="L1057" s="132">
        <v>977</v>
      </c>
      <c r="M1057" s="132">
        <v>0</v>
      </c>
      <c r="N1057" s="132">
        <v>1.5153920115278989E+19</v>
      </c>
    </row>
    <row r="1058" spans="4:14" ht="15" customHeight="1" x14ac:dyDescent="0.2">
      <c r="D1058" s="130" t="b">
        <v>0</v>
      </c>
      <c r="E1058" s="124" t="s">
        <v>97</v>
      </c>
      <c r="F1058" s="125" t="s">
        <v>91</v>
      </c>
      <c r="G1058" s="125">
        <v>2</v>
      </c>
      <c r="H1058" s="123">
        <v>2</v>
      </c>
      <c r="I1058" s="123" t="s">
        <v>92</v>
      </c>
      <c r="J1058" s="123" t="s">
        <v>96</v>
      </c>
      <c r="K1058" s="123" t="s">
        <v>93</v>
      </c>
      <c r="L1058" s="132">
        <v>978</v>
      </c>
      <c r="M1058" s="132">
        <v>0</v>
      </c>
      <c r="N1058" s="132">
        <v>1.4780971963082658E+19</v>
      </c>
    </row>
    <row r="1059" spans="4:14" ht="15" customHeight="1" x14ac:dyDescent="0.2">
      <c r="D1059" s="130" t="b">
        <v>0</v>
      </c>
      <c r="E1059" s="124" t="s">
        <v>97</v>
      </c>
      <c r="F1059" s="125" t="s">
        <v>91</v>
      </c>
      <c r="G1059" s="125">
        <v>2</v>
      </c>
      <c r="H1059" s="123">
        <v>2</v>
      </c>
      <c r="I1059" s="123" t="s">
        <v>92</v>
      </c>
      <c r="J1059" s="123" t="s">
        <v>97</v>
      </c>
      <c r="K1059" s="123" t="s">
        <v>93</v>
      </c>
      <c r="L1059" s="132">
        <v>979</v>
      </c>
      <c r="M1059" s="132">
        <v>0</v>
      </c>
      <c r="N1059" s="132">
        <v>5.282149939349674E+18</v>
      </c>
    </row>
    <row r="1060" spans="4:14" ht="15" customHeight="1" x14ac:dyDescent="0.2">
      <c r="D1060" s="130" t="b">
        <v>0</v>
      </c>
      <c r="E1060" s="124" t="s">
        <v>97</v>
      </c>
      <c r="F1060" s="125" t="s">
        <v>91</v>
      </c>
      <c r="G1060" s="125">
        <v>2</v>
      </c>
      <c r="H1060" s="123">
        <v>2</v>
      </c>
      <c r="I1060" s="123" t="s">
        <v>92</v>
      </c>
      <c r="J1060" s="123" t="s">
        <v>91</v>
      </c>
      <c r="K1060" s="123" t="s">
        <v>93</v>
      </c>
      <c r="L1060" s="132">
        <v>980</v>
      </c>
      <c r="M1060" s="132">
        <v>0</v>
      </c>
      <c r="N1060" s="132">
        <v>4.8262841026102753E+18</v>
      </c>
    </row>
    <row r="1061" spans="4:14" ht="15" customHeight="1" x14ac:dyDescent="0.2">
      <c r="D1061" s="130" t="b">
        <v>0</v>
      </c>
      <c r="E1061" s="124" t="s">
        <v>97</v>
      </c>
      <c r="F1061" s="125" t="s">
        <v>91</v>
      </c>
      <c r="G1061" s="125">
        <v>2</v>
      </c>
      <c r="H1061" s="123">
        <v>4</v>
      </c>
      <c r="I1061" s="123" t="s">
        <v>95</v>
      </c>
      <c r="J1061" s="123" t="s">
        <v>96</v>
      </c>
      <c r="K1061" s="123" t="s">
        <v>93</v>
      </c>
      <c r="L1061" s="132">
        <v>981</v>
      </c>
      <c r="M1061" s="132">
        <v>0</v>
      </c>
      <c r="N1061" s="132">
        <v>3.2968898559633856E+17</v>
      </c>
    </row>
    <row r="1062" spans="4:14" ht="15" customHeight="1" x14ac:dyDescent="0.2">
      <c r="D1062" s="130" t="b">
        <v>0</v>
      </c>
      <c r="E1062" s="124" t="s">
        <v>97</v>
      </c>
      <c r="F1062" s="125" t="s">
        <v>91</v>
      </c>
      <c r="G1062" s="125">
        <v>2</v>
      </c>
      <c r="H1062" s="123">
        <v>4</v>
      </c>
      <c r="I1062" s="123" t="s">
        <v>95</v>
      </c>
      <c r="J1062" s="123" t="s">
        <v>97</v>
      </c>
      <c r="K1062" s="123" t="s">
        <v>93</v>
      </c>
      <c r="L1062" s="132">
        <v>982</v>
      </c>
      <c r="M1062" s="132">
        <v>0</v>
      </c>
      <c r="N1062" s="132">
        <v>7.8331828293399921E+18</v>
      </c>
    </row>
    <row r="1063" spans="4:14" ht="15" customHeight="1" x14ac:dyDescent="0.2">
      <c r="D1063" s="130" t="b">
        <v>0</v>
      </c>
      <c r="E1063" s="124" t="s">
        <v>97</v>
      </c>
      <c r="F1063" s="125" t="s">
        <v>91</v>
      </c>
      <c r="G1063" s="125">
        <v>2</v>
      </c>
      <c r="H1063" s="123">
        <v>4</v>
      </c>
      <c r="I1063" s="123" t="s">
        <v>95</v>
      </c>
      <c r="J1063" s="123" t="s">
        <v>91</v>
      </c>
      <c r="K1063" s="123" t="s">
        <v>100</v>
      </c>
      <c r="L1063" s="132">
        <v>983</v>
      </c>
      <c r="M1063" s="132">
        <v>0</v>
      </c>
      <c r="N1063" s="132">
        <v>2.4629013824133885E+17</v>
      </c>
    </row>
    <row r="1064" spans="4:14" ht="15" customHeight="1" x14ac:dyDescent="0.2">
      <c r="D1064" s="130" t="b">
        <v>0</v>
      </c>
      <c r="E1064" s="124" t="s">
        <v>97</v>
      </c>
      <c r="F1064" s="125" t="s">
        <v>91</v>
      </c>
      <c r="G1064" s="125">
        <v>2</v>
      </c>
      <c r="H1064" s="123">
        <v>4</v>
      </c>
      <c r="I1064" s="123" t="s">
        <v>97</v>
      </c>
      <c r="J1064" s="123" t="s">
        <v>96</v>
      </c>
      <c r="K1064" s="123" t="s">
        <v>93</v>
      </c>
      <c r="L1064" s="132">
        <v>984</v>
      </c>
      <c r="M1064" s="132">
        <v>0</v>
      </c>
      <c r="N1064" s="132">
        <v>1.7037111969276874E+17</v>
      </c>
    </row>
    <row r="1065" spans="4:14" ht="15" customHeight="1" x14ac:dyDescent="0.2">
      <c r="D1065" s="130" t="b">
        <v>0</v>
      </c>
      <c r="E1065" s="124" t="s">
        <v>97</v>
      </c>
      <c r="F1065" s="125" t="s">
        <v>91</v>
      </c>
      <c r="G1065" s="125">
        <v>2</v>
      </c>
      <c r="H1065" s="123">
        <v>4</v>
      </c>
      <c r="I1065" s="123" t="s">
        <v>97</v>
      </c>
      <c r="J1065" s="123" t="s">
        <v>97</v>
      </c>
      <c r="K1065" s="123" t="s">
        <v>93</v>
      </c>
      <c r="L1065" s="132">
        <v>985</v>
      </c>
      <c r="M1065" s="132">
        <v>0</v>
      </c>
      <c r="N1065" s="132">
        <v>1.4849794305223389E+19</v>
      </c>
    </row>
    <row r="1066" spans="4:14" ht="15" customHeight="1" x14ac:dyDescent="0.2">
      <c r="D1066" s="130" t="b">
        <v>0</v>
      </c>
      <c r="E1066" s="124" t="s">
        <v>97</v>
      </c>
      <c r="F1066" s="125" t="s">
        <v>91</v>
      </c>
      <c r="G1066" s="125">
        <v>2</v>
      </c>
      <c r="H1066" s="123">
        <v>4</v>
      </c>
      <c r="I1066" s="123" t="s">
        <v>97</v>
      </c>
      <c r="J1066" s="123" t="s">
        <v>91</v>
      </c>
      <c r="K1066" s="123" t="s">
        <v>100</v>
      </c>
      <c r="L1066" s="132">
        <v>986</v>
      </c>
      <c r="M1066" s="132">
        <v>0</v>
      </c>
      <c r="N1066" s="132">
        <v>4.9824737362688102E+18</v>
      </c>
    </row>
    <row r="1067" spans="4:14" ht="15" customHeight="1" x14ac:dyDescent="0.2">
      <c r="D1067" s="130" t="b">
        <v>0</v>
      </c>
      <c r="E1067" s="124" t="s">
        <v>97</v>
      </c>
      <c r="F1067" s="125" t="s">
        <v>91</v>
      </c>
      <c r="G1067" s="125">
        <v>2</v>
      </c>
      <c r="H1067" s="123">
        <v>4</v>
      </c>
      <c r="I1067" s="123" t="s">
        <v>92</v>
      </c>
      <c r="J1067" s="123" t="s">
        <v>96</v>
      </c>
      <c r="K1067" s="123" t="s">
        <v>93</v>
      </c>
      <c r="L1067" s="132">
        <v>987</v>
      </c>
      <c r="M1067" s="132">
        <v>0</v>
      </c>
      <c r="N1067" s="132">
        <v>1.8019246734818128E+19</v>
      </c>
    </row>
    <row r="1068" spans="4:14" ht="15" customHeight="1" x14ac:dyDescent="0.2">
      <c r="D1068" s="130" t="b">
        <v>0</v>
      </c>
      <c r="E1068" s="124" t="s">
        <v>97</v>
      </c>
      <c r="F1068" s="125" t="s">
        <v>91</v>
      </c>
      <c r="G1068" s="125">
        <v>2</v>
      </c>
      <c r="H1068" s="123">
        <v>4</v>
      </c>
      <c r="I1068" s="123" t="s">
        <v>92</v>
      </c>
      <c r="J1068" s="123" t="s">
        <v>97</v>
      </c>
      <c r="K1068" s="123" t="s">
        <v>100</v>
      </c>
      <c r="L1068" s="132">
        <v>988</v>
      </c>
      <c r="M1068" s="132">
        <v>0</v>
      </c>
      <c r="N1068" s="132">
        <v>2.3424288350105006E+18</v>
      </c>
    </row>
    <row r="1069" spans="4:14" ht="15" customHeight="1" x14ac:dyDescent="0.2">
      <c r="D1069" s="130" t="b">
        <v>0</v>
      </c>
      <c r="E1069" s="124" t="s">
        <v>97</v>
      </c>
      <c r="F1069" s="125" t="s">
        <v>91</v>
      </c>
      <c r="G1069" s="125">
        <v>2</v>
      </c>
      <c r="H1069" s="123">
        <v>4</v>
      </c>
      <c r="I1069" s="123" t="s">
        <v>92</v>
      </c>
      <c r="J1069" s="123" t="s">
        <v>91</v>
      </c>
      <c r="K1069" s="123" t="s">
        <v>100</v>
      </c>
      <c r="L1069" s="132">
        <v>989</v>
      </c>
      <c r="M1069" s="132">
        <v>0</v>
      </c>
      <c r="N1069" s="132">
        <v>1.8205916909042538E+19</v>
      </c>
    </row>
    <row r="1070" spans="4:14" ht="15" customHeight="1" x14ac:dyDescent="0.2">
      <c r="D1070" s="130" t="b">
        <v>0</v>
      </c>
      <c r="E1070" s="124" t="s">
        <v>97</v>
      </c>
      <c r="F1070" s="125" t="s">
        <v>91</v>
      </c>
      <c r="G1070" s="125">
        <v>2</v>
      </c>
      <c r="H1070" s="123" t="s">
        <v>98</v>
      </c>
      <c r="I1070" s="123" t="s">
        <v>95</v>
      </c>
      <c r="J1070" s="123" t="s">
        <v>96</v>
      </c>
      <c r="K1070" s="123" t="s">
        <v>93</v>
      </c>
      <c r="L1070" s="132">
        <v>990</v>
      </c>
      <c r="M1070" s="132">
        <v>0</v>
      </c>
      <c r="N1070" s="132">
        <v>1.5843798183029509E+18</v>
      </c>
    </row>
    <row r="1071" spans="4:14" ht="15" customHeight="1" x14ac:dyDescent="0.2">
      <c r="D1071" s="130" t="b">
        <v>0</v>
      </c>
      <c r="E1071" s="124" t="s">
        <v>97</v>
      </c>
      <c r="F1071" s="125" t="s">
        <v>91</v>
      </c>
      <c r="G1071" s="125">
        <v>2</v>
      </c>
      <c r="H1071" s="123" t="s">
        <v>98</v>
      </c>
      <c r="I1071" s="123" t="s">
        <v>95</v>
      </c>
      <c r="J1071" s="123" t="s">
        <v>97</v>
      </c>
      <c r="K1071" s="123" t="s">
        <v>93</v>
      </c>
      <c r="L1071" s="132">
        <v>991</v>
      </c>
      <c r="M1071" s="132">
        <v>0</v>
      </c>
      <c r="N1071" s="132">
        <v>1.1238151289935131E+19</v>
      </c>
    </row>
    <row r="1072" spans="4:14" ht="15" customHeight="1" x14ac:dyDescent="0.2">
      <c r="D1072" s="130" t="b">
        <v>0</v>
      </c>
      <c r="E1072" s="124" t="s">
        <v>97</v>
      </c>
      <c r="F1072" s="125" t="s">
        <v>91</v>
      </c>
      <c r="G1072" s="125">
        <v>2</v>
      </c>
      <c r="H1072" s="123" t="s">
        <v>98</v>
      </c>
      <c r="I1072" s="123" t="s">
        <v>95</v>
      </c>
      <c r="J1072" s="123" t="s">
        <v>91</v>
      </c>
      <c r="K1072" s="123" t="s">
        <v>93</v>
      </c>
      <c r="L1072" s="132">
        <v>992</v>
      </c>
      <c r="M1072" s="132">
        <v>0</v>
      </c>
      <c r="N1072" s="132">
        <v>1.8296413411451197E+19</v>
      </c>
    </row>
    <row r="1073" spans="4:14" ht="15" customHeight="1" x14ac:dyDescent="0.2">
      <c r="D1073" s="130" t="b">
        <v>0</v>
      </c>
      <c r="E1073" s="124" t="s">
        <v>97</v>
      </c>
      <c r="F1073" s="125" t="s">
        <v>91</v>
      </c>
      <c r="G1073" s="125">
        <v>2</v>
      </c>
      <c r="H1073" s="123" t="s">
        <v>98</v>
      </c>
      <c r="I1073" s="123" t="s">
        <v>97</v>
      </c>
      <c r="J1073" s="123" t="s">
        <v>96</v>
      </c>
      <c r="K1073" s="123" t="s">
        <v>93</v>
      </c>
      <c r="L1073" s="132">
        <v>993</v>
      </c>
      <c r="M1073" s="132">
        <v>0</v>
      </c>
      <c r="N1073" s="132">
        <v>1.722596652324598E+19</v>
      </c>
    </row>
    <row r="1074" spans="4:14" ht="15" customHeight="1" x14ac:dyDescent="0.2">
      <c r="D1074" s="130" t="b">
        <v>0</v>
      </c>
      <c r="E1074" s="124" t="s">
        <v>97</v>
      </c>
      <c r="F1074" s="125" t="s">
        <v>91</v>
      </c>
      <c r="G1074" s="125">
        <v>2</v>
      </c>
      <c r="H1074" s="123" t="s">
        <v>98</v>
      </c>
      <c r="I1074" s="123" t="s">
        <v>97</v>
      </c>
      <c r="J1074" s="123" t="s">
        <v>97</v>
      </c>
      <c r="K1074" s="123" t="s">
        <v>93</v>
      </c>
      <c r="L1074" s="132">
        <v>994</v>
      </c>
      <c r="M1074" s="132">
        <v>0</v>
      </c>
      <c r="N1074" s="132">
        <v>1.0464010594931331E+19</v>
      </c>
    </row>
    <row r="1075" spans="4:14" ht="15" customHeight="1" x14ac:dyDescent="0.2">
      <c r="D1075" s="130" t="b">
        <v>0</v>
      </c>
      <c r="E1075" s="124" t="s">
        <v>97</v>
      </c>
      <c r="F1075" s="125" t="s">
        <v>91</v>
      </c>
      <c r="G1075" s="125">
        <v>2</v>
      </c>
      <c r="H1075" s="123" t="s">
        <v>98</v>
      </c>
      <c r="I1075" s="123" t="s">
        <v>97</v>
      </c>
      <c r="J1075" s="123" t="s">
        <v>91</v>
      </c>
      <c r="K1075" s="123" t="s">
        <v>100</v>
      </c>
      <c r="L1075" s="132">
        <v>995</v>
      </c>
      <c r="M1075" s="132">
        <v>0</v>
      </c>
      <c r="N1075" s="132">
        <v>1.663092408310697E+19</v>
      </c>
    </row>
    <row r="1076" spans="4:14" ht="15" customHeight="1" x14ac:dyDescent="0.2">
      <c r="D1076" s="130" t="b">
        <v>0</v>
      </c>
      <c r="E1076" s="124" t="s">
        <v>97</v>
      </c>
      <c r="F1076" s="125" t="s">
        <v>91</v>
      </c>
      <c r="G1076" s="125">
        <v>2</v>
      </c>
      <c r="H1076" s="123" t="s">
        <v>98</v>
      </c>
      <c r="I1076" s="123" t="s">
        <v>92</v>
      </c>
      <c r="J1076" s="123" t="s">
        <v>96</v>
      </c>
      <c r="K1076" s="123" t="s">
        <v>93</v>
      </c>
      <c r="L1076" s="132">
        <v>996</v>
      </c>
      <c r="M1076" s="132">
        <v>0</v>
      </c>
      <c r="N1076" s="132">
        <v>4.0636044623567887E+18</v>
      </c>
    </row>
    <row r="1077" spans="4:14" ht="15" customHeight="1" x14ac:dyDescent="0.2">
      <c r="D1077" s="130" t="b">
        <v>0</v>
      </c>
      <c r="E1077" s="124" t="s">
        <v>97</v>
      </c>
      <c r="F1077" s="125" t="s">
        <v>91</v>
      </c>
      <c r="G1077" s="125">
        <v>2</v>
      </c>
      <c r="H1077" s="123" t="s">
        <v>98</v>
      </c>
      <c r="I1077" s="123" t="s">
        <v>92</v>
      </c>
      <c r="J1077" s="123" t="s">
        <v>97</v>
      </c>
      <c r="K1077" s="123" t="s">
        <v>100</v>
      </c>
      <c r="L1077" s="132">
        <v>997</v>
      </c>
      <c r="M1077" s="132">
        <v>0</v>
      </c>
      <c r="N1077" s="132">
        <v>2.9568526228702147E+18</v>
      </c>
    </row>
    <row r="1078" spans="4:14" ht="15" customHeight="1" x14ac:dyDescent="0.2">
      <c r="D1078" s="130" t="b">
        <v>0</v>
      </c>
      <c r="E1078" s="124" t="s">
        <v>97</v>
      </c>
      <c r="F1078" s="125" t="s">
        <v>91</v>
      </c>
      <c r="G1078" s="125">
        <v>2</v>
      </c>
      <c r="H1078" s="123" t="s">
        <v>98</v>
      </c>
      <c r="I1078" s="123" t="s">
        <v>92</v>
      </c>
      <c r="J1078" s="123" t="s">
        <v>91</v>
      </c>
      <c r="K1078" s="123" t="s">
        <v>100</v>
      </c>
      <c r="L1078" s="132">
        <v>998</v>
      </c>
      <c r="M1078" s="132">
        <v>0</v>
      </c>
      <c r="N1078" s="132">
        <v>5.3323618330315807E+18</v>
      </c>
    </row>
    <row r="1079" spans="4:14" ht="15" customHeight="1" x14ac:dyDescent="0.2">
      <c r="D1079" s="130" t="b">
        <v>0</v>
      </c>
      <c r="E1079" s="124" t="s">
        <v>97</v>
      </c>
      <c r="F1079" s="125" t="s">
        <v>91</v>
      </c>
      <c r="G1079" s="125">
        <v>3</v>
      </c>
      <c r="H1079" s="123">
        <v>2</v>
      </c>
      <c r="I1079" s="123" t="s">
        <v>95</v>
      </c>
      <c r="J1079" s="123" t="s">
        <v>96</v>
      </c>
      <c r="K1079" s="123" t="s">
        <v>93</v>
      </c>
      <c r="L1079" s="132">
        <v>999</v>
      </c>
      <c r="M1079" s="132">
        <v>0</v>
      </c>
      <c r="N1079" s="132">
        <v>1.4288006940193421E+19</v>
      </c>
    </row>
    <row r="1080" spans="4:14" ht="15" customHeight="1" x14ac:dyDescent="0.2">
      <c r="D1080" s="130" t="b">
        <v>0</v>
      </c>
      <c r="E1080" s="124" t="s">
        <v>97</v>
      </c>
      <c r="F1080" s="125" t="s">
        <v>91</v>
      </c>
      <c r="G1080" s="125">
        <v>3</v>
      </c>
      <c r="H1080" s="123">
        <v>2</v>
      </c>
      <c r="I1080" s="123" t="s">
        <v>95</v>
      </c>
      <c r="J1080" s="123" t="s">
        <v>97</v>
      </c>
      <c r="K1080" s="123" t="s">
        <v>93</v>
      </c>
      <c r="L1080" s="132">
        <v>1000</v>
      </c>
      <c r="M1080" s="132">
        <v>0</v>
      </c>
      <c r="N1080" s="132">
        <v>4.953912164985898E+18</v>
      </c>
    </row>
    <row r="1081" spans="4:14" ht="15" customHeight="1" x14ac:dyDescent="0.2">
      <c r="D1081" s="130" t="b">
        <v>0</v>
      </c>
      <c r="E1081" s="124" t="s">
        <v>97</v>
      </c>
      <c r="F1081" s="125" t="s">
        <v>91</v>
      </c>
      <c r="G1081" s="125">
        <v>3</v>
      </c>
      <c r="H1081" s="123">
        <v>2</v>
      </c>
      <c r="I1081" s="123" t="s">
        <v>95</v>
      </c>
      <c r="J1081" s="123" t="s">
        <v>91</v>
      </c>
      <c r="K1081" s="123" t="s">
        <v>93</v>
      </c>
      <c r="L1081" s="132">
        <v>1001</v>
      </c>
      <c r="M1081" s="132">
        <v>0</v>
      </c>
      <c r="N1081" s="132">
        <v>8.7945466692221686E+18</v>
      </c>
    </row>
    <row r="1082" spans="4:14" ht="15" customHeight="1" x14ac:dyDescent="0.2">
      <c r="D1082" s="130" t="b">
        <v>0</v>
      </c>
      <c r="E1082" s="124" t="s">
        <v>97</v>
      </c>
      <c r="F1082" s="125" t="s">
        <v>91</v>
      </c>
      <c r="G1082" s="125">
        <v>3</v>
      </c>
      <c r="H1082" s="123">
        <v>2</v>
      </c>
      <c r="I1082" s="123" t="s">
        <v>97</v>
      </c>
      <c r="J1082" s="123" t="s">
        <v>96</v>
      </c>
      <c r="K1082" s="123" t="s">
        <v>93</v>
      </c>
      <c r="L1082" s="132">
        <v>1002</v>
      </c>
      <c r="M1082" s="132">
        <v>0</v>
      </c>
      <c r="N1082" s="132">
        <v>1.8252508144851014E+19</v>
      </c>
    </row>
    <row r="1083" spans="4:14" ht="15" customHeight="1" x14ac:dyDescent="0.2">
      <c r="D1083" s="130" t="b">
        <v>0</v>
      </c>
      <c r="E1083" s="124" t="s">
        <v>97</v>
      </c>
      <c r="F1083" s="125" t="s">
        <v>91</v>
      </c>
      <c r="G1083" s="125">
        <v>3</v>
      </c>
      <c r="H1083" s="123">
        <v>2</v>
      </c>
      <c r="I1083" s="123" t="s">
        <v>97</v>
      </c>
      <c r="J1083" s="123" t="s">
        <v>97</v>
      </c>
      <c r="K1083" s="123" t="s">
        <v>93</v>
      </c>
      <c r="L1083" s="132">
        <v>1003</v>
      </c>
      <c r="M1083" s="132">
        <v>0</v>
      </c>
      <c r="N1083" s="132">
        <v>6.4733045365350144E+18</v>
      </c>
    </row>
    <row r="1084" spans="4:14" ht="15" customHeight="1" x14ac:dyDescent="0.2">
      <c r="D1084" s="130" t="b">
        <v>0</v>
      </c>
      <c r="E1084" s="124" t="s">
        <v>97</v>
      </c>
      <c r="F1084" s="125" t="s">
        <v>91</v>
      </c>
      <c r="G1084" s="125">
        <v>3</v>
      </c>
      <c r="H1084" s="123">
        <v>2</v>
      </c>
      <c r="I1084" s="123" t="s">
        <v>97</v>
      </c>
      <c r="J1084" s="123" t="s">
        <v>91</v>
      </c>
      <c r="K1084" s="123" t="s">
        <v>93</v>
      </c>
      <c r="L1084" s="132">
        <v>1004</v>
      </c>
      <c r="M1084" s="132">
        <v>0</v>
      </c>
      <c r="N1084" s="132">
        <v>1.2112360384138097E+19</v>
      </c>
    </row>
    <row r="1085" spans="4:14" ht="15" customHeight="1" x14ac:dyDescent="0.2">
      <c r="D1085" s="130" t="b">
        <v>0</v>
      </c>
      <c r="E1085" s="124" t="s">
        <v>97</v>
      </c>
      <c r="F1085" s="125" t="s">
        <v>91</v>
      </c>
      <c r="G1085" s="125">
        <v>3</v>
      </c>
      <c r="H1085" s="123">
        <v>2</v>
      </c>
      <c r="I1085" s="123" t="s">
        <v>92</v>
      </c>
      <c r="J1085" s="123" t="s">
        <v>96</v>
      </c>
      <c r="K1085" s="123" t="s">
        <v>93</v>
      </c>
      <c r="L1085" s="132">
        <v>1005</v>
      </c>
      <c r="M1085" s="132">
        <v>0</v>
      </c>
      <c r="N1085" s="132">
        <v>3.3306495862766684E+18</v>
      </c>
    </row>
    <row r="1086" spans="4:14" ht="15" customHeight="1" x14ac:dyDescent="0.2">
      <c r="D1086" s="130" t="b">
        <v>0</v>
      </c>
      <c r="E1086" s="124" t="s">
        <v>97</v>
      </c>
      <c r="F1086" s="125" t="s">
        <v>91</v>
      </c>
      <c r="G1086" s="125">
        <v>3</v>
      </c>
      <c r="H1086" s="123">
        <v>2</v>
      </c>
      <c r="I1086" s="123" t="s">
        <v>92</v>
      </c>
      <c r="J1086" s="123" t="s">
        <v>97</v>
      </c>
      <c r="K1086" s="123" t="s">
        <v>93</v>
      </c>
      <c r="L1086" s="132">
        <v>1006</v>
      </c>
      <c r="M1086" s="132">
        <v>0</v>
      </c>
      <c r="N1086" s="132">
        <v>1.7505530121298188E+19</v>
      </c>
    </row>
    <row r="1087" spans="4:14" ht="15" customHeight="1" x14ac:dyDescent="0.2">
      <c r="D1087" s="130" t="b">
        <v>0</v>
      </c>
      <c r="E1087" s="124" t="s">
        <v>97</v>
      </c>
      <c r="F1087" s="125" t="s">
        <v>91</v>
      </c>
      <c r="G1087" s="125">
        <v>3</v>
      </c>
      <c r="H1087" s="123">
        <v>2</v>
      </c>
      <c r="I1087" s="123" t="s">
        <v>92</v>
      </c>
      <c r="J1087" s="123" t="s">
        <v>91</v>
      </c>
      <c r="K1087" s="123" t="s">
        <v>93</v>
      </c>
      <c r="L1087" s="132">
        <v>1007</v>
      </c>
      <c r="M1087" s="132">
        <v>0</v>
      </c>
      <c r="N1087" s="132">
        <v>6.6609075372290744E+18</v>
      </c>
    </row>
    <row r="1088" spans="4:14" ht="15" customHeight="1" x14ac:dyDescent="0.2">
      <c r="D1088" s="130" t="b">
        <v>0</v>
      </c>
      <c r="E1088" s="124" t="s">
        <v>97</v>
      </c>
      <c r="F1088" s="125" t="s">
        <v>91</v>
      </c>
      <c r="G1088" s="125">
        <v>3</v>
      </c>
      <c r="H1088" s="123">
        <v>4</v>
      </c>
      <c r="I1088" s="123" t="s">
        <v>95</v>
      </c>
      <c r="J1088" s="123" t="s">
        <v>96</v>
      </c>
      <c r="K1088" s="123" t="s">
        <v>93</v>
      </c>
      <c r="L1088" s="132">
        <v>1008</v>
      </c>
      <c r="M1088" s="132">
        <v>0</v>
      </c>
      <c r="N1088" s="132">
        <v>1.7737125881375269E+19</v>
      </c>
    </row>
    <row r="1089" spans="4:14" ht="15" customHeight="1" x14ac:dyDescent="0.2">
      <c r="D1089" s="130" t="b">
        <v>0</v>
      </c>
      <c r="E1089" s="124" t="s">
        <v>97</v>
      </c>
      <c r="F1089" s="125" t="s">
        <v>91</v>
      </c>
      <c r="G1089" s="125">
        <v>3</v>
      </c>
      <c r="H1089" s="123">
        <v>4</v>
      </c>
      <c r="I1089" s="123" t="s">
        <v>95</v>
      </c>
      <c r="J1089" s="123" t="s">
        <v>97</v>
      </c>
      <c r="K1089" s="123" t="s">
        <v>93</v>
      </c>
      <c r="L1089" s="132">
        <v>1009</v>
      </c>
      <c r="M1089" s="132">
        <v>0</v>
      </c>
      <c r="N1089" s="132">
        <v>1.3456579643801514E+19</v>
      </c>
    </row>
    <row r="1090" spans="4:14" ht="15" customHeight="1" x14ac:dyDescent="0.2">
      <c r="D1090" s="130" t="b">
        <v>0</v>
      </c>
      <c r="E1090" s="124" t="s">
        <v>97</v>
      </c>
      <c r="F1090" s="125" t="s">
        <v>91</v>
      </c>
      <c r="G1090" s="125">
        <v>3</v>
      </c>
      <c r="H1090" s="123">
        <v>4</v>
      </c>
      <c r="I1090" s="123" t="s">
        <v>95</v>
      </c>
      <c r="J1090" s="123" t="s">
        <v>91</v>
      </c>
      <c r="K1090" s="123" t="s">
        <v>100</v>
      </c>
      <c r="L1090" s="132">
        <v>1010</v>
      </c>
      <c r="M1090" s="132">
        <v>0</v>
      </c>
      <c r="N1090" s="132">
        <v>1.4140641768394721E+18</v>
      </c>
    </row>
    <row r="1091" spans="4:14" ht="15" customHeight="1" x14ac:dyDescent="0.2">
      <c r="D1091" s="130" t="b">
        <v>0</v>
      </c>
      <c r="E1091" s="124" t="s">
        <v>97</v>
      </c>
      <c r="F1091" s="125" t="s">
        <v>91</v>
      </c>
      <c r="G1091" s="125">
        <v>3</v>
      </c>
      <c r="H1091" s="123">
        <v>4</v>
      </c>
      <c r="I1091" s="123" t="s">
        <v>97</v>
      </c>
      <c r="J1091" s="123" t="s">
        <v>96</v>
      </c>
      <c r="K1091" s="123" t="s">
        <v>93</v>
      </c>
      <c r="L1091" s="132">
        <v>1011</v>
      </c>
      <c r="M1091" s="132">
        <v>0</v>
      </c>
      <c r="N1091" s="132">
        <v>4.8762739479537101E+18</v>
      </c>
    </row>
    <row r="1092" spans="4:14" ht="15" customHeight="1" x14ac:dyDescent="0.2">
      <c r="D1092" s="130" t="b">
        <v>0</v>
      </c>
      <c r="E1092" s="124" t="s">
        <v>97</v>
      </c>
      <c r="F1092" s="125" t="s">
        <v>91</v>
      </c>
      <c r="G1092" s="125">
        <v>3</v>
      </c>
      <c r="H1092" s="123">
        <v>4</v>
      </c>
      <c r="I1092" s="123" t="s">
        <v>97</v>
      </c>
      <c r="J1092" s="123" t="s">
        <v>97</v>
      </c>
      <c r="K1092" s="123" t="s">
        <v>93</v>
      </c>
      <c r="L1092" s="132">
        <v>1012</v>
      </c>
      <c r="M1092" s="132">
        <v>0</v>
      </c>
      <c r="N1092" s="132">
        <v>1.3163262204846017E+19</v>
      </c>
    </row>
    <row r="1093" spans="4:14" ht="15" customHeight="1" x14ac:dyDescent="0.2">
      <c r="D1093" s="130" t="b">
        <v>0</v>
      </c>
      <c r="E1093" s="124" t="s">
        <v>97</v>
      </c>
      <c r="F1093" s="125" t="s">
        <v>91</v>
      </c>
      <c r="G1093" s="125">
        <v>3</v>
      </c>
      <c r="H1093" s="123">
        <v>4</v>
      </c>
      <c r="I1093" s="123" t="s">
        <v>97</v>
      </c>
      <c r="J1093" s="123" t="s">
        <v>91</v>
      </c>
      <c r="K1093" s="123" t="s">
        <v>100</v>
      </c>
      <c r="L1093" s="132">
        <v>1013</v>
      </c>
      <c r="M1093" s="132">
        <v>0</v>
      </c>
      <c r="N1093" s="132">
        <v>1.6227433228119493E+19</v>
      </c>
    </row>
    <row r="1094" spans="4:14" ht="15" customHeight="1" x14ac:dyDescent="0.2">
      <c r="D1094" s="130" t="b">
        <v>0</v>
      </c>
      <c r="E1094" s="124" t="s">
        <v>97</v>
      </c>
      <c r="F1094" s="125" t="s">
        <v>91</v>
      </c>
      <c r="G1094" s="125">
        <v>3</v>
      </c>
      <c r="H1094" s="123">
        <v>4</v>
      </c>
      <c r="I1094" s="123" t="s">
        <v>92</v>
      </c>
      <c r="J1094" s="123" t="s">
        <v>96</v>
      </c>
      <c r="K1094" s="123" t="s">
        <v>93</v>
      </c>
      <c r="L1094" s="132">
        <v>1014</v>
      </c>
      <c r="M1094" s="132">
        <v>0</v>
      </c>
      <c r="N1094" s="132">
        <v>6.2322502075554755E+18</v>
      </c>
    </row>
    <row r="1095" spans="4:14" ht="15" customHeight="1" x14ac:dyDescent="0.2">
      <c r="D1095" s="130" t="b">
        <v>0</v>
      </c>
      <c r="E1095" s="124" t="s">
        <v>97</v>
      </c>
      <c r="F1095" s="125" t="s">
        <v>91</v>
      </c>
      <c r="G1095" s="125">
        <v>3</v>
      </c>
      <c r="H1095" s="123">
        <v>4</v>
      </c>
      <c r="I1095" s="123" t="s">
        <v>92</v>
      </c>
      <c r="J1095" s="123" t="s">
        <v>97</v>
      </c>
      <c r="K1095" s="123" t="s">
        <v>100</v>
      </c>
      <c r="L1095" s="132">
        <v>1015</v>
      </c>
      <c r="M1095" s="132">
        <v>0</v>
      </c>
      <c r="N1095" s="132">
        <v>8.9828175966337085E+18</v>
      </c>
    </row>
    <row r="1096" spans="4:14" ht="15" customHeight="1" x14ac:dyDescent="0.2">
      <c r="D1096" s="130" t="b">
        <v>0</v>
      </c>
      <c r="E1096" s="124" t="s">
        <v>97</v>
      </c>
      <c r="F1096" s="125" t="s">
        <v>91</v>
      </c>
      <c r="G1096" s="125">
        <v>3</v>
      </c>
      <c r="H1096" s="123">
        <v>4</v>
      </c>
      <c r="I1096" s="123" t="s">
        <v>92</v>
      </c>
      <c r="J1096" s="123" t="s">
        <v>91</v>
      </c>
      <c r="K1096" s="123" t="s">
        <v>100</v>
      </c>
      <c r="L1096" s="132">
        <v>1016</v>
      </c>
      <c r="M1096" s="132">
        <v>0</v>
      </c>
      <c r="N1096" s="132">
        <v>1.6478539814670208E+18</v>
      </c>
    </row>
    <row r="1097" spans="4:14" ht="15" customHeight="1" x14ac:dyDescent="0.2">
      <c r="D1097" s="130" t="b">
        <v>0</v>
      </c>
      <c r="E1097" s="124" t="s">
        <v>97</v>
      </c>
      <c r="F1097" s="125" t="s">
        <v>91</v>
      </c>
      <c r="G1097" s="125">
        <v>3</v>
      </c>
      <c r="H1097" s="123" t="s">
        <v>98</v>
      </c>
      <c r="I1097" s="123" t="s">
        <v>95</v>
      </c>
      <c r="J1097" s="123" t="s">
        <v>96</v>
      </c>
      <c r="K1097" s="123" t="s">
        <v>93</v>
      </c>
      <c r="L1097" s="132">
        <v>1017</v>
      </c>
      <c r="M1097" s="132">
        <v>0</v>
      </c>
      <c r="N1097" s="132">
        <v>1.8175709717605505E+19</v>
      </c>
    </row>
    <row r="1098" spans="4:14" ht="15" customHeight="1" x14ac:dyDescent="0.2">
      <c r="D1098" s="130" t="b">
        <v>0</v>
      </c>
      <c r="E1098" s="124" t="s">
        <v>97</v>
      </c>
      <c r="F1098" s="125" t="s">
        <v>91</v>
      </c>
      <c r="G1098" s="125">
        <v>3</v>
      </c>
      <c r="H1098" s="123" t="s">
        <v>98</v>
      </c>
      <c r="I1098" s="123" t="s">
        <v>95</v>
      </c>
      <c r="J1098" s="123" t="s">
        <v>97</v>
      </c>
      <c r="K1098" s="123" t="s">
        <v>93</v>
      </c>
      <c r="L1098" s="132">
        <v>1018</v>
      </c>
      <c r="M1098" s="132">
        <v>0</v>
      </c>
      <c r="N1098" s="132">
        <v>1.7963496964124257E+18</v>
      </c>
    </row>
    <row r="1099" spans="4:14" ht="15" customHeight="1" x14ac:dyDescent="0.2">
      <c r="D1099" s="130" t="b">
        <v>0</v>
      </c>
      <c r="E1099" s="124" t="s">
        <v>97</v>
      </c>
      <c r="F1099" s="125" t="s">
        <v>91</v>
      </c>
      <c r="G1099" s="125">
        <v>3</v>
      </c>
      <c r="H1099" s="123" t="s">
        <v>98</v>
      </c>
      <c r="I1099" s="123" t="s">
        <v>95</v>
      </c>
      <c r="J1099" s="123" t="s">
        <v>91</v>
      </c>
      <c r="K1099" s="123" t="s">
        <v>100</v>
      </c>
      <c r="L1099" s="132">
        <v>1019</v>
      </c>
      <c r="M1099" s="132">
        <v>0</v>
      </c>
      <c r="N1099" s="132">
        <v>1.832399428643156E+19</v>
      </c>
    </row>
    <row r="1100" spans="4:14" ht="15" customHeight="1" x14ac:dyDescent="0.2">
      <c r="D1100" s="130" t="b">
        <v>0</v>
      </c>
      <c r="E1100" s="124" t="s">
        <v>97</v>
      </c>
      <c r="F1100" s="125" t="s">
        <v>91</v>
      </c>
      <c r="G1100" s="125">
        <v>3</v>
      </c>
      <c r="H1100" s="123" t="s">
        <v>98</v>
      </c>
      <c r="I1100" s="123" t="s">
        <v>97</v>
      </c>
      <c r="J1100" s="123" t="s">
        <v>96</v>
      </c>
      <c r="K1100" s="123" t="s">
        <v>93</v>
      </c>
      <c r="L1100" s="132">
        <v>1020</v>
      </c>
      <c r="M1100" s="132">
        <v>0</v>
      </c>
      <c r="N1100" s="132">
        <v>8.9131536785011876E+18</v>
      </c>
    </row>
    <row r="1101" spans="4:14" ht="15" customHeight="1" x14ac:dyDescent="0.2">
      <c r="D1101" s="130" t="b">
        <v>0</v>
      </c>
      <c r="E1101" s="124" t="s">
        <v>97</v>
      </c>
      <c r="F1101" s="125" t="s">
        <v>91</v>
      </c>
      <c r="G1101" s="125">
        <v>3</v>
      </c>
      <c r="H1101" s="123" t="s">
        <v>98</v>
      </c>
      <c r="I1101" s="123" t="s">
        <v>97</v>
      </c>
      <c r="J1101" s="123" t="s">
        <v>97</v>
      </c>
      <c r="K1101" s="123" t="s">
        <v>100</v>
      </c>
      <c r="L1101" s="132">
        <v>1021</v>
      </c>
      <c r="M1101" s="132">
        <v>0</v>
      </c>
      <c r="N1101" s="132">
        <v>3.7015499921946895E+18</v>
      </c>
    </row>
    <row r="1102" spans="4:14" ht="15" customHeight="1" x14ac:dyDescent="0.2">
      <c r="D1102" s="130" t="b">
        <v>0</v>
      </c>
      <c r="E1102" s="124" t="s">
        <v>97</v>
      </c>
      <c r="F1102" s="125" t="s">
        <v>91</v>
      </c>
      <c r="G1102" s="125">
        <v>3</v>
      </c>
      <c r="H1102" s="123" t="s">
        <v>98</v>
      </c>
      <c r="I1102" s="123" t="s">
        <v>97</v>
      </c>
      <c r="J1102" s="123" t="s">
        <v>91</v>
      </c>
      <c r="K1102" s="123" t="s">
        <v>100</v>
      </c>
      <c r="L1102" s="132">
        <v>1022</v>
      </c>
      <c r="M1102" s="132">
        <v>0</v>
      </c>
      <c r="N1102" s="132">
        <v>5.7221492001538591E+18</v>
      </c>
    </row>
    <row r="1103" spans="4:14" ht="15" customHeight="1" x14ac:dyDescent="0.2">
      <c r="D1103" s="130" t="b">
        <v>0</v>
      </c>
      <c r="E1103" s="124" t="s">
        <v>97</v>
      </c>
      <c r="F1103" s="125" t="s">
        <v>91</v>
      </c>
      <c r="G1103" s="125">
        <v>3</v>
      </c>
      <c r="H1103" s="123" t="s">
        <v>98</v>
      </c>
      <c r="I1103" s="123" t="s">
        <v>92</v>
      </c>
      <c r="J1103" s="123" t="s">
        <v>96</v>
      </c>
      <c r="K1103" s="123" t="s">
        <v>93</v>
      </c>
      <c r="L1103" s="132">
        <v>1023</v>
      </c>
      <c r="M1103" s="132">
        <v>0</v>
      </c>
      <c r="N1103" s="132">
        <v>1.1824521847417762E+19</v>
      </c>
    </row>
    <row r="1104" spans="4:14" ht="15" customHeight="1" x14ac:dyDescent="0.2">
      <c r="D1104" s="130" t="b">
        <v>0</v>
      </c>
      <c r="E1104" s="124" t="s">
        <v>97</v>
      </c>
      <c r="F1104" s="125" t="s">
        <v>91</v>
      </c>
      <c r="G1104" s="125">
        <v>3</v>
      </c>
      <c r="H1104" s="123" t="s">
        <v>98</v>
      </c>
      <c r="I1104" s="123" t="s">
        <v>92</v>
      </c>
      <c r="J1104" s="123" t="s">
        <v>97</v>
      </c>
      <c r="K1104" s="123" t="s">
        <v>100</v>
      </c>
      <c r="L1104" s="132">
        <v>1024</v>
      </c>
      <c r="M1104" s="132">
        <v>0</v>
      </c>
      <c r="N1104" s="132">
        <v>1.5663807744000897E+19</v>
      </c>
    </row>
    <row r="1105" spans="4:14" ht="15" customHeight="1" x14ac:dyDescent="0.2">
      <c r="D1105" s="130" t="b">
        <v>0</v>
      </c>
      <c r="E1105" s="124" t="s">
        <v>97</v>
      </c>
      <c r="F1105" s="125" t="s">
        <v>91</v>
      </c>
      <c r="G1105" s="125">
        <v>3</v>
      </c>
      <c r="H1105" s="123" t="s">
        <v>98</v>
      </c>
      <c r="I1105" s="123" t="s">
        <v>92</v>
      </c>
      <c r="J1105" s="123" t="s">
        <v>91</v>
      </c>
      <c r="K1105" s="123" t="s">
        <v>100</v>
      </c>
      <c r="L1105" s="132">
        <v>1025</v>
      </c>
      <c r="M1105" s="132">
        <v>0</v>
      </c>
      <c r="N1105" s="132">
        <v>8.1386918226531799E+18</v>
      </c>
    </row>
    <row r="1106" spans="4:14" ht="15" customHeight="1" x14ac:dyDescent="0.2">
      <c r="D1106" s="130" t="b">
        <v>0</v>
      </c>
      <c r="E1106" s="124" t="s">
        <v>97</v>
      </c>
      <c r="F1106" s="125" t="s">
        <v>91</v>
      </c>
      <c r="G1106" s="125">
        <v>4</v>
      </c>
      <c r="H1106" s="123">
        <v>2</v>
      </c>
      <c r="I1106" s="123" t="s">
        <v>95</v>
      </c>
      <c r="J1106" s="123" t="s">
        <v>96</v>
      </c>
      <c r="K1106" s="123" t="s">
        <v>93</v>
      </c>
      <c r="L1106" s="132">
        <v>1026</v>
      </c>
      <c r="M1106" s="132">
        <v>0</v>
      </c>
      <c r="N1106" s="132">
        <v>1.4681895374859356E+18</v>
      </c>
    </row>
    <row r="1107" spans="4:14" ht="15" customHeight="1" x14ac:dyDescent="0.2">
      <c r="D1107" s="130" t="b">
        <v>0</v>
      </c>
      <c r="E1107" s="124" t="s">
        <v>97</v>
      </c>
      <c r="F1107" s="125" t="s">
        <v>91</v>
      </c>
      <c r="G1107" s="125">
        <v>4</v>
      </c>
      <c r="H1107" s="123">
        <v>2</v>
      </c>
      <c r="I1107" s="123" t="s">
        <v>95</v>
      </c>
      <c r="J1107" s="123" t="s">
        <v>97</v>
      </c>
      <c r="K1107" s="123" t="s">
        <v>93</v>
      </c>
      <c r="L1107" s="132">
        <v>1027</v>
      </c>
      <c r="M1107" s="132">
        <v>0</v>
      </c>
      <c r="N1107" s="132">
        <v>1.7898253874176535E+19</v>
      </c>
    </row>
    <row r="1108" spans="4:14" ht="15" customHeight="1" x14ac:dyDescent="0.2">
      <c r="D1108" s="130" t="b">
        <v>0</v>
      </c>
      <c r="E1108" s="124" t="s">
        <v>97</v>
      </c>
      <c r="F1108" s="125" t="s">
        <v>91</v>
      </c>
      <c r="G1108" s="125">
        <v>4</v>
      </c>
      <c r="H1108" s="123">
        <v>2</v>
      </c>
      <c r="I1108" s="123" t="s">
        <v>95</v>
      </c>
      <c r="J1108" s="123" t="s">
        <v>91</v>
      </c>
      <c r="K1108" s="123" t="s">
        <v>93</v>
      </c>
      <c r="L1108" s="132">
        <v>1028</v>
      </c>
      <c r="M1108" s="132">
        <v>0</v>
      </c>
      <c r="N1108" s="132">
        <v>1.7683568416485955E+18</v>
      </c>
    </row>
    <row r="1109" spans="4:14" ht="15" customHeight="1" x14ac:dyDescent="0.2">
      <c r="D1109" s="130" t="b">
        <v>0</v>
      </c>
      <c r="E1109" s="124" t="s">
        <v>97</v>
      </c>
      <c r="F1109" s="125" t="s">
        <v>91</v>
      </c>
      <c r="G1109" s="125">
        <v>4</v>
      </c>
      <c r="H1109" s="123">
        <v>2</v>
      </c>
      <c r="I1109" s="123" t="s">
        <v>97</v>
      </c>
      <c r="J1109" s="123" t="s">
        <v>96</v>
      </c>
      <c r="K1109" s="123" t="s">
        <v>93</v>
      </c>
      <c r="L1109" s="132">
        <v>1029</v>
      </c>
      <c r="M1109" s="132">
        <v>0</v>
      </c>
      <c r="N1109" s="132">
        <v>1.3449294889064696E+19</v>
      </c>
    </row>
    <row r="1110" spans="4:14" ht="15" customHeight="1" x14ac:dyDescent="0.2">
      <c r="D1110" s="130" t="b">
        <v>0</v>
      </c>
      <c r="E1110" s="124" t="s">
        <v>97</v>
      </c>
      <c r="F1110" s="125" t="s">
        <v>91</v>
      </c>
      <c r="G1110" s="125">
        <v>4</v>
      </c>
      <c r="H1110" s="123">
        <v>2</v>
      </c>
      <c r="I1110" s="123" t="s">
        <v>97</v>
      </c>
      <c r="J1110" s="123" t="s">
        <v>97</v>
      </c>
      <c r="K1110" s="123" t="s">
        <v>93</v>
      </c>
      <c r="L1110" s="132">
        <v>1030</v>
      </c>
      <c r="M1110" s="132">
        <v>0</v>
      </c>
      <c r="N1110" s="132">
        <v>1.5557854101903364E+19</v>
      </c>
    </row>
    <row r="1111" spans="4:14" ht="15" customHeight="1" x14ac:dyDescent="0.2">
      <c r="D1111" s="130" t="b">
        <v>0</v>
      </c>
      <c r="E1111" s="124" t="s">
        <v>97</v>
      </c>
      <c r="F1111" s="125" t="s">
        <v>91</v>
      </c>
      <c r="G1111" s="125">
        <v>4</v>
      </c>
      <c r="H1111" s="123">
        <v>2</v>
      </c>
      <c r="I1111" s="123" t="s">
        <v>97</v>
      </c>
      <c r="J1111" s="123" t="s">
        <v>91</v>
      </c>
      <c r="K1111" s="123" t="s">
        <v>93</v>
      </c>
      <c r="L1111" s="132">
        <v>1031</v>
      </c>
      <c r="M1111" s="132">
        <v>0</v>
      </c>
      <c r="N1111" s="132">
        <v>1.3834426178598945E+19</v>
      </c>
    </row>
    <row r="1112" spans="4:14" ht="15" customHeight="1" x14ac:dyDescent="0.2">
      <c r="D1112" s="130" t="b">
        <v>0</v>
      </c>
      <c r="E1112" s="124" t="s">
        <v>97</v>
      </c>
      <c r="F1112" s="125" t="s">
        <v>91</v>
      </c>
      <c r="G1112" s="125">
        <v>4</v>
      </c>
      <c r="H1112" s="123">
        <v>2</v>
      </c>
      <c r="I1112" s="123" t="s">
        <v>92</v>
      </c>
      <c r="J1112" s="123" t="s">
        <v>96</v>
      </c>
      <c r="K1112" s="123" t="s">
        <v>93</v>
      </c>
      <c r="L1112" s="132">
        <v>1032</v>
      </c>
      <c r="M1112" s="132">
        <v>0</v>
      </c>
      <c r="N1112" s="132">
        <v>1.1761079649211705E+19</v>
      </c>
    </row>
    <row r="1113" spans="4:14" ht="15" customHeight="1" x14ac:dyDescent="0.2">
      <c r="D1113" s="130" t="b">
        <v>0</v>
      </c>
      <c r="E1113" s="124" t="s">
        <v>97</v>
      </c>
      <c r="F1113" s="125" t="s">
        <v>91</v>
      </c>
      <c r="G1113" s="125">
        <v>4</v>
      </c>
      <c r="H1113" s="123">
        <v>2</v>
      </c>
      <c r="I1113" s="123" t="s">
        <v>92</v>
      </c>
      <c r="J1113" s="123" t="s">
        <v>97</v>
      </c>
      <c r="K1113" s="123" t="s">
        <v>93</v>
      </c>
      <c r="L1113" s="132">
        <v>1033</v>
      </c>
      <c r="M1113" s="132">
        <v>0</v>
      </c>
      <c r="N1113" s="132">
        <v>6.7825782810478899E+18</v>
      </c>
    </row>
    <row r="1114" spans="4:14" ht="15" customHeight="1" x14ac:dyDescent="0.2">
      <c r="D1114" s="130" t="b">
        <v>0</v>
      </c>
      <c r="E1114" s="124" t="s">
        <v>97</v>
      </c>
      <c r="F1114" s="125" t="s">
        <v>91</v>
      </c>
      <c r="G1114" s="125">
        <v>4</v>
      </c>
      <c r="H1114" s="123">
        <v>2</v>
      </c>
      <c r="I1114" s="123" t="s">
        <v>92</v>
      </c>
      <c r="J1114" s="123" t="s">
        <v>91</v>
      </c>
      <c r="K1114" s="123" t="s">
        <v>93</v>
      </c>
      <c r="L1114" s="132">
        <v>1034</v>
      </c>
      <c r="M1114" s="132">
        <v>0</v>
      </c>
      <c r="N1114" s="132">
        <v>5.5659769572415283E+18</v>
      </c>
    </row>
    <row r="1115" spans="4:14" ht="15" customHeight="1" x14ac:dyDescent="0.2">
      <c r="D1115" s="130" t="b">
        <v>0</v>
      </c>
      <c r="E1115" s="124" t="s">
        <v>97</v>
      </c>
      <c r="F1115" s="125" t="s">
        <v>91</v>
      </c>
      <c r="G1115" s="125">
        <v>4</v>
      </c>
      <c r="H1115" s="123">
        <v>4</v>
      </c>
      <c r="I1115" s="123" t="s">
        <v>95</v>
      </c>
      <c r="J1115" s="123" t="s">
        <v>96</v>
      </c>
      <c r="K1115" s="123" t="s">
        <v>93</v>
      </c>
      <c r="L1115" s="132">
        <v>1035</v>
      </c>
      <c r="M1115" s="132">
        <v>0</v>
      </c>
      <c r="N1115" s="132">
        <v>1.2543540313123533E+19</v>
      </c>
    </row>
    <row r="1116" spans="4:14" ht="15" customHeight="1" x14ac:dyDescent="0.2">
      <c r="D1116" s="130" t="b">
        <v>0</v>
      </c>
      <c r="E1116" s="124" t="s">
        <v>97</v>
      </c>
      <c r="F1116" s="125" t="s">
        <v>91</v>
      </c>
      <c r="G1116" s="125">
        <v>4</v>
      </c>
      <c r="H1116" s="123">
        <v>4</v>
      </c>
      <c r="I1116" s="123" t="s">
        <v>95</v>
      </c>
      <c r="J1116" s="123" t="s">
        <v>97</v>
      </c>
      <c r="K1116" s="123" t="s">
        <v>93</v>
      </c>
      <c r="L1116" s="132">
        <v>1036</v>
      </c>
      <c r="M1116" s="132">
        <v>0</v>
      </c>
      <c r="N1116" s="132">
        <v>3.6435292911101763E+18</v>
      </c>
    </row>
    <row r="1117" spans="4:14" ht="15" customHeight="1" x14ac:dyDescent="0.2">
      <c r="D1117" s="130" t="b">
        <v>0</v>
      </c>
      <c r="E1117" s="124" t="s">
        <v>97</v>
      </c>
      <c r="F1117" s="125" t="s">
        <v>91</v>
      </c>
      <c r="G1117" s="125">
        <v>4</v>
      </c>
      <c r="H1117" s="123">
        <v>4</v>
      </c>
      <c r="I1117" s="123" t="s">
        <v>95</v>
      </c>
      <c r="J1117" s="123" t="s">
        <v>91</v>
      </c>
      <c r="K1117" s="123" t="s">
        <v>100</v>
      </c>
      <c r="L1117" s="132">
        <v>1037</v>
      </c>
      <c r="M1117" s="132">
        <v>0</v>
      </c>
      <c r="N1117" s="132">
        <v>1.2305280186554937E+19</v>
      </c>
    </row>
    <row r="1118" spans="4:14" ht="15" customHeight="1" x14ac:dyDescent="0.2">
      <c r="D1118" s="130" t="b">
        <v>0</v>
      </c>
      <c r="E1118" s="124" t="s">
        <v>97</v>
      </c>
      <c r="F1118" s="125" t="s">
        <v>91</v>
      </c>
      <c r="G1118" s="125">
        <v>4</v>
      </c>
      <c r="H1118" s="123">
        <v>4</v>
      </c>
      <c r="I1118" s="123" t="s">
        <v>97</v>
      </c>
      <c r="J1118" s="123" t="s">
        <v>96</v>
      </c>
      <c r="K1118" s="123" t="s">
        <v>93</v>
      </c>
      <c r="L1118" s="132">
        <v>1038</v>
      </c>
      <c r="M1118" s="132">
        <v>0</v>
      </c>
      <c r="N1118" s="132">
        <v>2.8108854406925292E+18</v>
      </c>
    </row>
    <row r="1119" spans="4:14" ht="15" customHeight="1" x14ac:dyDescent="0.2">
      <c r="D1119" s="130" t="b">
        <v>0</v>
      </c>
      <c r="E1119" s="124" t="s">
        <v>97</v>
      </c>
      <c r="F1119" s="125" t="s">
        <v>91</v>
      </c>
      <c r="G1119" s="125">
        <v>4</v>
      </c>
      <c r="H1119" s="123">
        <v>4</v>
      </c>
      <c r="I1119" s="123" t="s">
        <v>97</v>
      </c>
      <c r="J1119" s="123" t="s">
        <v>97</v>
      </c>
      <c r="K1119" s="123" t="s">
        <v>100</v>
      </c>
      <c r="L1119" s="132">
        <v>1039</v>
      </c>
      <c r="M1119" s="132">
        <v>0</v>
      </c>
      <c r="N1119" s="132">
        <v>9.0865729988823419E+18</v>
      </c>
    </row>
    <row r="1120" spans="4:14" ht="15" customHeight="1" x14ac:dyDescent="0.2">
      <c r="D1120" s="130" t="b">
        <v>0</v>
      </c>
      <c r="E1120" s="124" t="s">
        <v>97</v>
      </c>
      <c r="F1120" s="125" t="s">
        <v>91</v>
      </c>
      <c r="G1120" s="125">
        <v>4</v>
      </c>
      <c r="H1120" s="123">
        <v>4</v>
      </c>
      <c r="I1120" s="123" t="s">
        <v>97</v>
      </c>
      <c r="J1120" s="123" t="s">
        <v>91</v>
      </c>
      <c r="K1120" s="123" t="s">
        <v>100</v>
      </c>
      <c r="L1120" s="132">
        <v>1040</v>
      </c>
      <c r="M1120" s="132">
        <v>0</v>
      </c>
      <c r="N1120" s="132">
        <v>1.3218767846658626E+19</v>
      </c>
    </row>
    <row r="1121" spans="4:14" ht="15" customHeight="1" x14ac:dyDescent="0.2">
      <c r="D1121" s="130" t="b">
        <v>0</v>
      </c>
      <c r="E1121" s="124" t="s">
        <v>97</v>
      </c>
      <c r="F1121" s="125" t="s">
        <v>91</v>
      </c>
      <c r="G1121" s="125">
        <v>4</v>
      </c>
      <c r="H1121" s="123">
        <v>4</v>
      </c>
      <c r="I1121" s="123" t="s">
        <v>92</v>
      </c>
      <c r="J1121" s="123" t="s">
        <v>96</v>
      </c>
      <c r="K1121" s="123" t="s">
        <v>93</v>
      </c>
      <c r="L1121" s="132">
        <v>1041</v>
      </c>
      <c r="M1121" s="132">
        <v>0</v>
      </c>
      <c r="N1121" s="132">
        <v>1.0768435569306673E+19</v>
      </c>
    </row>
    <row r="1122" spans="4:14" ht="15" customHeight="1" x14ac:dyDescent="0.2">
      <c r="D1122" s="130" t="b">
        <v>0</v>
      </c>
      <c r="E1122" s="124" t="s">
        <v>97</v>
      </c>
      <c r="F1122" s="125" t="s">
        <v>91</v>
      </c>
      <c r="G1122" s="125">
        <v>4</v>
      </c>
      <c r="H1122" s="123">
        <v>4</v>
      </c>
      <c r="I1122" s="123" t="s">
        <v>92</v>
      </c>
      <c r="J1122" s="123" t="s">
        <v>97</v>
      </c>
      <c r="K1122" s="123" t="s">
        <v>100</v>
      </c>
      <c r="L1122" s="132">
        <v>1042</v>
      </c>
      <c r="M1122" s="132">
        <v>0</v>
      </c>
      <c r="N1122" s="132">
        <v>1.6128277375491881E+19</v>
      </c>
    </row>
    <row r="1123" spans="4:14" ht="15" customHeight="1" x14ac:dyDescent="0.2">
      <c r="D1123" s="130" t="b">
        <v>0</v>
      </c>
      <c r="E1123" s="124" t="s">
        <v>97</v>
      </c>
      <c r="F1123" s="125" t="s">
        <v>91</v>
      </c>
      <c r="G1123" s="125">
        <v>4</v>
      </c>
      <c r="H1123" s="123">
        <v>4</v>
      </c>
      <c r="I1123" s="123" t="s">
        <v>92</v>
      </c>
      <c r="J1123" s="123" t="s">
        <v>91</v>
      </c>
      <c r="K1123" s="123" t="s">
        <v>100</v>
      </c>
      <c r="L1123" s="132">
        <v>1043</v>
      </c>
      <c r="M1123" s="132">
        <v>0</v>
      </c>
      <c r="N1123" s="132">
        <v>1.0483434145039878E+18</v>
      </c>
    </row>
    <row r="1124" spans="4:14" ht="15" customHeight="1" x14ac:dyDescent="0.2">
      <c r="D1124" s="130" t="b">
        <v>0</v>
      </c>
      <c r="E1124" s="124" t="s">
        <v>97</v>
      </c>
      <c r="F1124" s="125" t="s">
        <v>91</v>
      </c>
      <c r="G1124" s="125">
        <v>4</v>
      </c>
      <c r="H1124" s="123" t="s">
        <v>98</v>
      </c>
      <c r="I1124" s="123" t="s">
        <v>95</v>
      </c>
      <c r="J1124" s="123" t="s">
        <v>96</v>
      </c>
      <c r="K1124" s="123" t="s">
        <v>93</v>
      </c>
      <c r="L1124" s="132">
        <v>1044</v>
      </c>
      <c r="M1124" s="132">
        <v>0</v>
      </c>
      <c r="N1124" s="132">
        <v>9.0613579804888412E+18</v>
      </c>
    </row>
    <row r="1125" spans="4:14" ht="15" customHeight="1" x14ac:dyDescent="0.2">
      <c r="D1125" s="130" t="b">
        <v>0</v>
      </c>
      <c r="E1125" s="124" t="s">
        <v>97</v>
      </c>
      <c r="F1125" s="125" t="s">
        <v>91</v>
      </c>
      <c r="G1125" s="125">
        <v>4</v>
      </c>
      <c r="H1125" s="123" t="s">
        <v>98</v>
      </c>
      <c r="I1125" s="123" t="s">
        <v>95</v>
      </c>
      <c r="J1125" s="123" t="s">
        <v>97</v>
      </c>
      <c r="K1125" s="123" t="s">
        <v>93</v>
      </c>
      <c r="L1125" s="132">
        <v>1045</v>
      </c>
      <c r="M1125" s="132">
        <v>0</v>
      </c>
      <c r="N1125" s="132">
        <v>3.5514019745793644E+18</v>
      </c>
    </row>
    <row r="1126" spans="4:14" ht="15" customHeight="1" x14ac:dyDescent="0.2">
      <c r="D1126" s="130" t="b">
        <v>0</v>
      </c>
      <c r="E1126" s="124" t="s">
        <v>97</v>
      </c>
      <c r="F1126" s="125" t="s">
        <v>91</v>
      </c>
      <c r="G1126" s="125">
        <v>4</v>
      </c>
      <c r="H1126" s="123" t="s">
        <v>98</v>
      </c>
      <c r="I1126" s="123" t="s">
        <v>95</v>
      </c>
      <c r="J1126" s="123" t="s">
        <v>91</v>
      </c>
      <c r="K1126" s="123" t="s">
        <v>100</v>
      </c>
      <c r="L1126" s="132">
        <v>1046</v>
      </c>
      <c r="M1126" s="132">
        <v>0</v>
      </c>
      <c r="N1126" s="132">
        <v>5.1084730781710848E+17</v>
      </c>
    </row>
    <row r="1127" spans="4:14" ht="15" customHeight="1" x14ac:dyDescent="0.2">
      <c r="D1127" s="130" t="b">
        <v>0</v>
      </c>
      <c r="E1127" s="124" t="s">
        <v>97</v>
      </c>
      <c r="F1127" s="125" t="s">
        <v>91</v>
      </c>
      <c r="G1127" s="125">
        <v>4</v>
      </c>
      <c r="H1127" s="123" t="s">
        <v>98</v>
      </c>
      <c r="I1127" s="123" t="s">
        <v>97</v>
      </c>
      <c r="J1127" s="123" t="s">
        <v>96</v>
      </c>
      <c r="K1127" s="123" t="s">
        <v>93</v>
      </c>
      <c r="L1127" s="132">
        <v>1047</v>
      </c>
      <c r="M1127" s="132">
        <v>0</v>
      </c>
      <c r="N1127" s="132">
        <v>3.2097906698031841E+18</v>
      </c>
    </row>
    <row r="1128" spans="4:14" ht="15" customHeight="1" x14ac:dyDescent="0.2">
      <c r="D1128" s="130" t="b">
        <v>0</v>
      </c>
      <c r="E1128" s="124" t="s">
        <v>97</v>
      </c>
      <c r="F1128" s="125" t="s">
        <v>91</v>
      </c>
      <c r="G1128" s="125">
        <v>4</v>
      </c>
      <c r="H1128" s="123" t="s">
        <v>98</v>
      </c>
      <c r="I1128" s="123" t="s">
        <v>97</v>
      </c>
      <c r="J1128" s="123" t="s">
        <v>97</v>
      </c>
      <c r="K1128" s="123" t="s">
        <v>100</v>
      </c>
      <c r="L1128" s="132">
        <v>1048</v>
      </c>
      <c r="M1128" s="132">
        <v>0</v>
      </c>
      <c r="N1128" s="132">
        <v>1.6203533642583839E+19</v>
      </c>
    </row>
    <row r="1129" spans="4:14" ht="15" customHeight="1" x14ac:dyDescent="0.2">
      <c r="D1129" s="130" t="b">
        <v>0</v>
      </c>
      <c r="E1129" s="124" t="s">
        <v>97</v>
      </c>
      <c r="F1129" s="125" t="s">
        <v>91</v>
      </c>
      <c r="G1129" s="125">
        <v>4</v>
      </c>
      <c r="H1129" s="123" t="s">
        <v>98</v>
      </c>
      <c r="I1129" s="123" t="s">
        <v>97</v>
      </c>
      <c r="J1129" s="123" t="s">
        <v>91</v>
      </c>
      <c r="K1129" s="123" t="s">
        <v>100</v>
      </c>
      <c r="L1129" s="132">
        <v>1049</v>
      </c>
      <c r="M1129" s="132">
        <v>0</v>
      </c>
      <c r="N1129" s="132">
        <v>1.4422445767709067E+19</v>
      </c>
    </row>
    <row r="1130" spans="4:14" ht="15" customHeight="1" x14ac:dyDescent="0.2">
      <c r="D1130" s="130" t="b">
        <v>0</v>
      </c>
      <c r="E1130" s="124" t="s">
        <v>97</v>
      </c>
      <c r="F1130" s="125" t="s">
        <v>91</v>
      </c>
      <c r="G1130" s="125">
        <v>4</v>
      </c>
      <c r="H1130" s="123" t="s">
        <v>98</v>
      </c>
      <c r="I1130" s="123" t="s">
        <v>92</v>
      </c>
      <c r="J1130" s="123" t="s">
        <v>96</v>
      </c>
      <c r="K1130" s="123" t="s">
        <v>93</v>
      </c>
      <c r="L1130" s="132">
        <v>1050</v>
      </c>
      <c r="M1130" s="132">
        <v>0</v>
      </c>
      <c r="N1130" s="132">
        <v>6.4484310173595668E+18</v>
      </c>
    </row>
    <row r="1131" spans="4:14" ht="15" customHeight="1" x14ac:dyDescent="0.2">
      <c r="D1131" s="130" t="b">
        <v>0</v>
      </c>
      <c r="E1131" s="124" t="s">
        <v>97</v>
      </c>
      <c r="F1131" s="125" t="s">
        <v>91</v>
      </c>
      <c r="G1131" s="125">
        <v>4</v>
      </c>
      <c r="H1131" s="123" t="s">
        <v>98</v>
      </c>
      <c r="I1131" s="123" t="s">
        <v>92</v>
      </c>
      <c r="J1131" s="123" t="s">
        <v>97</v>
      </c>
      <c r="K1131" s="123" t="s">
        <v>100</v>
      </c>
      <c r="L1131" s="132">
        <v>1051</v>
      </c>
      <c r="M1131" s="132">
        <v>0</v>
      </c>
      <c r="N1131" s="132">
        <v>4.2337469418841805E+18</v>
      </c>
    </row>
    <row r="1132" spans="4:14" ht="15" customHeight="1" x14ac:dyDescent="0.2">
      <c r="D1132" s="130" t="b">
        <v>0</v>
      </c>
      <c r="E1132" s="124" t="s">
        <v>97</v>
      </c>
      <c r="F1132" s="125" t="s">
        <v>91</v>
      </c>
      <c r="G1132" s="125">
        <v>4</v>
      </c>
      <c r="H1132" s="123" t="s">
        <v>98</v>
      </c>
      <c r="I1132" s="123" t="s">
        <v>92</v>
      </c>
      <c r="J1132" s="123" t="s">
        <v>91</v>
      </c>
      <c r="K1132" s="123" t="s">
        <v>100</v>
      </c>
      <c r="L1132" s="132">
        <v>1052</v>
      </c>
      <c r="M1132" s="132">
        <v>0</v>
      </c>
      <c r="N1132" s="132">
        <v>2.9781701953588014E+18</v>
      </c>
    </row>
    <row r="1133" spans="4:14" ht="15" customHeight="1" x14ac:dyDescent="0.2">
      <c r="D1133" s="130" t="b">
        <v>0</v>
      </c>
      <c r="E1133" s="124" t="s">
        <v>97</v>
      </c>
      <c r="F1133" s="125" t="s">
        <v>91</v>
      </c>
      <c r="G1133" s="125" t="s">
        <v>99</v>
      </c>
      <c r="H1133" s="123">
        <v>2</v>
      </c>
      <c r="I1133" s="123" t="s">
        <v>95</v>
      </c>
      <c r="J1133" s="123" t="s">
        <v>96</v>
      </c>
      <c r="K1133" s="123" t="s">
        <v>93</v>
      </c>
      <c r="L1133" s="132">
        <v>1053</v>
      </c>
      <c r="M1133" s="132">
        <v>0</v>
      </c>
      <c r="N1133" s="132">
        <v>6.0892280577848443E+18</v>
      </c>
    </row>
    <row r="1134" spans="4:14" ht="15" customHeight="1" x14ac:dyDescent="0.2">
      <c r="D1134" s="130" t="b">
        <v>0</v>
      </c>
      <c r="E1134" s="124" t="s">
        <v>97</v>
      </c>
      <c r="F1134" s="125" t="s">
        <v>91</v>
      </c>
      <c r="G1134" s="125" t="s">
        <v>99</v>
      </c>
      <c r="H1134" s="123">
        <v>2</v>
      </c>
      <c r="I1134" s="123" t="s">
        <v>95</v>
      </c>
      <c r="J1134" s="123" t="s">
        <v>97</v>
      </c>
      <c r="K1134" s="123" t="s">
        <v>93</v>
      </c>
      <c r="L1134" s="132">
        <v>1054</v>
      </c>
      <c r="M1134" s="132">
        <v>0</v>
      </c>
      <c r="N1134" s="132">
        <v>1.1188515753173074E+19</v>
      </c>
    </row>
    <row r="1135" spans="4:14" ht="15" customHeight="1" x14ac:dyDescent="0.2">
      <c r="D1135" s="130" t="b">
        <v>0</v>
      </c>
      <c r="E1135" s="124" t="s">
        <v>97</v>
      </c>
      <c r="F1135" s="125" t="s">
        <v>91</v>
      </c>
      <c r="G1135" s="125" t="s">
        <v>99</v>
      </c>
      <c r="H1135" s="123">
        <v>2</v>
      </c>
      <c r="I1135" s="123" t="s">
        <v>95</v>
      </c>
      <c r="J1135" s="123" t="s">
        <v>91</v>
      </c>
      <c r="K1135" s="123" t="s">
        <v>93</v>
      </c>
      <c r="L1135" s="132">
        <v>1055</v>
      </c>
      <c r="M1135" s="132">
        <v>0</v>
      </c>
      <c r="N1135" s="132">
        <v>1.0355745213738193E+19</v>
      </c>
    </row>
    <row r="1136" spans="4:14" ht="15" customHeight="1" x14ac:dyDescent="0.2">
      <c r="D1136" s="130" t="b">
        <v>0</v>
      </c>
      <c r="E1136" s="124" t="s">
        <v>97</v>
      </c>
      <c r="F1136" s="125" t="s">
        <v>91</v>
      </c>
      <c r="G1136" s="125" t="s">
        <v>99</v>
      </c>
      <c r="H1136" s="123">
        <v>2</v>
      </c>
      <c r="I1136" s="123" t="s">
        <v>97</v>
      </c>
      <c r="J1136" s="123" t="s">
        <v>96</v>
      </c>
      <c r="K1136" s="123" t="s">
        <v>93</v>
      </c>
      <c r="L1136" s="132">
        <v>1056</v>
      </c>
      <c r="M1136" s="132">
        <v>0</v>
      </c>
      <c r="N1136" s="132">
        <v>2.0053491482497989E+18</v>
      </c>
    </row>
    <row r="1137" spans="4:14" ht="15" customHeight="1" x14ac:dyDescent="0.2">
      <c r="D1137" s="130" t="b">
        <v>0</v>
      </c>
      <c r="E1137" s="124" t="s">
        <v>97</v>
      </c>
      <c r="F1137" s="125" t="s">
        <v>91</v>
      </c>
      <c r="G1137" s="125" t="s">
        <v>99</v>
      </c>
      <c r="H1137" s="123">
        <v>2</v>
      </c>
      <c r="I1137" s="123" t="s">
        <v>97</v>
      </c>
      <c r="J1137" s="123" t="s">
        <v>97</v>
      </c>
      <c r="K1137" s="123" t="s">
        <v>93</v>
      </c>
      <c r="L1137" s="132">
        <v>1057</v>
      </c>
      <c r="M1137" s="132">
        <v>0</v>
      </c>
      <c r="N1137" s="132">
        <v>2.4923302875345239E+18</v>
      </c>
    </row>
    <row r="1138" spans="4:14" ht="15" customHeight="1" x14ac:dyDescent="0.2">
      <c r="D1138" s="130" t="b">
        <v>0</v>
      </c>
      <c r="E1138" s="124" t="s">
        <v>97</v>
      </c>
      <c r="F1138" s="125" t="s">
        <v>91</v>
      </c>
      <c r="G1138" s="125" t="s">
        <v>99</v>
      </c>
      <c r="H1138" s="123">
        <v>2</v>
      </c>
      <c r="I1138" s="123" t="s">
        <v>97</v>
      </c>
      <c r="J1138" s="123" t="s">
        <v>91</v>
      </c>
      <c r="K1138" s="123" t="s">
        <v>93</v>
      </c>
      <c r="L1138" s="132">
        <v>1058</v>
      </c>
      <c r="M1138" s="132">
        <v>0</v>
      </c>
      <c r="N1138" s="132">
        <v>1.4928936751634055E+19</v>
      </c>
    </row>
    <row r="1139" spans="4:14" ht="15" customHeight="1" x14ac:dyDescent="0.2">
      <c r="D1139" s="130" t="b">
        <v>0</v>
      </c>
      <c r="E1139" s="124" t="s">
        <v>97</v>
      </c>
      <c r="F1139" s="125" t="s">
        <v>91</v>
      </c>
      <c r="G1139" s="125" t="s">
        <v>99</v>
      </c>
      <c r="H1139" s="123">
        <v>2</v>
      </c>
      <c r="I1139" s="123" t="s">
        <v>92</v>
      </c>
      <c r="J1139" s="123" t="s">
        <v>96</v>
      </c>
      <c r="K1139" s="123" t="s">
        <v>93</v>
      </c>
      <c r="L1139" s="132">
        <v>1059</v>
      </c>
      <c r="M1139" s="132">
        <v>0</v>
      </c>
      <c r="N1139" s="132">
        <v>7.9542686132461425E+18</v>
      </c>
    </row>
    <row r="1140" spans="4:14" ht="15" customHeight="1" x14ac:dyDescent="0.2">
      <c r="D1140" s="130" t="b">
        <v>0</v>
      </c>
      <c r="E1140" s="124" t="s">
        <v>97</v>
      </c>
      <c r="F1140" s="125" t="s">
        <v>91</v>
      </c>
      <c r="G1140" s="125" t="s">
        <v>99</v>
      </c>
      <c r="H1140" s="123">
        <v>2</v>
      </c>
      <c r="I1140" s="123" t="s">
        <v>92</v>
      </c>
      <c r="J1140" s="123" t="s">
        <v>97</v>
      </c>
      <c r="K1140" s="123" t="s">
        <v>93</v>
      </c>
      <c r="L1140" s="132">
        <v>1060</v>
      </c>
      <c r="M1140" s="132">
        <v>0</v>
      </c>
      <c r="N1140" s="132">
        <v>2.5062923197576238E+18</v>
      </c>
    </row>
    <row r="1141" spans="4:14" ht="15" customHeight="1" x14ac:dyDescent="0.2">
      <c r="D1141" s="130" t="b">
        <v>0</v>
      </c>
      <c r="E1141" s="124" t="s">
        <v>97</v>
      </c>
      <c r="F1141" s="125" t="s">
        <v>91</v>
      </c>
      <c r="G1141" s="125" t="s">
        <v>99</v>
      </c>
      <c r="H1141" s="123">
        <v>2</v>
      </c>
      <c r="I1141" s="123" t="s">
        <v>92</v>
      </c>
      <c r="J1141" s="123" t="s">
        <v>91</v>
      </c>
      <c r="K1141" s="123" t="s">
        <v>93</v>
      </c>
      <c r="L1141" s="132">
        <v>1061</v>
      </c>
      <c r="M1141" s="132">
        <v>0</v>
      </c>
      <c r="N1141" s="132">
        <v>1.2244403771253826E+19</v>
      </c>
    </row>
    <row r="1142" spans="4:14" ht="15" customHeight="1" x14ac:dyDescent="0.2">
      <c r="D1142" s="130" t="b">
        <v>0</v>
      </c>
      <c r="E1142" s="124" t="s">
        <v>97</v>
      </c>
      <c r="F1142" s="125" t="s">
        <v>91</v>
      </c>
      <c r="G1142" s="125" t="s">
        <v>99</v>
      </c>
      <c r="H1142" s="123">
        <v>4</v>
      </c>
      <c r="I1142" s="123" t="s">
        <v>95</v>
      </c>
      <c r="J1142" s="123" t="s">
        <v>96</v>
      </c>
      <c r="K1142" s="123" t="s">
        <v>93</v>
      </c>
      <c r="L1142" s="132">
        <v>1062</v>
      </c>
      <c r="M1142" s="132">
        <v>0</v>
      </c>
      <c r="N1142" s="132">
        <v>7.621549384009602E+18</v>
      </c>
    </row>
    <row r="1143" spans="4:14" ht="15" customHeight="1" x14ac:dyDescent="0.2">
      <c r="D1143" s="130" t="b">
        <v>0</v>
      </c>
      <c r="E1143" s="124" t="s">
        <v>97</v>
      </c>
      <c r="F1143" s="125" t="s">
        <v>91</v>
      </c>
      <c r="G1143" s="125" t="s">
        <v>99</v>
      </c>
      <c r="H1143" s="123">
        <v>4</v>
      </c>
      <c r="I1143" s="123" t="s">
        <v>95</v>
      </c>
      <c r="J1143" s="123" t="s">
        <v>97</v>
      </c>
      <c r="K1143" s="123" t="s">
        <v>93</v>
      </c>
      <c r="L1143" s="132">
        <v>1063</v>
      </c>
      <c r="M1143" s="132">
        <v>0</v>
      </c>
      <c r="N1143" s="132">
        <v>1.7449871498550204E+19</v>
      </c>
    </row>
    <row r="1144" spans="4:14" ht="15" customHeight="1" x14ac:dyDescent="0.2">
      <c r="D1144" s="130" t="b">
        <v>0</v>
      </c>
      <c r="E1144" s="124" t="s">
        <v>97</v>
      </c>
      <c r="F1144" s="125" t="s">
        <v>91</v>
      </c>
      <c r="G1144" s="125" t="s">
        <v>99</v>
      </c>
      <c r="H1144" s="123">
        <v>4</v>
      </c>
      <c r="I1144" s="123" t="s">
        <v>95</v>
      </c>
      <c r="J1144" s="123" t="s">
        <v>91</v>
      </c>
      <c r="K1144" s="123" t="s">
        <v>100</v>
      </c>
      <c r="L1144" s="132">
        <v>1064</v>
      </c>
      <c r="M1144" s="132">
        <v>0</v>
      </c>
      <c r="N1144" s="132">
        <v>1.1929858667225565E+19</v>
      </c>
    </row>
    <row r="1145" spans="4:14" ht="15" customHeight="1" x14ac:dyDescent="0.2">
      <c r="D1145" s="130" t="b">
        <v>0</v>
      </c>
      <c r="E1145" s="124" t="s">
        <v>97</v>
      </c>
      <c r="F1145" s="125" t="s">
        <v>91</v>
      </c>
      <c r="G1145" s="125" t="s">
        <v>99</v>
      </c>
      <c r="H1145" s="123">
        <v>4</v>
      </c>
      <c r="I1145" s="123" t="s">
        <v>97</v>
      </c>
      <c r="J1145" s="123" t="s">
        <v>96</v>
      </c>
      <c r="K1145" s="123" t="s">
        <v>93</v>
      </c>
      <c r="L1145" s="132">
        <v>1065</v>
      </c>
      <c r="M1145" s="132">
        <v>0</v>
      </c>
      <c r="N1145" s="132">
        <v>1.1580258115809145E+19</v>
      </c>
    </row>
    <row r="1146" spans="4:14" ht="15" customHeight="1" x14ac:dyDescent="0.2">
      <c r="D1146" s="130" t="b">
        <v>0</v>
      </c>
      <c r="E1146" s="124" t="s">
        <v>97</v>
      </c>
      <c r="F1146" s="125" t="s">
        <v>91</v>
      </c>
      <c r="G1146" s="125" t="s">
        <v>99</v>
      </c>
      <c r="H1146" s="123">
        <v>4</v>
      </c>
      <c r="I1146" s="123" t="s">
        <v>97</v>
      </c>
      <c r="J1146" s="123" t="s">
        <v>97</v>
      </c>
      <c r="K1146" s="123" t="s">
        <v>100</v>
      </c>
      <c r="L1146" s="132">
        <v>1066</v>
      </c>
      <c r="M1146" s="132">
        <v>0</v>
      </c>
      <c r="N1146" s="132">
        <v>4.4086897966820982E+18</v>
      </c>
    </row>
    <row r="1147" spans="4:14" ht="15" customHeight="1" x14ac:dyDescent="0.2">
      <c r="D1147" s="130" t="b">
        <v>0</v>
      </c>
      <c r="E1147" s="124" t="s">
        <v>97</v>
      </c>
      <c r="F1147" s="125" t="s">
        <v>91</v>
      </c>
      <c r="G1147" s="125" t="s">
        <v>99</v>
      </c>
      <c r="H1147" s="123">
        <v>4</v>
      </c>
      <c r="I1147" s="123" t="s">
        <v>97</v>
      </c>
      <c r="J1147" s="123" t="s">
        <v>91</v>
      </c>
      <c r="K1147" s="123" t="s">
        <v>100</v>
      </c>
      <c r="L1147" s="132">
        <v>1067</v>
      </c>
      <c r="M1147" s="132">
        <v>0</v>
      </c>
      <c r="N1147" s="132">
        <v>1.392543908642365E+19</v>
      </c>
    </row>
    <row r="1148" spans="4:14" ht="15" customHeight="1" x14ac:dyDescent="0.2">
      <c r="D1148" s="130" t="b">
        <v>0</v>
      </c>
      <c r="E1148" s="124" t="s">
        <v>97</v>
      </c>
      <c r="F1148" s="125" t="s">
        <v>91</v>
      </c>
      <c r="G1148" s="125" t="s">
        <v>99</v>
      </c>
      <c r="H1148" s="123">
        <v>4</v>
      </c>
      <c r="I1148" s="123" t="s">
        <v>92</v>
      </c>
      <c r="J1148" s="123" t="s">
        <v>96</v>
      </c>
      <c r="K1148" s="123" t="s">
        <v>93</v>
      </c>
      <c r="L1148" s="132">
        <v>1068</v>
      </c>
      <c r="M1148" s="132">
        <v>0</v>
      </c>
      <c r="N1148" s="132">
        <v>1.3903997865964874E+19</v>
      </c>
    </row>
    <row r="1149" spans="4:14" ht="15" customHeight="1" x14ac:dyDescent="0.2">
      <c r="D1149" s="130" t="b">
        <v>0</v>
      </c>
      <c r="E1149" s="124" t="s">
        <v>97</v>
      </c>
      <c r="F1149" s="125" t="s">
        <v>91</v>
      </c>
      <c r="G1149" s="125" t="s">
        <v>99</v>
      </c>
      <c r="H1149" s="123">
        <v>4</v>
      </c>
      <c r="I1149" s="123" t="s">
        <v>92</v>
      </c>
      <c r="J1149" s="123" t="s">
        <v>97</v>
      </c>
      <c r="K1149" s="123" t="s">
        <v>100</v>
      </c>
      <c r="L1149" s="132">
        <v>1069</v>
      </c>
      <c r="M1149" s="132">
        <v>0</v>
      </c>
      <c r="N1149" s="132">
        <v>1.026237113970292E+18</v>
      </c>
    </row>
    <row r="1150" spans="4:14" ht="15" customHeight="1" x14ac:dyDescent="0.2">
      <c r="D1150" s="130" t="b">
        <v>0</v>
      </c>
      <c r="E1150" s="124" t="s">
        <v>97</v>
      </c>
      <c r="F1150" s="125" t="s">
        <v>91</v>
      </c>
      <c r="G1150" s="125" t="s">
        <v>99</v>
      </c>
      <c r="H1150" s="123">
        <v>4</v>
      </c>
      <c r="I1150" s="123" t="s">
        <v>92</v>
      </c>
      <c r="J1150" s="123" t="s">
        <v>91</v>
      </c>
      <c r="K1150" s="123" t="s">
        <v>100</v>
      </c>
      <c r="L1150" s="132">
        <v>1070</v>
      </c>
      <c r="M1150" s="132">
        <v>0</v>
      </c>
      <c r="N1150" s="132">
        <v>1.8770121598481869E+18</v>
      </c>
    </row>
    <row r="1151" spans="4:14" ht="15" customHeight="1" x14ac:dyDescent="0.2">
      <c r="D1151" s="130" t="b">
        <v>0</v>
      </c>
      <c r="E1151" s="124" t="s">
        <v>97</v>
      </c>
      <c r="F1151" s="125" t="s">
        <v>91</v>
      </c>
      <c r="G1151" s="125" t="s">
        <v>99</v>
      </c>
      <c r="H1151" s="123" t="s">
        <v>98</v>
      </c>
      <c r="I1151" s="123" t="s">
        <v>95</v>
      </c>
      <c r="J1151" s="123" t="s">
        <v>96</v>
      </c>
      <c r="K1151" s="123" t="s">
        <v>93</v>
      </c>
      <c r="L1151" s="132">
        <v>1071</v>
      </c>
      <c r="M1151" s="132">
        <v>0</v>
      </c>
      <c r="N1151" s="132">
        <v>1.3913174222823291E+19</v>
      </c>
    </row>
    <row r="1152" spans="4:14" ht="15" customHeight="1" x14ac:dyDescent="0.2">
      <c r="D1152" s="130" t="b">
        <v>0</v>
      </c>
      <c r="E1152" s="124" t="s">
        <v>97</v>
      </c>
      <c r="F1152" s="125" t="s">
        <v>91</v>
      </c>
      <c r="G1152" s="125" t="s">
        <v>99</v>
      </c>
      <c r="H1152" s="123" t="s">
        <v>98</v>
      </c>
      <c r="I1152" s="123" t="s">
        <v>95</v>
      </c>
      <c r="J1152" s="123" t="s">
        <v>97</v>
      </c>
      <c r="K1152" s="123" t="s">
        <v>93</v>
      </c>
      <c r="L1152" s="132">
        <v>1072</v>
      </c>
      <c r="M1152" s="132">
        <v>0</v>
      </c>
      <c r="N1152" s="132">
        <v>2.8463835842518374E+18</v>
      </c>
    </row>
    <row r="1153" spans="4:14" ht="15" customHeight="1" x14ac:dyDescent="0.2">
      <c r="D1153" s="130" t="b">
        <v>0</v>
      </c>
      <c r="E1153" s="124" t="s">
        <v>97</v>
      </c>
      <c r="F1153" s="125" t="s">
        <v>91</v>
      </c>
      <c r="G1153" s="125" t="s">
        <v>99</v>
      </c>
      <c r="H1153" s="123" t="s">
        <v>98</v>
      </c>
      <c r="I1153" s="123" t="s">
        <v>95</v>
      </c>
      <c r="J1153" s="123" t="s">
        <v>91</v>
      </c>
      <c r="K1153" s="123" t="s">
        <v>100</v>
      </c>
      <c r="L1153" s="132">
        <v>1073</v>
      </c>
      <c r="M1153" s="132">
        <v>0</v>
      </c>
      <c r="N1153" s="132">
        <v>9.5312261616504422E+18</v>
      </c>
    </row>
    <row r="1154" spans="4:14" ht="15" customHeight="1" x14ac:dyDescent="0.2">
      <c r="D1154" s="130" t="b">
        <v>0</v>
      </c>
      <c r="E1154" s="124" t="s">
        <v>97</v>
      </c>
      <c r="F1154" s="125" t="s">
        <v>91</v>
      </c>
      <c r="G1154" s="125" t="s">
        <v>99</v>
      </c>
      <c r="H1154" s="123" t="s">
        <v>98</v>
      </c>
      <c r="I1154" s="123" t="s">
        <v>97</v>
      </c>
      <c r="J1154" s="123" t="s">
        <v>96</v>
      </c>
      <c r="K1154" s="123" t="s">
        <v>93</v>
      </c>
      <c r="L1154" s="132">
        <v>1074</v>
      </c>
      <c r="M1154" s="132">
        <v>0</v>
      </c>
      <c r="N1154" s="132">
        <v>1.0940933169409212E+19</v>
      </c>
    </row>
    <row r="1155" spans="4:14" ht="15" customHeight="1" x14ac:dyDescent="0.2">
      <c r="D1155" s="130" t="b">
        <v>0</v>
      </c>
      <c r="E1155" s="124" t="s">
        <v>97</v>
      </c>
      <c r="F1155" s="125" t="s">
        <v>91</v>
      </c>
      <c r="G1155" s="125" t="s">
        <v>99</v>
      </c>
      <c r="H1155" s="123" t="s">
        <v>98</v>
      </c>
      <c r="I1155" s="123" t="s">
        <v>97</v>
      </c>
      <c r="J1155" s="123" t="s">
        <v>97</v>
      </c>
      <c r="K1155" s="123" t="s">
        <v>100</v>
      </c>
      <c r="L1155" s="132">
        <v>1075</v>
      </c>
      <c r="M1155" s="132">
        <v>0</v>
      </c>
      <c r="N1155" s="132">
        <v>1.5118098592937183E+19</v>
      </c>
    </row>
    <row r="1156" spans="4:14" ht="15" customHeight="1" x14ac:dyDescent="0.2">
      <c r="D1156" s="130" t="b">
        <v>0</v>
      </c>
      <c r="E1156" s="124" t="s">
        <v>97</v>
      </c>
      <c r="F1156" s="125" t="s">
        <v>91</v>
      </c>
      <c r="G1156" s="125" t="s">
        <v>99</v>
      </c>
      <c r="H1156" s="123" t="s">
        <v>98</v>
      </c>
      <c r="I1156" s="123" t="s">
        <v>97</v>
      </c>
      <c r="J1156" s="123" t="s">
        <v>91</v>
      </c>
      <c r="K1156" s="123" t="s">
        <v>100</v>
      </c>
      <c r="L1156" s="132">
        <v>1076</v>
      </c>
      <c r="M1156" s="132">
        <v>0</v>
      </c>
      <c r="N1156" s="132">
        <v>2.3542890034036884E+18</v>
      </c>
    </row>
    <row r="1157" spans="4:14" ht="15" customHeight="1" x14ac:dyDescent="0.2">
      <c r="D1157" s="130" t="b">
        <v>0</v>
      </c>
      <c r="E1157" s="124" t="s">
        <v>97</v>
      </c>
      <c r="F1157" s="125" t="s">
        <v>91</v>
      </c>
      <c r="G1157" s="125" t="s">
        <v>99</v>
      </c>
      <c r="H1157" s="123" t="s">
        <v>98</v>
      </c>
      <c r="I1157" s="123" t="s">
        <v>92</v>
      </c>
      <c r="J1157" s="123" t="s">
        <v>96</v>
      </c>
      <c r="K1157" s="123" t="s">
        <v>93</v>
      </c>
      <c r="L1157" s="132">
        <v>1077</v>
      </c>
      <c r="M1157" s="132">
        <v>0</v>
      </c>
      <c r="N1157" s="132">
        <v>8.6405792400192358E+18</v>
      </c>
    </row>
    <row r="1158" spans="4:14" ht="15" customHeight="1" x14ac:dyDescent="0.2">
      <c r="D1158" s="130" t="b">
        <v>0</v>
      </c>
      <c r="E1158" s="124" t="s">
        <v>97</v>
      </c>
      <c r="F1158" s="125" t="s">
        <v>91</v>
      </c>
      <c r="G1158" s="125" t="s">
        <v>99</v>
      </c>
      <c r="H1158" s="123" t="s">
        <v>98</v>
      </c>
      <c r="I1158" s="123" t="s">
        <v>92</v>
      </c>
      <c r="J1158" s="123" t="s">
        <v>97</v>
      </c>
      <c r="K1158" s="123" t="s">
        <v>100</v>
      </c>
      <c r="L1158" s="132">
        <v>1078</v>
      </c>
      <c r="M1158" s="132">
        <v>0</v>
      </c>
      <c r="N1158" s="132">
        <v>5.9669246266169856E+18</v>
      </c>
    </row>
    <row r="1159" spans="4:14" ht="15" customHeight="1" x14ac:dyDescent="0.2">
      <c r="D1159" s="130" t="b">
        <v>0</v>
      </c>
      <c r="E1159" s="124" t="s">
        <v>97</v>
      </c>
      <c r="F1159" s="125" t="s">
        <v>91</v>
      </c>
      <c r="G1159" s="125" t="s">
        <v>99</v>
      </c>
      <c r="H1159" s="123" t="s">
        <v>98</v>
      </c>
      <c r="I1159" s="123" t="s">
        <v>92</v>
      </c>
      <c r="J1159" s="123" t="s">
        <v>91</v>
      </c>
      <c r="K1159" s="123" t="s">
        <v>100</v>
      </c>
      <c r="L1159" s="132">
        <v>1079</v>
      </c>
      <c r="M1159" s="132">
        <v>0</v>
      </c>
      <c r="N1159" s="132">
        <v>1.3021729748738621E+19</v>
      </c>
    </row>
    <row r="1160" spans="4:14" ht="15" customHeight="1" x14ac:dyDescent="0.2">
      <c r="D1160" s="130" t="b">
        <v>0</v>
      </c>
      <c r="E1160" s="124" t="s">
        <v>97</v>
      </c>
      <c r="F1160" s="125" t="s">
        <v>97</v>
      </c>
      <c r="G1160" s="125">
        <v>2</v>
      </c>
      <c r="H1160" s="123">
        <v>2</v>
      </c>
      <c r="I1160" s="123" t="s">
        <v>95</v>
      </c>
      <c r="J1160" s="123" t="s">
        <v>96</v>
      </c>
      <c r="K1160" s="123" t="s">
        <v>93</v>
      </c>
      <c r="L1160" s="132">
        <v>1080</v>
      </c>
      <c r="M1160" s="132">
        <v>0</v>
      </c>
      <c r="N1160" s="132">
        <v>1.3178001732707181E+19</v>
      </c>
    </row>
    <row r="1161" spans="4:14" ht="15" customHeight="1" x14ac:dyDescent="0.2">
      <c r="D1161" s="130" t="b">
        <v>0</v>
      </c>
      <c r="E1161" s="124" t="s">
        <v>97</v>
      </c>
      <c r="F1161" s="125" t="s">
        <v>97</v>
      </c>
      <c r="G1161" s="125">
        <v>2</v>
      </c>
      <c r="H1161" s="123">
        <v>2</v>
      </c>
      <c r="I1161" s="123" t="s">
        <v>95</v>
      </c>
      <c r="J1161" s="123" t="s">
        <v>97</v>
      </c>
      <c r="K1161" s="123" t="s">
        <v>93</v>
      </c>
      <c r="L1161" s="132">
        <v>1081</v>
      </c>
      <c r="M1161" s="132">
        <v>0</v>
      </c>
      <c r="N1161" s="132">
        <v>8.6711043298615798E+18</v>
      </c>
    </row>
    <row r="1162" spans="4:14" ht="15" customHeight="1" x14ac:dyDescent="0.2">
      <c r="D1162" s="130" t="b">
        <v>0</v>
      </c>
      <c r="E1162" s="124" t="s">
        <v>97</v>
      </c>
      <c r="F1162" s="125" t="s">
        <v>97</v>
      </c>
      <c r="G1162" s="125">
        <v>2</v>
      </c>
      <c r="H1162" s="123">
        <v>2</v>
      </c>
      <c r="I1162" s="123" t="s">
        <v>95</v>
      </c>
      <c r="J1162" s="123" t="s">
        <v>91</v>
      </c>
      <c r="K1162" s="123" t="s">
        <v>93</v>
      </c>
      <c r="L1162" s="132">
        <v>1082</v>
      </c>
      <c r="M1162" s="132">
        <v>0</v>
      </c>
      <c r="N1162" s="132">
        <v>2.2696067938133056E+18</v>
      </c>
    </row>
    <row r="1163" spans="4:14" ht="15" customHeight="1" x14ac:dyDescent="0.2">
      <c r="D1163" s="130" t="b">
        <v>0</v>
      </c>
      <c r="E1163" s="124" t="s">
        <v>97</v>
      </c>
      <c r="F1163" s="125" t="s">
        <v>97</v>
      </c>
      <c r="G1163" s="125">
        <v>2</v>
      </c>
      <c r="H1163" s="123">
        <v>2</v>
      </c>
      <c r="I1163" s="123" t="s">
        <v>97</v>
      </c>
      <c r="J1163" s="123" t="s">
        <v>96</v>
      </c>
      <c r="K1163" s="123" t="s">
        <v>93</v>
      </c>
      <c r="L1163" s="132">
        <v>1083</v>
      </c>
      <c r="M1163" s="132">
        <v>0</v>
      </c>
      <c r="N1163" s="132">
        <v>1.4667242444435431E+19</v>
      </c>
    </row>
    <row r="1164" spans="4:14" ht="15" customHeight="1" x14ac:dyDescent="0.2">
      <c r="D1164" s="130" t="b">
        <v>0</v>
      </c>
      <c r="E1164" s="124" t="s">
        <v>97</v>
      </c>
      <c r="F1164" s="125" t="s">
        <v>97</v>
      </c>
      <c r="G1164" s="125">
        <v>2</v>
      </c>
      <c r="H1164" s="123">
        <v>2</v>
      </c>
      <c r="I1164" s="123" t="s">
        <v>97</v>
      </c>
      <c r="J1164" s="123" t="s">
        <v>97</v>
      </c>
      <c r="K1164" s="123" t="s">
        <v>93</v>
      </c>
      <c r="L1164" s="132">
        <v>1084</v>
      </c>
      <c r="M1164" s="132">
        <v>0</v>
      </c>
      <c r="N1164" s="132">
        <v>1.2965591626285556E+19</v>
      </c>
    </row>
    <row r="1165" spans="4:14" ht="15" customHeight="1" x14ac:dyDescent="0.2">
      <c r="D1165" s="130" t="b">
        <v>0</v>
      </c>
      <c r="E1165" s="124" t="s">
        <v>97</v>
      </c>
      <c r="F1165" s="125" t="s">
        <v>97</v>
      </c>
      <c r="G1165" s="125">
        <v>2</v>
      </c>
      <c r="H1165" s="123">
        <v>2</v>
      </c>
      <c r="I1165" s="123" t="s">
        <v>97</v>
      </c>
      <c r="J1165" s="123" t="s">
        <v>91</v>
      </c>
      <c r="K1165" s="123" t="s">
        <v>93</v>
      </c>
      <c r="L1165" s="132">
        <v>1085</v>
      </c>
      <c r="M1165" s="132">
        <v>0</v>
      </c>
      <c r="N1165" s="132">
        <v>2.7399616275215519E+18</v>
      </c>
    </row>
    <row r="1166" spans="4:14" ht="15" customHeight="1" x14ac:dyDescent="0.2">
      <c r="D1166" s="130" t="b">
        <v>0</v>
      </c>
      <c r="E1166" s="124" t="s">
        <v>97</v>
      </c>
      <c r="F1166" s="125" t="s">
        <v>97</v>
      </c>
      <c r="G1166" s="125">
        <v>2</v>
      </c>
      <c r="H1166" s="123">
        <v>2</v>
      </c>
      <c r="I1166" s="123" t="s">
        <v>92</v>
      </c>
      <c r="J1166" s="123" t="s">
        <v>96</v>
      </c>
      <c r="K1166" s="123" t="s">
        <v>93</v>
      </c>
      <c r="L1166" s="132">
        <v>1086</v>
      </c>
      <c r="M1166" s="132">
        <v>0</v>
      </c>
      <c r="N1166" s="132">
        <v>7.0215907657171302E+18</v>
      </c>
    </row>
    <row r="1167" spans="4:14" ht="15" customHeight="1" x14ac:dyDescent="0.2">
      <c r="D1167" s="130" t="b">
        <v>0</v>
      </c>
      <c r="E1167" s="124" t="s">
        <v>97</v>
      </c>
      <c r="F1167" s="125" t="s">
        <v>97</v>
      </c>
      <c r="G1167" s="125">
        <v>2</v>
      </c>
      <c r="H1167" s="123">
        <v>2</v>
      </c>
      <c r="I1167" s="123" t="s">
        <v>92</v>
      </c>
      <c r="J1167" s="123" t="s">
        <v>97</v>
      </c>
      <c r="K1167" s="123" t="s">
        <v>93</v>
      </c>
      <c r="L1167" s="132">
        <v>1087</v>
      </c>
      <c r="M1167" s="132">
        <v>0</v>
      </c>
      <c r="N1167" s="132">
        <v>5.366400456230101E+18</v>
      </c>
    </row>
    <row r="1168" spans="4:14" ht="15" customHeight="1" x14ac:dyDescent="0.2">
      <c r="D1168" s="130" t="b">
        <v>0</v>
      </c>
      <c r="E1168" s="124" t="s">
        <v>97</v>
      </c>
      <c r="F1168" s="125" t="s">
        <v>97</v>
      </c>
      <c r="G1168" s="125">
        <v>2</v>
      </c>
      <c r="H1168" s="123">
        <v>2</v>
      </c>
      <c r="I1168" s="123" t="s">
        <v>92</v>
      </c>
      <c r="J1168" s="123" t="s">
        <v>91</v>
      </c>
      <c r="K1168" s="123" t="s">
        <v>93</v>
      </c>
      <c r="L1168" s="132">
        <v>1088</v>
      </c>
      <c r="M1168" s="132">
        <v>0</v>
      </c>
      <c r="N1168" s="132">
        <v>4.5922170760722038E+18</v>
      </c>
    </row>
    <row r="1169" spans="4:14" ht="15" customHeight="1" x14ac:dyDescent="0.2">
      <c r="D1169" s="130" t="b">
        <v>0</v>
      </c>
      <c r="E1169" s="124" t="s">
        <v>97</v>
      </c>
      <c r="F1169" s="125" t="s">
        <v>97</v>
      </c>
      <c r="G1169" s="125">
        <v>2</v>
      </c>
      <c r="H1169" s="123">
        <v>4</v>
      </c>
      <c r="I1169" s="123" t="s">
        <v>95</v>
      </c>
      <c r="J1169" s="123" t="s">
        <v>96</v>
      </c>
      <c r="K1169" s="123" t="s">
        <v>93</v>
      </c>
      <c r="L1169" s="132">
        <v>1089</v>
      </c>
      <c r="M1169" s="132">
        <v>0</v>
      </c>
      <c r="N1169" s="132">
        <v>1.1166186653514156E+19</v>
      </c>
    </row>
    <row r="1170" spans="4:14" ht="15" customHeight="1" x14ac:dyDescent="0.2">
      <c r="D1170" s="130" t="b">
        <v>0</v>
      </c>
      <c r="E1170" s="124" t="s">
        <v>97</v>
      </c>
      <c r="F1170" s="125" t="s">
        <v>97</v>
      </c>
      <c r="G1170" s="125">
        <v>2</v>
      </c>
      <c r="H1170" s="123">
        <v>4</v>
      </c>
      <c r="I1170" s="123" t="s">
        <v>95</v>
      </c>
      <c r="J1170" s="123" t="s">
        <v>97</v>
      </c>
      <c r="K1170" s="123" t="s">
        <v>100</v>
      </c>
      <c r="L1170" s="132">
        <v>1090</v>
      </c>
      <c r="M1170" s="132">
        <v>0</v>
      </c>
      <c r="N1170" s="132">
        <v>1.3972039237388724E+19</v>
      </c>
    </row>
    <row r="1171" spans="4:14" ht="15" customHeight="1" x14ac:dyDescent="0.2">
      <c r="D1171" s="130" t="b">
        <v>0</v>
      </c>
      <c r="E1171" s="124" t="s">
        <v>97</v>
      </c>
      <c r="F1171" s="125" t="s">
        <v>97</v>
      </c>
      <c r="G1171" s="125">
        <v>2</v>
      </c>
      <c r="H1171" s="123">
        <v>4</v>
      </c>
      <c r="I1171" s="123" t="s">
        <v>95</v>
      </c>
      <c r="J1171" s="123" t="s">
        <v>91</v>
      </c>
      <c r="K1171" s="123" t="s">
        <v>100</v>
      </c>
      <c r="L1171" s="132">
        <v>1091</v>
      </c>
      <c r="M1171" s="132">
        <v>0</v>
      </c>
      <c r="N1171" s="132">
        <v>8.0476686283711836E+18</v>
      </c>
    </row>
    <row r="1172" spans="4:14" ht="15" customHeight="1" x14ac:dyDescent="0.2">
      <c r="D1172" s="130" t="b">
        <v>0</v>
      </c>
      <c r="E1172" s="124" t="s">
        <v>97</v>
      </c>
      <c r="F1172" s="125" t="s">
        <v>97</v>
      </c>
      <c r="G1172" s="125">
        <v>2</v>
      </c>
      <c r="H1172" s="123">
        <v>4</v>
      </c>
      <c r="I1172" s="123" t="s">
        <v>97</v>
      </c>
      <c r="J1172" s="123" t="s">
        <v>96</v>
      </c>
      <c r="K1172" s="123" t="s">
        <v>93</v>
      </c>
      <c r="L1172" s="132">
        <v>1092</v>
      </c>
      <c r="M1172" s="132">
        <v>0</v>
      </c>
      <c r="N1172" s="132">
        <v>3.3190835806615174E+17</v>
      </c>
    </row>
    <row r="1173" spans="4:14" ht="15" customHeight="1" x14ac:dyDescent="0.2">
      <c r="D1173" s="130" t="b">
        <v>0</v>
      </c>
      <c r="E1173" s="124" t="s">
        <v>97</v>
      </c>
      <c r="F1173" s="125" t="s">
        <v>97</v>
      </c>
      <c r="G1173" s="125">
        <v>2</v>
      </c>
      <c r="H1173" s="123">
        <v>4</v>
      </c>
      <c r="I1173" s="123" t="s">
        <v>97</v>
      </c>
      <c r="J1173" s="123" t="s">
        <v>97</v>
      </c>
      <c r="K1173" s="123" t="s">
        <v>100</v>
      </c>
      <c r="L1173" s="132">
        <v>1093</v>
      </c>
      <c r="M1173" s="132">
        <v>0</v>
      </c>
      <c r="N1173" s="132">
        <v>2.8425054198279104E+17</v>
      </c>
    </row>
    <row r="1174" spans="4:14" ht="15" customHeight="1" x14ac:dyDescent="0.2">
      <c r="D1174" s="130" t="b">
        <v>0</v>
      </c>
      <c r="E1174" s="124" t="s">
        <v>97</v>
      </c>
      <c r="F1174" s="125" t="s">
        <v>97</v>
      </c>
      <c r="G1174" s="125">
        <v>2</v>
      </c>
      <c r="H1174" s="123">
        <v>4</v>
      </c>
      <c r="I1174" s="123" t="s">
        <v>97</v>
      </c>
      <c r="J1174" s="123" t="s">
        <v>91</v>
      </c>
      <c r="K1174" s="123" t="s">
        <v>100</v>
      </c>
      <c r="L1174" s="132">
        <v>1094</v>
      </c>
      <c r="M1174" s="132">
        <v>0</v>
      </c>
      <c r="N1174" s="132">
        <v>1.5085579549688132E+19</v>
      </c>
    </row>
    <row r="1175" spans="4:14" ht="15" customHeight="1" x14ac:dyDescent="0.2">
      <c r="D1175" s="130" t="b">
        <v>0</v>
      </c>
      <c r="E1175" s="124" t="s">
        <v>97</v>
      </c>
      <c r="F1175" s="125" t="s">
        <v>97</v>
      </c>
      <c r="G1175" s="125">
        <v>2</v>
      </c>
      <c r="H1175" s="123">
        <v>4</v>
      </c>
      <c r="I1175" s="123" t="s">
        <v>92</v>
      </c>
      <c r="J1175" s="123" t="s">
        <v>96</v>
      </c>
      <c r="K1175" s="123" t="s">
        <v>93</v>
      </c>
      <c r="L1175" s="132">
        <v>1095</v>
      </c>
      <c r="M1175" s="132">
        <v>0</v>
      </c>
      <c r="N1175" s="132">
        <v>4.8912569848103404E+18</v>
      </c>
    </row>
    <row r="1176" spans="4:14" ht="15" customHeight="1" x14ac:dyDescent="0.2">
      <c r="D1176" s="130" t="b">
        <v>0</v>
      </c>
      <c r="E1176" s="124" t="s">
        <v>97</v>
      </c>
      <c r="F1176" s="125" t="s">
        <v>97</v>
      </c>
      <c r="G1176" s="125">
        <v>2</v>
      </c>
      <c r="H1176" s="123">
        <v>4</v>
      </c>
      <c r="I1176" s="123" t="s">
        <v>92</v>
      </c>
      <c r="J1176" s="123" t="s">
        <v>97</v>
      </c>
      <c r="K1176" s="123" t="s">
        <v>100</v>
      </c>
      <c r="L1176" s="132">
        <v>1096</v>
      </c>
      <c r="M1176" s="132">
        <v>0</v>
      </c>
      <c r="N1176" s="132">
        <v>6.0921142475809843E+18</v>
      </c>
    </row>
    <row r="1177" spans="4:14" ht="15" customHeight="1" x14ac:dyDescent="0.2">
      <c r="D1177" s="130" t="b">
        <v>0</v>
      </c>
      <c r="E1177" s="124" t="s">
        <v>97</v>
      </c>
      <c r="F1177" s="125" t="s">
        <v>97</v>
      </c>
      <c r="G1177" s="125">
        <v>2</v>
      </c>
      <c r="H1177" s="123">
        <v>4</v>
      </c>
      <c r="I1177" s="123" t="s">
        <v>92</v>
      </c>
      <c r="J1177" s="123" t="s">
        <v>91</v>
      </c>
      <c r="K1177" s="123" t="s">
        <v>101</v>
      </c>
      <c r="L1177" s="132">
        <v>1097</v>
      </c>
      <c r="M1177" s="132">
        <v>0</v>
      </c>
      <c r="N1177" s="132">
        <v>2.7859951807905582E+18</v>
      </c>
    </row>
    <row r="1178" spans="4:14" ht="15" customHeight="1" x14ac:dyDescent="0.2">
      <c r="D1178" s="130" t="b">
        <v>0</v>
      </c>
      <c r="E1178" s="124" t="s">
        <v>97</v>
      </c>
      <c r="F1178" s="125" t="s">
        <v>97</v>
      </c>
      <c r="G1178" s="125">
        <v>2</v>
      </c>
      <c r="H1178" s="123" t="s">
        <v>98</v>
      </c>
      <c r="I1178" s="123" t="s">
        <v>95</v>
      </c>
      <c r="J1178" s="123" t="s">
        <v>96</v>
      </c>
      <c r="K1178" s="123" t="s">
        <v>93</v>
      </c>
      <c r="L1178" s="132">
        <v>1098</v>
      </c>
      <c r="M1178" s="132">
        <v>0</v>
      </c>
      <c r="N1178" s="132">
        <v>6.2297174429979587E+18</v>
      </c>
    </row>
    <row r="1179" spans="4:14" ht="15" customHeight="1" x14ac:dyDescent="0.2">
      <c r="D1179" s="130" t="b">
        <v>0</v>
      </c>
      <c r="E1179" s="124" t="s">
        <v>97</v>
      </c>
      <c r="F1179" s="125" t="s">
        <v>97</v>
      </c>
      <c r="G1179" s="125">
        <v>2</v>
      </c>
      <c r="H1179" s="123" t="s">
        <v>98</v>
      </c>
      <c r="I1179" s="123" t="s">
        <v>95</v>
      </c>
      <c r="J1179" s="123" t="s">
        <v>97</v>
      </c>
      <c r="K1179" s="123" t="s">
        <v>93</v>
      </c>
      <c r="L1179" s="132">
        <v>1099</v>
      </c>
      <c r="M1179" s="132">
        <v>0</v>
      </c>
      <c r="N1179" s="132">
        <v>5.1457017370504366E+18</v>
      </c>
    </row>
    <row r="1180" spans="4:14" ht="15" customHeight="1" x14ac:dyDescent="0.2">
      <c r="D1180" s="130" t="b">
        <v>0</v>
      </c>
      <c r="E1180" s="124" t="s">
        <v>97</v>
      </c>
      <c r="F1180" s="125" t="s">
        <v>97</v>
      </c>
      <c r="G1180" s="125">
        <v>2</v>
      </c>
      <c r="H1180" s="123" t="s">
        <v>98</v>
      </c>
      <c r="I1180" s="123" t="s">
        <v>95</v>
      </c>
      <c r="J1180" s="123" t="s">
        <v>91</v>
      </c>
      <c r="K1180" s="123" t="s">
        <v>93</v>
      </c>
      <c r="L1180" s="132">
        <v>1100</v>
      </c>
      <c r="M1180" s="132">
        <v>0</v>
      </c>
      <c r="N1180" s="132">
        <v>7.5325293069340805E+18</v>
      </c>
    </row>
    <row r="1181" spans="4:14" ht="15" customHeight="1" x14ac:dyDescent="0.2">
      <c r="D1181" s="130" t="b">
        <v>0</v>
      </c>
      <c r="E1181" s="124" t="s">
        <v>97</v>
      </c>
      <c r="F1181" s="125" t="s">
        <v>97</v>
      </c>
      <c r="G1181" s="125">
        <v>2</v>
      </c>
      <c r="H1181" s="123" t="s">
        <v>98</v>
      </c>
      <c r="I1181" s="123" t="s">
        <v>97</v>
      </c>
      <c r="J1181" s="123" t="s">
        <v>96</v>
      </c>
      <c r="K1181" s="123" t="s">
        <v>93</v>
      </c>
      <c r="L1181" s="132">
        <v>1101</v>
      </c>
      <c r="M1181" s="132">
        <v>0</v>
      </c>
      <c r="N1181" s="132">
        <v>3.026239370074902E+18</v>
      </c>
    </row>
    <row r="1182" spans="4:14" ht="15" customHeight="1" x14ac:dyDescent="0.2">
      <c r="D1182" s="130" t="b">
        <v>0</v>
      </c>
      <c r="E1182" s="124" t="s">
        <v>97</v>
      </c>
      <c r="F1182" s="125" t="s">
        <v>97</v>
      </c>
      <c r="G1182" s="125">
        <v>2</v>
      </c>
      <c r="H1182" s="123" t="s">
        <v>98</v>
      </c>
      <c r="I1182" s="123" t="s">
        <v>97</v>
      </c>
      <c r="J1182" s="123" t="s">
        <v>97</v>
      </c>
      <c r="K1182" s="123" t="s">
        <v>100</v>
      </c>
      <c r="L1182" s="132">
        <v>1102</v>
      </c>
      <c r="M1182" s="132">
        <v>0</v>
      </c>
      <c r="N1182" s="132">
        <v>7.319964383425579E+18</v>
      </c>
    </row>
    <row r="1183" spans="4:14" ht="15" customHeight="1" x14ac:dyDescent="0.2">
      <c r="D1183" s="130" t="b">
        <v>0</v>
      </c>
      <c r="E1183" s="124" t="s">
        <v>97</v>
      </c>
      <c r="F1183" s="125" t="s">
        <v>97</v>
      </c>
      <c r="G1183" s="125">
        <v>2</v>
      </c>
      <c r="H1183" s="123" t="s">
        <v>98</v>
      </c>
      <c r="I1183" s="123" t="s">
        <v>97</v>
      </c>
      <c r="J1183" s="123" t="s">
        <v>91</v>
      </c>
      <c r="K1183" s="123" t="s">
        <v>100</v>
      </c>
      <c r="L1183" s="132">
        <v>1103</v>
      </c>
      <c r="M1183" s="132">
        <v>0</v>
      </c>
      <c r="N1183" s="132">
        <v>1.2903425685232032E+19</v>
      </c>
    </row>
    <row r="1184" spans="4:14" ht="15" customHeight="1" x14ac:dyDescent="0.2">
      <c r="D1184" s="130" t="b">
        <v>0</v>
      </c>
      <c r="E1184" s="124" t="s">
        <v>97</v>
      </c>
      <c r="F1184" s="125" t="s">
        <v>97</v>
      </c>
      <c r="G1184" s="125">
        <v>2</v>
      </c>
      <c r="H1184" s="123" t="s">
        <v>98</v>
      </c>
      <c r="I1184" s="123" t="s">
        <v>92</v>
      </c>
      <c r="J1184" s="123" t="s">
        <v>96</v>
      </c>
      <c r="K1184" s="123" t="s">
        <v>93</v>
      </c>
      <c r="L1184" s="132">
        <v>1104</v>
      </c>
      <c r="M1184" s="132">
        <v>0</v>
      </c>
      <c r="N1184" s="132">
        <v>1.3820264569797327E+19</v>
      </c>
    </row>
    <row r="1185" spans="4:14" ht="15" customHeight="1" x14ac:dyDescent="0.2">
      <c r="D1185" s="130" t="b">
        <v>0</v>
      </c>
      <c r="E1185" s="124" t="s">
        <v>97</v>
      </c>
      <c r="F1185" s="125" t="s">
        <v>97</v>
      </c>
      <c r="G1185" s="125">
        <v>2</v>
      </c>
      <c r="H1185" s="123" t="s">
        <v>98</v>
      </c>
      <c r="I1185" s="123" t="s">
        <v>92</v>
      </c>
      <c r="J1185" s="123" t="s">
        <v>97</v>
      </c>
      <c r="K1185" s="123" t="s">
        <v>100</v>
      </c>
      <c r="L1185" s="132">
        <v>1105</v>
      </c>
      <c r="M1185" s="132">
        <v>0</v>
      </c>
      <c r="N1185" s="132">
        <v>5.4813640715187599E+18</v>
      </c>
    </row>
    <row r="1186" spans="4:14" ht="15" customHeight="1" x14ac:dyDescent="0.2">
      <c r="D1186" s="130" t="b">
        <v>0</v>
      </c>
      <c r="E1186" s="124" t="s">
        <v>97</v>
      </c>
      <c r="F1186" s="125" t="s">
        <v>97</v>
      </c>
      <c r="G1186" s="125">
        <v>2</v>
      </c>
      <c r="H1186" s="123" t="s">
        <v>98</v>
      </c>
      <c r="I1186" s="123" t="s">
        <v>92</v>
      </c>
      <c r="J1186" s="123" t="s">
        <v>91</v>
      </c>
      <c r="K1186" s="123" t="s">
        <v>101</v>
      </c>
      <c r="L1186" s="132">
        <v>1106</v>
      </c>
      <c r="M1186" s="132">
        <v>0</v>
      </c>
      <c r="N1186" s="132">
        <v>1.6476511723314799E+19</v>
      </c>
    </row>
    <row r="1187" spans="4:14" ht="15" customHeight="1" x14ac:dyDescent="0.2">
      <c r="D1187" s="130" t="b">
        <v>0</v>
      </c>
      <c r="E1187" s="124" t="s">
        <v>97</v>
      </c>
      <c r="F1187" s="125" t="s">
        <v>97</v>
      </c>
      <c r="G1187" s="125">
        <v>3</v>
      </c>
      <c r="H1187" s="123">
        <v>2</v>
      </c>
      <c r="I1187" s="123" t="s">
        <v>95</v>
      </c>
      <c r="J1187" s="123" t="s">
        <v>96</v>
      </c>
      <c r="K1187" s="123" t="s">
        <v>93</v>
      </c>
      <c r="L1187" s="132">
        <v>1107</v>
      </c>
      <c r="M1187" s="132">
        <v>0</v>
      </c>
      <c r="N1187" s="132">
        <v>8.9600132001038285E+18</v>
      </c>
    </row>
    <row r="1188" spans="4:14" ht="15" customHeight="1" x14ac:dyDescent="0.2">
      <c r="D1188" s="130" t="b">
        <v>0</v>
      </c>
      <c r="E1188" s="124" t="s">
        <v>97</v>
      </c>
      <c r="F1188" s="125" t="s">
        <v>97</v>
      </c>
      <c r="G1188" s="125">
        <v>3</v>
      </c>
      <c r="H1188" s="123">
        <v>2</v>
      </c>
      <c r="I1188" s="123" t="s">
        <v>95</v>
      </c>
      <c r="J1188" s="123" t="s">
        <v>97</v>
      </c>
      <c r="K1188" s="123" t="s">
        <v>93</v>
      </c>
      <c r="L1188" s="132">
        <v>1108</v>
      </c>
      <c r="M1188" s="132">
        <v>0</v>
      </c>
      <c r="N1188" s="132">
        <v>8.874582392008062E+18</v>
      </c>
    </row>
    <row r="1189" spans="4:14" ht="15" customHeight="1" x14ac:dyDescent="0.2">
      <c r="D1189" s="130" t="b">
        <v>0</v>
      </c>
      <c r="E1189" s="124" t="s">
        <v>97</v>
      </c>
      <c r="F1189" s="125" t="s">
        <v>97</v>
      </c>
      <c r="G1189" s="125">
        <v>3</v>
      </c>
      <c r="H1189" s="123">
        <v>2</v>
      </c>
      <c r="I1189" s="123" t="s">
        <v>95</v>
      </c>
      <c r="J1189" s="123" t="s">
        <v>91</v>
      </c>
      <c r="K1189" s="123" t="s">
        <v>93</v>
      </c>
      <c r="L1189" s="132">
        <v>1109</v>
      </c>
      <c r="M1189" s="132">
        <v>0</v>
      </c>
      <c r="N1189" s="132">
        <v>6.2619929925134848E+18</v>
      </c>
    </row>
    <row r="1190" spans="4:14" ht="15" customHeight="1" x14ac:dyDescent="0.2">
      <c r="D1190" s="130" t="b">
        <v>0</v>
      </c>
      <c r="E1190" s="124" t="s">
        <v>97</v>
      </c>
      <c r="F1190" s="125" t="s">
        <v>97</v>
      </c>
      <c r="G1190" s="125">
        <v>3</v>
      </c>
      <c r="H1190" s="123">
        <v>2</v>
      </c>
      <c r="I1190" s="123" t="s">
        <v>97</v>
      </c>
      <c r="J1190" s="123" t="s">
        <v>96</v>
      </c>
      <c r="K1190" s="123" t="s">
        <v>93</v>
      </c>
      <c r="L1190" s="132">
        <v>1110</v>
      </c>
      <c r="M1190" s="132">
        <v>0</v>
      </c>
      <c r="N1190" s="132">
        <v>1.2559657755492559E+19</v>
      </c>
    </row>
    <row r="1191" spans="4:14" ht="15" customHeight="1" x14ac:dyDescent="0.2">
      <c r="D1191" s="130" t="b">
        <v>0</v>
      </c>
      <c r="E1191" s="124" t="s">
        <v>97</v>
      </c>
      <c r="F1191" s="125" t="s">
        <v>97</v>
      </c>
      <c r="G1191" s="125">
        <v>3</v>
      </c>
      <c r="H1191" s="123">
        <v>2</v>
      </c>
      <c r="I1191" s="123" t="s">
        <v>97</v>
      </c>
      <c r="J1191" s="123" t="s">
        <v>97</v>
      </c>
      <c r="K1191" s="123" t="s">
        <v>93</v>
      </c>
      <c r="L1191" s="132">
        <v>1111</v>
      </c>
      <c r="M1191" s="132">
        <v>0</v>
      </c>
      <c r="N1191" s="132">
        <v>9.6778369779483464E+18</v>
      </c>
    </row>
    <row r="1192" spans="4:14" ht="15" customHeight="1" x14ac:dyDescent="0.2">
      <c r="D1192" s="130" t="b">
        <v>0</v>
      </c>
      <c r="E1192" s="124" t="s">
        <v>97</v>
      </c>
      <c r="F1192" s="125" t="s">
        <v>97</v>
      </c>
      <c r="G1192" s="125">
        <v>3</v>
      </c>
      <c r="H1192" s="123">
        <v>2</v>
      </c>
      <c r="I1192" s="123" t="s">
        <v>97</v>
      </c>
      <c r="J1192" s="123" t="s">
        <v>91</v>
      </c>
      <c r="K1192" s="123" t="s">
        <v>93</v>
      </c>
      <c r="L1192" s="132">
        <v>1112</v>
      </c>
      <c r="M1192" s="132">
        <v>0</v>
      </c>
      <c r="N1192" s="132">
        <v>1.66547740609466E+19</v>
      </c>
    </row>
    <row r="1193" spans="4:14" ht="15" customHeight="1" x14ac:dyDescent="0.2">
      <c r="D1193" s="130" t="b">
        <v>0</v>
      </c>
      <c r="E1193" s="124" t="s">
        <v>97</v>
      </c>
      <c r="F1193" s="125" t="s">
        <v>97</v>
      </c>
      <c r="G1193" s="125">
        <v>3</v>
      </c>
      <c r="H1193" s="123">
        <v>2</v>
      </c>
      <c r="I1193" s="123" t="s">
        <v>92</v>
      </c>
      <c r="J1193" s="123" t="s">
        <v>96</v>
      </c>
      <c r="K1193" s="123" t="s">
        <v>93</v>
      </c>
      <c r="L1193" s="132">
        <v>1113</v>
      </c>
      <c r="M1193" s="132">
        <v>0</v>
      </c>
      <c r="N1193" s="132">
        <v>6.1481518140528701E+18</v>
      </c>
    </row>
    <row r="1194" spans="4:14" ht="15" customHeight="1" x14ac:dyDescent="0.2">
      <c r="D1194" s="130" t="b">
        <v>0</v>
      </c>
      <c r="E1194" s="124" t="s">
        <v>97</v>
      </c>
      <c r="F1194" s="125" t="s">
        <v>97</v>
      </c>
      <c r="G1194" s="125">
        <v>3</v>
      </c>
      <c r="H1194" s="123">
        <v>2</v>
      </c>
      <c r="I1194" s="123" t="s">
        <v>92</v>
      </c>
      <c r="J1194" s="123" t="s">
        <v>97</v>
      </c>
      <c r="K1194" s="123" t="s">
        <v>93</v>
      </c>
      <c r="L1194" s="132">
        <v>1114</v>
      </c>
      <c r="M1194" s="132">
        <v>0</v>
      </c>
      <c r="N1194" s="132">
        <v>3.075747783831552E+18</v>
      </c>
    </row>
    <row r="1195" spans="4:14" ht="15" customHeight="1" x14ac:dyDescent="0.2">
      <c r="D1195" s="130" t="b">
        <v>0</v>
      </c>
      <c r="E1195" s="124" t="s">
        <v>97</v>
      </c>
      <c r="F1195" s="125" t="s">
        <v>97</v>
      </c>
      <c r="G1195" s="125">
        <v>3</v>
      </c>
      <c r="H1195" s="123">
        <v>2</v>
      </c>
      <c r="I1195" s="123" t="s">
        <v>92</v>
      </c>
      <c r="J1195" s="123" t="s">
        <v>91</v>
      </c>
      <c r="K1195" s="123" t="s">
        <v>93</v>
      </c>
      <c r="L1195" s="132">
        <v>1115</v>
      </c>
      <c r="M1195" s="132">
        <v>0</v>
      </c>
      <c r="N1195" s="132">
        <v>4.4601052131857357E+18</v>
      </c>
    </row>
    <row r="1196" spans="4:14" ht="15" customHeight="1" x14ac:dyDescent="0.2">
      <c r="D1196" s="130" t="b">
        <v>0</v>
      </c>
      <c r="E1196" s="124" t="s">
        <v>97</v>
      </c>
      <c r="F1196" s="125" t="s">
        <v>97</v>
      </c>
      <c r="G1196" s="125">
        <v>3</v>
      </c>
      <c r="H1196" s="123">
        <v>4</v>
      </c>
      <c r="I1196" s="123" t="s">
        <v>95</v>
      </c>
      <c r="J1196" s="123" t="s">
        <v>96</v>
      </c>
      <c r="K1196" s="123" t="s">
        <v>93</v>
      </c>
      <c r="L1196" s="132">
        <v>1116</v>
      </c>
      <c r="M1196" s="132">
        <v>0</v>
      </c>
      <c r="N1196" s="132">
        <v>4.0331197319277261E+18</v>
      </c>
    </row>
    <row r="1197" spans="4:14" ht="15" customHeight="1" x14ac:dyDescent="0.2">
      <c r="D1197" s="130" t="b">
        <v>0</v>
      </c>
      <c r="E1197" s="124" t="s">
        <v>97</v>
      </c>
      <c r="F1197" s="125" t="s">
        <v>97</v>
      </c>
      <c r="G1197" s="125">
        <v>3</v>
      </c>
      <c r="H1197" s="123">
        <v>4</v>
      </c>
      <c r="I1197" s="123" t="s">
        <v>95</v>
      </c>
      <c r="J1197" s="123" t="s">
        <v>97</v>
      </c>
      <c r="K1197" s="123" t="s">
        <v>100</v>
      </c>
      <c r="L1197" s="132">
        <v>1117</v>
      </c>
      <c r="M1197" s="132">
        <v>0</v>
      </c>
      <c r="N1197" s="132">
        <v>1.6620468994396199E+19</v>
      </c>
    </row>
    <row r="1198" spans="4:14" ht="15" customHeight="1" x14ac:dyDescent="0.2">
      <c r="D1198" s="130" t="b">
        <v>0</v>
      </c>
      <c r="E1198" s="124" t="s">
        <v>97</v>
      </c>
      <c r="F1198" s="125" t="s">
        <v>97</v>
      </c>
      <c r="G1198" s="125">
        <v>3</v>
      </c>
      <c r="H1198" s="123">
        <v>4</v>
      </c>
      <c r="I1198" s="123" t="s">
        <v>95</v>
      </c>
      <c r="J1198" s="123" t="s">
        <v>91</v>
      </c>
      <c r="K1198" s="123" t="s">
        <v>100</v>
      </c>
      <c r="L1198" s="132">
        <v>1118</v>
      </c>
      <c r="M1198" s="132">
        <v>0</v>
      </c>
      <c r="N1198" s="132">
        <v>1.3154479787171285E+19</v>
      </c>
    </row>
    <row r="1199" spans="4:14" ht="15" customHeight="1" x14ac:dyDescent="0.2">
      <c r="D1199" s="130" t="b">
        <v>0</v>
      </c>
      <c r="E1199" s="124" t="s">
        <v>97</v>
      </c>
      <c r="F1199" s="125" t="s">
        <v>97</v>
      </c>
      <c r="G1199" s="125">
        <v>3</v>
      </c>
      <c r="H1199" s="123">
        <v>4</v>
      </c>
      <c r="I1199" s="123" t="s">
        <v>97</v>
      </c>
      <c r="J1199" s="123" t="s">
        <v>96</v>
      </c>
      <c r="K1199" s="123" t="s">
        <v>93</v>
      </c>
      <c r="L1199" s="132">
        <v>1119</v>
      </c>
      <c r="M1199" s="132">
        <v>0</v>
      </c>
      <c r="N1199" s="132">
        <v>4.1366709125792594E+18</v>
      </c>
    </row>
    <row r="1200" spans="4:14" ht="15" customHeight="1" x14ac:dyDescent="0.2">
      <c r="D1200" s="130" t="b">
        <v>0</v>
      </c>
      <c r="E1200" s="124" t="s">
        <v>97</v>
      </c>
      <c r="F1200" s="125" t="s">
        <v>97</v>
      </c>
      <c r="G1200" s="125">
        <v>3</v>
      </c>
      <c r="H1200" s="123">
        <v>4</v>
      </c>
      <c r="I1200" s="123" t="s">
        <v>97</v>
      </c>
      <c r="J1200" s="123" t="s">
        <v>97</v>
      </c>
      <c r="K1200" s="123" t="s">
        <v>100</v>
      </c>
      <c r="L1200" s="132">
        <v>1120</v>
      </c>
      <c r="M1200" s="132">
        <v>0</v>
      </c>
      <c r="N1200" s="132">
        <v>8.9235296302636063E+18</v>
      </c>
    </row>
    <row r="1201" spans="4:14" ht="15" customHeight="1" x14ac:dyDescent="0.2">
      <c r="D1201" s="130" t="b">
        <v>0</v>
      </c>
      <c r="E1201" s="124" t="s">
        <v>97</v>
      </c>
      <c r="F1201" s="125" t="s">
        <v>97</v>
      </c>
      <c r="G1201" s="125">
        <v>3</v>
      </c>
      <c r="H1201" s="123">
        <v>4</v>
      </c>
      <c r="I1201" s="123" t="s">
        <v>97</v>
      </c>
      <c r="J1201" s="123" t="s">
        <v>91</v>
      </c>
      <c r="K1201" s="123" t="s">
        <v>100</v>
      </c>
      <c r="L1201" s="132">
        <v>1121</v>
      </c>
      <c r="M1201" s="132">
        <v>0</v>
      </c>
      <c r="N1201" s="132">
        <v>7.7254373050421412E+18</v>
      </c>
    </row>
    <row r="1202" spans="4:14" ht="15" customHeight="1" x14ac:dyDescent="0.2">
      <c r="D1202" s="130" t="b">
        <v>0</v>
      </c>
      <c r="E1202" s="124" t="s">
        <v>97</v>
      </c>
      <c r="F1202" s="125" t="s">
        <v>97</v>
      </c>
      <c r="G1202" s="125">
        <v>3</v>
      </c>
      <c r="H1202" s="123">
        <v>4</v>
      </c>
      <c r="I1202" s="123" t="s">
        <v>92</v>
      </c>
      <c r="J1202" s="123" t="s">
        <v>96</v>
      </c>
      <c r="K1202" s="123" t="s">
        <v>93</v>
      </c>
      <c r="L1202" s="132">
        <v>1122</v>
      </c>
      <c r="M1202" s="132">
        <v>0</v>
      </c>
      <c r="N1202" s="132">
        <v>1.0154827622908393E+19</v>
      </c>
    </row>
    <row r="1203" spans="4:14" ht="15" customHeight="1" x14ac:dyDescent="0.2">
      <c r="D1203" s="130" t="b">
        <v>0</v>
      </c>
      <c r="E1203" s="124" t="s">
        <v>97</v>
      </c>
      <c r="F1203" s="125" t="s">
        <v>97</v>
      </c>
      <c r="G1203" s="125">
        <v>3</v>
      </c>
      <c r="H1203" s="123">
        <v>4</v>
      </c>
      <c r="I1203" s="123" t="s">
        <v>92</v>
      </c>
      <c r="J1203" s="123" t="s">
        <v>97</v>
      </c>
      <c r="K1203" s="123" t="s">
        <v>100</v>
      </c>
      <c r="L1203" s="132">
        <v>1123</v>
      </c>
      <c r="M1203" s="132">
        <v>0</v>
      </c>
      <c r="N1203" s="132">
        <v>5.0274528549549885E+18</v>
      </c>
    </row>
    <row r="1204" spans="4:14" ht="15" customHeight="1" x14ac:dyDescent="0.2">
      <c r="D1204" s="130" t="b">
        <v>0</v>
      </c>
      <c r="E1204" s="124" t="s">
        <v>97</v>
      </c>
      <c r="F1204" s="125" t="s">
        <v>97</v>
      </c>
      <c r="G1204" s="125">
        <v>3</v>
      </c>
      <c r="H1204" s="123">
        <v>4</v>
      </c>
      <c r="I1204" s="123" t="s">
        <v>92</v>
      </c>
      <c r="J1204" s="123" t="s">
        <v>91</v>
      </c>
      <c r="K1204" s="123" t="s">
        <v>101</v>
      </c>
      <c r="L1204" s="132">
        <v>1124</v>
      </c>
      <c r="M1204" s="132">
        <v>0</v>
      </c>
      <c r="N1204" s="132">
        <v>8.0099969591300178E+18</v>
      </c>
    </row>
    <row r="1205" spans="4:14" ht="15" customHeight="1" x14ac:dyDescent="0.2">
      <c r="D1205" s="130" t="b">
        <v>0</v>
      </c>
      <c r="E1205" s="124" t="s">
        <v>97</v>
      </c>
      <c r="F1205" s="125" t="s">
        <v>97</v>
      </c>
      <c r="G1205" s="125">
        <v>3</v>
      </c>
      <c r="H1205" s="123" t="s">
        <v>98</v>
      </c>
      <c r="I1205" s="123" t="s">
        <v>95</v>
      </c>
      <c r="J1205" s="123" t="s">
        <v>96</v>
      </c>
      <c r="K1205" s="123" t="s">
        <v>93</v>
      </c>
      <c r="L1205" s="132">
        <v>1125</v>
      </c>
      <c r="M1205" s="132">
        <v>0</v>
      </c>
      <c r="N1205" s="132">
        <v>1.5510535594152444E+19</v>
      </c>
    </row>
    <row r="1206" spans="4:14" ht="15" customHeight="1" x14ac:dyDescent="0.2">
      <c r="D1206" s="130" t="b">
        <v>0</v>
      </c>
      <c r="E1206" s="124" t="s">
        <v>97</v>
      </c>
      <c r="F1206" s="125" t="s">
        <v>97</v>
      </c>
      <c r="G1206" s="125">
        <v>3</v>
      </c>
      <c r="H1206" s="123" t="s">
        <v>98</v>
      </c>
      <c r="I1206" s="123" t="s">
        <v>95</v>
      </c>
      <c r="J1206" s="123" t="s">
        <v>97</v>
      </c>
      <c r="K1206" s="123" t="s">
        <v>100</v>
      </c>
      <c r="L1206" s="132">
        <v>1126</v>
      </c>
      <c r="M1206" s="132">
        <v>0</v>
      </c>
      <c r="N1206" s="132">
        <v>1.2078575105165763E+19</v>
      </c>
    </row>
    <row r="1207" spans="4:14" ht="15" customHeight="1" x14ac:dyDescent="0.2">
      <c r="D1207" s="130" t="b">
        <v>0</v>
      </c>
      <c r="E1207" s="124" t="s">
        <v>97</v>
      </c>
      <c r="F1207" s="125" t="s">
        <v>97</v>
      </c>
      <c r="G1207" s="125">
        <v>3</v>
      </c>
      <c r="H1207" s="123" t="s">
        <v>98</v>
      </c>
      <c r="I1207" s="123" t="s">
        <v>95</v>
      </c>
      <c r="J1207" s="123" t="s">
        <v>91</v>
      </c>
      <c r="K1207" s="123" t="s">
        <v>100</v>
      </c>
      <c r="L1207" s="132">
        <v>1127</v>
      </c>
      <c r="M1207" s="132">
        <v>0</v>
      </c>
      <c r="N1207" s="132">
        <v>1.6292763842589002E+19</v>
      </c>
    </row>
    <row r="1208" spans="4:14" ht="15" customHeight="1" x14ac:dyDescent="0.2">
      <c r="D1208" s="130" t="b">
        <v>0</v>
      </c>
      <c r="E1208" s="124" t="s">
        <v>97</v>
      </c>
      <c r="F1208" s="125" t="s">
        <v>97</v>
      </c>
      <c r="G1208" s="125">
        <v>3</v>
      </c>
      <c r="H1208" s="123" t="s">
        <v>98</v>
      </c>
      <c r="I1208" s="123" t="s">
        <v>97</v>
      </c>
      <c r="J1208" s="123" t="s">
        <v>96</v>
      </c>
      <c r="K1208" s="123" t="s">
        <v>93</v>
      </c>
      <c r="L1208" s="132">
        <v>1128</v>
      </c>
      <c r="M1208" s="132">
        <v>0</v>
      </c>
      <c r="N1208" s="132">
        <v>5.6322599944028856E+18</v>
      </c>
    </row>
    <row r="1209" spans="4:14" ht="15" customHeight="1" x14ac:dyDescent="0.2">
      <c r="D1209" s="130" t="b">
        <v>0</v>
      </c>
      <c r="E1209" s="124" t="s">
        <v>97</v>
      </c>
      <c r="F1209" s="125" t="s">
        <v>97</v>
      </c>
      <c r="G1209" s="125">
        <v>3</v>
      </c>
      <c r="H1209" s="123" t="s">
        <v>98</v>
      </c>
      <c r="I1209" s="123" t="s">
        <v>97</v>
      </c>
      <c r="J1209" s="123" t="s">
        <v>97</v>
      </c>
      <c r="K1209" s="123" t="s">
        <v>100</v>
      </c>
      <c r="L1209" s="132">
        <v>1129</v>
      </c>
      <c r="M1209" s="132">
        <v>0</v>
      </c>
      <c r="N1209" s="132">
        <v>6.368974378703018E+18</v>
      </c>
    </row>
    <row r="1210" spans="4:14" ht="15" customHeight="1" x14ac:dyDescent="0.2">
      <c r="D1210" s="130" t="b">
        <v>0</v>
      </c>
      <c r="E1210" s="124" t="s">
        <v>97</v>
      </c>
      <c r="F1210" s="125" t="s">
        <v>97</v>
      </c>
      <c r="G1210" s="125">
        <v>3</v>
      </c>
      <c r="H1210" s="123" t="s">
        <v>98</v>
      </c>
      <c r="I1210" s="123" t="s">
        <v>97</v>
      </c>
      <c r="J1210" s="123" t="s">
        <v>91</v>
      </c>
      <c r="K1210" s="123" t="s">
        <v>101</v>
      </c>
      <c r="L1210" s="132">
        <v>1130</v>
      </c>
      <c r="M1210" s="132">
        <v>0</v>
      </c>
      <c r="N1210" s="132">
        <v>2.6924294298934769E+18</v>
      </c>
    </row>
    <row r="1211" spans="4:14" ht="15" customHeight="1" x14ac:dyDescent="0.2">
      <c r="D1211" s="130" t="b">
        <v>0</v>
      </c>
      <c r="E1211" s="124" t="s">
        <v>97</v>
      </c>
      <c r="F1211" s="125" t="s">
        <v>97</v>
      </c>
      <c r="G1211" s="125">
        <v>3</v>
      </c>
      <c r="H1211" s="123" t="s">
        <v>98</v>
      </c>
      <c r="I1211" s="123" t="s">
        <v>92</v>
      </c>
      <c r="J1211" s="123" t="s">
        <v>96</v>
      </c>
      <c r="K1211" s="123" t="s">
        <v>93</v>
      </c>
      <c r="L1211" s="132">
        <v>1131</v>
      </c>
      <c r="M1211" s="132">
        <v>0</v>
      </c>
      <c r="N1211" s="132">
        <v>1.6312114223009249E+19</v>
      </c>
    </row>
    <row r="1212" spans="4:14" ht="15" customHeight="1" x14ac:dyDescent="0.2">
      <c r="D1212" s="130" t="b">
        <v>0</v>
      </c>
      <c r="E1212" s="124" t="s">
        <v>97</v>
      </c>
      <c r="F1212" s="125" t="s">
        <v>97</v>
      </c>
      <c r="G1212" s="125">
        <v>3</v>
      </c>
      <c r="H1212" s="123" t="s">
        <v>98</v>
      </c>
      <c r="I1212" s="123" t="s">
        <v>92</v>
      </c>
      <c r="J1212" s="123" t="s">
        <v>97</v>
      </c>
      <c r="K1212" s="123" t="s">
        <v>100</v>
      </c>
      <c r="L1212" s="132">
        <v>1132</v>
      </c>
      <c r="M1212" s="132">
        <v>0</v>
      </c>
      <c r="N1212" s="132">
        <v>1.0707791126413571E+18</v>
      </c>
    </row>
    <row r="1213" spans="4:14" ht="15" customHeight="1" x14ac:dyDescent="0.2">
      <c r="D1213" s="130" t="b">
        <v>0</v>
      </c>
      <c r="E1213" s="124" t="s">
        <v>97</v>
      </c>
      <c r="F1213" s="125" t="s">
        <v>97</v>
      </c>
      <c r="G1213" s="125">
        <v>3</v>
      </c>
      <c r="H1213" s="123" t="s">
        <v>98</v>
      </c>
      <c r="I1213" s="123" t="s">
        <v>92</v>
      </c>
      <c r="J1213" s="123" t="s">
        <v>91</v>
      </c>
      <c r="K1213" s="123" t="s">
        <v>101</v>
      </c>
      <c r="L1213" s="132">
        <v>1133</v>
      </c>
      <c r="M1213" s="132">
        <v>0</v>
      </c>
      <c r="N1213" s="132">
        <v>1.4448291800298889E+19</v>
      </c>
    </row>
    <row r="1214" spans="4:14" ht="15" customHeight="1" x14ac:dyDescent="0.2">
      <c r="D1214" s="130" t="b">
        <v>0</v>
      </c>
      <c r="E1214" s="124" t="s">
        <v>97</v>
      </c>
      <c r="F1214" s="125" t="s">
        <v>97</v>
      </c>
      <c r="G1214" s="125">
        <v>4</v>
      </c>
      <c r="H1214" s="123">
        <v>2</v>
      </c>
      <c r="I1214" s="123" t="s">
        <v>95</v>
      </c>
      <c r="J1214" s="123" t="s">
        <v>96</v>
      </c>
      <c r="K1214" s="123" t="s">
        <v>93</v>
      </c>
      <c r="L1214" s="132">
        <v>1134</v>
      </c>
      <c r="M1214" s="132">
        <v>0</v>
      </c>
      <c r="N1214" s="132">
        <v>1.0566587104811438E+19</v>
      </c>
    </row>
    <row r="1215" spans="4:14" ht="15" customHeight="1" x14ac:dyDescent="0.2">
      <c r="D1215" s="130" t="b">
        <v>0</v>
      </c>
      <c r="E1215" s="124" t="s">
        <v>97</v>
      </c>
      <c r="F1215" s="125" t="s">
        <v>97</v>
      </c>
      <c r="G1215" s="125">
        <v>4</v>
      </c>
      <c r="H1215" s="123">
        <v>2</v>
      </c>
      <c r="I1215" s="123" t="s">
        <v>95</v>
      </c>
      <c r="J1215" s="123" t="s">
        <v>97</v>
      </c>
      <c r="K1215" s="123" t="s">
        <v>93</v>
      </c>
      <c r="L1215" s="132">
        <v>1135</v>
      </c>
      <c r="M1215" s="132">
        <v>0</v>
      </c>
      <c r="N1215" s="132">
        <v>1.0447531359620235E+19</v>
      </c>
    </row>
    <row r="1216" spans="4:14" ht="15" customHeight="1" x14ac:dyDescent="0.2">
      <c r="D1216" s="130" t="b">
        <v>0</v>
      </c>
      <c r="E1216" s="124" t="s">
        <v>97</v>
      </c>
      <c r="F1216" s="125" t="s">
        <v>97</v>
      </c>
      <c r="G1216" s="125">
        <v>4</v>
      </c>
      <c r="H1216" s="123">
        <v>2</v>
      </c>
      <c r="I1216" s="123" t="s">
        <v>95</v>
      </c>
      <c r="J1216" s="123" t="s">
        <v>91</v>
      </c>
      <c r="K1216" s="123" t="s">
        <v>93</v>
      </c>
      <c r="L1216" s="132">
        <v>1136</v>
      </c>
      <c r="M1216" s="132">
        <v>0</v>
      </c>
      <c r="N1216" s="132">
        <v>1.7249833676437197E+19</v>
      </c>
    </row>
    <row r="1217" spans="4:14" ht="15" customHeight="1" x14ac:dyDescent="0.2">
      <c r="D1217" s="130" t="b">
        <v>0</v>
      </c>
      <c r="E1217" s="124" t="s">
        <v>97</v>
      </c>
      <c r="F1217" s="125" t="s">
        <v>97</v>
      </c>
      <c r="G1217" s="125">
        <v>4</v>
      </c>
      <c r="H1217" s="123">
        <v>2</v>
      </c>
      <c r="I1217" s="123" t="s">
        <v>97</v>
      </c>
      <c r="J1217" s="123" t="s">
        <v>96</v>
      </c>
      <c r="K1217" s="123" t="s">
        <v>93</v>
      </c>
      <c r="L1217" s="132">
        <v>1137</v>
      </c>
      <c r="M1217" s="132">
        <v>0</v>
      </c>
      <c r="N1217" s="132">
        <v>1.2431174467809264E+19</v>
      </c>
    </row>
    <row r="1218" spans="4:14" ht="15" customHeight="1" x14ac:dyDescent="0.2">
      <c r="D1218" s="130" t="b">
        <v>0</v>
      </c>
      <c r="E1218" s="124" t="s">
        <v>97</v>
      </c>
      <c r="F1218" s="125" t="s">
        <v>97</v>
      </c>
      <c r="G1218" s="125">
        <v>4</v>
      </c>
      <c r="H1218" s="123">
        <v>2</v>
      </c>
      <c r="I1218" s="123" t="s">
        <v>97</v>
      </c>
      <c r="J1218" s="123" t="s">
        <v>97</v>
      </c>
      <c r="K1218" s="123" t="s">
        <v>93</v>
      </c>
      <c r="L1218" s="132">
        <v>1138</v>
      </c>
      <c r="M1218" s="132">
        <v>0</v>
      </c>
      <c r="N1218" s="132">
        <v>1.6695961263210609E+18</v>
      </c>
    </row>
    <row r="1219" spans="4:14" ht="15" customHeight="1" x14ac:dyDescent="0.2">
      <c r="D1219" s="130" t="b">
        <v>0</v>
      </c>
      <c r="E1219" s="124" t="s">
        <v>97</v>
      </c>
      <c r="F1219" s="125" t="s">
        <v>97</v>
      </c>
      <c r="G1219" s="125">
        <v>4</v>
      </c>
      <c r="H1219" s="123">
        <v>2</v>
      </c>
      <c r="I1219" s="123" t="s">
        <v>97</v>
      </c>
      <c r="J1219" s="123" t="s">
        <v>91</v>
      </c>
      <c r="K1219" s="123" t="s">
        <v>93</v>
      </c>
      <c r="L1219" s="132">
        <v>1139</v>
      </c>
      <c r="M1219" s="132">
        <v>0</v>
      </c>
      <c r="N1219" s="132">
        <v>1.4155210885294176E+19</v>
      </c>
    </row>
    <row r="1220" spans="4:14" ht="15" customHeight="1" x14ac:dyDescent="0.2">
      <c r="D1220" s="130" t="b">
        <v>0</v>
      </c>
      <c r="E1220" s="124" t="s">
        <v>97</v>
      </c>
      <c r="F1220" s="125" t="s">
        <v>97</v>
      </c>
      <c r="G1220" s="125">
        <v>4</v>
      </c>
      <c r="H1220" s="123">
        <v>2</v>
      </c>
      <c r="I1220" s="123" t="s">
        <v>92</v>
      </c>
      <c r="J1220" s="123" t="s">
        <v>96</v>
      </c>
      <c r="K1220" s="123" t="s">
        <v>93</v>
      </c>
      <c r="L1220" s="132">
        <v>1140</v>
      </c>
      <c r="M1220" s="132">
        <v>0</v>
      </c>
      <c r="N1220" s="132">
        <v>1.4887123075521233E+19</v>
      </c>
    </row>
    <row r="1221" spans="4:14" ht="15" customHeight="1" x14ac:dyDescent="0.2">
      <c r="D1221" s="130" t="b">
        <v>0</v>
      </c>
      <c r="E1221" s="124" t="s">
        <v>97</v>
      </c>
      <c r="F1221" s="125" t="s">
        <v>97</v>
      </c>
      <c r="G1221" s="125">
        <v>4</v>
      </c>
      <c r="H1221" s="123">
        <v>2</v>
      </c>
      <c r="I1221" s="123" t="s">
        <v>92</v>
      </c>
      <c r="J1221" s="123" t="s">
        <v>97</v>
      </c>
      <c r="K1221" s="123" t="s">
        <v>93</v>
      </c>
      <c r="L1221" s="132">
        <v>1141</v>
      </c>
      <c r="M1221" s="132">
        <v>0</v>
      </c>
      <c r="N1221" s="132">
        <v>1.852284824980352E+18</v>
      </c>
    </row>
    <row r="1222" spans="4:14" ht="15" customHeight="1" x14ac:dyDescent="0.2">
      <c r="D1222" s="130" t="b">
        <v>0</v>
      </c>
      <c r="E1222" s="124" t="s">
        <v>97</v>
      </c>
      <c r="F1222" s="125" t="s">
        <v>97</v>
      </c>
      <c r="G1222" s="125">
        <v>4</v>
      </c>
      <c r="H1222" s="123">
        <v>2</v>
      </c>
      <c r="I1222" s="123" t="s">
        <v>92</v>
      </c>
      <c r="J1222" s="123" t="s">
        <v>91</v>
      </c>
      <c r="K1222" s="123" t="s">
        <v>93</v>
      </c>
      <c r="L1222" s="132">
        <v>1142</v>
      </c>
      <c r="M1222" s="132">
        <v>0</v>
      </c>
      <c r="N1222" s="132">
        <v>9.4299560569697014E+18</v>
      </c>
    </row>
    <row r="1223" spans="4:14" ht="15" customHeight="1" x14ac:dyDescent="0.2">
      <c r="D1223" s="130" t="b">
        <v>0</v>
      </c>
      <c r="E1223" s="124" t="s">
        <v>97</v>
      </c>
      <c r="F1223" s="125" t="s">
        <v>97</v>
      </c>
      <c r="G1223" s="125">
        <v>4</v>
      </c>
      <c r="H1223" s="123">
        <v>4</v>
      </c>
      <c r="I1223" s="123" t="s">
        <v>95</v>
      </c>
      <c r="J1223" s="123" t="s">
        <v>96</v>
      </c>
      <c r="K1223" s="123" t="s">
        <v>93</v>
      </c>
      <c r="L1223" s="132">
        <v>1143</v>
      </c>
      <c r="M1223" s="132">
        <v>0</v>
      </c>
      <c r="N1223" s="132">
        <v>1.1095798916477731E+19</v>
      </c>
    </row>
    <row r="1224" spans="4:14" ht="15" customHeight="1" x14ac:dyDescent="0.2">
      <c r="D1224" s="130" t="b">
        <v>0</v>
      </c>
      <c r="E1224" s="124" t="s">
        <v>97</v>
      </c>
      <c r="F1224" s="125" t="s">
        <v>97</v>
      </c>
      <c r="G1224" s="125">
        <v>4</v>
      </c>
      <c r="H1224" s="123">
        <v>4</v>
      </c>
      <c r="I1224" s="123" t="s">
        <v>95</v>
      </c>
      <c r="J1224" s="123" t="s">
        <v>97</v>
      </c>
      <c r="K1224" s="123" t="s">
        <v>100</v>
      </c>
      <c r="L1224" s="132">
        <v>1144</v>
      </c>
      <c r="M1224" s="132">
        <v>0</v>
      </c>
      <c r="N1224" s="132">
        <v>1.562175589395917E+19</v>
      </c>
    </row>
    <row r="1225" spans="4:14" ht="15" customHeight="1" x14ac:dyDescent="0.2">
      <c r="D1225" s="130" t="b">
        <v>0</v>
      </c>
      <c r="E1225" s="124" t="s">
        <v>97</v>
      </c>
      <c r="F1225" s="125" t="s">
        <v>97</v>
      </c>
      <c r="G1225" s="125">
        <v>4</v>
      </c>
      <c r="H1225" s="123">
        <v>4</v>
      </c>
      <c r="I1225" s="123" t="s">
        <v>95</v>
      </c>
      <c r="J1225" s="123" t="s">
        <v>91</v>
      </c>
      <c r="K1225" s="123" t="s">
        <v>100</v>
      </c>
      <c r="L1225" s="132">
        <v>1145</v>
      </c>
      <c r="M1225" s="132">
        <v>0</v>
      </c>
      <c r="N1225" s="132">
        <v>3.81110548890592E+18</v>
      </c>
    </row>
    <row r="1226" spans="4:14" ht="15" customHeight="1" x14ac:dyDescent="0.2">
      <c r="D1226" s="130" t="b">
        <v>0</v>
      </c>
      <c r="E1226" s="124" t="s">
        <v>97</v>
      </c>
      <c r="F1226" s="125" t="s">
        <v>97</v>
      </c>
      <c r="G1226" s="125">
        <v>4</v>
      </c>
      <c r="H1226" s="123">
        <v>4</v>
      </c>
      <c r="I1226" s="123" t="s">
        <v>97</v>
      </c>
      <c r="J1226" s="123" t="s">
        <v>96</v>
      </c>
      <c r="K1226" s="123" t="s">
        <v>93</v>
      </c>
      <c r="L1226" s="132">
        <v>1146</v>
      </c>
      <c r="M1226" s="132">
        <v>0</v>
      </c>
      <c r="N1226" s="132">
        <v>9.510786887395883E+18</v>
      </c>
    </row>
    <row r="1227" spans="4:14" ht="15" customHeight="1" x14ac:dyDescent="0.2">
      <c r="D1227" s="130" t="b">
        <v>0</v>
      </c>
      <c r="E1227" s="124" t="s">
        <v>97</v>
      </c>
      <c r="F1227" s="125" t="s">
        <v>97</v>
      </c>
      <c r="G1227" s="125">
        <v>4</v>
      </c>
      <c r="H1227" s="123">
        <v>4</v>
      </c>
      <c r="I1227" s="123" t="s">
        <v>97</v>
      </c>
      <c r="J1227" s="123" t="s">
        <v>97</v>
      </c>
      <c r="K1227" s="123" t="s">
        <v>100</v>
      </c>
      <c r="L1227" s="132">
        <v>1147</v>
      </c>
      <c r="M1227" s="132">
        <v>0</v>
      </c>
      <c r="N1227" s="132">
        <v>1.5550108877903423E+19</v>
      </c>
    </row>
    <row r="1228" spans="4:14" ht="15" customHeight="1" x14ac:dyDescent="0.2">
      <c r="D1228" s="130" t="b">
        <v>0</v>
      </c>
      <c r="E1228" s="124" t="s">
        <v>97</v>
      </c>
      <c r="F1228" s="125" t="s">
        <v>97</v>
      </c>
      <c r="G1228" s="125">
        <v>4</v>
      </c>
      <c r="H1228" s="123">
        <v>4</v>
      </c>
      <c r="I1228" s="123" t="s">
        <v>97</v>
      </c>
      <c r="J1228" s="123" t="s">
        <v>91</v>
      </c>
      <c r="K1228" s="123" t="s">
        <v>101</v>
      </c>
      <c r="L1228" s="132">
        <v>1148</v>
      </c>
      <c r="M1228" s="132">
        <v>0</v>
      </c>
      <c r="N1228" s="132">
        <v>8.8825410443605719E+18</v>
      </c>
    </row>
    <row r="1229" spans="4:14" ht="15" customHeight="1" x14ac:dyDescent="0.2">
      <c r="D1229" s="130" t="b">
        <v>0</v>
      </c>
      <c r="E1229" s="124" t="s">
        <v>97</v>
      </c>
      <c r="F1229" s="125" t="s">
        <v>97</v>
      </c>
      <c r="G1229" s="125">
        <v>4</v>
      </c>
      <c r="H1229" s="123">
        <v>4</v>
      </c>
      <c r="I1229" s="123" t="s">
        <v>92</v>
      </c>
      <c r="J1229" s="123" t="s">
        <v>96</v>
      </c>
      <c r="K1229" s="123" t="s">
        <v>93</v>
      </c>
      <c r="L1229" s="132">
        <v>1149</v>
      </c>
      <c r="M1229" s="132">
        <v>0</v>
      </c>
      <c r="N1229" s="132">
        <v>1.3286241061755341E+19</v>
      </c>
    </row>
    <row r="1230" spans="4:14" ht="15" customHeight="1" x14ac:dyDescent="0.2">
      <c r="D1230" s="130" t="b">
        <v>0</v>
      </c>
      <c r="E1230" s="124" t="s">
        <v>97</v>
      </c>
      <c r="F1230" s="125" t="s">
        <v>97</v>
      </c>
      <c r="G1230" s="125">
        <v>4</v>
      </c>
      <c r="H1230" s="123">
        <v>4</v>
      </c>
      <c r="I1230" s="123" t="s">
        <v>92</v>
      </c>
      <c r="J1230" s="123" t="s">
        <v>97</v>
      </c>
      <c r="K1230" s="123" t="s">
        <v>100</v>
      </c>
      <c r="L1230" s="132">
        <v>1150</v>
      </c>
      <c r="M1230" s="132">
        <v>0</v>
      </c>
      <c r="N1230" s="132">
        <v>8.006235323550848E+18</v>
      </c>
    </row>
    <row r="1231" spans="4:14" ht="15" customHeight="1" x14ac:dyDescent="0.2">
      <c r="D1231" s="130" t="b">
        <v>0</v>
      </c>
      <c r="E1231" s="124" t="s">
        <v>97</v>
      </c>
      <c r="F1231" s="125" t="s">
        <v>97</v>
      </c>
      <c r="G1231" s="125">
        <v>4</v>
      </c>
      <c r="H1231" s="123">
        <v>4</v>
      </c>
      <c r="I1231" s="123" t="s">
        <v>92</v>
      </c>
      <c r="J1231" s="123" t="s">
        <v>91</v>
      </c>
      <c r="K1231" s="123" t="s">
        <v>101</v>
      </c>
      <c r="L1231" s="132">
        <v>1151</v>
      </c>
      <c r="M1231" s="132">
        <v>0</v>
      </c>
      <c r="N1231" s="132">
        <v>1.160679777374847E+19</v>
      </c>
    </row>
    <row r="1232" spans="4:14" ht="15" customHeight="1" x14ac:dyDescent="0.2">
      <c r="D1232" s="130" t="b">
        <v>0</v>
      </c>
      <c r="E1232" s="124" t="s">
        <v>97</v>
      </c>
      <c r="F1232" s="125" t="s">
        <v>97</v>
      </c>
      <c r="G1232" s="125">
        <v>4</v>
      </c>
      <c r="H1232" s="123" t="s">
        <v>98</v>
      </c>
      <c r="I1232" s="123" t="s">
        <v>95</v>
      </c>
      <c r="J1232" s="123" t="s">
        <v>96</v>
      </c>
      <c r="K1232" s="123" t="s">
        <v>93</v>
      </c>
      <c r="L1232" s="132">
        <v>1152</v>
      </c>
      <c r="M1232" s="132">
        <v>0</v>
      </c>
      <c r="N1232" s="132">
        <v>7.100264224029056E+18</v>
      </c>
    </row>
    <row r="1233" spans="4:14" ht="15" customHeight="1" x14ac:dyDescent="0.2">
      <c r="D1233" s="130" t="b">
        <v>0</v>
      </c>
      <c r="E1233" s="124" t="s">
        <v>97</v>
      </c>
      <c r="F1233" s="125" t="s">
        <v>97</v>
      </c>
      <c r="G1233" s="125">
        <v>4</v>
      </c>
      <c r="H1233" s="123" t="s">
        <v>98</v>
      </c>
      <c r="I1233" s="123" t="s">
        <v>95</v>
      </c>
      <c r="J1233" s="123" t="s">
        <v>97</v>
      </c>
      <c r="K1233" s="123" t="s">
        <v>100</v>
      </c>
      <c r="L1233" s="132">
        <v>1153</v>
      </c>
      <c r="M1233" s="132">
        <v>0</v>
      </c>
      <c r="N1233" s="132">
        <v>1.5503346881752663E+18</v>
      </c>
    </row>
    <row r="1234" spans="4:14" ht="15" customHeight="1" x14ac:dyDescent="0.2">
      <c r="D1234" s="130" t="b">
        <v>0</v>
      </c>
      <c r="E1234" s="124" t="s">
        <v>97</v>
      </c>
      <c r="F1234" s="125" t="s">
        <v>97</v>
      </c>
      <c r="G1234" s="125">
        <v>4</v>
      </c>
      <c r="H1234" s="123" t="s">
        <v>98</v>
      </c>
      <c r="I1234" s="123" t="s">
        <v>95</v>
      </c>
      <c r="J1234" s="123" t="s">
        <v>91</v>
      </c>
      <c r="K1234" s="123" t="s">
        <v>100</v>
      </c>
      <c r="L1234" s="132">
        <v>1154</v>
      </c>
      <c r="M1234" s="132">
        <v>0</v>
      </c>
      <c r="N1234" s="132">
        <v>1.7029228657686968E+19</v>
      </c>
    </row>
    <row r="1235" spans="4:14" ht="15" customHeight="1" x14ac:dyDescent="0.2">
      <c r="D1235" s="130" t="b">
        <v>0</v>
      </c>
      <c r="E1235" s="124" t="s">
        <v>97</v>
      </c>
      <c r="F1235" s="125" t="s">
        <v>97</v>
      </c>
      <c r="G1235" s="125">
        <v>4</v>
      </c>
      <c r="H1235" s="123" t="s">
        <v>98</v>
      </c>
      <c r="I1235" s="123" t="s">
        <v>97</v>
      </c>
      <c r="J1235" s="123" t="s">
        <v>96</v>
      </c>
      <c r="K1235" s="123" t="s">
        <v>93</v>
      </c>
      <c r="L1235" s="132">
        <v>1155</v>
      </c>
      <c r="M1235" s="132">
        <v>0</v>
      </c>
      <c r="N1235" s="132">
        <v>1.6677097095198226E+19</v>
      </c>
    </row>
    <row r="1236" spans="4:14" ht="15" customHeight="1" x14ac:dyDescent="0.2">
      <c r="D1236" s="130" t="b">
        <v>0</v>
      </c>
      <c r="E1236" s="124" t="s">
        <v>97</v>
      </c>
      <c r="F1236" s="125" t="s">
        <v>97</v>
      </c>
      <c r="G1236" s="125">
        <v>4</v>
      </c>
      <c r="H1236" s="123" t="s">
        <v>98</v>
      </c>
      <c r="I1236" s="123" t="s">
        <v>97</v>
      </c>
      <c r="J1236" s="123" t="s">
        <v>97</v>
      </c>
      <c r="K1236" s="123" t="s">
        <v>100</v>
      </c>
      <c r="L1236" s="132">
        <v>1156</v>
      </c>
      <c r="M1236" s="132">
        <v>0</v>
      </c>
      <c r="N1236" s="132">
        <v>2.4725425131701688E+18</v>
      </c>
    </row>
    <row r="1237" spans="4:14" ht="15" customHeight="1" x14ac:dyDescent="0.2">
      <c r="D1237" s="130" t="b">
        <v>0</v>
      </c>
      <c r="E1237" s="124" t="s">
        <v>97</v>
      </c>
      <c r="F1237" s="125" t="s">
        <v>97</v>
      </c>
      <c r="G1237" s="125">
        <v>4</v>
      </c>
      <c r="H1237" s="123" t="s">
        <v>98</v>
      </c>
      <c r="I1237" s="123" t="s">
        <v>97</v>
      </c>
      <c r="J1237" s="123" t="s">
        <v>91</v>
      </c>
      <c r="K1237" s="123" t="s">
        <v>101</v>
      </c>
      <c r="L1237" s="132">
        <v>1157</v>
      </c>
      <c r="M1237" s="132">
        <v>0</v>
      </c>
      <c r="N1237" s="132">
        <v>1.3477306995096181E+19</v>
      </c>
    </row>
    <row r="1238" spans="4:14" ht="15" customHeight="1" x14ac:dyDescent="0.2">
      <c r="D1238" s="130" t="b">
        <v>0</v>
      </c>
      <c r="E1238" s="124" t="s">
        <v>97</v>
      </c>
      <c r="F1238" s="125" t="s">
        <v>97</v>
      </c>
      <c r="G1238" s="125">
        <v>4</v>
      </c>
      <c r="H1238" s="123" t="s">
        <v>98</v>
      </c>
      <c r="I1238" s="123" t="s">
        <v>92</v>
      </c>
      <c r="J1238" s="123" t="s">
        <v>96</v>
      </c>
      <c r="K1238" s="123" t="s">
        <v>93</v>
      </c>
      <c r="L1238" s="132">
        <v>1158</v>
      </c>
      <c r="M1238" s="132">
        <v>0</v>
      </c>
      <c r="N1238" s="132">
        <v>1.8012267944036096E+18</v>
      </c>
    </row>
    <row r="1239" spans="4:14" ht="15" customHeight="1" x14ac:dyDescent="0.2">
      <c r="D1239" s="130" t="b">
        <v>0</v>
      </c>
      <c r="E1239" s="124" t="s">
        <v>97</v>
      </c>
      <c r="F1239" s="125" t="s">
        <v>97</v>
      </c>
      <c r="G1239" s="125">
        <v>4</v>
      </c>
      <c r="H1239" s="123" t="s">
        <v>98</v>
      </c>
      <c r="I1239" s="123" t="s">
        <v>92</v>
      </c>
      <c r="J1239" s="123" t="s">
        <v>97</v>
      </c>
      <c r="K1239" s="123" t="s">
        <v>100</v>
      </c>
      <c r="L1239" s="132">
        <v>1159</v>
      </c>
      <c r="M1239" s="132">
        <v>0</v>
      </c>
      <c r="N1239" s="132">
        <v>1.2498242428553908E+19</v>
      </c>
    </row>
    <row r="1240" spans="4:14" ht="15" customHeight="1" x14ac:dyDescent="0.2">
      <c r="D1240" s="130" t="b">
        <v>0</v>
      </c>
      <c r="E1240" s="124" t="s">
        <v>97</v>
      </c>
      <c r="F1240" s="125" t="s">
        <v>97</v>
      </c>
      <c r="G1240" s="125">
        <v>4</v>
      </c>
      <c r="H1240" s="123" t="s">
        <v>98</v>
      </c>
      <c r="I1240" s="123" t="s">
        <v>92</v>
      </c>
      <c r="J1240" s="123" t="s">
        <v>91</v>
      </c>
      <c r="K1240" s="123" t="s">
        <v>101</v>
      </c>
      <c r="L1240" s="132">
        <v>1160</v>
      </c>
      <c r="M1240" s="132">
        <v>0</v>
      </c>
      <c r="N1240" s="132">
        <v>1.7431597813162469E+19</v>
      </c>
    </row>
    <row r="1241" spans="4:14" ht="15" customHeight="1" x14ac:dyDescent="0.2">
      <c r="D1241" s="130" t="b">
        <v>0</v>
      </c>
      <c r="E1241" s="124" t="s">
        <v>97</v>
      </c>
      <c r="F1241" s="125" t="s">
        <v>97</v>
      </c>
      <c r="G1241" s="125" t="s">
        <v>99</v>
      </c>
      <c r="H1241" s="123">
        <v>2</v>
      </c>
      <c r="I1241" s="123" t="s">
        <v>95</v>
      </c>
      <c r="J1241" s="123" t="s">
        <v>96</v>
      </c>
      <c r="K1241" s="123" t="s">
        <v>93</v>
      </c>
      <c r="L1241" s="132">
        <v>1161</v>
      </c>
      <c r="M1241" s="132">
        <v>0</v>
      </c>
      <c r="N1241" s="132">
        <v>8.8245603511655608E+18</v>
      </c>
    </row>
    <row r="1242" spans="4:14" ht="15" customHeight="1" x14ac:dyDescent="0.2">
      <c r="D1242" s="130" t="b">
        <v>0</v>
      </c>
      <c r="E1242" s="124" t="s">
        <v>97</v>
      </c>
      <c r="F1242" s="125" t="s">
        <v>97</v>
      </c>
      <c r="G1242" s="125" t="s">
        <v>99</v>
      </c>
      <c r="H1242" s="123">
        <v>2</v>
      </c>
      <c r="I1242" s="123" t="s">
        <v>95</v>
      </c>
      <c r="J1242" s="123" t="s">
        <v>97</v>
      </c>
      <c r="K1242" s="123" t="s">
        <v>93</v>
      </c>
      <c r="L1242" s="132">
        <v>1162</v>
      </c>
      <c r="M1242" s="132">
        <v>0</v>
      </c>
      <c r="N1242" s="132">
        <v>1.1897453418797693E+19</v>
      </c>
    </row>
    <row r="1243" spans="4:14" ht="15" customHeight="1" x14ac:dyDescent="0.2">
      <c r="D1243" s="130" t="b">
        <v>0</v>
      </c>
      <c r="E1243" s="124" t="s">
        <v>97</v>
      </c>
      <c r="F1243" s="125" t="s">
        <v>97</v>
      </c>
      <c r="G1243" s="125" t="s">
        <v>99</v>
      </c>
      <c r="H1243" s="123">
        <v>2</v>
      </c>
      <c r="I1243" s="123" t="s">
        <v>95</v>
      </c>
      <c r="J1243" s="123" t="s">
        <v>91</v>
      </c>
      <c r="K1243" s="123" t="s">
        <v>93</v>
      </c>
      <c r="L1243" s="132">
        <v>1163</v>
      </c>
      <c r="M1243" s="132">
        <v>0</v>
      </c>
      <c r="N1243" s="132">
        <v>1.1641763392653853E+19</v>
      </c>
    </row>
    <row r="1244" spans="4:14" ht="15" customHeight="1" x14ac:dyDescent="0.2">
      <c r="D1244" s="130" t="b">
        <v>0</v>
      </c>
      <c r="E1244" s="124" t="s">
        <v>97</v>
      </c>
      <c r="F1244" s="125" t="s">
        <v>97</v>
      </c>
      <c r="G1244" s="125" t="s">
        <v>99</v>
      </c>
      <c r="H1244" s="123">
        <v>2</v>
      </c>
      <c r="I1244" s="123" t="s">
        <v>97</v>
      </c>
      <c r="J1244" s="123" t="s">
        <v>96</v>
      </c>
      <c r="K1244" s="123" t="s">
        <v>93</v>
      </c>
      <c r="L1244" s="132">
        <v>1164</v>
      </c>
      <c r="M1244" s="132">
        <v>0</v>
      </c>
      <c r="N1244" s="132">
        <v>1.0916419165521347E+19</v>
      </c>
    </row>
    <row r="1245" spans="4:14" ht="15" customHeight="1" x14ac:dyDescent="0.2">
      <c r="D1245" s="130" t="b">
        <v>0</v>
      </c>
      <c r="E1245" s="124" t="s">
        <v>97</v>
      </c>
      <c r="F1245" s="125" t="s">
        <v>97</v>
      </c>
      <c r="G1245" s="125" t="s">
        <v>99</v>
      </c>
      <c r="H1245" s="123">
        <v>2</v>
      </c>
      <c r="I1245" s="123" t="s">
        <v>97</v>
      </c>
      <c r="J1245" s="123" t="s">
        <v>97</v>
      </c>
      <c r="K1245" s="123" t="s">
        <v>93</v>
      </c>
      <c r="L1245" s="132">
        <v>1165</v>
      </c>
      <c r="M1245" s="132">
        <v>0</v>
      </c>
      <c r="N1245" s="132">
        <v>1.1731544702578831E+19</v>
      </c>
    </row>
    <row r="1246" spans="4:14" ht="15" customHeight="1" x14ac:dyDescent="0.2">
      <c r="D1246" s="130" t="b">
        <v>0</v>
      </c>
      <c r="E1246" s="124" t="s">
        <v>97</v>
      </c>
      <c r="F1246" s="125" t="s">
        <v>97</v>
      </c>
      <c r="G1246" s="125" t="s">
        <v>99</v>
      </c>
      <c r="H1246" s="123">
        <v>2</v>
      </c>
      <c r="I1246" s="123" t="s">
        <v>97</v>
      </c>
      <c r="J1246" s="123" t="s">
        <v>91</v>
      </c>
      <c r="K1246" s="123" t="s">
        <v>93</v>
      </c>
      <c r="L1246" s="132">
        <v>1166</v>
      </c>
      <c r="M1246" s="132">
        <v>0</v>
      </c>
      <c r="N1246" s="132">
        <v>1.701697200045048E+19</v>
      </c>
    </row>
    <row r="1247" spans="4:14" ht="15" customHeight="1" x14ac:dyDescent="0.2">
      <c r="D1247" s="130" t="b">
        <v>0</v>
      </c>
      <c r="E1247" s="124" t="s">
        <v>97</v>
      </c>
      <c r="F1247" s="125" t="s">
        <v>97</v>
      </c>
      <c r="G1247" s="125" t="s">
        <v>99</v>
      </c>
      <c r="H1247" s="123">
        <v>2</v>
      </c>
      <c r="I1247" s="123" t="s">
        <v>92</v>
      </c>
      <c r="J1247" s="123" t="s">
        <v>96</v>
      </c>
      <c r="K1247" s="123" t="s">
        <v>93</v>
      </c>
      <c r="L1247" s="132">
        <v>1167</v>
      </c>
      <c r="M1247" s="132">
        <v>0</v>
      </c>
      <c r="N1247" s="132">
        <v>3.8367736564256942E+18</v>
      </c>
    </row>
    <row r="1248" spans="4:14" ht="15" customHeight="1" x14ac:dyDescent="0.2">
      <c r="D1248" s="130" t="b">
        <v>0</v>
      </c>
      <c r="E1248" s="124" t="s">
        <v>97</v>
      </c>
      <c r="F1248" s="125" t="s">
        <v>97</v>
      </c>
      <c r="G1248" s="125" t="s">
        <v>99</v>
      </c>
      <c r="H1248" s="123">
        <v>2</v>
      </c>
      <c r="I1248" s="123" t="s">
        <v>92</v>
      </c>
      <c r="J1248" s="123" t="s">
        <v>97</v>
      </c>
      <c r="K1248" s="123" t="s">
        <v>93</v>
      </c>
      <c r="L1248" s="132">
        <v>1168</v>
      </c>
      <c r="M1248" s="132">
        <v>0</v>
      </c>
      <c r="N1248" s="132">
        <v>9.0566156023458406E+17</v>
      </c>
    </row>
    <row r="1249" spans="4:14" ht="15" customHeight="1" x14ac:dyDescent="0.2">
      <c r="D1249" s="130" t="b">
        <v>0</v>
      </c>
      <c r="E1249" s="124" t="s">
        <v>97</v>
      </c>
      <c r="F1249" s="125" t="s">
        <v>97</v>
      </c>
      <c r="G1249" s="125" t="s">
        <v>99</v>
      </c>
      <c r="H1249" s="123">
        <v>2</v>
      </c>
      <c r="I1249" s="123" t="s">
        <v>92</v>
      </c>
      <c r="J1249" s="123" t="s">
        <v>91</v>
      </c>
      <c r="K1249" s="123" t="s">
        <v>93</v>
      </c>
      <c r="L1249" s="132">
        <v>1169</v>
      </c>
      <c r="M1249" s="132">
        <v>0</v>
      </c>
      <c r="N1249" s="132">
        <v>2.1017175762610531E+17</v>
      </c>
    </row>
    <row r="1250" spans="4:14" ht="15" customHeight="1" x14ac:dyDescent="0.2">
      <c r="D1250" s="130" t="b">
        <v>0</v>
      </c>
      <c r="E1250" s="124" t="s">
        <v>97</v>
      </c>
      <c r="F1250" s="125" t="s">
        <v>97</v>
      </c>
      <c r="G1250" s="125" t="s">
        <v>99</v>
      </c>
      <c r="H1250" s="123">
        <v>4</v>
      </c>
      <c r="I1250" s="123" t="s">
        <v>95</v>
      </c>
      <c r="J1250" s="123" t="s">
        <v>96</v>
      </c>
      <c r="K1250" s="123" t="s">
        <v>93</v>
      </c>
      <c r="L1250" s="132">
        <v>1170</v>
      </c>
      <c r="M1250" s="132">
        <v>0</v>
      </c>
      <c r="N1250" s="132">
        <v>1.6658040545641986E+19</v>
      </c>
    </row>
    <row r="1251" spans="4:14" ht="15" customHeight="1" x14ac:dyDescent="0.2">
      <c r="D1251" s="130" t="b">
        <v>0</v>
      </c>
      <c r="E1251" s="124" t="s">
        <v>97</v>
      </c>
      <c r="F1251" s="125" t="s">
        <v>97</v>
      </c>
      <c r="G1251" s="125" t="s">
        <v>99</v>
      </c>
      <c r="H1251" s="123">
        <v>4</v>
      </c>
      <c r="I1251" s="123" t="s">
        <v>95</v>
      </c>
      <c r="J1251" s="123" t="s">
        <v>97</v>
      </c>
      <c r="K1251" s="123" t="s">
        <v>100</v>
      </c>
      <c r="L1251" s="132">
        <v>1171</v>
      </c>
      <c r="M1251" s="132">
        <v>0</v>
      </c>
      <c r="N1251" s="132">
        <v>1.5997108618226543E+19</v>
      </c>
    </row>
    <row r="1252" spans="4:14" ht="15" customHeight="1" x14ac:dyDescent="0.2">
      <c r="D1252" s="130" t="b">
        <v>0</v>
      </c>
      <c r="E1252" s="124" t="s">
        <v>97</v>
      </c>
      <c r="F1252" s="125" t="s">
        <v>97</v>
      </c>
      <c r="G1252" s="125" t="s">
        <v>99</v>
      </c>
      <c r="H1252" s="123">
        <v>4</v>
      </c>
      <c r="I1252" s="123" t="s">
        <v>95</v>
      </c>
      <c r="J1252" s="123" t="s">
        <v>91</v>
      </c>
      <c r="K1252" s="123" t="s">
        <v>100</v>
      </c>
      <c r="L1252" s="132">
        <v>1172</v>
      </c>
      <c r="M1252" s="132">
        <v>0</v>
      </c>
      <c r="N1252" s="132">
        <v>2.6366756398999066E+18</v>
      </c>
    </row>
    <row r="1253" spans="4:14" ht="15" customHeight="1" x14ac:dyDescent="0.2">
      <c r="D1253" s="130" t="b">
        <v>0</v>
      </c>
      <c r="E1253" s="124" t="s">
        <v>97</v>
      </c>
      <c r="F1253" s="125" t="s">
        <v>97</v>
      </c>
      <c r="G1253" s="125" t="s">
        <v>99</v>
      </c>
      <c r="H1253" s="123">
        <v>4</v>
      </c>
      <c r="I1253" s="123" t="s">
        <v>97</v>
      </c>
      <c r="J1253" s="123" t="s">
        <v>96</v>
      </c>
      <c r="K1253" s="123" t="s">
        <v>93</v>
      </c>
      <c r="L1253" s="132">
        <v>1173</v>
      </c>
      <c r="M1253" s="132">
        <v>0</v>
      </c>
      <c r="N1253" s="132">
        <v>1.2949485001941512E+19</v>
      </c>
    </row>
    <row r="1254" spans="4:14" ht="15" customHeight="1" x14ac:dyDescent="0.2">
      <c r="D1254" s="130" t="b">
        <v>0</v>
      </c>
      <c r="E1254" s="124" t="s">
        <v>97</v>
      </c>
      <c r="F1254" s="125" t="s">
        <v>97</v>
      </c>
      <c r="G1254" s="125" t="s">
        <v>99</v>
      </c>
      <c r="H1254" s="123">
        <v>4</v>
      </c>
      <c r="I1254" s="123" t="s">
        <v>97</v>
      </c>
      <c r="J1254" s="123" t="s">
        <v>97</v>
      </c>
      <c r="K1254" s="123" t="s">
        <v>100</v>
      </c>
      <c r="L1254" s="132">
        <v>1174</v>
      </c>
      <c r="M1254" s="132">
        <v>0</v>
      </c>
      <c r="N1254" s="132">
        <v>1.0519265088586281E+19</v>
      </c>
    </row>
    <row r="1255" spans="4:14" ht="15" customHeight="1" x14ac:dyDescent="0.2">
      <c r="D1255" s="130" t="b">
        <v>0</v>
      </c>
      <c r="E1255" s="124" t="s">
        <v>97</v>
      </c>
      <c r="F1255" s="125" t="s">
        <v>97</v>
      </c>
      <c r="G1255" s="125" t="s">
        <v>99</v>
      </c>
      <c r="H1255" s="123">
        <v>4</v>
      </c>
      <c r="I1255" s="123" t="s">
        <v>97</v>
      </c>
      <c r="J1255" s="123" t="s">
        <v>91</v>
      </c>
      <c r="K1255" s="123" t="s">
        <v>101</v>
      </c>
      <c r="L1255" s="132">
        <v>1175</v>
      </c>
      <c r="M1255" s="132">
        <v>0</v>
      </c>
      <c r="N1255" s="132">
        <v>1.0492380181583528E+19</v>
      </c>
    </row>
    <row r="1256" spans="4:14" ht="15" customHeight="1" x14ac:dyDescent="0.2">
      <c r="D1256" s="130" t="b">
        <v>0</v>
      </c>
      <c r="E1256" s="124" t="s">
        <v>97</v>
      </c>
      <c r="F1256" s="125" t="s">
        <v>97</v>
      </c>
      <c r="G1256" s="125" t="s">
        <v>99</v>
      </c>
      <c r="H1256" s="123">
        <v>4</v>
      </c>
      <c r="I1256" s="123" t="s">
        <v>92</v>
      </c>
      <c r="J1256" s="123" t="s">
        <v>96</v>
      </c>
      <c r="K1256" s="123" t="s">
        <v>93</v>
      </c>
      <c r="L1256" s="132">
        <v>1176</v>
      </c>
      <c r="M1256" s="132">
        <v>0</v>
      </c>
      <c r="N1256" s="132">
        <v>1.1290775508321618E+19</v>
      </c>
    </row>
    <row r="1257" spans="4:14" ht="15" customHeight="1" x14ac:dyDescent="0.2">
      <c r="D1257" s="130" t="b">
        <v>0</v>
      </c>
      <c r="E1257" s="124" t="s">
        <v>97</v>
      </c>
      <c r="F1257" s="125" t="s">
        <v>97</v>
      </c>
      <c r="G1257" s="125" t="s">
        <v>99</v>
      </c>
      <c r="H1257" s="123">
        <v>4</v>
      </c>
      <c r="I1257" s="123" t="s">
        <v>92</v>
      </c>
      <c r="J1257" s="123" t="s">
        <v>97</v>
      </c>
      <c r="K1257" s="123" t="s">
        <v>100</v>
      </c>
      <c r="L1257" s="132">
        <v>1177</v>
      </c>
      <c r="M1257" s="132">
        <v>0</v>
      </c>
      <c r="N1257" s="132">
        <v>1.4444969303005919E+19</v>
      </c>
    </row>
    <row r="1258" spans="4:14" ht="15" customHeight="1" x14ac:dyDescent="0.2">
      <c r="D1258" s="130" t="b">
        <v>0</v>
      </c>
      <c r="E1258" s="124" t="s">
        <v>97</v>
      </c>
      <c r="F1258" s="125" t="s">
        <v>97</v>
      </c>
      <c r="G1258" s="125" t="s">
        <v>99</v>
      </c>
      <c r="H1258" s="123">
        <v>4</v>
      </c>
      <c r="I1258" s="123" t="s">
        <v>92</v>
      </c>
      <c r="J1258" s="123" t="s">
        <v>91</v>
      </c>
      <c r="K1258" s="123" t="s">
        <v>101</v>
      </c>
      <c r="L1258" s="132">
        <v>1178</v>
      </c>
      <c r="M1258" s="132">
        <v>0</v>
      </c>
      <c r="N1258" s="132">
        <v>1.6205497442536442E+19</v>
      </c>
    </row>
    <row r="1259" spans="4:14" ht="15" customHeight="1" x14ac:dyDescent="0.2">
      <c r="D1259" s="130" t="b">
        <v>0</v>
      </c>
      <c r="E1259" s="124" t="s">
        <v>97</v>
      </c>
      <c r="F1259" s="125" t="s">
        <v>97</v>
      </c>
      <c r="G1259" s="125" t="s">
        <v>99</v>
      </c>
      <c r="H1259" s="123" t="s">
        <v>98</v>
      </c>
      <c r="I1259" s="123" t="s">
        <v>95</v>
      </c>
      <c r="J1259" s="123" t="s">
        <v>96</v>
      </c>
      <c r="K1259" s="123" t="s">
        <v>93</v>
      </c>
      <c r="L1259" s="132">
        <v>1179</v>
      </c>
      <c r="M1259" s="132">
        <v>0</v>
      </c>
      <c r="N1259" s="132">
        <v>1.2375554425425592E+19</v>
      </c>
    </row>
    <row r="1260" spans="4:14" ht="15" customHeight="1" x14ac:dyDescent="0.2">
      <c r="D1260" s="130" t="b">
        <v>0</v>
      </c>
      <c r="E1260" s="124" t="s">
        <v>97</v>
      </c>
      <c r="F1260" s="125" t="s">
        <v>97</v>
      </c>
      <c r="G1260" s="125" t="s">
        <v>99</v>
      </c>
      <c r="H1260" s="123" t="s">
        <v>98</v>
      </c>
      <c r="I1260" s="123" t="s">
        <v>95</v>
      </c>
      <c r="J1260" s="123" t="s">
        <v>97</v>
      </c>
      <c r="K1260" s="123" t="s">
        <v>100</v>
      </c>
      <c r="L1260" s="132">
        <v>1180</v>
      </c>
      <c r="M1260" s="132">
        <v>0</v>
      </c>
      <c r="N1260" s="132">
        <v>7.3267353604020941E+17</v>
      </c>
    </row>
    <row r="1261" spans="4:14" ht="15" customHeight="1" x14ac:dyDescent="0.2">
      <c r="D1261" s="130" t="b">
        <v>0</v>
      </c>
      <c r="E1261" s="124" t="s">
        <v>97</v>
      </c>
      <c r="F1261" s="125" t="s">
        <v>97</v>
      </c>
      <c r="G1261" s="125" t="s">
        <v>99</v>
      </c>
      <c r="H1261" s="123" t="s">
        <v>98</v>
      </c>
      <c r="I1261" s="123" t="s">
        <v>95</v>
      </c>
      <c r="J1261" s="123" t="s">
        <v>91</v>
      </c>
      <c r="K1261" s="123" t="s">
        <v>100</v>
      </c>
      <c r="L1261" s="132">
        <v>1181</v>
      </c>
      <c r="M1261" s="132">
        <v>0</v>
      </c>
      <c r="N1261" s="132">
        <v>1.5841787263185917E+18</v>
      </c>
    </row>
    <row r="1262" spans="4:14" ht="15" customHeight="1" x14ac:dyDescent="0.2">
      <c r="D1262" s="130" t="b">
        <v>0</v>
      </c>
      <c r="E1262" s="124" t="s">
        <v>97</v>
      </c>
      <c r="F1262" s="125" t="s">
        <v>97</v>
      </c>
      <c r="G1262" s="125" t="s">
        <v>99</v>
      </c>
      <c r="H1262" s="123" t="s">
        <v>98</v>
      </c>
      <c r="I1262" s="123" t="s">
        <v>97</v>
      </c>
      <c r="J1262" s="123" t="s">
        <v>96</v>
      </c>
      <c r="K1262" s="123" t="s">
        <v>93</v>
      </c>
      <c r="L1262" s="132">
        <v>1182</v>
      </c>
      <c r="M1262" s="132">
        <v>0</v>
      </c>
      <c r="N1262" s="132">
        <v>7.3265528520081111E+18</v>
      </c>
    </row>
    <row r="1263" spans="4:14" ht="15" customHeight="1" x14ac:dyDescent="0.2">
      <c r="D1263" s="130" t="b">
        <v>0</v>
      </c>
      <c r="E1263" s="124" t="s">
        <v>97</v>
      </c>
      <c r="F1263" s="125" t="s">
        <v>97</v>
      </c>
      <c r="G1263" s="125" t="s">
        <v>99</v>
      </c>
      <c r="H1263" s="123" t="s">
        <v>98</v>
      </c>
      <c r="I1263" s="123" t="s">
        <v>97</v>
      </c>
      <c r="J1263" s="123" t="s">
        <v>97</v>
      </c>
      <c r="K1263" s="123" t="s">
        <v>100</v>
      </c>
      <c r="L1263" s="132">
        <v>1183</v>
      </c>
      <c r="M1263" s="132">
        <v>0</v>
      </c>
      <c r="N1263" s="132">
        <v>7.6445128341025434E+18</v>
      </c>
    </row>
    <row r="1264" spans="4:14" ht="15" customHeight="1" x14ac:dyDescent="0.2">
      <c r="D1264" s="130" t="b">
        <v>0</v>
      </c>
      <c r="E1264" s="124" t="s">
        <v>97</v>
      </c>
      <c r="F1264" s="125" t="s">
        <v>97</v>
      </c>
      <c r="G1264" s="125" t="s">
        <v>99</v>
      </c>
      <c r="H1264" s="123" t="s">
        <v>98</v>
      </c>
      <c r="I1264" s="123" t="s">
        <v>97</v>
      </c>
      <c r="J1264" s="123" t="s">
        <v>91</v>
      </c>
      <c r="K1264" s="123" t="s">
        <v>101</v>
      </c>
      <c r="L1264" s="132">
        <v>1184</v>
      </c>
      <c r="M1264" s="132">
        <v>0</v>
      </c>
      <c r="N1264" s="132">
        <v>9.5961192775833539E+18</v>
      </c>
    </row>
    <row r="1265" spans="4:14" ht="15" customHeight="1" x14ac:dyDescent="0.2">
      <c r="D1265" s="130" t="b">
        <v>0</v>
      </c>
      <c r="E1265" s="124" t="s">
        <v>97</v>
      </c>
      <c r="F1265" s="125" t="s">
        <v>97</v>
      </c>
      <c r="G1265" s="125" t="s">
        <v>99</v>
      </c>
      <c r="H1265" s="123" t="s">
        <v>98</v>
      </c>
      <c r="I1265" s="123" t="s">
        <v>92</v>
      </c>
      <c r="J1265" s="123" t="s">
        <v>96</v>
      </c>
      <c r="K1265" s="123" t="s">
        <v>93</v>
      </c>
      <c r="L1265" s="132">
        <v>1185</v>
      </c>
      <c r="M1265" s="132">
        <v>0</v>
      </c>
      <c r="N1265" s="132">
        <v>6.2185232765724467E+18</v>
      </c>
    </row>
    <row r="1266" spans="4:14" ht="15" customHeight="1" x14ac:dyDescent="0.2">
      <c r="D1266" s="130" t="b">
        <v>0</v>
      </c>
      <c r="E1266" s="124" t="s">
        <v>97</v>
      </c>
      <c r="F1266" s="125" t="s">
        <v>97</v>
      </c>
      <c r="G1266" s="125" t="s">
        <v>99</v>
      </c>
      <c r="H1266" s="123" t="s">
        <v>98</v>
      </c>
      <c r="I1266" s="123" t="s">
        <v>92</v>
      </c>
      <c r="J1266" s="123" t="s">
        <v>97</v>
      </c>
      <c r="K1266" s="123" t="s">
        <v>100</v>
      </c>
      <c r="L1266" s="132">
        <v>1186</v>
      </c>
      <c r="M1266" s="132">
        <v>0</v>
      </c>
      <c r="N1266" s="132">
        <v>1.5593959710035964E+19</v>
      </c>
    </row>
    <row r="1267" spans="4:14" ht="15" customHeight="1" x14ac:dyDescent="0.2">
      <c r="D1267" s="130" t="b">
        <v>0</v>
      </c>
      <c r="E1267" s="124" t="s">
        <v>97</v>
      </c>
      <c r="F1267" s="125" t="s">
        <v>97</v>
      </c>
      <c r="G1267" s="125" t="s">
        <v>99</v>
      </c>
      <c r="H1267" s="123" t="s">
        <v>98</v>
      </c>
      <c r="I1267" s="123" t="s">
        <v>92</v>
      </c>
      <c r="J1267" s="123" t="s">
        <v>91</v>
      </c>
      <c r="K1267" s="123" t="s">
        <v>101</v>
      </c>
      <c r="L1267" s="132">
        <v>1187</v>
      </c>
      <c r="M1267" s="132">
        <v>0</v>
      </c>
      <c r="N1267" s="132">
        <v>1.6628962877696606E+19</v>
      </c>
    </row>
    <row r="1268" spans="4:14" ht="15" customHeight="1" x14ac:dyDescent="0.2">
      <c r="D1268" s="130" t="b">
        <v>0</v>
      </c>
      <c r="E1268" s="124" t="s">
        <v>97</v>
      </c>
      <c r="F1268" s="125" t="s">
        <v>96</v>
      </c>
      <c r="G1268" s="125">
        <v>2</v>
      </c>
      <c r="H1268" s="123">
        <v>2</v>
      </c>
      <c r="I1268" s="123" t="s">
        <v>95</v>
      </c>
      <c r="J1268" s="123" t="s">
        <v>96</v>
      </c>
      <c r="K1268" s="123" t="s">
        <v>93</v>
      </c>
      <c r="L1268" s="132">
        <v>1188</v>
      </c>
      <c r="M1268" s="132">
        <v>0</v>
      </c>
      <c r="N1268" s="132">
        <v>1.752516791242529E+19</v>
      </c>
    </row>
    <row r="1269" spans="4:14" ht="15" customHeight="1" x14ac:dyDescent="0.2">
      <c r="D1269" s="130" t="b">
        <v>0</v>
      </c>
      <c r="E1269" s="124" t="s">
        <v>97</v>
      </c>
      <c r="F1269" s="125" t="s">
        <v>96</v>
      </c>
      <c r="G1269" s="125">
        <v>2</v>
      </c>
      <c r="H1269" s="123">
        <v>2</v>
      </c>
      <c r="I1269" s="123" t="s">
        <v>95</v>
      </c>
      <c r="J1269" s="123" t="s">
        <v>97</v>
      </c>
      <c r="K1269" s="123" t="s">
        <v>93</v>
      </c>
      <c r="L1269" s="132">
        <v>1189</v>
      </c>
      <c r="M1269" s="132">
        <v>0</v>
      </c>
      <c r="N1269" s="132">
        <v>9.292442300222551E+17</v>
      </c>
    </row>
    <row r="1270" spans="4:14" ht="15" customHeight="1" x14ac:dyDescent="0.2">
      <c r="D1270" s="130" t="b">
        <v>0</v>
      </c>
      <c r="E1270" s="124" t="s">
        <v>97</v>
      </c>
      <c r="F1270" s="125" t="s">
        <v>96</v>
      </c>
      <c r="G1270" s="125">
        <v>2</v>
      </c>
      <c r="H1270" s="123">
        <v>2</v>
      </c>
      <c r="I1270" s="123" t="s">
        <v>95</v>
      </c>
      <c r="J1270" s="123" t="s">
        <v>91</v>
      </c>
      <c r="K1270" s="123" t="s">
        <v>93</v>
      </c>
      <c r="L1270" s="132">
        <v>1190</v>
      </c>
      <c r="M1270" s="132">
        <v>0</v>
      </c>
      <c r="N1270" s="132">
        <v>3.4658461404585114E+18</v>
      </c>
    </row>
    <row r="1271" spans="4:14" ht="15" customHeight="1" x14ac:dyDescent="0.2">
      <c r="D1271" s="130" t="b">
        <v>0</v>
      </c>
      <c r="E1271" s="124" t="s">
        <v>97</v>
      </c>
      <c r="F1271" s="125" t="s">
        <v>96</v>
      </c>
      <c r="G1271" s="125">
        <v>2</v>
      </c>
      <c r="H1271" s="123">
        <v>2</v>
      </c>
      <c r="I1271" s="123" t="s">
        <v>97</v>
      </c>
      <c r="J1271" s="123" t="s">
        <v>96</v>
      </c>
      <c r="K1271" s="123" t="s">
        <v>93</v>
      </c>
      <c r="L1271" s="132">
        <v>1191</v>
      </c>
      <c r="M1271" s="132">
        <v>0</v>
      </c>
      <c r="N1271" s="132">
        <v>1.0481391161621135E+19</v>
      </c>
    </row>
    <row r="1272" spans="4:14" ht="15" customHeight="1" x14ac:dyDescent="0.2">
      <c r="D1272" s="130" t="b">
        <v>0</v>
      </c>
      <c r="E1272" s="124" t="s">
        <v>97</v>
      </c>
      <c r="F1272" s="125" t="s">
        <v>96</v>
      </c>
      <c r="G1272" s="125">
        <v>2</v>
      </c>
      <c r="H1272" s="123">
        <v>2</v>
      </c>
      <c r="I1272" s="123" t="s">
        <v>97</v>
      </c>
      <c r="J1272" s="123" t="s">
        <v>97</v>
      </c>
      <c r="K1272" s="123" t="s">
        <v>93</v>
      </c>
      <c r="L1272" s="132">
        <v>1192</v>
      </c>
      <c r="M1272" s="132">
        <v>0</v>
      </c>
      <c r="N1272" s="132">
        <v>7.2991261242119895E+18</v>
      </c>
    </row>
    <row r="1273" spans="4:14" ht="15" customHeight="1" x14ac:dyDescent="0.2">
      <c r="D1273" s="130" t="b">
        <v>0</v>
      </c>
      <c r="E1273" s="124" t="s">
        <v>97</v>
      </c>
      <c r="F1273" s="125" t="s">
        <v>96</v>
      </c>
      <c r="G1273" s="125">
        <v>2</v>
      </c>
      <c r="H1273" s="123">
        <v>2</v>
      </c>
      <c r="I1273" s="123" t="s">
        <v>97</v>
      </c>
      <c r="J1273" s="123" t="s">
        <v>91</v>
      </c>
      <c r="K1273" s="123" t="s">
        <v>93</v>
      </c>
      <c r="L1273" s="132">
        <v>1193</v>
      </c>
      <c r="M1273" s="132">
        <v>0</v>
      </c>
      <c r="N1273" s="132">
        <v>1.5257172188749173E+19</v>
      </c>
    </row>
    <row r="1274" spans="4:14" ht="15" customHeight="1" x14ac:dyDescent="0.2">
      <c r="D1274" s="130" t="b">
        <v>0</v>
      </c>
      <c r="E1274" s="124" t="s">
        <v>97</v>
      </c>
      <c r="F1274" s="125" t="s">
        <v>96</v>
      </c>
      <c r="G1274" s="125">
        <v>2</v>
      </c>
      <c r="H1274" s="123">
        <v>2</v>
      </c>
      <c r="I1274" s="123" t="s">
        <v>92</v>
      </c>
      <c r="J1274" s="123" t="s">
        <v>96</v>
      </c>
      <c r="K1274" s="123" t="s">
        <v>93</v>
      </c>
      <c r="L1274" s="132">
        <v>1194</v>
      </c>
      <c r="M1274" s="132">
        <v>0</v>
      </c>
      <c r="N1274" s="132">
        <v>1.1577617329612315E+19</v>
      </c>
    </row>
    <row r="1275" spans="4:14" ht="15" customHeight="1" x14ac:dyDescent="0.2">
      <c r="D1275" s="130" t="b">
        <v>0</v>
      </c>
      <c r="E1275" s="124" t="s">
        <v>97</v>
      </c>
      <c r="F1275" s="125" t="s">
        <v>96</v>
      </c>
      <c r="G1275" s="125">
        <v>2</v>
      </c>
      <c r="H1275" s="123">
        <v>2</v>
      </c>
      <c r="I1275" s="123" t="s">
        <v>92</v>
      </c>
      <c r="J1275" s="123" t="s">
        <v>97</v>
      </c>
      <c r="K1275" s="123" t="s">
        <v>93</v>
      </c>
      <c r="L1275" s="132">
        <v>1195</v>
      </c>
      <c r="M1275" s="132">
        <v>0</v>
      </c>
      <c r="N1275" s="132">
        <v>1.3487861632875416E+17</v>
      </c>
    </row>
    <row r="1276" spans="4:14" ht="15" customHeight="1" x14ac:dyDescent="0.2">
      <c r="D1276" s="130" t="b">
        <v>0</v>
      </c>
      <c r="E1276" s="124" t="s">
        <v>97</v>
      </c>
      <c r="F1276" s="125" t="s">
        <v>96</v>
      </c>
      <c r="G1276" s="125">
        <v>2</v>
      </c>
      <c r="H1276" s="123">
        <v>2</v>
      </c>
      <c r="I1276" s="123" t="s">
        <v>92</v>
      </c>
      <c r="J1276" s="123" t="s">
        <v>91</v>
      </c>
      <c r="K1276" s="123" t="s">
        <v>93</v>
      </c>
      <c r="L1276" s="132">
        <v>1196</v>
      </c>
      <c r="M1276" s="132">
        <v>0</v>
      </c>
      <c r="N1276" s="132">
        <v>1.4015330190735188E+18</v>
      </c>
    </row>
    <row r="1277" spans="4:14" ht="15" customHeight="1" x14ac:dyDescent="0.2">
      <c r="D1277" s="130" t="b">
        <v>0</v>
      </c>
      <c r="E1277" s="124" t="s">
        <v>97</v>
      </c>
      <c r="F1277" s="125" t="s">
        <v>96</v>
      </c>
      <c r="G1277" s="125">
        <v>2</v>
      </c>
      <c r="H1277" s="123">
        <v>4</v>
      </c>
      <c r="I1277" s="123" t="s">
        <v>95</v>
      </c>
      <c r="J1277" s="123" t="s">
        <v>96</v>
      </c>
      <c r="K1277" s="123" t="s">
        <v>93</v>
      </c>
      <c r="L1277" s="132">
        <v>1197</v>
      </c>
      <c r="M1277" s="132">
        <v>0</v>
      </c>
      <c r="N1277" s="132">
        <v>5.2627104047756155E+18</v>
      </c>
    </row>
    <row r="1278" spans="4:14" ht="15" customHeight="1" x14ac:dyDescent="0.2">
      <c r="D1278" s="130" t="b">
        <v>0</v>
      </c>
      <c r="E1278" s="124" t="s">
        <v>97</v>
      </c>
      <c r="F1278" s="125" t="s">
        <v>96</v>
      </c>
      <c r="G1278" s="125">
        <v>2</v>
      </c>
      <c r="H1278" s="123">
        <v>4</v>
      </c>
      <c r="I1278" s="123" t="s">
        <v>95</v>
      </c>
      <c r="J1278" s="123" t="s">
        <v>97</v>
      </c>
      <c r="K1278" s="123" t="s">
        <v>100</v>
      </c>
      <c r="L1278" s="132">
        <v>1198</v>
      </c>
      <c r="M1278" s="132">
        <v>0</v>
      </c>
      <c r="N1278" s="132">
        <v>1.1626365374228527E+19</v>
      </c>
    </row>
    <row r="1279" spans="4:14" ht="15" customHeight="1" x14ac:dyDescent="0.2">
      <c r="D1279" s="130" t="b">
        <v>0</v>
      </c>
      <c r="E1279" s="124" t="s">
        <v>97</v>
      </c>
      <c r="F1279" s="125" t="s">
        <v>96</v>
      </c>
      <c r="G1279" s="125">
        <v>2</v>
      </c>
      <c r="H1279" s="123">
        <v>4</v>
      </c>
      <c r="I1279" s="123" t="s">
        <v>95</v>
      </c>
      <c r="J1279" s="123" t="s">
        <v>91</v>
      </c>
      <c r="K1279" s="123" t="s">
        <v>102</v>
      </c>
      <c r="L1279" s="132">
        <v>1199</v>
      </c>
      <c r="M1279" s="132">
        <v>0</v>
      </c>
      <c r="N1279" s="132">
        <v>5.317101526239743E+18</v>
      </c>
    </row>
    <row r="1280" spans="4:14" ht="15" customHeight="1" x14ac:dyDescent="0.2">
      <c r="D1280" s="130" t="b">
        <v>0</v>
      </c>
      <c r="E1280" s="124" t="s">
        <v>97</v>
      </c>
      <c r="F1280" s="125" t="s">
        <v>96</v>
      </c>
      <c r="G1280" s="125">
        <v>2</v>
      </c>
      <c r="H1280" s="123">
        <v>4</v>
      </c>
      <c r="I1280" s="123" t="s">
        <v>97</v>
      </c>
      <c r="J1280" s="123" t="s">
        <v>96</v>
      </c>
      <c r="K1280" s="123" t="s">
        <v>93</v>
      </c>
      <c r="L1280" s="132">
        <v>1200</v>
      </c>
      <c r="M1280" s="132">
        <v>0</v>
      </c>
      <c r="N1280" s="132">
        <v>7.3826204647772457E+18</v>
      </c>
    </row>
    <row r="1281" spans="4:14" ht="15" customHeight="1" x14ac:dyDescent="0.2">
      <c r="D1281" s="130" t="b">
        <v>0</v>
      </c>
      <c r="E1281" s="124" t="s">
        <v>97</v>
      </c>
      <c r="F1281" s="125" t="s">
        <v>96</v>
      </c>
      <c r="G1281" s="125">
        <v>2</v>
      </c>
      <c r="H1281" s="123">
        <v>4</v>
      </c>
      <c r="I1281" s="123" t="s">
        <v>97</v>
      </c>
      <c r="J1281" s="123" t="s">
        <v>97</v>
      </c>
      <c r="K1281" s="123" t="s">
        <v>100</v>
      </c>
      <c r="L1281" s="132">
        <v>1201</v>
      </c>
      <c r="M1281" s="132">
        <v>0</v>
      </c>
      <c r="N1281" s="132">
        <v>9.4636037020434493E+18</v>
      </c>
    </row>
    <row r="1282" spans="4:14" ht="15" customHeight="1" x14ac:dyDescent="0.2">
      <c r="D1282" s="130" t="b">
        <v>0</v>
      </c>
      <c r="E1282" s="124" t="s">
        <v>97</v>
      </c>
      <c r="F1282" s="125" t="s">
        <v>96</v>
      </c>
      <c r="G1282" s="125">
        <v>2</v>
      </c>
      <c r="H1282" s="123">
        <v>4</v>
      </c>
      <c r="I1282" s="123" t="s">
        <v>97</v>
      </c>
      <c r="J1282" s="123" t="s">
        <v>91</v>
      </c>
      <c r="K1282" s="123" t="s">
        <v>102</v>
      </c>
      <c r="L1282" s="132">
        <v>1202</v>
      </c>
      <c r="M1282" s="132">
        <v>0</v>
      </c>
      <c r="N1282" s="132">
        <v>6.5145388413529364E+18</v>
      </c>
    </row>
    <row r="1283" spans="4:14" ht="15" customHeight="1" x14ac:dyDescent="0.2">
      <c r="D1283" s="130" t="b">
        <v>0</v>
      </c>
      <c r="E1283" s="124" t="s">
        <v>97</v>
      </c>
      <c r="F1283" s="125" t="s">
        <v>96</v>
      </c>
      <c r="G1283" s="125">
        <v>2</v>
      </c>
      <c r="H1283" s="123">
        <v>4</v>
      </c>
      <c r="I1283" s="123" t="s">
        <v>92</v>
      </c>
      <c r="J1283" s="123" t="s">
        <v>96</v>
      </c>
      <c r="K1283" s="123" t="s">
        <v>93</v>
      </c>
      <c r="L1283" s="132">
        <v>1203</v>
      </c>
      <c r="M1283" s="132">
        <v>0</v>
      </c>
      <c r="N1283" s="132">
        <v>3.1595540898749036E+18</v>
      </c>
    </row>
    <row r="1284" spans="4:14" ht="15" customHeight="1" x14ac:dyDescent="0.2">
      <c r="D1284" s="130" t="b">
        <v>0</v>
      </c>
      <c r="E1284" s="124" t="s">
        <v>97</v>
      </c>
      <c r="F1284" s="125" t="s">
        <v>96</v>
      </c>
      <c r="G1284" s="125">
        <v>2</v>
      </c>
      <c r="H1284" s="123">
        <v>4</v>
      </c>
      <c r="I1284" s="123" t="s">
        <v>92</v>
      </c>
      <c r="J1284" s="123" t="s">
        <v>97</v>
      </c>
      <c r="K1284" s="123" t="s">
        <v>102</v>
      </c>
      <c r="L1284" s="132">
        <v>1204</v>
      </c>
      <c r="M1284" s="132">
        <v>0</v>
      </c>
      <c r="N1284" s="132">
        <v>8.1217078818998743E+18</v>
      </c>
    </row>
    <row r="1285" spans="4:14" ht="15" customHeight="1" x14ac:dyDescent="0.2">
      <c r="D1285" s="130" t="b">
        <v>0</v>
      </c>
      <c r="E1285" s="124" t="s">
        <v>97</v>
      </c>
      <c r="F1285" s="125" t="s">
        <v>96</v>
      </c>
      <c r="G1285" s="125">
        <v>2</v>
      </c>
      <c r="H1285" s="123">
        <v>4</v>
      </c>
      <c r="I1285" s="123" t="s">
        <v>92</v>
      </c>
      <c r="J1285" s="123" t="s">
        <v>91</v>
      </c>
      <c r="K1285" s="123" t="s">
        <v>101</v>
      </c>
      <c r="L1285" s="132">
        <v>1205</v>
      </c>
      <c r="M1285" s="132">
        <v>0</v>
      </c>
      <c r="N1285" s="132">
        <v>1.1958307930192282E+19</v>
      </c>
    </row>
    <row r="1286" spans="4:14" ht="15" customHeight="1" x14ac:dyDescent="0.2">
      <c r="D1286" s="130" t="b">
        <v>0</v>
      </c>
      <c r="E1286" s="124" t="s">
        <v>97</v>
      </c>
      <c r="F1286" s="125" t="s">
        <v>96</v>
      </c>
      <c r="G1286" s="125">
        <v>2</v>
      </c>
      <c r="H1286" s="123" t="s">
        <v>98</v>
      </c>
      <c r="I1286" s="123" t="s">
        <v>95</v>
      </c>
      <c r="J1286" s="123" t="s">
        <v>96</v>
      </c>
      <c r="K1286" s="123" t="s">
        <v>93</v>
      </c>
      <c r="L1286" s="132">
        <v>1206</v>
      </c>
      <c r="M1286" s="132">
        <v>0</v>
      </c>
      <c r="N1286" s="132">
        <v>1.4055922459379485E+19</v>
      </c>
    </row>
    <row r="1287" spans="4:14" ht="15" customHeight="1" x14ac:dyDescent="0.2">
      <c r="D1287" s="130" t="b">
        <v>0</v>
      </c>
      <c r="E1287" s="124" t="s">
        <v>97</v>
      </c>
      <c r="F1287" s="125" t="s">
        <v>96</v>
      </c>
      <c r="G1287" s="125">
        <v>2</v>
      </c>
      <c r="H1287" s="123" t="s">
        <v>98</v>
      </c>
      <c r="I1287" s="123" t="s">
        <v>95</v>
      </c>
      <c r="J1287" s="123" t="s">
        <v>97</v>
      </c>
      <c r="K1287" s="123" t="s">
        <v>93</v>
      </c>
      <c r="L1287" s="132">
        <v>1207</v>
      </c>
      <c r="M1287" s="132">
        <v>0</v>
      </c>
      <c r="N1287" s="132">
        <v>1.0346175607812891E+19</v>
      </c>
    </row>
    <row r="1288" spans="4:14" ht="15" customHeight="1" x14ac:dyDescent="0.2">
      <c r="D1288" s="130" t="b">
        <v>0</v>
      </c>
      <c r="E1288" s="124" t="s">
        <v>97</v>
      </c>
      <c r="F1288" s="125" t="s">
        <v>96</v>
      </c>
      <c r="G1288" s="125">
        <v>2</v>
      </c>
      <c r="H1288" s="123" t="s">
        <v>98</v>
      </c>
      <c r="I1288" s="123" t="s">
        <v>95</v>
      </c>
      <c r="J1288" s="123" t="s">
        <v>91</v>
      </c>
      <c r="K1288" s="123" t="s">
        <v>93</v>
      </c>
      <c r="L1288" s="132">
        <v>1208</v>
      </c>
      <c r="M1288" s="132">
        <v>0</v>
      </c>
      <c r="N1288" s="132">
        <v>1.2783325709493934E+19</v>
      </c>
    </row>
    <row r="1289" spans="4:14" ht="15" customHeight="1" x14ac:dyDescent="0.2">
      <c r="D1289" s="130" t="b">
        <v>0</v>
      </c>
      <c r="E1289" s="124" t="s">
        <v>97</v>
      </c>
      <c r="F1289" s="125" t="s">
        <v>96</v>
      </c>
      <c r="G1289" s="125">
        <v>2</v>
      </c>
      <c r="H1289" s="123" t="s">
        <v>98</v>
      </c>
      <c r="I1289" s="123" t="s">
        <v>97</v>
      </c>
      <c r="J1289" s="123" t="s">
        <v>96</v>
      </c>
      <c r="K1289" s="123" t="s">
        <v>93</v>
      </c>
      <c r="L1289" s="132">
        <v>1209</v>
      </c>
      <c r="M1289" s="132">
        <v>0</v>
      </c>
      <c r="N1289" s="132">
        <v>6.4182290819124357E+18</v>
      </c>
    </row>
    <row r="1290" spans="4:14" ht="15" customHeight="1" x14ac:dyDescent="0.2">
      <c r="D1290" s="130" t="b">
        <v>0</v>
      </c>
      <c r="E1290" s="124" t="s">
        <v>97</v>
      </c>
      <c r="F1290" s="125" t="s">
        <v>96</v>
      </c>
      <c r="G1290" s="125">
        <v>2</v>
      </c>
      <c r="H1290" s="123" t="s">
        <v>98</v>
      </c>
      <c r="I1290" s="123" t="s">
        <v>97</v>
      </c>
      <c r="J1290" s="123" t="s">
        <v>97</v>
      </c>
      <c r="K1290" s="123" t="s">
        <v>100</v>
      </c>
      <c r="L1290" s="132">
        <v>1210</v>
      </c>
      <c r="M1290" s="132">
        <v>0</v>
      </c>
      <c r="N1290" s="132">
        <v>6.1210537143635415E+18</v>
      </c>
    </row>
    <row r="1291" spans="4:14" ht="15" customHeight="1" x14ac:dyDescent="0.2">
      <c r="D1291" s="130" t="b">
        <v>0</v>
      </c>
      <c r="E1291" s="124" t="s">
        <v>97</v>
      </c>
      <c r="F1291" s="125" t="s">
        <v>96</v>
      </c>
      <c r="G1291" s="125">
        <v>2</v>
      </c>
      <c r="H1291" s="123" t="s">
        <v>98</v>
      </c>
      <c r="I1291" s="123" t="s">
        <v>97</v>
      </c>
      <c r="J1291" s="123" t="s">
        <v>91</v>
      </c>
      <c r="K1291" s="123" t="s">
        <v>102</v>
      </c>
      <c r="L1291" s="132">
        <v>1211</v>
      </c>
      <c r="M1291" s="132">
        <v>0</v>
      </c>
      <c r="N1291" s="132">
        <v>3.0913805175409664E+18</v>
      </c>
    </row>
    <row r="1292" spans="4:14" ht="15" customHeight="1" x14ac:dyDescent="0.2">
      <c r="D1292" s="130" t="b">
        <v>0</v>
      </c>
      <c r="E1292" s="124" t="s">
        <v>97</v>
      </c>
      <c r="F1292" s="125" t="s">
        <v>96</v>
      </c>
      <c r="G1292" s="125">
        <v>2</v>
      </c>
      <c r="H1292" s="123" t="s">
        <v>98</v>
      </c>
      <c r="I1292" s="123" t="s">
        <v>92</v>
      </c>
      <c r="J1292" s="123" t="s">
        <v>96</v>
      </c>
      <c r="K1292" s="123" t="s">
        <v>93</v>
      </c>
      <c r="L1292" s="132">
        <v>1212</v>
      </c>
      <c r="M1292" s="132">
        <v>0</v>
      </c>
      <c r="N1292" s="132">
        <v>1.3948166469725229E+19</v>
      </c>
    </row>
    <row r="1293" spans="4:14" ht="15" customHeight="1" x14ac:dyDescent="0.2">
      <c r="D1293" s="130" t="b">
        <v>0</v>
      </c>
      <c r="E1293" s="124" t="s">
        <v>97</v>
      </c>
      <c r="F1293" s="125" t="s">
        <v>96</v>
      </c>
      <c r="G1293" s="125">
        <v>2</v>
      </c>
      <c r="H1293" s="123" t="s">
        <v>98</v>
      </c>
      <c r="I1293" s="123" t="s">
        <v>92</v>
      </c>
      <c r="J1293" s="123" t="s">
        <v>97</v>
      </c>
      <c r="K1293" s="123" t="s">
        <v>102</v>
      </c>
      <c r="L1293" s="132">
        <v>1213</v>
      </c>
      <c r="M1293" s="132">
        <v>0</v>
      </c>
      <c r="N1293" s="132">
        <v>1.5171386334560406E+19</v>
      </c>
    </row>
    <row r="1294" spans="4:14" ht="15" customHeight="1" x14ac:dyDescent="0.2">
      <c r="D1294" s="130" t="b">
        <v>0</v>
      </c>
      <c r="E1294" s="124" t="s">
        <v>97</v>
      </c>
      <c r="F1294" s="125" t="s">
        <v>96</v>
      </c>
      <c r="G1294" s="125">
        <v>2</v>
      </c>
      <c r="H1294" s="123" t="s">
        <v>98</v>
      </c>
      <c r="I1294" s="123" t="s">
        <v>92</v>
      </c>
      <c r="J1294" s="123" t="s">
        <v>91</v>
      </c>
      <c r="K1294" s="123" t="s">
        <v>101</v>
      </c>
      <c r="L1294" s="132">
        <v>1214</v>
      </c>
      <c r="M1294" s="132">
        <v>0</v>
      </c>
      <c r="N1294" s="132">
        <v>1.2092751157120532E+19</v>
      </c>
    </row>
    <row r="1295" spans="4:14" ht="15" customHeight="1" x14ac:dyDescent="0.2">
      <c r="D1295" s="130" t="b">
        <v>0</v>
      </c>
      <c r="E1295" s="124" t="s">
        <v>97</v>
      </c>
      <c r="F1295" s="125" t="s">
        <v>96</v>
      </c>
      <c r="G1295" s="125">
        <v>3</v>
      </c>
      <c r="H1295" s="123">
        <v>2</v>
      </c>
      <c r="I1295" s="123" t="s">
        <v>95</v>
      </c>
      <c r="J1295" s="123" t="s">
        <v>96</v>
      </c>
      <c r="K1295" s="123" t="s">
        <v>93</v>
      </c>
      <c r="L1295" s="132">
        <v>1215</v>
      </c>
      <c r="M1295" s="132">
        <v>0</v>
      </c>
      <c r="N1295" s="132">
        <v>2.4639995893124357E+18</v>
      </c>
    </row>
    <row r="1296" spans="4:14" ht="15" customHeight="1" x14ac:dyDescent="0.2">
      <c r="D1296" s="130" t="b">
        <v>0</v>
      </c>
      <c r="E1296" s="124" t="s">
        <v>97</v>
      </c>
      <c r="F1296" s="125" t="s">
        <v>96</v>
      </c>
      <c r="G1296" s="125">
        <v>3</v>
      </c>
      <c r="H1296" s="123">
        <v>2</v>
      </c>
      <c r="I1296" s="123" t="s">
        <v>95</v>
      </c>
      <c r="J1296" s="123" t="s">
        <v>97</v>
      </c>
      <c r="K1296" s="123" t="s">
        <v>93</v>
      </c>
      <c r="L1296" s="132">
        <v>1216</v>
      </c>
      <c r="M1296" s="132">
        <v>0</v>
      </c>
      <c r="N1296" s="132">
        <v>8.1245872155005069E+17</v>
      </c>
    </row>
    <row r="1297" spans="4:14" ht="15" customHeight="1" x14ac:dyDescent="0.2">
      <c r="D1297" s="130" t="b">
        <v>0</v>
      </c>
      <c r="E1297" s="124" t="s">
        <v>97</v>
      </c>
      <c r="F1297" s="125" t="s">
        <v>96</v>
      </c>
      <c r="G1297" s="125">
        <v>3</v>
      </c>
      <c r="H1297" s="123">
        <v>2</v>
      </c>
      <c r="I1297" s="123" t="s">
        <v>95</v>
      </c>
      <c r="J1297" s="123" t="s">
        <v>91</v>
      </c>
      <c r="K1297" s="123" t="s">
        <v>93</v>
      </c>
      <c r="L1297" s="132">
        <v>1217</v>
      </c>
      <c r="M1297" s="132">
        <v>0</v>
      </c>
      <c r="N1297" s="132">
        <v>1.4927796543625431E+18</v>
      </c>
    </row>
    <row r="1298" spans="4:14" ht="15" customHeight="1" x14ac:dyDescent="0.2">
      <c r="D1298" s="130" t="b">
        <v>0</v>
      </c>
      <c r="E1298" s="124" t="s">
        <v>97</v>
      </c>
      <c r="F1298" s="125" t="s">
        <v>96</v>
      </c>
      <c r="G1298" s="125">
        <v>3</v>
      </c>
      <c r="H1298" s="123">
        <v>2</v>
      </c>
      <c r="I1298" s="123" t="s">
        <v>97</v>
      </c>
      <c r="J1298" s="123" t="s">
        <v>96</v>
      </c>
      <c r="K1298" s="123" t="s">
        <v>93</v>
      </c>
      <c r="L1298" s="132">
        <v>1218</v>
      </c>
      <c r="M1298" s="132">
        <v>0</v>
      </c>
      <c r="N1298" s="132">
        <v>1.7621625165376893E+18</v>
      </c>
    </row>
    <row r="1299" spans="4:14" ht="15" customHeight="1" x14ac:dyDescent="0.2">
      <c r="D1299" s="130" t="b">
        <v>0</v>
      </c>
      <c r="E1299" s="124" t="s">
        <v>97</v>
      </c>
      <c r="F1299" s="125" t="s">
        <v>96</v>
      </c>
      <c r="G1299" s="125">
        <v>3</v>
      </c>
      <c r="H1299" s="123">
        <v>2</v>
      </c>
      <c r="I1299" s="123" t="s">
        <v>97</v>
      </c>
      <c r="J1299" s="123" t="s">
        <v>97</v>
      </c>
      <c r="K1299" s="123" t="s">
        <v>93</v>
      </c>
      <c r="L1299" s="132">
        <v>1219</v>
      </c>
      <c r="M1299" s="132">
        <v>0</v>
      </c>
      <c r="N1299" s="132">
        <v>5.5806198892643983E+18</v>
      </c>
    </row>
    <row r="1300" spans="4:14" ht="15" customHeight="1" x14ac:dyDescent="0.2">
      <c r="D1300" s="130" t="b">
        <v>0</v>
      </c>
      <c r="E1300" s="124" t="s">
        <v>97</v>
      </c>
      <c r="F1300" s="125" t="s">
        <v>96</v>
      </c>
      <c r="G1300" s="125">
        <v>3</v>
      </c>
      <c r="H1300" s="123">
        <v>2</v>
      </c>
      <c r="I1300" s="123" t="s">
        <v>97</v>
      </c>
      <c r="J1300" s="123" t="s">
        <v>91</v>
      </c>
      <c r="K1300" s="123" t="s">
        <v>93</v>
      </c>
      <c r="L1300" s="132">
        <v>1220</v>
      </c>
      <c r="M1300" s="132">
        <v>0</v>
      </c>
      <c r="N1300" s="132">
        <v>1.3734879052899596E+19</v>
      </c>
    </row>
    <row r="1301" spans="4:14" ht="15" customHeight="1" x14ac:dyDescent="0.2">
      <c r="D1301" s="130" t="b">
        <v>0</v>
      </c>
      <c r="E1301" s="124" t="s">
        <v>97</v>
      </c>
      <c r="F1301" s="125" t="s">
        <v>96</v>
      </c>
      <c r="G1301" s="125">
        <v>3</v>
      </c>
      <c r="H1301" s="123">
        <v>2</v>
      </c>
      <c r="I1301" s="123" t="s">
        <v>92</v>
      </c>
      <c r="J1301" s="123" t="s">
        <v>96</v>
      </c>
      <c r="K1301" s="123" t="s">
        <v>93</v>
      </c>
      <c r="L1301" s="132">
        <v>1221</v>
      </c>
      <c r="M1301" s="132">
        <v>0</v>
      </c>
      <c r="N1301" s="132">
        <v>1.3467143553844867E+19</v>
      </c>
    </row>
    <row r="1302" spans="4:14" ht="15" customHeight="1" x14ac:dyDescent="0.2">
      <c r="D1302" s="130" t="b">
        <v>0</v>
      </c>
      <c r="E1302" s="124" t="s">
        <v>97</v>
      </c>
      <c r="F1302" s="125" t="s">
        <v>96</v>
      </c>
      <c r="G1302" s="125">
        <v>3</v>
      </c>
      <c r="H1302" s="123">
        <v>2</v>
      </c>
      <c r="I1302" s="123" t="s">
        <v>92</v>
      </c>
      <c r="J1302" s="123" t="s">
        <v>97</v>
      </c>
      <c r="K1302" s="123" t="s">
        <v>93</v>
      </c>
      <c r="L1302" s="132">
        <v>1222</v>
      </c>
      <c r="M1302" s="132">
        <v>0</v>
      </c>
      <c r="N1302" s="132">
        <v>1.5881277043178353E+18</v>
      </c>
    </row>
    <row r="1303" spans="4:14" ht="15" customHeight="1" x14ac:dyDescent="0.2">
      <c r="D1303" s="130" t="b">
        <v>0</v>
      </c>
      <c r="E1303" s="124" t="s">
        <v>97</v>
      </c>
      <c r="F1303" s="125" t="s">
        <v>96</v>
      </c>
      <c r="G1303" s="125">
        <v>3</v>
      </c>
      <c r="H1303" s="123">
        <v>2</v>
      </c>
      <c r="I1303" s="123" t="s">
        <v>92</v>
      </c>
      <c r="J1303" s="123" t="s">
        <v>91</v>
      </c>
      <c r="K1303" s="123" t="s">
        <v>93</v>
      </c>
      <c r="L1303" s="132">
        <v>1223</v>
      </c>
      <c r="M1303" s="132">
        <v>0</v>
      </c>
      <c r="N1303" s="132">
        <v>1.6697802640500849E+19</v>
      </c>
    </row>
    <row r="1304" spans="4:14" ht="15" customHeight="1" x14ac:dyDescent="0.2">
      <c r="D1304" s="130" t="b">
        <v>0</v>
      </c>
      <c r="E1304" s="124" t="s">
        <v>97</v>
      </c>
      <c r="F1304" s="125" t="s">
        <v>96</v>
      </c>
      <c r="G1304" s="125">
        <v>3</v>
      </c>
      <c r="H1304" s="123">
        <v>4</v>
      </c>
      <c r="I1304" s="123" t="s">
        <v>95</v>
      </c>
      <c r="J1304" s="123" t="s">
        <v>96</v>
      </c>
      <c r="K1304" s="123" t="s">
        <v>93</v>
      </c>
      <c r="L1304" s="132">
        <v>1224</v>
      </c>
      <c r="M1304" s="132">
        <v>0</v>
      </c>
      <c r="N1304" s="132">
        <v>9.6595309900549939E+18</v>
      </c>
    </row>
    <row r="1305" spans="4:14" ht="15" customHeight="1" x14ac:dyDescent="0.2">
      <c r="D1305" s="130" t="b">
        <v>0</v>
      </c>
      <c r="E1305" s="124" t="s">
        <v>97</v>
      </c>
      <c r="F1305" s="125" t="s">
        <v>96</v>
      </c>
      <c r="G1305" s="125">
        <v>3</v>
      </c>
      <c r="H1305" s="123">
        <v>4</v>
      </c>
      <c r="I1305" s="123" t="s">
        <v>95</v>
      </c>
      <c r="J1305" s="123" t="s">
        <v>97</v>
      </c>
      <c r="K1305" s="123" t="s">
        <v>100</v>
      </c>
      <c r="L1305" s="132">
        <v>1225</v>
      </c>
      <c r="M1305" s="132">
        <v>0</v>
      </c>
      <c r="N1305" s="132">
        <v>1.6999345741588296E+19</v>
      </c>
    </row>
    <row r="1306" spans="4:14" ht="15" customHeight="1" x14ac:dyDescent="0.2">
      <c r="D1306" s="130" t="b">
        <v>0</v>
      </c>
      <c r="E1306" s="124" t="s">
        <v>97</v>
      </c>
      <c r="F1306" s="125" t="s">
        <v>96</v>
      </c>
      <c r="G1306" s="125">
        <v>3</v>
      </c>
      <c r="H1306" s="123">
        <v>4</v>
      </c>
      <c r="I1306" s="123" t="s">
        <v>95</v>
      </c>
      <c r="J1306" s="123" t="s">
        <v>91</v>
      </c>
      <c r="K1306" s="123" t="s">
        <v>102</v>
      </c>
      <c r="L1306" s="132">
        <v>1226</v>
      </c>
      <c r="M1306" s="132">
        <v>0</v>
      </c>
      <c r="N1306" s="132">
        <v>8.4165537274030633E+18</v>
      </c>
    </row>
    <row r="1307" spans="4:14" ht="15" customHeight="1" x14ac:dyDescent="0.2">
      <c r="D1307" s="130" t="b">
        <v>0</v>
      </c>
      <c r="E1307" s="124" t="s">
        <v>97</v>
      </c>
      <c r="F1307" s="125" t="s">
        <v>96</v>
      </c>
      <c r="G1307" s="125">
        <v>3</v>
      </c>
      <c r="H1307" s="123">
        <v>4</v>
      </c>
      <c r="I1307" s="123" t="s">
        <v>97</v>
      </c>
      <c r="J1307" s="123" t="s">
        <v>96</v>
      </c>
      <c r="K1307" s="123" t="s">
        <v>93</v>
      </c>
      <c r="L1307" s="132">
        <v>1227</v>
      </c>
      <c r="M1307" s="132">
        <v>0</v>
      </c>
      <c r="N1307" s="132">
        <v>1.5686828451111438E+19</v>
      </c>
    </row>
    <row r="1308" spans="4:14" ht="15" customHeight="1" x14ac:dyDescent="0.2">
      <c r="D1308" s="130" t="b">
        <v>0</v>
      </c>
      <c r="E1308" s="124" t="s">
        <v>97</v>
      </c>
      <c r="F1308" s="125" t="s">
        <v>96</v>
      </c>
      <c r="G1308" s="125">
        <v>3</v>
      </c>
      <c r="H1308" s="123">
        <v>4</v>
      </c>
      <c r="I1308" s="123" t="s">
        <v>97</v>
      </c>
      <c r="J1308" s="123" t="s">
        <v>97</v>
      </c>
      <c r="K1308" s="123" t="s">
        <v>100</v>
      </c>
      <c r="L1308" s="132">
        <v>1228</v>
      </c>
      <c r="M1308" s="132">
        <v>0</v>
      </c>
      <c r="N1308" s="132">
        <v>1.3700347229891764E+19</v>
      </c>
    </row>
    <row r="1309" spans="4:14" ht="15" customHeight="1" x14ac:dyDescent="0.2">
      <c r="D1309" s="130" t="b">
        <v>0</v>
      </c>
      <c r="E1309" s="124" t="s">
        <v>97</v>
      </c>
      <c r="F1309" s="125" t="s">
        <v>96</v>
      </c>
      <c r="G1309" s="125">
        <v>3</v>
      </c>
      <c r="H1309" s="123">
        <v>4</v>
      </c>
      <c r="I1309" s="123" t="s">
        <v>97</v>
      </c>
      <c r="J1309" s="123" t="s">
        <v>91</v>
      </c>
      <c r="K1309" s="123" t="s">
        <v>102</v>
      </c>
      <c r="L1309" s="132">
        <v>1229</v>
      </c>
      <c r="M1309" s="132">
        <v>0</v>
      </c>
      <c r="N1309" s="132">
        <v>6.3897429874880584E+18</v>
      </c>
    </row>
    <row r="1310" spans="4:14" ht="15" customHeight="1" x14ac:dyDescent="0.2">
      <c r="D1310" s="130" t="b">
        <v>0</v>
      </c>
      <c r="E1310" s="124" t="s">
        <v>97</v>
      </c>
      <c r="F1310" s="125" t="s">
        <v>96</v>
      </c>
      <c r="G1310" s="125">
        <v>3</v>
      </c>
      <c r="H1310" s="123">
        <v>4</v>
      </c>
      <c r="I1310" s="123" t="s">
        <v>92</v>
      </c>
      <c r="J1310" s="123" t="s">
        <v>96</v>
      </c>
      <c r="K1310" s="123" t="s">
        <v>93</v>
      </c>
      <c r="L1310" s="132">
        <v>1230</v>
      </c>
      <c r="M1310" s="132">
        <v>0</v>
      </c>
      <c r="N1310" s="132">
        <v>1.7702048514684051E+19</v>
      </c>
    </row>
    <row r="1311" spans="4:14" ht="15" customHeight="1" x14ac:dyDescent="0.2">
      <c r="D1311" s="130" t="b">
        <v>0</v>
      </c>
      <c r="E1311" s="124" t="s">
        <v>97</v>
      </c>
      <c r="F1311" s="125" t="s">
        <v>96</v>
      </c>
      <c r="G1311" s="125">
        <v>3</v>
      </c>
      <c r="H1311" s="123">
        <v>4</v>
      </c>
      <c r="I1311" s="123" t="s">
        <v>92</v>
      </c>
      <c r="J1311" s="123" t="s">
        <v>97</v>
      </c>
      <c r="K1311" s="123" t="s">
        <v>102</v>
      </c>
      <c r="L1311" s="132">
        <v>1231</v>
      </c>
      <c r="M1311" s="132">
        <v>0</v>
      </c>
      <c r="N1311" s="132">
        <v>3.3167639263927572E+18</v>
      </c>
    </row>
    <row r="1312" spans="4:14" ht="15" customHeight="1" x14ac:dyDescent="0.2">
      <c r="D1312" s="130" t="b">
        <v>0</v>
      </c>
      <c r="E1312" s="124" t="s">
        <v>97</v>
      </c>
      <c r="F1312" s="125" t="s">
        <v>96</v>
      </c>
      <c r="G1312" s="125">
        <v>3</v>
      </c>
      <c r="H1312" s="123">
        <v>4</v>
      </c>
      <c r="I1312" s="123" t="s">
        <v>92</v>
      </c>
      <c r="J1312" s="123" t="s">
        <v>91</v>
      </c>
      <c r="K1312" s="123" t="s">
        <v>101</v>
      </c>
      <c r="L1312" s="132">
        <v>1232</v>
      </c>
      <c r="M1312" s="132">
        <v>0</v>
      </c>
      <c r="N1312" s="132">
        <v>1.6561238844898626E+19</v>
      </c>
    </row>
    <row r="1313" spans="4:14" ht="15" customHeight="1" x14ac:dyDescent="0.2">
      <c r="D1313" s="130" t="b">
        <v>0</v>
      </c>
      <c r="E1313" s="124" t="s">
        <v>97</v>
      </c>
      <c r="F1313" s="125" t="s">
        <v>96</v>
      </c>
      <c r="G1313" s="125">
        <v>3</v>
      </c>
      <c r="H1313" s="123" t="s">
        <v>98</v>
      </c>
      <c r="I1313" s="123" t="s">
        <v>95</v>
      </c>
      <c r="J1313" s="123" t="s">
        <v>96</v>
      </c>
      <c r="K1313" s="123" t="s">
        <v>93</v>
      </c>
      <c r="L1313" s="132">
        <v>1233</v>
      </c>
      <c r="M1313" s="132">
        <v>0</v>
      </c>
      <c r="N1313" s="132">
        <v>1.4385791693494972E+19</v>
      </c>
    </row>
    <row r="1314" spans="4:14" ht="15" customHeight="1" x14ac:dyDescent="0.2">
      <c r="D1314" s="130" t="b">
        <v>0</v>
      </c>
      <c r="E1314" s="124" t="s">
        <v>97</v>
      </c>
      <c r="F1314" s="125" t="s">
        <v>96</v>
      </c>
      <c r="G1314" s="125">
        <v>3</v>
      </c>
      <c r="H1314" s="123" t="s">
        <v>98</v>
      </c>
      <c r="I1314" s="123" t="s">
        <v>95</v>
      </c>
      <c r="J1314" s="123" t="s">
        <v>97</v>
      </c>
      <c r="K1314" s="123" t="s">
        <v>100</v>
      </c>
      <c r="L1314" s="132">
        <v>1234</v>
      </c>
      <c r="M1314" s="132">
        <v>0</v>
      </c>
      <c r="N1314" s="132">
        <v>1.1898871614460703E+19</v>
      </c>
    </row>
    <row r="1315" spans="4:14" ht="15" customHeight="1" x14ac:dyDescent="0.2">
      <c r="D1315" s="130" t="b">
        <v>0</v>
      </c>
      <c r="E1315" s="124" t="s">
        <v>97</v>
      </c>
      <c r="F1315" s="125" t="s">
        <v>96</v>
      </c>
      <c r="G1315" s="125">
        <v>3</v>
      </c>
      <c r="H1315" s="123" t="s">
        <v>98</v>
      </c>
      <c r="I1315" s="123" t="s">
        <v>95</v>
      </c>
      <c r="J1315" s="123" t="s">
        <v>91</v>
      </c>
      <c r="K1315" s="123" t="s">
        <v>102</v>
      </c>
      <c r="L1315" s="132">
        <v>1235</v>
      </c>
      <c r="M1315" s="132">
        <v>0</v>
      </c>
      <c r="N1315" s="132">
        <v>2.1253311807431104E+18</v>
      </c>
    </row>
    <row r="1316" spans="4:14" ht="15" customHeight="1" x14ac:dyDescent="0.2">
      <c r="D1316" s="130" t="b">
        <v>0</v>
      </c>
      <c r="E1316" s="124" t="s">
        <v>97</v>
      </c>
      <c r="F1316" s="125" t="s">
        <v>96</v>
      </c>
      <c r="G1316" s="125">
        <v>3</v>
      </c>
      <c r="H1316" s="123" t="s">
        <v>98</v>
      </c>
      <c r="I1316" s="123" t="s">
        <v>97</v>
      </c>
      <c r="J1316" s="123" t="s">
        <v>96</v>
      </c>
      <c r="K1316" s="123" t="s">
        <v>93</v>
      </c>
      <c r="L1316" s="132">
        <v>1236</v>
      </c>
      <c r="M1316" s="132">
        <v>0</v>
      </c>
      <c r="N1316" s="132">
        <v>8.7600211119425669E+18</v>
      </c>
    </row>
    <row r="1317" spans="4:14" ht="15" customHeight="1" x14ac:dyDescent="0.2">
      <c r="D1317" s="130" t="b">
        <v>0</v>
      </c>
      <c r="E1317" s="124" t="s">
        <v>97</v>
      </c>
      <c r="F1317" s="125" t="s">
        <v>96</v>
      </c>
      <c r="G1317" s="125">
        <v>3</v>
      </c>
      <c r="H1317" s="123" t="s">
        <v>98</v>
      </c>
      <c r="I1317" s="123" t="s">
        <v>97</v>
      </c>
      <c r="J1317" s="123" t="s">
        <v>97</v>
      </c>
      <c r="K1317" s="123" t="s">
        <v>102</v>
      </c>
      <c r="L1317" s="132">
        <v>1237</v>
      </c>
      <c r="M1317" s="132">
        <v>0</v>
      </c>
      <c r="N1317" s="132">
        <v>1.2797330375948681E+19</v>
      </c>
    </row>
    <row r="1318" spans="4:14" ht="15" customHeight="1" x14ac:dyDescent="0.2">
      <c r="D1318" s="130" t="b">
        <v>0</v>
      </c>
      <c r="E1318" s="124" t="s">
        <v>97</v>
      </c>
      <c r="F1318" s="125" t="s">
        <v>96</v>
      </c>
      <c r="G1318" s="125">
        <v>3</v>
      </c>
      <c r="H1318" s="123" t="s">
        <v>98</v>
      </c>
      <c r="I1318" s="123" t="s">
        <v>97</v>
      </c>
      <c r="J1318" s="123" t="s">
        <v>91</v>
      </c>
      <c r="K1318" s="123" t="s">
        <v>101</v>
      </c>
      <c r="L1318" s="132">
        <v>1238</v>
      </c>
      <c r="M1318" s="132">
        <v>0</v>
      </c>
      <c r="N1318" s="132">
        <v>1.2629996334738282E+19</v>
      </c>
    </row>
    <row r="1319" spans="4:14" ht="15" customHeight="1" x14ac:dyDescent="0.2">
      <c r="D1319" s="130" t="b">
        <v>0</v>
      </c>
      <c r="E1319" s="124" t="s">
        <v>97</v>
      </c>
      <c r="F1319" s="125" t="s">
        <v>96</v>
      </c>
      <c r="G1319" s="125">
        <v>3</v>
      </c>
      <c r="H1319" s="123" t="s">
        <v>98</v>
      </c>
      <c r="I1319" s="123" t="s">
        <v>92</v>
      </c>
      <c r="J1319" s="123" t="s">
        <v>96</v>
      </c>
      <c r="K1319" s="123" t="s">
        <v>93</v>
      </c>
      <c r="L1319" s="132">
        <v>1239</v>
      </c>
      <c r="M1319" s="132">
        <v>0</v>
      </c>
      <c r="N1319" s="132">
        <v>1.7746158872358454E+18</v>
      </c>
    </row>
    <row r="1320" spans="4:14" ht="15" customHeight="1" x14ac:dyDescent="0.2">
      <c r="D1320" s="130" t="b">
        <v>0</v>
      </c>
      <c r="E1320" s="124" t="s">
        <v>97</v>
      </c>
      <c r="F1320" s="125" t="s">
        <v>96</v>
      </c>
      <c r="G1320" s="125">
        <v>3</v>
      </c>
      <c r="H1320" s="123" t="s">
        <v>98</v>
      </c>
      <c r="I1320" s="123" t="s">
        <v>92</v>
      </c>
      <c r="J1320" s="123" t="s">
        <v>97</v>
      </c>
      <c r="K1320" s="123" t="s">
        <v>102</v>
      </c>
      <c r="L1320" s="132">
        <v>1240</v>
      </c>
      <c r="M1320" s="132">
        <v>0</v>
      </c>
      <c r="N1320" s="132">
        <v>1.6605470637842219E+19</v>
      </c>
    </row>
    <row r="1321" spans="4:14" ht="15" customHeight="1" x14ac:dyDescent="0.2">
      <c r="D1321" s="130" t="b">
        <v>0</v>
      </c>
      <c r="E1321" s="124" t="s">
        <v>97</v>
      </c>
      <c r="F1321" s="125" t="s">
        <v>96</v>
      </c>
      <c r="G1321" s="125">
        <v>3</v>
      </c>
      <c r="H1321" s="123" t="s">
        <v>98</v>
      </c>
      <c r="I1321" s="123" t="s">
        <v>92</v>
      </c>
      <c r="J1321" s="123" t="s">
        <v>91</v>
      </c>
      <c r="K1321" s="123" t="s">
        <v>101</v>
      </c>
      <c r="L1321" s="132">
        <v>1241</v>
      </c>
      <c r="M1321" s="132">
        <v>0</v>
      </c>
      <c r="N1321" s="132">
        <v>5.6141161717009029E+18</v>
      </c>
    </row>
    <row r="1322" spans="4:14" ht="15" customHeight="1" x14ac:dyDescent="0.2">
      <c r="D1322" s="130" t="b">
        <v>0</v>
      </c>
      <c r="E1322" s="124" t="s">
        <v>97</v>
      </c>
      <c r="F1322" s="125" t="s">
        <v>96</v>
      </c>
      <c r="G1322" s="125">
        <v>4</v>
      </c>
      <c r="H1322" s="123">
        <v>2</v>
      </c>
      <c r="I1322" s="123" t="s">
        <v>95</v>
      </c>
      <c r="J1322" s="123" t="s">
        <v>96</v>
      </c>
      <c r="K1322" s="123" t="s">
        <v>93</v>
      </c>
      <c r="L1322" s="132">
        <v>1242</v>
      </c>
      <c r="M1322" s="132">
        <v>0</v>
      </c>
      <c r="N1322" s="132">
        <v>5.2046947999988429E+18</v>
      </c>
    </row>
    <row r="1323" spans="4:14" ht="15" customHeight="1" x14ac:dyDescent="0.2">
      <c r="D1323" s="130" t="b">
        <v>0</v>
      </c>
      <c r="E1323" s="124" t="s">
        <v>97</v>
      </c>
      <c r="F1323" s="125" t="s">
        <v>96</v>
      </c>
      <c r="G1323" s="125">
        <v>4</v>
      </c>
      <c r="H1323" s="123">
        <v>2</v>
      </c>
      <c r="I1323" s="123" t="s">
        <v>95</v>
      </c>
      <c r="J1323" s="123" t="s">
        <v>97</v>
      </c>
      <c r="K1323" s="123" t="s">
        <v>93</v>
      </c>
      <c r="L1323" s="132">
        <v>1243</v>
      </c>
      <c r="M1323" s="132">
        <v>0</v>
      </c>
      <c r="N1323" s="132">
        <v>1.1057950516407551E+18</v>
      </c>
    </row>
    <row r="1324" spans="4:14" ht="15" customHeight="1" x14ac:dyDescent="0.2">
      <c r="D1324" s="130" t="b">
        <v>0</v>
      </c>
      <c r="E1324" s="124" t="s">
        <v>97</v>
      </c>
      <c r="F1324" s="125" t="s">
        <v>96</v>
      </c>
      <c r="G1324" s="125">
        <v>4</v>
      </c>
      <c r="H1324" s="123">
        <v>2</v>
      </c>
      <c r="I1324" s="123" t="s">
        <v>95</v>
      </c>
      <c r="J1324" s="123" t="s">
        <v>91</v>
      </c>
      <c r="K1324" s="123" t="s">
        <v>93</v>
      </c>
      <c r="L1324" s="132">
        <v>1244</v>
      </c>
      <c r="M1324" s="132">
        <v>0</v>
      </c>
      <c r="N1324" s="132">
        <v>1.5316032473155254E+19</v>
      </c>
    </row>
    <row r="1325" spans="4:14" ht="15" customHeight="1" x14ac:dyDescent="0.2">
      <c r="D1325" s="130" t="b">
        <v>0</v>
      </c>
      <c r="E1325" s="124" t="s">
        <v>97</v>
      </c>
      <c r="F1325" s="125" t="s">
        <v>96</v>
      </c>
      <c r="G1325" s="125">
        <v>4</v>
      </c>
      <c r="H1325" s="123">
        <v>2</v>
      </c>
      <c r="I1325" s="123" t="s">
        <v>97</v>
      </c>
      <c r="J1325" s="123" t="s">
        <v>96</v>
      </c>
      <c r="K1325" s="123" t="s">
        <v>93</v>
      </c>
      <c r="L1325" s="132">
        <v>1245</v>
      </c>
      <c r="M1325" s="132">
        <v>0</v>
      </c>
      <c r="N1325" s="132">
        <v>4.9522103702758666E+18</v>
      </c>
    </row>
    <row r="1326" spans="4:14" ht="15" customHeight="1" x14ac:dyDescent="0.2">
      <c r="D1326" s="130" t="b">
        <v>0</v>
      </c>
      <c r="E1326" s="124" t="s">
        <v>97</v>
      </c>
      <c r="F1326" s="125" t="s">
        <v>96</v>
      </c>
      <c r="G1326" s="125">
        <v>4</v>
      </c>
      <c r="H1326" s="123">
        <v>2</v>
      </c>
      <c r="I1326" s="123" t="s">
        <v>97</v>
      </c>
      <c r="J1326" s="123" t="s">
        <v>97</v>
      </c>
      <c r="K1326" s="123" t="s">
        <v>93</v>
      </c>
      <c r="L1326" s="132">
        <v>1246</v>
      </c>
      <c r="M1326" s="132">
        <v>0</v>
      </c>
      <c r="N1326" s="132">
        <v>2.3290277639300792E+18</v>
      </c>
    </row>
    <row r="1327" spans="4:14" ht="15" customHeight="1" x14ac:dyDescent="0.2">
      <c r="D1327" s="130" t="b">
        <v>0</v>
      </c>
      <c r="E1327" s="124" t="s">
        <v>97</v>
      </c>
      <c r="F1327" s="125" t="s">
        <v>96</v>
      </c>
      <c r="G1327" s="125">
        <v>4</v>
      </c>
      <c r="H1327" s="123">
        <v>2</v>
      </c>
      <c r="I1327" s="123" t="s">
        <v>97</v>
      </c>
      <c r="J1327" s="123" t="s">
        <v>91</v>
      </c>
      <c r="K1327" s="123" t="s">
        <v>93</v>
      </c>
      <c r="L1327" s="132">
        <v>1247</v>
      </c>
      <c r="M1327" s="132">
        <v>0</v>
      </c>
      <c r="N1327" s="132">
        <v>1.2008722332460552E+18</v>
      </c>
    </row>
    <row r="1328" spans="4:14" ht="15" customHeight="1" x14ac:dyDescent="0.2">
      <c r="D1328" s="130" t="b">
        <v>0</v>
      </c>
      <c r="E1328" s="124" t="s">
        <v>97</v>
      </c>
      <c r="F1328" s="125" t="s">
        <v>96</v>
      </c>
      <c r="G1328" s="125">
        <v>4</v>
      </c>
      <c r="H1328" s="123">
        <v>2</v>
      </c>
      <c r="I1328" s="123" t="s">
        <v>92</v>
      </c>
      <c r="J1328" s="123" t="s">
        <v>96</v>
      </c>
      <c r="K1328" s="123" t="s">
        <v>93</v>
      </c>
      <c r="L1328" s="132">
        <v>1248</v>
      </c>
      <c r="M1328" s="132">
        <v>0</v>
      </c>
      <c r="N1328" s="132">
        <v>1.3343592247075633E+19</v>
      </c>
    </row>
    <row r="1329" spans="4:14" ht="15" customHeight="1" x14ac:dyDescent="0.2">
      <c r="D1329" s="130" t="b">
        <v>0</v>
      </c>
      <c r="E1329" s="124" t="s">
        <v>97</v>
      </c>
      <c r="F1329" s="125" t="s">
        <v>96</v>
      </c>
      <c r="G1329" s="125">
        <v>4</v>
      </c>
      <c r="H1329" s="123">
        <v>2</v>
      </c>
      <c r="I1329" s="123" t="s">
        <v>92</v>
      </c>
      <c r="J1329" s="123" t="s">
        <v>97</v>
      </c>
      <c r="K1329" s="123" t="s">
        <v>93</v>
      </c>
      <c r="L1329" s="132">
        <v>1249</v>
      </c>
      <c r="M1329" s="132">
        <v>0</v>
      </c>
      <c r="N1329" s="132">
        <v>3.1490061310687918E+18</v>
      </c>
    </row>
    <row r="1330" spans="4:14" ht="15" customHeight="1" x14ac:dyDescent="0.2">
      <c r="D1330" s="130" t="b">
        <v>0</v>
      </c>
      <c r="E1330" s="124" t="s">
        <v>97</v>
      </c>
      <c r="F1330" s="125" t="s">
        <v>96</v>
      </c>
      <c r="G1330" s="125">
        <v>4</v>
      </c>
      <c r="H1330" s="123">
        <v>2</v>
      </c>
      <c r="I1330" s="123" t="s">
        <v>92</v>
      </c>
      <c r="J1330" s="123" t="s">
        <v>91</v>
      </c>
      <c r="K1330" s="123" t="s">
        <v>93</v>
      </c>
      <c r="L1330" s="132">
        <v>1250</v>
      </c>
      <c r="M1330" s="132">
        <v>0</v>
      </c>
      <c r="N1330" s="132">
        <v>3.4049860439603881E+18</v>
      </c>
    </row>
    <row r="1331" spans="4:14" ht="15" customHeight="1" x14ac:dyDescent="0.2">
      <c r="D1331" s="130" t="b">
        <v>0</v>
      </c>
      <c r="E1331" s="124" t="s">
        <v>97</v>
      </c>
      <c r="F1331" s="125" t="s">
        <v>96</v>
      </c>
      <c r="G1331" s="125">
        <v>4</v>
      </c>
      <c r="H1331" s="123">
        <v>4</v>
      </c>
      <c r="I1331" s="123" t="s">
        <v>95</v>
      </c>
      <c r="J1331" s="123" t="s">
        <v>96</v>
      </c>
      <c r="K1331" s="123" t="s">
        <v>93</v>
      </c>
      <c r="L1331" s="132">
        <v>1251</v>
      </c>
      <c r="M1331" s="132">
        <v>0</v>
      </c>
      <c r="N1331" s="132">
        <v>6.5142818928459674E+18</v>
      </c>
    </row>
    <row r="1332" spans="4:14" ht="15" customHeight="1" x14ac:dyDescent="0.2">
      <c r="D1332" s="130" t="b">
        <v>0</v>
      </c>
      <c r="E1332" s="124" t="s">
        <v>97</v>
      </c>
      <c r="F1332" s="125" t="s">
        <v>96</v>
      </c>
      <c r="G1332" s="125">
        <v>4</v>
      </c>
      <c r="H1332" s="123">
        <v>4</v>
      </c>
      <c r="I1332" s="123" t="s">
        <v>95</v>
      </c>
      <c r="J1332" s="123" t="s">
        <v>97</v>
      </c>
      <c r="K1332" s="123" t="s">
        <v>100</v>
      </c>
      <c r="L1332" s="132">
        <v>1252</v>
      </c>
      <c r="M1332" s="132">
        <v>0</v>
      </c>
      <c r="N1332" s="132">
        <v>1.3498330121136824E+19</v>
      </c>
    </row>
    <row r="1333" spans="4:14" ht="15" customHeight="1" x14ac:dyDescent="0.2">
      <c r="D1333" s="130" t="b">
        <v>0</v>
      </c>
      <c r="E1333" s="124" t="s">
        <v>97</v>
      </c>
      <c r="F1333" s="125" t="s">
        <v>96</v>
      </c>
      <c r="G1333" s="125">
        <v>4</v>
      </c>
      <c r="H1333" s="123">
        <v>4</v>
      </c>
      <c r="I1333" s="123" t="s">
        <v>95</v>
      </c>
      <c r="J1333" s="123" t="s">
        <v>91</v>
      </c>
      <c r="K1333" s="123" t="s">
        <v>102</v>
      </c>
      <c r="L1333" s="132">
        <v>1253</v>
      </c>
      <c r="M1333" s="132">
        <v>0</v>
      </c>
      <c r="N1333" s="132">
        <v>1.8251120284505985E+19</v>
      </c>
    </row>
    <row r="1334" spans="4:14" ht="15" customHeight="1" x14ac:dyDescent="0.2">
      <c r="D1334" s="130" t="b">
        <v>0</v>
      </c>
      <c r="E1334" s="124" t="s">
        <v>97</v>
      </c>
      <c r="F1334" s="125" t="s">
        <v>96</v>
      </c>
      <c r="G1334" s="125">
        <v>4</v>
      </c>
      <c r="H1334" s="123">
        <v>4</v>
      </c>
      <c r="I1334" s="123" t="s">
        <v>97</v>
      </c>
      <c r="J1334" s="123" t="s">
        <v>96</v>
      </c>
      <c r="K1334" s="123" t="s">
        <v>93</v>
      </c>
      <c r="L1334" s="132">
        <v>1254</v>
      </c>
      <c r="M1334" s="132">
        <v>0</v>
      </c>
      <c r="N1334" s="132">
        <v>1.2682635857611069E+19</v>
      </c>
    </row>
    <row r="1335" spans="4:14" ht="15" customHeight="1" x14ac:dyDescent="0.2">
      <c r="D1335" s="130" t="b">
        <v>0</v>
      </c>
      <c r="E1335" s="124" t="s">
        <v>97</v>
      </c>
      <c r="F1335" s="125" t="s">
        <v>96</v>
      </c>
      <c r="G1335" s="125">
        <v>4</v>
      </c>
      <c r="H1335" s="123">
        <v>4</v>
      </c>
      <c r="I1335" s="123" t="s">
        <v>97</v>
      </c>
      <c r="J1335" s="123" t="s">
        <v>97</v>
      </c>
      <c r="K1335" s="123" t="s">
        <v>102</v>
      </c>
      <c r="L1335" s="132">
        <v>1255</v>
      </c>
      <c r="M1335" s="132">
        <v>0</v>
      </c>
      <c r="N1335" s="132">
        <v>1.7389521517115886E+19</v>
      </c>
    </row>
    <row r="1336" spans="4:14" ht="15" customHeight="1" x14ac:dyDescent="0.2">
      <c r="D1336" s="130" t="b">
        <v>0</v>
      </c>
      <c r="E1336" s="124" t="s">
        <v>97</v>
      </c>
      <c r="F1336" s="125" t="s">
        <v>96</v>
      </c>
      <c r="G1336" s="125">
        <v>4</v>
      </c>
      <c r="H1336" s="123">
        <v>4</v>
      </c>
      <c r="I1336" s="123" t="s">
        <v>97</v>
      </c>
      <c r="J1336" s="123" t="s">
        <v>91</v>
      </c>
      <c r="K1336" s="123" t="s">
        <v>101</v>
      </c>
      <c r="L1336" s="132">
        <v>1256</v>
      </c>
      <c r="M1336" s="132">
        <v>0</v>
      </c>
      <c r="N1336" s="132">
        <v>5.4463179249501594E+18</v>
      </c>
    </row>
    <row r="1337" spans="4:14" ht="15" customHeight="1" x14ac:dyDescent="0.2">
      <c r="D1337" s="130" t="b">
        <v>0</v>
      </c>
      <c r="E1337" s="124" t="s">
        <v>97</v>
      </c>
      <c r="F1337" s="125" t="s">
        <v>96</v>
      </c>
      <c r="G1337" s="125">
        <v>4</v>
      </c>
      <c r="H1337" s="123">
        <v>4</v>
      </c>
      <c r="I1337" s="123" t="s">
        <v>92</v>
      </c>
      <c r="J1337" s="123" t="s">
        <v>96</v>
      </c>
      <c r="K1337" s="123" t="s">
        <v>93</v>
      </c>
      <c r="L1337" s="132">
        <v>1257</v>
      </c>
      <c r="M1337" s="132">
        <v>0</v>
      </c>
      <c r="N1337" s="132">
        <v>8.0529051259280251E+18</v>
      </c>
    </row>
    <row r="1338" spans="4:14" ht="15" customHeight="1" x14ac:dyDescent="0.2">
      <c r="D1338" s="130" t="b">
        <v>0</v>
      </c>
      <c r="E1338" s="124" t="s">
        <v>97</v>
      </c>
      <c r="F1338" s="125" t="s">
        <v>96</v>
      </c>
      <c r="G1338" s="125">
        <v>4</v>
      </c>
      <c r="H1338" s="123">
        <v>4</v>
      </c>
      <c r="I1338" s="123" t="s">
        <v>92</v>
      </c>
      <c r="J1338" s="123" t="s">
        <v>97</v>
      </c>
      <c r="K1338" s="123" t="s">
        <v>102</v>
      </c>
      <c r="L1338" s="132">
        <v>1258</v>
      </c>
      <c r="M1338" s="132">
        <v>0</v>
      </c>
      <c r="N1338" s="132">
        <v>1.5221600015170605E+19</v>
      </c>
    </row>
    <row r="1339" spans="4:14" ht="15" customHeight="1" x14ac:dyDescent="0.2">
      <c r="D1339" s="130" t="b">
        <v>0</v>
      </c>
      <c r="E1339" s="124" t="s">
        <v>97</v>
      </c>
      <c r="F1339" s="125" t="s">
        <v>96</v>
      </c>
      <c r="G1339" s="125">
        <v>4</v>
      </c>
      <c r="H1339" s="123">
        <v>4</v>
      </c>
      <c r="I1339" s="123" t="s">
        <v>92</v>
      </c>
      <c r="J1339" s="123" t="s">
        <v>91</v>
      </c>
      <c r="K1339" s="123" t="s">
        <v>101</v>
      </c>
      <c r="L1339" s="132">
        <v>1259</v>
      </c>
      <c r="M1339" s="132">
        <v>0</v>
      </c>
      <c r="N1339" s="132">
        <v>1.2568599301863399E+19</v>
      </c>
    </row>
    <row r="1340" spans="4:14" ht="15" customHeight="1" x14ac:dyDescent="0.2">
      <c r="D1340" s="130" t="b">
        <v>0</v>
      </c>
      <c r="E1340" s="124" t="s">
        <v>97</v>
      </c>
      <c r="F1340" s="125" t="s">
        <v>96</v>
      </c>
      <c r="G1340" s="125">
        <v>4</v>
      </c>
      <c r="H1340" s="123" t="s">
        <v>98</v>
      </c>
      <c r="I1340" s="123" t="s">
        <v>95</v>
      </c>
      <c r="J1340" s="123" t="s">
        <v>96</v>
      </c>
      <c r="K1340" s="123" t="s">
        <v>93</v>
      </c>
      <c r="L1340" s="132">
        <v>1260</v>
      </c>
      <c r="M1340" s="132">
        <v>0</v>
      </c>
      <c r="N1340" s="132">
        <v>5.9113950638202747E+18</v>
      </c>
    </row>
    <row r="1341" spans="4:14" ht="15" customHeight="1" x14ac:dyDescent="0.2">
      <c r="D1341" s="130" t="b">
        <v>0</v>
      </c>
      <c r="E1341" s="124" t="s">
        <v>97</v>
      </c>
      <c r="F1341" s="125" t="s">
        <v>96</v>
      </c>
      <c r="G1341" s="125">
        <v>4</v>
      </c>
      <c r="H1341" s="123" t="s">
        <v>98</v>
      </c>
      <c r="I1341" s="123" t="s">
        <v>95</v>
      </c>
      <c r="J1341" s="123" t="s">
        <v>97</v>
      </c>
      <c r="K1341" s="123" t="s">
        <v>100</v>
      </c>
      <c r="L1341" s="132">
        <v>1261</v>
      </c>
      <c r="M1341" s="132">
        <v>0</v>
      </c>
      <c r="N1341" s="132">
        <v>1.2928693349440715E+19</v>
      </c>
    </row>
    <row r="1342" spans="4:14" ht="15" customHeight="1" x14ac:dyDescent="0.2">
      <c r="D1342" s="130" t="b">
        <v>0</v>
      </c>
      <c r="E1342" s="124" t="s">
        <v>97</v>
      </c>
      <c r="F1342" s="125" t="s">
        <v>96</v>
      </c>
      <c r="G1342" s="125">
        <v>4</v>
      </c>
      <c r="H1342" s="123" t="s">
        <v>98</v>
      </c>
      <c r="I1342" s="123" t="s">
        <v>95</v>
      </c>
      <c r="J1342" s="123" t="s">
        <v>91</v>
      </c>
      <c r="K1342" s="123" t="s">
        <v>102</v>
      </c>
      <c r="L1342" s="132">
        <v>1262</v>
      </c>
      <c r="M1342" s="132">
        <v>0</v>
      </c>
      <c r="N1342" s="132">
        <v>1.0224018787505934E+19</v>
      </c>
    </row>
    <row r="1343" spans="4:14" ht="15" customHeight="1" x14ac:dyDescent="0.2">
      <c r="D1343" s="130" t="b">
        <v>0</v>
      </c>
      <c r="E1343" s="124" t="s">
        <v>97</v>
      </c>
      <c r="F1343" s="125" t="s">
        <v>96</v>
      </c>
      <c r="G1343" s="125">
        <v>4</v>
      </c>
      <c r="H1343" s="123" t="s">
        <v>98</v>
      </c>
      <c r="I1343" s="123" t="s">
        <v>97</v>
      </c>
      <c r="J1343" s="123" t="s">
        <v>96</v>
      </c>
      <c r="K1343" s="123" t="s">
        <v>93</v>
      </c>
      <c r="L1343" s="132">
        <v>1263</v>
      </c>
      <c r="M1343" s="132">
        <v>0</v>
      </c>
      <c r="N1343" s="132">
        <v>1.3886056836394899E+19</v>
      </c>
    </row>
    <row r="1344" spans="4:14" ht="15" customHeight="1" x14ac:dyDescent="0.2">
      <c r="D1344" s="130" t="b">
        <v>0</v>
      </c>
      <c r="E1344" s="124" t="s">
        <v>97</v>
      </c>
      <c r="F1344" s="125" t="s">
        <v>96</v>
      </c>
      <c r="G1344" s="125">
        <v>4</v>
      </c>
      <c r="H1344" s="123" t="s">
        <v>98</v>
      </c>
      <c r="I1344" s="123" t="s">
        <v>97</v>
      </c>
      <c r="J1344" s="123" t="s">
        <v>97</v>
      </c>
      <c r="K1344" s="123" t="s">
        <v>102</v>
      </c>
      <c r="L1344" s="132">
        <v>1264</v>
      </c>
      <c r="M1344" s="132">
        <v>0</v>
      </c>
      <c r="N1344" s="132">
        <v>1.6420248706957775E+19</v>
      </c>
    </row>
    <row r="1345" spans="4:14" ht="15" customHeight="1" x14ac:dyDescent="0.2">
      <c r="D1345" s="130" t="b">
        <v>0</v>
      </c>
      <c r="E1345" s="124" t="s">
        <v>97</v>
      </c>
      <c r="F1345" s="125" t="s">
        <v>96</v>
      </c>
      <c r="G1345" s="125">
        <v>4</v>
      </c>
      <c r="H1345" s="123" t="s">
        <v>98</v>
      </c>
      <c r="I1345" s="123" t="s">
        <v>97</v>
      </c>
      <c r="J1345" s="123" t="s">
        <v>91</v>
      </c>
      <c r="K1345" s="123" t="s">
        <v>101</v>
      </c>
      <c r="L1345" s="132">
        <v>1265</v>
      </c>
      <c r="M1345" s="132">
        <v>0</v>
      </c>
      <c r="N1345" s="132">
        <v>7.9764881934561475E+18</v>
      </c>
    </row>
    <row r="1346" spans="4:14" ht="15" customHeight="1" x14ac:dyDescent="0.2">
      <c r="D1346" s="130" t="b">
        <v>0</v>
      </c>
      <c r="E1346" s="124" t="s">
        <v>97</v>
      </c>
      <c r="F1346" s="125" t="s">
        <v>96</v>
      </c>
      <c r="G1346" s="125">
        <v>4</v>
      </c>
      <c r="H1346" s="123" t="s">
        <v>98</v>
      </c>
      <c r="I1346" s="123" t="s">
        <v>92</v>
      </c>
      <c r="J1346" s="123" t="s">
        <v>96</v>
      </c>
      <c r="K1346" s="123" t="s">
        <v>93</v>
      </c>
      <c r="L1346" s="132">
        <v>1266</v>
      </c>
      <c r="M1346" s="132">
        <v>0</v>
      </c>
      <c r="N1346" s="132">
        <v>3.2370002713819812E+18</v>
      </c>
    </row>
    <row r="1347" spans="4:14" ht="15" customHeight="1" x14ac:dyDescent="0.2">
      <c r="D1347" s="130" t="b">
        <v>0</v>
      </c>
      <c r="E1347" s="124" t="s">
        <v>97</v>
      </c>
      <c r="F1347" s="125" t="s">
        <v>96</v>
      </c>
      <c r="G1347" s="125">
        <v>4</v>
      </c>
      <c r="H1347" s="123" t="s">
        <v>98</v>
      </c>
      <c r="I1347" s="123" t="s">
        <v>92</v>
      </c>
      <c r="J1347" s="123" t="s">
        <v>97</v>
      </c>
      <c r="K1347" s="123" t="s">
        <v>102</v>
      </c>
      <c r="L1347" s="132">
        <v>1267</v>
      </c>
      <c r="M1347" s="132">
        <v>0</v>
      </c>
      <c r="N1347" s="132">
        <v>1.0465636709211365E+19</v>
      </c>
    </row>
    <row r="1348" spans="4:14" ht="15" customHeight="1" x14ac:dyDescent="0.2">
      <c r="D1348" s="130" t="b">
        <v>0</v>
      </c>
      <c r="E1348" s="124" t="s">
        <v>97</v>
      </c>
      <c r="F1348" s="125" t="s">
        <v>96</v>
      </c>
      <c r="G1348" s="125">
        <v>4</v>
      </c>
      <c r="H1348" s="123" t="s">
        <v>98</v>
      </c>
      <c r="I1348" s="123" t="s">
        <v>92</v>
      </c>
      <c r="J1348" s="123" t="s">
        <v>91</v>
      </c>
      <c r="K1348" s="123" t="s">
        <v>101</v>
      </c>
      <c r="L1348" s="132">
        <v>1268</v>
      </c>
      <c r="M1348" s="132">
        <v>0</v>
      </c>
      <c r="N1348" s="132">
        <v>2.4373936891413929E+18</v>
      </c>
    </row>
    <row r="1349" spans="4:14" ht="15" customHeight="1" x14ac:dyDescent="0.2">
      <c r="D1349" s="130" t="b">
        <v>0</v>
      </c>
      <c r="E1349" s="124" t="s">
        <v>97</v>
      </c>
      <c r="F1349" s="125" t="s">
        <v>96</v>
      </c>
      <c r="G1349" s="125" t="s">
        <v>99</v>
      </c>
      <c r="H1349" s="123">
        <v>2</v>
      </c>
      <c r="I1349" s="123" t="s">
        <v>95</v>
      </c>
      <c r="J1349" s="123" t="s">
        <v>96</v>
      </c>
      <c r="K1349" s="123" t="s">
        <v>93</v>
      </c>
      <c r="L1349" s="132">
        <v>1269</v>
      </c>
      <c r="M1349" s="132">
        <v>0</v>
      </c>
      <c r="N1349" s="132">
        <v>8.9428826564841306E+17</v>
      </c>
    </row>
    <row r="1350" spans="4:14" ht="15" customHeight="1" x14ac:dyDescent="0.2">
      <c r="D1350" s="130" t="b">
        <v>0</v>
      </c>
      <c r="E1350" s="124" t="s">
        <v>97</v>
      </c>
      <c r="F1350" s="125" t="s">
        <v>96</v>
      </c>
      <c r="G1350" s="125" t="s">
        <v>99</v>
      </c>
      <c r="H1350" s="123">
        <v>2</v>
      </c>
      <c r="I1350" s="123" t="s">
        <v>95</v>
      </c>
      <c r="J1350" s="123" t="s">
        <v>97</v>
      </c>
      <c r="K1350" s="123" t="s">
        <v>93</v>
      </c>
      <c r="L1350" s="132">
        <v>1270</v>
      </c>
      <c r="M1350" s="132">
        <v>0</v>
      </c>
      <c r="N1350" s="132">
        <v>4.820544710118612E+18</v>
      </c>
    </row>
    <row r="1351" spans="4:14" ht="15" customHeight="1" x14ac:dyDescent="0.2">
      <c r="D1351" s="130" t="b">
        <v>0</v>
      </c>
      <c r="E1351" s="124" t="s">
        <v>97</v>
      </c>
      <c r="F1351" s="125" t="s">
        <v>96</v>
      </c>
      <c r="G1351" s="125" t="s">
        <v>99</v>
      </c>
      <c r="H1351" s="123">
        <v>2</v>
      </c>
      <c r="I1351" s="123" t="s">
        <v>95</v>
      </c>
      <c r="J1351" s="123" t="s">
        <v>91</v>
      </c>
      <c r="K1351" s="123" t="s">
        <v>93</v>
      </c>
      <c r="L1351" s="132">
        <v>1271</v>
      </c>
      <c r="M1351" s="132">
        <v>0</v>
      </c>
      <c r="N1351" s="132">
        <v>3.6772230924952801E+18</v>
      </c>
    </row>
    <row r="1352" spans="4:14" ht="15" customHeight="1" x14ac:dyDescent="0.2">
      <c r="D1352" s="130" t="b">
        <v>0</v>
      </c>
      <c r="E1352" s="124" t="s">
        <v>97</v>
      </c>
      <c r="F1352" s="125" t="s">
        <v>96</v>
      </c>
      <c r="G1352" s="125" t="s">
        <v>99</v>
      </c>
      <c r="H1352" s="123">
        <v>2</v>
      </c>
      <c r="I1352" s="123" t="s">
        <v>97</v>
      </c>
      <c r="J1352" s="123" t="s">
        <v>96</v>
      </c>
      <c r="K1352" s="123" t="s">
        <v>93</v>
      </c>
      <c r="L1352" s="132">
        <v>1272</v>
      </c>
      <c r="M1352" s="132">
        <v>0</v>
      </c>
      <c r="N1352" s="132">
        <v>1.2891524032821359E+19</v>
      </c>
    </row>
    <row r="1353" spans="4:14" ht="15" customHeight="1" x14ac:dyDescent="0.2">
      <c r="D1353" s="130" t="b">
        <v>0</v>
      </c>
      <c r="E1353" s="124" t="s">
        <v>97</v>
      </c>
      <c r="F1353" s="125" t="s">
        <v>96</v>
      </c>
      <c r="G1353" s="125" t="s">
        <v>99</v>
      </c>
      <c r="H1353" s="123">
        <v>2</v>
      </c>
      <c r="I1353" s="123" t="s">
        <v>97</v>
      </c>
      <c r="J1353" s="123" t="s">
        <v>97</v>
      </c>
      <c r="K1353" s="123" t="s">
        <v>93</v>
      </c>
      <c r="L1353" s="132">
        <v>1273</v>
      </c>
      <c r="M1353" s="132">
        <v>0</v>
      </c>
      <c r="N1353" s="132">
        <v>9.6242383222387692E+18</v>
      </c>
    </row>
    <row r="1354" spans="4:14" ht="15" customHeight="1" x14ac:dyDescent="0.2">
      <c r="D1354" s="130" t="b">
        <v>0</v>
      </c>
      <c r="E1354" s="124" t="s">
        <v>97</v>
      </c>
      <c r="F1354" s="125" t="s">
        <v>96</v>
      </c>
      <c r="G1354" s="125" t="s">
        <v>99</v>
      </c>
      <c r="H1354" s="123">
        <v>2</v>
      </c>
      <c r="I1354" s="123" t="s">
        <v>97</v>
      </c>
      <c r="J1354" s="123" t="s">
        <v>91</v>
      </c>
      <c r="K1354" s="123" t="s">
        <v>93</v>
      </c>
      <c r="L1354" s="132">
        <v>1274</v>
      </c>
      <c r="M1354" s="132">
        <v>0</v>
      </c>
      <c r="N1354" s="132">
        <v>1.5214678080007199E+19</v>
      </c>
    </row>
    <row r="1355" spans="4:14" ht="15" customHeight="1" x14ac:dyDescent="0.2">
      <c r="D1355" s="130" t="b">
        <v>0</v>
      </c>
      <c r="E1355" s="124" t="s">
        <v>97</v>
      </c>
      <c r="F1355" s="125" t="s">
        <v>96</v>
      </c>
      <c r="G1355" s="125" t="s">
        <v>99</v>
      </c>
      <c r="H1355" s="123">
        <v>2</v>
      </c>
      <c r="I1355" s="123" t="s">
        <v>92</v>
      </c>
      <c r="J1355" s="123" t="s">
        <v>96</v>
      </c>
      <c r="K1355" s="123" t="s">
        <v>93</v>
      </c>
      <c r="L1355" s="132">
        <v>1275</v>
      </c>
      <c r="M1355" s="132">
        <v>0</v>
      </c>
      <c r="N1355" s="132">
        <v>1.7652070220967051E+19</v>
      </c>
    </row>
    <row r="1356" spans="4:14" ht="15" customHeight="1" x14ac:dyDescent="0.2">
      <c r="D1356" s="130" t="b">
        <v>0</v>
      </c>
      <c r="E1356" s="124" t="s">
        <v>97</v>
      </c>
      <c r="F1356" s="125" t="s">
        <v>96</v>
      </c>
      <c r="G1356" s="125" t="s">
        <v>99</v>
      </c>
      <c r="H1356" s="123">
        <v>2</v>
      </c>
      <c r="I1356" s="123" t="s">
        <v>92</v>
      </c>
      <c r="J1356" s="123" t="s">
        <v>97</v>
      </c>
      <c r="K1356" s="123" t="s">
        <v>93</v>
      </c>
      <c r="L1356" s="132">
        <v>1276</v>
      </c>
      <c r="M1356" s="132">
        <v>0</v>
      </c>
      <c r="N1356" s="132">
        <v>1.3082210832518719E+19</v>
      </c>
    </row>
    <row r="1357" spans="4:14" ht="15" customHeight="1" x14ac:dyDescent="0.2">
      <c r="D1357" s="130" t="b">
        <v>0</v>
      </c>
      <c r="E1357" s="124" t="s">
        <v>97</v>
      </c>
      <c r="F1357" s="125" t="s">
        <v>96</v>
      </c>
      <c r="G1357" s="125" t="s">
        <v>99</v>
      </c>
      <c r="H1357" s="123">
        <v>2</v>
      </c>
      <c r="I1357" s="123" t="s">
        <v>92</v>
      </c>
      <c r="J1357" s="123" t="s">
        <v>91</v>
      </c>
      <c r="K1357" s="123" t="s">
        <v>93</v>
      </c>
      <c r="L1357" s="132">
        <v>1277</v>
      </c>
      <c r="M1357" s="132">
        <v>0</v>
      </c>
      <c r="N1357" s="132">
        <v>6.993101073147648E+18</v>
      </c>
    </row>
    <row r="1358" spans="4:14" ht="15" customHeight="1" x14ac:dyDescent="0.2">
      <c r="D1358" s="130" t="b">
        <v>0</v>
      </c>
      <c r="E1358" s="124" t="s">
        <v>97</v>
      </c>
      <c r="F1358" s="125" t="s">
        <v>96</v>
      </c>
      <c r="G1358" s="125" t="s">
        <v>99</v>
      </c>
      <c r="H1358" s="123">
        <v>4</v>
      </c>
      <c r="I1358" s="123" t="s">
        <v>95</v>
      </c>
      <c r="J1358" s="123" t="s">
        <v>96</v>
      </c>
      <c r="K1358" s="123" t="s">
        <v>93</v>
      </c>
      <c r="L1358" s="132">
        <v>1278</v>
      </c>
      <c r="M1358" s="132">
        <v>0</v>
      </c>
      <c r="N1358" s="132">
        <v>1.3661859599321715E+19</v>
      </c>
    </row>
    <row r="1359" spans="4:14" ht="15" customHeight="1" x14ac:dyDescent="0.2">
      <c r="D1359" s="130" t="b">
        <v>0</v>
      </c>
      <c r="E1359" s="124" t="s">
        <v>97</v>
      </c>
      <c r="F1359" s="125" t="s">
        <v>96</v>
      </c>
      <c r="G1359" s="125" t="s">
        <v>99</v>
      </c>
      <c r="H1359" s="123">
        <v>4</v>
      </c>
      <c r="I1359" s="123" t="s">
        <v>95</v>
      </c>
      <c r="J1359" s="123" t="s">
        <v>97</v>
      </c>
      <c r="K1359" s="123" t="s">
        <v>100</v>
      </c>
      <c r="L1359" s="132">
        <v>1279</v>
      </c>
      <c r="M1359" s="132">
        <v>0</v>
      </c>
      <c r="N1359" s="132">
        <v>1.1028393812285641E+19</v>
      </c>
    </row>
    <row r="1360" spans="4:14" ht="15" customHeight="1" x14ac:dyDescent="0.2">
      <c r="D1360" s="130" t="b">
        <v>0</v>
      </c>
      <c r="E1360" s="124" t="s">
        <v>97</v>
      </c>
      <c r="F1360" s="125" t="s">
        <v>96</v>
      </c>
      <c r="G1360" s="125" t="s">
        <v>99</v>
      </c>
      <c r="H1360" s="123">
        <v>4</v>
      </c>
      <c r="I1360" s="123" t="s">
        <v>95</v>
      </c>
      <c r="J1360" s="123" t="s">
        <v>91</v>
      </c>
      <c r="K1360" s="123" t="s">
        <v>102</v>
      </c>
      <c r="L1360" s="132">
        <v>1280</v>
      </c>
      <c r="M1360" s="132">
        <v>0</v>
      </c>
      <c r="N1360" s="132">
        <v>1.448719564340803E+19</v>
      </c>
    </row>
    <row r="1361" spans="4:14" ht="15" customHeight="1" x14ac:dyDescent="0.2">
      <c r="D1361" s="130" t="b">
        <v>0</v>
      </c>
      <c r="E1361" s="124" t="s">
        <v>97</v>
      </c>
      <c r="F1361" s="125" t="s">
        <v>96</v>
      </c>
      <c r="G1361" s="125" t="s">
        <v>99</v>
      </c>
      <c r="H1361" s="123">
        <v>4</v>
      </c>
      <c r="I1361" s="123" t="s">
        <v>97</v>
      </c>
      <c r="J1361" s="123" t="s">
        <v>96</v>
      </c>
      <c r="K1361" s="123" t="s">
        <v>93</v>
      </c>
      <c r="L1361" s="132">
        <v>1281</v>
      </c>
      <c r="M1361" s="132">
        <v>0</v>
      </c>
      <c r="N1361" s="132">
        <v>1.3488589335984466E+19</v>
      </c>
    </row>
    <row r="1362" spans="4:14" ht="15" customHeight="1" x14ac:dyDescent="0.2">
      <c r="D1362" s="130" t="b">
        <v>0</v>
      </c>
      <c r="E1362" s="124" t="s">
        <v>97</v>
      </c>
      <c r="F1362" s="125" t="s">
        <v>96</v>
      </c>
      <c r="G1362" s="125" t="s">
        <v>99</v>
      </c>
      <c r="H1362" s="123">
        <v>4</v>
      </c>
      <c r="I1362" s="123" t="s">
        <v>97</v>
      </c>
      <c r="J1362" s="123" t="s">
        <v>97</v>
      </c>
      <c r="K1362" s="123" t="s">
        <v>102</v>
      </c>
      <c r="L1362" s="132">
        <v>1282</v>
      </c>
      <c r="M1362" s="132">
        <v>0</v>
      </c>
      <c r="N1362" s="132">
        <v>3.1013504355982792E+18</v>
      </c>
    </row>
    <row r="1363" spans="4:14" ht="15" customHeight="1" x14ac:dyDescent="0.2">
      <c r="D1363" s="130" t="b">
        <v>0</v>
      </c>
      <c r="E1363" s="124" t="s">
        <v>97</v>
      </c>
      <c r="F1363" s="125" t="s">
        <v>96</v>
      </c>
      <c r="G1363" s="125" t="s">
        <v>99</v>
      </c>
      <c r="H1363" s="123">
        <v>4</v>
      </c>
      <c r="I1363" s="123" t="s">
        <v>97</v>
      </c>
      <c r="J1363" s="123" t="s">
        <v>91</v>
      </c>
      <c r="K1363" s="123" t="s">
        <v>101</v>
      </c>
      <c r="L1363" s="132">
        <v>1283</v>
      </c>
      <c r="M1363" s="132">
        <v>0</v>
      </c>
      <c r="N1363" s="132">
        <v>8.2586619753351188E+18</v>
      </c>
    </row>
    <row r="1364" spans="4:14" ht="15" customHeight="1" x14ac:dyDescent="0.2">
      <c r="D1364" s="130" t="b">
        <v>0</v>
      </c>
      <c r="E1364" s="124" t="s">
        <v>97</v>
      </c>
      <c r="F1364" s="125" t="s">
        <v>96</v>
      </c>
      <c r="G1364" s="125" t="s">
        <v>99</v>
      </c>
      <c r="H1364" s="123">
        <v>4</v>
      </c>
      <c r="I1364" s="123" t="s">
        <v>92</v>
      </c>
      <c r="J1364" s="123" t="s">
        <v>96</v>
      </c>
      <c r="K1364" s="123" t="s">
        <v>93</v>
      </c>
      <c r="L1364" s="132">
        <v>1284</v>
      </c>
      <c r="M1364" s="132">
        <v>0</v>
      </c>
      <c r="N1364" s="132">
        <v>8.2394291304588718E+18</v>
      </c>
    </row>
    <row r="1365" spans="4:14" ht="15" customHeight="1" x14ac:dyDescent="0.2">
      <c r="D1365" s="130" t="b">
        <v>0</v>
      </c>
      <c r="E1365" s="124" t="s">
        <v>97</v>
      </c>
      <c r="F1365" s="125" t="s">
        <v>96</v>
      </c>
      <c r="G1365" s="125" t="s">
        <v>99</v>
      </c>
      <c r="H1365" s="123">
        <v>4</v>
      </c>
      <c r="I1365" s="123" t="s">
        <v>92</v>
      </c>
      <c r="J1365" s="123" t="s">
        <v>97</v>
      </c>
      <c r="K1365" s="123" t="s">
        <v>102</v>
      </c>
      <c r="L1365" s="132">
        <v>1285</v>
      </c>
      <c r="M1365" s="132">
        <v>0</v>
      </c>
      <c r="N1365" s="132">
        <v>2.8148520545658214E+18</v>
      </c>
    </row>
    <row r="1366" spans="4:14" ht="15" customHeight="1" x14ac:dyDescent="0.2">
      <c r="D1366" s="130" t="b">
        <v>0</v>
      </c>
      <c r="E1366" s="124" t="s">
        <v>97</v>
      </c>
      <c r="F1366" s="125" t="s">
        <v>96</v>
      </c>
      <c r="G1366" s="125" t="s">
        <v>99</v>
      </c>
      <c r="H1366" s="123">
        <v>4</v>
      </c>
      <c r="I1366" s="123" t="s">
        <v>92</v>
      </c>
      <c r="J1366" s="123" t="s">
        <v>91</v>
      </c>
      <c r="K1366" s="123" t="s">
        <v>101</v>
      </c>
      <c r="L1366" s="132">
        <v>1286</v>
      </c>
      <c r="M1366" s="132">
        <v>0</v>
      </c>
      <c r="N1366" s="132">
        <v>2.7616306618623795E+18</v>
      </c>
    </row>
    <row r="1367" spans="4:14" ht="15" customHeight="1" x14ac:dyDescent="0.2">
      <c r="D1367" s="130" t="b">
        <v>0</v>
      </c>
      <c r="E1367" s="124" t="s">
        <v>97</v>
      </c>
      <c r="F1367" s="125" t="s">
        <v>96</v>
      </c>
      <c r="G1367" s="125" t="s">
        <v>99</v>
      </c>
      <c r="H1367" s="123" t="s">
        <v>98</v>
      </c>
      <c r="I1367" s="123" t="s">
        <v>95</v>
      </c>
      <c r="J1367" s="123" t="s">
        <v>96</v>
      </c>
      <c r="K1367" s="123" t="s">
        <v>93</v>
      </c>
      <c r="L1367" s="132">
        <v>1287</v>
      </c>
      <c r="M1367" s="132">
        <v>0</v>
      </c>
      <c r="N1367" s="132">
        <v>1.3873645638083764E+19</v>
      </c>
    </row>
    <row r="1368" spans="4:14" ht="15" customHeight="1" x14ac:dyDescent="0.2">
      <c r="D1368" s="130" t="b">
        <v>0</v>
      </c>
      <c r="E1368" s="124" t="s">
        <v>97</v>
      </c>
      <c r="F1368" s="125" t="s">
        <v>96</v>
      </c>
      <c r="G1368" s="125" t="s">
        <v>99</v>
      </c>
      <c r="H1368" s="123" t="s">
        <v>98</v>
      </c>
      <c r="I1368" s="123" t="s">
        <v>95</v>
      </c>
      <c r="J1368" s="123" t="s">
        <v>97</v>
      </c>
      <c r="K1368" s="123" t="s">
        <v>100</v>
      </c>
      <c r="L1368" s="132">
        <v>1288</v>
      </c>
      <c r="M1368" s="132">
        <v>0</v>
      </c>
      <c r="N1368" s="132">
        <v>9.3527509644962898E+18</v>
      </c>
    </row>
    <row r="1369" spans="4:14" ht="15" customHeight="1" x14ac:dyDescent="0.2">
      <c r="D1369" s="130" t="b">
        <v>0</v>
      </c>
      <c r="E1369" s="124" t="s">
        <v>97</v>
      </c>
      <c r="F1369" s="125" t="s">
        <v>96</v>
      </c>
      <c r="G1369" s="125" t="s">
        <v>99</v>
      </c>
      <c r="H1369" s="123" t="s">
        <v>98</v>
      </c>
      <c r="I1369" s="123" t="s">
        <v>95</v>
      </c>
      <c r="J1369" s="123" t="s">
        <v>91</v>
      </c>
      <c r="K1369" s="123" t="s">
        <v>102</v>
      </c>
      <c r="L1369" s="132">
        <v>1289</v>
      </c>
      <c r="M1369" s="132">
        <v>0</v>
      </c>
      <c r="N1369" s="132">
        <v>1.0159716200026049E+19</v>
      </c>
    </row>
    <row r="1370" spans="4:14" ht="15" customHeight="1" x14ac:dyDescent="0.2">
      <c r="D1370" s="130" t="b">
        <v>0</v>
      </c>
      <c r="E1370" s="124" t="s">
        <v>97</v>
      </c>
      <c r="F1370" s="125" t="s">
        <v>96</v>
      </c>
      <c r="G1370" s="125" t="s">
        <v>99</v>
      </c>
      <c r="H1370" s="123" t="s">
        <v>98</v>
      </c>
      <c r="I1370" s="123" t="s">
        <v>97</v>
      </c>
      <c r="J1370" s="123" t="s">
        <v>96</v>
      </c>
      <c r="K1370" s="123" t="s">
        <v>93</v>
      </c>
      <c r="L1370" s="132">
        <v>1290</v>
      </c>
      <c r="M1370" s="132">
        <v>0</v>
      </c>
      <c r="N1370" s="132">
        <v>1.3738805986134307E+19</v>
      </c>
    </row>
    <row r="1371" spans="4:14" ht="15" customHeight="1" x14ac:dyDescent="0.2">
      <c r="D1371" s="130" t="b">
        <v>0</v>
      </c>
      <c r="E1371" s="124" t="s">
        <v>97</v>
      </c>
      <c r="F1371" s="125" t="s">
        <v>96</v>
      </c>
      <c r="G1371" s="125" t="s">
        <v>99</v>
      </c>
      <c r="H1371" s="123" t="s">
        <v>98</v>
      </c>
      <c r="I1371" s="123" t="s">
        <v>97</v>
      </c>
      <c r="J1371" s="123" t="s">
        <v>97</v>
      </c>
      <c r="K1371" s="123" t="s">
        <v>102</v>
      </c>
      <c r="L1371" s="132">
        <v>1291</v>
      </c>
      <c r="M1371" s="132">
        <v>0</v>
      </c>
      <c r="N1371" s="132">
        <v>1.6043453240524734E+19</v>
      </c>
    </row>
    <row r="1372" spans="4:14" ht="15" customHeight="1" x14ac:dyDescent="0.2">
      <c r="D1372" s="130" t="b">
        <v>0</v>
      </c>
      <c r="E1372" s="124" t="s">
        <v>97</v>
      </c>
      <c r="F1372" s="125" t="s">
        <v>96</v>
      </c>
      <c r="G1372" s="125" t="s">
        <v>99</v>
      </c>
      <c r="H1372" s="123" t="s">
        <v>98</v>
      </c>
      <c r="I1372" s="123" t="s">
        <v>97</v>
      </c>
      <c r="J1372" s="123" t="s">
        <v>91</v>
      </c>
      <c r="K1372" s="123" t="s">
        <v>101</v>
      </c>
      <c r="L1372" s="132">
        <v>1292</v>
      </c>
      <c r="M1372" s="132">
        <v>0</v>
      </c>
      <c r="N1372" s="132">
        <v>1.5612943434409257E+18</v>
      </c>
    </row>
    <row r="1373" spans="4:14" ht="15" customHeight="1" x14ac:dyDescent="0.2">
      <c r="D1373" s="130" t="b">
        <v>0</v>
      </c>
      <c r="E1373" s="124" t="s">
        <v>97</v>
      </c>
      <c r="F1373" s="125" t="s">
        <v>96</v>
      </c>
      <c r="G1373" s="125" t="s">
        <v>99</v>
      </c>
      <c r="H1373" s="123" t="s">
        <v>98</v>
      </c>
      <c r="I1373" s="123" t="s">
        <v>92</v>
      </c>
      <c r="J1373" s="123" t="s">
        <v>96</v>
      </c>
      <c r="K1373" s="123" t="s">
        <v>93</v>
      </c>
      <c r="L1373" s="132">
        <v>1293</v>
      </c>
      <c r="M1373" s="132">
        <v>0</v>
      </c>
      <c r="N1373" s="132">
        <v>4.4428717781884032E+17</v>
      </c>
    </row>
    <row r="1374" spans="4:14" ht="15" customHeight="1" x14ac:dyDescent="0.2">
      <c r="D1374" s="130" t="b">
        <v>0</v>
      </c>
      <c r="E1374" s="124" t="s">
        <v>97</v>
      </c>
      <c r="F1374" s="125" t="s">
        <v>96</v>
      </c>
      <c r="G1374" s="125" t="s">
        <v>99</v>
      </c>
      <c r="H1374" s="123" t="s">
        <v>98</v>
      </c>
      <c r="I1374" s="123" t="s">
        <v>92</v>
      </c>
      <c r="J1374" s="123" t="s">
        <v>97</v>
      </c>
      <c r="K1374" s="123" t="s">
        <v>102</v>
      </c>
      <c r="L1374" s="132">
        <v>1294</v>
      </c>
      <c r="M1374" s="132">
        <v>0</v>
      </c>
      <c r="N1374" s="132">
        <v>9.1365969166571448E+18</v>
      </c>
    </row>
    <row r="1375" spans="4:14" ht="15" customHeight="1" x14ac:dyDescent="0.2">
      <c r="D1375" s="130" t="b">
        <v>0</v>
      </c>
      <c r="E1375" s="124" t="s">
        <v>97</v>
      </c>
      <c r="F1375" s="125" t="s">
        <v>96</v>
      </c>
      <c r="G1375" s="125" t="s">
        <v>99</v>
      </c>
      <c r="H1375" s="123" t="s">
        <v>98</v>
      </c>
      <c r="I1375" s="123" t="s">
        <v>92</v>
      </c>
      <c r="J1375" s="123" t="s">
        <v>91</v>
      </c>
      <c r="K1375" s="123" t="s">
        <v>101</v>
      </c>
      <c r="L1375" s="132">
        <v>1295</v>
      </c>
      <c r="M1375" s="132">
        <v>0</v>
      </c>
      <c r="N1375" s="132">
        <v>6.7161965528692173E+18</v>
      </c>
    </row>
    <row r="1376" spans="4:14" ht="15" customHeight="1" x14ac:dyDescent="0.2">
      <c r="D1376" s="130" t="b">
        <v>0</v>
      </c>
      <c r="E1376" s="124" t="s">
        <v>96</v>
      </c>
      <c r="F1376" s="125" t="s">
        <v>94</v>
      </c>
      <c r="G1376" s="125">
        <v>2</v>
      </c>
      <c r="H1376" s="123">
        <v>2</v>
      </c>
      <c r="I1376" s="123" t="s">
        <v>95</v>
      </c>
      <c r="J1376" s="123" t="s">
        <v>96</v>
      </c>
      <c r="K1376" s="123" t="s">
        <v>93</v>
      </c>
      <c r="L1376" s="132">
        <v>1296</v>
      </c>
      <c r="M1376" s="132">
        <v>0</v>
      </c>
      <c r="N1376" s="132">
        <v>9.263504731949781E+18</v>
      </c>
    </row>
    <row r="1377" spans="4:14" ht="15" customHeight="1" x14ac:dyDescent="0.2">
      <c r="D1377" s="130" t="b">
        <v>0</v>
      </c>
      <c r="E1377" s="124" t="s">
        <v>96</v>
      </c>
      <c r="F1377" s="125" t="s">
        <v>94</v>
      </c>
      <c r="G1377" s="125">
        <v>2</v>
      </c>
      <c r="H1377" s="123">
        <v>2</v>
      </c>
      <c r="I1377" s="123" t="s">
        <v>95</v>
      </c>
      <c r="J1377" s="123" t="s">
        <v>97</v>
      </c>
      <c r="K1377" s="123" t="s">
        <v>93</v>
      </c>
      <c r="L1377" s="132">
        <v>1297</v>
      </c>
      <c r="M1377" s="132">
        <v>0</v>
      </c>
      <c r="N1377" s="132">
        <v>2.690984978503828E+18</v>
      </c>
    </row>
    <row r="1378" spans="4:14" ht="15" customHeight="1" x14ac:dyDescent="0.2">
      <c r="D1378" s="130" t="b">
        <v>0</v>
      </c>
      <c r="E1378" s="124" t="s">
        <v>96</v>
      </c>
      <c r="F1378" s="125" t="s">
        <v>94</v>
      </c>
      <c r="G1378" s="125">
        <v>2</v>
      </c>
      <c r="H1378" s="123">
        <v>2</v>
      </c>
      <c r="I1378" s="123" t="s">
        <v>95</v>
      </c>
      <c r="J1378" s="123" t="s">
        <v>91</v>
      </c>
      <c r="K1378" s="123" t="s">
        <v>93</v>
      </c>
      <c r="L1378" s="132">
        <v>1298</v>
      </c>
      <c r="M1378" s="132">
        <v>0</v>
      </c>
      <c r="N1378" s="132">
        <v>1.7036260560316499E+17</v>
      </c>
    </row>
    <row r="1379" spans="4:14" ht="15" customHeight="1" x14ac:dyDescent="0.2">
      <c r="D1379" s="130" t="b">
        <v>0</v>
      </c>
      <c r="E1379" s="124" t="s">
        <v>96</v>
      </c>
      <c r="F1379" s="125" t="s">
        <v>94</v>
      </c>
      <c r="G1379" s="125">
        <v>2</v>
      </c>
      <c r="H1379" s="123">
        <v>2</v>
      </c>
      <c r="I1379" s="123" t="s">
        <v>97</v>
      </c>
      <c r="J1379" s="123" t="s">
        <v>96</v>
      </c>
      <c r="K1379" s="123" t="s">
        <v>93</v>
      </c>
      <c r="L1379" s="132">
        <v>1299</v>
      </c>
      <c r="M1379" s="132">
        <v>0</v>
      </c>
      <c r="N1379" s="132">
        <v>7.3453261672681574E+18</v>
      </c>
    </row>
    <row r="1380" spans="4:14" ht="15" customHeight="1" x14ac:dyDescent="0.2">
      <c r="D1380" s="130" t="b">
        <v>0</v>
      </c>
      <c r="E1380" s="124" t="s">
        <v>96</v>
      </c>
      <c r="F1380" s="125" t="s">
        <v>94</v>
      </c>
      <c r="G1380" s="125">
        <v>2</v>
      </c>
      <c r="H1380" s="123">
        <v>2</v>
      </c>
      <c r="I1380" s="123" t="s">
        <v>97</v>
      </c>
      <c r="J1380" s="123" t="s">
        <v>97</v>
      </c>
      <c r="K1380" s="123" t="s">
        <v>93</v>
      </c>
      <c r="L1380" s="132">
        <v>1300</v>
      </c>
      <c r="M1380" s="132">
        <v>0</v>
      </c>
      <c r="N1380" s="132">
        <v>1.1823063538482631E+19</v>
      </c>
    </row>
    <row r="1381" spans="4:14" ht="15" customHeight="1" x14ac:dyDescent="0.2">
      <c r="D1381" s="130" t="b">
        <v>0</v>
      </c>
      <c r="E1381" s="124" t="s">
        <v>96</v>
      </c>
      <c r="F1381" s="125" t="s">
        <v>94</v>
      </c>
      <c r="G1381" s="125">
        <v>2</v>
      </c>
      <c r="H1381" s="123">
        <v>2</v>
      </c>
      <c r="I1381" s="123" t="s">
        <v>97</v>
      </c>
      <c r="J1381" s="123" t="s">
        <v>91</v>
      </c>
      <c r="K1381" s="123" t="s">
        <v>93</v>
      </c>
      <c r="L1381" s="132">
        <v>1301</v>
      </c>
      <c r="M1381" s="132">
        <v>0</v>
      </c>
      <c r="N1381" s="132">
        <v>1.2669736709645128E+19</v>
      </c>
    </row>
    <row r="1382" spans="4:14" ht="15" customHeight="1" x14ac:dyDescent="0.2">
      <c r="D1382" s="130" t="b">
        <v>0</v>
      </c>
      <c r="E1382" s="124" t="s">
        <v>96</v>
      </c>
      <c r="F1382" s="125" t="s">
        <v>94</v>
      </c>
      <c r="G1382" s="125">
        <v>2</v>
      </c>
      <c r="H1382" s="123">
        <v>2</v>
      </c>
      <c r="I1382" s="123" t="s">
        <v>92</v>
      </c>
      <c r="J1382" s="123" t="s">
        <v>96</v>
      </c>
      <c r="K1382" s="123" t="s">
        <v>93</v>
      </c>
      <c r="L1382" s="132">
        <v>1302</v>
      </c>
      <c r="M1382" s="132">
        <v>0</v>
      </c>
      <c r="N1382" s="132">
        <v>9.6830053847395226E+18</v>
      </c>
    </row>
    <row r="1383" spans="4:14" ht="15" customHeight="1" x14ac:dyDescent="0.2">
      <c r="D1383" s="130" t="b">
        <v>0</v>
      </c>
      <c r="E1383" s="124" t="s">
        <v>96</v>
      </c>
      <c r="F1383" s="125" t="s">
        <v>94</v>
      </c>
      <c r="G1383" s="125">
        <v>2</v>
      </c>
      <c r="H1383" s="123">
        <v>2</v>
      </c>
      <c r="I1383" s="123" t="s">
        <v>92</v>
      </c>
      <c r="J1383" s="123" t="s">
        <v>97</v>
      </c>
      <c r="K1383" s="123" t="s">
        <v>93</v>
      </c>
      <c r="L1383" s="132">
        <v>1303</v>
      </c>
      <c r="M1383" s="132">
        <v>0</v>
      </c>
      <c r="N1383" s="132">
        <v>1.3898373924473311E+19</v>
      </c>
    </row>
    <row r="1384" spans="4:14" ht="15" customHeight="1" x14ac:dyDescent="0.2">
      <c r="D1384" s="130" t="b">
        <v>0</v>
      </c>
      <c r="E1384" s="124" t="s">
        <v>96</v>
      </c>
      <c r="F1384" s="125" t="s">
        <v>94</v>
      </c>
      <c r="G1384" s="125">
        <v>2</v>
      </c>
      <c r="H1384" s="123">
        <v>2</v>
      </c>
      <c r="I1384" s="123" t="s">
        <v>92</v>
      </c>
      <c r="J1384" s="123" t="s">
        <v>91</v>
      </c>
      <c r="K1384" s="123" t="s">
        <v>93</v>
      </c>
      <c r="L1384" s="132">
        <v>1304</v>
      </c>
      <c r="M1384" s="132">
        <v>0</v>
      </c>
      <c r="N1384" s="132">
        <v>1.8383358986595017E+19</v>
      </c>
    </row>
    <row r="1385" spans="4:14" ht="15" customHeight="1" x14ac:dyDescent="0.2">
      <c r="D1385" s="130" t="b">
        <v>0</v>
      </c>
      <c r="E1385" s="124" t="s">
        <v>96</v>
      </c>
      <c r="F1385" s="125" t="s">
        <v>94</v>
      </c>
      <c r="G1385" s="125">
        <v>2</v>
      </c>
      <c r="H1385" s="123">
        <v>4</v>
      </c>
      <c r="I1385" s="123" t="s">
        <v>95</v>
      </c>
      <c r="J1385" s="123" t="s">
        <v>96</v>
      </c>
      <c r="K1385" s="123" t="s">
        <v>93</v>
      </c>
      <c r="L1385" s="132">
        <v>1305</v>
      </c>
      <c r="M1385" s="132">
        <v>0</v>
      </c>
      <c r="N1385" s="132">
        <v>1.4964409523698573E+19</v>
      </c>
    </row>
    <row r="1386" spans="4:14" ht="15" customHeight="1" x14ac:dyDescent="0.2">
      <c r="D1386" s="130" t="b">
        <v>0</v>
      </c>
      <c r="E1386" s="124" t="s">
        <v>96</v>
      </c>
      <c r="F1386" s="125" t="s">
        <v>94</v>
      </c>
      <c r="G1386" s="125">
        <v>2</v>
      </c>
      <c r="H1386" s="123">
        <v>4</v>
      </c>
      <c r="I1386" s="123" t="s">
        <v>95</v>
      </c>
      <c r="J1386" s="123" t="s">
        <v>97</v>
      </c>
      <c r="K1386" s="123" t="s">
        <v>93</v>
      </c>
      <c r="L1386" s="132">
        <v>1306</v>
      </c>
      <c r="M1386" s="132">
        <v>0</v>
      </c>
      <c r="N1386" s="132">
        <v>1.4013415817344479E+19</v>
      </c>
    </row>
    <row r="1387" spans="4:14" ht="15" customHeight="1" x14ac:dyDescent="0.2">
      <c r="D1387" s="130" t="b">
        <v>0</v>
      </c>
      <c r="E1387" s="124" t="s">
        <v>96</v>
      </c>
      <c r="F1387" s="125" t="s">
        <v>94</v>
      </c>
      <c r="G1387" s="125">
        <v>2</v>
      </c>
      <c r="H1387" s="123">
        <v>4</v>
      </c>
      <c r="I1387" s="123" t="s">
        <v>95</v>
      </c>
      <c r="J1387" s="123" t="s">
        <v>91</v>
      </c>
      <c r="K1387" s="123" t="s">
        <v>100</v>
      </c>
      <c r="L1387" s="132">
        <v>1307</v>
      </c>
      <c r="M1387" s="132">
        <v>0</v>
      </c>
      <c r="N1387" s="132">
        <v>1.5048741517950669E+17</v>
      </c>
    </row>
    <row r="1388" spans="4:14" ht="15" customHeight="1" x14ac:dyDescent="0.2">
      <c r="D1388" s="130" t="b">
        <v>0</v>
      </c>
      <c r="E1388" s="124" t="s">
        <v>96</v>
      </c>
      <c r="F1388" s="125" t="s">
        <v>94</v>
      </c>
      <c r="G1388" s="125">
        <v>2</v>
      </c>
      <c r="H1388" s="123">
        <v>4</v>
      </c>
      <c r="I1388" s="123" t="s">
        <v>97</v>
      </c>
      <c r="J1388" s="123" t="s">
        <v>96</v>
      </c>
      <c r="K1388" s="123" t="s">
        <v>93</v>
      </c>
      <c r="L1388" s="132">
        <v>1308</v>
      </c>
      <c r="M1388" s="132">
        <v>0</v>
      </c>
      <c r="N1388" s="132">
        <v>9.9663009283179356E+18</v>
      </c>
    </row>
    <row r="1389" spans="4:14" ht="15" customHeight="1" x14ac:dyDescent="0.2">
      <c r="D1389" s="130" t="b">
        <v>0</v>
      </c>
      <c r="E1389" s="124" t="s">
        <v>96</v>
      </c>
      <c r="F1389" s="125" t="s">
        <v>94</v>
      </c>
      <c r="G1389" s="125">
        <v>2</v>
      </c>
      <c r="H1389" s="123">
        <v>4</v>
      </c>
      <c r="I1389" s="123" t="s">
        <v>97</v>
      </c>
      <c r="J1389" s="123" t="s">
        <v>97</v>
      </c>
      <c r="K1389" s="123" t="s">
        <v>93</v>
      </c>
      <c r="L1389" s="132">
        <v>1309</v>
      </c>
      <c r="M1389" s="132">
        <v>0</v>
      </c>
      <c r="N1389" s="132">
        <v>7.6814299484102595E+18</v>
      </c>
    </row>
    <row r="1390" spans="4:14" ht="15" customHeight="1" x14ac:dyDescent="0.2">
      <c r="D1390" s="130" t="b">
        <v>0</v>
      </c>
      <c r="E1390" s="124" t="s">
        <v>96</v>
      </c>
      <c r="F1390" s="125" t="s">
        <v>94</v>
      </c>
      <c r="G1390" s="125">
        <v>2</v>
      </c>
      <c r="H1390" s="123">
        <v>4</v>
      </c>
      <c r="I1390" s="123" t="s">
        <v>97</v>
      </c>
      <c r="J1390" s="123" t="s">
        <v>91</v>
      </c>
      <c r="K1390" s="123" t="s">
        <v>100</v>
      </c>
      <c r="L1390" s="132">
        <v>1310</v>
      </c>
      <c r="M1390" s="132">
        <v>0</v>
      </c>
      <c r="N1390" s="132">
        <v>5.9094321846298481E+18</v>
      </c>
    </row>
    <row r="1391" spans="4:14" ht="15" customHeight="1" x14ac:dyDescent="0.2">
      <c r="D1391" s="130" t="b">
        <v>0</v>
      </c>
      <c r="E1391" s="124" t="s">
        <v>96</v>
      </c>
      <c r="F1391" s="125" t="s">
        <v>94</v>
      </c>
      <c r="G1391" s="125">
        <v>2</v>
      </c>
      <c r="H1391" s="123">
        <v>4</v>
      </c>
      <c r="I1391" s="123" t="s">
        <v>92</v>
      </c>
      <c r="J1391" s="123" t="s">
        <v>96</v>
      </c>
      <c r="K1391" s="123" t="s">
        <v>93</v>
      </c>
      <c r="L1391" s="132">
        <v>1311</v>
      </c>
      <c r="M1391" s="132">
        <v>0</v>
      </c>
      <c r="N1391" s="132">
        <v>3.581003285668737E+18</v>
      </c>
    </row>
    <row r="1392" spans="4:14" ht="15" customHeight="1" x14ac:dyDescent="0.2">
      <c r="D1392" s="130" t="b">
        <v>0</v>
      </c>
      <c r="E1392" s="124" t="s">
        <v>96</v>
      </c>
      <c r="F1392" s="125" t="s">
        <v>94</v>
      </c>
      <c r="G1392" s="125">
        <v>2</v>
      </c>
      <c r="H1392" s="123">
        <v>4</v>
      </c>
      <c r="I1392" s="123" t="s">
        <v>92</v>
      </c>
      <c r="J1392" s="123" t="s">
        <v>97</v>
      </c>
      <c r="K1392" s="123" t="s">
        <v>100</v>
      </c>
      <c r="L1392" s="132">
        <v>1312</v>
      </c>
      <c r="M1392" s="132">
        <v>0</v>
      </c>
      <c r="N1392" s="132">
        <v>3.1949995527301478E+18</v>
      </c>
    </row>
    <row r="1393" spans="4:14" ht="15" customHeight="1" x14ac:dyDescent="0.2">
      <c r="D1393" s="130" t="b">
        <v>0</v>
      </c>
      <c r="E1393" s="124" t="s">
        <v>96</v>
      </c>
      <c r="F1393" s="125" t="s">
        <v>94</v>
      </c>
      <c r="G1393" s="125">
        <v>2</v>
      </c>
      <c r="H1393" s="123">
        <v>4</v>
      </c>
      <c r="I1393" s="123" t="s">
        <v>92</v>
      </c>
      <c r="J1393" s="123" t="s">
        <v>91</v>
      </c>
      <c r="K1393" s="123" t="s">
        <v>100</v>
      </c>
      <c r="L1393" s="132">
        <v>1313</v>
      </c>
      <c r="M1393" s="132">
        <v>0</v>
      </c>
      <c r="N1393" s="132">
        <v>1.0509424485028671E+19</v>
      </c>
    </row>
    <row r="1394" spans="4:14" ht="15" customHeight="1" x14ac:dyDescent="0.2">
      <c r="D1394" s="130" t="b">
        <v>0</v>
      </c>
      <c r="E1394" s="124" t="s">
        <v>96</v>
      </c>
      <c r="F1394" s="125" t="s">
        <v>94</v>
      </c>
      <c r="G1394" s="125">
        <v>2</v>
      </c>
      <c r="H1394" s="123" t="s">
        <v>98</v>
      </c>
      <c r="I1394" s="123" t="s">
        <v>95</v>
      </c>
      <c r="J1394" s="123" t="s">
        <v>96</v>
      </c>
      <c r="K1394" s="123" t="s">
        <v>93</v>
      </c>
      <c r="L1394" s="132">
        <v>1314</v>
      </c>
      <c r="M1394" s="132">
        <v>0</v>
      </c>
      <c r="N1394" s="132">
        <v>8.3408005757218836E+18</v>
      </c>
    </row>
    <row r="1395" spans="4:14" ht="15" customHeight="1" x14ac:dyDescent="0.2">
      <c r="D1395" s="130" t="b">
        <v>0</v>
      </c>
      <c r="E1395" s="124" t="s">
        <v>96</v>
      </c>
      <c r="F1395" s="125" t="s">
        <v>94</v>
      </c>
      <c r="G1395" s="125">
        <v>2</v>
      </c>
      <c r="H1395" s="123" t="s">
        <v>98</v>
      </c>
      <c r="I1395" s="123" t="s">
        <v>95</v>
      </c>
      <c r="J1395" s="123" t="s">
        <v>97</v>
      </c>
      <c r="K1395" s="123" t="s">
        <v>93</v>
      </c>
      <c r="L1395" s="132">
        <v>1315</v>
      </c>
      <c r="M1395" s="132">
        <v>0</v>
      </c>
      <c r="N1395" s="132">
        <v>8.6501763265706419E+17</v>
      </c>
    </row>
    <row r="1396" spans="4:14" ht="15" customHeight="1" x14ac:dyDescent="0.2">
      <c r="D1396" s="130" t="b">
        <v>0</v>
      </c>
      <c r="E1396" s="124" t="s">
        <v>96</v>
      </c>
      <c r="F1396" s="125" t="s">
        <v>94</v>
      </c>
      <c r="G1396" s="125">
        <v>2</v>
      </c>
      <c r="H1396" s="123" t="s">
        <v>98</v>
      </c>
      <c r="I1396" s="123" t="s">
        <v>95</v>
      </c>
      <c r="J1396" s="123" t="s">
        <v>91</v>
      </c>
      <c r="K1396" s="123" t="s">
        <v>93</v>
      </c>
      <c r="L1396" s="132">
        <v>1316</v>
      </c>
      <c r="M1396" s="132">
        <v>0</v>
      </c>
      <c r="N1396" s="132">
        <v>1.4156189517436195E+19</v>
      </c>
    </row>
    <row r="1397" spans="4:14" ht="15" customHeight="1" x14ac:dyDescent="0.2">
      <c r="D1397" s="130" t="b">
        <v>0</v>
      </c>
      <c r="E1397" s="124" t="s">
        <v>96</v>
      </c>
      <c r="F1397" s="125" t="s">
        <v>94</v>
      </c>
      <c r="G1397" s="125">
        <v>2</v>
      </c>
      <c r="H1397" s="123" t="s">
        <v>98</v>
      </c>
      <c r="I1397" s="123" t="s">
        <v>97</v>
      </c>
      <c r="J1397" s="123" t="s">
        <v>96</v>
      </c>
      <c r="K1397" s="123" t="s">
        <v>93</v>
      </c>
      <c r="L1397" s="132">
        <v>1317</v>
      </c>
      <c r="M1397" s="132">
        <v>0</v>
      </c>
      <c r="N1397" s="132">
        <v>1.562395462814867E+19</v>
      </c>
    </row>
    <row r="1398" spans="4:14" ht="15" customHeight="1" x14ac:dyDescent="0.2">
      <c r="D1398" s="130" t="b">
        <v>0</v>
      </c>
      <c r="E1398" s="124" t="s">
        <v>96</v>
      </c>
      <c r="F1398" s="125" t="s">
        <v>94</v>
      </c>
      <c r="G1398" s="125">
        <v>2</v>
      </c>
      <c r="H1398" s="123" t="s">
        <v>98</v>
      </c>
      <c r="I1398" s="123" t="s">
        <v>97</v>
      </c>
      <c r="J1398" s="123" t="s">
        <v>97</v>
      </c>
      <c r="K1398" s="123" t="s">
        <v>93</v>
      </c>
      <c r="L1398" s="132">
        <v>1318</v>
      </c>
      <c r="M1398" s="132">
        <v>0</v>
      </c>
      <c r="N1398" s="132">
        <v>4.4764774700644675E+18</v>
      </c>
    </row>
    <row r="1399" spans="4:14" ht="15" customHeight="1" x14ac:dyDescent="0.2">
      <c r="D1399" s="130" t="b">
        <v>0</v>
      </c>
      <c r="E1399" s="124" t="s">
        <v>96</v>
      </c>
      <c r="F1399" s="125" t="s">
        <v>94</v>
      </c>
      <c r="G1399" s="125">
        <v>2</v>
      </c>
      <c r="H1399" s="123" t="s">
        <v>98</v>
      </c>
      <c r="I1399" s="123" t="s">
        <v>97</v>
      </c>
      <c r="J1399" s="123" t="s">
        <v>91</v>
      </c>
      <c r="K1399" s="123" t="s">
        <v>100</v>
      </c>
      <c r="L1399" s="132">
        <v>1319</v>
      </c>
      <c r="M1399" s="132">
        <v>0</v>
      </c>
      <c r="N1399" s="132">
        <v>4.4633900542251597E+18</v>
      </c>
    </row>
    <row r="1400" spans="4:14" ht="15" customHeight="1" x14ac:dyDescent="0.2">
      <c r="D1400" s="130" t="b">
        <v>0</v>
      </c>
      <c r="E1400" s="124" t="s">
        <v>96</v>
      </c>
      <c r="F1400" s="125" t="s">
        <v>94</v>
      </c>
      <c r="G1400" s="125">
        <v>2</v>
      </c>
      <c r="H1400" s="123" t="s">
        <v>98</v>
      </c>
      <c r="I1400" s="123" t="s">
        <v>92</v>
      </c>
      <c r="J1400" s="123" t="s">
        <v>96</v>
      </c>
      <c r="K1400" s="123" t="s">
        <v>93</v>
      </c>
      <c r="L1400" s="132">
        <v>1320</v>
      </c>
      <c r="M1400" s="132">
        <v>0</v>
      </c>
      <c r="N1400" s="132">
        <v>1.2570401538150322E+19</v>
      </c>
    </row>
    <row r="1401" spans="4:14" ht="15" customHeight="1" x14ac:dyDescent="0.2">
      <c r="D1401" s="130" t="b">
        <v>0</v>
      </c>
      <c r="E1401" s="124" t="s">
        <v>96</v>
      </c>
      <c r="F1401" s="125" t="s">
        <v>94</v>
      </c>
      <c r="G1401" s="125">
        <v>2</v>
      </c>
      <c r="H1401" s="123" t="s">
        <v>98</v>
      </c>
      <c r="I1401" s="123" t="s">
        <v>92</v>
      </c>
      <c r="J1401" s="123" t="s">
        <v>97</v>
      </c>
      <c r="K1401" s="123" t="s">
        <v>100</v>
      </c>
      <c r="L1401" s="132">
        <v>1321</v>
      </c>
      <c r="M1401" s="132">
        <v>0</v>
      </c>
      <c r="N1401" s="132">
        <v>3.734709105476137E+17</v>
      </c>
    </row>
    <row r="1402" spans="4:14" ht="15" customHeight="1" x14ac:dyDescent="0.2">
      <c r="D1402" s="130" t="b">
        <v>0</v>
      </c>
      <c r="E1402" s="124" t="s">
        <v>96</v>
      </c>
      <c r="F1402" s="125" t="s">
        <v>94</v>
      </c>
      <c r="G1402" s="125">
        <v>2</v>
      </c>
      <c r="H1402" s="123" t="s">
        <v>98</v>
      </c>
      <c r="I1402" s="123" t="s">
        <v>92</v>
      </c>
      <c r="J1402" s="123" t="s">
        <v>91</v>
      </c>
      <c r="K1402" s="123" t="s">
        <v>100</v>
      </c>
      <c r="L1402" s="132">
        <v>1322</v>
      </c>
      <c r="M1402" s="132">
        <v>0</v>
      </c>
      <c r="N1402" s="132">
        <v>1.6649235636287728E+19</v>
      </c>
    </row>
    <row r="1403" spans="4:14" ht="15" customHeight="1" x14ac:dyDescent="0.2">
      <c r="D1403" s="130" t="b">
        <v>0</v>
      </c>
      <c r="E1403" s="124" t="s">
        <v>96</v>
      </c>
      <c r="F1403" s="125" t="s">
        <v>94</v>
      </c>
      <c r="G1403" s="125">
        <v>3</v>
      </c>
      <c r="H1403" s="123">
        <v>2</v>
      </c>
      <c r="I1403" s="123" t="s">
        <v>95</v>
      </c>
      <c r="J1403" s="123" t="s">
        <v>96</v>
      </c>
      <c r="K1403" s="123" t="s">
        <v>93</v>
      </c>
      <c r="L1403" s="132">
        <v>1323</v>
      </c>
      <c r="M1403" s="132">
        <v>0</v>
      </c>
      <c r="N1403" s="132">
        <v>3.021348582517717E+18</v>
      </c>
    </row>
    <row r="1404" spans="4:14" ht="15" customHeight="1" x14ac:dyDescent="0.2">
      <c r="D1404" s="130" t="b">
        <v>0</v>
      </c>
      <c r="E1404" s="124" t="s">
        <v>96</v>
      </c>
      <c r="F1404" s="125" t="s">
        <v>94</v>
      </c>
      <c r="G1404" s="125">
        <v>3</v>
      </c>
      <c r="H1404" s="123">
        <v>2</v>
      </c>
      <c r="I1404" s="123" t="s">
        <v>95</v>
      </c>
      <c r="J1404" s="123" t="s">
        <v>97</v>
      </c>
      <c r="K1404" s="123" t="s">
        <v>93</v>
      </c>
      <c r="L1404" s="132">
        <v>1324</v>
      </c>
      <c r="M1404" s="132">
        <v>0</v>
      </c>
      <c r="N1404" s="132">
        <v>1.5972900379780246E+19</v>
      </c>
    </row>
    <row r="1405" spans="4:14" ht="15" customHeight="1" x14ac:dyDescent="0.2">
      <c r="D1405" s="130" t="b">
        <v>0</v>
      </c>
      <c r="E1405" s="124" t="s">
        <v>96</v>
      </c>
      <c r="F1405" s="125" t="s">
        <v>94</v>
      </c>
      <c r="G1405" s="125">
        <v>3</v>
      </c>
      <c r="H1405" s="123">
        <v>2</v>
      </c>
      <c r="I1405" s="123" t="s">
        <v>95</v>
      </c>
      <c r="J1405" s="123" t="s">
        <v>91</v>
      </c>
      <c r="K1405" s="123" t="s">
        <v>93</v>
      </c>
      <c r="L1405" s="132">
        <v>1325</v>
      </c>
      <c r="M1405" s="132">
        <v>0</v>
      </c>
      <c r="N1405" s="132">
        <v>5.9703855857701059E+18</v>
      </c>
    </row>
    <row r="1406" spans="4:14" ht="15" customHeight="1" x14ac:dyDescent="0.2">
      <c r="D1406" s="130" t="b">
        <v>0</v>
      </c>
      <c r="E1406" s="124" t="s">
        <v>96</v>
      </c>
      <c r="F1406" s="125" t="s">
        <v>94</v>
      </c>
      <c r="G1406" s="125">
        <v>3</v>
      </c>
      <c r="H1406" s="123">
        <v>2</v>
      </c>
      <c r="I1406" s="123" t="s">
        <v>97</v>
      </c>
      <c r="J1406" s="123" t="s">
        <v>96</v>
      </c>
      <c r="K1406" s="123" t="s">
        <v>93</v>
      </c>
      <c r="L1406" s="132">
        <v>1326</v>
      </c>
      <c r="M1406" s="132">
        <v>0</v>
      </c>
      <c r="N1406" s="132">
        <v>1.5803574939087406E+18</v>
      </c>
    </row>
    <row r="1407" spans="4:14" ht="15" customHeight="1" x14ac:dyDescent="0.2">
      <c r="D1407" s="130" t="b">
        <v>0</v>
      </c>
      <c r="E1407" s="124" t="s">
        <v>96</v>
      </c>
      <c r="F1407" s="125" t="s">
        <v>94</v>
      </c>
      <c r="G1407" s="125">
        <v>3</v>
      </c>
      <c r="H1407" s="123">
        <v>2</v>
      </c>
      <c r="I1407" s="123" t="s">
        <v>97</v>
      </c>
      <c r="J1407" s="123" t="s">
        <v>97</v>
      </c>
      <c r="K1407" s="123" t="s">
        <v>93</v>
      </c>
      <c r="L1407" s="132">
        <v>1327</v>
      </c>
      <c r="M1407" s="132">
        <v>0</v>
      </c>
      <c r="N1407" s="132">
        <v>1.3757372219250924E+19</v>
      </c>
    </row>
    <row r="1408" spans="4:14" ht="15" customHeight="1" x14ac:dyDescent="0.2">
      <c r="D1408" s="130" t="b">
        <v>0</v>
      </c>
      <c r="E1408" s="124" t="s">
        <v>96</v>
      </c>
      <c r="F1408" s="125" t="s">
        <v>94</v>
      </c>
      <c r="G1408" s="125">
        <v>3</v>
      </c>
      <c r="H1408" s="123">
        <v>2</v>
      </c>
      <c r="I1408" s="123" t="s">
        <v>97</v>
      </c>
      <c r="J1408" s="123" t="s">
        <v>91</v>
      </c>
      <c r="K1408" s="123" t="s">
        <v>93</v>
      </c>
      <c r="L1408" s="132">
        <v>1328</v>
      </c>
      <c r="M1408" s="132">
        <v>0</v>
      </c>
      <c r="N1408" s="132">
        <v>5.4280569492168998E+17</v>
      </c>
    </row>
    <row r="1409" spans="4:14" ht="15" customHeight="1" x14ac:dyDescent="0.2">
      <c r="D1409" s="130" t="b">
        <v>0</v>
      </c>
      <c r="E1409" s="124" t="s">
        <v>96</v>
      </c>
      <c r="F1409" s="125" t="s">
        <v>94</v>
      </c>
      <c r="G1409" s="125">
        <v>3</v>
      </c>
      <c r="H1409" s="123">
        <v>2</v>
      </c>
      <c r="I1409" s="123" t="s">
        <v>92</v>
      </c>
      <c r="J1409" s="123" t="s">
        <v>96</v>
      </c>
      <c r="K1409" s="123" t="s">
        <v>93</v>
      </c>
      <c r="L1409" s="132">
        <v>1329</v>
      </c>
      <c r="M1409" s="132">
        <v>0</v>
      </c>
      <c r="N1409" s="132">
        <v>2.2242379937855319E+18</v>
      </c>
    </row>
    <row r="1410" spans="4:14" ht="15" customHeight="1" x14ac:dyDescent="0.2">
      <c r="D1410" s="130" t="b">
        <v>0</v>
      </c>
      <c r="E1410" s="124" t="s">
        <v>96</v>
      </c>
      <c r="F1410" s="125" t="s">
        <v>94</v>
      </c>
      <c r="G1410" s="125">
        <v>3</v>
      </c>
      <c r="H1410" s="123">
        <v>2</v>
      </c>
      <c r="I1410" s="123" t="s">
        <v>92</v>
      </c>
      <c r="J1410" s="123" t="s">
        <v>97</v>
      </c>
      <c r="K1410" s="123" t="s">
        <v>93</v>
      </c>
      <c r="L1410" s="132">
        <v>1330</v>
      </c>
      <c r="M1410" s="132">
        <v>0</v>
      </c>
      <c r="N1410" s="132">
        <v>1.3416991876906977E+19</v>
      </c>
    </row>
    <row r="1411" spans="4:14" ht="15" customHeight="1" x14ac:dyDescent="0.2">
      <c r="D1411" s="130" t="b">
        <v>0</v>
      </c>
      <c r="E1411" s="124" t="s">
        <v>96</v>
      </c>
      <c r="F1411" s="125" t="s">
        <v>94</v>
      </c>
      <c r="G1411" s="125">
        <v>3</v>
      </c>
      <c r="H1411" s="123">
        <v>2</v>
      </c>
      <c r="I1411" s="123" t="s">
        <v>92</v>
      </c>
      <c r="J1411" s="123" t="s">
        <v>91</v>
      </c>
      <c r="K1411" s="123" t="s">
        <v>93</v>
      </c>
      <c r="L1411" s="132">
        <v>1331</v>
      </c>
      <c r="M1411" s="132">
        <v>0</v>
      </c>
      <c r="N1411" s="132">
        <v>1.6607205622619535E+18</v>
      </c>
    </row>
    <row r="1412" spans="4:14" ht="15" customHeight="1" x14ac:dyDescent="0.2">
      <c r="D1412" s="130" t="b">
        <v>0</v>
      </c>
      <c r="E1412" s="124" t="s">
        <v>96</v>
      </c>
      <c r="F1412" s="125" t="s">
        <v>94</v>
      </c>
      <c r="G1412" s="125">
        <v>3</v>
      </c>
      <c r="H1412" s="123">
        <v>4</v>
      </c>
      <c r="I1412" s="123" t="s">
        <v>95</v>
      </c>
      <c r="J1412" s="123" t="s">
        <v>96</v>
      </c>
      <c r="K1412" s="123" t="s">
        <v>93</v>
      </c>
      <c r="L1412" s="132">
        <v>1332</v>
      </c>
      <c r="M1412" s="132">
        <v>0</v>
      </c>
      <c r="N1412" s="132">
        <v>4.9163330872259256E+18</v>
      </c>
    </row>
    <row r="1413" spans="4:14" ht="15" customHeight="1" x14ac:dyDescent="0.2">
      <c r="D1413" s="130" t="b">
        <v>0</v>
      </c>
      <c r="E1413" s="124" t="s">
        <v>96</v>
      </c>
      <c r="F1413" s="125" t="s">
        <v>94</v>
      </c>
      <c r="G1413" s="125">
        <v>3</v>
      </c>
      <c r="H1413" s="123">
        <v>4</v>
      </c>
      <c r="I1413" s="123" t="s">
        <v>95</v>
      </c>
      <c r="J1413" s="123" t="s">
        <v>97</v>
      </c>
      <c r="K1413" s="123" t="s">
        <v>93</v>
      </c>
      <c r="L1413" s="132">
        <v>1333</v>
      </c>
      <c r="M1413" s="132">
        <v>0</v>
      </c>
      <c r="N1413" s="132">
        <v>3.3051926034662697E+18</v>
      </c>
    </row>
    <row r="1414" spans="4:14" ht="15" customHeight="1" x14ac:dyDescent="0.2">
      <c r="D1414" s="130" t="b">
        <v>0</v>
      </c>
      <c r="E1414" s="124" t="s">
        <v>96</v>
      </c>
      <c r="F1414" s="125" t="s">
        <v>94</v>
      </c>
      <c r="G1414" s="125">
        <v>3</v>
      </c>
      <c r="H1414" s="123">
        <v>4</v>
      </c>
      <c r="I1414" s="123" t="s">
        <v>95</v>
      </c>
      <c r="J1414" s="123" t="s">
        <v>91</v>
      </c>
      <c r="K1414" s="123" t="s">
        <v>100</v>
      </c>
      <c r="L1414" s="132">
        <v>1334</v>
      </c>
      <c r="M1414" s="132">
        <v>0</v>
      </c>
      <c r="N1414" s="132">
        <v>2.4772628273380096E+18</v>
      </c>
    </row>
    <row r="1415" spans="4:14" ht="15" customHeight="1" x14ac:dyDescent="0.2">
      <c r="D1415" s="130" t="b">
        <v>0</v>
      </c>
      <c r="E1415" s="124" t="s">
        <v>96</v>
      </c>
      <c r="F1415" s="125" t="s">
        <v>94</v>
      </c>
      <c r="G1415" s="125">
        <v>3</v>
      </c>
      <c r="H1415" s="123">
        <v>4</v>
      </c>
      <c r="I1415" s="123" t="s">
        <v>97</v>
      </c>
      <c r="J1415" s="123" t="s">
        <v>96</v>
      </c>
      <c r="K1415" s="123" t="s">
        <v>93</v>
      </c>
      <c r="L1415" s="132">
        <v>1335</v>
      </c>
      <c r="M1415" s="132">
        <v>0</v>
      </c>
      <c r="N1415" s="132">
        <v>2.6610377852846198E+18</v>
      </c>
    </row>
    <row r="1416" spans="4:14" ht="15" customHeight="1" x14ac:dyDescent="0.2">
      <c r="D1416" s="130" t="b">
        <v>0</v>
      </c>
      <c r="E1416" s="124" t="s">
        <v>96</v>
      </c>
      <c r="F1416" s="125" t="s">
        <v>94</v>
      </c>
      <c r="G1416" s="125">
        <v>3</v>
      </c>
      <c r="H1416" s="123">
        <v>4</v>
      </c>
      <c r="I1416" s="123" t="s">
        <v>97</v>
      </c>
      <c r="J1416" s="123" t="s">
        <v>97</v>
      </c>
      <c r="K1416" s="123" t="s">
        <v>93</v>
      </c>
      <c r="L1416" s="132">
        <v>1336</v>
      </c>
      <c r="M1416" s="132">
        <v>0</v>
      </c>
      <c r="N1416" s="132">
        <v>1.5420879299687012E+19</v>
      </c>
    </row>
    <row r="1417" spans="4:14" ht="15" customHeight="1" x14ac:dyDescent="0.2">
      <c r="D1417" s="130" t="b">
        <v>0</v>
      </c>
      <c r="E1417" s="124" t="s">
        <v>96</v>
      </c>
      <c r="F1417" s="125" t="s">
        <v>94</v>
      </c>
      <c r="G1417" s="125">
        <v>3</v>
      </c>
      <c r="H1417" s="123">
        <v>4</v>
      </c>
      <c r="I1417" s="123" t="s">
        <v>97</v>
      </c>
      <c r="J1417" s="123" t="s">
        <v>91</v>
      </c>
      <c r="K1417" s="123" t="s">
        <v>100</v>
      </c>
      <c r="L1417" s="132">
        <v>1337</v>
      </c>
      <c r="M1417" s="132">
        <v>0</v>
      </c>
      <c r="N1417" s="132">
        <v>1.0380137367304528E+19</v>
      </c>
    </row>
    <row r="1418" spans="4:14" ht="15" customHeight="1" x14ac:dyDescent="0.2">
      <c r="D1418" s="130" t="b">
        <v>0</v>
      </c>
      <c r="E1418" s="124" t="s">
        <v>96</v>
      </c>
      <c r="F1418" s="125" t="s">
        <v>94</v>
      </c>
      <c r="G1418" s="125">
        <v>3</v>
      </c>
      <c r="H1418" s="123">
        <v>4</v>
      </c>
      <c r="I1418" s="123" t="s">
        <v>92</v>
      </c>
      <c r="J1418" s="123" t="s">
        <v>96</v>
      </c>
      <c r="K1418" s="123" t="s">
        <v>93</v>
      </c>
      <c r="L1418" s="132">
        <v>1338</v>
      </c>
      <c r="M1418" s="132">
        <v>0</v>
      </c>
      <c r="N1418" s="132">
        <v>9.1907026909455462E+18</v>
      </c>
    </row>
    <row r="1419" spans="4:14" ht="15" customHeight="1" x14ac:dyDescent="0.2">
      <c r="D1419" s="130" t="b">
        <v>0</v>
      </c>
      <c r="E1419" s="124" t="s">
        <v>96</v>
      </c>
      <c r="F1419" s="125" t="s">
        <v>94</v>
      </c>
      <c r="G1419" s="125">
        <v>3</v>
      </c>
      <c r="H1419" s="123">
        <v>4</v>
      </c>
      <c r="I1419" s="123" t="s">
        <v>92</v>
      </c>
      <c r="J1419" s="123" t="s">
        <v>97</v>
      </c>
      <c r="K1419" s="123" t="s">
        <v>100</v>
      </c>
      <c r="L1419" s="132">
        <v>1339</v>
      </c>
      <c r="M1419" s="132">
        <v>0</v>
      </c>
      <c r="N1419" s="132">
        <v>1.4063578081605226E+19</v>
      </c>
    </row>
    <row r="1420" spans="4:14" ht="15" customHeight="1" x14ac:dyDescent="0.2">
      <c r="D1420" s="130" t="b">
        <v>0</v>
      </c>
      <c r="E1420" s="124" t="s">
        <v>96</v>
      </c>
      <c r="F1420" s="125" t="s">
        <v>94</v>
      </c>
      <c r="G1420" s="125">
        <v>3</v>
      </c>
      <c r="H1420" s="123">
        <v>4</v>
      </c>
      <c r="I1420" s="123" t="s">
        <v>92</v>
      </c>
      <c r="J1420" s="123" t="s">
        <v>91</v>
      </c>
      <c r="K1420" s="123" t="s">
        <v>100</v>
      </c>
      <c r="L1420" s="132">
        <v>1340</v>
      </c>
      <c r="M1420" s="132">
        <v>0</v>
      </c>
      <c r="N1420" s="132">
        <v>1.4598061482171356E+18</v>
      </c>
    </row>
    <row r="1421" spans="4:14" ht="15" customHeight="1" x14ac:dyDescent="0.2">
      <c r="D1421" s="130" t="b">
        <v>0</v>
      </c>
      <c r="E1421" s="124" t="s">
        <v>96</v>
      </c>
      <c r="F1421" s="125" t="s">
        <v>94</v>
      </c>
      <c r="G1421" s="125">
        <v>3</v>
      </c>
      <c r="H1421" s="123" t="s">
        <v>98</v>
      </c>
      <c r="I1421" s="123" t="s">
        <v>95</v>
      </c>
      <c r="J1421" s="123" t="s">
        <v>96</v>
      </c>
      <c r="K1421" s="123" t="s">
        <v>93</v>
      </c>
      <c r="L1421" s="132">
        <v>1341</v>
      </c>
      <c r="M1421" s="132">
        <v>0</v>
      </c>
      <c r="N1421" s="132">
        <v>9.5052660893243023E+18</v>
      </c>
    </row>
    <row r="1422" spans="4:14" ht="15" customHeight="1" x14ac:dyDescent="0.2">
      <c r="D1422" s="130" t="b">
        <v>0</v>
      </c>
      <c r="E1422" s="124" t="s">
        <v>96</v>
      </c>
      <c r="F1422" s="125" t="s">
        <v>94</v>
      </c>
      <c r="G1422" s="125">
        <v>3</v>
      </c>
      <c r="H1422" s="123" t="s">
        <v>98</v>
      </c>
      <c r="I1422" s="123" t="s">
        <v>95</v>
      </c>
      <c r="J1422" s="123" t="s">
        <v>97</v>
      </c>
      <c r="K1422" s="123" t="s">
        <v>93</v>
      </c>
      <c r="L1422" s="132">
        <v>1342</v>
      </c>
      <c r="M1422" s="132">
        <v>0</v>
      </c>
      <c r="N1422" s="132">
        <v>5.6194897859461827E+18</v>
      </c>
    </row>
    <row r="1423" spans="4:14" ht="15" customHeight="1" x14ac:dyDescent="0.2">
      <c r="D1423" s="130" t="b">
        <v>0</v>
      </c>
      <c r="E1423" s="124" t="s">
        <v>96</v>
      </c>
      <c r="F1423" s="125" t="s">
        <v>94</v>
      </c>
      <c r="G1423" s="125">
        <v>3</v>
      </c>
      <c r="H1423" s="123" t="s">
        <v>98</v>
      </c>
      <c r="I1423" s="123" t="s">
        <v>95</v>
      </c>
      <c r="J1423" s="123" t="s">
        <v>91</v>
      </c>
      <c r="K1423" s="123" t="s">
        <v>100</v>
      </c>
      <c r="L1423" s="132">
        <v>1343</v>
      </c>
      <c r="M1423" s="132">
        <v>0</v>
      </c>
      <c r="N1423" s="132">
        <v>1.1481150429310026E+19</v>
      </c>
    </row>
    <row r="1424" spans="4:14" ht="15" customHeight="1" x14ac:dyDescent="0.2">
      <c r="D1424" s="130" t="b">
        <v>0</v>
      </c>
      <c r="E1424" s="124" t="s">
        <v>96</v>
      </c>
      <c r="F1424" s="125" t="s">
        <v>94</v>
      </c>
      <c r="G1424" s="125">
        <v>3</v>
      </c>
      <c r="H1424" s="123" t="s">
        <v>98</v>
      </c>
      <c r="I1424" s="123" t="s">
        <v>97</v>
      </c>
      <c r="J1424" s="123" t="s">
        <v>96</v>
      </c>
      <c r="K1424" s="123" t="s">
        <v>93</v>
      </c>
      <c r="L1424" s="132">
        <v>1344</v>
      </c>
      <c r="M1424" s="132">
        <v>0</v>
      </c>
      <c r="N1424" s="132">
        <v>1.2028323976724539E+19</v>
      </c>
    </row>
    <row r="1425" spans="4:14" ht="15" customHeight="1" x14ac:dyDescent="0.2">
      <c r="D1425" s="130" t="b">
        <v>0</v>
      </c>
      <c r="E1425" s="124" t="s">
        <v>96</v>
      </c>
      <c r="F1425" s="125" t="s">
        <v>94</v>
      </c>
      <c r="G1425" s="125">
        <v>3</v>
      </c>
      <c r="H1425" s="123" t="s">
        <v>98</v>
      </c>
      <c r="I1425" s="123" t="s">
        <v>97</v>
      </c>
      <c r="J1425" s="123" t="s">
        <v>97</v>
      </c>
      <c r="K1425" s="123" t="s">
        <v>100</v>
      </c>
      <c r="L1425" s="132">
        <v>1345</v>
      </c>
      <c r="M1425" s="132">
        <v>0</v>
      </c>
      <c r="N1425" s="132">
        <v>1.2423880575301186E+19</v>
      </c>
    </row>
    <row r="1426" spans="4:14" ht="15" customHeight="1" x14ac:dyDescent="0.2">
      <c r="D1426" s="130" t="b">
        <v>0</v>
      </c>
      <c r="E1426" s="124" t="s">
        <v>96</v>
      </c>
      <c r="F1426" s="125" t="s">
        <v>94</v>
      </c>
      <c r="G1426" s="125">
        <v>3</v>
      </c>
      <c r="H1426" s="123" t="s">
        <v>98</v>
      </c>
      <c r="I1426" s="123" t="s">
        <v>97</v>
      </c>
      <c r="J1426" s="123" t="s">
        <v>91</v>
      </c>
      <c r="K1426" s="123" t="s">
        <v>100</v>
      </c>
      <c r="L1426" s="132">
        <v>1346</v>
      </c>
      <c r="M1426" s="132">
        <v>0</v>
      </c>
      <c r="N1426" s="132">
        <v>3.2158166629276134E+18</v>
      </c>
    </row>
    <row r="1427" spans="4:14" ht="15" customHeight="1" x14ac:dyDescent="0.2">
      <c r="D1427" s="130" t="b">
        <v>0</v>
      </c>
      <c r="E1427" s="124" t="s">
        <v>96</v>
      </c>
      <c r="F1427" s="125" t="s">
        <v>94</v>
      </c>
      <c r="G1427" s="125">
        <v>3</v>
      </c>
      <c r="H1427" s="123" t="s">
        <v>98</v>
      </c>
      <c r="I1427" s="123" t="s">
        <v>92</v>
      </c>
      <c r="J1427" s="123" t="s">
        <v>96</v>
      </c>
      <c r="K1427" s="123" t="s">
        <v>93</v>
      </c>
      <c r="L1427" s="132">
        <v>1347</v>
      </c>
      <c r="M1427" s="132">
        <v>0</v>
      </c>
      <c r="N1427" s="132">
        <v>1.7984349886670809E+19</v>
      </c>
    </row>
    <row r="1428" spans="4:14" ht="15" customHeight="1" x14ac:dyDescent="0.2">
      <c r="D1428" s="130" t="b">
        <v>0</v>
      </c>
      <c r="E1428" s="124" t="s">
        <v>96</v>
      </c>
      <c r="F1428" s="125" t="s">
        <v>94</v>
      </c>
      <c r="G1428" s="125">
        <v>3</v>
      </c>
      <c r="H1428" s="123" t="s">
        <v>98</v>
      </c>
      <c r="I1428" s="123" t="s">
        <v>92</v>
      </c>
      <c r="J1428" s="123" t="s">
        <v>97</v>
      </c>
      <c r="K1428" s="123" t="s">
        <v>100</v>
      </c>
      <c r="L1428" s="132">
        <v>1348</v>
      </c>
      <c r="M1428" s="132">
        <v>0</v>
      </c>
      <c r="N1428" s="132">
        <v>1.1409693316234099E+19</v>
      </c>
    </row>
    <row r="1429" spans="4:14" ht="15" customHeight="1" x14ac:dyDescent="0.2">
      <c r="D1429" s="130" t="b">
        <v>0</v>
      </c>
      <c r="E1429" s="124" t="s">
        <v>96</v>
      </c>
      <c r="F1429" s="125" t="s">
        <v>94</v>
      </c>
      <c r="G1429" s="125">
        <v>3</v>
      </c>
      <c r="H1429" s="123" t="s">
        <v>98</v>
      </c>
      <c r="I1429" s="123" t="s">
        <v>92</v>
      </c>
      <c r="J1429" s="123" t="s">
        <v>91</v>
      </c>
      <c r="K1429" s="123" t="s">
        <v>100</v>
      </c>
      <c r="L1429" s="132">
        <v>1349</v>
      </c>
      <c r="M1429" s="132">
        <v>0</v>
      </c>
      <c r="N1429" s="132">
        <v>3.1027317833505638E+18</v>
      </c>
    </row>
    <row r="1430" spans="4:14" ht="15" customHeight="1" x14ac:dyDescent="0.2">
      <c r="D1430" s="130" t="b">
        <v>0</v>
      </c>
      <c r="E1430" s="124" t="s">
        <v>96</v>
      </c>
      <c r="F1430" s="125" t="s">
        <v>94</v>
      </c>
      <c r="G1430" s="125">
        <v>4</v>
      </c>
      <c r="H1430" s="123">
        <v>2</v>
      </c>
      <c r="I1430" s="123" t="s">
        <v>95</v>
      </c>
      <c r="J1430" s="123" t="s">
        <v>96</v>
      </c>
      <c r="K1430" s="123" t="s">
        <v>93</v>
      </c>
      <c r="L1430" s="132">
        <v>1350</v>
      </c>
      <c r="M1430" s="132">
        <v>0</v>
      </c>
      <c r="N1430" s="132">
        <v>7.8865184694416691E+18</v>
      </c>
    </row>
    <row r="1431" spans="4:14" ht="15" customHeight="1" x14ac:dyDescent="0.2">
      <c r="D1431" s="130" t="b">
        <v>0</v>
      </c>
      <c r="E1431" s="124" t="s">
        <v>96</v>
      </c>
      <c r="F1431" s="125" t="s">
        <v>94</v>
      </c>
      <c r="G1431" s="125">
        <v>4</v>
      </c>
      <c r="H1431" s="123">
        <v>2</v>
      </c>
      <c r="I1431" s="123" t="s">
        <v>95</v>
      </c>
      <c r="J1431" s="123" t="s">
        <v>97</v>
      </c>
      <c r="K1431" s="123" t="s">
        <v>93</v>
      </c>
      <c r="L1431" s="132">
        <v>1351</v>
      </c>
      <c r="M1431" s="132">
        <v>0</v>
      </c>
      <c r="N1431" s="132">
        <v>3.8308939744939712E+17</v>
      </c>
    </row>
    <row r="1432" spans="4:14" ht="15" customHeight="1" x14ac:dyDescent="0.2">
      <c r="D1432" s="130" t="b">
        <v>0</v>
      </c>
      <c r="E1432" s="124" t="s">
        <v>96</v>
      </c>
      <c r="F1432" s="125" t="s">
        <v>94</v>
      </c>
      <c r="G1432" s="125">
        <v>4</v>
      </c>
      <c r="H1432" s="123">
        <v>2</v>
      </c>
      <c r="I1432" s="123" t="s">
        <v>95</v>
      </c>
      <c r="J1432" s="123" t="s">
        <v>91</v>
      </c>
      <c r="K1432" s="123" t="s">
        <v>93</v>
      </c>
      <c r="L1432" s="132">
        <v>1352</v>
      </c>
      <c r="M1432" s="132">
        <v>0</v>
      </c>
      <c r="N1432" s="132">
        <v>1.8332535638537609E+19</v>
      </c>
    </row>
    <row r="1433" spans="4:14" ht="15" customHeight="1" x14ac:dyDescent="0.2">
      <c r="D1433" s="130" t="b">
        <v>0</v>
      </c>
      <c r="E1433" s="124" t="s">
        <v>96</v>
      </c>
      <c r="F1433" s="125" t="s">
        <v>94</v>
      </c>
      <c r="G1433" s="125">
        <v>4</v>
      </c>
      <c r="H1433" s="123">
        <v>2</v>
      </c>
      <c r="I1433" s="123" t="s">
        <v>97</v>
      </c>
      <c r="J1433" s="123" t="s">
        <v>96</v>
      </c>
      <c r="K1433" s="123" t="s">
        <v>93</v>
      </c>
      <c r="L1433" s="132">
        <v>1353</v>
      </c>
      <c r="M1433" s="132">
        <v>0</v>
      </c>
      <c r="N1433" s="132">
        <v>1.3830927903779975E+19</v>
      </c>
    </row>
    <row r="1434" spans="4:14" ht="15" customHeight="1" x14ac:dyDescent="0.2">
      <c r="D1434" s="130" t="b">
        <v>0</v>
      </c>
      <c r="E1434" s="124" t="s">
        <v>96</v>
      </c>
      <c r="F1434" s="125" t="s">
        <v>94</v>
      </c>
      <c r="G1434" s="125">
        <v>4</v>
      </c>
      <c r="H1434" s="123">
        <v>2</v>
      </c>
      <c r="I1434" s="123" t="s">
        <v>97</v>
      </c>
      <c r="J1434" s="123" t="s">
        <v>97</v>
      </c>
      <c r="K1434" s="123" t="s">
        <v>93</v>
      </c>
      <c r="L1434" s="132">
        <v>1354</v>
      </c>
      <c r="M1434" s="132">
        <v>0</v>
      </c>
      <c r="N1434" s="132">
        <v>1.5097277276769933E+19</v>
      </c>
    </row>
    <row r="1435" spans="4:14" ht="15" customHeight="1" x14ac:dyDescent="0.2">
      <c r="D1435" s="130" t="b">
        <v>0</v>
      </c>
      <c r="E1435" s="124" t="s">
        <v>96</v>
      </c>
      <c r="F1435" s="125" t="s">
        <v>94</v>
      </c>
      <c r="G1435" s="125">
        <v>4</v>
      </c>
      <c r="H1435" s="123">
        <v>2</v>
      </c>
      <c r="I1435" s="123" t="s">
        <v>97</v>
      </c>
      <c r="J1435" s="123" t="s">
        <v>91</v>
      </c>
      <c r="K1435" s="123" t="s">
        <v>93</v>
      </c>
      <c r="L1435" s="132">
        <v>1355</v>
      </c>
      <c r="M1435" s="132">
        <v>0</v>
      </c>
      <c r="N1435" s="132">
        <v>1.7495805549199225E+19</v>
      </c>
    </row>
    <row r="1436" spans="4:14" ht="15" customHeight="1" x14ac:dyDescent="0.2">
      <c r="D1436" s="130" t="b">
        <v>0</v>
      </c>
      <c r="E1436" s="124" t="s">
        <v>96</v>
      </c>
      <c r="F1436" s="125" t="s">
        <v>94</v>
      </c>
      <c r="G1436" s="125">
        <v>4</v>
      </c>
      <c r="H1436" s="123">
        <v>2</v>
      </c>
      <c r="I1436" s="123" t="s">
        <v>92</v>
      </c>
      <c r="J1436" s="123" t="s">
        <v>96</v>
      </c>
      <c r="K1436" s="123" t="s">
        <v>93</v>
      </c>
      <c r="L1436" s="132">
        <v>1356</v>
      </c>
      <c r="M1436" s="132">
        <v>0</v>
      </c>
      <c r="N1436" s="132">
        <v>8.1523561855302564E+18</v>
      </c>
    </row>
    <row r="1437" spans="4:14" ht="15" customHeight="1" x14ac:dyDescent="0.2">
      <c r="D1437" s="130" t="b">
        <v>0</v>
      </c>
      <c r="E1437" s="124" t="s">
        <v>96</v>
      </c>
      <c r="F1437" s="125" t="s">
        <v>94</v>
      </c>
      <c r="G1437" s="125">
        <v>4</v>
      </c>
      <c r="H1437" s="123">
        <v>2</v>
      </c>
      <c r="I1437" s="123" t="s">
        <v>92</v>
      </c>
      <c r="J1437" s="123" t="s">
        <v>97</v>
      </c>
      <c r="K1437" s="123" t="s">
        <v>93</v>
      </c>
      <c r="L1437" s="132">
        <v>1357</v>
      </c>
      <c r="M1437" s="132">
        <v>0</v>
      </c>
      <c r="N1437" s="132">
        <v>6.215487775145899E+18</v>
      </c>
    </row>
    <row r="1438" spans="4:14" ht="15" customHeight="1" x14ac:dyDescent="0.2">
      <c r="D1438" s="130" t="b">
        <v>0</v>
      </c>
      <c r="E1438" s="124" t="s">
        <v>96</v>
      </c>
      <c r="F1438" s="125" t="s">
        <v>94</v>
      </c>
      <c r="G1438" s="125">
        <v>4</v>
      </c>
      <c r="H1438" s="123">
        <v>2</v>
      </c>
      <c r="I1438" s="123" t="s">
        <v>92</v>
      </c>
      <c r="J1438" s="123" t="s">
        <v>91</v>
      </c>
      <c r="K1438" s="123" t="s">
        <v>93</v>
      </c>
      <c r="L1438" s="132">
        <v>1358</v>
      </c>
      <c r="M1438" s="132">
        <v>0</v>
      </c>
      <c r="N1438" s="132">
        <v>1.2628107422616848E+19</v>
      </c>
    </row>
    <row r="1439" spans="4:14" ht="15" customHeight="1" x14ac:dyDescent="0.2">
      <c r="D1439" s="130" t="b">
        <v>0</v>
      </c>
      <c r="E1439" s="124" t="s">
        <v>96</v>
      </c>
      <c r="F1439" s="125" t="s">
        <v>94</v>
      </c>
      <c r="G1439" s="125">
        <v>4</v>
      </c>
      <c r="H1439" s="123">
        <v>4</v>
      </c>
      <c r="I1439" s="123" t="s">
        <v>95</v>
      </c>
      <c r="J1439" s="123" t="s">
        <v>96</v>
      </c>
      <c r="K1439" s="123" t="s">
        <v>93</v>
      </c>
      <c r="L1439" s="132">
        <v>1359</v>
      </c>
      <c r="M1439" s="132">
        <v>0</v>
      </c>
      <c r="N1439" s="132">
        <v>1.6564747897027584E+19</v>
      </c>
    </row>
    <row r="1440" spans="4:14" ht="15" customHeight="1" x14ac:dyDescent="0.2">
      <c r="D1440" s="130" t="b">
        <v>0</v>
      </c>
      <c r="E1440" s="124" t="s">
        <v>96</v>
      </c>
      <c r="F1440" s="125" t="s">
        <v>94</v>
      </c>
      <c r="G1440" s="125">
        <v>4</v>
      </c>
      <c r="H1440" s="123">
        <v>4</v>
      </c>
      <c r="I1440" s="123" t="s">
        <v>95</v>
      </c>
      <c r="J1440" s="123" t="s">
        <v>97</v>
      </c>
      <c r="K1440" s="123" t="s">
        <v>93</v>
      </c>
      <c r="L1440" s="132">
        <v>1360</v>
      </c>
      <c r="M1440" s="132">
        <v>0</v>
      </c>
      <c r="N1440" s="132">
        <v>3.0720541682585933E+18</v>
      </c>
    </row>
    <row r="1441" spans="4:14" ht="15" customHeight="1" x14ac:dyDescent="0.2">
      <c r="D1441" s="130" t="b">
        <v>0</v>
      </c>
      <c r="E1441" s="124" t="s">
        <v>96</v>
      </c>
      <c r="F1441" s="125" t="s">
        <v>94</v>
      </c>
      <c r="G1441" s="125">
        <v>4</v>
      </c>
      <c r="H1441" s="123">
        <v>4</v>
      </c>
      <c r="I1441" s="123" t="s">
        <v>95</v>
      </c>
      <c r="J1441" s="123" t="s">
        <v>91</v>
      </c>
      <c r="K1441" s="123" t="s">
        <v>100</v>
      </c>
      <c r="L1441" s="132">
        <v>1361</v>
      </c>
      <c r="M1441" s="132">
        <v>0</v>
      </c>
      <c r="N1441" s="132">
        <v>1.4037845114333161E+19</v>
      </c>
    </row>
    <row r="1442" spans="4:14" ht="15" customHeight="1" x14ac:dyDescent="0.2">
      <c r="D1442" s="130" t="b">
        <v>0</v>
      </c>
      <c r="E1442" s="124" t="s">
        <v>96</v>
      </c>
      <c r="F1442" s="125" t="s">
        <v>94</v>
      </c>
      <c r="G1442" s="125">
        <v>4</v>
      </c>
      <c r="H1442" s="123">
        <v>4</v>
      </c>
      <c r="I1442" s="123" t="s">
        <v>97</v>
      </c>
      <c r="J1442" s="123" t="s">
        <v>96</v>
      </c>
      <c r="K1442" s="123" t="s">
        <v>93</v>
      </c>
      <c r="L1442" s="132">
        <v>1362</v>
      </c>
      <c r="M1442" s="132">
        <v>0</v>
      </c>
      <c r="N1442" s="132">
        <v>1.7530982365573513E+19</v>
      </c>
    </row>
    <row r="1443" spans="4:14" ht="15" customHeight="1" x14ac:dyDescent="0.2">
      <c r="D1443" s="130" t="b">
        <v>0</v>
      </c>
      <c r="E1443" s="124" t="s">
        <v>96</v>
      </c>
      <c r="F1443" s="125" t="s">
        <v>94</v>
      </c>
      <c r="G1443" s="125">
        <v>4</v>
      </c>
      <c r="H1443" s="123">
        <v>4</v>
      </c>
      <c r="I1443" s="123" t="s">
        <v>97</v>
      </c>
      <c r="J1443" s="123" t="s">
        <v>97</v>
      </c>
      <c r="K1443" s="123" t="s">
        <v>100</v>
      </c>
      <c r="L1443" s="132">
        <v>1363</v>
      </c>
      <c r="M1443" s="132">
        <v>0</v>
      </c>
      <c r="N1443" s="132">
        <v>1.3738174166702842E+19</v>
      </c>
    </row>
    <row r="1444" spans="4:14" ht="15" customHeight="1" x14ac:dyDescent="0.2">
      <c r="D1444" s="130" t="b">
        <v>0</v>
      </c>
      <c r="E1444" s="124" t="s">
        <v>96</v>
      </c>
      <c r="F1444" s="125" t="s">
        <v>94</v>
      </c>
      <c r="G1444" s="125">
        <v>4</v>
      </c>
      <c r="H1444" s="123">
        <v>4</v>
      </c>
      <c r="I1444" s="123" t="s">
        <v>97</v>
      </c>
      <c r="J1444" s="123" t="s">
        <v>91</v>
      </c>
      <c r="K1444" s="123" t="s">
        <v>100</v>
      </c>
      <c r="L1444" s="132">
        <v>1364</v>
      </c>
      <c r="M1444" s="132">
        <v>0</v>
      </c>
      <c r="N1444" s="132">
        <v>1.0067552545004151E+19</v>
      </c>
    </row>
    <row r="1445" spans="4:14" ht="15" customHeight="1" x14ac:dyDescent="0.2">
      <c r="D1445" s="130" t="b">
        <v>0</v>
      </c>
      <c r="E1445" s="124" t="s">
        <v>96</v>
      </c>
      <c r="F1445" s="125" t="s">
        <v>94</v>
      </c>
      <c r="G1445" s="125">
        <v>4</v>
      </c>
      <c r="H1445" s="123">
        <v>4</v>
      </c>
      <c r="I1445" s="123" t="s">
        <v>92</v>
      </c>
      <c r="J1445" s="123" t="s">
        <v>96</v>
      </c>
      <c r="K1445" s="123" t="s">
        <v>93</v>
      </c>
      <c r="L1445" s="132">
        <v>1365</v>
      </c>
      <c r="M1445" s="132">
        <v>0</v>
      </c>
      <c r="N1445" s="132">
        <v>5.2778678743544883E+18</v>
      </c>
    </row>
    <row r="1446" spans="4:14" ht="15" customHeight="1" x14ac:dyDescent="0.2">
      <c r="D1446" s="130" t="b">
        <v>0</v>
      </c>
      <c r="E1446" s="124" t="s">
        <v>96</v>
      </c>
      <c r="F1446" s="125" t="s">
        <v>94</v>
      </c>
      <c r="G1446" s="125">
        <v>4</v>
      </c>
      <c r="H1446" s="123">
        <v>4</v>
      </c>
      <c r="I1446" s="123" t="s">
        <v>92</v>
      </c>
      <c r="J1446" s="123" t="s">
        <v>97</v>
      </c>
      <c r="K1446" s="123" t="s">
        <v>100</v>
      </c>
      <c r="L1446" s="132">
        <v>1366</v>
      </c>
      <c r="M1446" s="132">
        <v>0</v>
      </c>
      <c r="N1446" s="132">
        <v>5.5199539526893486E+18</v>
      </c>
    </row>
    <row r="1447" spans="4:14" ht="15" customHeight="1" x14ac:dyDescent="0.2">
      <c r="D1447" s="130" t="b">
        <v>0</v>
      </c>
      <c r="E1447" s="124" t="s">
        <v>96</v>
      </c>
      <c r="F1447" s="125" t="s">
        <v>94</v>
      </c>
      <c r="G1447" s="125">
        <v>4</v>
      </c>
      <c r="H1447" s="123">
        <v>4</v>
      </c>
      <c r="I1447" s="123" t="s">
        <v>92</v>
      </c>
      <c r="J1447" s="123" t="s">
        <v>91</v>
      </c>
      <c r="K1447" s="123" t="s">
        <v>100</v>
      </c>
      <c r="L1447" s="132">
        <v>1367</v>
      </c>
      <c r="M1447" s="132">
        <v>0</v>
      </c>
      <c r="N1447" s="132">
        <v>5.7559023801375877E+18</v>
      </c>
    </row>
    <row r="1448" spans="4:14" ht="15" customHeight="1" x14ac:dyDescent="0.2">
      <c r="D1448" s="130" t="b">
        <v>0</v>
      </c>
      <c r="E1448" s="124" t="s">
        <v>96</v>
      </c>
      <c r="F1448" s="125" t="s">
        <v>94</v>
      </c>
      <c r="G1448" s="125">
        <v>4</v>
      </c>
      <c r="H1448" s="123" t="s">
        <v>98</v>
      </c>
      <c r="I1448" s="123" t="s">
        <v>95</v>
      </c>
      <c r="J1448" s="123" t="s">
        <v>96</v>
      </c>
      <c r="K1448" s="123" t="s">
        <v>93</v>
      </c>
      <c r="L1448" s="132">
        <v>1368</v>
      </c>
      <c r="M1448" s="132">
        <v>0</v>
      </c>
      <c r="N1448" s="132">
        <v>1.6649793282264338E+19</v>
      </c>
    </row>
    <row r="1449" spans="4:14" ht="15" customHeight="1" x14ac:dyDescent="0.2">
      <c r="D1449" s="130" t="b">
        <v>0</v>
      </c>
      <c r="E1449" s="124" t="s">
        <v>96</v>
      </c>
      <c r="F1449" s="125" t="s">
        <v>94</v>
      </c>
      <c r="G1449" s="125">
        <v>4</v>
      </c>
      <c r="H1449" s="123" t="s">
        <v>98</v>
      </c>
      <c r="I1449" s="123" t="s">
        <v>95</v>
      </c>
      <c r="J1449" s="123" t="s">
        <v>97</v>
      </c>
      <c r="K1449" s="123" t="s">
        <v>93</v>
      </c>
      <c r="L1449" s="132">
        <v>1369</v>
      </c>
      <c r="M1449" s="132">
        <v>0</v>
      </c>
      <c r="N1449" s="132">
        <v>1.1951850982408761E+19</v>
      </c>
    </row>
    <row r="1450" spans="4:14" ht="15" customHeight="1" x14ac:dyDescent="0.2">
      <c r="D1450" s="130" t="b">
        <v>0</v>
      </c>
      <c r="E1450" s="124" t="s">
        <v>96</v>
      </c>
      <c r="F1450" s="125" t="s">
        <v>94</v>
      </c>
      <c r="G1450" s="125">
        <v>4</v>
      </c>
      <c r="H1450" s="123" t="s">
        <v>98</v>
      </c>
      <c r="I1450" s="123" t="s">
        <v>95</v>
      </c>
      <c r="J1450" s="123" t="s">
        <v>91</v>
      </c>
      <c r="K1450" s="123" t="s">
        <v>100</v>
      </c>
      <c r="L1450" s="132">
        <v>1370</v>
      </c>
      <c r="M1450" s="132">
        <v>0</v>
      </c>
      <c r="N1450" s="132">
        <v>1.1128049656112331E+19</v>
      </c>
    </row>
    <row r="1451" spans="4:14" ht="15" customHeight="1" x14ac:dyDescent="0.2">
      <c r="D1451" s="130" t="b">
        <v>0</v>
      </c>
      <c r="E1451" s="124" t="s">
        <v>96</v>
      </c>
      <c r="F1451" s="125" t="s">
        <v>94</v>
      </c>
      <c r="G1451" s="125">
        <v>4</v>
      </c>
      <c r="H1451" s="123" t="s">
        <v>98</v>
      </c>
      <c r="I1451" s="123" t="s">
        <v>97</v>
      </c>
      <c r="J1451" s="123" t="s">
        <v>96</v>
      </c>
      <c r="K1451" s="123" t="s">
        <v>93</v>
      </c>
      <c r="L1451" s="132">
        <v>1371</v>
      </c>
      <c r="M1451" s="132">
        <v>0</v>
      </c>
      <c r="N1451" s="132">
        <v>1.1747957659544901E+18</v>
      </c>
    </row>
    <row r="1452" spans="4:14" ht="15" customHeight="1" x14ac:dyDescent="0.2">
      <c r="D1452" s="130" t="b">
        <v>0</v>
      </c>
      <c r="E1452" s="124" t="s">
        <v>96</v>
      </c>
      <c r="F1452" s="125" t="s">
        <v>94</v>
      </c>
      <c r="G1452" s="125">
        <v>4</v>
      </c>
      <c r="H1452" s="123" t="s">
        <v>98</v>
      </c>
      <c r="I1452" s="123" t="s">
        <v>97</v>
      </c>
      <c r="J1452" s="123" t="s">
        <v>97</v>
      </c>
      <c r="K1452" s="123" t="s">
        <v>100</v>
      </c>
      <c r="L1452" s="132">
        <v>1372</v>
      </c>
      <c r="M1452" s="132">
        <v>0</v>
      </c>
      <c r="N1452" s="132">
        <v>1.2615786163696435E+19</v>
      </c>
    </row>
    <row r="1453" spans="4:14" ht="15" customHeight="1" x14ac:dyDescent="0.2">
      <c r="D1453" s="130" t="b">
        <v>0</v>
      </c>
      <c r="E1453" s="124" t="s">
        <v>96</v>
      </c>
      <c r="F1453" s="125" t="s">
        <v>94</v>
      </c>
      <c r="G1453" s="125">
        <v>4</v>
      </c>
      <c r="H1453" s="123" t="s">
        <v>98</v>
      </c>
      <c r="I1453" s="123" t="s">
        <v>97</v>
      </c>
      <c r="J1453" s="123" t="s">
        <v>91</v>
      </c>
      <c r="K1453" s="123" t="s">
        <v>100</v>
      </c>
      <c r="L1453" s="132">
        <v>1373</v>
      </c>
      <c r="M1453" s="132">
        <v>0</v>
      </c>
      <c r="N1453" s="132">
        <v>1.130620450090795E+19</v>
      </c>
    </row>
    <row r="1454" spans="4:14" ht="15" customHeight="1" x14ac:dyDescent="0.2">
      <c r="D1454" s="130" t="b">
        <v>0</v>
      </c>
      <c r="E1454" s="124" t="s">
        <v>96</v>
      </c>
      <c r="F1454" s="125" t="s">
        <v>94</v>
      </c>
      <c r="G1454" s="125">
        <v>4</v>
      </c>
      <c r="H1454" s="123" t="s">
        <v>98</v>
      </c>
      <c r="I1454" s="123" t="s">
        <v>92</v>
      </c>
      <c r="J1454" s="123" t="s">
        <v>96</v>
      </c>
      <c r="K1454" s="123" t="s">
        <v>93</v>
      </c>
      <c r="L1454" s="132">
        <v>1374</v>
      </c>
      <c r="M1454" s="132">
        <v>0</v>
      </c>
      <c r="N1454" s="132">
        <v>1.40305356666751E+19</v>
      </c>
    </row>
    <row r="1455" spans="4:14" ht="15" customHeight="1" x14ac:dyDescent="0.2">
      <c r="D1455" s="130" t="b">
        <v>0</v>
      </c>
      <c r="E1455" s="124" t="s">
        <v>96</v>
      </c>
      <c r="F1455" s="125" t="s">
        <v>94</v>
      </c>
      <c r="G1455" s="125">
        <v>4</v>
      </c>
      <c r="H1455" s="123" t="s">
        <v>98</v>
      </c>
      <c r="I1455" s="123" t="s">
        <v>92</v>
      </c>
      <c r="J1455" s="123" t="s">
        <v>97</v>
      </c>
      <c r="K1455" s="123" t="s">
        <v>100</v>
      </c>
      <c r="L1455" s="132">
        <v>1375</v>
      </c>
      <c r="M1455" s="132">
        <v>0</v>
      </c>
      <c r="N1455" s="132">
        <v>1.5861577071624186E+19</v>
      </c>
    </row>
    <row r="1456" spans="4:14" ht="15" customHeight="1" x14ac:dyDescent="0.2">
      <c r="D1456" s="130" t="b">
        <v>0</v>
      </c>
      <c r="E1456" s="124" t="s">
        <v>96</v>
      </c>
      <c r="F1456" s="125" t="s">
        <v>94</v>
      </c>
      <c r="G1456" s="125">
        <v>4</v>
      </c>
      <c r="H1456" s="123" t="s">
        <v>98</v>
      </c>
      <c r="I1456" s="123" t="s">
        <v>92</v>
      </c>
      <c r="J1456" s="123" t="s">
        <v>91</v>
      </c>
      <c r="K1456" s="123" t="s">
        <v>100</v>
      </c>
      <c r="L1456" s="132">
        <v>1376</v>
      </c>
      <c r="M1456" s="132">
        <v>0</v>
      </c>
      <c r="N1456" s="132">
        <v>7.6441433350892677E+18</v>
      </c>
    </row>
    <row r="1457" spans="4:14" ht="15" customHeight="1" x14ac:dyDescent="0.2">
      <c r="D1457" s="130" t="b">
        <v>0</v>
      </c>
      <c r="E1457" s="124" t="s">
        <v>96</v>
      </c>
      <c r="F1457" s="125" t="s">
        <v>94</v>
      </c>
      <c r="G1457" s="125" t="s">
        <v>99</v>
      </c>
      <c r="H1457" s="123">
        <v>2</v>
      </c>
      <c r="I1457" s="123" t="s">
        <v>95</v>
      </c>
      <c r="J1457" s="123" t="s">
        <v>96</v>
      </c>
      <c r="K1457" s="123" t="s">
        <v>93</v>
      </c>
      <c r="L1457" s="132">
        <v>1377</v>
      </c>
      <c r="M1457" s="132">
        <v>0</v>
      </c>
      <c r="N1457" s="132">
        <v>7.3376564728502774E+18</v>
      </c>
    </row>
    <row r="1458" spans="4:14" ht="15" customHeight="1" x14ac:dyDescent="0.2">
      <c r="D1458" s="130" t="b">
        <v>0</v>
      </c>
      <c r="E1458" s="124" t="s">
        <v>96</v>
      </c>
      <c r="F1458" s="125" t="s">
        <v>94</v>
      </c>
      <c r="G1458" s="125" t="s">
        <v>99</v>
      </c>
      <c r="H1458" s="123">
        <v>2</v>
      </c>
      <c r="I1458" s="123" t="s">
        <v>95</v>
      </c>
      <c r="J1458" s="123" t="s">
        <v>97</v>
      </c>
      <c r="K1458" s="123" t="s">
        <v>93</v>
      </c>
      <c r="L1458" s="132">
        <v>1378</v>
      </c>
      <c r="M1458" s="132">
        <v>0</v>
      </c>
      <c r="N1458" s="132">
        <v>1.834536855296164E+19</v>
      </c>
    </row>
    <row r="1459" spans="4:14" ht="15" customHeight="1" x14ac:dyDescent="0.2">
      <c r="D1459" s="130" t="b">
        <v>0</v>
      </c>
      <c r="E1459" s="124" t="s">
        <v>96</v>
      </c>
      <c r="F1459" s="125" t="s">
        <v>94</v>
      </c>
      <c r="G1459" s="125" t="s">
        <v>99</v>
      </c>
      <c r="H1459" s="123">
        <v>2</v>
      </c>
      <c r="I1459" s="123" t="s">
        <v>95</v>
      </c>
      <c r="J1459" s="123" t="s">
        <v>91</v>
      </c>
      <c r="K1459" s="123" t="s">
        <v>93</v>
      </c>
      <c r="L1459" s="132">
        <v>1379</v>
      </c>
      <c r="M1459" s="132">
        <v>0</v>
      </c>
      <c r="N1459" s="132">
        <v>1.1384515012388551E+19</v>
      </c>
    </row>
    <row r="1460" spans="4:14" ht="15" customHeight="1" x14ac:dyDescent="0.2">
      <c r="D1460" s="130" t="b">
        <v>0</v>
      </c>
      <c r="E1460" s="124" t="s">
        <v>96</v>
      </c>
      <c r="F1460" s="125" t="s">
        <v>94</v>
      </c>
      <c r="G1460" s="125" t="s">
        <v>99</v>
      </c>
      <c r="H1460" s="123">
        <v>2</v>
      </c>
      <c r="I1460" s="123" t="s">
        <v>97</v>
      </c>
      <c r="J1460" s="123" t="s">
        <v>96</v>
      </c>
      <c r="K1460" s="123" t="s">
        <v>93</v>
      </c>
      <c r="L1460" s="132">
        <v>1380</v>
      </c>
      <c r="M1460" s="132">
        <v>0</v>
      </c>
      <c r="N1460" s="132">
        <v>1.3590233711566881E+19</v>
      </c>
    </row>
    <row r="1461" spans="4:14" ht="15" customHeight="1" x14ac:dyDescent="0.2">
      <c r="D1461" s="130" t="b">
        <v>0</v>
      </c>
      <c r="E1461" s="124" t="s">
        <v>96</v>
      </c>
      <c r="F1461" s="125" t="s">
        <v>94</v>
      </c>
      <c r="G1461" s="125" t="s">
        <v>99</v>
      </c>
      <c r="H1461" s="123">
        <v>2</v>
      </c>
      <c r="I1461" s="123" t="s">
        <v>97</v>
      </c>
      <c r="J1461" s="123" t="s">
        <v>97</v>
      </c>
      <c r="K1461" s="123" t="s">
        <v>93</v>
      </c>
      <c r="L1461" s="132">
        <v>1381</v>
      </c>
      <c r="M1461" s="132">
        <v>0</v>
      </c>
      <c r="N1461" s="132">
        <v>9.6798568890905764E+18</v>
      </c>
    </row>
    <row r="1462" spans="4:14" ht="15" customHeight="1" x14ac:dyDescent="0.2">
      <c r="D1462" s="130" t="b">
        <v>0</v>
      </c>
      <c r="E1462" s="124" t="s">
        <v>96</v>
      </c>
      <c r="F1462" s="125" t="s">
        <v>94</v>
      </c>
      <c r="G1462" s="125" t="s">
        <v>99</v>
      </c>
      <c r="H1462" s="123">
        <v>2</v>
      </c>
      <c r="I1462" s="123" t="s">
        <v>97</v>
      </c>
      <c r="J1462" s="123" t="s">
        <v>91</v>
      </c>
      <c r="K1462" s="123" t="s">
        <v>93</v>
      </c>
      <c r="L1462" s="132">
        <v>1382</v>
      </c>
      <c r="M1462" s="132">
        <v>0</v>
      </c>
      <c r="N1462" s="132">
        <v>1.5788048186583402E+19</v>
      </c>
    </row>
    <row r="1463" spans="4:14" ht="15" customHeight="1" x14ac:dyDescent="0.2">
      <c r="D1463" s="130" t="b">
        <v>0</v>
      </c>
      <c r="E1463" s="124" t="s">
        <v>96</v>
      </c>
      <c r="F1463" s="125" t="s">
        <v>94</v>
      </c>
      <c r="G1463" s="125" t="s">
        <v>99</v>
      </c>
      <c r="H1463" s="123">
        <v>2</v>
      </c>
      <c r="I1463" s="123" t="s">
        <v>92</v>
      </c>
      <c r="J1463" s="123" t="s">
        <v>96</v>
      </c>
      <c r="K1463" s="123" t="s">
        <v>93</v>
      </c>
      <c r="L1463" s="132">
        <v>1383</v>
      </c>
      <c r="M1463" s="132">
        <v>0</v>
      </c>
      <c r="N1463" s="132">
        <v>5.445235862180396E+18</v>
      </c>
    </row>
    <row r="1464" spans="4:14" ht="15" customHeight="1" x14ac:dyDescent="0.2">
      <c r="D1464" s="130" t="b">
        <v>0</v>
      </c>
      <c r="E1464" s="124" t="s">
        <v>96</v>
      </c>
      <c r="F1464" s="125" t="s">
        <v>94</v>
      </c>
      <c r="G1464" s="125" t="s">
        <v>99</v>
      </c>
      <c r="H1464" s="123">
        <v>2</v>
      </c>
      <c r="I1464" s="123" t="s">
        <v>92</v>
      </c>
      <c r="J1464" s="123" t="s">
        <v>97</v>
      </c>
      <c r="K1464" s="123" t="s">
        <v>93</v>
      </c>
      <c r="L1464" s="132">
        <v>1384</v>
      </c>
      <c r="M1464" s="132">
        <v>0</v>
      </c>
      <c r="N1464" s="132">
        <v>1.5939062027130434E+19</v>
      </c>
    </row>
    <row r="1465" spans="4:14" ht="15" customHeight="1" x14ac:dyDescent="0.2">
      <c r="D1465" s="130" t="b">
        <v>0</v>
      </c>
      <c r="E1465" s="124" t="s">
        <v>96</v>
      </c>
      <c r="F1465" s="125" t="s">
        <v>94</v>
      </c>
      <c r="G1465" s="125" t="s">
        <v>99</v>
      </c>
      <c r="H1465" s="123">
        <v>2</v>
      </c>
      <c r="I1465" s="123" t="s">
        <v>92</v>
      </c>
      <c r="J1465" s="123" t="s">
        <v>91</v>
      </c>
      <c r="K1465" s="123" t="s">
        <v>93</v>
      </c>
      <c r="L1465" s="132">
        <v>1385</v>
      </c>
      <c r="M1465" s="132">
        <v>0</v>
      </c>
      <c r="N1465" s="132">
        <v>2.9088889273998822E+18</v>
      </c>
    </row>
    <row r="1466" spans="4:14" ht="15" customHeight="1" x14ac:dyDescent="0.2">
      <c r="D1466" s="130" t="b">
        <v>0</v>
      </c>
      <c r="E1466" s="124" t="s">
        <v>96</v>
      </c>
      <c r="F1466" s="125" t="s">
        <v>94</v>
      </c>
      <c r="G1466" s="125" t="s">
        <v>99</v>
      </c>
      <c r="H1466" s="123">
        <v>4</v>
      </c>
      <c r="I1466" s="123" t="s">
        <v>95</v>
      </c>
      <c r="J1466" s="123" t="s">
        <v>96</v>
      </c>
      <c r="K1466" s="123" t="s">
        <v>93</v>
      </c>
      <c r="L1466" s="132">
        <v>1386</v>
      </c>
      <c r="M1466" s="132">
        <v>0</v>
      </c>
      <c r="N1466" s="132">
        <v>6.2892256797310792E+18</v>
      </c>
    </row>
    <row r="1467" spans="4:14" ht="15" customHeight="1" x14ac:dyDescent="0.2">
      <c r="D1467" s="130" t="b">
        <v>0</v>
      </c>
      <c r="E1467" s="124" t="s">
        <v>96</v>
      </c>
      <c r="F1467" s="125" t="s">
        <v>94</v>
      </c>
      <c r="G1467" s="125" t="s">
        <v>99</v>
      </c>
      <c r="H1467" s="123">
        <v>4</v>
      </c>
      <c r="I1467" s="123" t="s">
        <v>95</v>
      </c>
      <c r="J1467" s="123" t="s">
        <v>97</v>
      </c>
      <c r="K1467" s="123" t="s">
        <v>93</v>
      </c>
      <c r="L1467" s="132">
        <v>1387</v>
      </c>
      <c r="M1467" s="132">
        <v>0</v>
      </c>
      <c r="N1467" s="132">
        <v>1.2189016366322498E+19</v>
      </c>
    </row>
    <row r="1468" spans="4:14" ht="15" customHeight="1" x14ac:dyDescent="0.2">
      <c r="D1468" s="130" t="b">
        <v>0</v>
      </c>
      <c r="E1468" s="124" t="s">
        <v>96</v>
      </c>
      <c r="F1468" s="125" t="s">
        <v>94</v>
      </c>
      <c r="G1468" s="125" t="s">
        <v>99</v>
      </c>
      <c r="H1468" s="123">
        <v>4</v>
      </c>
      <c r="I1468" s="123" t="s">
        <v>95</v>
      </c>
      <c r="J1468" s="123" t="s">
        <v>91</v>
      </c>
      <c r="K1468" s="123" t="s">
        <v>100</v>
      </c>
      <c r="L1468" s="132">
        <v>1388</v>
      </c>
      <c r="M1468" s="132">
        <v>0</v>
      </c>
      <c r="N1468" s="132">
        <v>3.374263428684693E+18</v>
      </c>
    </row>
    <row r="1469" spans="4:14" ht="15" customHeight="1" x14ac:dyDescent="0.2">
      <c r="D1469" s="130" t="b">
        <v>0</v>
      </c>
      <c r="E1469" s="124" t="s">
        <v>96</v>
      </c>
      <c r="F1469" s="125" t="s">
        <v>94</v>
      </c>
      <c r="G1469" s="125" t="s">
        <v>99</v>
      </c>
      <c r="H1469" s="123">
        <v>4</v>
      </c>
      <c r="I1469" s="123" t="s">
        <v>97</v>
      </c>
      <c r="J1469" s="123" t="s">
        <v>96</v>
      </c>
      <c r="K1469" s="123" t="s">
        <v>93</v>
      </c>
      <c r="L1469" s="132">
        <v>1389</v>
      </c>
      <c r="M1469" s="132">
        <v>0</v>
      </c>
      <c r="N1469" s="132">
        <v>7.9479222797926011E+18</v>
      </c>
    </row>
    <row r="1470" spans="4:14" ht="15" customHeight="1" x14ac:dyDescent="0.2">
      <c r="D1470" s="130" t="b">
        <v>0</v>
      </c>
      <c r="E1470" s="124" t="s">
        <v>96</v>
      </c>
      <c r="F1470" s="125" t="s">
        <v>94</v>
      </c>
      <c r="G1470" s="125" t="s">
        <v>99</v>
      </c>
      <c r="H1470" s="123">
        <v>4</v>
      </c>
      <c r="I1470" s="123" t="s">
        <v>97</v>
      </c>
      <c r="J1470" s="123" t="s">
        <v>97</v>
      </c>
      <c r="K1470" s="123" t="s">
        <v>100</v>
      </c>
      <c r="L1470" s="132">
        <v>1390</v>
      </c>
      <c r="M1470" s="132">
        <v>0</v>
      </c>
      <c r="N1470" s="132">
        <v>7.2721593871170652E+18</v>
      </c>
    </row>
    <row r="1471" spans="4:14" ht="15" customHeight="1" x14ac:dyDescent="0.2">
      <c r="D1471" s="130" t="b">
        <v>0</v>
      </c>
      <c r="E1471" s="124" t="s">
        <v>96</v>
      </c>
      <c r="F1471" s="125" t="s">
        <v>94</v>
      </c>
      <c r="G1471" s="125" t="s">
        <v>99</v>
      </c>
      <c r="H1471" s="123">
        <v>4</v>
      </c>
      <c r="I1471" s="123" t="s">
        <v>97</v>
      </c>
      <c r="J1471" s="123" t="s">
        <v>91</v>
      </c>
      <c r="K1471" s="123" t="s">
        <v>100</v>
      </c>
      <c r="L1471" s="132">
        <v>1391</v>
      </c>
      <c r="M1471" s="132">
        <v>0</v>
      </c>
      <c r="N1471" s="132">
        <v>1.0582318168194081E+19</v>
      </c>
    </row>
    <row r="1472" spans="4:14" ht="15" customHeight="1" x14ac:dyDescent="0.2">
      <c r="D1472" s="130" t="b">
        <v>0</v>
      </c>
      <c r="E1472" s="124" t="s">
        <v>96</v>
      </c>
      <c r="F1472" s="125" t="s">
        <v>94</v>
      </c>
      <c r="G1472" s="125" t="s">
        <v>99</v>
      </c>
      <c r="H1472" s="123">
        <v>4</v>
      </c>
      <c r="I1472" s="123" t="s">
        <v>92</v>
      </c>
      <c r="J1472" s="123" t="s">
        <v>96</v>
      </c>
      <c r="K1472" s="123" t="s">
        <v>93</v>
      </c>
      <c r="L1472" s="132">
        <v>1392</v>
      </c>
      <c r="M1472" s="132">
        <v>0</v>
      </c>
      <c r="N1472" s="132">
        <v>1.1133106584082733E+19</v>
      </c>
    </row>
    <row r="1473" spans="4:14" ht="15" customHeight="1" x14ac:dyDescent="0.2">
      <c r="D1473" s="130" t="b">
        <v>0</v>
      </c>
      <c r="E1473" s="124" t="s">
        <v>96</v>
      </c>
      <c r="F1473" s="125" t="s">
        <v>94</v>
      </c>
      <c r="G1473" s="125" t="s">
        <v>99</v>
      </c>
      <c r="H1473" s="123">
        <v>4</v>
      </c>
      <c r="I1473" s="123" t="s">
        <v>92</v>
      </c>
      <c r="J1473" s="123" t="s">
        <v>97</v>
      </c>
      <c r="K1473" s="123" t="s">
        <v>100</v>
      </c>
      <c r="L1473" s="132">
        <v>1393</v>
      </c>
      <c r="M1473" s="132">
        <v>0</v>
      </c>
      <c r="N1473" s="132">
        <v>4.8008556504775107E+18</v>
      </c>
    </row>
    <row r="1474" spans="4:14" ht="15" customHeight="1" x14ac:dyDescent="0.2">
      <c r="D1474" s="130" t="b">
        <v>0</v>
      </c>
      <c r="E1474" s="124" t="s">
        <v>96</v>
      </c>
      <c r="F1474" s="125" t="s">
        <v>94</v>
      </c>
      <c r="G1474" s="125" t="s">
        <v>99</v>
      </c>
      <c r="H1474" s="123">
        <v>4</v>
      </c>
      <c r="I1474" s="123" t="s">
        <v>92</v>
      </c>
      <c r="J1474" s="123" t="s">
        <v>91</v>
      </c>
      <c r="K1474" s="123" t="s">
        <v>100</v>
      </c>
      <c r="L1474" s="132">
        <v>1394</v>
      </c>
      <c r="M1474" s="132">
        <v>0</v>
      </c>
      <c r="N1474" s="132">
        <v>4.5383692526905385E+18</v>
      </c>
    </row>
    <row r="1475" spans="4:14" ht="15" customHeight="1" x14ac:dyDescent="0.2">
      <c r="D1475" s="130" t="b">
        <v>0</v>
      </c>
      <c r="E1475" s="124" t="s">
        <v>96</v>
      </c>
      <c r="F1475" s="125" t="s">
        <v>94</v>
      </c>
      <c r="G1475" s="125" t="s">
        <v>99</v>
      </c>
      <c r="H1475" s="123" t="s">
        <v>98</v>
      </c>
      <c r="I1475" s="123" t="s">
        <v>95</v>
      </c>
      <c r="J1475" s="123" t="s">
        <v>96</v>
      </c>
      <c r="K1475" s="123" t="s">
        <v>93</v>
      </c>
      <c r="L1475" s="132">
        <v>1395</v>
      </c>
      <c r="M1475" s="132">
        <v>0</v>
      </c>
      <c r="N1475" s="132">
        <v>6.9673385867123917E+18</v>
      </c>
    </row>
    <row r="1476" spans="4:14" ht="15" customHeight="1" x14ac:dyDescent="0.2">
      <c r="D1476" s="130" t="b">
        <v>0</v>
      </c>
      <c r="E1476" s="124" t="s">
        <v>96</v>
      </c>
      <c r="F1476" s="125" t="s">
        <v>94</v>
      </c>
      <c r="G1476" s="125" t="s">
        <v>99</v>
      </c>
      <c r="H1476" s="123" t="s">
        <v>98</v>
      </c>
      <c r="I1476" s="123" t="s">
        <v>95</v>
      </c>
      <c r="J1476" s="123" t="s">
        <v>97</v>
      </c>
      <c r="K1476" s="123" t="s">
        <v>93</v>
      </c>
      <c r="L1476" s="132">
        <v>1396</v>
      </c>
      <c r="M1476" s="132">
        <v>0</v>
      </c>
      <c r="N1476" s="132">
        <v>2.2416186942067994E+18</v>
      </c>
    </row>
    <row r="1477" spans="4:14" ht="15" customHeight="1" x14ac:dyDescent="0.2">
      <c r="D1477" s="130" t="b">
        <v>0</v>
      </c>
      <c r="E1477" s="124" t="s">
        <v>96</v>
      </c>
      <c r="F1477" s="125" t="s">
        <v>94</v>
      </c>
      <c r="G1477" s="125" t="s">
        <v>99</v>
      </c>
      <c r="H1477" s="123" t="s">
        <v>98</v>
      </c>
      <c r="I1477" s="123" t="s">
        <v>95</v>
      </c>
      <c r="J1477" s="123" t="s">
        <v>91</v>
      </c>
      <c r="K1477" s="123" t="s">
        <v>100</v>
      </c>
      <c r="L1477" s="132">
        <v>1397</v>
      </c>
      <c r="M1477" s="132">
        <v>0</v>
      </c>
      <c r="N1477" s="132">
        <v>1.1113672683583109E+17</v>
      </c>
    </row>
    <row r="1478" spans="4:14" ht="15" customHeight="1" x14ac:dyDescent="0.2">
      <c r="D1478" s="130" t="b">
        <v>0</v>
      </c>
      <c r="E1478" s="124" t="s">
        <v>96</v>
      </c>
      <c r="F1478" s="125" t="s">
        <v>94</v>
      </c>
      <c r="G1478" s="125" t="s">
        <v>99</v>
      </c>
      <c r="H1478" s="123" t="s">
        <v>98</v>
      </c>
      <c r="I1478" s="123" t="s">
        <v>97</v>
      </c>
      <c r="J1478" s="123" t="s">
        <v>96</v>
      </c>
      <c r="K1478" s="123" t="s">
        <v>93</v>
      </c>
      <c r="L1478" s="132">
        <v>1398</v>
      </c>
      <c r="M1478" s="132">
        <v>0</v>
      </c>
      <c r="N1478" s="132">
        <v>1.1150389037167972E+19</v>
      </c>
    </row>
    <row r="1479" spans="4:14" ht="15" customHeight="1" x14ac:dyDescent="0.2">
      <c r="D1479" s="130" t="b">
        <v>0</v>
      </c>
      <c r="E1479" s="124" t="s">
        <v>96</v>
      </c>
      <c r="F1479" s="125" t="s">
        <v>94</v>
      </c>
      <c r="G1479" s="125" t="s">
        <v>99</v>
      </c>
      <c r="H1479" s="123" t="s">
        <v>98</v>
      </c>
      <c r="I1479" s="123" t="s">
        <v>97</v>
      </c>
      <c r="J1479" s="123" t="s">
        <v>97</v>
      </c>
      <c r="K1479" s="123" t="s">
        <v>100</v>
      </c>
      <c r="L1479" s="132">
        <v>1399</v>
      </c>
      <c r="M1479" s="132">
        <v>0</v>
      </c>
      <c r="N1479" s="132">
        <v>9.6687474991826458E+17</v>
      </c>
    </row>
    <row r="1480" spans="4:14" ht="15" customHeight="1" x14ac:dyDescent="0.2">
      <c r="D1480" s="130" t="b">
        <v>0</v>
      </c>
      <c r="E1480" s="124" t="s">
        <v>96</v>
      </c>
      <c r="F1480" s="125" t="s">
        <v>94</v>
      </c>
      <c r="G1480" s="125" t="s">
        <v>99</v>
      </c>
      <c r="H1480" s="123" t="s">
        <v>98</v>
      </c>
      <c r="I1480" s="123" t="s">
        <v>97</v>
      </c>
      <c r="J1480" s="123" t="s">
        <v>91</v>
      </c>
      <c r="K1480" s="123" t="s">
        <v>100</v>
      </c>
      <c r="L1480" s="132">
        <v>1400</v>
      </c>
      <c r="M1480" s="132">
        <v>0</v>
      </c>
      <c r="N1480" s="132">
        <v>9.4991135571099648E+18</v>
      </c>
    </row>
    <row r="1481" spans="4:14" ht="15" customHeight="1" x14ac:dyDescent="0.2">
      <c r="D1481" s="130" t="b">
        <v>0</v>
      </c>
      <c r="E1481" s="124" t="s">
        <v>96</v>
      </c>
      <c r="F1481" s="125" t="s">
        <v>94</v>
      </c>
      <c r="G1481" s="125" t="s">
        <v>99</v>
      </c>
      <c r="H1481" s="123" t="s">
        <v>98</v>
      </c>
      <c r="I1481" s="123" t="s">
        <v>92</v>
      </c>
      <c r="J1481" s="123" t="s">
        <v>96</v>
      </c>
      <c r="K1481" s="123" t="s">
        <v>93</v>
      </c>
      <c r="L1481" s="132">
        <v>1401</v>
      </c>
      <c r="M1481" s="132">
        <v>0</v>
      </c>
      <c r="N1481" s="132">
        <v>3.0398952380961659E+18</v>
      </c>
    </row>
    <row r="1482" spans="4:14" ht="15" customHeight="1" x14ac:dyDescent="0.2">
      <c r="D1482" s="130" t="b">
        <v>0</v>
      </c>
      <c r="E1482" s="124" t="s">
        <v>96</v>
      </c>
      <c r="F1482" s="125" t="s">
        <v>94</v>
      </c>
      <c r="G1482" s="125" t="s">
        <v>99</v>
      </c>
      <c r="H1482" s="123" t="s">
        <v>98</v>
      </c>
      <c r="I1482" s="123" t="s">
        <v>92</v>
      </c>
      <c r="J1482" s="123" t="s">
        <v>97</v>
      </c>
      <c r="K1482" s="123" t="s">
        <v>100</v>
      </c>
      <c r="L1482" s="132">
        <v>1402</v>
      </c>
      <c r="M1482" s="132">
        <v>0</v>
      </c>
      <c r="N1482" s="132">
        <v>1.1972726581755101E+19</v>
      </c>
    </row>
    <row r="1483" spans="4:14" ht="15" customHeight="1" x14ac:dyDescent="0.2">
      <c r="D1483" s="130" t="b">
        <v>0</v>
      </c>
      <c r="E1483" s="124" t="s">
        <v>96</v>
      </c>
      <c r="F1483" s="125" t="s">
        <v>94</v>
      </c>
      <c r="G1483" s="125" t="s">
        <v>99</v>
      </c>
      <c r="H1483" s="123" t="s">
        <v>98</v>
      </c>
      <c r="I1483" s="123" t="s">
        <v>92</v>
      </c>
      <c r="J1483" s="123" t="s">
        <v>91</v>
      </c>
      <c r="K1483" s="123" t="s">
        <v>100</v>
      </c>
      <c r="L1483" s="132">
        <v>1403</v>
      </c>
      <c r="M1483" s="132">
        <v>0</v>
      </c>
      <c r="N1483" s="132">
        <v>7.3728752722060728E+18</v>
      </c>
    </row>
    <row r="1484" spans="4:14" ht="15" customHeight="1" x14ac:dyDescent="0.2">
      <c r="D1484" s="130" t="b">
        <v>0</v>
      </c>
      <c r="E1484" s="124" t="s">
        <v>96</v>
      </c>
      <c r="F1484" s="125" t="s">
        <v>91</v>
      </c>
      <c r="G1484" s="125">
        <v>2</v>
      </c>
      <c r="H1484" s="123">
        <v>2</v>
      </c>
      <c r="I1484" s="123" t="s">
        <v>95</v>
      </c>
      <c r="J1484" s="123" t="s">
        <v>96</v>
      </c>
      <c r="K1484" s="123" t="s">
        <v>93</v>
      </c>
      <c r="L1484" s="132">
        <v>1404</v>
      </c>
      <c r="M1484" s="132">
        <v>0</v>
      </c>
      <c r="N1484" s="132">
        <v>1.2976963102475344E+19</v>
      </c>
    </row>
    <row r="1485" spans="4:14" ht="15" customHeight="1" x14ac:dyDescent="0.2">
      <c r="D1485" s="130" t="b">
        <v>0</v>
      </c>
      <c r="E1485" s="124" t="s">
        <v>96</v>
      </c>
      <c r="F1485" s="125" t="s">
        <v>91</v>
      </c>
      <c r="G1485" s="125">
        <v>2</v>
      </c>
      <c r="H1485" s="123">
        <v>2</v>
      </c>
      <c r="I1485" s="123" t="s">
        <v>95</v>
      </c>
      <c r="J1485" s="123" t="s">
        <v>97</v>
      </c>
      <c r="K1485" s="123" t="s">
        <v>93</v>
      </c>
      <c r="L1485" s="132">
        <v>1405</v>
      </c>
      <c r="M1485" s="132">
        <v>0</v>
      </c>
      <c r="N1485" s="132">
        <v>2.7231712779032402E+18</v>
      </c>
    </row>
    <row r="1486" spans="4:14" ht="15" customHeight="1" x14ac:dyDescent="0.2">
      <c r="D1486" s="130" t="b">
        <v>0</v>
      </c>
      <c r="E1486" s="124" t="s">
        <v>96</v>
      </c>
      <c r="F1486" s="125" t="s">
        <v>91</v>
      </c>
      <c r="G1486" s="125">
        <v>2</v>
      </c>
      <c r="H1486" s="123">
        <v>2</v>
      </c>
      <c r="I1486" s="123" t="s">
        <v>95</v>
      </c>
      <c r="J1486" s="123" t="s">
        <v>91</v>
      </c>
      <c r="K1486" s="123" t="s">
        <v>93</v>
      </c>
      <c r="L1486" s="132">
        <v>1406</v>
      </c>
      <c r="M1486" s="132">
        <v>0</v>
      </c>
      <c r="N1486" s="132">
        <v>4.8372739036990577E+18</v>
      </c>
    </row>
    <row r="1487" spans="4:14" ht="15" customHeight="1" x14ac:dyDescent="0.2">
      <c r="D1487" s="130" t="b">
        <v>0</v>
      </c>
      <c r="E1487" s="124" t="s">
        <v>96</v>
      </c>
      <c r="F1487" s="125" t="s">
        <v>91</v>
      </c>
      <c r="G1487" s="125">
        <v>2</v>
      </c>
      <c r="H1487" s="123">
        <v>2</v>
      </c>
      <c r="I1487" s="123" t="s">
        <v>97</v>
      </c>
      <c r="J1487" s="123" t="s">
        <v>96</v>
      </c>
      <c r="K1487" s="123" t="s">
        <v>93</v>
      </c>
      <c r="L1487" s="132">
        <v>1407</v>
      </c>
      <c r="M1487" s="132">
        <v>0</v>
      </c>
      <c r="N1487" s="132">
        <v>1.8730938770871747E+18</v>
      </c>
    </row>
    <row r="1488" spans="4:14" ht="15" customHeight="1" x14ac:dyDescent="0.2">
      <c r="D1488" s="130" t="b">
        <v>0</v>
      </c>
      <c r="E1488" s="124" t="s">
        <v>96</v>
      </c>
      <c r="F1488" s="125" t="s">
        <v>91</v>
      </c>
      <c r="G1488" s="125">
        <v>2</v>
      </c>
      <c r="H1488" s="123">
        <v>2</v>
      </c>
      <c r="I1488" s="123" t="s">
        <v>97</v>
      </c>
      <c r="J1488" s="123" t="s">
        <v>97</v>
      </c>
      <c r="K1488" s="123" t="s">
        <v>93</v>
      </c>
      <c r="L1488" s="132">
        <v>1408</v>
      </c>
      <c r="M1488" s="132">
        <v>0</v>
      </c>
      <c r="N1488" s="132">
        <v>5.7072448855192125E+18</v>
      </c>
    </row>
    <row r="1489" spans="4:14" ht="15" customHeight="1" x14ac:dyDescent="0.2">
      <c r="D1489" s="130" t="b">
        <v>0</v>
      </c>
      <c r="E1489" s="124" t="s">
        <v>96</v>
      </c>
      <c r="F1489" s="125" t="s">
        <v>91</v>
      </c>
      <c r="G1489" s="125">
        <v>2</v>
      </c>
      <c r="H1489" s="123">
        <v>2</v>
      </c>
      <c r="I1489" s="123" t="s">
        <v>97</v>
      </c>
      <c r="J1489" s="123" t="s">
        <v>91</v>
      </c>
      <c r="K1489" s="123" t="s">
        <v>93</v>
      </c>
      <c r="L1489" s="132">
        <v>1409</v>
      </c>
      <c r="M1489" s="132">
        <v>0</v>
      </c>
      <c r="N1489" s="132">
        <v>1.1012985381765755E+19</v>
      </c>
    </row>
    <row r="1490" spans="4:14" ht="15" customHeight="1" x14ac:dyDescent="0.2">
      <c r="D1490" s="130" t="b">
        <v>0</v>
      </c>
      <c r="E1490" s="124" t="s">
        <v>96</v>
      </c>
      <c r="F1490" s="125" t="s">
        <v>91</v>
      </c>
      <c r="G1490" s="125">
        <v>2</v>
      </c>
      <c r="H1490" s="123">
        <v>2</v>
      </c>
      <c r="I1490" s="123" t="s">
        <v>92</v>
      </c>
      <c r="J1490" s="123" t="s">
        <v>96</v>
      </c>
      <c r="K1490" s="123" t="s">
        <v>93</v>
      </c>
      <c r="L1490" s="132">
        <v>1410</v>
      </c>
      <c r="M1490" s="132">
        <v>0</v>
      </c>
      <c r="N1490" s="132">
        <v>1.3064658660660427E+19</v>
      </c>
    </row>
    <row r="1491" spans="4:14" ht="15" customHeight="1" x14ac:dyDescent="0.2">
      <c r="D1491" s="130" t="b">
        <v>0</v>
      </c>
      <c r="E1491" s="124" t="s">
        <v>96</v>
      </c>
      <c r="F1491" s="125" t="s">
        <v>91</v>
      </c>
      <c r="G1491" s="125">
        <v>2</v>
      </c>
      <c r="H1491" s="123">
        <v>2</v>
      </c>
      <c r="I1491" s="123" t="s">
        <v>92</v>
      </c>
      <c r="J1491" s="123" t="s">
        <v>97</v>
      </c>
      <c r="K1491" s="123" t="s">
        <v>93</v>
      </c>
      <c r="L1491" s="132">
        <v>1411</v>
      </c>
      <c r="M1491" s="132">
        <v>0</v>
      </c>
      <c r="N1491" s="132">
        <v>1.5627946296890253E+19</v>
      </c>
    </row>
    <row r="1492" spans="4:14" ht="15" customHeight="1" x14ac:dyDescent="0.2">
      <c r="D1492" s="130" t="b">
        <v>0</v>
      </c>
      <c r="E1492" s="124" t="s">
        <v>96</v>
      </c>
      <c r="F1492" s="125" t="s">
        <v>91</v>
      </c>
      <c r="G1492" s="125">
        <v>2</v>
      </c>
      <c r="H1492" s="123">
        <v>2</v>
      </c>
      <c r="I1492" s="123" t="s">
        <v>92</v>
      </c>
      <c r="J1492" s="123" t="s">
        <v>91</v>
      </c>
      <c r="K1492" s="123" t="s">
        <v>93</v>
      </c>
      <c r="L1492" s="132">
        <v>1412</v>
      </c>
      <c r="M1492" s="132">
        <v>0</v>
      </c>
      <c r="N1492" s="132">
        <v>6.2827493431248374E+18</v>
      </c>
    </row>
    <row r="1493" spans="4:14" ht="15" customHeight="1" x14ac:dyDescent="0.2">
      <c r="D1493" s="130" t="b">
        <v>0</v>
      </c>
      <c r="E1493" s="124" t="s">
        <v>96</v>
      </c>
      <c r="F1493" s="125" t="s">
        <v>91</v>
      </c>
      <c r="G1493" s="125">
        <v>2</v>
      </c>
      <c r="H1493" s="123">
        <v>4</v>
      </c>
      <c r="I1493" s="123" t="s">
        <v>95</v>
      </c>
      <c r="J1493" s="123" t="s">
        <v>96</v>
      </c>
      <c r="K1493" s="123" t="s">
        <v>93</v>
      </c>
      <c r="L1493" s="132">
        <v>1413</v>
      </c>
      <c r="M1493" s="132">
        <v>0</v>
      </c>
      <c r="N1493" s="132">
        <v>4.228102917939817E+17</v>
      </c>
    </row>
    <row r="1494" spans="4:14" ht="15" customHeight="1" x14ac:dyDescent="0.2">
      <c r="D1494" s="130" t="b">
        <v>0</v>
      </c>
      <c r="E1494" s="124" t="s">
        <v>96</v>
      </c>
      <c r="F1494" s="125" t="s">
        <v>91</v>
      </c>
      <c r="G1494" s="125">
        <v>2</v>
      </c>
      <c r="H1494" s="123">
        <v>4</v>
      </c>
      <c r="I1494" s="123" t="s">
        <v>95</v>
      </c>
      <c r="J1494" s="123" t="s">
        <v>97</v>
      </c>
      <c r="K1494" s="123" t="s">
        <v>100</v>
      </c>
      <c r="L1494" s="132">
        <v>1414</v>
      </c>
      <c r="M1494" s="132">
        <v>0</v>
      </c>
      <c r="N1494" s="132">
        <v>1.2319281364489705E+19</v>
      </c>
    </row>
    <row r="1495" spans="4:14" ht="15" customHeight="1" x14ac:dyDescent="0.2">
      <c r="D1495" s="130" t="b">
        <v>0</v>
      </c>
      <c r="E1495" s="124" t="s">
        <v>96</v>
      </c>
      <c r="F1495" s="125" t="s">
        <v>91</v>
      </c>
      <c r="G1495" s="125">
        <v>2</v>
      </c>
      <c r="H1495" s="123">
        <v>4</v>
      </c>
      <c r="I1495" s="123" t="s">
        <v>95</v>
      </c>
      <c r="J1495" s="123" t="s">
        <v>91</v>
      </c>
      <c r="K1495" s="123" t="s">
        <v>100</v>
      </c>
      <c r="L1495" s="132">
        <v>1415</v>
      </c>
      <c r="M1495" s="132">
        <v>0</v>
      </c>
      <c r="N1495" s="132">
        <v>5.7880872055732838E+18</v>
      </c>
    </row>
    <row r="1496" spans="4:14" ht="15" customHeight="1" x14ac:dyDescent="0.2">
      <c r="D1496" s="130" t="b">
        <v>0</v>
      </c>
      <c r="E1496" s="124" t="s">
        <v>96</v>
      </c>
      <c r="F1496" s="125" t="s">
        <v>91</v>
      </c>
      <c r="G1496" s="125">
        <v>2</v>
      </c>
      <c r="H1496" s="123">
        <v>4</v>
      </c>
      <c r="I1496" s="123" t="s">
        <v>97</v>
      </c>
      <c r="J1496" s="123" t="s">
        <v>96</v>
      </c>
      <c r="K1496" s="123" t="s">
        <v>93</v>
      </c>
      <c r="L1496" s="132">
        <v>1416</v>
      </c>
      <c r="M1496" s="132">
        <v>0</v>
      </c>
      <c r="N1496" s="132">
        <v>1.2419844530850087E+19</v>
      </c>
    </row>
    <row r="1497" spans="4:14" ht="15" customHeight="1" x14ac:dyDescent="0.2">
      <c r="D1497" s="130" t="b">
        <v>0</v>
      </c>
      <c r="E1497" s="124" t="s">
        <v>96</v>
      </c>
      <c r="F1497" s="125" t="s">
        <v>91</v>
      </c>
      <c r="G1497" s="125">
        <v>2</v>
      </c>
      <c r="H1497" s="123">
        <v>4</v>
      </c>
      <c r="I1497" s="123" t="s">
        <v>97</v>
      </c>
      <c r="J1497" s="123" t="s">
        <v>97</v>
      </c>
      <c r="K1497" s="123" t="s">
        <v>100</v>
      </c>
      <c r="L1497" s="132">
        <v>1417</v>
      </c>
      <c r="M1497" s="132">
        <v>0</v>
      </c>
      <c r="N1497" s="132">
        <v>2.7962897021186191E+18</v>
      </c>
    </row>
    <row r="1498" spans="4:14" ht="15" customHeight="1" x14ac:dyDescent="0.2">
      <c r="D1498" s="130" t="b">
        <v>0</v>
      </c>
      <c r="E1498" s="124" t="s">
        <v>96</v>
      </c>
      <c r="F1498" s="125" t="s">
        <v>91</v>
      </c>
      <c r="G1498" s="125">
        <v>2</v>
      </c>
      <c r="H1498" s="123">
        <v>4</v>
      </c>
      <c r="I1498" s="123" t="s">
        <v>97</v>
      </c>
      <c r="J1498" s="123" t="s">
        <v>91</v>
      </c>
      <c r="K1498" s="123" t="s">
        <v>100</v>
      </c>
      <c r="L1498" s="132">
        <v>1418</v>
      </c>
      <c r="M1498" s="132">
        <v>0</v>
      </c>
      <c r="N1498" s="132">
        <v>7.1014691262150574E+18</v>
      </c>
    </row>
    <row r="1499" spans="4:14" ht="15" customHeight="1" x14ac:dyDescent="0.2">
      <c r="D1499" s="130" t="b">
        <v>0</v>
      </c>
      <c r="E1499" s="124" t="s">
        <v>96</v>
      </c>
      <c r="F1499" s="125" t="s">
        <v>91</v>
      </c>
      <c r="G1499" s="125">
        <v>2</v>
      </c>
      <c r="H1499" s="123">
        <v>4</v>
      </c>
      <c r="I1499" s="123" t="s">
        <v>92</v>
      </c>
      <c r="J1499" s="123" t="s">
        <v>96</v>
      </c>
      <c r="K1499" s="123" t="s">
        <v>93</v>
      </c>
      <c r="L1499" s="132">
        <v>1419</v>
      </c>
      <c r="M1499" s="132">
        <v>0</v>
      </c>
      <c r="N1499" s="132">
        <v>1.0755342326375848E+19</v>
      </c>
    </row>
    <row r="1500" spans="4:14" ht="15" customHeight="1" x14ac:dyDescent="0.2">
      <c r="D1500" s="130" t="b">
        <v>0</v>
      </c>
      <c r="E1500" s="124" t="s">
        <v>96</v>
      </c>
      <c r="F1500" s="125" t="s">
        <v>91</v>
      </c>
      <c r="G1500" s="125">
        <v>2</v>
      </c>
      <c r="H1500" s="123">
        <v>4</v>
      </c>
      <c r="I1500" s="123" t="s">
        <v>92</v>
      </c>
      <c r="J1500" s="123" t="s">
        <v>97</v>
      </c>
      <c r="K1500" s="123" t="s">
        <v>100</v>
      </c>
      <c r="L1500" s="132">
        <v>1420</v>
      </c>
      <c r="M1500" s="132">
        <v>0</v>
      </c>
      <c r="N1500" s="132">
        <v>1.9216944148666629E+18</v>
      </c>
    </row>
    <row r="1501" spans="4:14" ht="15" customHeight="1" x14ac:dyDescent="0.2">
      <c r="D1501" s="130" t="b">
        <v>0</v>
      </c>
      <c r="E1501" s="124" t="s">
        <v>96</v>
      </c>
      <c r="F1501" s="125" t="s">
        <v>91</v>
      </c>
      <c r="G1501" s="125">
        <v>2</v>
      </c>
      <c r="H1501" s="123">
        <v>4</v>
      </c>
      <c r="I1501" s="123" t="s">
        <v>92</v>
      </c>
      <c r="J1501" s="123" t="s">
        <v>91</v>
      </c>
      <c r="K1501" s="123" t="s">
        <v>101</v>
      </c>
      <c r="L1501" s="132">
        <v>1421</v>
      </c>
      <c r="M1501" s="132">
        <v>0</v>
      </c>
      <c r="N1501" s="132">
        <v>1.1593258071521198E+18</v>
      </c>
    </row>
    <row r="1502" spans="4:14" ht="15" customHeight="1" x14ac:dyDescent="0.2">
      <c r="D1502" s="130" t="b">
        <v>0</v>
      </c>
      <c r="E1502" s="124" t="s">
        <v>96</v>
      </c>
      <c r="F1502" s="125" t="s">
        <v>91</v>
      </c>
      <c r="G1502" s="125">
        <v>2</v>
      </c>
      <c r="H1502" s="123" t="s">
        <v>98</v>
      </c>
      <c r="I1502" s="123" t="s">
        <v>95</v>
      </c>
      <c r="J1502" s="123" t="s">
        <v>96</v>
      </c>
      <c r="K1502" s="123" t="s">
        <v>93</v>
      </c>
      <c r="L1502" s="132">
        <v>1422</v>
      </c>
      <c r="M1502" s="132">
        <v>0</v>
      </c>
      <c r="N1502" s="132">
        <v>3.0153387594245166E+18</v>
      </c>
    </row>
    <row r="1503" spans="4:14" ht="15" customHeight="1" x14ac:dyDescent="0.2">
      <c r="D1503" s="130" t="b">
        <v>0</v>
      </c>
      <c r="E1503" s="124" t="s">
        <v>96</v>
      </c>
      <c r="F1503" s="125" t="s">
        <v>91</v>
      </c>
      <c r="G1503" s="125">
        <v>2</v>
      </c>
      <c r="H1503" s="123" t="s">
        <v>98</v>
      </c>
      <c r="I1503" s="123" t="s">
        <v>95</v>
      </c>
      <c r="J1503" s="123" t="s">
        <v>97</v>
      </c>
      <c r="K1503" s="123" t="s">
        <v>93</v>
      </c>
      <c r="L1503" s="132">
        <v>1423</v>
      </c>
      <c r="M1503" s="132">
        <v>0</v>
      </c>
      <c r="N1503" s="132">
        <v>1.5987936609564568E+19</v>
      </c>
    </row>
    <row r="1504" spans="4:14" ht="15" customHeight="1" x14ac:dyDescent="0.2">
      <c r="D1504" s="130" t="b">
        <v>0</v>
      </c>
      <c r="E1504" s="124" t="s">
        <v>96</v>
      </c>
      <c r="F1504" s="125" t="s">
        <v>91</v>
      </c>
      <c r="G1504" s="125">
        <v>2</v>
      </c>
      <c r="H1504" s="123" t="s">
        <v>98</v>
      </c>
      <c r="I1504" s="123" t="s">
        <v>95</v>
      </c>
      <c r="J1504" s="123" t="s">
        <v>91</v>
      </c>
      <c r="K1504" s="123" t="s">
        <v>93</v>
      </c>
      <c r="L1504" s="132">
        <v>1424</v>
      </c>
      <c r="M1504" s="132">
        <v>0</v>
      </c>
      <c r="N1504" s="132">
        <v>6.2145044623186995E+18</v>
      </c>
    </row>
    <row r="1505" spans="4:14" ht="15" customHeight="1" x14ac:dyDescent="0.2">
      <c r="D1505" s="130" t="b">
        <v>0</v>
      </c>
      <c r="E1505" s="124" t="s">
        <v>96</v>
      </c>
      <c r="F1505" s="125" t="s">
        <v>91</v>
      </c>
      <c r="G1505" s="125">
        <v>2</v>
      </c>
      <c r="H1505" s="123" t="s">
        <v>98</v>
      </c>
      <c r="I1505" s="123" t="s">
        <v>97</v>
      </c>
      <c r="J1505" s="123" t="s">
        <v>96</v>
      </c>
      <c r="K1505" s="123" t="s">
        <v>93</v>
      </c>
      <c r="L1505" s="132">
        <v>1425</v>
      </c>
      <c r="M1505" s="132">
        <v>0</v>
      </c>
      <c r="N1505" s="132">
        <v>1.567147084954718E+19</v>
      </c>
    </row>
    <row r="1506" spans="4:14" ht="15" customHeight="1" x14ac:dyDescent="0.2">
      <c r="D1506" s="130" t="b">
        <v>0</v>
      </c>
      <c r="E1506" s="124" t="s">
        <v>96</v>
      </c>
      <c r="F1506" s="125" t="s">
        <v>91</v>
      </c>
      <c r="G1506" s="125">
        <v>2</v>
      </c>
      <c r="H1506" s="123" t="s">
        <v>98</v>
      </c>
      <c r="I1506" s="123" t="s">
        <v>97</v>
      </c>
      <c r="J1506" s="123" t="s">
        <v>97</v>
      </c>
      <c r="K1506" s="123" t="s">
        <v>100</v>
      </c>
      <c r="L1506" s="132">
        <v>1426</v>
      </c>
      <c r="M1506" s="132">
        <v>0</v>
      </c>
      <c r="N1506" s="132">
        <v>5.2528030885224438E+18</v>
      </c>
    </row>
    <row r="1507" spans="4:14" ht="15" customHeight="1" x14ac:dyDescent="0.2">
      <c r="D1507" s="130" t="b">
        <v>0</v>
      </c>
      <c r="E1507" s="124" t="s">
        <v>96</v>
      </c>
      <c r="F1507" s="125" t="s">
        <v>91</v>
      </c>
      <c r="G1507" s="125">
        <v>2</v>
      </c>
      <c r="H1507" s="123" t="s">
        <v>98</v>
      </c>
      <c r="I1507" s="123" t="s">
        <v>97</v>
      </c>
      <c r="J1507" s="123" t="s">
        <v>91</v>
      </c>
      <c r="K1507" s="123" t="s">
        <v>100</v>
      </c>
      <c r="L1507" s="132">
        <v>1427</v>
      </c>
      <c r="M1507" s="132">
        <v>0</v>
      </c>
      <c r="N1507" s="132">
        <v>1.553592550564351E+19</v>
      </c>
    </row>
    <row r="1508" spans="4:14" ht="15" customHeight="1" x14ac:dyDescent="0.2">
      <c r="D1508" s="130" t="b">
        <v>0</v>
      </c>
      <c r="E1508" s="124" t="s">
        <v>96</v>
      </c>
      <c r="F1508" s="125" t="s">
        <v>91</v>
      </c>
      <c r="G1508" s="125">
        <v>2</v>
      </c>
      <c r="H1508" s="123" t="s">
        <v>98</v>
      </c>
      <c r="I1508" s="123" t="s">
        <v>92</v>
      </c>
      <c r="J1508" s="123" t="s">
        <v>96</v>
      </c>
      <c r="K1508" s="123" t="s">
        <v>93</v>
      </c>
      <c r="L1508" s="132">
        <v>1428</v>
      </c>
      <c r="M1508" s="132">
        <v>0</v>
      </c>
      <c r="N1508" s="132">
        <v>2.6579983194890496E+18</v>
      </c>
    </row>
    <row r="1509" spans="4:14" ht="15" customHeight="1" x14ac:dyDescent="0.2">
      <c r="D1509" s="130" t="b">
        <v>0</v>
      </c>
      <c r="E1509" s="124" t="s">
        <v>96</v>
      </c>
      <c r="F1509" s="125" t="s">
        <v>91</v>
      </c>
      <c r="G1509" s="125">
        <v>2</v>
      </c>
      <c r="H1509" s="123" t="s">
        <v>98</v>
      </c>
      <c r="I1509" s="123" t="s">
        <v>92</v>
      </c>
      <c r="J1509" s="123" t="s">
        <v>97</v>
      </c>
      <c r="K1509" s="123" t="s">
        <v>100</v>
      </c>
      <c r="L1509" s="132">
        <v>1429</v>
      </c>
      <c r="M1509" s="132">
        <v>0</v>
      </c>
      <c r="N1509" s="132">
        <v>8.0718318108078797E+18</v>
      </c>
    </row>
    <row r="1510" spans="4:14" ht="15" customHeight="1" x14ac:dyDescent="0.2">
      <c r="D1510" s="130" t="b">
        <v>0</v>
      </c>
      <c r="E1510" s="124" t="s">
        <v>96</v>
      </c>
      <c r="F1510" s="125" t="s">
        <v>91</v>
      </c>
      <c r="G1510" s="125">
        <v>2</v>
      </c>
      <c r="H1510" s="123" t="s">
        <v>98</v>
      </c>
      <c r="I1510" s="123" t="s">
        <v>92</v>
      </c>
      <c r="J1510" s="123" t="s">
        <v>91</v>
      </c>
      <c r="K1510" s="123" t="s">
        <v>101</v>
      </c>
      <c r="L1510" s="132">
        <v>1430</v>
      </c>
      <c r="M1510" s="132">
        <v>0</v>
      </c>
      <c r="N1510" s="132">
        <v>2.888220484727273E+18</v>
      </c>
    </row>
    <row r="1511" spans="4:14" ht="15" customHeight="1" x14ac:dyDescent="0.2">
      <c r="D1511" s="130" t="b">
        <v>0</v>
      </c>
      <c r="E1511" s="124" t="s">
        <v>96</v>
      </c>
      <c r="F1511" s="125" t="s">
        <v>91</v>
      </c>
      <c r="G1511" s="125">
        <v>3</v>
      </c>
      <c r="H1511" s="123">
        <v>2</v>
      </c>
      <c r="I1511" s="123" t="s">
        <v>95</v>
      </c>
      <c r="J1511" s="123" t="s">
        <v>96</v>
      </c>
      <c r="K1511" s="123" t="s">
        <v>93</v>
      </c>
      <c r="L1511" s="132">
        <v>1431</v>
      </c>
      <c r="M1511" s="132">
        <v>0</v>
      </c>
      <c r="N1511" s="132">
        <v>1.1987327681131301E+19</v>
      </c>
    </row>
    <row r="1512" spans="4:14" ht="15" customHeight="1" x14ac:dyDescent="0.2">
      <c r="D1512" s="130" t="b">
        <v>0</v>
      </c>
      <c r="E1512" s="124" t="s">
        <v>96</v>
      </c>
      <c r="F1512" s="125" t="s">
        <v>91</v>
      </c>
      <c r="G1512" s="125">
        <v>3</v>
      </c>
      <c r="H1512" s="123">
        <v>2</v>
      </c>
      <c r="I1512" s="123" t="s">
        <v>95</v>
      </c>
      <c r="J1512" s="123" t="s">
        <v>97</v>
      </c>
      <c r="K1512" s="123" t="s">
        <v>93</v>
      </c>
      <c r="L1512" s="132">
        <v>1432</v>
      </c>
      <c r="M1512" s="132">
        <v>0</v>
      </c>
      <c r="N1512" s="132">
        <v>1.6259492251590961E+19</v>
      </c>
    </row>
    <row r="1513" spans="4:14" ht="15" customHeight="1" x14ac:dyDescent="0.2">
      <c r="D1513" s="130" t="b">
        <v>0</v>
      </c>
      <c r="E1513" s="124" t="s">
        <v>96</v>
      </c>
      <c r="F1513" s="125" t="s">
        <v>91</v>
      </c>
      <c r="G1513" s="125">
        <v>3</v>
      </c>
      <c r="H1513" s="123">
        <v>2</v>
      </c>
      <c r="I1513" s="123" t="s">
        <v>95</v>
      </c>
      <c r="J1513" s="123" t="s">
        <v>91</v>
      </c>
      <c r="K1513" s="123" t="s">
        <v>93</v>
      </c>
      <c r="L1513" s="132">
        <v>1433</v>
      </c>
      <c r="M1513" s="132">
        <v>0</v>
      </c>
      <c r="N1513" s="132">
        <v>1.4258672256723829E+19</v>
      </c>
    </row>
    <row r="1514" spans="4:14" ht="15" customHeight="1" x14ac:dyDescent="0.2">
      <c r="D1514" s="130" t="b">
        <v>0</v>
      </c>
      <c r="E1514" s="124" t="s">
        <v>96</v>
      </c>
      <c r="F1514" s="125" t="s">
        <v>91</v>
      </c>
      <c r="G1514" s="125">
        <v>3</v>
      </c>
      <c r="H1514" s="123">
        <v>2</v>
      </c>
      <c r="I1514" s="123" t="s">
        <v>97</v>
      </c>
      <c r="J1514" s="123" t="s">
        <v>96</v>
      </c>
      <c r="K1514" s="123" t="s">
        <v>93</v>
      </c>
      <c r="L1514" s="132">
        <v>1434</v>
      </c>
      <c r="M1514" s="132">
        <v>0</v>
      </c>
      <c r="N1514" s="132">
        <v>1.8257966346250277E+19</v>
      </c>
    </row>
    <row r="1515" spans="4:14" ht="15" customHeight="1" x14ac:dyDescent="0.2">
      <c r="D1515" s="130" t="b">
        <v>0</v>
      </c>
      <c r="E1515" s="124" t="s">
        <v>96</v>
      </c>
      <c r="F1515" s="125" t="s">
        <v>91</v>
      </c>
      <c r="G1515" s="125">
        <v>3</v>
      </c>
      <c r="H1515" s="123">
        <v>2</v>
      </c>
      <c r="I1515" s="123" t="s">
        <v>97</v>
      </c>
      <c r="J1515" s="123" t="s">
        <v>97</v>
      </c>
      <c r="K1515" s="123" t="s">
        <v>93</v>
      </c>
      <c r="L1515" s="132">
        <v>1435</v>
      </c>
      <c r="M1515" s="132">
        <v>0</v>
      </c>
      <c r="N1515" s="132">
        <v>1.3383592662918595E+19</v>
      </c>
    </row>
    <row r="1516" spans="4:14" ht="15" customHeight="1" x14ac:dyDescent="0.2">
      <c r="D1516" s="130" t="b">
        <v>0</v>
      </c>
      <c r="E1516" s="124" t="s">
        <v>96</v>
      </c>
      <c r="F1516" s="125" t="s">
        <v>91</v>
      </c>
      <c r="G1516" s="125">
        <v>3</v>
      </c>
      <c r="H1516" s="123">
        <v>2</v>
      </c>
      <c r="I1516" s="123" t="s">
        <v>97</v>
      </c>
      <c r="J1516" s="123" t="s">
        <v>91</v>
      </c>
      <c r="K1516" s="123" t="s">
        <v>93</v>
      </c>
      <c r="L1516" s="132">
        <v>1436</v>
      </c>
      <c r="M1516" s="132">
        <v>0</v>
      </c>
      <c r="N1516" s="132">
        <v>7.4949077488817367E+18</v>
      </c>
    </row>
    <row r="1517" spans="4:14" ht="15" customHeight="1" x14ac:dyDescent="0.2">
      <c r="D1517" s="130" t="b">
        <v>0</v>
      </c>
      <c r="E1517" s="124" t="s">
        <v>96</v>
      </c>
      <c r="F1517" s="125" t="s">
        <v>91</v>
      </c>
      <c r="G1517" s="125">
        <v>3</v>
      </c>
      <c r="H1517" s="123">
        <v>2</v>
      </c>
      <c r="I1517" s="123" t="s">
        <v>92</v>
      </c>
      <c r="J1517" s="123" t="s">
        <v>96</v>
      </c>
      <c r="K1517" s="123" t="s">
        <v>93</v>
      </c>
      <c r="L1517" s="132">
        <v>1437</v>
      </c>
      <c r="M1517" s="132">
        <v>0</v>
      </c>
      <c r="N1517" s="132">
        <v>1.6999202332878803E+19</v>
      </c>
    </row>
    <row r="1518" spans="4:14" ht="15" customHeight="1" x14ac:dyDescent="0.2">
      <c r="D1518" s="130" t="b">
        <v>0</v>
      </c>
      <c r="E1518" s="124" t="s">
        <v>96</v>
      </c>
      <c r="F1518" s="125" t="s">
        <v>91</v>
      </c>
      <c r="G1518" s="125">
        <v>3</v>
      </c>
      <c r="H1518" s="123">
        <v>2</v>
      </c>
      <c r="I1518" s="123" t="s">
        <v>92</v>
      </c>
      <c r="J1518" s="123" t="s">
        <v>97</v>
      </c>
      <c r="K1518" s="123" t="s">
        <v>93</v>
      </c>
      <c r="L1518" s="132">
        <v>1438</v>
      </c>
      <c r="M1518" s="132">
        <v>0</v>
      </c>
      <c r="N1518" s="132">
        <v>1.2039866436192033E+19</v>
      </c>
    </row>
    <row r="1519" spans="4:14" ht="15" customHeight="1" x14ac:dyDescent="0.2">
      <c r="D1519" s="130" t="b">
        <v>0</v>
      </c>
      <c r="E1519" s="124" t="s">
        <v>96</v>
      </c>
      <c r="F1519" s="125" t="s">
        <v>91</v>
      </c>
      <c r="G1519" s="125">
        <v>3</v>
      </c>
      <c r="H1519" s="123">
        <v>2</v>
      </c>
      <c r="I1519" s="123" t="s">
        <v>92</v>
      </c>
      <c r="J1519" s="123" t="s">
        <v>91</v>
      </c>
      <c r="K1519" s="123" t="s">
        <v>93</v>
      </c>
      <c r="L1519" s="132">
        <v>1439</v>
      </c>
      <c r="M1519" s="132">
        <v>0</v>
      </c>
      <c r="N1519" s="132">
        <v>7.1490898847346258E+18</v>
      </c>
    </row>
    <row r="1520" spans="4:14" ht="15" customHeight="1" x14ac:dyDescent="0.2">
      <c r="D1520" s="130" t="b">
        <v>0</v>
      </c>
      <c r="E1520" s="124" t="s">
        <v>96</v>
      </c>
      <c r="F1520" s="125" t="s">
        <v>91</v>
      </c>
      <c r="G1520" s="125">
        <v>3</v>
      </c>
      <c r="H1520" s="123">
        <v>4</v>
      </c>
      <c r="I1520" s="123" t="s">
        <v>95</v>
      </c>
      <c r="J1520" s="123" t="s">
        <v>96</v>
      </c>
      <c r="K1520" s="123" t="s">
        <v>93</v>
      </c>
      <c r="L1520" s="132">
        <v>1440</v>
      </c>
      <c r="M1520" s="132">
        <v>0</v>
      </c>
      <c r="N1520" s="132">
        <v>1.7578344010718351E+19</v>
      </c>
    </row>
    <row r="1521" spans="4:14" ht="15" customHeight="1" x14ac:dyDescent="0.2">
      <c r="D1521" s="130" t="b">
        <v>0</v>
      </c>
      <c r="E1521" s="124" t="s">
        <v>96</v>
      </c>
      <c r="F1521" s="125" t="s">
        <v>91</v>
      </c>
      <c r="G1521" s="125">
        <v>3</v>
      </c>
      <c r="H1521" s="123">
        <v>4</v>
      </c>
      <c r="I1521" s="123" t="s">
        <v>95</v>
      </c>
      <c r="J1521" s="123" t="s">
        <v>97</v>
      </c>
      <c r="K1521" s="123" t="s">
        <v>100</v>
      </c>
      <c r="L1521" s="132">
        <v>1441</v>
      </c>
      <c r="M1521" s="132">
        <v>0</v>
      </c>
      <c r="N1521" s="132">
        <v>5.3537648486249165E+18</v>
      </c>
    </row>
    <row r="1522" spans="4:14" ht="15" customHeight="1" x14ac:dyDescent="0.2">
      <c r="D1522" s="130" t="b">
        <v>0</v>
      </c>
      <c r="E1522" s="124" t="s">
        <v>96</v>
      </c>
      <c r="F1522" s="125" t="s">
        <v>91</v>
      </c>
      <c r="G1522" s="125">
        <v>3</v>
      </c>
      <c r="H1522" s="123">
        <v>4</v>
      </c>
      <c r="I1522" s="123" t="s">
        <v>95</v>
      </c>
      <c r="J1522" s="123" t="s">
        <v>91</v>
      </c>
      <c r="K1522" s="123" t="s">
        <v>100</v>
      </c>
      <c r="L1522" s="132">
        <v>1442</v>
      </c>
      <c r="M1522" s="132">
        <v>0</v>
      </c>
      <c r="N1522" s="132">
        <v>6.9296599454300549E+18</v>
      </c>
    </row>
    <row r="1523" spans="4:14" ht="15" customHeight="1" x14ac:dyDescent="0.2">
      <c r="D1523" s="130" t="b">
        <v>0</v>
      </c>
      <c r="E1523" s="124" t="s">
        <v>96</v>
      </c>
      <c r="F1523" s="125" t="s">
        <v>91</v>
      </c>
      <c r="G1523" s="125">
        <v>3</v>
      </c>
      <c r="H1523" s="123">
        <v>4</v>
      </c>
      <c r="I1523" s="123" t="s">
        <v>97</v>
      </c>
      <c r="J1523" s="123" t="s">
        <v>96</v>
      </c>
      <c r="K1523" s="123" t="s">
        <v>93</v>
      </c>
      <c r="L1523" s="132">
        <v>1443</v>
      </c>
      <c r="M1523" s="132">
        <v>0</v>
      </c>
      <c r="N1523" s="132">
        <v>1.5811728659631567E+19</v>
      </c>
    </row>
    <row r="1524" spans="4:14" ht="15" customHeight="1" x14ac:dyDescent="0.2">
      <c r="D1524" s="130" t="b">
        <v>0</v>
      </c>
      <c r="E1524" s="124" t="s">
        <v>96</v>
      </c>
      <c r="F1524" s="125" t="s">
        <v>91</v>
      </c>
      <c r="G1524" s="125">
        <v>3</v>
      </c>
      <c r="H1524" s="123">
        <v>4</v>
      </c>
      <c r="I1524" s="123" t="s">
        <v>97</v>
      </c>
      <c r="J1524" s="123" t="s">
        <v>97</v>
      </c>
      <c r="K1524" s="123" t="s">
        <v>100</v>
      </c>
      <c r="L1524" s="132">
        <v>1444</v>
      </c>
      <c r="M1524" s="132">
        <v>0</v>
      </c>
      <c r="N1524" s="132">
        <v>1.3737684688552518E+19</v>
      </c>
    </row>
    <row r="1525" spans="4:14" ht="15" customHeight="1" x14ac:dyDescent="0.2">
      <c r="D1525" s="130" t="b">
        <v>0</v>
      </c>
      <c r="E1525" s="124" t="s">
        <v>96</v>
      </c>
      <c r="F1525" s="125" t="s">
        <v>91</v>
      </c>
      <c r="G1525" s="125">
        <v>3</v>
      </c>
      <c r="H1525" s="123">
        <v>4</v>
      </c>
      <c r="I1525" s="123" t="s">
        <v>97</v>
      </c>
      <c r="J1525" s="123" t="s">
        <v>91</v>
      </c>
      <c r="K1525" s="123" t="s">
        <v>100</v>
      </c>
      <c r="L1525" s="132">
        <v>1445</v>
      </c>
      <c r="M1525" s="132">
        <v>0</v>
      </c>
      <c r="N1525" s="132">
        <v>1.7919475647292E+19</v>
      </c>
    </row>
    <row r="1526" spans="4:14" ht="15" customHeight="1" x14ac:dyDescent="0.2">
      <c r="D1526" s="130" t="b">
        <v>0</v>
      </c>
      <c r="E1526" s="124" t="s">
        <v>96</v>
      </c>
      <c r="F1526" s="125" t="s">
        <v>91</v>
      </c>
      <c r="G1526" s="125">
        <v>3</v>
      </c>
      <c r="H1526" s="123">
        <v>4</v>
      </c>
      <c r="I1526" s="123" t="s">
        <v>92</v>
      </c>
      <c r="J1526" s="123" t="s">
        <v>96</v>
      </c>
      <c r="K1526" s="123" t="s">
        <v>93</v>
      </c>
      <c r="L1526" s="132">
        <v>1446</v>
      </c>
      <c r="M1526" s="132">
        <v>0</v>
      </c>
      <c r="N1526" s="132">
        <v>9.6948249367360922E+18</v>
      </c>
    </row>
    <row r="1527" spans="4:14" ht="15" customHeight="1" x14ac:dyDescent="0.2">
      <c r="D1527" s="130" t="b">
        <v>0</v>
      </c>
      <c r="E1527" s="124" t="s">
        <v>96</v>
      </c>
      <c r="F1527" s="125" t="s">
        <v>91</v>
      </c>
      <c r="G1527" s="125">
        <v>3</v>
      </c>
      <c r="H1527" s="123">
        <v>4</v>
      </c>
      <c r="I1527" s="123" t="s">
        <v>92</v>
      </c>
      <c r="J1527" s="123" t="s">
        <v>97</v>
      </c>
      <c r="K1527" s="123" t="s">
        <v>100</v>
      </c>
      <c r="L1527" s="132">
        <v>1447</v>
      </c>
      <c r="M1527" s="132">
        <v>0</v>
      </c>
      <c r="N1527" s="132">
        <v>1.0051240177238759E+19</v>
      </c>
    </row>
    <row r="1528" spans="4:14" ht="15" customHeight="1" x14ac:dyDescent="0.2">
      <c r="D1528" s="130" t="b">
        <v>0</v>
      </c>
      <c r="E1528" s="124" t="s">
        <v>96</v>
      </c>
      <c r="F1528" s="125" t="s">
        <v>91</v>
      </c>
      <c r="G1528" s="125">
        <v>3</v>
      </c>
      <c r="H1528" s="123">
        <v>4</v>
      </c>
      <c r="I1528" s="123" t="s">
        <v>92</v>
      </c>
      <c r="J1528" s="123" t="s">
        <v>91</v>
      </c>
      <c r="K1528" s="123" t="s">
        <v>101</v>
      </c>
      <c r="L1528" s="132">
        <v>1448</v>
      </c>
      <c r="M1528" s="132">
        <v>0</v>
      </c>
      <c r="N1528" s="132">
        <v>5.0058488719857244E+18</v>
      </c>
    </row>
    <row r="1529" spans="4:14" ht="15" customHeight="1" x14ac:dyDescent="0.2">
      <c r="D1529" s="130" t="b">
        <v>0</v>
      </c>
      <c r="E1529" s="124" t="s">
        <v>96</v>
      </c>
      <c r="F1529" s="125" t="s">
        <v>91</v>
      </c>
      <c r="G1529" s="125">
        <v>3</v>
      </c>
      <c r="H1529" s="123" t="s">
        <v>98</v>
      </c>
      <c r="I1529" s="123" t="s">
        <v>95</v>
      </c>
      <c r="J1529" s="123" t="s">
        <v>96</v>
      </c>
      <c r="K1529" s="123" t="s">
        <v>93</v>
      </c>
      <c r="L1529" s="132">
        <v>1449</v>
      </c>
      <c r="M1529" s="132">
        <v>0</v>
      </c>
      <c r="N1529" s="132">
        <v>4.3028336618156672E+18</v>
      </c>
    </row>
    <row r="1530" spans="4:14" ht="15" customHeight="1" x14ac:dyDescent="0.2">
      <c r="D1530" s="130" t="b">
        <v>0</v>
      </c>
      <c r="E1530" s="124" t="s">
        <v>96</v>
      </c>
      <c r="F1530" s="125" t="s">
        <v>91</v>
      </c>
      <c r="G1530" s="125">
        <v>3</v>
      </c>
      <c r="H1530" s="123" t="s">
        <v>98</v>
      </c>
      <c r="I1530" s="123" t="s">
        <v>95</v>
      </c>
      <c r="J1530" s="123" t="s">
        <v>97</v>
      </c>
      <c r="K1530" s="123" t="s">
        <v>100</v>
      </c>
      <c r="L1530" s="132">
        <v>1450</v>
      </c>
      <c r="M1530" s="132">
        <v>0</v>
      </c>
      <c r="N1530" s="132">
        <v>1.5284753455255654E+19</v>
      </c>
    </row>
    <row r="1531" spans="4:14" ht="15" customHeight="1" x14ac:dyDescent="0.2">
      <c r="D1531" s="130" t="b">
        <v>0</v>
      </c>
      <c r="E1531" s="124" t="s">
        <v>96</v>
      </c>
      <c r="F1531" s="125" t="s">
        <v>91</v>
      </c>
      <c r="G1531" s="125">
        <v>3</v>
      </c>
      <c r="H1531" s="123" t="s">
        <v>98</v>
      </c>
      <c r="I1531" s="123" t="s">
        <v>95</v>
      </c>
      <c r="J1531" s="123" t="s">
        <v>91</v>
      </c>
      <c r="K1531" s="123" t="s">
        <v>100</v>
      </c>
      <c r="L1531" s="132">
        <v>1451</v>
      </c>
      <c r="M1531" s="132">
        <v>0</v>
      </c>
      <c r="N1531" s="132">
        <v>1.4924090393136663E+19</v>
      </c>
    </row>
    <row r="1532" spans="4:14" ht="15" customHeight="1" x14ac:dyDescent="0.2">
      <c r="D1532" s="130" t="b">
        <v>0</v>
      </c>
      <c r="E1532" s="124" t="s">
        <v>96</v>
      </c>
      <c r="F1532" s="125" t="s">
        <v>91</v>
      </c>
      <c r="G1532" s="125">
        <v>3</v>
      </c>
      <c r="H1532" s="123" t="s">
        <v>98</v>
      </c>
      <c r="I1532" s="123" t="s">
        <v>97</v>
      </c>
      <c r="J1532" s="123" t="s">
        <v>96</v>
      </c>
      <c r="K1532" s="123" t="s">
        <v>93</v>
      </c>
      <c r="L1532" s="132">
        <v>1452</v>
      </c>
      <c r="M1532" s="132">
        <v>0</v>
      </c>
      <c r="N1532" s="132">
        <v>1.4192732350817534E+19</v>
      </c>
    </row>
    <row r="1533" spans="4:14" ht="15" customHeight="1" x14ac:dyDescent="0.2">
      <c r="D1533" s="130" t="b">
        <v>0</v>
      </c>
      <c r="E1533" s="124" t="s">
        <v>96</v>
      </c>
      <c r="F1533" s="125" t="s">
        <v>91</v>
      </c>
      <c r="G1533" s="125">
        <v>3</v>
      </c>
      <c r="H1533" s="123" t="s">
        <v>98</v>
      </c>
      <c r="I1533" s="123" t="s">
        <v>97</v>
      </c>
      <c r="J1533" s="123" t="s">
        <v>97</v>
      </c>
      <c r="K1533" s="123" t="s">
        <v>100</v>
      </c>
      <c r="L1533" s="132">
        <v>1453</v>
      </c>
      <c r="M1533" s="132">
        <v>0</v>
      </c>
      <c r="N1533" s="132">
        <v>7.6373447191982003E+17</v>
      </c>
    </row>
    <row r="1534" spans="4:14" ht="15" customHeight="1" x14ac:dyDescent="0.2">
      <c r="D1534" s="130" t="b">
        <v>0</v>
      </c>
      <c r="E1534" s="124" t="s">
        <v>96</v>
      </c>
      <c r="F1534" s="125" t="s">
        <v>91</v>
      </c>
      <c r="G1534" s="125">
        <v>3</v>
      </c>
      <c r="H1534" s="123" t="s">
        <v>98</v>
      </c>
      <c r="I1534" s="123" t="s">
        <v>97</v>
      </c>
      <c r="J1534" s="123" t="s">
        <v>91</v>
      </c>
      <c r="K1534" s="123" t="s">
        <v>101</v>
      </c>
      <c r="L1534" s="132">
        <v>1454</v>
      </c>
      <c r="M1534" s="132">
        <v>0</v>
      </c>
      <c r="N1534" s="132">
        <v>3.4009397017434765E+17</v>
      </c>
    </row>
    <row r="1535" spans="4:14" ht="15" customHeight="1" x14ac:dyDescent="0.2">
      <c r="D1535" s="130" t="b">
        <v>0</v>
      </c>
      <c r="E1535" s="124" t="s">
        <v>96</v>
      </c>
      <c r="F1535" s="125" t="s">
        <v>91</v>
      </c>
      <c r="G1535" s="125">
        <v>3</v>
      </c>
      <c r="H1535" s="123" t="s">
        <v>98</v>
      </c>
      <c r="I1535" s="123" t="s">
        <v>92</v>
      </c>
      <c r="J1535" s="123" t="s">
        <v>96</v>
      </c>
      <c r="K1535" s="123" t="s">
        <v>93</v>
      </c>
      <c r="L1535" s="132">
        <v>1455</v>
      </c>
      <c r="M1535" s="132">
        <v>0</v>
      </c>
      <c r="N1535" s="132">
        <v>2.6363021549886556E+18</v>
      </c>
    </row>
    <row r="1536" spans="4:14" ht="15" customHeight="1" x14ac:dyDescent="0.2">
      <c r="D1536" s="130" t="b">
        <v>0</v>
      </c>
      <c r="E1536" s="124" t="s">
        <v>96</v>
      </c>
      <c r="F1536" s="125" t="s">
        <v>91</v>
      </c>
      <c r="G1536" s="125">
        <v>3</v>
      </c>
      <c r="H1536" s="123" t="s">
        <v>98</v>
      </c>
      <c r="I1536" s="123" t="s">
        <v>92</v>
      </c>
      <c r="J1536" s="123" t="s">
        <v>97</v>
      </c>
      <c r="K1536" s="123" t="s">
        <v>100</v>
      </c>
      <c r="L1536" s="132">
        <v>1456</v>
      </c>
      <c r="M1536" s="132">
        <v>0</v>
      </c>
      <c r="N1536" s="132">
        <v>1.7029889299065154E+19</v>
      </c>
    </row>
    <row r="1537" spans="4:14" ht="15" customHeight="1" x14ac:dyDescent="0.2">
      <c r="D1537" s="130" t="b">
        <v>0</v>
      </c>
      <c r="E1537" s="124" t="s">
        <v>96</v>
      </c>
      <c r="F1537" s="125" t="s">
        <v>91</v>
      </c>
      <c r="G1537" s="125">
        <v>3</v>
      </c>
      <c r="H1537" s="123" t="s">
        <v>98</v>
      </c>
      <c r="I1537" s="123" t="s">
        <v>92</v>
      </c>
      <c r="J1537" s="123" t="s">
        <v>91</v>
      </c>
      <c r="K1537" s="123" t="s">
        <v>101</v>
      </c>
      <c r="L1537" s="132">
        <v>1457</v>
      </c>
      <c r="M1537" s="132">
        <v>0</v>
      </c>
      <c r="N1537" s="132">
        <v>4.7228735839684741E+18</v>
      </c>
    </row>
    <row r="1538" spans="4:14" ht="15" customHeight="1" x14ac:dyDescent="0.2">
      <c r="D1538" s="130" t="b">
        <v>0</v>
      </c>
      <c r="E1538" s="124" t="s">
        <v>96</v>
      </c>
      <c r="F1538" s="125" t="s">
        <v>91</v>
      </c>
      <c r="G1538" s="125">
        <v>4</v>
      </c>
      <c r="H1538" s="123">
        <v>2</v>
      </c>
      <c r="I1538" s="123" t="s">
        <v>95</v>
      </c>
      <c r="J1538" s="123" t="s">
        <v>96</v>
      </c>
      <c r="K1538" s="123" t="s">
        <v>93</v>
      </c>
      <c r="L1538" s="132">
        <v>1458</v>
      </c>
      <c r="M1538" s="132">
        <v>0</v>
      </c>
      <c r="N1538" s="132">
        <v>1.2901677330236068E+19</v>
      </c>
    </row>
    <row r="1539" spans="4:14" ht="15" customHeight="1" x14ac:dyDescent="0.2">
      <c r="D1539" s="130" t="b">
        <v>0</v>
      </c>
      <c r="E1539" s="124" t="s">
        <v>96</v>
      </c>
      <c r="F1539" s="125" t="s">
        <v>91</v>
      </c>
      <c r="G1539" s="125">
        <v>4</v>
      </c>
      <c r="H1539" s="123">
        <v>2</v>
      </c>
      <c r="I1539" s="123" t="s">
        <v>95</v>
      </c>
      <c r="J1539" s="123" t="s">
        <v>97</v>
      </c>
      <c r="K1539" s="123" t="s">
        <v>93</v>
      </c>
      <c r="L1539" s="132">
        <v>1459</v>
      </c>
      <c r="M1539" s="132">
        <v>0</v>
      </c>
      <c r="N1539" s="132">
        <v>4.5990264808178408E+16</v>
      </c>
    </row>
    <row r="1540" spans="4:14" ht="15" customHeight="1" x14ac:dyDescent="0.2">
      <c r="D1540" s="130" t="b">
        <v>0</v>
      </c>
      <c r="E1540" s="124" t="s">
        <v>96</v>
      </c>
      <c r="F1540" s="125" t="s">
        <v>91</v>
      </c>
      <c r="G1540" s="125">
        <v>4</v>
      </c>
      <c r="H1540" s="123">
        <v>2</v>
      </c>
      <c r="I1540" s="123" t="s">
        <v>95</v>
      </c>
      <c r="J1540" s="123" t="s">
        <v>91</v>
      </c>
      <c r="K1540" s="123" t="s">
        <v>93</v>
      </c>
      <c r="L1540" s="132">
        <v>1460</v>
      </c>
      <c r="M1540" s="132">
        <v>0</v>
      </c>
      <c r="N1540" s="132">
        <v>1.0416534213450459E+19</v>
      </c>
    </row>
    <row r="1541" spans="4:14" ht="15" customHeight="1" x14ac:dyDescent="0.2">
      <c r="D1541" s="130" t="b">
        <v>0</v>
      </c>
      <c r="E1541" s="124" t="s">
        <v>96</v>
      </c>
      <c r="F1541" s="125" t="s">
        <v>91</v>
      </c>
      <c r="G1541" s="125">
        <v>4</v>
      </c>
      <c r="H1541" s="123">
        <v>2</v>
      </c>
      <c r="I1541" s="123" t="s">
        <v>97</v>
      </c>
      <c r="J1541" s="123" t="s">
        <v>96</v>
      </c>
      <c r="K1541" s="123" t="s">
        <v>93</v>
      </c>
      <c r="L1541" s="132">
        <v>1461</v>
      </c>
      <c r="M1541" s="132">
        <v>0</v>
      </c>
      <c r="N1541" s="132">
        <v>1.5948769535191671E+19</v>
      </c>
    </row>
    <row r="1542" spans="4:14" ht="15" customHeight="1" x14ac:dyDescent="0.2">
      <c r="D1542" s="130" t="b">
        <v>0</v>
      </c>
      <c r="E1542" s="124" t="s">
        <v>96</v>
      </c>
      <c r="F1542" s="125" t="s">
        <v>91</v>
      </c>
      <c r="G1542" s="125">
        <v>4</v>
      </c>
      <c r="H1542" s="123">
        <v>2</v>
      </c>
      <c r="I1542" s="123" t="s">
        <v>97</v>
      </c>
      <c r="J1542" s="123" t="s">
        <v>97</v>
      </c>
      <c r="K1542" s="123" t="s">
        <v>93</v>
      </c>
      <c r="L1542" s="132">
        <v>1462</v>
      </c>
      <c r="M1542" s="132">
        <v>0</v>
      </c>
      <c r="N1542" s="132">
        <v>1.414184707048279E+19</v>
      </c>
    </row>
    <row r="1543" spans="4:14" ht="15" customHeight="1" x14ac:dyDescent="0.2">
      <c r="D1543" s="130" t="b">
        <v>0</v>
      </c>
      <c r="E1543" s="124" t="s">
        <v>96</v>
      </c>
      <c r="F1543" s="125" t="s">
        <v>91</v>
      </c>
      <c r="G1543" s="125">
        <v>4</v>
      </c>
      <c r="H1543" s="123">
        <v>2</v>
      </c>
      <c r="I1543" s="123" t="s">
        <v>97</v>
      </c>
      <c r="J1543" s="123" t="s">
        <v>91</v>
      </c>
      <c r="K1543" s="123" t="s">
        <v>93</v>
      </c>
      <c r="L1543" s="132">
        <v>1463</v>
      </c>
      <c r="M1543" s="132">
        <v>0</v>
      </c>
      <c r="N1543" s="132">
        <v>1.4439449089715966E+19</v>
      </c>
    </row>
    <row r="1544" spans="4:14" ht="15" customHeight="1" x14ac:dyDescent="0.2">
      <c r="D1544" s="130" t="b">
        <v>0</v>
      </c>
      <c r="E1544" s="124" t="s">
        <v>96</v>
      </c>
      <c r="F1544" s="125" t="s">
        <v>91</v>
      </c>
      <c r="G1544" s="125">
        <v>4</v>
      </c>
      <c r="H1544" s="123">
        <v>2</v>
      </c>
      <c r="I1544" s="123" t="s">
        <v>92</v>
      </c>
      <c r="J1544" s="123" t="s">
        <v>96</v>
      </c>
      <c r="K1544" s="123" t="s">
        <v>93</v>
      </c>
      <c r="L1544" s="132">
        <v>1464</v>
      </c>
      <c r="M1544" s="132">
        <v>0</v>
      </c>
      <c r="N1544" s="132">
        <v>8.8163785896688671E+18</v>
      </c>
    </row>
    <row r="1545" spans="4:14" ht="15" customHeight="1" x14ac:dyDescent="0.2">
      <c r="D1545" s="130" t="b">
        <v>0</v>
      </c>
      <c r="E1545" s="124" t="s">
        <v>96</v>
      </c>
      <c r="F1545" s="125" t="s">
        <v>91</v>
      </c>
      <c r="G1545" s="125">
        <v>4</v>
      </c>
      <c r="H1545" s="123">
        <v>2</v>
      </c>
      <c r="I1545" s="123" t="s">
        <v>92</v>
      </c>
      <c r="J1545" s="123" t="s">
        <v>97</v>
      </c>
      <c r="K1545" s="123" t="s">
        <v>93</v>
      </c>
      <c r="L1545" s="132">
        <v>1465</v>
      </c>
      <c r="M1545" s="132">
        <v>0</v>
      </c>
      <c r="N1545" s="132">
        <v>9.9690432394751324E+18</v>
      </c>
    </row>
    <row r="1546" spans="4:14" ht="15" customHeight="1" x14ac:dyDescent="0.2">
      <c r="D1546" s="130" t="b">
        <v>0</v>
      </c>
      <c r="E1546" s="124" t="s">
        <v>96</v>
      </c>
      <c r="F1546" s="125" t="s">
        <v>91</v>
      </c>
      <c r="G1546" s="125">
        <v>4</v>
      </c>
      <c r="H1546" s="123">
        <v>2</v>
      </c>
      <c r="I1546" s="123" t="s">
        <v>92</v>
      </c>
      <c r="J1546" s="123" t="s">
        <v>91</v>
      </c>
      <c r="K1546" s="123" t="s">
        <v>93</v>
      </c>
      <c r="L1546" s="132">
        <v>1466</v>
      </c>
      <c r="M1546" s="132">
        <v>0</v>
      </c>
      <c r="N1546" s="132">
        <v>1.2021285980335596E+19</v>
      </c>
    </row>
    <row r="1547" spans="4:14" ht="15" customHeight="1" x14ac:dyDescent="0.2">
      <c r="D1547" s="130" t="b">
        <v>0</v>
      </c>
      <c r="E1547" s="124" t="s">
        <v>96</v>
      </c>
      <c r="F1547" s="125" t="s">
        <v>91</v>
      </c>
      <c r="G1547" s="125">
        <v>4</v>
      </c>
      <c r="H1547" s="123">
        <v>4</v>
      </c>
      <c r="I1547" s="123" t="s">
        <v>95</v>
      </c>
      <c r="J1547" s="123" t="s">
        <v>96</v>
      </c>
      <c r="K1547" s="123" t="s">
        <v>93</v>
      </c>
      <c r="L1547" s="132">
        <v>1467</v>
      </c>
      <c r="M1547" s="132">
        <v>0</v>
      </c>
      <c r="N1547" s="132">
        <v>1.026415740318286E+19</v>
      </c>
    </row>
    <row r="1548" spans="4:14" ht="15" customHeight="1" x14ac:dyDescent="0.2">
      <c r="D1548" s="130" t="b">
        <v>0</v>
      </c>
      <c r="E1548" s="124" t="s">
        <v>96</v>
      </c>
      <c r="F1548" s="125" t="s">
        <v>91</v>
      </c>
      <c r="G1548" s="125">
        <v>4</v>
      </c>
      <c r="H1548" s="123">
        <v>4</v>
      </c>
      <c r="I1548" s="123" t="s">
        <v>95</v>
      </c>
      <c r="J1548" s="123" t="s">
        <v>97</v>
      </c>
      <c r="K1548" s="123" t="s">
        <v>100</v>
      </c>
      <c r="L1548" s="132">
        <v>1468</v>
      </c>
      <c r="M1548" s="132">
        <v>0</v>
      </c>
      <c r="N1548" s="132">
        <v>1.3503484367623789E+19</v>
      </c>
    </row>
    <row r="1549" spans="4:14" ht="15" customHeight="1" x14ac:dyDescent="0.2">
      <c r="D1549" s="130" t="b">
        <v>0</v>
      </c>
      <c r="E1549" s="124" t="s">
        <v>96</v>
      </c>
      <c r="F1549" s="125" t="s">
        <v>91</v>
      </c>
      <c r="G1549" s="125">
        <v>4</v>
      </c>
      <c r="H1549" s="123">
        <v>4</v>
      </c>
      <c r="I1549" s="123" t="s">
        <v>95</v>
      </c>
      <c r="J1549" s="123" t="s">
        <v>91</v>
      </c>
      <c r="K1549" s="123" t="s">
        <v>100</v>
      </c>
      <c r="L1549" s="132">
        <v>1469</v>
      </c>
      <c r="M1549" s="132">
        <v>0</v>
      </c>
      <c r="N1549" s="132">
        <v>1.5023488596860674E+19</v>
      </c>
    </row>
    <row r="1550" spans="4:14" ht="15" customHeight="1" x14ac:dyDescent="0.2">
      <c r="D1550" s="130" t="b">
        <v>0</v>
      </c>
      <c r="E1550" s="124" t="s">
        <v>96</v>
      </c>
      <c r="F1550" s="125" t="s">
        <v>91</v>
      </c>
      <c r="G1550" s="125">
        <v>4</v>
      </c>
      <c r="H1550" s="123">
        <v>4</v>
      </c>
      <c r="I1550" s="123" t="s">
        <v>97</v>
      </c>
      <c r="J1550" s="123" t="s">
        <v>96</v>
      </c>
      <c r="K1550" s="123" t="s">
        <v>93</v>
      </c>
      <c r="L1550" s="132">
        <v>1470</v>
      </c>
      <c r="M1550" s="132">
        <v>0</v>
      </c>
      <c r="N1550" s="132">
        <v>1.4065097709659179E+19</v>
      </c>
    </row>
    <row r="1551" spans="4:14" ht="15" customHeight="1" x14ac:dyDescent="0.2">
      <c r="D1551" s="130" t="b">
        <v>0</v>
      </c>
      <c r="E1551" s="124" t="s">
        <v>96</v>
      </c>
      <c r="F1551" s="125" t="s">
        <v>91</v>
      </c>
      <c r="G1551" s="125">
        <v>4</v>
      </c>
      <c r="H1551" s="123">
        <v>4</v>
      </c>
      <c r="I1551" s="123" t="s">
        <v>97</v>
      </c>
      <c r="J1551" s="123" t="s">
        <v>97</v>
      </c>
      <c r="K1551" s="123" t="s">
        <v>100</v>
      </c>
      <c r="L1551" s="132">
        <v>1471</v>
      </c>
      <c r="M1551" s="132">
        <v>0</v>
      </c>
      <c r="N1551" s="132">
        <v>1.3095366750290981E+19</v>
      </c>
    </row>
    <row r="1552" spans="4:14" ht="15" customHeight="1" x14ac:dyDescent="0.2">
      <c r="D1552" s="130" t="b">
        <v>0</v>
      </c>
      <c r="E1552" s="124" t="s">
        <v>96</v>
      </c>
      <c r="F1552" s="125" t="s">
        <v>91</v>
      </c>
      <c r="G1552" s="125">
        <v>4</v>
      </c>
      <c r="H1552" s="123">
        <v>4</v>
      </c>
      <c r="I1552" s="123" t="s">
        <v>97</v>
      </c>
      <c r="J1552" s="123" t="s">
        <v>91</v>
      </c>
      <c r="K1552" s="123" t="s">
        <v>101</v>
      </c>
      <c r="L1552" s="132">
        <v>1472</v>
      </c>
      <c r="M1552" s="132">
        <v>0</v>
      </c>
      <c r="N1552" s="132">
        <v>2.7950488052414833E+18</v>
      </c>
    </row>
    <row r="1553" spans="4:14" ht="15" customHeight="1" x14ac:dyDescent="0.2">
      <c r="D1553" s="130" t="b">
        <v>0</v>
      </c>
      <c r="E1553" s="124" t="s">
        <v>96</v>
      </c>
      <c r="F1553" s="125" t="s">
        <v>91</v>
      </c>
      <c r="G1553" s="125">
        <v>4</v>
      </c>
      <c r="H1553" s="123">
        <v>4</v>
      </c>
      <c r="I1553" s="123" t="s">
        <v>92</v>
      </c>
      <c r="J1553" s="123" t="s">
        <v>96</v>
      </c>
      <c r="K1553" s="123" t="s">
        <v>93</v>
      </c>
      <c r="L1553" s="132">
        <v>1473</v>
      </c>
      <c r="M1553" s="132">
        <v>0</v>
      </c>
      <c r="N1553" s="132">
        <v>1.8445920976651612E+19</v>
      </c>
    </row>
    <row r="1554" spans="4:14" ht="15" customHeight="1" x14ac:dyDescent="0.2">
      <c r="D1554" s="130" t="b">
        <v>0</v>
      </c>
      <c r="E1554" s="124" t="s">
        <v>96</v>
      </c>
      <c r="F1554" s="125" t="s">
        <v>91</v>
      </c>
      <c r="G1554" s="125">
        <v>4</v>
      </c>
      <c r="H1554" s="123">
        <v>4</v>
      </c>
      <c r="I1554" s="123" t="s">
        <v>92</v>
      </c>
      <c r="J1554" s="123" t="s">
        <v>97</v>
      </c>
      <c r="K1554" s="123" t="s">
        <v>100</v>
      </c>
      <c r="L1554" s="132">
        <v>1474</v>
      </c>
      <c r="M1554" s="132">
        <v>0</v>
      </c>
      <c r="N1554" s="132">
        <v>2.0339826226448801E+18</v>
      </c>
    </row>
    <row r="1555" spans="4:14" ht="15" customHeight="1" x14ac:dyDescent="0.2">
      <c r="D1555" s="130" t="b">
        <v>0</v>
      </c>
      <c r="E1555" s="124" t="s">
        <v>96</v>
      </c>
      <c r="F1555" s="125" t="s">
        <v>91</v>
      </c>
      <c r="G1555" s="125">
        <v>4</v>
      </c>
      <c r="H1555" s="123">
        <v>4</v>
      </c>
      <c r="I1555" s="123" t="s">
        <v>92</v>
      </c>
      <c r="J1555" s="123" t="s">
        <v>91</v>
      </c>
      <c r="K1555" s="123" t="s">
        <v>101</v>
      </c>
      <c r="L1555" s="132">
        <v>1475</v>
      </c>
      <c r="M1555" s="132">
        <v>0</v>
      </c>
      <c r="N1555" s="132">
        <v>1.7654083933998707E+18</v>
      </c>
    </row>
    <row r="1556" spans="4:14" ht="15" customHeight="1" x14ac:dyDescent="0.2">
      <c r="D1556" s="130" t="b">
        <v>0</v>
      </c>
      <c r="E1556" s="124" t="s">
        <v>96</v>
      </c>
      <c r="F1556" s="125" t="s">
        <v>91</v>
      </c>
      <c r="G1556" s="125">
        <v>4</v>
      </c>
      <c r="H1556" s="123" t="s">
        <v>98</v>
      </c>
      <c r="I1556" s="123" t="s">
        <v>95</v>
      </c>
      <c r="J1556" s="123" t="s">
        <v>96</v>
      </c>
      <c r="K1556" s="123" t="s">
        <v>93</v>
      </c>
      <c r="L1556" s="132">
        <v>1476</v>
      </c>
      <c r="M1556" s="132">
        <v>0</v>
      </c>
      <c r="N1556" s="132">
        <v>1.6824756613751267E+19</v>
      </c>
    </row>
    <row r="1557" spans="4:14" ht="15" customHeight="1" x14ac:dyDescent="0.2">
      <c r="D1557" s="130" t="b">
        <v>0</v>
      </c>
      <c r="E1557" s="124" t="s">
        <v>96</v>
      </c>
      <c r="F1557" s="125" t="s">
        <v>91</v>
      </c>
      <c r="G1557" s="125">
        <v>4</v>
      </c>
      <c r="H1557" s="123" t="s">
        <v>98</v>
      </c>
      <c r="I1557" s="123" t="s">
        <v>95</v>
      </c>
      <c r="J1557" s="123" t="s">
        <v>97</v>
      </c>
      <c r="K1557" s="123" t="s">
        <v>100</v>
      </c>
      <c r="L1557" s="132">
        <v>1477</v>
      </c>
      <c r="M1557" s="132">
        <v>0</v>
      </c>
      <c r="N1557" s="132">
        <v>1.0447596320302111E+19</v>
      </c>
    </row>
    <row r="1558" spans="4:14" ht="15" customHeight="1" x14ac:dyDescent="0.2">
      <c r="D1558" s="130" t="b">
        <v>0</v>
      </c>
      <c r="E1558" s="124" t="s">
        <v>96</v>
      </c>
      <c r="F1558" s="125" t="s">
        <v>91</v>
      </c>
      <c r="G1558" s="125">
        <v>4</v>
      </c>
      <c r="H1558" s="123" t="s">
        <v>98</v>
      </c>
      <c r="I1558" s="123" t="s">
        <v>95</v>
      </c>
      <c r="J1558" s="123" t="s">
        <v>91</v>
      </c>
      <c r="K1558" s="123" t="s">
        <v>100</v>
      </c>
      <c r="L1558" s="132">
        <v>1478</v>
      </c>
      <c r="M1558" s="132">
        <v>0</v>
      </c>
      <c r="N1558" s="132">
        <v>1.0075737232506616E+19</v>
      </c>
    </row>
    <row r="1559" spans="4:14" ht="15" customHeight="1" x14ac:dyDescent="0.2">
      <c r="D1559" s="130" t="b">
        <v>0</v>
      </c>
      <c r="E1559" s="124" t="s">
        <v>96</v>
      </c>
      <c r="F1559" s="125" t="s">
        <v>91</v>
      </c>
      <c r="G1559" s="125">
        <v>4</v>
      </c>
      <c r="H1559" s="123" t="s">
        <v>98</v>
      </c>
      <c r="I1559" s="123" t="s">
        <v>97</v>
      </c>
      <c r="J1559" s="123" t="s">
        <v>96</v>
      </c>
      <c r="K1559" s="123" t="s">
        <v>93</v>
      </c>
      <c r="L1559" s="132">
        <v>1479</v>
      </c>
      <c r="M1559" s="132">
        <v>0</v>
      </c>
      <c r="N1559" s="132">
        <v>8.034126138712824E+16</v>
      </c>
    </row>
    <row r="1560" spans="4:14" ht="15" customHeight="1" x14ac:dyDescent="0.2">
      <c r="D1560" s="130" t="b">
        <v>0</v>
      </c>
      <c r="E1560" s="124" t="s">
        <v>96</v>
      </c>
      <c r="F1560" s="125" t="s">
        <v>91</v>
      </c>
      <c r="G1560" s="125">
        <v>4</v>
      </c>
      <c r="H1560" s="123" t="s">
        <v>98</v>
      </c>
      <c r="I1560" s="123" t="s">
        <v>97</v>
      </c>
      <c r="J1560" s="123" t="s">
        <v>97</v>
      </c>
      <c r="K1560" s="123" t="s">
        <v>100</v>
      </c>
      <c r="L1560" s="132">
        <v>1480</v>
      </c>
      <c r="M1560" s="132">
        <v>0</v>
      </c>
      <c r="N1560" s="132">
        <v>1.723312022643719E+19</v>
      </c>
    </row>
    <row r="1561" spans="4:14" ht="15" customHeight="1" x14ac:dyDescent="0.2">
      <c r="D1561" s="130" t="b">
        <v>0</v>
      </c>
      <c r="E1561" s="124" t="s">
        <v>96</v>
      </c>
      <c r="F1561" s="125" t="s">
        <v>91</v>
      </c>
      <c r="G1561" s="125">
        <v>4</v>
      </c>
      <c r="H1561" s="123" t="s">
        <v>98</v>
      </c>
      <c r="I1561" s="123" t="s">
        <v>97</v>
      </c>
      <c r="J1561" s="123" t="s">
        <v>91</v>
      </c>
      <c r="K1561" s="123" t="s">
        <v>101</v>
      </c>
      <c r="L1561" s="132">
        <v>1481</v>
      </c>
      <c r="M1561" s="132">
        <v>0</v>
      </c>
      <c r="N1561" s="132">
        <v>1.7371442863357823E+19</v>
      </c>
    </row>
    <row r="1562" spans="4:14" ht="15" customHeight="1" x14ac:dyDescent="0.2">
      <c r="D1562" s="130" t="b">
        <v>0</v>
      </c>
      <c r="E1562" s="124" t="s">
        <v>96</v>
      </c>
      <c r="F1562" s="125" t="s">
        <v>91</v>
      </c>
      <c r="G1562" s="125">
        <v>4</v>
      </c>
      <c r="H1562" s="123" t="s">
        <v>98</v>
      </c>
      <c r="I1562" s="123" t="s">
        <v>92</v>
      </c>
      <c r="J1562" s="123" t="s">
        <v>96</v>
      </c>
      <c r="K1562" s="123" t="s">
        <v>93</v>
      </c>
      <c r="L1562" s="132">
        <v>1482</v>
      </c>
      <c r="M1562" s="132">
        <v>0</v>
      </c>
      <c r="N1562" s="132">
        <v>1.5439561337930856E+19</v>
      </c>
    </row>
    <row r="1563" spans="4:14" ht="15" customHeight="1" x14ac:dyDescent="0.2">
      <c r="D1563" s="130" t="b">
        <v>0</v>
      </c>
      <c r="E1563" s="124" t="s">
        <v>96</v>
      </c>
      <c r="F1563" s="125" t="s">
        <v>91</v>
      </c>
      <c r="G1563" s="125">
        <v>4</v>
      </c>
      <c r="H1563" s="123" t="s">
        <v>98</v>
      </c>
      <c r="I1563" s="123" t="s">
        <v>92</v>
      </c>
      <c r="J1563" s="123" t="s">
        <v>97</v>
      </c>
      <c r="K1563" s="123" t="s">
        <v>100</v>
      </c>
      <c r="L1563" s="132">
        <v>1483</v>
      </c>
      <c r="M1563" s="132">
        <v>0</v>
      </c>
      <c r="N1563" s="132">
        <v>3.1627670213127578E+18</v>
      </c>
    </row>
    <row r="1564" spans="4:14" ht="15" customHeight="1" x14ac:dyDescent="0.2">
      <c r="D1564" s="130" t="b">
        <v>0</v>
      </c>
      <c r="E1564" s="124" t="s">
        <v>96</v>
      </c>
      <c r="F1564" s="125" t="s">
        <v>91</v>
      </c>
      <c r="G1564" s="125">
        <v>4</v>
      </c>
      <c r="H1564" s="123" t="s">
        <v>98</v>
      </c>
      <c r="I1564" s="123" t="s">
        <v>92</v>
      </c>
      <c r="J1564" s="123" t="s">
        <v>91</v>
      </c>
      <c r="K1564" s="123" t="s">
        <v>101</v>
      </c>
      <c r="L1564" s="132">
        <v>1484</v>
      </c>
      <c r="M1564" s="132">
        <v>0</v>
      </c>
      <c r="N1564" s="132">
        <v>1.4559616833700608E+19</v>
      </c>
    </row>
    <row r="1565" spans="4:14" ht="15" customHeight="1" x14ac:dyDescent="0.2">
      <c r="D1565" s="130" t="b">
        <v>0</v>
      </c>
      <c r="E1565" s="124" t="s">
        <v>96</v>
      </c>
      <c r="F1565" s="125" t="s">
        <v>91</v>
      </c>
      <c r="G1565" s="125" t="s">
        <v>99</v>
      </c>
      <c r="H1565" s="123">
        <v>2</v>
      </c>
      <c r="I1565" s="123" t="s">
        <v>95</v>
      </c>
      <c r="J1565" s="123" t="s">
        <v>96</v>
      </c>
      <c r="K1565" s="123" t="s">
        <v>93</v>
      </c>
      <c r="L1565" s="132">
        <v>1485</v>
      </c>
      <c r="M1565" s="132">
        <v>0</v>
      </c>
      <c r="N1565" s="132">
        <v>1.6375485355376785E+19</v>
      </c>
    </row>
    <row r="1566" spans="4:14" ht="15" customHeight="1" x14ac:dyDescent="0.2">
      <c r="D1566" s="130" t="b">
        <v>0</v>
      </c>
      <c r="E1566" s="124" t="s">
        <v>96</v>
      </c>
      <c r="F1566" s="125" t="s">
        <v>91</v>
      </c>
      <c r="G1566" s="125" t="s">
        <v>99</v>
      </c>
      <c r="H1566" s="123">
        <v>2</v>
      </c>
      <c r="I1566" s="123" t="s">
        <v>95</v>
      </c>
      <c r="J1566" s="123" t="s">
        <v>97</v>
      </c>
      <c r="K1566" s="123" t="s">
        <v>93</v>
      </c>
      <c r="L1566" s="132">
        <v>1486</v>
      </c>
      <c r="M1566" s="132">
        <v>0</v>
      </c>
      <c r="N1566" s="132">
        <v>8.8814018389101251E+18</v>
      </c>
    </row>
    <row r="1567" spans="4:14" ht="15" customHeight="1" x14ac:dyDescent="0.2">
      <c r="D1567" s="130" t="b">
        <v>0</v>
      </c>
      <c r="E1567" s="124" t="s">
        <v>96</v>
      </c>
      <c r="F1567" s="125" t="s">
        <v>91</v>
      </c>
      <c r="G1567" s="125" t="s">
        <v>99</v>
      </c>
      <c r="H1567" s="123">
        <v>2</v>
      </c>
      <c r="I1567" s="123" t="s">
        <v>95</v>
      </c>
      <c r="J1567" s="123" t="s">
        <v>91</v>
      </c>
      <c r="K1567" s="123" t="s">
        <v>93</v>
      </c>
      <c r="L1567" s="132">
        <v>1487</v>
      </c>
      <c r="M1567" s="132">
        <v>0</v>
      </c>
      <c r="N1567" s="132">
        <v>1.11594226438691E+19</v>
      </c>
    </row>
    <row r="1568" spans="4:14" ht="15" customHeight="1" x14ac:dyDescent="0.2">
      <c r="D1568" s="130" t="b">
        <v>0</v>
      </c>
      <c r="E1568" s="124" t="s">
        <v>96</v>
      </c>
      <c r="F1568" s="125" t="s">
        <v>91</v>
      </c>
      <c r="G1568" s="125" t="s">
        <v>99</v>
      </c>
      <c r="H1568" s="123">
        <v>2</v>
      </c>
      <c r="I1568" s="123" t="s">
        <v>97</v>
      </c>
      <c r="J1568" s="123" t="s">
        <v>96</v>
      </c>
      <c r="K1568" s="123" t="s">
        <v>93</v>
      </c>
      <c r="L1568" s="132">
        <v>1488</v>
      </c>
      <c r="M1568" s="132">
        <v>0</v>
      </c>
      <c r="N1568" s="132">
        <v>1.3155980213599189E+19</v>
      </c>
    </row>
    <row r="1569" spans="4:14" ht="15" customHeight="1" x14ac:dyDescent="0.2">
      <c r="D1569" s="130" t="b">
        <v>0</v>
      </c>
      <c r="E1569" s="124" t="s">
        <v>96</v>
      </c>
      <c r="F1569" s="125" t="s">
        <v>91</v>
      </c>
      <c r="G1569" s="125" t="s">
        <v>99</v>
      </c>
      <c r="H1569" s="123">
        <v>2</v>
      </c>
      <c r="I1569" s="123" t="s">
        <v>97</v>
      </c>
      <c r="J1569" s="123" t="s">
        <v>97</v>
      </c>
      <c r="K1569" s="123" t="s">
        <v>93</v>
      </c>
      <c r="L1569" s="132">
        <v>1489</v>
      </c>
      <c r="M1569" s="132">
        <v>0</v>
      </c>
      <c r="N1569" s="132">
        <v>1.7886775214532233E+19</v>
      </c>
    </row>
    <row r="1570" spans="4:14" ht="15" customHeight="1" x14ac:dyDescent="0.2">
      <c r="D1570" s="130" t="b">
        <v>0</v>
      </c>
      <c r="E1570" s="124" t="s">
        <v>96</v>
      </c>
      <c r="F1570" s="125" t="s">
        <v>91</v>
      </c>
      <c r="G1570" s="125" t="s">
        <v>99</v>
      </c>
      <c r="H1570" s="123">
        <v>2</v>
      </c>
      <c r="I1570" s="123" t="s">
        <v>97</v>
      </c>
      <c r="J1570" s="123" t="s">
        <v>91</v>
      </c>
      <c r="K1570" s="123" t="s">
        <v>93</v>
      </c>
      <c r="L1570" s="132">
        <v>1490</v>
      </c>
      <c r="M1570" s="132">
        <v>0</v>
      </c>
      <c r="N1570" s="132">
        <v>1.2785866516477778E+19</v>
      </c>
    </row>
    <row r="1571" spans="4:14" ht="15" customHeight="1" x14ac:dyDescent="0.2">
      <c r="D1571" s="130" t="b">
        <v>0</v>
      </c>
      <c r="E1571" s="124" t="s">
        <v>96</v>
      </c>
      <c r="F1571" s="125" t="s">
        <v>91</v>
      </c>
      <c r="G1571" s="125" t="s">
        <v>99</v>
      </c>
      <c r="H1571" s="123">
        <v>2</v>
      </c>
      <c r="I1571" s="123" t="s">
        <v>92</v>
      </c>
      <c r="J1571" s="123" t="s">
        <v>96</v>
      </c>
      <c r="K1571" s="123" t="s">
        <v>93</v>
      </c>
      <c r="L1571" s="132">
        <v>1491</v>
      </c>
      <c r="M1571" s="132">
        <v>0</v>
      </c>
      <c r="N1571" s="132">
        <v>1.6319223252878088E+18</v>
      </c>
    </row>
    <row r="1572" spans="4:14" ht="15" customHeight="1" x14ac:dyDescent="0.2">
      <c r="D1572" s="130" t="b">
        <v>0</v>
      </c>
      <c r="E1572" s="124" t="s">
        <v>96</v>
      </c>
      <c r="F1572" s="125" t="s">
        <v>91</v>
      </c>
      <c r="G1572" s="125" t="s">
        <v>99</v>
      </c>
      <c r="H1572" s="123">
        <v>2</v>
      </c>
      <c r="I1572" s="123" t="s">
        <v>92</v>
      </c>
      <c r="J1572" s="123" t="s">
        <v>97</v>
      </c>
      <c r="K1572" s="123" t="s">
        <v>93</v>
      </c>
      <c r="L1572" s="132">
        <v>1492</v>
      </c>
      <c r="M1572" s="132">
        <v>0</v>
      </c>
      <c r="N1572" s="132">
        <v>4.159710723375126E+18</v>
      </c>
    </row>
    <row r="1573" spans="4:14" ht="15" customHeight="1" x14ac:dyDescent="0.2">
      <c r="D1573" s="130" t="b">
        <v>0</v>
      </c>
      <c r="E1573" s="124" t="s">
        <v>96</v>
      </c>
      <c r="F1573" s="125" t="s">
        <v>91</v>
      </c>
      <c r="G1573" s="125" t="s">
        <v>99</v>
      </c>
      <c r="H1573" s="123">
        <v>2</v>
      </c>
      <c r="I1573" s="123" t="s">
        <v>92</v>
      </c>
      <c r="J1573" s="123" t="s">
        <v>91</v>
      </c>
      <c r="K1573" s="123" t="s">
        <v>93</v>
      </c>
      <c r="L1573" s="132">
        <v>1493</v>
      </c>
      <c r="M1573" s="132">
        <v>0</v>
      </c>
      <c r="N1573" s="132">
        <v>7.0013024839909407E+18</v>
      </c>
    </row>
    <row r="1574" spans="4:14" ht="15" customHeight="1" x14ac:dyDescent="0.2">
      <c r="D1574" s="130" t="b">
        <v>0</v>
      </c>
      <c r="E1574" s="124" t="s">
        <v>96</v>
      </c>
      <c r="F1574" s="125" t="s">
        <v>91</v>
      </c>
      <c r="G1574" s="125" t="s">
        <v>99</v>
      </c>
      <c r="H1574" s="123">
        <v>4</v>
      </c>
      <c r="I1574" s="123" t="s">
        <v>95</v>
      </c>
      <c r="J1574" s="123" t="s">
        <v>96</v>
      </c>
      <c r="K1574" s="123" t="s">
        <v>93</v>
      </c>
      <c r="L1574" s="132">
        <v>1494</v>
      </c>
      <c r="M1574" s="132">
        <v>0</v>
      </c>
      <c r="N1574" s="132">
        <v>1.2819096523889121E+19</v>
      </c>
    </row>
    <row r="1575" spans="4:14" ht="15" customHeight="1" x14ac:dyDescent="0.2">
      <c r="D1575" s="130" t="b">
        <v>0</v>
      </c>
      <c r="E1575" s="124" t="s">
        <v>96</v>
      </c>
      <c r="F1575" s="125" t="s">
        <v>91</v>
      </c>
      <c r="G1575" s="125" t="s">
        <v>99</v>
      </c>
      <c r="H1575" s="123">
        <v>4</v>
      </c>
      <c r="I1575" s="123" t="s">
        <v>95</v>
      </c>
      <c r="J1575" s="123" t="s">
        <v>97</v>
      </c>
      <c r="K1575" s="123" t="s">
        <v>100</v>
      </c>
      <c r="L1575" s="132">
        <v>1495</v>
      </c>
      <c r="M1575" s="132">
        <v>0</v>
      </c>
      <c r="N1575" s="132">
        <v>9.2996157026705472E+17</v>
      </c>
    </row>
    <row r="1576" spans="4:14" ht="15" customHeight="1" x14ac:dyDescent="0.2">
      <c r="D1576" s="130" t="b">
        <v>0</v>
      </c>
      <c r="E1576" s="124" t="s">
        <v>96</v>
      </c>
      <c r="F1576" s="125" t="s">
        <v>91</v>
      </c>
      <c r="G1576" s="125" t="s">
        <v>99</v>
      </c>
      <c r="H1576" s="123">
        <v>4</v>
      </c>
      <c r="I1576" s="123" t="s">
        <v>95</v>
      </c>
      <c r="J1576" s="123" t="s">
        <v>91</v>
      </c>
      <c r="K1576" s="123" t="s">
        <v>100</v>
      </c>
      <c r="L1576" s="132">
        <v>1496</v>
      </c>
      <c r="M1576" s="132">
        <v>0</v>
      </c>
      <c r="N1576" s="132">
        <v>5.4274823079601367E+18</v>
      </c>
    </row>
    <row r="1577" spans="4:14" ht="15" customHeight="1" x14ac:dyDescent="0.2">
      <c r="D1577" s="130" t="b">
        <v>0</v>
      </c>
      <c r="E1577" s="124" t="s">
        <v>96</v>
      </c>
      <c r="F1577" s="125" t="s">
        <v>91</v>
      </c>
      <c r="G1577" s="125" t="s">
        <v>99</v>
      </c>
      <c r="H1577" s="123">
        <v>4</v>
      </c>
      <c r="I1577" s="123" t="s">
        <v>97</v>
      </c>
      <c r="J1577" s="123" t="s">
        <v>96</v>
      </c>
      <c r="K1577" s="123" t="s">
        <v>93</v>
      </c>
      <c r="L1577" s="132">
        <v>1497</v>
      </c>
      <c r="M1577" s="132">
        <v>0</v>
      </c>
      <c r="N1577" s="132">
        <v>1.8365218484252447E+18</v>
      </c>
    </row>
    <row r="1578" spans="4:14" ht="15" customHeight="1" x14ac:dyDescent="0.2">
      <c r="D1578" s="130" t="b">
        <v>0</v>
      </c>
      <c r="E1578" s="124" t="s">
        <v>96</v>
      </c>
      <c r="F1578" s="125" t="s">
        <v>91</v>
      </c>
      <c r="G1578" s="125" t="s">
        <v>99</v>
      </c>
      <c r="H1578" s="123">
        <v>4</v>
      </c>
      <c r="I1578" s="123" t="s">
        <v>97</v>
      </c>
      <c r="J1578" s="123" t="s">
        <v>97</v>
      </c>
      <c r="K1578" s="123" t="s">
        <v>100</v>
      </c>
      <c r="L1578" s="132">
        <v>1498</v>
      </c>
      <c r="M1578" s="132">
        <v>0</v>
      </c>
      <c r="N1578" s="132">
        <v>1.6847943617031072E+17</v>
      </c>
    </row>
    <row r="1579" spans="4:14" ht="15" customHeight="1" x14ac:dyDescent="0.2">
      <c r="D1579" s="130" t="b">
        <v>0</v>
      </c>
      <c r="E1579" s="124" t="s">
        <v>96</v>
      </c>
      <c r="F1579" s="125" t="s">
        <v>91</v>
      </c>
      <c r="G1579" s="125" t="s">
        <v>99</v>
      </c>
      <c r="H1579" s="123">
        <v>4</v>
      </c>
      <c r="I1579" s="123" t="s">
        <v>97</v>
      </c>
      <c r="J1579" s="123" t="s">
        <v>91</v>
      </c>
      <c r="K1579" s="123" t="s">
        <v>101</v>
      </c>
      <c r="L1579" s="132">
        <v>1499</v>
      </c>
      <c r="M1579" s="132">
        <v>0</v>
      </c>
      <c r="N1579" s="132">
        <v>1.3747370558412954E+19</v>
      </c>
    </row>
    <row r="1580" spans="4:14" ht="15" customHeight="1" x14ac:dyDescent="0.2">
      <c r="D1580" s="130" t="b">
        <v>0</v>
      </c>
      <c r="E1580" s="124" t="s">
        <v>96</v>
      </c>
      <c r="F1580" s="125" t="s">
        <v>91</v>
      </c>
      <c r="G1580" s="125" t="s">
        <v>99</v>
      </c>
      <c r="H1580" s="123">
        <v>4</v>
      </c>
      <c r="I1580" s="123" t="s">
        <v>92</v>
      </c>
      <c r="J1580" s="123" t="s">
        <v>96</v>
      </c>
      <c r="K1580" s="123" t="s">
        <v>93</v>
      </c>
      <c r="L1580" s="132">
        <v>1500</v>
      </c>
      <c r="M1580" s="132">
        <v>0</v>
      </c>
      <c r="N1580" s="132">
        <v>1.8184642983566387E+19</v>
      </c>
    </row>
    <row r="1581" spans="4:14" ht="15" customHeight="1" x14ac:dyDescent="0.2">
      <c r="D1581" s="130" t="b">
        <v>0</v>
      </c>
      <c r="E1581" s="124" t="s">
        <v>96</v>
      </c>
      <c r="F1581" s="125" t="s">
        <v>91</v>
      </c>
      <c r="G1581" s="125" t="s">
        <v>99</v>
      </c>
      <c r="H1581" s="123">
        <v>4</v>
      </c>
      <c r="I1581" s="123" t="s">
        <v>92</v>
      </c>
      <c r="J1581" s="123" t="s">
        <v>97</v>
      </c>
      <c r="K1581" s="123" t="s">
        <v>100</v>
      </c>
      <c r="L1581" s="132">
        <v>1501</v>
      </c>
      <c r="M1581" s="132">
        <v>0</v>
      </c>
      <c r="N1581" s="132">
        <v>1.0473907090597036E+19</v>
      </c>
    </row>
    <row r="1582" spans="4:14" ht="15" customHeight="1" x14ac:dyDescent="0.2">
      <c r="D1582" s="130" t="b">
        <v>0</v>
      </c>
      <c r="E1582" s="124" t="s">
        <v>96</v>
      </c>
      <c r="F1582" s="125" t="s">
        <v>91</v>
      </c>
      <c r="G1582" s="125" t="s">
        <v>99</v>
      </c>
      <c r="H1582" s="123">
        <v>4</v>
      </c>
      <c r="I1582" s="123" t="s">
        <v>92</v>
      </c>
      <c r="J1582" s="123" t="s">
        <v>91</v>
      </c>
      <c r="K1582" s="123" t="s">
        <v>101</v>
      </c>
      <c r="L1582" s="132">
        <v>1502</v>
      </c>
      <c r="M1582" s="132">
        <v>0</v>
      </c>
      <c r="N1582" s="132">
        <v>1.2819315229762816E+19</v>
      </c>
    </row>
    <row r="1583" spans="4:14" ht="15" customHeight="1" x14ac:dyDescent="0.2">
      <c r="D1583" s="130" t="b">
        <v>0</v>
      </c>
      <c r="E1583" s="124" t="s">
        <v>96</v>
      </c>
      <c r="F1583" s="125" t="s">
        <v>91</v>
      </c>
      <c r="G1583" s="125" t="s">
        <v>99</v>
      </c>
      <c r="H1583" s="123" t="s">
        <v>98</v>
      </c>
      <c r="I1583" s="123" t="s">
        <v>95</v>
      </c>
      <c r="J1583" s="123" t="s">
        <v>96</v>
      </c>
      <c r="K1583" s="123" t="s">
        <v>93</v>
      </c>
      <c r="L1583" s="132">
        <v>1503</v>
      </c>
      <c r="M1583" s="132">
        <v>0</v>
      </c>
      <c r="N1583" s="132">
        <v>4.5759294557294776E+18</v>
      </c>
    </row>
    <row r="1584" spans="4:14" ht="15" customHeight="1" x14ac:dyDescent="0.2">
      <c r="D1584" s="130" t="b">
        <v>0</v>
      </c>
      <c r="E1584" s="124" t="s">
        <v>96</v>
      </c>
      <c r="F1584" s="125" t="s">
        <v>91</v>
      </c>
      <c r="G1584" s="125" t="s">
        <v>99</v>
      </c>
      <c r="H1584" s="123" t="s">
        <v>98</v>
      </c>
      <c r="I1584" s="123" t="s">
        <v>95</v>
      </c>
      <c r="J1584" s="123" t="s">
        <v>97</v>
      </c>
      <c r="K1584" s="123" t="s">
        <v>100</v>
      </c>
      <c r="L1584" s="132">
        <v>1504</v>
      </c>
      <c r="M1584" s="132">
        <v>0</v>
      </c>
      <c r="N1584" s="132">
        <v>5.0455330277669079E+18</v>
      </c>
    </row>
    <row r="1585" spans="4:14" ht="15" customHeight="1" x14ac:dyDescent="0.2">
      <c r="D1585" s="130" t="b">
        <v>0</v>
      </c>
      <c r="E1585" s="124" t="s">
        <v>96</v>
      </c>
      <c r="F1585" s="125" t="s">
        <v>91</v>
      </c>
      <c r="G1585" s="125" t="s">
        <v>99</v>
      </c>
      <c r="H1585" s="123" t="s">
        <v>98</v>
      </c>
      <c r="I1585" s="123" t="s">
        <v>95</v>
      </c>
      <c r="J1585" s="123" t="s">
        <v>91</v>
      </c>
      <c r="K1585" s="123" t="s">
        <v>100</v>
      </c>
      <c r="L1585" s="132">
        <v>1505</v>
      </c>
      <c r="M1585" s="132">
        <v>0</v>
      </c>
      <c r="N1585" s="132">
        <v>1.5096164555750226E+19</v>
      </c>
    </row>
    <row r="1586" spans="4:14" ht="15" customHeight="1" x14ac:dyDescent="0.2">
      <c r="D1586" s="130" t="b">
        <v>0</v>
      </c>
      <c r="E1586" s="124" t="s">
        <v>96</v>
      </c>
      <c r="F1586" s="125" t="s">
        <v>91</v>
      </c>
      <c r="G1586" s="125" t="s">
        <v>99</v>
      </c>
      <c r="H1586" s="123" t="s">
        <v>98</v>
      </c>
      <c r="I1586" s="123" t="s">
        <v>97</v>
      </c>
      <c r="J1586" s="123" t="s">
        <v>96</v>
      </c>
      <c r="K1586" s="123" t="s">
        <v>93</v>
      </c>
      <c r="L1586" s="132">
        <v>1506</v>
      </c>
      <c r="M1586" s="132">
        <v>0</v>
      </c>
      <c r="N1586" s="132">
        <v>1.3154574846261248E+19</v>
      </c>
    </row>
    <row r="1587" spans="4:14" ht="15" customHeight="1" x14ac:dyDescent="0.2">
      <c r="D1587" s="130" t="b">
        <v>0</v>
      </c>
      <c r="E1587" s="124" t="s">
        <v>96</v>
      </c>
      <c r="F1587" s="125" t="s">
        <v>91</v>
      </c>
      <c r="G1587" s="125" t="s">
        <v>99</v>
      </c>
      <c r="H1587" s="123" t="s">
        <v>98</v>
      </c>
      <c r="I1587" s="123" t="s">
        <v>97</v>
      </c>
      <c r="J1587" s="123" t="s">
        <v>97</v>
      </c>
      <c r="K1587" s="123" t="s">
        <v>100</v>
      </c>
      <c r="L1587" s="132">
        <v>1507</v>
      </c>
      <c r="M1587" s="132">
        <v>0</v>
      </c>
      <c r="N1587" s="132">
        <v>1.5221068952341926E+19</v>
      </c>
    </row>
    <row r="1588" spans="4:14" ht="15" customHeight="1" x14ac:dyDescent="0.2">
      <c r="D1588" s="130" t="b">
        <v>0</v>
      </c>
      <c r="E1588" s="124" t="s">
        <v>96</v>
      </c>
      <c r="F1588" s="125" t="s">
        <v>91</v>
      </c>
      <c r="G1588" s="125" t="s">
        <v>99</v>
      </c>
      <c r="H1588" s="123" t="s">
        <v>98</v>
      </c>
      <c r="I1588" s="123" t="s">
        <v>97</v>
      </c>
      <c r="J1588" s="123" t="s">
        <v>91</v>
      </c>
      <c r="K1588" s="123" t="s">
        <v>101</v>
      </c>
      <c r="L1588" s="132">
        <v>1508</v>
      </c>
      <c r="M1588" s="132">
        <v>0</v>
      </c>
      <c r="N1588" s="132">
        <v>1.1400243975090176E+19</v>
      </c>
    </row>
    <row r="1589" spans="4:14" ht="15" customHeight="1" x14ac:dyDescent="0.2">
      <c r="D1589" s="130" t="b">
        <v>0</v>
      </c>
      <c r="E1589" s="124" t="s">
        <v>96</v>
      </c>
      <c r="F1589" s="125" t="s">
        <v>91</v>
      </c>
      <c r="G1589" s="125" t="s">
        <v>99</v>
      </c>
      <c r="H1589" s="123" t="s">
        <v>98</v>
      </c>
      <c r="I1589" s="123" t="s">
        <v>92</v>
      </c>
      <c r="J1589" s="123" t="s">
        <v>96</v>
      </c>
      <c r="K1589" s="123" t="s">
        <v>93</v>
      </c>
      <c r="L1589" s="132">
        <v>1509</v>
      </c>
      <c r="M1589" s="132">
        <v>0</v>
      </c>
      <c r="N1589" s="132">
        <v>1.8178994084690911E+19</v>
      </c>
    </row>
    <row r="1590" spans="4:14" ht="15" customHeight="1" x14ac:dyDescent="0.2">
      <c r="D1590" s="130" t="b">
        <v>0</v>
      </c>
      <c r="E1590" s="124" t="s">
        <v>96</v>
      </c>
      <c r="F1590" s="125" t="s">
        <v>91</v>
      </c>
      <c r="G1590" s="125" t="s">
        <v>99</v>
      </c>
      <c r="H1590" s="123" t="s">
        <v>98</v>
      </c>
      <c r="I1590" s="123" t="s">
        <v>92</v>
      </c>
      <c r="J1590" s="123" t="s">
        <v>97</v>
      </c>
      <c r="K1590" s="123" t="s">
        <v>100</v>
      </c>
      <c r="L1590" s="132">
        <v>1510</v>
      </c>
      <c r="M1590" s="132">
        <v>0</v>
      </c>
      <c r="N1590" s="132">
        <v>7.9554743926536008E+18</v>
      </c>
    </row>
    <row r="1591" spans="4:14" ht="15" customHeight="1" x14ac:dyDescent="0.2">
      <c r="D1591" s="130" t="b">
        <v>0</v>
      </c>
      <c r="E1591" s="124" t="s">
        <v>96</v>
      </c>
      <c r="F1591" s="125" t="s">
        <v>91</v>
      </c>
      <c r="G1591" s="125" t="s">
        <v>99</v>
      </c>
      <c r="H1591" s="123" t="s">
        <v>98</v>
      </c>
      <c r="I1591" s="123" t="s">
        <v>92</v>
      </c>
      <c r="J1591" s="123" t="s">
        <v>91</v>
      </c>
      <c r="K1591" s="123" t="s">
        <v>101</v>
      </c>
      <c r="L1591" s="132">
        <v>1511</v>
      </c>
      <c r="M1591" s="132">
        <v>0</v>
      </c>
      <c r="N1591" s="132">
        <v>1.2278395663172528E+19</v>
      </c>
    </row>
    <row r="1592" spans="4:14" ht="15" customHeight="1" x14ac:dyDescent="0.2">
      <c r="D1592" s="130" t="b">
        <v>0</v>
      </c>
      <c r="E1592" s="124" t="s">
        <v>96</v>
      </c>
      <c r="F1592" s="125" t="s">
        <v>97</v>
      </c>
      <c r="G1592" s="125">
        <v>2</v>
      </c>
      <c r="H1592" s="123">
        <v>2</v>
      </c>
      <c r="I1592" s="123" t="s">
        <v>95</v>
      </c>
      <c r="J1592" s="123" t="s">
        <v>96</v>
      </c>
      <c r="K1592" s="123" t="s">
        <v>93</v>
      </c>
      <c r="L1592" s="132">
        <v>1512</v>
      </c>
      <c r="M1592" s="132">
        <v>0</v>
      </c>
      <c r="N1592" s="132">
        <v>1.6195754556265419E+19</v>
      </c>
    </row>
    <row r="1593" spans="4:14" ht="15" customHeight="1" x14ac:dyDescent="0.2">
      <c r="D1593" s="130" t="b">
        <v>0</v>
      </c>
      <c r="E1593" s="124" t="s">
        <v>96</v>
      </c>
      <c r="F1593" s="125" t="s">
        <v>97</v>
      </c>
      <c r="G1593" s="125">
        <v>2</v>
      </c>
      <c r="H1593" s="123">
        <v>2</v>
      </c>
      <c r="I1593" s="123" t="s">
        <v>95</v>
      </c>
      <c r="J1593" s="123" t="s">
        <v>97</v>
      </c>
      <c r="K1593" s="123" t="s">
        <v>93</v>
      </c>
      <c r="L1593" s="132">
        <v>1513</v>
      </c>
      <c r="M1593" s="132">
        <v>0</v>
      </c>
      <c r="N1593" s="132">
        <v>4.3916195228014355E+17</v>
      </c>
    </row>
    <row r="1594" spans="4:14" ht="15" customHeight="1" x14ac:dyDescent="0.2">
      <c r="D1594" s="130" t="b">
        <v>0</v>
      </c>
      <c r="E1594" s="124" t="s">
        <v>96</v>
      </c>
      <c r="F1594" s="125" t="s">
        <v>97</v>
      </c>
      <c r="G1594" s="125">
        <v>2</v>
      </c>
      <c r="H1594" s="123">
        <v>2</v>
      </c>
      <c r="I1594" s="123" t="s">
        <v>95</v>
      </c>
      <c r="J1594" s="123" t="s">
        <v>91</v>
      </c>
      <c r="K1594" s="123" t="s">
        <v>93</v>
      </c>
      <c r="L1594" s="132">
        <v>1514</v>
      </c>
      <c r="M1594" s="132">
        <v>0</v>
      </c>
      <c r="N1594" s="132">
        <v>4.3605945848012557E+17</v>
      </c>
    </row>
    <row r="1595" spans="4:14" ht="15" customHeight="1" x14ac:dyDescent="0.2">
      <c r="D1595" s="130" t="b">
        <v>0</v>
      </c>
      <c r="E1595" s="124" t="s">
        <v>96</v>
      </c>
      <c r="F1595" s="125" t="s">
        <v>97</v>
      </c>
      <c r="G1595" s="125">
        <v>2</v>
      </c>
      <c r="H1595" s="123">
        <v>2</v>
      </c>
      <c r="I1595" s="123" t="s">
        <v>97</v>
      </c>
      <c r="J1595" s="123" t="s">
        <v>96</v>
      </c>
      <c r="K1595" s="123" t="s">
        <v>93</v>
      </c>
      <c r="L1595" s="132">
        <v>1515</v>
      </c>
      <c r="M1595" s="132">
        <v>0</v>
      </c>
      <c r="N1595" s="132">
        <v>6.1971629411897989E+18</v>
      </c>
    </row>
    <row r="1596" spans="4:14" ht="15" customHeight="1" x14ac:dyDescent="0.2">
      <c r="D1596" s="130" t="b">
        <v>0</v>
      </c>
      <c r="E1596" s="124" t="s">
        <v>96</v>
      </c>
      <c r="F1596" s="125" t="s">
        <v>97</v>
      </c>
      <c r="G1596" s="125">
        <v>2</v>
      </c>
      <c r="H1596" s="123">
        <v>2</v>
      </c>
      <c r="I1596" s="123" t="s">
        <v>97</v>
      </c>
      <c r="J1596" s="123" t="s">
        <v>97</v>
      </c>
      <c r="K1596" s="123" t="s">
        <v>93</v>
      </c>
      <c r="L1596" s="132">
        <v>1516</v>
      </c>
      <c r="M1596" s="132">
        <v>0</v>
      </c>
      <c r="N1596" s="132">
        <v>2.2822384258566039E+18</v>
      </c>
    </row>
    <row r="1597" spans="4:14" ht="15" customHeight="1" x14ac:dyDescent="0.2">
      <c r="D1597" s="130" t="b">
        <v>0</v>
      </c>
      <c r="E1597" s="124" t="s">
        <v>96</v>
      </c>
      <c r="F1597" s="125" t="s">
        <v>97</v>
      </c>
      <c r="G1597" s="125">
        <v>2</v>
      </c>
      <c r="H1597" s="123">
        <v>2</v>
      </c>
      <c r="I1597" s="123" t="s">
        <v>97</v>
      </c>
      <c r="J1597" s="123" t="s">
        <v>91</v>
      </c>
      <c r="K1597" s="123" t="s">
        <v>93</v>
      </c>
      <c r="L1597" s="132">
        <v>1517</v>
      </c>
      <c r="M1597" s="132">
        <v>0</v>
      </c>
      <c r="N1597" s="132">
        <v>1.272563608642782E+19</v>
      </c>
    </row>
    <row r="1598" spans="4:14" ht="15" customHeight="1" x14ac:dyDescent="0.2">
      <c r="D1598" s="130" t="b">
        <v>0</v>
      </c>
      <c r="E1598" s="124" t="s">
        <v>96</v>
      </c>
      <c r="F1598" s="125" t="s">
        <v>97</v>
      </c>
      <c r="G1598" s="125">
        <v>2</v>
      </c>
      <c r="H1598" s="123">
        <v>2</v>
      </c>
      <c r="I1598" s="123" t="s">
        <v>92</v>
      </c>
      <c r="J1598" s="123" t="s">
        <v>96</v>
      </c>
      <c r="K1598" s="123" t="s">
        <v>93</v>
      </c>
      <c r="L1598" s="132">
        <v>1518</v>
      </c>
      <c r="M1598" s="132">
        <v>0</v>
      </c>
      <c r="N1598" s="132">
        <v>1.7755476845089067E+19</v>
      </c>
    </row>
    <row r="1599" spans="4:14" ht="15" customHeight="1" x14ac:dyDescent="0.2">
      <c r="D1599" s="130" t="b">
        <v>0</v>
      </c>
      <c r="E1599" s="124" t="s">
        <v>96</v>
      </c>
      <c r="F1599" s="125" t="s">
        <v>97</v>
      </c>
      <c r="G1599" s="125">
        <v>2</v>
      </c>
      <c r="H1599" s="123">
        <v>2</v>
      </c>
      <c r="I1599" s="123" t="s">
        <v>92</v>
      </c>
      <c r="J1599" s="123" t="s">
        <v>97</v>
      </c>
      <c r="K1599" s="123" t="s">
        <v>93</v>
      </c>
      <c r="L1599" s="132">
        <v>1519</v>
      </c>
      <c r="M1599" s="132">
        <v>0</v>
      </c>
      <c r="N1599" s="132">
        <v>4.7890614447758316E+18</v>
      </c>
    </row>
    <row r="1600" spans="4:14" ht="15" customHeight="1" x14ac:dyDescent="0.2">
      <c r="D1600" s="130" t="b">
        <v>0</v>
      </c>
      <c r="E1600" s="124" t="s">
        <v>96</v>
      </c>
      <c r="F1600" s="125" t="s">
        <v>97</v>
      </c>
      <c r="G1600" s="125">
        <v>2</v>
      </c>
      <c r="H1600" s="123">
        <v>2</v>
      </c>
      <c r="I1600" s="123" t="s">
        <v>92</v>
      </c>
      <c r="J1600" s="123" t="s">
        <v>91</v>
      </c>
      <c r="K1600" s="123" t="s">
        <v>93</v>
      </c>
      <c r="L1600" s="132">
        <v>1520</v>
      </c>
      <c r="M1600" s="132">
        <v>0</v>
      </c>
      <c r="N1600" s="132">
        <v>5.923365086516457E+17</v>
      </c>
    </row>
    <row r="1601" spans="4:14" ht="15" customHeight="1" x14ac:dyDescent="0.2">
      <c r="D1601" s="130" t="b">
        <v>0</v>
      </c>
      <c r="E1601" s="124" t="s">
        <v>96</v>
      </c>
      <c r="F1601" s="125" t="s">
        <v>97</v>
      </c>
      <c r="G1601" s="125">
        <v>2</v>
      </c>
      <c r="H1601" s="123">
        <v>4</v>
      </c>
      <c r="I1601" s="123" t="s">
        <v>95</v>
      </c>
      <c r="J1601" s="123" t="s">
        <v>96</v>
      </c>
      <c r="K1601" s="123" t="s">
        <v>93</v>
      </c>
      <c r="L1601" s="132">
        <v>1521</v>
      </c>
      <c r="M1601" s="132">
        <v>0</v>
      </c>
      <c r="N1601" s="132">
        <v>1.3107935443819383E+19</v>
      </c>
    </row>
    <row r="1602" spans="4:14" ht="15" customHeight="1" x14ac:dyDescent="0.2">
      <c r="D1602" s="130" t="b">
        <v>0</v>
      </c>
      <c r="E1602" s="124" t="s">
        <v>96</v>
      </c>
      <c r="F1602" s="125" t="s">
        <v>97</v>
      </c>
      <c r="G1602" s="125">
        <v>2</v>
      </c>
      <c r="H1602" s="123">
        <v>4</v>
      </c>
      <c r="I1602" s="123" t="s">
        <v>95</v>
      </c>
      <c r="J1602" s="123" t="s">
        <v>97</v>
      </c>
      <c r="K1602" s="123" t="s">
        <v>100</v>
      </c>
      <c r="L1602" s="132">
        <v>1522</v>
      </c>
      <c r="M1602" s="132">
        <v>0</v>
      </c>
      <c r="N1602" s="132">
        <v>6.5942672627089951E+18</v>
      </c>
    </row>
    <row r="1603" spans="4:14" ht="15" customHeight="1" x14ac:dyDescent="0.2">
      <c r="D1603" s="130" t="b">
        <v>0</v>
      </c>
      <c r="E1603" s="124" t="s">
        <v>96</v>
      </c>
      <c r="F1603" s="125" t="s">
        <v>97</v>
      </c>
      <c r="G1603" s="125">
        <v>2</v>
      </c>
      <c r="H1603" s="123">
        <v>4</v>
      </c>
      <c r="I1603" s="123" t="s">
        <v>95</v>
      </c>
      <c r="J1603" s="123" t="s">
        <v>91</v>
      </c>
      <c r="K1603" s="123" t="s">
        <v>102</v>
      </c>
      <c r="L1603" s="132">
        <v>1523</v>
      </c>
      <c r="M1603" s="132">
        <v>0</v>
      </c>
      <c r="N1603" s="132">
        <v>4.1166749545575334E+17</v>
      </c>
    </row>
    <row r="1604" spans="4:14" ht="15" customHeight="1" x14ac:dyDescent="0.2">
      <c r="D1604" s="130" t="b">
        <v>0</v>
      </c>
      <c r="E1604" s="124" t="s">
        <v>96</v>
      </c>
      <c r="F1604" s="125" t="s">
        <v>97</v>
      </c>
      <c r="G1604" s="125">
        <v>2</v>
      </c>
      <c r="H1604" s="123">
        <v>4</v>
      </c>
      <c r="I1604" s="123" t="s">
        <v>97</v>
      </c>
      <c r="J1604" s="123" t="s">
        <v>96</v>
      </c>
      <c r="K1604" s="123" t="s">
        <v>93</v>
      </c>
      <c r="L1604" s="132">
        <v>1524</v>
      </c>
      <c r="M1604" s="132">
        <v>0</v>
      </c>
      <c r="N1604" s="132">
        <v>1.5189514173243056E+19</v>
      </c>
    </row>
    <row r="1605" spans="4:14" ht="15" customHeight="1" x14ac:dyDescent="0.2">
      <c r="D1605" s="130" t="b">
        <v>0</v>
      </c>
      <c r="E1605" s="124" t="s">
        <v>96</v>
      </c>
      <c r="F1605" s="125" t="s">
        <v>97</v>
      </c>
      <c r="G1605" s="125">
        <v>2</v>
      </c>
      <c r="H1605" s="123">
        <v>4</v>
      </c>
      <c r="I1605" s="123" t="s">
        <v>97</v>
      </c>
      <c r="J1605" s="123" t="s">
        <v>97</v>
      </c>
      <c r="K1605" s="123" t="s">
        <v>100</v>
      </c>
      <c r="L1605" s="132">
        <v>1525</v>
      </c>
      <c r="M1605" s="132">
        <v>0</v>
      </c>
      <c r="N1605" s="132">
        <v>1.6606051557502038E+19</v>
      </c>
    </row>
    <row r="1606" spans="4:14" ht="15" customHeight="1" x14ac:dyDescent="0.2">
      <c r="D1606" s="130" t="b">
        <v>0</v>
      </c>
      <c r="E1606" s="124" t="s">
        <v>96</v>
      </c>
      <c r="F1606" s="125" t="s">
        <v>97</v>
      </c>
      <c r="G1606" s="125">
        <v>2</v>
      </c>
      <c r="H1606" s="123">
        <v>4</v>
      </c>
      <c r="I1606" s="123" t="s">
        <v>97</v>
      </c>
      <c r="J1606" s="123" t="s">
        <v>91</v>
      </c>
      <c r="K1606" s="123" t="s">
        <v>102</v>
      </c>
      <c r="L1606" s="132">
        <v>1526</v>
      </c>
      <c r="M1606" s="132">
        <v>0</v>
      </c>
      <c r="N1606" s="132">
        <v>2.5843243645169777E+18</v>
      </c>
    </row>
    <row r="1607" spans="4:14" ht="15" customHeight="1" x14ac:dyDescent="0.2">
      <c r="D1607" s="130" t="b">
        <v>0</v>
      </c>
      <c r="E1607" s="124" t="s">
        <v>96</v>
      </c>
      <c r="F1607" s="125" t="s">
        <v>97</v>
      </c>
      <c r="G1607" s="125">
        <v>2</v>
      </c>
      <c r="H1607" s="123">
        <v>4</v>
      </c>
      <c r="I1607" s="123" t="s">
        <v>92</v>
      </c>
      <c r="J1607" s="123" t="s">
        <v>96</v>
      </c>
      <c r="K1607" s="123" t="s">
        <v>93</v>
      </c>
      <c r="L1607" s="132">
        <v>1527</v>
      </c>
      <c r="M1607" s="132">
        <v>0</v>
      </c>
      <c r="N1607" s="132">
        <v>1.5234797864663079E+19</v>
      </c>
    </row>
    <row r="1608" spans="4:14" ht="15" customHeight="1" x14ac:dyDescent="0.2">
      <c r="D1608" s="130" t="b">
        <v>0</v>
      </c>
      <c r="E1608" s="124" t="s">
        <v>96</v>
      </c>
      <c r="F1608" s="125" t="s">
        <v>97</v>
      </c>
      <c r="G1608" s="125">
        <v>2</v>
      </c>
      <c r="H1608" s="123">
        <v>4</v>
      </c>
      <c r="I1608" s="123" t="s">
        <v>92</v>
      </c>
      <c r="J1608" s="123" t="s">
        <v>97</v>
      </c>
      <c r="K1608" s="123" t="s">
        <v>102</v>
      </c>
      <c r="L1608" s="132">
        <v>1528</v>
      </c>
      <c r="M1608" s="132">
        <v>0</v>
      </c>
      <c r="N1608" s="132">
        <v>2.7009004658392682E+17</v>
      </c>
    </row>
    <row r="1609" spans="4:14" ht="15" customHeight="1" x14ac:dyDescent="0.2">
      <c r="D1609" s="130" t="b">
        <v>0</v>
      </c>
      <c r="E1609" s="124" t="s">
        <v>96</v>
      </c>
      <c r="F1609" s="125" t="s">
        <v>97</v>
      </c>
      <c r="G1609" s="125">
        <v>2</v>
      </c>
      <c r="H1609" s="123">
        <v>4</v>
      </c>
      <c r="I1609" s="123" t="s">
        <v>92</v>
      </c>
      <c r="J1609" s="123" t="s">
        <v>91</v>
      </c>
      <c r="K1609" s="123" t="s">
        <v>101</v>
      </c>
      <c r="L1609" s="132">
        <v>1529</v>
      </c>
      <c r="M1609" s="132">
        <v>0</v>
      </c>
      <c r="N1609" s="132">
        <v>2.7481375585766154E+18</v>
      </c>
    </row>
    <row r="1610" spans="4:14" ht="15" customHeight="1" x14ac:dyDescent="0.2">
      <c r="D1610" s="130" t="b">
        <v>0</v>
      </c>
      <c r="E1610" s="124" t="s">
        <v>96</v>
      </c>
      <c r="F1610" s="125" t="s">
        <v>97</v>
      </c>
      <c r="G1610" s="125">
        <v>2</v>
      </c>
      <c r="H1610" s="123" t="s">
        <v>98</v>
      </c>
      <c r="I1610" s="123" t="s">
        <v>95</v>
      </c>
      <c r="J1610" s="123" t="s">
        <v>96</v>
      </c>
      <c r="K1610" s="123" t="s">
        <v>93</v>
      </c>
      <c r="L1610" s="132">
        <v>1530</v>
      </c>
      <c r="M1610" s="132">
        <v>0</v>
      </c>
      <c r="N1610" s="132">
        <v>1.3022234013383434E+19</v>
      </c>
    </row>
    <row r="1611" spans="4:14" ht="15" customHeight="1" x14ac:dyDescent="0.2">
      <c r="D1611" s="130" t="b">
        <v>0</v>
      </c>
      <c r="E1611" s="124" t="s">
        <v>96</v>
      </c>
      <c r="F1611" s="125" t="s">
        <v>97</v>
      </c>
      <c r="G1611" s="125">
        <v>2</v>
      </c>
      <c r="H1611" s="123" t="s">
        <v>98</v>
      </c>
      <c r="I1611" s="123" t="s">
        <v>95</v>
      </c>
      <c r="J1611" s="123" t="s">
        <v>97</v>
      </c>
      <c r="K1611" s="123" t="s">
        <v>93</v>
      </c>
      <c r="L1611" s="132">
        <v>1531</v>
      </c>
      <c r="M1611" s="132">
        <v>0</v>
      </c>
      <c r="N1611" s="132">
        <v>5.0019325209013535E+18</v>
      </c>
    </row>
    <row r="1612" spans="4:14" ht="15" customHeight="1" x14ac:dyDescent="0.2">
      <c r="D1612" s="130" t="b">
        <v>0</v>
      </c>
      <c r="E1612" s="124" t="s">
        <v>96</v>
      </c>
      <c r="F1612" s="125" t="s">
        <v>97</v>
      </c>
      <c r="G1612" s="125">
        <v>2</v>
      </c>
      <c r="H1612" s="123" t="s">
        <v>98</v>
      </c>
      <c r="I1612" s="123" t="s">
        <v>95</v>
      </c>
      <c r="J1612" s="123" t="s">
        <v>91</v>
      </c>
      <c r="K1612" s="123" t="s">
        <v>93</v>
      </c>
      <c r="L1612" s="132">
        <v>1532</v>
      </c>
      <c r="M1612" s="132">
        <v>0</v>
      </c>
      <c r="N1612" s="132">
        <v>1.707852441602286E+19</v>
      </c>
    </row>
    <row r="1613" spans="4:14" ht="15" customHeight="1" x14ac:dyDescent="0.2">
      <c r="D1613" s="130" t="b">
        <v>0</v>
      </c>
      <c r="E1613" s="124" t="s">
        <v>96</v>
      </c>
      <c r="F1613" s="125" t="s">
        <v>97</v>
      </c>
      <c r="G1613" s="125">
        <v>2</v>
      </c>
      <c r="H1613" s="123" t="s">
        <v>98</v>
      </c>
      <c r="I1613" s="123" t="s">
        <v>97</v>
      </c>
      <c r="J1613" s="123" t="s">
        <v>96</v>
      </c>
      <c r="K1613" s="123" t="s">
        <v>93</v>
      </c>
      <c r="L1613" s="132">
        <v>1533</v>
      </c>
      <c r="M1613" s="132">
        <v>0</v>
      </c>
      <c r="N1613" s="132">
        <v>6.3593081041815782E+17</v>
      </c>
    </row>
    <row r="1614" spans="4:14" ht="15" customHeight="1" x14ac:dyDescent="0.2">
      <c r="D1614" s="130" t="b">
        <v>0</v>
      </c>
      <c r="E1614" s="124" t="s">
        <v>96</v>
      </c>
      <c r="F1614" s="125" t="s">
        <v>97</v>
      </c>
      <c r="G1614" s="125">
        <v>2</v>
      </c>
      <c r="H1614" s="123" t="s">
        <v>98</v>
      </c>
      <c r="I1614" s="123" t="s">
        <v>97</v>
      </c>
      <c r="J1614" s="123" t="s">
        <v>97</v>
      </c>
      <c r="K1614" s="123" t="s">
        <v>100</v>
      </c>
      <c r="L1614" s="132">
        <v>1534</v>
      </c>
      <c r="M1614" s="132">
        <v>0</v>
      </c>
      <c r="N1614" s="132">
        <v>1.7297423284753154E+19</v>
      </c>
    </row>
    <row r="1615" spans="4:14" ht="15" customHeight="1" x14ac:dyDescent="0.2">
      <c r="D1615" s="130" t="b">
        <v>0</v>
      </c>
      <c r="E1615" s="124" t="s">
        <v>96</v>
      </c>
      <c r="F1615" s="125" t="s">
        <v>97</v>
      </c>
      <c r="G1615" s="125">
        <v>2</v>
      </c>
      <c r="H1615" s="123" t="s">
        <v>98</v>
      </c>
      <c r="I1615" s="123" t="s">
        <v>97</v>
      </c>
      <c r="J1615" s="123" t="s">
        <v>91</v>
      </c>
      <c r="K1615" s="123" t="s">
        <v>102</v>
      </c>
      <c r="L1615" s="132">
        <v>1535</v>
      </c>
      <c r="M1615" s="132">
        <v>0</v>
      </c>
      <c r="N1615" s="132">
        <v>3.4628638332005805E+17</v>
      </c>
    </row>
    <row r="1616" spans="4:14" ht="15" customHeight="1" x14ac:dyDescent="0.2">
      <c r="D1616" s="130" t="b">
        <v>0</v>
      </c>
      <c r="E1616" s="124" t="s">
        <v>96</v>
      </c>
      <c r="F1616" s="125" t="s">
        <v>97</v>
      </c>
      <c r="G1616" s="125">
        <v>2</v>
      </c>
      <c r="H1616" s="123" t="s">
        <v>98</v>
      </c>
      <c r="I1616" s="123" t="s">
        <v>92</v>
      </c>
      <c r="J1616" s="123" t="s">
        <v>96</v>
      </c>
      <c r="K1616" s="123" t="s">
        <v>93</v>
      </c>
      <c r="L1616" s="132">
        <v>1536</v>
      </c>
      <c r="M1616" s="132">
        <v>0</v>
      </c>
      <c r="N1616" s="132">
        <v>1.1993607229711247E+19</v>
      </c>
    </row>
    <row r="1617" spans="4:14" ht="15" customHeight="1" x14ac:dyDescent="0.2">
      <c r="D1617" s="130" t="b">
        <v>0</v>
      </c>
      <c r="E1617" s="124" t="s">
        <v>96</v>
      </c>
      <c r="F1617" s="125" t="s">
        <v>97</v>
      </c>
      <c r="G1617" s="125">
        <v>2</v>
      </c>
      <c r="H1617" s="123" t="s">
        <v>98</v>
      </c>
      <c r="I1617" s="123" t="s">
        <v>92</v>
      </c>
      <c r="J1617" s="123" t="s">
        <v>97</v>
      </c>
      <c r="K1617" s="123" t="s">
        <v>102</v>
      </c>
      <c r="L1617" s="132">
        <v>1537</v>
      </c>
      <c r="M1617" s="132">
        <v>0</v>
      </c>
      <c r="N1617" s="132">
        <v>3.8290323519504635E+18</v>
      </c>
    </row>
    <row r="1618" spans="4:14" ht="15" customHeight="1" x14ac:dyDescent="0.2">
      <c r="D1618" s="130" t="b">
        <v>0</v>
      </c>
      <c r="E1618" s="124" t="s">
        <v>96</v>
      </c>
      <c r="F1618" s="125" t="s">
        <v>97</v>
      </c>
      <c r="G1618" s="125">
        <v>2</v>
      </c>
      <c r="H1618" s="123" t="s">
        <v>98</v>
      </c>
      <c r="I1618" s="123" t="s">
        <v>92</v>
      </c>
      <c r="J1618" s="123" t="s">
        <v>91</v>
      </c>
      <c r="K1618" s="123" t="s">
        <v>101</v>
      </c>
      <c r="L1618" s="132">
        <v>1538</v>
      </c>
      <c r="M1618" s="132">
        <v>0</v>
      </c>
      <c r="N1618" s="132">
        <v>7.4518994369673277E+18</v>
      </c>
    </row>
    <row r="1619" spans="4:14" ht="15" customHeight="1" x14ac:dyDescent="0.2">
      <c r="D1619" s="130" t="b">
        <v>0</v>
      </c>
      <c r="E1619" s="124" t="s">
        <v>96</v>
      </c>
      <c r="F1619" s="125" t="s">
        <v>97</v>
      </c>
      <c r="G1619" s="125">
        <v>3</v>
      </c>
      <c r="H1619" s="123">
        <v>2</v>
      </c>
      <c r="I1619" s="123" t="s">
        <v>95</v>
      </c>
      <c r="J1619" s="123" t="s">
        <v>96</v>
      </c>
      <c r="K1619" s="123" t="s">
        <v>93</v>
      </c>
      <c r="L1619" s="132">
        <v>1539</v>
      </c>
      <c r="M1619" s="132">
        <v>0</v>
      </c>
      <c r="N1619" s="132">
        <v>6.9155265948756572E+18</v>
      </c>
    </row>
    <row r="1620" spans="4:14" ht="15" customHeight="1" x14ac:dyDescent="0.2">
      <c r="D1620" s="130" t="b">
        <v>0</v>
      </c>
      <c r="E1620" s="124" t="s">
        <v>96</v>
      </c>
      <c r="F1620" s="125" t="s">
        <v>97</v>
      </c>
      <c r="G1620" s="125">
        <v>3</v>
      </c>
      <c r="H1620" s="123">
        <v>2</v>
      </c>
      <c r="I1620" s="123" t="s">
        <v>95</v>
      </c>
      <c r="J1620" s="123" t="s">
        <v>97</v>
      </c>
      <c r="K1620" s="123" t="s">
        <v>93</v>
      </c>
      <c r="L1620" s="132">
        <v>1540</v>
      </c>
      <c r="M1620" s="132">
        <v>0</v>
      </c>
      <c r="N1620" s="132">
        <v>1.3836636519192482E+19</v>
      </c>
    </row>
    <row r="1621" spans="4:14" ht="15" customHeight="1" x14ac:dyDescent="0.2">
      <c r="D1621" s="130" t="b">
        <v>0</v>
      </c>
      <c r="E1621" s="124" t="s">
        <v>96</v>
      </c>
      <c r="F1621" s="125" t="s">
        <v>97</v>
      </c>
      <c r="G1621" s="125">
        <v>3</v>
      </c>
      <c r="H1621" s="123">
        <v>2</v>
      </c>
      <c r="I1621" s="123" t="s">
        <v>95</v>
      </c>
      <c r="J1621" s="123" t="s">
        <v>91</v>
      </c>
      <c r="K1621" s="123" t="s">
        <v>93</v>
      </c>
      <c r="L1621" s="132">
        <v>1541</v>
      </c>
      <c r="M1621" s="132">
        <v>0</v>
      </c>
      <c r="N1621" s="132">
        <v>1.3419420101300455E+19</v>
      </c>
    </row>
    <row r="1622" spans="4:14" ht="15" customHeight="1" x14ac:dyDescent="0.2">
      <c r="D1622" s="130" t="b">
        <v>0</v>
      </c>
      <c r="E1622" s="124" t="s">
        <v>96</v>
      </c>
      <c r="F1622" s="125" t="s">
        <v>97</v>
      </c>
      <c r="G1622" s="125">
        <v>3</v>
      </c>
      <c r="H1622" s="123">
        <v>2</v>
      </c>
      <c r="I1622" s="123" t="s">
        <v>97</v>
      </c>
      <c r="J1622" s="123" t="s">
        <v>96</v>
      </c>
      <c r="K1622" s="123" t="s">
        <v>93</v>
      </c>
      <c r="L1622" s="132">
        <v>1542</v>
      </c>
      <c r="M1622" s="132">
        <v>0</v>
      </c>
      <c r="N1622" s="132">
        <v>8.5443703859336366E+18</v>
      </c>
    </row>
    <row r="1623" spans="4:14" ht="15" customHeight="1" x14ac:dyDescent="0.2">
      <c r="D1623" s="130" t="b">
        <v>0</v>
      </c>
      <c r="E1623" s="124" t="s">
        <v>96</v>
      </c>
      <c r="F1623" s="125" t="s">
        <v>97</v>
      </c>
      <c r="G1623" s="125">
        <v>3</v>
      </c>
      <c r="H1623" s="123">
        <v>2</v>
      </c>
      <c r="I1623" s="123" t="s">
        <v>97</v>
      </c>
      <c r="J1623" s="123" t="s">
        <v>97</v>
      </c>
      <c r="K1623" s="123" t="s">
        <v>93</v>
      </c>
      <c r="L1623" s="132">
        <v>1543</v>
      </c>
      <c r="M1623" s="132">
        <v>0</v>
      </c>
      <c r="N1623" s="132">
        <v>6.749327132253738E+18</v>
      </c>
    </row>
    <row r="1624" spans="4:14" ht="15" customHeight="1" x14ac:dyDescent="0.2">
      <c r="D1624" s="130" t="b">
        <v>0</v>
      </c>
      <c r="E1624" s="124" t="s">
        <v>96</v>
      </c>
      <c r="F1624" s="125" t="s">
        <v>97</v>
      </c>
      <c r="G1624" s="125">
        <v>3</v>
      </c>
      <c r="H1624" s="123">
        <v>2</v>
      </c>
      <c r="I1624" s="123" t="s">
        <v>97</v>
      </c>
      <c r="J1624" s="123" t="s">
        <v>91</v>
      </c>
      <c r="K1624" s="123" t="s">
        <v>93</v>
      </c>
      <c r="L1624" s="132">
        <v>1544</v>
      </c>
      <c r="M1624" s="132">
        <v>0</v>
      </c>
      <c r="N1624" s="132">
        <v>1.6270208312969509E+19</v>
      </c>
    </row>
    <row r="1625" spans="4:14" ht="15" customHeight="1" x14ac:dyDescent="0.2">
      <c r="D1625" s="130" t="b">
        <v>0</v>
      </c>
      <c r="E1625" s="124" t="s">
        <v>96</v>
      </c>
      <c r="F1625" s="125" t="s">
        <v>97</v>
      </c>
      <c r="G1625" s="125">
        <v>3</v>
      </c>
      <c r="H1625" s="123">
        <v>2</v>
      </c>
      <c r="I1625" s="123" t="s">
        <v>92</v>
      </c>
      <c r="J1625" s="123" t="s">
        <v>96</v>
      </c>
      <c r="K1625" s="123" t="s">
        <v>93</v>
      </c>
      <c r="L1625" s="132">
        <v>1545</v>
      </c>
      <c r="M1625" s="132">
        <v>0</v>
      </c>
      <c r="N1625" s="132">
        <v>5.8837439080785091E+18</v>
      </c>
    </row>
    <row r="1626" spans="4:14" ht="15" customHeight="1" x14ac:dyDescent="0.2">
      <c r="D1626" s="130" t="b">
        <v>0</v>
      </c>
      <c r="E1626" s="124" t="s">
        <v>96</v>
      </c>
      <c r="F1626" s="125" t="s">
        <v>97</v>
      </c>
      <c r="G1626" s="125">
        <v>3</v>
      </c>
      <c r="H1626" s="123">
        <v>2</v>
      </c>
      <c r="I1626" s="123" t="s">
        <v>92</v>
      </c>
      <c r="J1626" s="123" t="s">
        <v>97</v>
      </c>
      <c r="K1626" s="123" t="s">
        <v>93</v>
      </c>
      <c r="L1626" s="132">
        <v>1546</v>
      </c>
      <c r="M1626" s="132">
        <v>0</v>
      </c>
      <c r="N1626" s="132">
        <v>5.7345072216640604E+18</v>
      </c>
    </row>
    <row r="1627" spans="4:14" ht="15" customHeight="1" x14ac:dyDescent="0.2">
      <c r="D1627" s="130" t="b">
        <v>0</v>
      </c>
      <c r="E1627" s="124" t="s">
        <v>96</v>
      </c>
      <c r="F1627" s="125" t="s">
        <v>97</v>
      </c>
      <c r="G1627" s="125">
        <v>3</v>
      </c>
      <c r="H1627" s="123">
        <v>2</v>
      </c>
      <c r="I1627" s="123" t="s">
        <v>92</v>
      </c>
      <c r="J1627" s="123" t="s">
        <v>91</v>
      </c>
      <c r="K1627" s="123" t="s">
        <v>93</v>
      </c>
      <c r="L1627" s="132">
        <v>1547</v>
      </c>
      <c r="M1627" s="132">
        <v>0</v>
      </c>
      <c r="N1627" s="132">
        <v>7.6323451526970194E+18</v>
      </c>
    </row>
    <row r="1628" spans="4:14" ht="15" customHeight="1" x14ac:dyDescent="0.2">
      <c r="D1628" s="130" t="b">
        <v>0</v>
      </c>
      <c r="E1628" s="124" t="s">
        <v>96</v>
      </c>
      <c r="F1628" s="125" t="s">
        <v>97</v>
      </c>
      <c r="G1628" s="125">
        <v>3</v>
      </c>
      <c r="H1628" s="123">
        <v>4</v>
      </c>
      <c r="I1628" s="123" t="s">
        <v>95</v>
      </c>
      <c r="J1628" s="123" t="s">
        <v>96</v>
      </c>
      <c r="K1628" s="123" t="s">
        <v>93</v>
      </c>
      <c r="L1628" s="132">
        <v>1548</v>
      </c>
      <c r="M1628" s="132">
        <v>0</v>
      </c>
      <c r="N1628" s="132">
        <v>3.0482058612574408E+18</v>
      </c>
    </row>
    <row r="1629" spans="4:14" ht="15" customHeight="1" x14ac:dyDescent="0.2">
      <c r="D1629" s="130" t="b">
        <v>0</v>
      </c>
      <c r="E1629" s="124" t="s">
        <v>96</v>
      </c>
      <c r="F1629" s="125" t="s">
        <v>97</v>
      </c>
      <c r="G1629" s="125">
        <v>3</v>
      </c>
      <c r="H1629" s="123">
        <v>4</v>
      </c>
      <c r="I1629" s="123" t="s">
        <v>95</v>
      </c>
      <c r="J1629" s="123" t="s">
        <v>97</v>
      </c>
      <c r="K1629" s="123" t="s">
        <v>100</v>
      </c>
      <c r="L1629" s="132">
        <v>1549</v>
      </c>
      <c r="M1629" s="132">
        <v>0</v>
      </c>
      <c r="N1629" s="132">
        <v>4.2032936707010038E+18</v>
      </c>
    </row>
    <row r="1630" spans="4:14" ht="15" customHeight="1" x14ac:dyDescent="0.2">
      <c r="D1630" s="130" t="b">
        <v>0</v>
      </c>
      <c r="E1630" s="124" t="s">
        <v>96</v>
      </c>
      <c r="F1630" s="125" t="s">
        <v>97</v>
      </c>
      <c r="G1630" s="125">
        <v>3</v>
      </c>
      <c r="H1630" s="123">
        <v>4</v>
      </c>
      <c r="I1630" s="123" t="s">
        <v>95</v>
      </c>
      <c r="J1630" s="123" t="s">
        <v>91</v>
      </c>
      <c r="K1630" s="123" t="s">
        <v>102</v>
      </c>
      <c r="L1630" s="132">
        <v>1550</v>
      </c>
      <c r="M1630" s="132">
        <v>0</v>
      </c>
      <c r="N1630" s="132">
        <v>2.0669058232740495E+18</v>
      </c>
    </row>
    <row r="1631" spans="4:14" ht="15" customHeight="1" x14ac:dyDescent="0.2">
      <c r="D1631" s="130" t="b">
        <v>0</v>
      </c>
      <c r="E1631" s="124" t="s">
        <v>96</v>
      </c>
      <c r="F1631" s="125" t="s">
        <v>97</v>
      </c>
      <c r="G1631" s="125">
        <v>3</v>
      </c>
      <c r="H1631" s="123">
        <v>4</v>
      </c>
      <c r="I1631" s="123" t="s">
        <v>97</v>
      </c>
      <c r="J1631" s="123" t="s">
        <v>96</v>
      </c>
      <c r="K1631" s="123" t="s">
        <v>93</v>
      </c>
      <c r="L1631" s="132">
        <v>1551</v>
      </c>
      <c r="M1631" s="132">
        <v>0</v>
      </c>
      <c r="N1631" s="132">
        <v>5.7248989003330202E+18</v>
      </c>
    </row>
    <row r="1632" spans="4:14" ht="15" customHeight="1" x14ac:dyDescent="0.2">
      <c r="D1632" s="130" t="b">
        <v>0</v>
      </c>
      <c r="E1632" s="124" t="s">
        <v>96</v>
      </c>
      <c r="F1632" s="125" t="s">
        <v>97</v>
      </c>
      <c r="G1632" s="125">
        <v>3</v>
      </c>
      <c r="H1632" s="123">
        <v>4</v>
      </c>
      <c r="I1632" s="123" t="s">
        <v>97</v>
      </c>
      <c r="J1632" s="123" t="s">
        <v>97</v>
      </c>
      <c r="K1632" s="123" t="s">
        <v>100</v>
      </c>
      <c r="L1632" s="132">
        <v>1552</v>
      </c>
      <c r="M1632" s="132">
        <v>0</v>
      </c>
      <c r="N1632" s="132">
        <v>9.4465895595109929E+18</v>
      </c>
    </row>
    <row r="1633" spans="4:14" ht="15" customHeight="1" x14ac:dyDescent="0.2">
      <c r="D1633" s="130" t="b">
        <v>0</v>
      </c>
      <c r="E1633" s="124" t="s">
        <v>96</v>
      </c>
      <c r="F1633" s="125" t="s">
        <v>97</v>
      </c>
      <c r="G1633" s="125">
        <v>3</v>
      </c>
      <c r="H1633" s="123">
        <v>4</v>
      </c>
      <c r="I1633" s="123" t="s">
        <v>97</v>
      </c>
      <c r="J1633" s="123" t="s">
        <v>91</v>
      </c>
      <c r="K1633" s="123" t="s">
        <v>102</v>
      </c>
      <c r="L1633" s="132">
        <v>1553</v>
      </c>
      <c r="M1633" s="132">
        <v>0</v>
      </c>
      <c r="N1633" s="132">
        <v>1.3090357216741796E+18</v>
      </c>
    </row>
    <row r="1634" spans="4:14" ht="15" customHeight="1" x14ac:dyDescent="0.2">
      <c r="D1634" s="130" t="b">
        <v>0</v>
      </c>
      <c r="E1634" s="124" t="s">
        <v>96</v>
      </c>
      <c r="F1634" s="125" t="s">
        <v>97</v>
      </c>
      <c r="G1634" s="125">
        <v>3</v>
      </c>
      <c r="H1634" s="123">
        <v>4</v>
      </c>
      <c r="I1634" s="123" t="s">
        <v>92</v>
      </c>
      <c r="J1634" s="123" t="s">
        <v>96</v>
      </c>
      <c r="K1634" s="123" t="s">
        <v>93</v>
      </c>
      <c r="L1634" s="132">
        <v>1554</v>
      </c>
      <c r="M1634" s="132">
        <v>0</v>
      </c>
      <c r="N1634" s="132">
        <v>2.638416843722135E+18</v>
      </c>
    </row>
    <row r="1635" spans="4:14" ht="15" customHeight="1" x14ac:dyDescent="0.2">
      <c r="D1635" s="130" t="b">
        <v>0</v>
      </c>
      <c r="E1635" s="124" t="s">
        <v>96</v>
      </c>
      <c r="F1635" s="125" t="s">
        <v>97</v>
      </c>
      <c r="G1635" s="125">
        <v>3</v>
      </c>
      <c r="H1635" s="123">
        <v>4</v>
      </c>
      <c r="I1635" s="123" t="s">
        <v>92</v>
      </c>
      <c r="J1635" s="123" t="s">
        <v>97</v>
      </c>
      <c r="K1635" s="123" t="s">
        <v>102</v>
      </c>
      <c r="L1635" s="132">
        <v>1555</v>
      </c>
      <c r="M1635" s="132">
        <v>0</v>
      </c>
      <c r="N1635" s="132">
        <v>1.8134148723304829E+19</v>
      </c>
    </row>
    <row r="1636" spans="4:14" ht="15" customHeight="1" x14ac:dyDescent="0.2">
      <c r="D1636" s="130" t="b">
        <v>0</v>
      </c>
      <c r="E1636" s="124" t="s">
        <v>96</v>
      </c>
      <c r="F1636" s="125" t="s">
        <v>97</v>
      </c>
      <c r="G1636" s="125">
        <v>3</v>
      </c>
      <c r="H1636" s="123">
        <v>4</v>
      </c>
      <c r="I1636" s="123" t="s">
        <v>92</v>
      </c>
      <c r="J1636" s="123" t="s">
        <v>91</v>
      </c>
      <c r="K1636" s="123" t="s">
        <v>101</v>
      </c>
      <c r="L1636" s="132">
        <v>1556</v>
      </c>
      <c r="M1636" s="132">
        <v>0</v>
      </c>
      <c r="N1636" s="132">
        <v>1.7010332541876281E+19</v>
      </c>
    </row>
    <row r="1637" spans="4:14" ht="15" customHeight="1" x14ac:dyDescent="0.2">
      <c r="D1637" s="130" t="b">
        <v>0</v>
      </c>
      <c r="E1637" s="124" t="s">
        <v>96</v>
      </c>
      <c r="F1637" s="125" t="s">
        <v>97</v>
      </c>
      <c r="G1637" s="125">
        <v>3</v>
      </c>
      <c r="H1637" s="123" t="s">
        <v>98</v>
      </c>
      <c r="I1637" s="123" t="s">
        <v>95</v>
      </c>
      <c r="J1637" s="123" t="s">
        <v>96</v>
      </c>
      <c r="K1637" s="123" t="s">
        <v>93</v>
      </c>
      <c r="L1637" s="132">
        <v>1557</v>
      </c>
      <c r="M1637" s="132">
        <v>0</v>
      </c>
      <c r="N1637" s="132">
        <v>1.6473604655065977E+19</v>
      </c>
    </row>
    <row r="1638" spans="4:14" ht="15" customHeight="1" x14ac:dyDescent="0.2">
      <c r="D1638" s="130" t="b">
        <v>0</v>
      </c>
      <c r="E1638" s="124" t="s">
        <v>96</v>
      </c>
      <c r="F1638" s="125" t="s">
        <v>97</v>
      </c>
      <c r="G1638" s="125">
        <v>3</v>
      </c>
      <c r="H1638" s="123" t="s">
        <v>98</v>
      </c>
      <c r="I1638" s="123" t="s">
        <v>95</v>
      </c>
      <c r="J1638" s="123" t="s">
        <v>97</v>
      </c>
      <c r="K1638" s="123" t="s">
        <v>100</v>
      </c>
      <c r="L1638" s="132">
        <v>1558</v>
      </c>
      <c r="M1638" s="132">
        <v>0</v>
      </c>
      <c r="N1638" s="132">
        <v>5.4853818808089989E+18</v>
      </c>
    </row>
    <row r="1639" spans="4:14" ht="15" customHeight="1" x14ac:dyDescent="0.2">
      <c r="D1639" s="130" t="b">
        <v>0</v>
      </c>
      <c r="E1639" s="124" t="s">
        <v>96</v>
      </c>
      <c r="F1639" s="125" t="s">
        <v>97</v>
      </c>
      <c r="G1639" s="125">
        <v>3</v>
      </c>
      <c r="H1639" s="123" t="s">
        <v>98</v>
      </c>
      <c r="I1639" s="123" t="s">
        <v>95</v>
      </c>
      <c r="J1639" s="123" t="s">
        <v>91</v>
      </c>
      <c r="K1639" s="123" t="s">
        <v>102</v>
      </c>
      <c r="L1639" s="132">
        <v>1559</v>
      </c>
      <c r="M1639" s="132">
        <v>0</v>
      </c>
      <c r="N1639" s="132">
        <v>1.8084340429320884E+19</v>
      </c>
    </row>
    <row r="1640" spans="4:14" ht="15" customHeight="1" x14ac:dyDescent="0.2">
      <c r="D1640" s="130" t="b">
        <v>0</v>
      </c>
      <c r="E1640" s="124" t="s">
        <v>96</v>
      </c>
      <c r="F1640" s="125" t="s">
        <v>97</v>
      </c>
      <c r="G1640" s="125">
        <v>3</v>
      </c>
      <c r="H1640" s="123" t="s">
        <v>98</v>
      </c>
      <c r="I1640" s="123" t="s">
        <v>97</v>
      </c>
      <c r="J1640" s="123" t="s">
        <v>96</v>
      </c>
      <c r="K1640" s="123" t="s">
        <v>93</v>
      </c>
      <c r="L1640" s="132">
        <v>1560</v>
      </c>
      <c r="M1640" s="132">
        <v>0</v>
      </c>
      <c r="N1640" s="132">
        <v>1.5116079515136162E+19</v>
      </c>
    </row>
    <row r="1641" spans="4:14" ht="15" customHeight="1" x14ac:dyDescent="0.2">
      <c r="D1641" s="130" t="b">
        <v>0</v>
      </c>
      <c r="E1641" s="124" t="s">
        <v>96</v>
      </c>
      <c r="F1641" s="125" t="s">
        <v>97</v>
      </c>
      <c r="G1641" s="125">
        <v>3</v>
      </c>
      <c r="H1641" s="123" t="s">
        <v>98</v>
      </c>
      <c r="I1641" s="123" t="s">
        <v>97</v>
      </c>
      <c r="J1641" s="123" t="s">
        <v>97</v>
      </c>
      <c r="K1641" s="123" t="s">
        <v>102</v>
      </c>
      <c r="L1641" s="132">
        <v>1561</v>
      </c>
      <c r="M1641" s="132">
        <v>0</v>
      </c>
      <c r="N1641" s="132">
        <v>5.2835179397620173E+18</v>
      </c>
    </row>
    <row r="1642" spans="4:14" ht="15" customHeight="1" x14ac:dyDescent="0.2">
      <c r="D1642" s="130" t="b">
        <v>0</v>
      </c>
      <c r="E1642" s="124" t="s">
        <v>96</v>
      </c>
      <c r="F1642" s="125" t="s">
        <v>97</v>
      </c>
      <c r="G1642" s="125">
        <v>3</v>
      </c>
      <c r="H1642" s="123" t="s">
        <v>98</v>
      </c>
      <c r="I1642" s="123" t="s">
        <v>97</v>
      </c>
      <c r="J1642" s="123" t="s">
        <v>91</v>
      </c>
      <c r="K1642" s="123" t="s">
        <v>101</v>
      </c>
      <c r="L1642" s="132">
        <v>1562</v>
      </c>
      <c r="M1642" s="132">
        <v>0</v>
      </c>
      <c r="N1642" s="132">
        <v>7.1936172549307177E+18</v>
      </c>
    </row>
    <row r="1643" spans="4:14" ht="15" customHeight="1" x14ac:dyDescent="0.2">
      <c r="D1643" s="130" t="b">
        <v>0</v>
      </c>
      <c r="E1643" s="124" t="s">
        <v>96</v>
      </c>
      <c r="F1643" s="125" t="s">
        <v>97</v>
      </c>
      <c r="G1643" s="125">
        <v>3</v>
      </c>
      <c r="H1643" s="123" t="s">
        <v>98</v>
      </c>
      <c r="I1643" s="123" t="s">
        <v>92</v>
      </c>
      <c r="J1643" s="123" t="s">
        <v>96</v>
      </c>
      <c r="K1643" s="123" t="s">
        <v>93</v>
      </c>
      <c r="L1643" s="132">
        <v>1563</v>
      </c>
      <c r="M1643" s="132">
        <v>0</v>
      </c>
      <c r="N1643" s="132">
        <v>9.123197810117291E+18</v>
      </c>
    </row>
    <row r="1644" spans="4:14" ht="15" customHeight="1" x14ac:dyDescent="0.2">
      <c r="D1644" s="130" t="b">
        <v>0</v>
      </c>
      <c r="E1644" s="124" t="s">
        <v>96</v>
      </c>
      <c r="F1644" s="125" t="s">
        <v>97</v>
      </c>
      <c r="G1644" s="125">
        <v>3</v>
      </c>
      <c r="H1644" s="123" t="s">
        <v>98</v>
      </c>
      <c r="I1644" s="123" t="s">
        <v>92</v>
      </c>
      <c r="J1644" s="123" t="s">
        <v>97</v>
      </c>
      <c r="K1644" s="123" t="s">
        <v>102</v>
      </c>
      <c r="L1644" s="132">
        <v>1564</v>
      </c>
      <c r="M1644" s="132">
        <v>0</v>
      </c>
      <c r="N1644" s="132">
        <v>1.3012164599669772E+19</v>
      </c>
    </row>
    <row r="1645" spans="4:14" ht="15" customHeight="1" x14ac:dyDescent="0.2">
      <c r="D1645" s="130" t="b">
        <v>0</v>
      </c>
      <c r="E1645" s="124" t="s">
        <v>96</v>
      </c>
      <c r="F1645" s="125" t="s">
        <v>97</v>
      </c>
      <c r="G1645" s="125">
        <v>3</v>
      </c>
      <c r="H1645" s="123" t="s">
        <v>98</v>
      </c>
      <c r="I1645" s="123" t="s">
        <v>92</v>
      </c>
      <c r="J1645" s="123" t="s">
        <v>91</v>
      </c>
      <c r="K1645" s="123" t="s">
        <v>101</v>
      </c>
      <c r="L1645" s="132">
        <v>1565</v>
      </c>
      <c r="M1645" s="132">
        <v>0</v>
      </c>
      <c r="N1645" s="132">
        <v>1.5076881620937505E+19</v>
      </c>
    </row>
    <row r="1646" spans="4:14" ht="15" customHeight="1" x14ac:dyDescent="0.2">
      <c r="D1646" s="130" t="b">
        <v>0</v>
      </c>
      <c r="E1646" s="124" t="s">
        <v>96</v>
      </c>
      <c r="F1646" s="125" t="s">
        <v>97</v>
      </c>
      <c r="G1646" s="125">
        <v>4</v>
      </c>
      <c r="H1646" s="123">
        <v>2</v>
      </c>
      <c r="I1646" s="123" t="s">
        <v>95</v>
      </c>
      <c r="J1646" s="123" t="s">
        <v>96</v>
      </c>
      <c r="K1646" s="123" t="s">
        <v>93</v>
      </c>
      <c r="L1646" s="132">
        <v>1566</v>
      </c>
      <c r="M1646" s="132">
        <v>0</v>
      </c>
      <c r="N1646" s="132">
        <v>1.6493423137005117E+18</v>
      </c>
    </row>
    <row r="1647" spans="4:14" ht="15" customHeight="1" x14ac:dyDescent="0.2">
      <c r="D1647" s="130" t="b">
        <v>0</v>
      </c>
      <c r="E1647" s="124" t="s">
        <v>96</v>
      </c>
      <c r="F1647" s="125" t="s">
        <v>97</v>
      </c>
      <c r="G1647" s="125">
        <v>4</v>
      </c>
      <c r="H1647" s="123">
        <v>2</v>
      </c>
      <c r="I1647" s="123" t="s">
        <v>95</v>
      </c>
      <c r="J1647" s="123" t="s">
        <v>97</v>
      </c>
      <c r="K1647" s="123" t="s">
        <v>93</v>
      </c>
      <c r="L1647" s="132">
        <v>1567</v>
      </c>
      <c r="M1647" s="132">
        <v>0</v>
      </c>
      <c r="N1647" s="132">
        <v>8.8480670537520978E+18</v>
      </c>
    </row>
    <row r="1648" spans="4:14" ht="15" customHeight="1" x14ac:dyDescent="0.2">
      <c r="D1648" s="130" t="b">
        <v>0</v>
      </c>
      <c r="E1648" s="124" t="s">
        <v>96</v>
      </c>
      <c r="F1648" s="125" t="s">
        <v>97</v>
      </c>
      <c r="G1648" s="125">
        <v>4</v>
      </c>
      <c r="H1648" s="123">
        <v>2</v>
      </c>
      <c r="I1648" s="123" t="s">
        <v>95</v>
      </c>
      <c r="J1648" s="123" t="s">
        <v>91</v>
      </c>
      <c r="K1648" s="123" t="s">
        <v>93</v>
      </c>
      <c r="L1648" s="132">
        <v>1568</v>
      </c>
      <c r="M1648" s="132">
        <v>0</v>
      </c>
      <c r="N1648" s="132">
        <v>1.2098446856693228E+19</v>
      </c>
    </row>
    <row r="1649" spans="4:14" ht="15" customHeight="1" x14ac:dyDescent="0.2">
      <c r="D1649" s="130" t="b">
        <v>0</v>
      </c>
      <c r="E1649" s="124" t="s">
        <v>96</v>
      </c>
      <c r="F1649" s="125" t="s">
        <v>97</v>
      </c>
      <c r="G1649" s="125">
        <v>4</v>
      </c>
      <c r="H1649" s="123">
        <v>2</v>
      </c>
      <c r="I1649" s="123" t="s">
        <v>97</v>
      </c>
      <c r="J1649" s="123" t="s">
        <v>96</v>
      </c>
      <c r="K1649" s="123" t="s">
        <v>93</v>
      </c>
      <c r="L1649" s="132">
        <v>1569</v>
      </c>
      <c r="M1649" s="132">
        <v>0</v>
      </c>
      <c r="N1649" s="132">
        <v>6.2095844093338296E+18</v>
      </c>
    </row>
    <row r="1650" spans="4:14" ht="15" customHeight="1" x14ac:dyDescent="0.2">
      <c r="D1650" s="130" t="b">
        <v>0</v>
      </c>
      <c r="E1650" s="124" t="s">
        <v>96</v>
      </c>
      <c r="F1650" s="125" t="s">
        <v>97</v>
      </c>
      <c r="G1650" s="125">
        <v>4</v>
      </c>
      <c r="H1650" s="123">
        <v>2</v>
      </c>
      <c r="I1650" s="123" t="s">
        <v>97</v>
      </c>
      <c r="J1650" s="123" t="s">
        <v>97</v>
      </c>
      <c r="K1650" s="123" t="s">
        <v>93</v>
      </c>
      <c r="L1650" s="132">
        <v>1570</v>
      </c>
      <c r="M1650" s="132">
        <v>0</v>
      </c>
      <c r="N1650" s="132">
        <v>4.5232655702573266E+18</v>
      </c>
    </row>
    <row r="1651" spans="4:14" ht="15" customHeight="1" x14ac:dyDescent="0.2">
      <c r="D1651" s="130" t="b">
        <v>0</v>
      </c>
      <c r="E1651" s="124" t="s">
        <v>96</v>
      </c>
      <c r="F1651" s="125" t="s">
        <v>97</v>
      </c>
      <c r="G1651" s="125">
        <v>4</v>
      </c>
      <c r="H1651" s="123">
        <v>2</v>
      </c>
      <c r="I1651" s="123" t="s">
        <v>97</v>
      </c>
      <c r="J1651" s="123" t="s">
        <v>91</v>
      </c>
      <c r="K1651" s="123" t="s">
        <v>93</v>
      </c>
      <c r="L1651" s="132">
        <v>1571</v>
      </c>
      <c r="M1651" s="132">
        <v>0</v>
      </c>
      <c r="N1651" s="132">
        <v>9.7125864315234591E+18</v>
      </c>
    </row>
    <row r="1652" spans="4:14" ht="15" customHeight="1" x14ac:dyDescent="0.2">
      <c r="D1652" s="130" t="b">
        <v>0</v>
      </c>
      <c r="E1652" s="124" t="s">
        <v>96</v>
      </c>
      <c r="F1652" s="125" t="s">
        <v>97</v>
      </c>
      <c r="G1652" s="125">
        <v>4</v>
      </c>
      <c r="H1652" s="123">
        <v>2</v>
      </c>
      <c r="I1652" s="123" t="s">
        <v>92</v>
      </c>
      <c r="J1652" s="123" t="s">
        <v>96</v>
      </c>
      <c r="K1652" s="123" t="s">
        <v>93</v>
      </c>
      <c r="L1652" s="132">
        <v>1572</v>
      </c>
      <c r="M1652" s="132">
        <v>0</v>
      </c>
      <c r="N1652" s="132">
        <v>1.4144271004418136E+19</v>
      </c>
    </row>
    <row r="1653" spans="4:14" ht="15" customHeight="1" x14ac:dyDescent="0.2">
      <c r="D1653" s="130" t="b">
        <v>0</v>
      </c>
      <c r="E1653" s="124" t="s">
        <v>96</v>
      </c>
      <c r="F1653" s="125" t="s">
        <v>97</v>
      </c>
      <c r="G1653" s="125">
        <v>4</v>
      </c>
      <c r="H1653" s="123">
        <v>2</v>
      </c>
      <c r="I1653" s="123" t="s">
        <v>92</v>
      </c>
      <c r="J1653" s="123" t="s">
        <v>97</v>
      </c>
      <c r="K1653" s="123" t="s">
        <v>93</v>
      </c>
      <c r="L1653" s="132">
        <v>1573</v>
      </c>
      <c r="M1653" s="132">
        <v>0</v>
      </c>
      <c r="N1653" s="132">
        <v>1.4240558667691672E+19</v>
      </c>
    </row>
    <row r="1654" spans="4:14" ht="15" customHeight="1" x14ac:dyDescent="0.2">
      <c r="D1654" s="130" t="b">
        <v>0</v>
      </c>
      <c r="E1654" s="124" t="s">
        <v>96</v>
      </c>
      <c r="F1654" s="125" t="s">
        <v>97</v>
      </c>
      <c r="G1654" s="125">
        <v>4</v>
      </c>
      <c r="H1654" s="123">
        <v>2</v>
      </c>
      <c r="I1654" s="123" t="s">
        <v>92</v>
      </c>
      <c r="J1654" s="123" t="s">
        <v>91</v>
      </c>
      <c r="K1654" s="123" t="s">
        <v>93</v>
      </c>
      <c r="L1654" s="132">
        <v>1574</v>
      </c>
      <c r="M1654" s="132">
        <v>0</v>
      </c>
      <c r="N1654" s="132">
        <v>4.5694169841793961E+18</v>
      </c>
    </row>
    <row r="1655" spans="4:14" ht="15" customHeight="1" x14ac:dyDescent="0.2">
      <c r="D1655" s="130" t="b">
        <v>0</v>
      </c>
      <c r="E1655" s="124" t="s">
        <v>96</v>
      </c>
      <c r="F1655" s="125" t="s">
        <v>97</v>
      </c>
      <c r="G1655" s="125">
        <v>4</v>
      </c>
      <c r="H1655" s="123">
        <v>4</v>
      </c>
      <c r="I1655" s="123" t="s">
        <v>95</v>
      </c>
      <c r="J1655" s="123" t="s">
        <v>96</v>
      </c>
      <c r="K1655" s="123" t="s">
        <v>93</v>
      </c>
      <c r="L1655" s="132">
        <v>1575</v>
      </c>
      <c r="M1655" s="132">
        <v>0</v>
      </c>
      <c r="N1655" s="132">
        <v>4.4542113063948549E+18</v>
      </c>
    </row>
    <row r="1656" spans="4:14" ht="15" customHeight="1" x14ac:dyDescent="0.2">
      <c r="D1656" s="130" t="b">
        <v>0</v>
      </c>
      <c r="E1656" s="124" t="s">
        <v>96</v>
      </c>
      <c r="F1656" s="125" t="s">
        <v>97</v>
      </c>
      <c r="G1656" s="125">
        <v>4</v>
      </c>
      <c r="H1656" s="123">
        <v>4</v>
      </c>
      <c r="I1656" s="123" t="s">
        <v>95</v>
      </c>
      <c r="J1656" s="123" t="s">
        <v>97</v>
      </c>
      <c r="K1656" s="123" t="s">
        <v>100</v>
      </c>
      <c r="L1656" s="132">
        <v>1576</v>
      </c>
      <c r="M1656" s="132">
        <v>0</v>
      </c>
      <c r="N1656" s="132">
        <v>8.1213571478197187E+18</v>
      </c>
    </row>
    <row r="1657" spans="4:14" ht="15" customHeight="1" x14ac:dyDescent="0.2">
      <c r="D1657" s="130" t="b">
        <v>0</v>
      </c>
      <c r="E1657" s="124" t="s">
        <v>96</v>
      </c>
      <c r="F1657" s="125" t="s">
        <v>97</v>
      </c>
      <c r="G1657" s="125">
        <v>4</v>
      </c>
      <c r="H1657" s="123">
        <v>4</v>
      </c>
      <c r="I1657" s="123" t="s">
        <v>95</v>
      </c>
      <c r="J1657" s="123" t="s">
        <v>91</v>
      </c>
      <c r="K1657" s="123" t="s">
        <v>102</v>
      </c>
      <c r="L1657" s="132">
        <v>1577</v>
      </c>
      <c r="M1657" s="132">
        <v>0</v>
      </c>
      <c r="N1657" s="132">
        <v>1.7849922302972369E+19</v>
      </c>
    </row>
    <row r="1658" spans="4:14" ht="15" customHeight="1" x14ac:dyDescent="0.2">
      <c r="D1658" s="130" t="b">
        <v>0</v>
      </c>
      <c r="E1658" s="124" t="s">
        <v>96</v>
      </c>
      <c r="F1658" s="125" t="s">
        <v>97</v>
      </c>
      <c r="G1658" s="125">
        <v>4</v>
      </c>
      <c r="H1658" s="123">
        <v>4</v>
      </c>
      <c r="I1658" s="123" t="s">
        <v>97</v>
      </c>
      <c r="J1658" s="123" t="s">
        <v>96</v>
      </c>
      <c r="K1658" s="123" t="s">
        <v>93</v>
      </c>
      <c r="L1658" s="132">
        <v>1578</v>
      </c>
      <c r="M1658" s="132">
        <v>0</v>
      </c>
      <c r="N1658" s="132">
        <v>1.6616705232886461E+18</v>
      </c>
    </row>
    <row r="1659" spans="4:14" ht="15" customHeight="1" x14ac:dyDescent="0.2">
      <c r="D1659" s="130" t="b">
        <v>0</v>
      </c>
      <c r="E1659" s="124" t="s">
        <v>96</v>
      </c>
      <c r="F1659" s="125" t="s">
        <v>97</v>
      </c>
      <c r="G1659" s="125">
        <v>4</v>
      </c>
      <c r="H1659" s="123">
        <v>4</v>
      </c>
      <c r="I1659" s="123" t="s">
        <v>97</v>
      </c>
      <c r="J1659" s="123" t="s">
        <v>97</v>
      </c>
      <c r="K1659" s="123" t="s">
        <v>102</v>
      </c>
      <c r="L1659" s="132">
        <v>1579</v>
      </c>
      <c r="M1659" s="132">
        <v>0</v>
      </c>
      <c r="N1659" s="132">
        <v>1.0282292655611558E+19</v>
      </c>
    </row>
    <row r="1660" spans="4:14" ht="15" customHeight="1" x14ac:dyDescent="0.2">
      <c r="D1660" s="130" t="b">
        <v>0</v>
      </c>
      <c r="E1660" s="124" t="s">
        <v>96</v>
      </c>
      <c r="F1660" s="125" t="s">
        <v>97</v>
      </c>
      <c r="G1660" s="125">
        <v>4</v>
      </c>
      <c r="H1660" s="123">
        <v>4</v>
      </c>
      <c r="I1660" s="123" t="s">
        <v>97</v>
      </c>
      <c r="J1660" s="123" t="s">
        <v>91</v>
      </c>
      <c r="K1660" s="123" t="s">
        <v>101</v>
      </c>
      <c r="L1660" s="132">
        <v>1580</v>
      </c>
      <c r="M1660" s="132">
        <v>0</v>
      </c>
      <c r="N1660" s="132">
        <v>3.3881790958641267E+17</v>
      </c>
    </row>
    <row r="1661" spans="4:14" ht="15" customHeight="1" x14ac:dyDescent="0.2">
      <c r="D1661" s="130" t="b">
        <v>0</v>
      </c>
      <c r="E1661" s="124" t="s">
        <v>96</v>
      </c>
      <c r="F1661" s="125" t="s">
        <v>97</v>
      </c>
      <c r="G1661" s="125">
        <v>4</v>
      </c>
      <c r="H1661" s="123">
        <v>4</v>
      </c>
      <c r="I1661" s="123" t="s">
        <v>92</v>
      </c>
      <c r="J1661" s="123" t="s">
        <v>96</v>
      </c>
      <c r="K1661" s="123" t="s">
        <v>93</v>
      </c>
      <c r="L1661" s="132">
        <v>1581</v>
      </c>
      <c r="M1661" s="132">
        <v>0</v>
      </c>
      <c r="N1661" s="132">
        <v>5.594140189976318E+18</v>
      </c>
    </row>
    <row r="1662" spans="4:14" ht="15" customHeight="1" x14ac:dyDescent="0.2">
      <c r="D1662" s="130" t="b">
        <v>0</v>
      </c>
      <c r="E1662" s="124" t="s">
        <v>96</v>
      </c>
      <c r="F1662" s="125" t="s">
        <v>97</v>
      </c>
      <c r="G1662" s="125">
        <v>4</v>
      </c>
      <c r="H1662" s="123">
        <v>4</v>
      </c>
      <c r="I1662" s="123" t="s">
        <v>92</v>
      </c>
      <c r="J1662" s="123" t="s">
        <v>97</v>
      </c>
      <c r="K1662" s="123" t="s">
        <v>102</v>
      </c>
      <c r="L1662" s="132">
        <v>1582</v>
      </c>
      <c r="M1662" s="132">
        <v>0</v>
      </c>
      <c r="N1662" s="132">
        <v>1.2731308671529198E+19</v>
      </c>
    </row>
    <row r="1663" spans="4:14" ht="15" customHeight="1" x14ac:dyDescent="0.2">
      <c r="D1663" s="130" t="b">
        <v>0</v>
      </c>
      <c r="E1663" s="124" t="s">
        <v>96</v>
      </c>
      <c r="F1663" s="125" t="s">
        <v>97</v>
      </c>
      <c r="G1663" s="125">
        <v>4</v>
      </c>
      <c r="H1663" s="123">
        <v>4</v>
      </c>
      <c r="I1663" s="123" t="s">
        <v>92</v>
      </c>
      <c r="J1663" s="123" t="s">
        <v>91</v>
      </c>
      <c r="K1663" s="123" t="s">
        <v>101</v>
      </c>
      <c r="L1663" s="132">
        <v>1583</v>
      </c>
      <c r="M1663" s="132">
        <v>0</v>
      </c>
      <c r="N1663" s="132">
        <v>1.2852037777841842E+19</v>
      </c>
    </row>
    <row r="1664" spans="4:14" ht="15" customHeight="1" x14ac:dyDescent="0.2">
      <c r="D1664" s="130" t="b">
        <v>0</v>
      </c>
      <c r="E1664" s="124" t="s">
        <v>96</v>
      </c>
      <c r="F1664" s="125" t="s">
        <v>97</v>
      </c>
      <c r="G1664" s="125">
        <v>4</v>
      </c>
      <c r="H1664" s="123" t="s">
        <v>98</v>
      </c>
      <c r="I1664" s="123" t="s">
        <v>95</v>
      </c>
      <c r="J1664" s="123" t="s">
        <v>96</v>
      </c>
      <c r="K1664" s="123" t="s">
        <v>93</v>
      </c>
      <c r="L1664" s="132">
        <v>1584</v>
      </c>
      <c r="M1664" s="132">
        <v>0</v>
      </c>
      <c r="N1664" s="132">
        <v>6.5395091737667205E+18</v>
      </c>
    </row>
    <row r="1665" spans="4:14" ht="15" customHeight="1" x14ac:dyDescent="0.2">
      <c r="D1665" s="130" t="b">
        <v>0</v>
      </c>
      <c r="E1665" s="124" t="s">
        <v>96</v>
      </c>
      <c r="F1665" s="125" t="s">
        <v>97</v>
      </c>
      <c r="G1665" s="125">
        <v>4</v>
      </c>
      <c r="H1665" s="123" t="s">
        <v>98</v>
      </c>
      <c r="I1665" s="123" t="s">
        <v>95</v>
      </c>
      <c r="J1665" s="123" t="s">
        <v>97</v>
      </c>
      <c r="K1665" s="123" t="s">
        <v>100</v>
      </c>
      <c r="L1665" s="132">
        <v>1585</v>
      </c>
      <c r="M1665" s="132">
        <v>0</v>
      </c>
      <c r="N1665" s="132">
        <v>5.5131571440237025E+18</v>
      </c>
    </row>
    <row r="1666" spans="4:14" ht="15" customHeight="1" x14ac:dyDescent="0.2">
      <c r="D1666" s="130" t="b">
        <v>0</v>
      </c>
      <c r="E1666" s="124" t="s">
        <v>96</v>
      </c>
      <c r="F1666" s="125" t="s">
        <v>97</v>
      </c>
      <c r="G1666" s="125">
        <v>4</v>
      </c>
      <c r="H1666" s="123" t="s">
        <v>98</v>
      </c>
      <c r="I1666" s="123" t="s">
        <v>95</v>
      </c>
      <c r="J1666" s="123" t="s">
        <v>91</v>
      </c>
      <c r="K1666" s="123" t="s">
        <v>102</v>
      </c>
      <c r="L1666" s="132">
        <v>1586</v>
      </c>
      <c r="M1666" s="132">
        <v>0</v>
      </c>
      <c r="N1666" s="132">
        <v>1.7636246899390986E+19</v>
      </c>
    </row>
    <row r="1667" spans="4:14" ht="15" customHeight="1" x14ac:dyDescent="0.2">
      <c r="D1667" s="130" t="b">
        <v>0</v>
      </c>
      <c r="E1667" s="124" t="s">
        <v>96</v>
      </c>
      <c r="F1667" s="125" t="s">
        <v>97</v>
      </c>
      <c r="G1667" s="125">
        <v>4</v>
      </c>
      <c r="H1667" s="123" t="s">
        <v>98</v>
      </c>
      <c r="I1667" s="123" t="s">
        <v>97</v>
      </c>
      <c r="J1667" s="123" t="s">
        <v>96</v>
      </c>
      <c r="K1667" s="123" t="s">
        <v>93</v>
      </c>
      <c r="L1667" s="132">
        <v>1587</v>
      </c>
      <c r="M1667" s="132">
        <v>0</v>
      </c>
      <c r="N1667" s="132">
        <v>1.227426443989702E+19</v>
      </c>
    </row>
    <row r="1668" spans="4:14" ht="15" customHeight="1" x14ac:dyDescent="0.2">
      <c r="D1668" s="130" t="b">
        <v>0</v>
      </c>
      <c r="E1668" s="124" t="s">
        <v>96</v>
      </c>
      <c r="F1668" s="125" t="s">
        <v>97</v>
      </c>
      <c r="G1668" s="125">
        <v>4</v>
      </c>
      <c r="H1668" s="123" t="s">
        <v>98</v>
      </c>
      <c r="I1668" s="123" t="s">
        <v>97</v>
      </c>
      <c r="J1668" s="123" t="s">
        <v>97</v>
      </c>
      <c r="K1668" s="123" t="s">
        <v>102</v>
      </c>
      <c r="L1668" s="132">
        <v>1588</v>
      </c>
      <c r="M1668" s="132">
        <v>0</v>
      </c>
      <c r="N1668" s="132">
        <v>9.4676098691593728E+18</v>
      </c>
    </row>
    <row r="1669" spans="4:14" ht="15" customHeight="1" x14ac:dyDescent="0.2">
      <c r="D1669" s="130" t="b">
        <v>0</v>
      </c>
      <c r="E1669" s="124" t="s">
        <v>96</v>
      </c>
      <c r="F1669" s="125" t="s">
        <v>97</v>
      </c>
      <c r="G1669" s="125">
        <v>4</v>
      </c>
      <c r="H1669" s="123" t="s">
        <v>98</v>
      </c>
      <c r="I1669" s="123" t="s">
        <v>97</v>
      </c>
      <c r="J1669" s="123" t="s">
        <v>91</v>
      </c>
      <c r="K1669" s="123" t="s">
        <v>101</v>
      </c>
      <c r="L1669" s="132">
        <v>1589</v>
      </c>
      <c r="M1669" s="132">
        <v>0</v>
      </c>
      <c r="N1669" s="132">
        <v>7.7739786336809958E+17</v>
      </c>
    </row>
    <row r="1670" spans="4:14" ht="15" customHeight="1" x14ac:dyDescent="0.2">
      <c r="D1670" s="130" t="b">
        <v>0</v>
      </c>
      <c r="E1670" s="124" t="s">
        <v>96</v>
      </c>
      <c r="F1670" s="125" t="s">
        <v>97</v>
      </c>
      <c r="G1670" s="125">
        <v>4</v>
      </c>
      <c r="H1670" s="123" t="s">
        <v>98</v>
      </c>
      <c r="I1670" s="123" t="s">
        <v>92</v>
      </c>
      <c r="J1670" s="123" t="s">
        <v>96</v>
      </c>
      <c r="K1670" s="123" t="s">
        <v>93</v>
      </c>
      <c r="L1670" s="132">
        <v>1590</v>
      </c>
      <c r="M1670" s="132">
        <v>0</v>
      </c>
      <c r="N1670" s="132">
        <v>5.3389197211816458E+18</v>
      </c>
    </row>
    <row r="1671" spans="4:14" ht="15" customHeight="1" x14ac:dyDescent="0.2">
      <c r="D1671" s="130" t="b">
        <v>0</v>
      </c>
      <c r="E1671" s="124" t="s">
        <v>96</v>
      </c>
      <c r="F1671" s="125" t="s">
        <v>97</v>
      </c>
      <c r="G1671" s="125">
        <v>4</v>
      </c>
      <c r="H1671" s="123" t="s">
        <v>98</v>
      </c>
      <c r="I1671" s="123" t="s">
        <v>92</v>
      </c>
      <c r="J1671" s="123" t="s">
        <v>97</v>
      </c>
      <c r="K1671" s="123" t="s">
        <v>102</v>
      </c>
      <c r="L1671" s="132">
        <v>1591</v>
      </c>
      <c r="M1671" s="132">
        <v>0</v>
      </c>
      <c r="N1671" s="132">
        <v>1.2841567529951969E+19</v>
      </c>
    </row>
    <row r="1672" spans="4:14" ht="15" customHeight="1" x14ac:dyDescent="0.2">
      <c r="D1672" s="130" t="b">
        <v>0</v>
      </c>
      <c r="E1672" s="124" t="s">
        <v>96</v>
      </c>
      <c r="F1672" s="125" t="s">
        <v>97</v>
      </c>
      <c r="G1672" s="125">
        <v>4</v>
      </c>
      <c r="H1672" s="123" t="s">
        <v>98</v>
      </c>
      <c r="I1672" s="123" t="s">
        <v>92</v>
      </c>
      <c r="J1672" s="123" t="s">
        <v>91</v>
      </c>
      <c r="K1672" s="123" t="s">
        <v>101</v>
      </c>
      <c r="L1672" s="132">
        <v>1592</v>
      </c>
      <c r="M1672" s="132">
        <v>0</v>
      </c>
      <c r="N1672" s="132">
        <v>1.8343030314618571E+19</v>
      </c>
    </row>
    <row r="1673" spans="4:14" ht="15" customHeight="1" x14ac:dyDescent="0.2">
      <c r="D1673" s="130" t="b">
        <v>0</v>
      </c>
      <c r="E1673" s="124" t="s">
        <v>96</v>
      </c>
      <c r="F1673" s="125" t="s">
        <v>97</v>
      </c>
      <c r="G1673" s="125" t="s">
        <v>99</v>
      </c>
      <c r="H1673" s="123">
        <v>2</v>
      </c>
      <c r="I1673" s="123" t="s">
        <v>95</v>
      </c>
      <c r="J1673" s="123" t="s">
        <v>96</v>
      </c>
      <c r="K1673" s="123" t="s">
        <v>93</v>
      </c>
      <c r="L1673" s="132">
        <v>1593</v>
      </c>
      <c r="M1673" s="132">
        <v>0</v>
      </c>
      <c r="N1673" s="132">
        <v>5.3699999773781842E+18</v>
      </c>
    </row>
    <row r="1674" spans="4:14" ht="15" customHeight="1" x14ac:dyDescent="0.2">
      <c r="D1674" s="130" t="b">
        <v>0</v>
      </c>
      <c r="E1674" s="124" t="s">
        <v>96</v>
      </c>
      <c r="F1674" s="125" t="s">
        <v>97</v>
      </c>
      <c r="G1674" s="125" t="s">
        <v>99</v>
      </c>
      <c r="H1674" s="123">
        <v>2</v>
      </c>
      <c r="I1674" s="123" t="s">
        <v>95</v>
      </c>
      <c r="J1674" s="123" t="s">
        <v>97</v>
      </c>
      <c r="K1674" s="123" t="s">
        <v>93</v>
      </c>
      <c r="L1674" s="132">
        <v>1594</v>
      </c>
      <c r="M1674" s="132">
        <v>0</v>
      </c>
      <c r="N1674" s="132">
        <v>8.6802013304655043E+18</v>
      </c>
    </row>
    <row r="1675" spans="4:14" ht="15" customHeight="1" x14ac:dyDescent="0.2">
      <c r="D1675" s="130" t="b">
        <v>0</v>
      </c>
      <c r="E1675" s="124" t="s">
        <v>96</v>
      </c>
      <c r="F1675" s="125" t="s">
        <v>97</v>
      </c>
      <c r="G1675" s="125" t="s">
        <v>99</v>
      </c>
      <c r="H1675" s="123">
        <v>2</v>
      </c>
      <c r="I1675" s="123" t="s">
        <v>95</v>
      </c>
      <c r="J1675" s="123" t="s">
        <v>91</v>
      </c>
      <c r="K1675" s="123" t="s">
        <v>93</v>
      </c>
      <c r="L1675" s="132">
        <v>1595</v>
      </c>
      <c r="M1675" s="132">
        <v>0</v>
      </c>
      <c r="N1675" s="132">
        <v>1.2752312146195192E+19</v>
      </c>
    </row>
    <row r="1676" spans="4:14" ht="15" customHeight="1" x14ac:dyDescent="0.2">
      <c r="D1676" s="130" t="b">
        <v>0</v>
      </c>
      <c r="E1676" s="124" t="s">
        <v>96</v>
      </c>
      <c r="F1676" s="125" t="s">
        <v>97</v>
      </c>
      <c r="G1676" s="125" t="s">
        <v>99</v>
      </c>
      <c r="H1676" s="123">
        <v>2</v>
      </c>
      <c r="I1676" s="123" t="s">
        <v>97</v>
      </c>
      <c r="J1676" s="123" t="s">
        <v>96</v>
      </c>
      <c r="K1676" s="123" t="s">
        <v>93</v>
      </c>
      <c r="L1676" s="132">
        <v>1596</v>
      </c>
      <c r="M1676" s="132">
        <v>0</v>
      </c>
      <c r="N1676" s="132">
        <v>1.1700894689376152E+19</v>
      </c>
    </row>
    <row r="1677" spans="4:14" ht="15" customHeight="1" x14ac:dyDescent="0.2">
      <c r="D1677" s="130" t="b">
        <v>0</v>
      </c>
      <c r="E1677" s="124" t="s">
        <v>96</v>
      </c>
      <c r="F1677" s="125" t="s">
        <v>97</v>
      </c>
      <c r="G1677" s="125" t="s">
        <v>99</v>
      </c>
      <c r="H1677" s="123">
        <v>2</v>
      </c>
      <c r="I1677" s="123" t="s">
        <v>97</v>
      </c>
      <c r="J1677" s="123" t="s">
        <v>97</v>
      </c>
      <c r="K1677" s="123" t="s">
        <v>93</v>
      </c>
      <c r="L1677" s="132">
        <v>1597</v>
      </c>
      <c r="M1677" s="132">
        <v>0</v>
      </c>
      <c r="N1677" s="132">
        <v>3.2465344376231096E+18</v>
      </c>
    </row>
    <row r="1678" spans="4:14" ht="15" customHeight="1" x14ac:dyDescent="0.2">
      <c r="D1678" s="130" t="b">
        <v>0</v>
      </c>
      <c r="E1678" s="124" t="s">
        <v>96</v>
      </c>
      <c r="F1678" s="125" t="s">
        <v>97</v>
      </c>
      <c r="G1678" s="125" t="s">
        <v>99</v>
      </c>
      <c r="H1678" s="123">
        <v>2</v>
      </c>
      <c r="I1678" s="123" t="s">
        <v>97</v>
      </c>
      <c r="J1678" s="123" t="s">
        <v>91</v>
      </c>
      <c r="K1678" s="123" t="s">
        <v>93</v>
      </c>
      <c r="L1678" s="132">
        <v>1598</v>
      </c>
      <c r="M1678" s="132">
        <v>0</v>
      </c>
      <c r="N1678" s="132">
        <v>1.0002108742113184E+19</v>
      </c>
    </row>
    <row r="1679" spans="4:14" ht="15" customHeight="1" x14ac:dyDescent="0.2">
      <c r="D1679" s="130" t="b">
        <v>0</v>
      </c>
      <c r="E1679" s="124" t="s">
        <v>96</v>
      </c>
      <c r="F1679" s="125" t="s">
        <v>97</v>
      </c>
      <c r="G1679" s="125" t="s">
        <v>99</v>
      </c>
      <c r="H1679" s="123">
        <v>2</v>
      </c>
      <c r="I1679" s="123" t="s">
        <v>92</v>
      </c>
      <c r="J1679" s="123" t="s">
        <v>96</v>
      </c>
      <c r="K1679" s="123" t="s">
        <v>93</v>
      </c>
      <c r="L1679" s="132">
        <v>1599</v>
      </c>
      <c r="M1679" s="132">
        <v>0</v>
      </c>
      <c r="N1679" s="132">
        <v>1.5582006359835328E+18</v>
      </c>
    </row>
    <row r="1680" spans="4:14" ht="15" customHeight="1" x14ac:dyDescent="0.2">
      <c r="D1680" s="130" t="b">
        <v>0</v>
      </c>
      <c r="E1680" s="124" t="s">
        <v>96</v>
      </c>
      <c r="F1680" s="125" t="s">
        <v>97</v>
      </c>
      <c r="G1680" s="125" t="s">
        <v>99</v>
      </c>
      <c r="H1680" s="123">
        <v>2</v>
      </c>
      <c r="I1680" s="123" t="s">
        <v>92</v>
      </c>
      <c r="J1680" s="123" t="s">
        <v>97</v>
      </c>
      <c r="K1680" s="123" t="s">
        <v>93</v>
      </c>
      <c r="L1680" s="132">
        <v>1600</v>
      </c>
      <c r="M1680" s="132">
        <v>0</v>
      </c>
      <c r="N1680" s="132">
        <v>1.5588796850351069E+19</v>
      </c>
    </row>
    <row r="1681" spans="4:14" ht="15" customHeight="1" x14ac:dyDescent="0.2">
      <c r="D1681" s="130" t="b">
        <v>0</v>
      </c>
      <c r="E1681" s="124" t="s">
        <v>96</v>
      </c>
      <c r="F1681" s="125" t="s">
        <v>97</v>
      </c>
      <c r="G1681" s="125" t="s">
        <v>99</v>
      </c>
      <c r="H1681" s="123">
        <v>2</v>
      </c>
      <c r="I1681" s="123" t="s">
        <v>92</v>
      </c>
      <c r="J1681" s="123" t="s">
        <v>91</v>
      </c>
      <c r="K1681" s="123" t="s">
        <v>93</v>
      </c>
      <c r="L1681" s="132">
        <v>1601</v>
      </c>
      <c r="M1681" s="132">
        <v>0</v>
      </c>
      <c r="N1681" s="132">
        <v>5.513800691427415E+18</v>
      </c>
    </row>
    <row r="1682" spans="4:14" ht="15" customHeight="1" x14ac:dyDescent="0.2">
      <c r="D1682" s="130" t="b">
        <v>0</v>
      </c>
      <c r="E1682" s="124" t="s">
        <v>96</v>
      </c>
      <c r="F1682" s="125" t="s">
        <v>97</v>
      </c>
      <c r="G1682" s="125" t="s">
        <v>99</v>
      </c>
      <c r="H1682" s="123">
        <v>4</v>
      </c>
      <c r="I1682" s="123" t="s">
        <v>95</v>
      </c>
      <c r="J1682" s="123" t="s">
        <v>96</v>
      </c>
      <c r="K1682" s="123" t="s">
        <v>93</v>
      </c>
      <c r="L1682" s="132">
        <v>1602</v>
      </c>
      <c r="M1682" s="132">
        <v>0</v>
      </c>
      <c r="N1682" s="132">
        <v>2.2567955021573606E+18</v>
      </c>
    </row>
    <row r="1683" spans="4:14" ht="15" customHeight="1" x14ac:dyDescent="0.2">
      <c r="D1683" s="130" t="b">
        <v>0</v>
      </c>
      <c r="E1683" s="124" t="s">
        <v>96</v>
      </c>
      <c r="F1683" s="125" t="s">
        <v>97</v>
      </c>
      <c r="G1683" s="125" t="s">
        <v>99</v>
      </c>
      <c r="H1683" s="123">
        <v>4</v>
      </c>
      <c r="I1683" s="123" t="s">
        <v>95</v>
      </c>
      <c r="J1683" s="123" t="s">
        <v>97</v>
      </c>
      <c r="K1683" s="123" t="s">
        <v>100</v>
      </c>
      <c r="L1683" s="132">
        <v>1603</v>
      </c>
      <c r="M1683" s="132">
        <v>0</v>
      </c>
      <c r="N1683" s="132">
        <v>3.665787768228074E+18</v>
      </c>
    </row>
    <row r="1684" spans="4:14" ht="15" customHeight="1" x14ac:dyDescent="0.2">
      <c r="D1684" s="130" t="b">
        <v>0</v>
      </c>
      <c r="E1684" s="124" t="s">
        <v>96</v>
      </c>
      <c r="F1684" s="125" t="s">
        <v>97</v>
      </c>
      <c r="G1684" s="125" t="s">
        <v>99</v>
      </c>
      <c r="H1684" s="123">
        <v>4</v>
      </c>
      <c r="I1684" s="123" t="s">
        <v>95</v>
      </c>
      <c r="J1684" s="123" t="s">
        <v>91</v>
      </c>
      <c r="K1684" s="123" t="s">
        <v>102</v>
      </c>
      <c r="L1684" s="132">
        <v>1604</v>
      </c>
      <c r="M1684" s="132">
        <v>0</v>
      </c>
      <c r="N1684" s="132">
        <v>1.4514588770006452E+19</v>
      </c>
    </row>
    <row r="1685" spans="4:14" ht="15" customHeight="1" x14ac:dyDescent="0.2">
      <c r="D1685" s="130" t="b">
        <v>0</v>
      </c>
      <c r="E1685" s="124" t="s">
        <v>96</v>
      </c>
      <c r="F1685" s="125" t="s">
        <v>97</v>
      </c>
      <c r="G1685" s="125" t="s">
        <v>99</v>
      </c>
      <c r="H1685" s="123">
        <v>4</v>
      </c>
      <c r="I1685" s="123" t="s">
        <v>97</v>
      </c>
      <c r="J1685" s="123" t="s">
        <v>96</v>
      </c>
      <c r="K1685" s="123" t="s">
        <v>93</v>
      </c>
      <c r="L1685" s="132">
        <v>1605</v>
      </c>
      <c r="M1685" s="132">
        <v>0</v>
      </c>
      <c r="N1685" s="132">
        <v>1.5980781679421858E+19</v>
      </c>
    </row>
    <row r="1686" spans="4:14" ht="15" customHeight="1" x14ac:dyDescent="0.2">
      <c r="D1686" s="130" t="b">
        <v>0</v>
      </c>
      <c r="E1686" s="124" t="s">
        <v>96</v>
      </c>
      <c r="F1686" s="125" t="s">
        <v>97</v>
      </c>
      <c r="G1686" s="125" t="s">
        <v>99</v>
      </c>
      <c r="H1686" s="123">
        <v>4</v>
      </c>
      <c r="I1686" s="123" t="s">
        <v>97</v>
      </c>
      <c r="J1686" s="123" t="s">
        <v>97</v>
      </c>
      <c r="K1686" s="123" t="s">
        <v>102</v>
      </c>
      <c r="L1686" s="132">
        <v>1606</v>
      </c>
      <c r="M1686" s="132">
        <v>0</v>
      </c>
      <c r="N1686" s="132">
        <v>1.0939414507172003E+18</v>
      </c>
    </row>
    <row r="1687" spans="4:14" ht="15" customHeight="1" x14ac:dyDescent="0.2">
      <c r="D1687" s="130" t="b">
        <v>0</v>
      </c>
      <c r="E1687" s="124" t="s">
        <v>96</v>
      </c>
      <c r="F1687" s="125" t="s">
        <v>97</v>
      </c>
      <c r="G1687" s="125" t="s">
        <v>99</v>
      </c>
      <c r="H1687" s="123">
        <v>4</v>
      </c>
      <c r="I1687" s="123" t="s">
        <v>97</v>
      </c>
      <c r="J1687" s="123" t="s">
        <v>91</v>
      </c>
      <c r="K1687" s="123" t="s">
        <v>101</v>
      </c>
      <c r="L1687" s="132">
        <v>1607</v>
      </c>
      <c r="M1687" s="132">
        <v>0</v>
      </c>
      <c r="N1687" s="132">
        <v>9.8083848188739871E+18</v>
      </c>
    </row>
    <row r="1688" spans="4:14" ht="15" customHeight="1" x14ac:dyDescent="0.2">
      <c r="D1688" s="130" t="b">
        <v>0</v>
      </c>
      <c r="E1688" s="124" t="s">
        <v>96</v>
      </c>
      <c r="F1688" s="125" t="s">
        <v>97</v>
      </c>
      <c r="G1688" s="125" t="s">
        <v>99</v>
      </c>
      <c r="H1688" s="123">
        <v>4</v>
      </c>
      <c r="I1688" s="123" t="s">
        <v>92</v>
      </c>
      <c r="J1688" s="123" t="s">
        <v>96</v>
      </c>
      <c r="K1688" s="123" t="s">
        <v>93</v>
      </c>
      <c r="L1688" s="132">
        <v>1608</v>
      </c>
      <c r="M1688" s="132">
        <v>0</v>
      </c>
      <c r="N1688" s="132">
        <v>3.0707348369578552E+18</v>
      </c>
    </row>
    <row r="1689" spans="4:14" ht="15" customHeight="1" x14ac:dyDescent="0.2">
      <c r="D1689" s="130" t="b">
        <v>0</v>
      </c>
      <c r="E1689" s="124" t="s">
        <v>96</v>
      </c>
      <c r="F1689" s="125" t="s">
        <v>97</v>
      </c>
      <c r="G1689" s="125" t="s">
        <v>99</v>
      </c>
      <c r="H1689" s="123">
        <v>4</v>
      </c>
      <c r="I1689" s="123" t="s">
        <v>92</v>
      </c>
      <c r="J1689" s="123" t="s">
        <v>97</v>
      </c>
      <c r="K1689" s="123" t="s">
        <v>102</v>
      </c>
      <c r="L1689" s="132">
        <v>1609</v>
      </c>
      <c r="M1689" s="132">
        <v>0</v>
      </c>
      <c r="N1689" s="132">
        <v>1.3848398026844207E+19</v>
      </c>
    </row>
    <row r="1690" spans="4:14" ht="15" customHeight="1" x14ac:dyDescent="0.2">
      <c r="D1690" s="130" t="b">
        <v>0</v>
      </c>
      <c r="E1690" s="124" t="s">
        <v>96</v>
      </c>
      <c r="F1690" s="125" t="s">
        <v>97</v>
      </c>
      <c r="G1690" s="125" t="s">
        <v>99</v>
      </c>
      <c r="H1690" s="123">
        <v>4</v>
      </c>
      <c r="I1690" s="123" t="s">
        <v>92</v>
      </c>
      <c r="J1690" s="123" t="s">
        <v>91</v>
      </c>
      <c r="K1690" s="123" t="s">
        <v>101</v>
      </c>
      <c r="L1690" s="132">
        <v>1610</v>
      </c>
      <c r="M1690" s="132">
        <v>0</v>
      </c>
      <c r="N1690" s="132">
        <v>5.638469383361706E+18</v>
      </c>
    </row>
    <row r="1691" spans="4:14" ht="15" customHeight="1" x14ac:dyDescent="0.2">
      <c r="D1691" s="130" t="b">
        <v>0</v>
      </c>
      <c r="E1691" s="124" t="s">
        <v>96</v>
      </c>
      <c r="F1691" s="125" t="s">
        <v>97</v>
      </c>
      <c r="G1691" s="125" t="s">
        <v>99</v>
      </c>
      <c r="H1691" s="123" t="s">
        <v>98</v>
      </c>
      <c r="I1691" s="123" t="s">
        <v>95</v>
      </c>
      <c r="J1691" s="123" t="s">
        <v>96</v>
      </c>
      <c r="K1691" s="123" t="s">
        <v>93</v>
      </c>
      <c r="L1691" s="132">
        <v>1611</v>
      </c>
      <c r="M1691" s="132">
        <v>0</v>
      </c>
      <c r="N1691" s="132">
        <v>1.0421800180373281E+19</v>
      </c>
    </row>
    <row r="1692" spans="4:14" ht="15" customHeight="1" x14ac:dyDescent="0.2">
      <c r="D1692" s="130" t="b">
        <v>0</v>
      </c>
      <c r="E1692" s="124" t="s">
        <v>96</v>
      </c>
      <c r="F1692" s="125" t="s">
        <v>97</v>
      </c>
      <c r="G1692" s="125" t="s">
        <v>99</v>
      </c>
      <c r="H1692" s="123" t="s">
        <v>98</v>
      </c>
      <c r="I1692" s="123" t="s">
        <v>95</v>
      </c>
      <c r="J1692" s="123" t="s">
        <v>97</v>
      </c>
      <c r="K1692" s="123" t="s">
        <v>100</v>
      </c>
      <c r="L1692" s="132">
        <v>1612</v>
      </c>
      <c r="M1692" s="132">
        <v>0</v>
      </c>
      <c r="N1692" s="132">
        <v>1.0149431472001221E+19</v>
      </c>
    </row>
    <row r="1693" spans="4:14" ht="15" customHeight="1" x14ac:dyDescent="0.2">
      <c r="D1693" s="130" t="b">
        <v>0</v>
      </c>
      <c r="E1693" s="124" t="s">
        <v>96</v>
      </c>
      <c r="F1693" s="125" t="s">
        <v>97</v>
      </c>
      <c r="G1693" s="125" t="s">
        <v>99</v>
      </c>
      <c r="H1693" s="123" t="s">
        <v>98</v>
      </c>
      <c r="I1693" s="123" t="s">
        <v>95</v>
      </c>
      <c r="J1693" s="123" t="s">
        <v>91</v>
      </c>
      <c r="K1693" s="123" t="s">
        <v>102</v>
      </c>
      <c r="L1693" s="132">
        <v>1613</v>
      </c>
      <c r="M1693" s="132">
        <v>0</v>
      </c>
      <c r="N1693" s="132">
        <v>1.4038489632577618E+19</v>
      </c>
    </row>
    <row r="1694" spans="4:14" ht="15" customHeight="1" x14ac:dyDescent="0.2">
      <c r="D1694" s="130" t="b">
        <v>0</v>
      </c>
      <c r="E1694" s="124" t="s">
        <v>96</v>
      </c>
      <c r="F1694" s="125" t="s">
        <v>97</v>
      </c>
      <c r="G1694" s="125" t="s">
        <v>99</v>
      </c>
      <c r="H1694" s="123" t="s">
        <v>98</v>
      </c>
      <c r="I1694" s="123" t="s">
        <v>97</v>
      </c>
      <c r="J1694" s="123" t="s">
        <v>96</v>
      </c>
      <c r="K1694" s="123" t="s">
        <v>93</v>
      </c>
      <c r="L1694" s="132">
        <v>1614</v>
      </c>
      <c r="M1694" s="132">
        <v>0</v>
      </c>
      <c r="N1694" s="132">
        <v>1.0343826491320752E+19</v>
      </c>
    </row>
    <row r="1695" spans="4:14" ht="15" customHeight="1" x14ac:dyDescent="0.2">
      <c r="D1695" s="130" t="b">
        <v>0</v>
      </c>
      <c r="E1695" s="124" t="s">
        <v>96</v>
      </c>
      <c r="F1695" s="125" t="s">
        <v>97</v>
      </c>
      <c r="G1695" s="125" t="s">
        <v>99</v>
      </c>
      <c r="H1695" s="123" t="s">
        <v>98</v>
      </c>
      <c r="I1695" s="123" t="s">
        <v>97</v>
      </c>
      <c r="J1695" s="123" t="s">
        <v>97</v>
      </c>
      <c r="K1695" s="123" t="s">
        <v>102</v>
      </c>
      <c r="L1695" s="132">
        <v>1615</v>
      </c>
      <c r="M1695" s="132">
        <v>0</v>
      </c>
      <c r="N1695" s="132">
        <v>3.9647428500845926E+18</v>
      </c>
    </row>
    <row r="1696" spans="4:14" ht="15" customHeight="1" x14ac:dyDescent="0.2">
      <c r="D1696" s="130" t="b">
        <v>0</v>
      </c>
      <c r="E1696" s="124" t="s">
        <v>96</v>
      </c>
      <c r="F1696" s="125" t="s">
        <v>97</v>
      </c>
      <c r="G1696" s="125" t="s">
        <v>99</v>
      </c>
      <c r="H1696" s="123" t="s">
        <v>98</v>
      </c>
      <c r="I1696" s="123" t="s">
        <v>97</v>
      </c>
      <c r="J1696" s="123" t="s">
        <v>91</v>
      </c>
      <c r="K1696" s="123" t="s">
        <v>101</v>
      </c>
      <c r="L1696" s="132">
        <v>1616</v>
      </c>
      <c r="M1696" s="132">
        <v>0</v>
      </c>
      <c r="N1696" s="132">
        <v>4.0109813957365664E+17</v>
      </c>
    </row>
    <row r="1697" spans="4:14" ht="15" customHeight="1" x14ac:dyDescent="0.2">
      <c r="D1697" s="130" t="b">
        <v>0</v>
      </c>
      <c r="E1697" s="124" t="s">
        <v>96</v>
      </c>
      <c r="F1697" s="125" t="s">
        <v>97</v>
      </c>
      <c r="G1697" s="125" t="s">
        <v>99</v>
      </c>
      <c r="H1697" s="123" t="s">
        <v>98</v>
      </c>
      <c r="I1697" s="123" t="s">
        <v>92</v>
      </c>
      <c r="J1697" s="123" t="s">
        <v>96</v>
      </c>
      <c r="K1697" s="123" t="s">
        <v>93</v>
      </c>
      <c r="L1697" s="132">
        <v>1617</v>
      </c>
      <c r="M1697" s="132">
        <v>0</v>
      </c>
      <c r="N1697" s="132">
        <v>1.7636779271386227E+19</v>
      </c>
    </row>
    <row r="1698" spans="4:14" ht="15" customHeight="1" x14ac:dyDescent="0.2">
      <c r="D1698" s="130" t="b">
        <v>0</v>
      </c>
      <c r="E1698" s="124" t="s">
        <v>96</v>
      </c>
      <c r="F1698" s="125" t="s">
        <v>97</v>
      </c>
      <c r="G1698" s="125" t="s">
        <v>99</v>
      </c>
      <c r="H1698" s="123" t="s">
        <v>98</v>
      </c>
      <c r="I1698" s="123" t="s">
        <v>92</v>
      </c>
      <c r="J1698" s="123" t="s">
        <v>97</v>
      </c>
      <c r="K1698" s="123" t="s">
        <v>102</v>
      </c>
      <c r="L1698" s="132">
        <v>1618</v>
      </c>
      <c r="M1698" s="132">
        <v>0</v>
      </c>
      <c r="N1698" s="132">
        <v>1.1160003905329904E+19</v>
      </c>
    </row>
    <row r="1699" spans="4:14" ht="15" customHeight="1" x14ac:dyDescent="0.2">
      <c r="D1699" s="130" t="b">
        <v>0</v>
      </c>
      <c r="E1699" s="124" t="s">
        <v>96</v>
      </c>
      <c r="F1699" s="125" t="s">
        <v>97</v>
      </c>
      <c r="G1699" s="125" t="s">
        <v>99</v>
      </c>
      <c r="H1699" s="123" t="s">
        <v>98</v>
      </c>
      <c r="I1699" s="123" t="s">
        <v>92</v>
      </c>
      <c r="J1699" s="123" t="s">
        <v>91</v>
      </c>
      <c r="K1699" s="123" t="s">
        <v>101</v>
      </c>
      <c r="L1699" s="132">
        <v>1619</v>
      </c>
      <c r="M1699" s="132">
        <v>0</v>
      </c>
      <c r="N1699" s="132">
        <v>8.9692403250334454E+18</v>
      </c>
    </row>
    <row r="1700" spans="4:14" ht="15" customHeight="1" x14ac:dyDescent="0.2">
      <c r="D1700" s="130" t="b">
        <v>0</v>
      </c>
      <c r="E1700" s="124" t="s">
        <v>96</v>
      </c>
      <c r="F1700" s="125" t="s">
        <v>96</v>
      </c>
      <c r="G1700" s="125">
        <v>2</v>
      </c>
      <c r="H1700" s="123">
        <v>2</v>
      </c>
      <c r="I1700" s="123" t="s">
        <v>95</v>
      </c>
      <c r="J1700" s="123" t="s">
        <v>96</v>
      </c>
      <c r="K1700" s="123" t="s">
        <v>93</v>
      </c>
      <c r="L1700" s="132">
        <v>1620</v>
      </c>
      <c r="M1700" s="132">
        <v>0</v>
      </c>
      <c r="N1700" s="132">
        <v>1.3504854536615137E+19</v>
      </c>
    </row>
    <row r="1701" spans="4:14" ht="15" customHeight="1" x14ac:dyDescent="0.2">
      <c r="D1701" s="130" t="b">
        <v>0</v>
      </c>
      <c r="E1701" s="124" t="s">
        <v>96</v>
      </c>
      <c r="F1701" s="125" t="s">
        <v>96</v>
      </c>
      <c r="G1701" s="125">
        <v>2</v>
      </c>
      <c r="H1701" s="123">
        <v>2</v>
      </c>
      <c r="I1701" s="123" t="s">
        <v>95</v>
      </c>
      <c r="J1701" s="123" t="s">
        <v>97</v>
      </c>
      <c r="K1701" s="123" t="s">
        <v>93</v>
      </c>
      <c r="L1701" s="132">
        <v>1621</v>
      </c>
      <c r="M1701" s="132">
        <v>0</v>
      </c>
      <c r="N1701" s="132">
        <v>2.535571696319956E+18</v>
      </c>
    </row>
    <row r="1702" spans="4:14" ht="15" customHeight="1" x14ac:dyDescent="0.2">
      <c r="D1702" s="130" t="b">
        <v>0</v>
      </c>
      <c r="E1702" s="124" t="s">
        <v>96</v>
      </c>
      <c r="F1702" s="125" t="s">
        <v>96</v>
      </c>
      <c r="G1702" s="125">
        <v>2</v>
      </c>
      <c r="H1702" s="123">
        <v>2</v>
      </c>
      <c r="I1702" s="123" t="s">
        <v>95</v>
      </c>
      <c r="J1702" s="123" t="s">
        <v>91</v>
      </c>
      <c r="K1702" s="123" t="s">
        <v>93</v>
      </c>
      <c r="L1702" s="132">
        <v>1622</v>
      </c>
      <c r="M1702" s="132">
        <v>0</v>
      </c>
      <c r="N1702" s="132">
        <v>7.1430539321669356E+18</v>
      </c>
    </row>
    <row r="1703" spans="4:14" ht="15" customHeight="1" x14ac:dyDescent="0.2">
      <c r="D1703" s="130" t="b">
        <v>0</v>
      </c>
      <c r="E1703" s="124" t="s">
        <v>96</v>
      </c>
      <c r="F1703" s="125" t="s">
        <v>96</v>
      </c>
      <c r="G1703" s="125">
        <v>2</v>
      </c>
      <c r="H1703" s="123">
        <v>2</v>
      </c>
      <c r="I1703" s="123" t="s">
        <v>97</v>
      </c>
      <c r="J1703" s="123" t="s">
        <v>96</v>
      </c>
      <c r="K1703" s="123" t="s">
        <v>93</v>
      </c>
      <c r="L1703" s="132">
        <v>1623</v>
      </c>
      <c r="M1703" s="132">
        <v>0</v>
      </c>
      <c r="N1703" s="132">
        <v>1.8114904154463384E+19</v>
      </c>
    </row>
    <row r="1704" spans="4:14" ht="15" customHeight="1" x14ac:dyDescent="0.2">
      <c r="D1704" s="130" t="b">
        <v>0</v>
      </c>
      <c r="E1704" s="124" t="s">
        <v>96</v>
      </c>
      <c r="F1704" s="125" t="s">
        <v>96</v>
      </c>
      <c r="G1704" s="125">
        <v>2</v>
      </c>
      <c r="H1704" s="123">
        <v>2</v>
      </c>
      <c r="I1704" s="123" t="s">
        <v>97</v>
      </c>
      <c r="J1704" s="123" t="s">
        <v>97</v>
      </c>
      <c r="K1704" s="123" t="s">
        <v>93</v>
      </c>
      <c r="L1704" s="132">
        <v>1624</v>
      </c>
      <c r="M1704" s="132">
        <v>0</v>
      </c>
      <c r="N1704" s="132">
        <v>2.0174712389670897E+18</v>
      </c>
    </row>
    <row r="1705" spans="4:14" ht="15" customHeight="1" x14ac:dyDescent="0.2">
      <c r="D1705" s="130" t="b">
        <v>0</v>
      </c>
      <c r="E1705" s="124" t="s">
        <v>96</v>
      </c>
      <c r="F1705" s="125" t="s">
        <v>96</v>
      </c>
      <c r="G1705" s="125">
        <v>2</v>
      </c>
      <c r="H1705" s="123">
        <v>2</v>
      </c>
      <c r="I1705" s="123" t="s">
        <v>97</v>
      </c>
      <c r="J1705" s="123" t="s">
        <v>91</v>
      </c>
      <c r="K1705" s="123" t="s">
        <v>93</v>
      </c>
      <c r="L1705" s="132">
        <v>1625</v>
      </c>
      <c r="M1705" s="132">
        <v>0</v>
      </c>
      <c r="N1705" s="132">
        <v>1.631642373063298E+19</v>
      </c>
    </row>
    <row r="1706" spans="4:14" ht="15" customHeight="1" x14ac:dyDescent="0.2">
      <c r="D1706" s="130" t="b">
        <v>0</v>
      </c>
      <c r="E1706" s="124" t="s">
        <v>96</v>
      </c>
      <c r="F1706" s="125" t="s">
        <v>96</v>
      </c>
      <c r="G1706" s="125">
        <v>2</v>
      </c>
      <c r="H1706" s="123">
        <v>2</v>
      </c>
      <c r="I1706" s="123" t="s">
        <v>92</v>
      </c>
      <c r="J1706" s="123" t="s">
        <v>96</v>
      </c>
      <c r="K1706" s="123" t="s">
        <v>93</v>
      </c>
      <c r="L1706" s="132">
        <v>1626</v>
      </c>
      <c r="M1706" s="132">
        <v>0</v>
      </c>
      <c r="N1706" s="132">
        <v>1.1389115704750807E+19</v>
      </c>
    </row>
    <row r="1707" spans="4:14" ht="15" customHeight="1" x14ac:dyDescent="0.2">
      <c r="D1707" s="130" t="b">
        <v>0</v>
      </c>
      <c r="E1707" s="124" t="s">
        <v>96</v>
      </c>
      <c r="F1707" s="125" t="s">
        <v>96</v>
      </c>
      <c r="G1707" s="125">
        <v>2</v>
      </c>
      <c r="H1707" s="123">
        <v>2</v>
      </c>
      <c r="I1707" s="123" t="s">
        <v>92</v>
      </c>
      <c r="J1707" s="123" t="s">
        <v>97</v>
      </c>
      <c r="K1707" s="123" t="s">
        <v>93</v>
      </c>
      <c r="L1707" s="132">
        <v>1627</v>
      </c>
      <c r="M1707" s="132">
        <v>0</v>
      </c>
      <c r="N1707" s="132">
        <v>1.5306778473998703E+19</v>
      </c>
    </row>
    <row r="1708" spans="4:14" ht="15" customHeight="1" x14ac:dyDescent="0.2">
      <c r="D1708" s="130" t="b">
        <v>0</v>
      </c>
      <c r="E1708" s="124" t="s">
        <v>96</v>
      </c>
      <c r="F1708" s="125" t="s">
        <v>96</v>
      </c>
      <c r="G1708" s="125">
        <v>2</v>
      </c>
      <c r="H1708" s="123">
        <v>2</v>
      </c>
      <c r="I1708" s="123" t="s">
        <v>92</v>
      </c>
      <c r="J1708" s="123" t="s">
        <v>91</v>
      </c>
      <c r="K1708" s="123" t="s">
        <v>93</v>
      </c>
      <c r="L1708" s="132">
        <v>1628</v>
      </c>
      <c r="M1708" s="132">
        <v>0</v>
      </c>
      <c r="N1708" s="132">
        <v>5.1700847504501658E+18</v>
      </c>
    </row>
    <row r="1709" spans="4:14" ht="15" customHeight="1" x14ac:dyDescent="0.2">
      <c r="D1709" s="130" t="b">
        <v>0</v>
      </c>
      <c r="E1709" s="124" t="s">
        <v>96</v>
      </c>
      <c r="F1709" s="125" t="s">
        <v>96</v>
      </c>
      <c r="G1709" s="125">
        <v>2</v>
      </c>
      <c r="H1709" s="123">
        <v>4</v>
      </c>
      <c r="I1709" s="123" t="s">
        <v>95</v>
      </c>
      <c r="J1709" s="123" t="s">
        <v>96</v>
      </c>
      <c r="K1709" s="123" t="s">
        <v>93</v>
      </c>
      <c r="L1709" s="132">
        <v>1629</v>
      </c>
      <c r="M1709" s="132">
        <v>0</v>
      </c>
      <c r="N1709" s="132">
        <v>4.0992557991839872E+18</v>
      </c>
    </row>
    <row r="1710" spans="4:14" ht="15" customHeight="1" x14ac:dyDescent="0.2">
      <c r="D1710" s="130" t="b">
        <v>0</v>
      </c>
      <c r="E1710" s="124" t="s">
        <v>96</v>
      </c>
      <c r="F1710" s="125" t="s">
        <v>96</v>
      </c>
      <c r="G1710" s="125">
        <v>2</v>
      </c>
      <c r="H1710" s="123">
        <v>4</v>
      </c>
      <c r="I1710" s="123" t="s">
        <v>95</v>
      </c>
      <c r="J1710" s="123" t="s">
        <v>97</v>
      </c>
      <c r="K1710" s="123" t="s">
        <v>100</v>
      </c>
      <c r="L1710" s="132">
        <v>1630</v>
      </c>
      <c r="M1710" s="132">
        <v>0</v>
      </c>
      <c r="N1710" s="132">
        <v>8.0207324911256402E+18</v>
      </c>
    </row>
    <row r="1711" spans="4:14" ht="15" customHeight="1" x14ac:dyDescent="0.2">
      <c r="D1711" s="130" t="b">
        <v>0</v>
      </c>
      <c r="E1711" s="124" t="s">
        <v>96</v>
      </c>
      <c r="F1711" s="125" t="s">
        <v>96</v>
      </c>
      <c r="G1711" s="125">
        <v>2</v>
      </c>
      <c r="H1711" s="123">
        <v>4</v>
      </c>
      <c r="I1711" s="123" t="s">
        <v>95</v>
      </c>
      <c r="J1711" s="123" t="s">
        <v>91</v>
      </c>
      <c r="K1711" s="123" t="s">
        <v>102</v>
      </c>
      <c r="L1711" s="132">
        <v>1631</v>
      </c>
      <c r="M1711" s="132">
        <v>0</v>
      </c>
      <c r="N1711" s="132">
        <v>3.6452037794893235E+18</v>
      </c>
    </row>
    <row r="1712" spans="4:14" ht="15" customHeight="1" x14ac:dyDescent="0.2">
      <c r="D1712" s="130" t="b">
        <v>0</v>
      </c>
      <c r="E1712" s="124" t="s">
        <v>96</v>
      </c>
      <c r="F1712" s="125" t="s">
        <v>96</v>
      </c>
      <c r="G1712" s="125">
        <v>2</v>
      </c>
      <c r="H1712" s="123">
        <v>4</v>
      </c>
      <c r="I1712" s="123" t="s">
        <v>97</v>
      </c>
      <c r="J1712" s="123" t="s">
        <v>96</v>
      </c>
      <c r="K1712" s="123" t="s">
        <v>93</v>
      </c>
      <c r="L1712" s="132">
        <v>1632</v>
      </c>
      <c r="M1712" s="132">
        <v>0</v>
      </c>
      <c r="N1712" s="132">
        <v>5.2904406069050655E+18</v>
      </c>
    </row>
    <row r="1713" spans="4:14" ht="15" customHeight="1" x14ac:dyDescent="0.2">
      <c r="D1713" s="130" t="b">
        <v>0</v>
      </c>
      <c r="E1713" s="124" t="s">
        <v>96</v>
      </c>
      <c r="F1713" s="125" t="s">
        <v>96</v>
      </c>
      <c r="G1713" s="125">
        <v>2</v>
      </c>
      <c r="H1713" s="123">
        <v>4</v>
      </c>
      <c r="I1713" s="123" t="s">
        <v>97</v>
      </c>
      <c r="J1713" s="123" t="s">
        <v>97</v>
      </c>
      <c r="K1713" s="123" t="s">
        <v>100</v>
      </c>
      <c r="L1713" s="132">
        <v>1633</v>
      </c>
      <c r="M1713" s="132">
        <v>0</v>
      </c>
      <c r="N1713" s="132">
        <v>1.0284927227076995E+19</v>
      </c>
    </row>
    <row r="1714" spans="4:14" ht="15" customHeight="1" x14ac:dyDescent="0.2">
      <c r="D1714" s="130" t="b">
        <v>0</v>
      </c>
      <c r="E1714" s="124" t="s">
        <v>96</v>
      </c>
      <c r="F1714" s="125" t="s">
        <v>96</v>
      </c>
      <c r="G1714" s="125">
        <v>2</v>
      </c>
      <c r="H1714" s="123">
        <v>4</v>
      </c>
      <c r="I1714" s="123" t="s">
        <v>97</v>
      </c>
      <c r="J1714" s="123" t="s">
        <v>91</v>
      </c>
      <c r="K1714" s="123" t="s">
        <v>102</v>
      </c>
      <c r="L1714" s="132">
        <v>1634</v>
      </c>
      <c r="M1714" s="132">
        <v>0</v>
      </c>
      <c r="N1714" s="132">
        <v>1.3434557400976398E+19</v>
      </c>
    </row>
    <row r="1715" spans="4:14" ht="15" customHeight="1" x14ac:dyDescent="0.2">
      <c r="D1715" s="130" t="b">
        <v>0</v>
      </c>
      <c r="E1715" s="124" t="s">
        <v>96</v>
      </c>
      <c r="F1715" s="125" t="s">
        <v>96</v>
      </c>
      <c r="G1715" s="125">
        <v>2</v>
      </c>
      <c r="H1715" s="123">
        <v>4</v>
      </c>
      <c r="I1715" s="123" t="s">
        <v>92</v>
      </c>
      <c r="J1715" s="123" t="s">
        <v>96</v>
      </c>
      <c r="K1715" s="123" t="s">
        <v>93</v>
      </c>
      <c r="L1715" s="132">
        <v>1635</v>
      </c>
      <c r="M1715" s="132">
        <v>0</v>
      </c>
      <c r="N1715" s="132">
        <v>1.2358389500715788E+19</v>
      </c>
    </row>
    <row r="1716" spans="4:14" ht="15" customHeight="1" x14ac:dyDescent="0.2">
      <c r="D1716" s="130" t="b">
        <v>0</v>
      </c>
      <c r="E1716" s="124" t="s">
        <v>96</v>
      </c>
      <c r="F1716" s="125" t="s">
        <v>96</v>
      </c>
      <c r="G1716" s="125">
        <v>2</v>
      </c>
      <c r="H1716" s="123">
        <v>4</v>
      </c>
      <c r="I1716" s="123" t="s">
        <v>92</v>
      </c>
      <c r="J1716" s="123" t="s">
        <v>97</v>
      </c>
      <c r="K1716" s="123" t="s">
        <v>102</v>
      </c>
      <c r="L1716" s="132">
        <v>1636</v>
      </c>
      <c r="M1716" s="132">
        <v>0</v>
      </c>
      <c r="N1716" s="132">
        <v>7.6754871872810086E+18</v>
      </c>
    </row>
    <row r="1717" spans="4:14" ht="15" customHeight="1" x14ac:dyDescent="0.2">
      <c r="D1717" s="130" t="b">
        <v>0</v>
      </c>
      <c r="E1717" s="124" t="s">
        <v>96</v>
      </c>
      <c r="F1717" s="125" t="s">
        <v>96</v>
      </c>
      <c r="G1717" s="125">
        <v>2</v>
      </c>
      <c r="H1717" s="123">
        <v>4</v>
      </c>
      <c r="I1717" s="123" t="s">
        <v>92</v>
      </c>
      <c r="J1717" s="123" t="s">
        <v>91</v>
      </c>
      <c r="K1717" s="123" t="s">
        <v>101</v>
      </c>
      <c r="L1717" s="132">
        <v>1637</v>
      </c>
      <c r="M1717" s="132">
        <v>0</v>
      </c>
      <c r="N1717" s="132">
        <v>6.1716952419238011E+18</v>
      </c>
    </row>
    <row r="1718" spans="4:14" ht="15" customHeight="1" x14ac:dyDescent="0.2">
      <c r="D1718" s="130" t="b">
        <v>0</v>
      </c>
      <c r="E1718" s="124" t="s">
        <v>96</v>
      </c>
      <c r="F1718" s="125" t="s">
        <v>96</v>
      </c>
      <c r="G1718" s="125">
        <v>2</v>
      </c>
      <c r="H1718" s="123" t="s">
        <v>98</v>
      </c>
      <c r="I1718" s="123" t="s">
        <v>95</v>
      </c>
      <c r="J1718" s="123" t="s">
        <v>96</v>
      </c>
      <c r="K1718" s="123" t="s">
        <v>93</v>
      </c>
      <c r="L1718" s="132">
        <v>1638</v>
      </c>
      <c r="M1718" s="132">
        <v>0</v>
      </c>
      <c r="N1718" s="132">
        <v>7.5585146259121946E+17</v>
      </c>
    </row>
    <row r="1719" spans="4:14" ht="15" customHeight="1" x14ac:dyDescent="0.2">
      <c r="D1719" s="130" t="b">
        <v>0</v>
      </c>
      <c r="E1719" s="124" t="s">
        <v>96</v>
      </c>
      <c r="F1719" s="125" t="s">
        <v>96</v>
      </c>
      <c r="G1719" s="125">
        <v>2</v>
      </c>
      <c r="H1719" s="123" t="s">
        <v>98</v>
      </c>
      <c r="I1719" s="123" t="s">
        <v>95</v>
      </c>
      <c r="J1719" s="123" t="s">
        <v>97</v>
      </c>
      <c r="K1719" s="123" t="s">
        <v>93</v>
      </c>
      <c r="L1719" s="132">
        <v>1639</v>
      </c>
      <c r="M1719" s="132">
        <v>0</v>
      </c>
      <c r="N1719" s="132">
        <v>7.3301898753684142E+18</v>
      </c>
    </row>
    <row r="1720" spans="4:14" ht="15" customHeight="1" x14ac:dyDescent="0.2">
      <c r="D1720" s="130" t="b">
        <v>0</v>
      </c>
      <c r="E1720" s="124" t="s">
        <v>96</v>
      </c>
      <c r="F1720" s="125" t="s">
        <v>96</v>
      </c>
      <c r="G1720" s="125">
        <v>2</v>
      </c>
      <c r="H1720" s="123" t="s">
        <v>98</v>
      </c>
      <c r="I1720" s="123" t="s">
        <v>95</v>
      </c>
      <c r="J1720" s="123" t="s">
        <v>91</v>
      </c>
      <c r="K1720" s="123" t="s">
        <v>93</v>
      </c>
      <c r="L1720" s="132">
        <v>1640</v>
      </c>
      <c r="M1720" s="132">
        <v>0</v>
      </c>
      <c r="N1720" s="132">
        <v>1.5871449559109868E+19</v>
      </c>
    </row>
    <row r="1721" spans="4:14" ht="15" customHeight="1" x14ac:dyDescent="0.2">
      <c r="D1721" s="130" t="b">
        <v>0</v>
      </c>
      <c r="E1721" s="124" t="s">
        <v>96</v>
      </c>
      <c r="F1721" s="125" t="s">
        <v>96</v>
      </c>
      <c r="G1721" s="125">
        <v>2</v>
      </c>
      <c r="H1721" s="123" t="s">
        <v>98</v>
      </c>
      <c r="I1721" s="123" t="s">
        <v>97</v>
      </c>
      <c r="J1721" s="123" t="s">
        <v>96</v>
      </c>
      <c r="K1721" s="123" t="s">
        <v>93</v>
      </c>
      <c r="L1721" s="132">
        <v>1641</v>
      </c>
      <c r="M1721" s="132">
        <v>0</v>
      </c>
      <c r="N1721" s="132">
        <v>1.3038588584675936E+19</v>
      </c>
    </row>
    <row r="1722" spans="4:14" ht="15" customHeight="1" x14ac:dyDescent="0.2">
      <c r="D1722" s="130" t="b">
        <v>0</v>
      </c>
      <c r="E1722" s="124" t="s">
        <v>96</v>
      </c>
      <c r="F1722" s="125" t="s">
        <v>96</v>
      </c>
      <c r="G1722" s="125">
        <v>2</v>
      </c>
      <c r="H1722" s="123" t="s">
        <v>98</v>
      </c>
      <c r="I1722" s="123" t="s">
        <v>97</v>
      </c>
      <c r="J1722" s="123" t="s">
        <v>97</v>
      </c>
      <c r="K1722" s="123" t="s">
        <v>100</v>
      </c>
      <c r="L1722" s="132">
        <v>1642</v>
      </c>
      <c r="M1722" s="132">
        <v>0</v>
      </c>
      <c r="N1722" s="132">
        <v>1.0554486467724704E+19</v>
      </c>
    </row>
    <row r="1723" spans="4:14" ht="15" customHeight="1" x14ac:dyDescent="0.2">
      <c r="D1723" s="130" t="b">
        <v>0</v>
      </c>
      <c r="E1723" s="124" t="s">
        <v>96</v>
      </c>
      <c r="F1723" s="125" t="s">
        <v>96</v>
      </c>
      <c r="G1723" s="125">
        <v>2</v>
      </c>
      <c r="H1723" s="123" t="s">
        <v>98</v>
      </c>
      <c r="I1723" s="123" t="s">
        <v>97</v>
      </c>
      <c r="J1723" s="123" t="s">
        <v>91</v>
      </c>
      <c r="K1723" s="123" t="s">
        <v>102</v>
      </c>
      <c r="L1723" s="132">
        <v>1643</v>
      </c>
      <c r="M1723" s="132">
        <v>0</v>
      </c>
      <c r="N1723" s="132">
        <v>9.4444502664833459E+17</v>
      </c>
    </row>
    <row r="1724" spans="4:14" ht="15" customHeight="1" x14ac:dyDescent="0.2">
      <c r="D1724" s="130" t="b">
        <v>0</v>
      </c>
      <c r="E1724" s="124" t="s">
        <v>96</v>
      </c>
      <c r="F1724" s="125" t="s">
        <v>96</v>
      </c>
      <c r="G1724" s="125">
        <v>2</v>
      </c>
      <c r="H1724" s="123" t="s">
        <v>98</v>
      </c>
      <c r="I1724" s="123" t="s">
        <v>92</v>
      </c>
      <c r="J1724" s="123" t="s">
        <v>96</v>
      </c>
      <c r="K1724" s="123" t="s">
        <v>93</v>
      </c>
      <c r="L1724" s="132">
        <v>1644</v>
      </c>
      <c r="M1724" s="132">
        <v>0</v>
      </c>
      <c r="N1724" s="132">
        <v>9.2530452587606139E+18</v>
      </c>
    </row>
    <row r="1725" spans="4:14" ht="15" customHeight="1" x14ac:dyDescent="0.2">
      <c r="D1725" s="130" t="b">
        <v>0</v>
      </c>
      <c r="E1725" s="124" t="s">
        <v>96</v>
      </c>
      <c r="F1725" s="125" t="s">
        <v>96</v>
      </c>
      <c r="G1725" s="125">
        <v>2</v>
      </c>
      <c r="H1725" s="123" t="s">
        <v>98</v>
      </c>
      <c r="I1725" s="123" t="s">
        <v>92</v>
      </c>
      <c r="J1725" s="123" t="s">
        <v>97</v>
      </c>
      <c r="K1725" s="123" t="s">
        <v>102</v>
      </c>
      <c r="L1725" s="132">
        <v>1645</v>
      </c>
      <c r="M1725" s="132">
        <v>0</v>
      </c>
      <c r="N1725" s="132">
        <v>3.3714488033774444E+18</v>
      </c>
    </row>
    <row r="1726" spans="4:14" ht="15" customHeight="1" x14ac:dyDescent="0.2">
      <c r="D1726" s="130" t="b">
        <v>0</v>
      </c>
      <c r="E1726" s="124" t="s">
        <v>96</v>
      </c>
      <c r="F1726" s="125" t="s">
        <v>96</v>
      </c>
      <c r="G1726" s="125">
        <v>2</v>
      </c>
      <c r="H1726" s="123" t="s">
        <v>98</v>
      </c>
      <c r="I1726" s="123" t="s">
        <v>92</v>
      </c>
      <c r="J1726" s="123" t="s">
        <v>91</v>
      </c>
      <c r="K1726" s="123" t="s">
        <v>101</v>
      </c>
      <c r="L1726" s="132">
        <v>1646</v>
      </c>
      <c r="M1726" s="132">
        <v>0</v>
      </c>
      <c r="N1726" s="132">
        <v>8.4974625095600159E+18</v>
      </c>
    </row>
    <row r="1727" spans="4:14" ht="15" customHeight="1" x14ac:dyDescent="0.2">
      <c r="D1727" s="130" t="b">
        <v>0</v>
      </c>
      <c r="E1727" s="124" t="s">
        <v>96</v>
      </c>
      <c r="F1727" s="125" t="s">
        <v>96</v>
      </c>
      <c r="G1727" s="125">
        <v>3</v>
      </c>
      <c r="H1727" s="123">
        <v>2</v>
      </c>
      <c r="I1727" s="123" t="s">
        <v>95</v>
      </c>
      <c r="J1727" s="123" t="s">
        <v>96</v>
      </c>
      <c r="K1727" s="123" t="s">
        <v>93</v>
      </c>
      <c r="L1727" s="132">
        <v>1647</v>
      </c>
      <c r="M1727" s="132">
        <v>0</v>
      </c>
      <c r="N1727" s="132">
        <v>1.0729780823051536E+19</v>
      </c>
    </row>
    <row r="1728" spans="4:14" ht="15" customHeight="1" x14ac:dyDescent="0.2">
      <c r="D1728" s="130" t="b">
        <v>0</v>
      </c>
      <c r="E1728" s="124" t="s">
        <v>96</v>
      </c>
      <c r="F1728" s="125" t="s">
        <v>96</v>
      </c>
      <c r="G1728" s="125">
        <v>3</v>
      </c>
      <c r="H1728" s="123">
        <v>2</v>
      </c>
      <c r="I1728" s="123" t="s">
        <v>95</v>
      </c>
      <c r="J1728" s="123" t="s">
        <v>97</v>
      </c>
      <c r="K1728" s="123" t="s">
        <v>93</v>
      </c>
      <c r="L1728" s="132">
        <v>1648</v>
      </c>
      <c r="M1728" s="132">
        <v>0</v>
      </c>
      <c r="N1728" s="132">
        <v>2.5599316458864558E+18</v>
      </c>
    </row>
    <row r="1729" spans="4:14" ht="15" customHeight="1" x14ac:dyDescent="0.2">
      <c r="D1729" s="130" t="b">
        <v>0</v>
      </c>
      <c r="E1729" s="124" t="s">
        <v>96</v>
      </c>
      <c r="F1729" s="125" t="s">
        <v>96</v>
      </c>
      <c r="G1729" s="125">
        <v>3</v>
      </c>
      <c r="H1729" s="123">
        <v>2</v>
      </c>
      <c r="I1729" s="123" t="s">
        <v>95</v>
      </c>
      <c r="J1729" s="123" t="s">
        <v>91</v>
      </c>
      <c r="K1729" s="123" t="s">
        <v>93</v>
      </c>
      <c r="L1729" s="132">
        <v>1649</v>
      </c>
      <c r="M1729" s="132">
        <v>0</v>
      </c>
      <c r="N1729" s="132">
        <v>3.1363049105032965E+18</v>
      </c>
    </row>
    <row r="1730" spans="4:14" ht="15" customHeight="1" x14ac:dyDescent="0.2">
      <c r="D1730" s="130" t="b">
        <v>0</v>
      </c>
      <c r="E1730" s="124" t="s">
        <v>96</v>
      </c>
      <c r="F1730" s="125" t="s">
        <v>96</v>
      </c>
      <c r="G1730" s="125">
        <v>3</v>
      </c>
      <c r="H1730" s="123">
        <v>2</v>
      </c>
      <c r="I1730" s="123" t="s">
        <v>97</v>
      </c>
      <c r="J1730" s="123" t="s">
        <v>96</v>
      </c>
      <c r="K1730" s="123" t="s">
        <v>93</v>
      </c>
      <c r="L1730" s="132">
        <v>1650</v>
      </c>
      <c r="M1730" s="132">
        <v>0</v>
      </c>
      <c r="N1730" s="132">
        <v>5.3368890049430876E+18</v>
      </c>
    </row>
    <row r="1731" spans="4:14" ht="15" customHeight="1" x14ac:dyDescent="0.2">
      <c r="D1731" s="130" t="b">
        <v>0</v>
      </c>
      <c r="E1731" s="124" t="s">
        <v>96</v>
      </c>
      <c r="F1731" s="125" t="s">
        <v>96</v>
      </c>
      <c r="G1731" s="125">
        <v>3</v>
      </c>
      <c r="H1731" s="123">
        <v>2</v>
      </c>
      <c r="I1731" s="123" t="s">
        <v>97</v>
      </c>
      <c r="J1731" s="123" t="s">
        <v>97</v>
      </c>
      <c r="K1731" s="123" t="s">
        <v>93</v>
      </c>
      <c r="L1731" s="132">
        <v>1651</v>
      </c>
      <c r="M1731" s="132">
        <v>0</v>
      </c>
      <c r="N1731" s="132">
        <v>7.0701798264914135E+18</v>
      </c>
    </row>
    <row r="1732" spans="4:14" ht="15" customHeight="1" x14ac:dyDescent="0.2">
      <c r="D1732" s="130" t="b">
        <v>0</v>
      </c>
      <c r="E1732" s="124" t="s">
        <v>96</v>
      </c>
      <c r="F1732" s="125" t="s">
        <v>96</v>
      </c>
      <c r="G1732" s="125">
        <v>3</v>
      </c>
      <c r="H1732" s="123">
        <v>2</v>
      </c>
      <c r="I1732" s="123" t="s">
        <v>97</v>
      </c>
      <c r="J1732" s="123" t="s">
        <v>91</v>
      </c>
      <c r="K1732" s="123" t="s">
        <v>93</v>
      </c>
      <c r="L1732" s="132">
        <v>1652</v>
      </c>
      <c r="M1732" s="132">
        <v>0</v>
      </c>
      <c r="N1732" s="132">
        <v>5.8508240941815081E+18</v>
      </c>
    </row>
    <row r="1733" spans="4:14" ht="15" customHeight="1" x14ac:dyDescent="0.2">
      <c r="D1733" s="130" t="b">
        <v>0</v>
      </c>
      <c r="E1733" s="124" t="s">
        <v>96</v>
      </c>
      <c r="F1733" s="125" t="s">
        <v>96</v>
      </c>
      <c r="G1733" s="125">
        <v>3</v>
      </c>
      <c r="H1733" s="123">
        <v>2</v>
      </c>
      <c r="I1733" s="123" t="s">
        <v>92</v>
      </c>
      <c r="J1733" s="123" t="s">
        <v>96</v>
      </c>
      <c r="K1733" s="123" t="s">
        <v>93</v>
      </c>
      <c r="L1733" s="132">
        <v>1653</v>
      </c>
      <c r="M1733" s="132">
        <v>0</v>
      </c>
      <c r="N1733" s="132">
        <v>6.8915454267777505E+18</v>
      </c>
    </row>
    <row r="1734" spans="4:14" ht="15" customHeight="1" x14ac:dyDescent="0.2">
      <c r="D1734" s="130" t="b">
        <v>0</v>
      </c>
      <c r="E1734" s="124" t="s">
        <v>96</v>
      </c>
      <c r="F1734" s="125" t="s">
        <v>96</v>
      </c>
      <c r="G1734" s="125">
        <v>3</v>
      </c>
      <c r="H1734" s="123">
        <v>2</v>
      </c>
      <c r="I1734" s="123" t="s">
        <v>92</v>
      </c>
      <c r="J1734" s="123" t="s">
        <v>97</v>
      </c>
      <c r="K1734" s="123" t="s">
        <v>93</v>
      </c>
      <c r="L1734" s="132">
        <v>1654</v>
      </c>
      <c r="M1734" s="132">
        <v>0</v>
      </c>
      <c r="N1734" s="132">
        <v>1.6463149934598224E+19</v>
      </c>
    </row>
    <row r="1735" spans="4:14" ht="15" customHeight="1" x14ac:dyDescent="0.2">
      <c r="D1735" s="130" t="b">
        <v>0</v>
      </c>
      <c r="E1735" s="124" t="s">
        <v>96</v>
      </c>
      <c r="F1735" s="125" t="s">
        <v>96</v>
      </c>
      <c r="G1735" s="125">
        <v>3</v>
      </c>
      <c r="H1735" s="123">
        <v>2</v>
      </c>
      <c r="I1735" s="123" t="s">
        <v>92</v>
      </c>
      <c r="J1735" s="123" t="s">
        <v>91</v>
      </c>
      <c r="K1735" s="123" t="s">
        <v>93</v>
      </c>
      <c r="L1735" s="132">
        <v>1655</v>
      </c>
      <c r="M1735" s="132">
        <v>0</v>
      </c>
      <c r="N1735" s="132">
        <v>8.6208013708893788E+18</v>
      </c>
    </row>
    <row r="1736" spans="4:14" ht="15" customHeight="1" x14ac:dyDescent="0.2">
      <c r="D1736" s="130" t="b">
        <v>0</v>
      </c>
      <c r="E1736" s="124" t="s">
        <v>96</v>
      </c>
      <c r="F1736" s="125" t="s">
        <v>96</v>
      </c>
      <c r="G1736" s="125">
        <v>3</v>
      </c>
      <c r="H1736" s="123">
        <v>4</v>
      </c>
      <c r="I1736" s="123" t="s">
        <v>95</v>
      </c>
      <c r="J1736" s="123" t="s">
        <v>96</v>
      </c>
      <c r="K1736" s="123" t="s">
        <v>93</v>
      </c>
      <c r="L1736" s="132">
        <v>1656</v>
      </c>
      <c r="M1736" s="132">
        <v>0</v>
      </c>
      <c r="N1736" s="132">
        <v>1.3737964617450031E+19</v>
      </c>
    </row>
    <row r="1737" spans="4:14" ht="15" customHeight="1" x14ac:dyDescent="0.2">
      <c r="D1737" s="130" t="b">
        <v>0</v>
      </c>
      <c r="E1737" s="124" t="s">
        <v>96</v>
      </c>
      <c r="F1737" s="125" t="s">
        <v>96</v>
      </c>
      <c r="G1737" s="125">
        <v>3</v>
      </c>
      <c r="H1737" s="123">
        <v>4</v>
      </c>
      <c r="I1737" s="123" t="s">
        <v>95</v>
      </c>
      <c r="J1737" s="123" t="s">
        <v>97</v>
      </c>
      <c r="K1737" s="123" t="s">
        <v>100</v>
      </c>
      <c r="L1737" s="132">
        <v>1657</v>
      </c>
      <c r="M1737" s="132">
        <v>0</v>
      </c>
      <c r="N1737" s="132">
        <v>8.3353735314348728E+18</v>
      </c>
    </row>
    <row r="1738" spans="4:14" ht="15" customHeight="1" x14ac:dyDescent="0.2">
      <c r="D1738" s="130" t="b">
        <v>0</v>
      </c>
      <c r="E1738" s="124" t="s">
        <v>96</v>
      </c>
      <c r="F1738" s="125" t="s">
        <v>96</v>
      </c>
      <c r="G1738" s="125">
        <v>3</v>
      </c>
      <c r="H1738" s="123">
        <v>4</v>
      </c>
      <c r="I1738" s="123" t="s">
        <v>95</v>
      </c>
      <c r="J1738" s="123" t="s">
        <v>91</v>
      </c>
      <c r="K1738" s="123" t="s">
        <v>102</v>
      </c>
      <c r="L1738" s="132">
        <v>1658</v>
      </c>
      <c r="M1738" s="132">
        <v>0</v>
      </c>
      <c r="N1738" s="132">
        <v>1.6127529722940613E+19</v>
      </c>
    </row>
    <row r="1739" spans="4:14" ht="15" customHeight="1" x14ac:dyDescent="0.2">
      <c r="D1739" s="130" t="b">
        <v>0</v>
      </c>
      <c r="E1739" s="124" t="s">
        <v>96</v>
      </c>
      <c r="F1739" s="125" t="s">
        <v>96</v>
      </c>
      <c r="G1739" s="125">
        <v>3</v>
      </c>
      <c r="H1739" s="123">
        <v>4</v>
      </c>
      <c r="I1739" s="123" t="s">
        <v>97</v>
      </c>
      <c r="J1739" s="123" t="s">
        <v>96</v>
      </c>
      <c r="K1739" s="123" t="s">
        <v>93</v>
      </c>
      <c r="L1739" s="132">
        <v>1659</v>
      </c>
      <c r="M1739" s="132">
        <v>0</v>
      </c>
      <c r="N1739" s="132">
        <v>9.281332902850943E+18</v>
      </c>
    </row>
    <row r="1740" spans="4:14" ht="15" customHeight="1" x14ac:dyDescent="0.2">
      <c r="D1740" s="130" t="b">
        <v>0</v>
      </c>
      <c r="E1740" s="124" t="s">
        <v>96</v>
      </c>
      <c r="F1740" s="125" t="s">
        <v>96</v>
      </c>
      <c r="G1740" s="125">
        <v>3</v>
      </c>
      <c r="H1740" s="123">
        <v>4</v>
      </c>
      <c r="I1740" s="123" t="s">
        <v>97</v>
      </c>
      <c r="J1740" s="123" t="s">
        <v>97</v>
      </c>
      <c r="K1740" s="123" t="s">
        <v>100</v>
      </c>
      <c r="L1740" s="132">
        <v>1660</v>
      </c>
      <c r="M1740" s="132">
        <v>0</v>
      </c>
      <c r="N1740" s="132">
        <v>1.7483768335881923E+19</v>
      </c>
    </row>
    <row r="1741" spans="4:14" ht="15" customHeight="1" x14ac:dyDescent="0.2">
      <c r="D1741" s="130" t="b">
        <v>0</v>
      </c>
      <c r="E1741" s="124" t="s">
        <v>96</v>
      </c>
      <c r="F1741" s="125" t="s">
        <v>96</v>
      </c>
      <c r="G1741" s="125">
        <v>3</v>
      </c>
      <c r="H1741" s="123">
        <v>4</v>
      </c>
      <c r="I1741" s="123" t="s">
        <v>97</v>
      </c>
      <c r="J1741" s="123" t="s">
        <v>91</v>
      </c>
      <c r="K1741" s="123" t="s">
        <v>102</v>
      </c>
      <c r="L1741" s="132">
        <v>1661</v>
      </c>
      <c r="M1741" s="132">
        <v>0</v>
      </c>
      <c r="N1741" s="132">
        <v>1.3108480913946243E+19</v>
      </c>
    </row>
    <row r="1742" spans="4:14" ht="15" customHeight="1" x14ac:dyDescent="0.2">
      <c r="D1742" s="130" t="b">
        <v>0</v>
      </c>
      <c r="E1742" s="124" t="s">
        <v>96</v>
      </c>
      <c r="F1742" s="125" t="s">
        <v>96</v>
      </c>
      <c r="G1742" s="125">
        <v>3</v>
      </c>
      <c r="H1742" s="123">
        <v>4</v>
      </c>
      <c r="I1742" s="123" t="s">
        <v>92</v>
      </c>
      <c r="J1742" s="123" t="s">
        <v>96</v>
      </c>
      <c r="K1742" s="123" t="s">
        <v>93</v>
      </c>
      <c r="L1742" s="132">
        <v>1662</v>
      </c>
      <c r="M1742" s="132">
        <v>0</v>
      </c>
      <c r="N1742" s="132">
        <v>9.305385778520789E+18</v>
      </c>
    </row>
    <row r="1743" spans="4:14" ht="15" customHeight="1" x14ac:dyDescent="0.2">
      <c r="D1743" s="130" t="b">
        <v>0</v>
      </c>
      <c r="E1743" s="124" t="s">
        <v>96</v>
      </c>
      <c r="F1743" s="125" t="s">
        <v>96</v>
      </c>
      <c r="G1743" s="125">
        <v>3</v>
      </c>
      <c r="H1743" s="123">
        <v>4</v>
      </c>
      <c r="I1743" s="123" t="s">
        <v>92</v>
      </c>
      <c r="J1743" s="123" t="s">
        <v>97</v>
      </c>
      <c r="K1743" s="123" t="s">
        <v>102</v>
      </c>
      <c r="L1743" s="132">
        <v>1663</v>
      </c>
      <c r="M1743" s="132">
        <v>0</v>
      </c>
      <c r="N1743" s="132">
        <v>2.1078084364404016E+17</v>
      </c>
    </row>
    <row r="1744" spans="4:14" ht="15" customHeight="1" x14ac:dyDescent="0.2">
      <c r="D1744" s="130" t="b">
        <v>0</v>
      </c>
      <c r="E1744" s="124" t="s">
        <v>96</v>
      </c>
      <c r="F1744" s="125" t="s">
        <v>96</v>
      </c>
      <c r="G1744" s="125">
        <v>3</v>
      </c>
      <c r="H1744" s="123">
        <v>4</v>
      </c>
      <c r="I1744" s="123" t="s">
        <v>92</v>
      </c>
      <c r="J1744" s="123" t="s">
        <v>91</v>
      </c>
      <c r="K1744" s="123" t="s">
        <v>101</v>
      </c>
      <c r="L1744" s="132">
        <v>1664</v>
      </c>
      <c r="M1744" s="132">
        <v>0</v>
      </c>
      <c r="N1744" s="132">
        <v>1.117769135249111E+19</v>
      </c>
    </row>
    <row r="1745" spans="4:14" ht="15" customHeight="1" x14ac:dyDescent="0.2">
      <c r="D1745" s="130" t="b">
        <v>0</v>
      </c>
      <c r="E1745" s="124" t="s">
        <v>96</v>
      </c>
      <c r="F1745" s="125" t="s">
        <v>96</v>
      </c>
      <c r="G1745" s="125">
        <v>3</v>
      </c>
      <c r="H1745" s="123" t="s">
        <v>98</v>
      </c>
      <c r="I1745" s="123" t="s">
        <v>95</v>
      </c>
      <c r="J1745" s="123" t="s">
        <v>96</v>
      </c>
      <c r="K1745" s="123" t="s">
        <v>93</v>
      </c>
      <c r="L1745" s="132">
        <v>1665</v>
      </c>
      <c r="M1745" s="132">
        <v>0</v>
      </c>
      <c r="N1745" s="132">
        <v>1.4945752430058508E+19</v>
      </c>
    </row>
    <row r="1746" spans="4:14" ht="15" customHeight="1" x14ac:dyDescent="0.2">
      <c r="D1746" s="130" t="b">
        <v>0</v>
      </c>
      <c r="E1746" s="124" t="s">
        <v>96</v>
      </c>
      <c r="F1746" s="125" t="s">
        <v>96</v>
      </c>
      <c r="G1746" s="125">
        <v>3</v>
      </c>
      <c r="H1746" s="123" t="s">
        <v>98</v>
      </c>
      <c r="I1746" s="123" t="s">
        <v>95</v>
      </c>
      <c r="J1746" s="123" t="s">
        <v>97</v>
      </c>
      <c r="K1746" s="123" t="s">
        <v>100</v>
      </c>
      <c r="L1746" s="132">
        <v>1666</v>
      </c>
      <c r="M1746" s="132">
        <v>0</v>
      </c>
      <c r="N1746" s="132">
        <v>5.1296837247026647E+18</v>
      </c>
    </row>
    <row r="1747" spans="4:14" ht="15" customHeight="1" x14ac:dyDescent="0.2">
      <c r="D1747" s="130" t="b">
        <v>0</v>
      </c>
      <c r="E1747" s="124" t="s">
        <v>96</v>
      </c>
      <c r="F1747" s="125" t="s">
        <v>96</v>
      </c>
      <c r="G1747" s="125">
        <v>3</v>
      </c>
      <c r="H1747" s="123" t="s">
        <v>98</v>
      </c>
      <c r="I1747" s="123" t="s">
        <v>95</v>
      </c>
      <c r="J1747" s="123" t="s">
        <v>91</v>
      </c>
      <c r="K1747" s="123" t="s">
        <v>102</v>
      </c>
      <c r="L1747" s="132">
        <v>1667</v>
      </c>
      <c r="M1747" s="132">
        <v>0</v>
      </c>
      <c r="N1747" s="132">
        <v>4.5029078232907827E+18</v>
      </c>
    </row>
    <row r="1748" spans="4:14" ht="15" customHeight="1" x14ac:dyDescent="0.2">
      <c r="D1748" s="130" t="b">
        <v>0</v>
      </c>
      <c r="E1748" s="124" t="s">
        <v>96</v>
      </c>
      <c r="F1748" s="125" t="s">
        <v>96</v>
      </c>
      <c r="G1748" s="125">
        <v>3</v>
      </c>
      <c r="H1748" s="123" t="s">
        <v>98</v>
      </c>
      <c r="I1748" s="123" t="s">
        <v>97</v>
      </c>
      <c r="J1748" s="123" t="s">
        <v>96</v>
      </c>
      <c r="K1748" s="123" t="s">
        <v>93</v>
      </c>
      <c r="L1748" s="132">
        <v>1668</v>
      </c>
      <c r="M1748" s="132">
        <v>0</v>
      </c>
      <c r="N1748" s="132">
        <v>1.4950083344350073E+19</v>
      </c>
    </row>
    <row r="1749" spans="4:14" ht="15" customHeight="1" x14ac:dyDescent="0.2">
      <c r="D1749" s="130" t="b">
        <v>0</v>
      </c>
      <c r="E1749" s="124" t="s">
        <v>96</v>
      </c>
      <c r="F1749" s="125" t="s">
        <v>96</v>
      </c>
      <c r="G1749" s="125">
        <v>3</v>
      </c>
      <c r="H1749" s="123" t="s">
        <v>98</v>
      </c>
      <c r="I1749" s="123" t="s">
        <v>97</v>
      </c>
      <c r="J1749" s="123" t="s">
        <v>97</v>
      </c>
      <c r="K1749" s="123" t="s">
        <v>102</v>
      </c>
      <c r="L1749" s="132">
        <v>1669</v>
      </c>
      <c r="M1749" s="132">
        <v>0</v>
      </c>
      <c r="N1749" s="132">
        <v>7.8425414710552699E+18</v>
      </c>
    </row>
    <row r="1750" spans="4:14" ht="15" customHeight="1" x14ac:dyDescent="0.2">
      <c r="D1750" s="130" t="b">
        <v>0</v>
      </c>
      <c r="E1750" s="124" t="s">
        <v>96</v>
      </c>
      <c r="F1750" s="125" t="s">
        <v>96</v>
      </c>
      <c r="G1750" s="125">
        <v>3</v>
      </c>
      <c r="H1750" s="123" t="s">
        <v>98</v>
      </c>
      <c r="I1750" s="123" t="s">
        <v>97</v>
      </c>
      <c r="J1750" s="123" t="s">
        <v>91</v>
      </c>
      <c r="K1750" s="123" t="s">
        <v>101</v>
      </c>
      <c r="L1750" s="132">
        <v>1670</v>
      </c>
      <c r="M1750" s="132">
        <v>0</v>
      </c>
      <c r="N1750" s="132">
        <v>1.821778456075658E+19</v>
      </c>
    </row>
    <row r="1751" spans="4:14" ht="15" customHeight="1" x14ac:dyDescent="0.2">
      <c r="D1751" s="130" t="b">
        <v>0</v>
      </c>
      <c r="E1751" s="124" t="s">
        <v>96</v>
      </c>
      <c r="F1751" s="125" t="s">
        <v>96</v>
      </c>
      <c r="G1751" s="125">
        <v>3</v>
      </c>
      <c r="H1751" s="123" t="s">
        <v>98</v>
      </c>
      <c r="I1751" s="123" t="s">
        <v>92</v>
      </c>
      <c r="J1751" s="123" t="s">
        <v>96</v>
      </c>
      <c r="K1751" s="123" t="s">
        <v>93</v>
      </c>
      <c r="L1751" s="132">
        <v>1671</v>
      </c>
      <c r="M1751" s="132">
        <v>0</v>
      </c>
      <c r="N1751" s="132">
        <v>1.55246726684032E+19</v>
      </c>
    </row>
    <row r="1752" spans="4:14" ht="15" customHeight="1" x14ac:dyDescent="0.2">
      <c r="D1752" s="130" t="b">
        <v>0</v>
      </c>
      <c r="E1752" s="124" t="s">
        <v>96</v>
      </c>
      <c r="F1752" s="125" t="s">
        <v>96</v>
      </c>
      <c r="G1752" s="125">
        <v>3</v>
      </c>
      <c r="H1752" s="123" t="s">
        <v>98</v>
      </c>
      <c r="I1752" s="123" t="s">
        <v>92</v>
      </c>
      <c r="J1752" s="123" t="s">
        <v>97</v>
      </c>
      <c r="K1752" s="123" t="s">
        <v>102</v>
      </c>
      <c r="L1752" s="132">
        <v>1672</v>
      </c>
      <c r="M1752" s="132">
        <v>0</v>
      </c>
      <c r="N1752" s="132">
        <v>9.323970339766231E+18</v>
      </c>
    </row>
    <row r="1753" spans="4:14" ht="15" customHeight="1" x14ac:dyDescent="0.2">
      <c r="D1753" s="130" t="b">
        <v>0</v>
      </c>
      <c r="E1753" s="124" t="s">
        <v>96</v>
      </c>
      <c r="F1753" s="125" t="s">
        <v>96</v>
      </c>
      <c r="G1753" s="125">
        <v>3</v>
      </c>
      <c r="H1753" s="123" t="s">
        <v>98</v>
      </c>
      <c r="I1753" s="123" t="s">
        <v>92</v>
      </c>
      <c r="J1753" s="123" t="s">
        <v>91</v>
      </c>
      <c r="K1753" s="123" t="s">
        <v>101</v>
      </c>
      <c r="L1753" s="132">
        <v>1673</v>
      </c>
      <c r="M1753" s="132">
        <v>0</v>
      </c>
      <c r="N1753" s="132">
        <v>1.3721439493771641E+19</v>
      </c>
    </row>
    <row r="1754" spans="4:14" ht="15" customHeight="1" x14ac:dyDescent="0.2">
      <c r="D1754" s="130" t="b">
        <v>0</v>
      </c>
      <c r="E1754" s="124" t="s">
        <v>96</v>
      </c>
      <c r="F1754" s="125" t="s">
        <v>96</v>
      </c>
      <c r="G1754" s="125">
        <v>4</v>
      </c>
      <c r="H1754" s="123">
        <v>2</v>
      </c>
      <c r="I1754" s="123" t="s">
        <v>95</v>
      </c>
      <c r="J1754" s="123" t="s">
        <v>96</v>
      </c>
      <c r="K1754" s="123" t="s">
        <v>93</v>
      </c>
      <c r="L1754" s="132">
        <v>1674</v>
      </c>
      <c r="M1754" s="132">
        <v>0</v>
      </c>
      <c r="N1754" s="132">
        <v>6.7637448556280842E+18</v>
      </c>
    </row>
    <row r="1755" spans="4:14" ht="15" customHeight="1" x14ac:dyDescent="0.2">
      <c r="D1755" s="130" t="b">
        <v>0</v>
      </c>
      <c r="E1755" s="124" t="s">
        <v>96</v>
      </c>
      <c r="F1755" s="125" t="s">
        <v>96</v>
      </c>
      <c r="G1755" s="125">
        <v>4</v>
      </c>
      <c r="H1755" s="123">
        <v>2</v>
      </c>
      <c r="I1755" s="123" t="s">
        <v>95</v>
      </c>
      <c r="J1755" s="123" t="s">
        <v>97</v>
      </c>
      <c r="K1755" s="123" t="s">
        <v>93</v>
      </c>
      <c r="L1755" s="132">
        <v>1675</v>
      </c>
      <c r="M1755" s="132">
        <v>0</v>
      </c>
      <c r="N1755" s="132">
        <v>1.2015010508922132E+19</v>
      </c>
    </row>
    <row r="1756" spans="4:14" ht="15" customHeight="1" x14ac:dyDescent="0.2">
      <c r="D1756" s="130" t="b">
        <v>0</v>
      </c>
      <c r="E1756" s="124" t="s">
        <v>96</v>
      </c>
      <c r="F1756" s="125" t="s">
        <v>96</v>
      </c>
      <c r="G1756" s="125">
        <v>4</v>
      </c>
      <c r="H1756" s="123">
        <v>2</v>
      </c>
      <c r="I1756" s="123" t="s">
        <v>95</v>
      </c>
      <c r="J1756" s="123" t="s">
        <v>91</v>
      </c>
      <c r="K1756" s="123" t="s">
        <v>93</v>
      </c>
      <c r="L1756" s="132">
        <v>1676</v>
      </c>
      <c r="M1756" s="132">
        <v>0</v>
      </c>
      <c r="N1756" s="132">
        <v>6.1803316385354383E+18</v>
      </c>
    </row>
    <row r="1757" spans="4:14" ht="15" customHeight="1" x14ac:dyDescent="0.2">
      <c r="D1757" s="130" t="b">
        <v>0</v>
      </c>
      <c r="E1757" s="124" t="s">
        <v>96</v>
      </c>
      <c r="F1757" s="125" t="s">
        <v>96</v>
      </c>
      <c r="G1757" s="125">
        <v>4</v>
      </c>
      <c r="H1757" s="123">
        <v>2</v>
      </c>
      <c r="I1757" s="123" t="s">
        <v>97</v>
      </c>
      <c r="J1757" s="123" t="s">
        <v>96</v>
      </c>
      <c r="K1757" s="123" t="s">
        <v>93</v>
      </c>
      <c r="L1757" s="132">
        <v>1677</v>
      </c>
      <c r="M1757" s="132">
        <v>0</v>
      </c>
      <c r="N1757" s="132">
        <v>1.744198678204715E+19</v>
      </c>
    </row>
    <row r="1758" spans="4:14" ht="15" customHeight="1" x14ac:dyDescent="0.2">
      <c r="D1758" s="130" t="b">
        <v>0</v>
      </c>
      <c r="E1758" s="124" t="s">
        <v>96</v>
      </c>
      <c r="F1758" s="125" t="s">
        <v>96</v>
      </c>
      <c r="G1758" s="125">
        <v>4</v>
      </c>
      <c r="H1758" s="123">
        <v>2</v>
      </c>
      <c r="I1758" s="123" t="s">
        <v>97</v>
      </c>
      <c r="J1758" s="123" t="s">
        <v>97</v>
      </c>
      <c r="K1758" s="123" t="s">
        <v>93</v>
      </c>
      <c r="L1758" s="132">
        <v>1678</v>
      </c>
      <c r="M1758" s="132">
        <v>0</v>
      </c>
      <c r="N1758" s="132">
        <v>2.6573016876843167E+18</v>
      </c>
    </row>
    <row r="1759" spans="4:14" ht="15" customHeight="1" x14ac:dyDescent="0.2">
      <c r="D1759" s="130" t="b">
        <v>0</v>
      </c>
      <c r="E1759" s="124" t="s">
        <v>96</v>
      </c>
      <c r="F1759" s="125" t="s">
        <v>96</v>
      </c>
      <c r="G1759" s="125">
        <v>4</v>
      </c>
      <c r="H1759" s="123">
        <v>2</v>
      </c>
      <c r="I1759" s="123" t="s">
        <v>97</v>
      </c>
      <c r="J1759" s="123" t="s">
        <v>91</v>
      </c>
      <c r="K1759" s="123" t="s">
        <v>93</v>
      </c>
      <c r="L1759" s="132">
        <v>1679</v>
      </c>
      <c r="M1759" s="132">
        <v>0</v>
      </c>
      <c r="N1759" s="132">
        <v>6.5763534171711795E+18</v>
      </c>
    </row>
    <row r="1760" spans="4:14" ht="15" customHeight="1" x14ac:dyDescent="0.2">
      <c r="D1760" s="130" t="b">
        <v>0</v>
      </c>
      <c r="E1760" s="124" t="s">
        <v>96</v>
      </c>
      <c r="F1760" s="125" t="s">
        <v>96</v>
      </c>
      <c r="G1760" s="125">
        <v>4</v>
      </c>
      <c r="H1760" s="123">
        <v>2</v>
      </c>
      <c r="I1760" s="123" t="s">
        <v>92</v>
      </c>
      <c r="J1760" s="123" t="s">
        <v>96</v>
      </c>
      <c r="K1760" s="123" t="s">
        <v>93</v>
      </c>
      <c r="L1760" s="132">
        <v>1680</v>
      </c>
      <c r="M1760" s="132">
        <v>0</v>
      </c>
      <c r="N1760" s="132">
        <v>3.2635940716800922E+18</v>
      </c>
    </row>
    <row r="1761" spans="4:14" ht="15" customHeight="1" x14ac:dyDescent="0.2">
      <c r="D1761" s="130" t="b">
        <v>0</v>
      </c>
      <c r="E1761" s="124" t="s">
        <v>96</v>
      </c>
      <c r="F1761" s="125" t="s">
        <v>96</v>
      </c>
      <c r="G1761" s="125">
        <v>4</v>
      </c>
      <c r="H1761" s="123">
        <v>2</v>
      </c>
      <c r="I1761" s="123" t="s">
        <v>92</v>
      </c>
      <c r="J1761" s="123" t="s">
        <v>97</v>
      </c>
      <c r="K1761" s="123" t="s">
        <v>93</v>
      </c>
      <c r="L1761" s="132">
        <v>1681</v>
      </c>
      <c r="M1761" s="132">
        <v>0</v>
      </c>
      <c r="N1761" s="132">
        <v>7.2315284655144151E+18</v>
      </c>
    </row>
    <row r="1762" spans="4:14" ht="15" customHeight="1" x14ac:dyDescent="0.2">
      <c r="D1762" s="130" t="b">
        <v>0</v>
      </c>
      <c r="E1762" s="124" t="s">
        <v>96</v>
      </c>
      <c r="F1762" s="125" t="s">
        <v>96</v>
      </c>
      <c r="G1762" s="125">
        <v>4</v>
      </c>
      <c r="H1762" s="123">
        <v>2</v>
      </c>
      <c r="I1762" s="123" t="s">
        <v>92</v>
      </c>
      <c r="J1762" s="123" t="s">
        <v>91</v>
      </c>
      <c r="K1762" s="123" t="s">
        <v>93</v>
      </c>
      <c r="L1762" s="132">
        <v>1682</v>
      </c>
      <c r="M1762" s="132">
        <v>0</v>
      </c>
      <c r="N1762" s="132">
        <v>1.8386772457767457E+19</v>
      </c>
    </row>
    <row r="1763" spans="4:14" ht="15" customHeight="1" x14ac:dyDescent="0.2">
      <c r="D1763" s="130" t="b">
        <v>0</v>
      </c>
      <c r="E1763" s="124" t="s">
        <v>96</v>
      </c>
      <c r="F1763" s="125" t="s">
        <v>96</v>
      </c>
      <c r="G1763" s="125">
        <v>4</v>
      </c>
      <c r="H1763" s="123">
        <v>4</v>
      </c>
      <c r="I1763" s="123" t="s">
        <v>95</v>
      </c>
      <c r="J1763" s="123" t="s">
        <v>96</v>
      </c>
      <c r="K1763" s="123" t="s">
        <v>93</v>
      </c>
      <c r="L1763" s="132">
        <v>1683</v>
      </c>
      <c r="M1763" s="132">
        <v>0</v>
      </c>
      <c r="N1763" s="132">
        <v>1.3411294436293778E+18</v>
      </c>
    </row>
    <row r="1764" spans="4:14" ht="15" customHeight="1" x14ac:dyDescent="0.2">
      <c r="D1764" s="130" t="b">
        <v>0</v>
      </c>
      <c r="E1764" s="124" t="s">
        <v>96</v>
      </c>
      <c r="F1764" s="125" t="s">
        <v>96</v>
      </c>
      <c r="G1764" s="125">
        <v>4</v>
      </c>
      <c r="H1764" s="123">
        <v>4</v>
      </c>
      <c r="I1764" s="123" t="s">
        <v>95</v>
      </c>
      <c r="J1764" s="123" t="s">
        <v>97</v>
      </c>
      <c r="K1764" s="123" t="s">
        <v>100</v>
      </c>
      <c r="L1764" s="132">
        <v>1684</v>
      </c>
      <c r="M1764" s="132">
        <v>0</v>
      </c>
      <c r="N1764" s="132">
        <v>1.3110622194408163E+19</v>
      </c>
    </row>
    <row r="1765" spans="4:14" ht="15" customHeight="1" x14ac:dyDescent="0.2">
      <c r="D1765" s="130" t="b">
        <v>0</v>
      </c>
      <c r="E1765" s="124" t="s">
        <v>96</v>
      </c>
      <c r="F1765" s="125" t="s">
        <v>96</v>
      </c>
      <c r="G1765" s="125">
        <v>4</v>
      </c>
      <c r="H1765" s="123">
        <v>4</v>
      </c>
      <c r="I1765" s="123" t="s">
        <v>95</v>
      </c>
      <c r="J1765" s="123" t="s">
        <v>91</v>
      </c>
      <c r="K1765" s="123" t="s">
        <v>102</v>
      </c>
      <c r="L1765" s="132">
        <v>1685</v>
      </c>
      <c r="M1765" s="132">
        <v>0</v>
      </c>
      <c r="N1765" s="132">
        <v>1.0898260437412671E+19</v>
      </c>
    </row>
    <row r="1766" spans="4:14" ht="15" customHeight="1" x14ac:dyDescent="0.2">
      <c r="D1766" s="130" t="b">
        <v>0</v>
      </c>
      <c r="E1766" s="124" t="s">
        <v>96</v>
      </c>
      <c r="F1766" s="125" t="s">
        <v>96</v>
      </c>
      <c r="G1766" s="125">
        <v>4</v>
      </c>
      <c r="H1766" s="123">
        <v>4</v>
      </c>
      <c r="I1766" s="123" t="s">
        <v>97</v>
      </c>
      <c r="J1766" s="123" t="s">
        <v>96</v>
      </c>
      <c r="K1766" s="123" t="s">
        <v>93</v>
      </c>
      <c r="L1766" s="132">
        <v>1686</v>
      </c>
      <c r="M1766" s="132">
        <v>0</v>
      </c>
      <c r="N1766" s="132">
        <v>1.0517990146989965E+19</v>
      </c>
    </row>
    <row r="1767" spans="4:14" ht="15" customHeight="1" x14ac:dyDescent="0.2">
      <c r="D1767" s="130" t="b">
        <v>0</v>
      </c>
      <c r="E1767" s="124" t="s">
        <v>96</v>
      </c>
      <c r="F1767" s="125" t="s">
        <v>96</v>
      </c>
      <c r="G1767" s="125">
        <v>4</v>
      </c>
      <c r="H1767" s="123">
        <v>4</v>
      </c>
      <c r="I1767" s="123" t="s">
        <v>97</v>
      </c>
      <c r="J1767" s="123" t="s">
        <v>97</v>
      </c>
      <c r="K1767" s="123" t="s">
        <v>102</v>
      </c>
      <c r="L1767" s="132">
        <v>1687</v>
      </c>
      <c r="M1767" s="132">
        <v>0</v>
      </c>
      <c r="N1767" s="132">
        <v>1.7645685317112814E+19</v>
      </c>
    </row>
    <row r="1768" spans="4:14" ht="15" customHeight="1" x14ac:dyDescent="0.2">
      <c r="D1768" s="130" t="b">
        <v>0</v>
      </c>
      <c r="E1768" s="124" t="s">
        <v>96</v>
      </c>
      <c r="F1768" s="125" t="s">
        <v>96</v>
      </c>
      <c r="G1768" s="125">
        <v>4</v>
      </c>
      <c r="H1768" s="123">
        <v>4</v>
      </c>
      <c r="I1768" s="123" t="s">
        <v>97</v>
      </c>
      <c r="J1768" s="123" t="s">
        <v>91</v>
      </c>
      <c r="K1768" s="123" t="s">
        <v>101</v>
      </c>
      <c r="L1768" s="132">
        <v>1688</v>
      </c>
      <c r="M1768" s="132">
        <v>0</v>
      </c>
      <c r="N1768" s="132">
        <v>2.0999514290107461E+18</v>
      </c>
    </row>
    <row r="1769" spans="4:14" ht="15" customHeight="1" x14ac:dyDescent="0.2">
      <c r="D1769" s="130" t="b">
        <v>0</v>
      </c>
      <c r="E1769" s="124" t="s">
        <v>96</v>
      </c>
      <c r="F1769" s="125" t="s">
        <v>96</v>
      </c>
      <c r="G1769" s="125">
        <v>4</v>
      </c>
      <c r="H1769" s="123">
        <v>4</v>
      </c>
      <c r="I1769" s="123" t="s">
        <v>92</v>
      </c>
      <c r="J1769" s="123" t="s">
        <v>96</v>
      </c>
      <c r="K1769" s="123" t="s">
        <v>93</v>
      </c>
      <c r="L1769" s="132">
        <v>1689</v>
      </c>
      <c r="M1769" s="132">
        <v>0</v>
      </c>
      <c r="N1769" s="132">
        <v>5.7432329113207213E+17</v>
      </c>
    </row>
    <row r="1770" spans="4:14" ht="15" customHeight="1" x14ac:dyDescent="0.2">
      <c r="D1770" s="130" t="b">
        <v>0</v>
      </c>
      <c r="E1770" s="124" t="s">
        <v>96</v>
      </c>
      <c r="F1770" s="125" t="s">
        <v>96</v>
      </c>
      <c r="G1770" s="125">
        <v>4</v>
      </c>
      <c r="H1770" s="123">
        <v>4</v>
      </c>
      <c r="I1770" s="123" t="s">
        <v>92</v>
      </c>
      <c r="J1770" s="123" t="s">
        <v>97</v>
      </c>
      <c r="K1770" s="123" t="s">
        <v>102</v>
      </c>
      <c r="L1770" s="132">
        <v>1690</v>
      </c>
      <c r="M1770" s="132">
        <v>0</v>
      </c>
      <c r="N1770" s="132">
        <v>1.8241327836839733E+19</v>
      </c>
    </row>
    <row r="1771" spans="4:14" ht="15" customHeight="1" x14ac:dyDescent="0.2">
      <c r="D1771" s="130" t="b">
        <v>0</v>
      </c>
      <c r="E1771" s="124" t="s">
        <v>96</v>
      </c>
      <c r="F1771" s="125" t="s">
        <v>96</v>
      </c>
      <c r="G1771" s="125">
        <v>4</v>
      </c>
      <c r="H1771" s="123">
        <v>4</v>
      </c>
      <c r="I1771" s="123" t="s">
        <v>92</v>
      </c>
      <c r="J1771" s="123" t="s">
        <v>91</v>
      </c>
      <c r="K1771" s="123" t="s">
        <v>101</v>
      </c>
      <c r="L1771" s="132">
        <v>1691</v>
      </c>
      <c r="M1771" s="132">
        <v>0</v>
      </c>
      <c r="N1771" s="132">
        <v>1.1732011119300661E+19</v>
      </c>
    </row>
    <row r="1772" spans="4:14" ht="15" customHeight="1" x14ac:dyDescent="0.2">
      <c r="D1772" s="130" t="b">
        <v>0</v>
      </c>
      <c r="E1772" s="124" t="s">
        <v>96</v>
      </c>
      <c r="F1772" s="125" t="s">
        <v>96</v>
      </c>
      <c r="G1772" s="125">
        <v>4</v>
      </c>
      <c r="H1772" s="123" t="s">
        <v>98</v>
      </c>
      <c r="I1772" s="123" t="s">
        <v>95</v>
      </c>
      <c r="J1772" s="123" t="s">
        <v>96</v>
      </c>
      <c r="K1772" s="123" t="s">
        <v>93</v>
      </c>
      <c r="L1772" s="132">
        <v>1692</v>
      </c>
      <c r="M1772" s="132">
        <v>0</v>
      </c>
      <c r="N1772" s="132">
        <v>1.0598699875994243E+19</v>
      </c>
    </row>
    <row r="1773" spans="4:14" ht="15" customHeight="1" x14ac:dyDescent="0.2">
      <c r="D1773" s="130" t="b">
        <v>0</v>
      </c>
      <c r="E1773" s="124" t="s">
        <v>96</v>
      </c>
      <c r="F1773" s="125" t="s">
        <v>96</v>
      </c>
      <c r="G1773" s="125">
        <v>4</v>
      </c>
      <c r="H1773" s="123" t="s">
        <v>98</v>
      </c>
      <c r="I1773" s="123" t="s">
        <v>95</v>
      </c>
      <c r="J1773" s="123" t="s">
        <v>97</v>
      </c>
      <c r="K1773" s="123" t="s">
        <v>100</v>
      </c>
      <c r="L1773" s="132">
        <v>1693</v>
      </c>
      <c r="M1773" s="132">
        <v>0</v>
      </c>
      <c r="N1773" s="132">
        <v>1.6366876265188037E+18</v>
      </c>
    </row>
    <row r="1774" spans="4:14" ht="15" customHeight="1" x14ac:dyDescent="0.2">
      <c r="D1774" s="130" t="b">
        <v>0</v>
      </c>
      <c r="E1774" s="124" t="s">
        <v>96</v>
      </c>
      <c r="F1774" s="125" t="s">
        <v>96</v>
      </c>
      <c r="G1774" s="125">
        <v>4</v>
      </c>
      <c r="H1774" s="123" t="s">
        <v>98</v>
      </c>
      <c r="I1774" s="123" t="s">
        <v>95</v>
      </c>
      <c r="J1774" s="123" t="s">
        <v>91</v>
      </c>
      <c r="K1774" s="123" t="s">
        <v>102</v>
      </c>
      <c r="L1774" s="132">
        <v>1694</v>
      </c>
      <c r="M1774" s="132">
        <v>0</v>
      </c>
      <c r="N1774" s="132">
        <v>6.5161492987903857E+18</v>
      </c>
    </row>
    <row r="1775" spans="4:14" ht="15" customHeight="1" x14ac:dyDescent="0.2">
      <c r="D1775" s="130" t="b">
        <v>0</v>
      </c>
      <c r="E1775" s="124" t="s">
        <v>96</v>
      </c>
      <c r="F1775" s="125" t="s">
        <v>96</v>
      </c>
      <c r="G1775" s="125">
        <v>4</v>
      </c>
      <c r="H1775" s="123" t="s">
        <v>98</v>
      </c>
      <c r="I1775" s="123" t="s">
        <v>97</v>
      </c>
      <c r="J1775" s="123" t="s">
        <v>96</v>
      </c>
      <c r="K1775" s="123" t="s">
        <v>93</v>
      </c>
      <c r="L1775" s="132">
        <v>1695</v>
      </c>
      <c r="M1775" s="132">
        <v>0</v>
      </c>
      <c r="N1775" s="132">
        <v>1.4220258523897178E+19</v>
      </c>
    </row>
    <row r="1776" spans="4:14" ht="15" customHeight="1" x14ac:dyDescent="0.2">
      <c r="D1776" s="130" t="b">
        <v>0</v>
      </c>
      <c r="E1776" s="124" t="s">
        <v>96</v>
      </c>
      <c r="F1776" s="125" t="s">
        <v>96</v>
      </c>
      <c r="G1776" s="125">
        <v>4</v>
      </c>
      <c r="H1776" s="123" t="s">
        <v>98</v>
      </c>
      <c r="I1776" s="123" t="s">
        <v>97</v>
      </c>
      <c r="J1776" s="123" t="s">
        <v>97</v>
      </c>
      <c r="K1776" s="123" t="s">
        <v>102</v>
      </c>
      <c r="L1776" s="132">
        <v>1696</v>
      </c>
      <c r="M1776" s="132">
        <v>0</v>
      </c>
      <c r="N1776" s="132">
        <v>3.1839540204686996E+18</v>
      </c>
    </row>
    <row r="1777" spans="4:14" ht="15" customHeight="1" x14ac:dyDescent="0.2">
      <c r="D1777" s="130" t="b">
        <v>0</v>
      </c>
      <c r="E1777" s="124" t="s">
        <v>96</v>
      </c>
      <c r="F1777" s="125" t="s">
        <v>96</v>
      </c>
      <c r="G1777" s="125">
        <v>4</v>
      </c>
      <c r="H1777" s="123" t="s">
        <v>98</v>
      </c>
      <c r="I1777" s="123" t="s">
        <v>97</v>
      </c>
      <c r="J1777" s="123" t="s">
        <v>91</v>
      </c>
      <c r="K1777" s="123" t="s">
        <v>101</v>
      </c>
      <c r="L1777" s="132">
        <v>1697</v>
      </c>
      <c r="M1777" s="132">
        <v>0</v>
      </c>
      <c r="N1777" s="132">
        <v>6.3008900806287299E+18</v>
      </c>
    </row>
    <row r="1778" spans="4:14" ht="15" customHeight="1" x14ac:dyDescent="0.2">
      <c r="D1778" s="130" t="b">
        <v>0</v>
      </c>
      <c r="E1778" s="124" t="s">
        <v>96</v>
      </c>
      <c r="F1778" s="125" t="s">
        <v>96</v>
      </c>
      <c r="G1778" s="125">
        <v>4</v>
      </c>
      <c r="H1778" s="123" t="s">
        <v>98</v>
      </c>
      <c r="I1778" s="123" t="s">
        <v>92</v>
      </c>
      <c r="J1778" s="123" t="s">
        <v>96</v>
      </c>
      <c r="K1778" s="123" t="s">
        <v>93</v>
      </c>
      <c r="L1778" s="132">
        <v>1698</v>
      </c>
      <c r="M1778" s="132">
        <v>0</v>
      </c>
      <c r="N1778" s="132">
        <v>2.2690104090570895E+18</v>
      </c>
    </row>
    <row r="1779" spans="4:14" ht="15" customHeight="1" x14ac:dyDescent="0.2">
      <c r="D1779" s="130" t="b">
        <v>0</v>
      </c>
      <c r="E1779" s="124" t="s">
        <v>96</v>
      </c>
      <c r="F1779" s="125" t="s">
        <v>96</v>
      </c>
      <c r="G1779" s="125">
        <v>4</v>
      </c>
      <c r="H1779" s="123" t="s">
        <v>98</v>
      </c>
      <c r="I1779" s="123" t="s">
        <v>92</v>
      </c>
      <c r="J1779" s="123" t="s">
        <v>97</v>
      </c>
      <c r="K1779" s="123" t="s">
        <v>102</v>
      </c>
      <c r="L1779" s="132">
        <v>1699</v>
      </c>
      <c r="M1779" s="132">
        <v>0</v>
      </c>
      <c r="N1779" s="132">
        <v>1.5910342921351277E+19</v>
      </c>
    </row>
    <row r="1780" spans="4:14" ht="15" customHeight="1" x14ac:dyDescent="0.2">
      <c r="D1780" s="130" t="b">
        <v>0</v>
      </c>
      <c r="E1780" s="124" t="s">
        <v>96</v>
      </c>
      <c r="F1780" s="125" t="s">
        <v>96</v>
      </c>
      <c r="G1780" s="125">
        <v>4</v>
      </c>
      <c r="H1780" s="123" t="s">
        <v>98</v>
      </c>
      <c r="I1780" s="123" t="s">
        <v>92</v>
      </c>
      <c r="J1780" s="123" t="s">
        <v>91</v>
      </c>
      <c r="K1780" s="123" t="s">
        <v>101</v>
      </c>
      <c r="L1780" s="132">
        <v>1700</v>
      </c>
      <c r="M1780" s="132">
        <v>0</v>
      </c>
      <c r="N1780" s="132">
        <v>6.7782273057675192E+18</v>
      </c>
    </row>
    <row r="1781" spans="4:14" ht="15" customHeight="1" x14ac:dyDescent="0.2">
      <c r="D1781" s="130" t="b">
        <v>0</v>
      </c>
      <c r="E1781" s="124" t="s">
        <v>96</v>
      </c>
      <c r="F1781" s="125" t="s">
        <v>96</v>
      </c>
      <c r="G1781" s="125" t="s">
        <v>99</v>
      </c>
      <c r="H1781" s="123">
        <v>2</v>
      </c>
      <c r="I1781" s="123" t="s">
        <v>95</v>
      </c>
      <c r="J1781" s="123" t="s">
        <v>96</v>
      </c>
      <c r="K1781" s="123" t="s">
        <v>93</v>
      </c>
      <c r="L1781" s="132">
        <v>1701</v>
      </c>
      <c r="M1781" s="132">
        <v>0</v>
      </c>
      <c r="N1781" s="132">
        <v>1.4260986836204579E+19</v>
      </c>
    </row>
    <row r="1782" spans="4:14" ht="15" customHeight="1" x14ac:dyDescent="0.2">
      <c r="D1782" s="130" t="b">
        <v>0</v>
      </c>
      <c r="E1782" s="124" t="s">
        <v>96</v>
      </c>
      <c r="F1782" s="125" t="s">
        <v>96</v>
      </c>
      <c r="G1782" s="125" t="s">
        <v>99</v>
      </c>
      <c r="H1782" s="123">
        <v>2</v>
      </c>
      <c r="I1782" s="123" t="s">
        <v>95</v>
      </c>
      <c r="J1782" s="123" t="s">
        <v>97</v>
      </c>
      <c r="K1782" s="123" t="s">
        <v>93</v>
      </c>
      <c r="L1782" s="132">
        <v>1702</v>
      </c>
      <c r="M1782" s="132">
        <v>0</v>
      </c>
      <c r="N1782" s="132">
        <v>1.8173052402328764E+19</v>
      </c>
    </row>
    <row r="1783" spans="4:14" ht="15" customHeight="1" x14ac:dyDescent="0.2">
      <c r="D1783" s="130" t="b">
        <v>0</v>
      </c>
      <c r="E1783" s="124" t="s">
        <v>96</v>
      </c>
      <c r="F1783" s="125" t="s">
        <v>96</v>
      </c>
      <c r="G1783" s="125" t="s">
        <v>99</v>
      </c>
      <c r="H1783" s="123">
        <v>2</v>
      </c>
      <c r="I1783" s="123" t="s">
        <v>95</v>
      </c>
      <c r="J1783" s="123" t="s">
        <v>91</v>
      </c>
      <c r="K1783" s="123" t="s">
        <v>93</v>
      </c>
      <c r="L1783" s="132">
        <v>1703</v>
      </c>
      <c r="M1783" s="132">
        <v>0</v>
      </c>
      <c r="N1783" s="132">
        <v>1.1776155941869328E+19</v>
      </c>
    </row>
    <row r="1784" spans="4:14" ht="15" customHeight="1" x14ac:dyDescent="0.2">
      <c r="D1784" s="130" t="b">
        <v>0</v>
      </c>
      <c r="E1784" s="124" t="s">
        <v>96</v>
      </c>
      <c r="F1784" s="125" t="s">
        <v>96</v>
      </c>
      <c r="G1784" s="125" t="s">
        <v>99</v>
      </c>
      <c r="H1784" s="123">
        <v>2</v>
      </c>
      <c r="I1784" s="123" t="s">
        <v>97</v>
      </c>
      <c r="J1784" s="123" t="s">
        <v>96</v>
      </c>
      <c r="K1784" s="123" t="s">
        <v>93</v>
      </c>
      <c r="L1784" s="132">
        <v>1704</v>
      </c>
      <c r="M1784" s="132">
        <v>0</v>
      </c>
      <c r="N1784" s="132">
        <v>9.5607140845107958E+18</v>
      </c>
    </row>
    <row r="1785" spans="4:14" ht="15" customHeight="1" x14ac:dyDescent="0.2">
      <c r="D1785" s="130" t="b">
        <v>0</v>
      </c>
      <c r="E1785" s="124" t="s">
        <v>96</v>
      </c>
      <c r="F1785" s="125" t="s">
        <v>96</v>
      </c>
      <c r="G1785" s="125" t="s">
        <v>99</v>
      </c>
      <c r="H1785" s="123">
        <v>2</v>
      </c>
      <c r="I1785" s="123" t="s">
        <v>97</v>
      </c>
      <c r="J1785" s="123" t="s">
        <v>97</v>
      </c>
      <c r="K1785" s="123" t="s">
        <v>93</v>
      </c>
      <c r="L1785" s="132">
        <v>1705</v>
      </c>
      <c r="M1785" s="132">
        <v>0</v>
      </c>
      <c r="N1785" s="132">
        <v>1.2780150489585494E+19</v>
      </c>
    </row>
    <row r="1786" spans="4:14" ht="15" customHeight="1" x14ac:dyDescent="0.2">
      <c r="D1786" s="130" t="b">
        <v>0</v>
      </c>
      <c r="E1786" s="124" t="s">
        <v>96</v>
      </c>
      <c r="F1786" s="125" t="s">
        <v>96</v>
      </c>
      <c r="G1786" s="125" t="s">
        <v>99</v>
      </c>
      <c r="H1786" s="123">
        <v>2</v>
      </c>
      <c r="I1786" s="123" t="s">
        <v>97</v>
      </c>
      <c r="J1786" s="123" t="s">
        <v>91</v>
      </c>
      <c r="K1786" s="123" t="s">
        <v>93</v>
      </c>
      <c r="L1786" s="132">
        <v>1706</v>
      </c>
      <c r="M1786" s="132">
        <v>0</v>
      </c>
      <c r="N1786" s="132">
        <v>2.2638169398429488E+17</v>
      </c>
    </row>
    <row r="1787" spans="4:14" ht="15" customHeight="1" x14ac:dyDescent="0.2">
      <c r="D1787" s="130" t="b">
        <v>0</v>
      </c>
      <c r="E1787" s="124" t="s">
        <v>96</v>
      </c>
      <c r="F1787" s="125" t="s">
        <v>96</v>
      </c>
      <c r="G1787" s="125" t="s">
        <v>99</v>
      </c>
      <c r="H1787" s="123">
        <v>2</v>
      </c>
      <c r="I1787" s="123" t="s">
        <v>92</v>
      </c>
      <c r="J1787" s="123" t="s">
        <v>96</v>
      </c>
      <c r="K1787" s="123" t="s">
        <v>93</v>
      </c>
      <c r="L1787" s="132">
        <v>1707</v>
      </c>
      <c r="M1787" s="132">
        <v>0</v>
      </c>
      <c r="N1787" s="132">
        <v>4.0829173812931354E+18</v>
      </c>
    </row>
    <row r="1788" spans="4:14" ht="15" customHeight="1" x14ac:dyDescent="0.2">
      <c r="D1788" s="130" t="b">
        <v>0</v>
      </c>
      <c r="E1788" s="124" t="s">
        <v>96</v>
      </c>
      <c r="F1788" s="125" t="s">
        <v>96</v>
      </c>
      <c r="G1788" s="125" t="s">
        <v>99</v>
      </c>
      <c r="H1788" s="123">
        <v>2</v>
      </c>
      <c r="I1788" s="123" t="s">
        <v>92</v>
      </c>
      <c r="J1788" s="123" t="s">
        <v>97</v>
      </c>
      <c r="K1788" s="123" t="s">
        <v>93</v>
      </c>
      <c r="L1788" s="132">
        <v>1708</v>
      </c>
      <c r="M1788" s="132">
        <v>0</v>
      </c>
      <c r="N1788" s="132">
        <v>1.8428142295270193E+19</v>
      </c>
    </row>
    <row r="1789" spans="4:14" ht="15" customHeight="1" x14ac:dyDescent="0.2">
      <c r="D1789" s="130" t="b">
        <v>0</v>
      </c>
      <c r="E1789" s="124" t="s">
        <v>96</v>
      </c>
      <c r="F1789" s="125" t="s">
        <v>96</v>
      </c>
      <c r="G1789" s="125" t="s">
        <v>99</v>
      </c>
      <c r="H1789" s="123">
        <v>2</v>
      </c>
      <c r="I1789" s="123" t="s">
        <v>92</v>
      </c>
      <c r="J1789" s="123" t="s">
        <v>91</v>
      </c>
      <c r="K1789" s="123" t="s">
        <v>93</v>
      </c>
      <c r="L1789" s="132">
        <v>1709</v>
      </c>
      <c r="M1789" s="132">
        <v>0</v>
      </c>
      <c r="N1789" s="132">
        <v>4.0896072278598482E+18</v>
      </c>
    </row>
    <row r="1790" spans="4:14" ht="15" customHeight="1" x14ac:dyDescent="0.2">
      <c r="D1790" s="130" t="b">
        <v>0</v>
      </c>
      <c r="E1790" s="124" t="s">
        <v>96</v>
      </c>
      <c r="F1790" s="125" t="s">
        <v>96</v>
      </c>
      <c r="G1790" s="125" t="s">
        <v>99</v>
      </c>
      <c r="H1790" s="123">
        <v>4</v>
      </c>
      <c r="I1790" s="123" t="s">
        <v>95</v>
      </c>
      <c r="J1790" s="123" t="s">
        <v>96</v>
      </c>
      <c r="K1790" s="123" t="s">
        <v>93</v>
      </c>
      <c r="L1790" s="132">
        <v>1710</v>
      </c>
      <c r="M1790" s="132">
        <v>0</v>
      </c>
      <c r="N1790" s="132">
        <v>1.4510267206139253E+19</v>
      </c>
    </row>
    <row r="1791" spans="4:14" ht="15" customHeight="1" x14ac:dyDescent="0.2">
      <c r="D1791" s="130" t="b">
        <v>0</v>
      </c>
      <c r="E1791" s="124" t="s">
        <v>96</v>
      </c>
      <c r="F1791" s="125" t="s">
        <v>96</v>
      </c>
      <c r="G1791" s="125" t="s">
        <v>99</v>
      </c>
      <c r="H1791" s="123">
        <v>4</v>
      </c>
      <c r="I1791" s="123" t="s">
        <v>95</v>
      </c>
      <c r="J1791" s="123" t="s">
        <v>97</v>
      </c>
      <c r="K1791" s="123" t="s">
        <v>100</v>
      </c>
      <c r="L1791" s="132">
        <v>1711</v>
      </c>
      <c r="M1791" s="132">
        <v>0</v>
      </c>
      <c r="N1791" s="132">
        <v>4.5723273014350515E+18</v>
      </c>
    </row>
    <row r="1792" spans="4:14" ht="15" customHeight="1" x14ac:dyDescent="0.2">
      <c r="D1792" s="130" t="b">
        <v>0</v>
      </c>
      <c r="E1792" s="124" t="s">
        <v>96</v>
      </c>
      <c r="F1792" s="125" t="s">
        <v>96</v>
      </c>
      <c r="G1792" s="125" t="s">
        <v>99</v>
      </c>
      <c r="H1792" s="123">
        <v>4</v>
      </c>
      <c r="I1792" s="123" t="s">
        <v>95</v>
      </c>
      <c r="J1792" s="123" t="s">
        <v>91</v>
      </c>
      <c r="K1792" s="123" t="s">
        <v>102</v>
      </c>
      <c r="L1792" s="132">
        <v>1712</v>
      </c>
      <c r="M1792" s="132">
        <v>0</v>
      </c>
      <c r="N1792" s="132">
        <v>1.5224228786886926E+19</v>
      </c>
    </row>
    <row r="1793" spans="4:14" ht="15" customHeight="1" x14ac:dyDescent="0.2">
      <c r="D1793" s="130" t="b">
        <v>0</v>
      </c>
      <c r="E1793" s="124" t="s">
        <v>96</v>
      </c>
      <c r="F1793" s="125" t="s">
        <v>96</v>
      </c>
      <c r="G1793" s="125" t="s">
        <v>99</v>
      </c>
      <c r="H1793" s="123">
        <v>4</v>
      </c>
      <c r="I1793" s="123" t="s">
        <v>97</v>
      </c>
      <c r="J1793" s="123" t="s">
        <v>96</v>
      </c>
      <c r="K1793" s="123" t="s">
        <v>93</v>
      </c>
      <c r="L1793" s="132">
        <v>1713</v>
      </c>
      <c r="M1793" s="132">
        <v>0</v>
      </c>
      <c r="N1793" s="132">
        <v>5.9290793074608118E+18</v>
      </c>
    </row>
    <row r="1794" spans="4:14" ht="15" customHeight="1" x14ac:dyDescent="0.2">
      <c r="D1794" s="130" t="b">
        <v>0</v>
      </c>
      <c r="E1794" s="124" t="s">
        <v>96</v>
      </c>
      <c r="F1794" s="125" t="s">
        <v>96</v>
      </c>
      <c r="G1794" s="125" t="s">
        <v>99</v>
      </c>
      <c r="H1794" s="123">
        <v>4</v>
      </c>
      <c r="I1794" s="123" t="s">
        <v>97</v>
      </c>
      <c r="J1794" s="123" t="s">
        <v>97</v>
      </c>
      <c r="K1794" s="123" t="s">
        <v>102</v>
      </c>
      <c r="L1794" s="132">
        <v>1714</v>
      </c>
      <c r="M1794" s="132">
        <v>0</v>
      </c>
      <c r="N1794" s="132">
        <v>1.1481385592981828E+19</v>
      </c>
    </row>
    <row r="1795" spans="4:14" ht="15" customHeight="1" x14ac:dyDescent="0.2">
      <c r="D1795" s="130" t="b">
        <v>0</v>
      </c>
      <c r="E1795" s="124" t="s">
        <v>96</v>
      </c>
      <c r="F1795" s="125" t="s">
        <v>96</v>
      </c>
      <c r="G1795" s="125" t="s">
        <v>99</v>
      </c>
      <c r="H1795" s="123">
        <v>4</v>
      </c>
      <c r="I1795" s="123" t="s">
        <v>97</v>
      </c>
      <c r="J1795" s="123" t="s">
        <v>91</v>
      </c>
      <c r="K1795" s="123" t="s">
        <v>101</v>
      </c>
      <c r="L1795" s="132">
        <v>1715</v>
      </c>
      <c r="M1795" s="132">
        <v>0</v>
      </c>
      <c r="N1795" s="132">
        <v>8.5371116805000218E+17</v>
      </c>
    </row>
    <row r="1796" spans="4:14" ht="15" customHeight="1" x14ac:dyDescent="0.2">
      <c r="D1796" s="130" t="b">
        <v>0</v>
      </c>
      <c r="E1796" s="124" t="s">
        <v>96</v>
      </c>
      <c r="F1796" s="125" t="s">
        <v>96</v>
      </c>
      <c r="G1796" s="125" t="s">
        <v>99</v>
      </c>
      <c r="H1796" s="123">
        <v>4</v>
      </c>
      <c r="I1796" s="123" t="s">
        <v>92</v>
      </c>
      <c r="J1796" s="123" t="s">
        <v>96</v>
      </c>
      <c r="K1796" s="123" t="s">
        <v>93</v>
      </c>
      <c r="L1796" s="132">
        <v>1716</v>
      </c>
      <c r="M1796" s="132">
        <v>0</v>
      </c>
      <c r="N1796" s="132">
        <v>9.8367270187080561E+18</v>
      </c>
    </row>
    <row r="1797" spans="4:14" ht="15" customHeight="1" x14ac:dyDescent="0.2">
      <c r="D1797" s="130" t="b">
        <v>0</v>
      </c>
      <c r="E1797" s="124" t="s">
        <v>96</v>
      </c>
      <c r="F1797" s="125" t="s">
        <v>96</v>
      </c>
      <c r="G1797" s="125" t="s">
        <v>99</v>
      </c>
      <c r="H1797" s="123">
        <v>4</v>
      </c>
      <c r="I1797" s="123" t="s">
        <v>92</v>
      </c>
      <c r="J1797" s="123" t="s">
        <v>97</v>
      </c>
      <c r="K1797" s="123" t="s">
        <v>102</v>
      </c>
      <c r="L1797" s="132">
        <v>1717</v>
      </c>
      <c r="M1797" s="132">
        <v>0</v>
      </c>
      <c r="N1797" s="132">
        <v>1.3767790361349054E+19</v>
      </c>
    </row>
    <row r="1798" spans="4:14" ht="15" customHeight="1" x14ac:dyDescent="0.2">
      <c r="D1798" s="130" t="b">
        <v>0</v>
      </c>
      <c r="E1798" s="124" t="s">
        <v>96</v>
      </c>
      <c r="F1798" s="125" t="s">
        <v>96</v>
      </c>
      <c r="G1798" s="125" t="s">
        <v>99</v>
      </c>
      <c r="H1798" s="123">
        <v>4</v>
      </c>
      <c r="I1798" s="123" t="s">
        <v>92</v>
      </c>
      <c r="J1798" s="123" t="s">
        <v>91</v>
      </c>
      <c r="K1798" s="123" t="s">
        <v>101</v>
      </c>
      <c r="L1798" s="132">
        <v>1718</v>
      </c>
      <c r="M1798" s="132">
        <v>0</v>
      </c>
      <c r="N1798" s="132">
        <v>1.4797717597300814E+19</v>
      </c>
    </row>
    <row r="1799" spans="4:14" ht="15" customHeight="1" x14ac:dyDescent="0.2">
      <c r="D1799" s="130" t="b">
        <v>0</v>
      </c>
      <c r="E1799" s="124" t="s">
        <v>96</v>
      </c>
      <c r="F1799" s="125" t="s">
        <v>96</v>
      </c>
      <c r="G1799" s="125" t="s">
        <v>99</v>
      </c>
      <c r="H1799" s="123" t="s">
        <v>98</v>
      </c>
      <c r="I1799" s="123" t="s">
        <v>95</v>
      </c>
      <c r="J1799" s="123" t="s">
        <v>96</v>
      </c>
      <c r="K1799" s="123" t="s">
        <v>93</v>
      </c>
      <c r="L1799" s="132">
        <v>1719</v>
      </c>
      <c r="M1799" s="132">
        <v>0</v>
      </c>
      <c r="N1799" s="132">
        <v>3.628640536253803E+18</v>
      </c>
    </row>
    <row r="1800" spans="4:14" ht="15" customHeight="1" x14ac:dyDescent="0.2">
      <c r="D1800" s="130" t="b">
        <v>0</v>
      </c>
      <c r="E1800" s="124" t="s">
        <v>96</v>
      </c>
      <c r="F1800" s="125" t="s">
        <v>96</v>
      </c>
      <c r="G1800" s="125" t="s">
        <v>99</v>
      </c>
      <c r="H1800" s="123" t="s">
        <v>98</v>
      </c>
      <c r="I1800" s="123" t="s">
        <v>95</v>
      </c>
      <c r="J1800" s="123" t="s">
        <v>97</v>
      </c>
      <c r="K1800" s="123" t="s">
        <v>100</v>
      </c>
      <c r="L1800" s="132">
        <v>1720</v>
      </c>
      <c r="M1800" s="132">
        <v>0</v>
      </c>
      <c r="N1800" s="132">
        <v>5.3291995346809088E+18</v>
      </c>
    </row>
    <row r="1801" spans="4:14" ht="15" customHeight="1" x14ac:dyDescent="0.2">
      <c r="D1801" s="130" t="b">
        <v>0</v>
      </c>
      <c r="E1801" s="124" t="s">
        <v>96</v>
      </c>
      <c r="F1801" s="125" t="s">
        <v>96</v>
      </c>
      <c r="G1801" s="125" t="s">
        <v>99</v>
      </c>
      <c r="H1801" s="123" t="s">
        <v>98</v>
      </c>
      <c r="I1801" s="123" t="s">
        <v>95</v>
      </c>
      <c r="J1801" s="123" t="s">
        <v>91</v>
      </c>
      <c r="K1801" s="123" t="s">
        <v>102</v>
      </c>
      <c r="L1801" s="132">
        <v>1721</v>
      </c>
      <c r="M1801" s="132">
        <v>0</v>
      </c>
      <c r="N1801" s="132">
        <v>1.4054464075268798E+19</v>
      </c>
    </row>
    <row r="1802" spans="4:14" ht="15" customHeight="1" x14ac:dyDescent="0.2">
      <c r="D1802" s="130" t="b">
        <v>0</v>
      </c>
      <c r="E1802" s="124" t="s">
        <v>96</v>
      </c>
      <c r="F1802" s="125" t="s">
        <v>96</v>
      </c>
      <c r="G1802" s="125" t="s">
        <v>99</v>
      </c>
      <c r="H1802" s="123" t="s">
        <v>98</v>
      </c>
      <c r="I1802" s="123" t="s">
        <v>97</v>
      </c>
      <c r="J1802" s="123" t="s">
        <v>96</v>
      </c>
      <c r="K1802" s="123" t="s">
        <v>93</v>
      </c>
      <c r="L1802" s="132">
        <v>1722</v>
      </c>
      <c r="M1802" s="132">
        <v>0</v>
      </c>
      <c r="N1802" s="132">
        <v>1.2031515770448378E+19</v>
      </c>
    </row>
    <row r="1803" spans="4:14" ht="15" customHeight="1" x14ac:dyDescent="0.2">
      <c r="D1803" s="130" t="b">
        <v>0</v>
      </c>
      <c r="E1803" s="124" t="s">
        <v>96</v>
      </c>
      <c r="F1803" s="125" t="s">
        <v>96</v>
      </c>
      <c r="G1803" s="125" t="s">
        <v>99</v>
      </c>
      <c r="H1803" s="123" t="s">
        <v>98</v>
      </c>
      <c r="I1803" s="123" t="s">
        <v>97</v>
      </c>
      <c r="J1803" s="123" t="s">
        <v>97</v>
      </c>
      <c r="K1803" s="123" t="s">
        <v>102</v>
      </c>
      <c r="L1803" s="132">
        <v>1723</v>
      </c>
      <c r="M1803" s="132">
        <v>0</v>
      </c>
      <c r="N1803" s="132">
        <v>1.2275367667122522E+19</v>
      </c>
    </row>
    <row r="1804" spans="4:14" ht="15" customHeight="1" x14ac:dyDescent="0.2">
      <c r="D1804" s="130" t="b">
        <v>0</v>
      </c>
      <c r="E1804" s="124" t="s">
        <v>96</v>
      </c>
      <c r="F1804" s="125" t="s">
        <v>96</v>
      </c>
      <c r="G1804" s="125" t="s">
        <v>99</v>
      </c>
      <c r="H1804" s="123" t="s">
        <v>98</v>
      </c>
      <c r="I1804" s="123" t="s">
        <v>97</v>
      </c>
      <c r="J1804" s="123" t="s">
        <v>91</v>
      </c>
      <c r="K1804" s="123" t="s">
        <v>101</v>
      </c>
      <c r="L1804" s="132">
        <v>1724</v>
      </c>
      <c r="M1804" s="132">
        <v>0</v>
      </c>
      <c r="N1804" s="132">
        <v>4.5743817418523566E+18</v>
      </c>
    </row>
    <row r="1805" spans="4:14" ht="15" customHeight="1" x14ac:dyDescent="0.2">
      <c r="D1805" s="130" t="b">
        <v>0</v>
      </c>
      <c r="E1805" s="124" t="s">
        <v>96</v>
      </c>
      <c r="F1805" s="125" t="s">
        <v>96</v>
      </c>
      <c r="G1805" s="125" t="s">
        <v>99</v>
      </c>
      <c r="H1805" s="123" t="s">
        <v>98</v>
      </c>
      <c r="I1805" s="123" t="s">
        <v>92</v>
      </c>
      <c r="J1805" s="123" t="s">
        <v>96</v>
      </c>
      <c r="K1805" s="123" t="s">
        <v>93</v>
      </c>
      <c r="L1805" s="132">
        <v>1725</v>
      </c>
      <c r="M1805" s="132">
        <v>0</v>
      </c>
      <c r="N1805" s="132">
        <v>1.6294640081152397E+18</v>
      </c>
    </row>
    <row r="1806" spans="4:14" ht="15" customHeight="1" x14ac:dyDescent="0.2">
      <c r="D1806" s="130" t="b">
        <v>0</v>
      </c>
      <c r="E1806" s="124" t="s">
        <v>96</v>
      </c>
      <c r="F1806" s="125" t="s">
        <v>96</v>
      </c>
      <c r="G1806" s="125" t="s">
        <v>99</v>
      </c>
      <c r="H1806" s="123" t="s">
        <v>98</v>
      </c>
      <c r="I1806" s="123" t="s">
        <v>92</v>
      </c>
      <c r="J1806" s="123" t="s">
        <v>97</v>
      </c>
      <c r="K1806" s="123" t="s">
        <v>102</v>
      </c>
      <c r="L1806" s="132">
        <v>1726</v>
      </c>
      <c r="M1806" s="132">
        <v>0</v>
      </c>
      <c r="N1806" s="132">
        <v>1.6822785150654202E+19</v>
      </c>
    </row>
    <row r="1807" spans="4:14" ht="15" customHeight="1" x14ac:dyDescent="0.2">
      <c r="D1807" s="131" t="b">
        <v>0</v>
      </c>
      <c r="E1807" s="126" t="s">
        <v>96</v>
      </c>
      <c r="F1807" s="127" t="s">
        <v>96</v>
      </c>
      <c r="G1807" s="127" t="s">
        <v>99</v>
      </c>
      <c r="H1807" s="123" t="s">
        <v>98</v>
      </c>
      <c r="I1807" s="123" t="s">
        <v>92</v>
      </c>
      <c r="J1807" s="123" t="s">
        <v>91</v>
      </c>
      <c r="K1807" s="123" t="s">
        <v>101</v>
      </c>
      <c r="L1807" s="132">
        <v>1727</v>
      </c>
      <c r="M1807" s="132">
        <v>0</v>
      </c>
      <c r="N1807" s="132">
        <v>1.5033202833957761E+19</v>
      </c>
    </row>
  </sheetData>
  <mergeCells count="1">
    <mergeCell ref="E7:F7"/>
  </mergeCells>
  <phoneticPr fontId="33" type="noConversion"/>
  <conditionalFormatting sqref="E23:G30 E36:G40 E46:G54">
    <cfRule type="cellIs" dxfId="108" priority="22" operator="equal">
      <formula>0</formula>
    </cfRule>
  </conditionalFormatting>
  <conditionalFormatting sqref="D80:D1807">
    <cfRule type="cellIs" dxfId="107" priority="21" operator="notEqual">
      <formula>FALSE</formula>
    </cfRule>
  </conditionalFormatting>
  <conditionalFormatting sqref="E17:K17">
    <cfRule type="cellIs" dxfId="106" priority="15" operator="notEqual">
      <formula>"Note"</formula>
    </cfRule>
  </conditionalFormatting>
  <conditionalFormatting sqref="E24:G26">
    <cfRule type="colorScale" priority="17">
      <colorScale>
        <cfvo type="num" val="0"/>
        <cfvo type="num" val="0.2"/>
        <color rgb="FF000000"/>
        <color rgb="FF7A0000"/>
      </colorScale>
    </cfRule>
  </conditionalFormatting>
  <conditionalFormatting sqref="D79 D58:D65">
    <cfRule type="duplicateValues" dxfId="105" priority="16"/>
  </conditionalFormatting>
  <conditionalFormatting sqref="E15:K15">
    <cfRule type="cellIs" dxfId="104" priority="14" operator="notEqual">
      <formula>"Definition"</formula>
    </cfRule>
  </conditionalFormatting>
  <conditionalFormatting sqref="E7">
    <cfRule type="cellIs" dxfId="103" priority="13" operator="notEqual">
      <formula>"Dataset Description"</formula>
    </cfRule>
  </conditionalFormatting>
  <conditionalFormatting sqref="E58:G65">
    <cfRule type="cellIs" dxfId="102" priority="19" operator="notEqual">
      <formula>FALSE</formula>
    </cfRule>
  </conditionalFormatting>
  <conditionalFormatting sqref="E12:E13">
    <cfRule type="colorScale" priority="4">
      <colorScale>
        <cfvo type="num" val="0"/>
        <cfvo type="num" val="0.2"/>
        <color theme="1" tint="-0.499984740745262"/>
        <color rgb="FF7A0000"/>
      </colorScale>
    </cfRule>
  </conditionalFormatting>
  <conditionalFormatting sqref="H23:K30 H36:K40 H46:K54">
    <cfRule type="cellIs" dxfId="35" priority="3" operator="equal">
      <formula>0</formula>
    </cfRule>
  </conditionalFormatting>
  <conditionalFormatting sqref="H24:K26">
    <cfRule type="colorScale" priority="1">
      <colorScale>
        <cfvo type="num" val="0"/>
        <cfvo type="num" val="0.2"/>
        <color rgb="FF000000"/>
        <color rgb="FF7A0000"/>
      </colorScale>
    </cfRule>
  </conditionalFormatting>
  <conditionalFormatting sqref="H58:K65">
    <cfRule type="cellIs" dxfId="34" priority="2" operator="notEqual">
      <formula>FALSE</formula>
    </cfRule>
  </conditionalFormatting>
  <pageMargins left="0.7" right="0.7" top="0.75" bottom="0.75" header="0.3" footer="0.3"/>
  <pageSetup orientation="portrait" r:id="rId1"/>
  <drawing r:id="rId2"/>
  <tableParts count="1">
    <tablePart r:id="rId3"/>
  </tablePart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E11A04D-ED8D-4020-BF94-4BC59283B45E}">
  <sheetPr codeName="Sheet1">
    <tabColor rgb="FF000000"/>
  </sheetPr>
  <dimension ref="A1:AA18"/>
  <sheetViews>
    <sheetView topLeftCell="A2" zoomScaleNormal="100" workbookViewId="0">
      <selection activeCell="B11" sqref="B11"/>
    </sheetView>
  </sheetViews>
  <sheetFormatPr baseColWidth="10" defaultColWidth="8.83203125" defaultRowHeight="15" customHeight="1" x14ac:dyDescent="0.2"/>
  <cols>
    <col min="1" max="1" width="2.6640625" customWidth="1"/>
    <col min="2" max="2" width="32" customWidth="1"/>
    <col min="3" max="3" width="42.33203125" customWidth="1"/>
    <col min="4" max="4" width="45.5" customWidth="1"/>
    <col min="5" max="5" width="17.6640625" customWidth="1"/>
    <col min="6" max="7" width="15.83203125" customWidth="1"/>
    <col min="8" max="8" width="17.6640625" customWidth="1"/>
    <col min="9" max="9" width="15.6640625" customWidth="1"/>
    <col min="10" max="16" width="13.5" customWidth="1"/>
    <col min="17" max="17" width="19" customWidth="1"/>
    <col min="18" max="27" width="13.5" customWidth="1"/>
  </cols>
  <sheetData>
    <row r="1" spans="1:27" ht="20" hidden="1" customHeight="1" x14ac:dyDescent="0.2">
      <c r="A1" s="17"/>
      <c r="B1" s="18" t="s">
        <v>0</v>
      </c>
      <c r="C1" s="18"/>
      <c r="D1" s="18"/>
      <c r="E1" s="18"/>
      <c r="F1" s="18"/>
      <c r="G1" s="18"/>
      <c r="H1" s="18"/>
      <c r="I1" s="18"/>
      <c r="J1" s="18"/>
      <c r="K1" s="18"/>
      <c r="L1" s="18"/>
      <c r="M1" s="18"/>
      <c r="N1" s="18"/>
      <c r="O1" s="18"/>
      <c r="P1" s="18"/>
      <c r="Q1" s="18"/>
      <c r="R1" s="18"/>
      <c r="S1" s="18"/>
      <c r="T1" s="18"/>
      <c r="U1" s="18"/>
      <c r="V1" s="18"/>
      <c r="W1" s="18"/>
      <c r="X1" s="18"/>
      <c r="Y1" s="18"/>
      <c r="Z1" s="18"/>
      <c r="AA1" s="18"/>
    </row>
    <row r="2" spans="1:27" x14ac:dyDescent="0.2"/>
    <row r="3" spans="1:27" ht="36.5" customHeight="1" x14ac:dyDescent="0.2">
      <c r="B3" s="7" t="s">
        <v>79</v>
      </c>
      <c r="AA3" s="5"/>
    </row>
    <row r="4" spans="1:27" ht="10.25" customHeight="1" x14ac:dyDescent="0.2">
      <c r="AA4" s="5"/>
    </row>
    <row r="5" spans="1:27" ht="15" customHeight="1" x14ac:dyDescent="0.2">
      <c r="B5" s="31" t="s">
        <v>6</v>
      </c>
      <c r="C5" s="28">
        <v>1728</v>
      </c>
      <c r="AA5" s="6"/>
    </row>
    <row r="6" spans="1:27" ht="15" customHeight="1" x14ac:dyDescent="0.2">
      <c r="B6" s="30" t="s">
        <v>53</v>
      </c>
      <c r="C6" s="29">
        <v>7</v>
      </c>
    </row>
    <row r="7" spans="1:27" ht="15" customHeight="1" x14ac:dyDescent="0.2">
      <c r="B7" s="30" t="s">
        <v>12</v>
      </c>
      <c r="C7" s="29" t="s">
        <v>89</v>
      </c>
    </row>
    <row r="8" spans="1:27" ht="15" customHeight="1" x14ac:dyDescent="0.2">
      <c r="B8" s="30" t="s">
        <v>54</v>
      </c>
      <c r="C8" s="49">
        <v>1</v>
      </c>
    </row>
    <row r="9" spans="1:27" ht="15" customHeight="1" x14ac:dyDescent="0.2">
      <c r="B9" s="32" t="s">
        <v>55</v>
      </c>
      <c r="C9" s="50">
        <v>0</v>
      </c>
      <c r="D9" s="4"/>
    </row>
    <row r="10" spans="1:27" ht="24" customHeight="1" x14ac:dyDescent="0.2"/>
    <row r="11" spans="1:27" ht="40.25" customHeight="1" x14ac:dyDescent="0.2">
      <c r="B11" s="104" t="s">
        <v>39</v>
      </c>
      <c r="C11" s="104" t="s">
        <v>40</v>
      </c>
      <c r="D11" s="104" t="s">
        <v>1</v>
      </c>
      <c r="E11" s="105" t="s">
        <v>8</v>
      </c>
      <c r="F11" s="105" t="s">
        <v>9</v>
      </c>
      <c r="G11" s="105" t="s">
        <v>10</v>
      </c>
      <c r="H11" s="105" t="s">
        <v>11</v>
      </c>
      <c r="I11" s="105" t="s">
        <v>12</v>
      </c>
      <c r="J11" s="105" t="s">
        <v>13</v>
      </c>
      <c r="K11" s="105" t="s">
        <v>14</v>
      </c>
      <c r="L11" s="105" t="s">
        <v>41</v>
      </c>
      <c r="M11" s="105" t="s">
        <v>15</v>
      </c>
      <c r="N11" s="105" t="s">
        <v>17</v>
      </c>
      <c r="O11" s="105" t="s">
        <v>18</v>
      </c>
      <c r="P11" s="105" t="s">
        <v>19</v>
      </c>
      <c r="Q11" s="105" t="s">
        <v>20</v>
      </c>
      <c r="R11" s="105" t="s">
        <v>21</v>
      </c>
      <c r="S11" s="105" t="s">
        <v>23</v>
      </c>
      <c r="T11" s="119" t="s">
        <v>42</v>
      </c>
      <c r="U11" s="119" t="s">
        <v>43</v>
      </c>
      <c r="V11" s="119" t="s">
        <v>44</v>
      </c>
      <c r="W11" s="119" t="s">
        <v>45</v>
      </c>
      <c r="X11" s="119" t="s">
        <v>46</v>
      </c>
      <c r="Y11" s="105" t="s">
        <v>24</v>
      </c>
      <c r="Z11" s="105" t="s">
        <v>25</v>
      </c>
      <c r="AA11" s="105" t="s">
        <v>26</v>
      </c>
    </row>
    <row r="12" spans="1:27" ht="15" customHeight="1" x14ac:dyDescent="0.2">
      <c r="B12" s="43" t="s">
        <v>80</v>
      </c>
      <c r="C12" s="51" t="str">
        <f>IF(INDEX('Field Analysis'!Definitions,1,MATCH(tbl_Overview[[#This Row],[Field]],'Field Analysis'!Headers,0))="Definition","",INDEX('Field Analysis'!Definitions,1,MATCH(tbl_Overview[[#This Row],[Field]],'Field Analysis'!Headers,0)))</f>
        <v/>
      </c>
      <c r="D12" s="51" t="str">
        <f>IF(INDEX('Field Analysis'!Notes,1,MATCH(tbl_Overview[[#This Row],[Field]],'Field Analysis'!Headers,0))="Note","",INDEX('Field Analysis'!Notes,1,MATCH(tbl_Overview[[#This Row],[Field]],'Field Analysis'!Headers,0)))</f>
        <v/>
      </c>
      <c r="E12" s="44" t="s">
        <v>90</v>
      </c>
      <c r="F12" s="48">
        <v>2.3148148148148099E-3</v>
      </c>
      <c r="G12" s="48">
        <v>0</v>
      </c>
      <c r="H12" s="48">
        <v>0.13511111111111099</v>
      </c>
      <c r="I12" s="45">
        <v>20520</v>
      </c>
      <c r="J12" s="45">
        <v>4</v>
      </c>
      <c r="K12" s="45">
        <v>1728</v>
      </c>
      <c r="L12" s="46">
        <v>1</v>
      </c>
      <c r="M12" s="45">
        <v>0</v>
      </c>
      <c r="N12" s="47"/>
      <c r="O12" s="47"/>
      <c r="P12" s="47" t="s">
        <v>91</v>
      </c>
      <c r="Q12" s="47"/>
      <c r="R12" s="47"/>
      <c r="S12" s="47"/>
      <c r="T12" s="47"/>
      <c r="U12" s="47"/>
      <c r="V12" s="47"/>
      <c r="W12" s="47"/>
      <c r="X12" s="47"/>
      <c r="Y12" s="47"/>
      <c r="Z12" s="47"/>
      <c r="AA12" s="47"/>
    </row>
    <row r="13" spans="1:27" ht="15" customHeight="1" x14ac:dyDescent="0.2">
      <c r="B13" s="106" t="s">
        <v>81</v>
      </c>
      <c r="C13" s="51" t="str">
        <f>IF(INDEX('Field Analysis'!Definitions,1,MATCH(tbl_Overview[[#This Row],[Field]],'Field Analysis'!Headers,0))="Definition","",INDEX('Field Analysis'!Definitions,1,MATCH(tbl_Overview[[#This Row],[Field]],'Field Analysis'!Headers,0)))</f>
        <v/>
      </c>
      <c r="D13" s="51" t="str">
        <f>IF(INDEX('Field Analysis'!Notes,1,MATCH(tbl_Overview[[#This Row],[Field]],'Field Analysis'!Headers,0))="Note","",INDEX('Field Analysis'!Notes,1,MATCH(tbl_Overview[[#This Row],[Field]],'Field Analysis'!Headers,0)))</f>
        <v/>
      </c>
      <c r="E13" s="107" t="s">
        <v>90</v>
      </c>
      <c r="F13" s="108">
        <v>2.3148148148148099E-3</v>
      </c>
      <c r="G13" s="108">
        <v>0</v>
      </c>
      <c r="H13" s="108">
        <v>0.13511111111111099</v>
      </c>
      <c r="I13" s="109">
        <v>20520</v>
      </c>
      <c r="J13" s="109">
        <v>4</v>
      </c>
      <c r="K13" s="109">
        <v>1728</v>
      </c>
      <c r="L13" s="110">
        <v>1</v>
      </c>
      <c r="M13" s="109">
        <v>0</v>
      </c>
      <c r="N13" s="111"/>
      <c r="O13" s="111"/>
      <c r="P13" s="111" t="s">
        <v>91</v>
      </c>
      <c r="Q13" s="111"/>
      <c r="R13" s="111"/>
      <c r="S13" s="111"/>
      <c r="T13" s="111"/>
      <c r="U13" s="111"/>
      <c r="V13" s="111"/>
      <c r="W13" s="111"/>
      <c r="X13" s="111"/>
      <c r="Y13" s="111"/>
      <c r="Z13" s="111"/>
      <c r="AA13" s="111"/>
    </row>
    <row r="14" spans="1:27" ht="15" customHeight="1" x14ac:dyDescent="0.2">
      <c r="B14" s="106" t="s">
        <v>82</v>
      </c>
      <c r="C14" s="51" t="str">
        <f>IF(INDEX('Field Analysis'!Definitions,1,MATCH(tbl_Overview[[#This Row],[Field]],'Field Analysis'!Headers,0))="Definition","",INDEX('Field Analysis'!Definitions,1,MATCH(tbl_Overview[[#This Row],[Field]],'Field Analysis'!Headers,0)))</f>
        <v/>
      </c>
      <c r="D14" s="51" t="str">
        <f>IF(INDEX('Field Analysis'!Notes,1,MATCH(tbl_Overview[[#This Row],[Field]],'Field Analysis'!Headers,0))="Note","",INDEX('Field Analysis'!Notes,1,MATCH(tbl_Overview[[#This Row],[Field]],'Field Analysis'!Headers,0)))</f>
        <v/>
      </c>
      <c r="E14" s="107" t="s">
        <v>90</v>
      </c>
      <c r="F14" s="108">
        <v>2.3148148148148099E-3</v>
      </c>
      <c r="G14" s="108">
        <v>0</v>
      </c>
      <c r="H14" s="108">
        <v>0.1152</v>
      </c>
      <c r="I14" s="109">
        <v>17496</v>
      </c>
      <c r="J14" s="109">
        <v>4</v>
      </c>
      <c r="K14" s="109">
        <v>1728</v>
      </c>
      <c r="L14" s="110">
        <v>1</v>
      </c>
      <c r="M14" s="109">
        <v>0</v>
      </c>
      <c r="N14" s="111"/>
      <c r="O14" s="111"/>
      <c r="P14" s="111">
        <v>2</v>
      </c>
      <c r="Q14" s="111"/>
      <c r="R14" s="111"/>
      <c r="S14" s="111"/>
      <c r="T14" s="111"/>
      <c r="U14" s="111"/>
      <c r="V14" s="111"/>
      <c r="W14" s="111"/>
      <c r="X14" s="111"/>
      <c r="Y14" s="111"/>
      <c r="Z14" s="111"/>
      <c r="AA14" s="111"/>
    </row>
    <row r="15" spans="1:27" ht="15" customHeight="1" x14ac:dyDescent="0.2">
      <c r="B15" s="106" t="s">
        <v>83</v>
      </c>
      <c r="C15" s="51" t="str">
        <f>IF(INDEX('Field Analysis'!Definitions,1,MATCH(tbl_Overview[[#This Row],[Field]],'Field Analysis'!Headers,0))="Definition","",INDEX('Field Analysis'!Definitions,1,MATCH(tbl_Overview[[#This Row],[Field]],'Field Analysis'!Headers,0)))</f>
        <v/>
      </c>
      <c r="D15" s="51" t="str">
        <f>IF(INDEX('Field Analysis'!Notes,1,MATCH(tbl_Overview[[#This Row],[Field]],'Field Analysis'!Headers,0))="Note","",INDEX('Field Analysis'!Notes,1,MATCH(tbl_Overview[[#This Row],[Field]],'Field Analysis'!Headers,0)))</f>
        <v/>
      </c>
      <c r="E15" s="107" t="s">
        <v>90</v>
      </c>
      <c r="F15" s="108">
        <v>1.7361111111111099E-3</v>
      </c>
      <c r="G15" s="108">
        <v>0</v>
      </c>
      <c r="H15" s="108">
        <v>0.1152</v>
      </c>
      <c r="I15" s="109">
        <v>17496</v>
      </c>
      <c r="J15" s="109">
        <v>3</v>
      </c>
      <c r="K15" s="109">
        <v>1728</v>
      </c>
      <c r="L15" s="110">
        <v>1</v>
      </c>
      <c r="M15" s="109">
        <v>0</v>
      </c>
      <c r="N15" s="111"/>
      <c r="O15" s="111"/>
      <c r="P15" s="111">
        <v>2</v>
      </c>
      <c r="Q15" s="111"/>
      <c r="R15" s="111"/>
      <c r="S15" s="111"/>
      <c r="T15" s="111"/>
      <c r="U15" s="111"/>
      <c r="V15" s="111"/>
      <c r="W15" s="111"/>
      <c r="X15" s="111"/>
      <c r="Y15" s="111"/>
      <c r="Z15" s="111"/>
      <c r="AA15" s="111"/>
    </row>
    <row r="16" spans="1:27" ht="15" customHeight="1" x14ac:dyDescent="0.2">
      <c r="B16" s="106" t="s">
        <v>84</v>
      </c>
      <c r="C16" s="51" t="str">
        <f>IF(INDEX('Field Analysis'!Definitions,1,MATCH(tbl_Overview[[#This Row],[Field]],'Field Analysis'!Headers,0))="Definition","",INDEX('Field Analysis'!Definitions,1,MATCH(tbl_Overview[[#This Row],[Field]],'Field Analysis'!Headers,0)))</f>
        <v/>
      </c>
      <c r="D16" s="51" t="str">
        <f>IF(INDEX('Field Analysis'!Notes,1,MATCH(tbl_Overview[[#This Row],[Field]],'Field Analysis'!Headers,0))="Note","",INDEX('Field Analysis'!Notes,1,MATCH(tbl_Overview[[#This Row],[Field]],'Field Analysis'!Headers,0)))</f>
        <v/>
      </c>
      <c r="E16" s="107" t="s">
        <v>90</v>
      </c>
      <c r="F16" s="108">
        <v>1.7361111111111099E-3</v>
      </c>
      <c r="G16" s="108">
        <v>0</v>
      </c>
      <c r="H16" s="108">
        <v>0.13416296296296201</v>
      </c>
      <c r="I16" s="109">
        <v>20376</v>
      </c>
      <c r="J16" s="109">
        <v>3</v>
      </c>
      <c r="K16" s="109">
        <v>1728</v>
      </c>
      <c r="L16" s="110">
        <v>1</v>
      </c>
      <c r="M16" s="109">
        <v>0</v>
      </c>
      <c r="N16" s="111"/>
      <c r="O16" s="111"/>
      <c r="P16" s="111" t="s">
        <v>92</v>
      </c>
      <c r="Q16" s="111"/>
      <c r="R16" s="111"/>
      <c r="S16" s="111"/>
      <c r="T16" s="111"/>
      <c r="U16" s="111"/>
      <c r="V16" s="111"/>
      <c r="W16" s="111"/>
      <c r="X16" s="111"/>
      <c r="Y16" s="111"/>
      <c r="Z16" s="111"/>
      <c r="AA16" s="111"/>
    </row>
    <row r="17" spans="2:27" ht="15" customHeight="1" x14ac:dyDescent="0.2">
      <c r="B17" s="106" t="s">
        <v>85</v>
      </c>
      <c r="C17" s="51" t="str">
        <f>IF(INDEX('Field Analysis'!Definitions,1,MATCH(tbl_Overview[[#This Row],[Field]],'Field Analysis'!Headers,0))="Definition","",INDEX('Field Analysis'!Definitions,1,MATCH(tbl_Overview[[#This Row],[Field]],'Field Analysis'!Headers,0)))</f>
        <v/>
      </c>
      <c r="D17" s="51" t="str">
        <f>IF(INDEX('Field Analysis'!Notes,1,MATCH(tbl_Overview[[#This Row],[Field]],'Field Analysis'!Headers,0))="Note","",INDEX('Field Analysis'!Notes,1,MATCH(tbl_Overview[[#This Row],[Field]],'Field Analysis'!Headers,0)))</f>
        <v/>
      </c>
      <c r="E17" s="107" t="s">
        <v>90</v>
      </c>
      <c r="F17" s="108">
        <v>1.7361111111111099E-3</v>
      </c>
      <c r="G17" s="108">
        <v>0</v>
      </c>
      <c r="H17" s="108">
        <v>0.13037037037037</v>
      </c>
      <c r="I17" s="109">
        <v>19800</v>
      </c>
      <c r="J17" s="109">
        <v>3</v>
      </c>
      <c r="K17" s="109">
        <v>1728</v>
      </c>
      <c r="L17" s="110">
        <v>1</v>
      </c>
      <c r="M17" s="109">
        <v>0</v>
      </c>
      <c r="N17" s="111"/>
      <c r="O17" s="111"/>
      <c r="P17" s="111" t="s">
        <v>91</v>
      </c>
      <c r="Q17" s="111"/>
      <c r="R17" s="111"/>
      <c r="S17" s="111"/>
      <c r="T17" s="111"/>
      <c r="U17" s="111"/>
      <c r="V17" s="111"/>
      <c r="W17" s="111"/>
      <c r="X17" s="111"/>
      <c r="Y17" s="111"/>
      <c r="Z17" s="111"/>
      <c r="AA17" s="111"/>
    </row>
    <row r="18" spans="2:27" ht="15" customHeight="1" x14ac:dyDescent="0.2">
      <c r="B18" s="112" t="s">
        <v>86</v>
      </c>
      <c r="C18" s="113" t="str">
        <f>IF(INDEX('Field Analysis'!Definitions,1,MATCH(tbl_Overview[[#This Row],[Field]],'Field Analysis'!Headers,0))="Definition","",INDEX('Field Analysis'!Definitions,1,MATCH(tbl_Overview[[#This Row],[Field]],'Field Analysis'!Headers,0)))</f>
        <v/>
      </c>
      <c r="D18" s="113" t="str">
        <f>IF(INDEX('Field Analysis'!Notes,1,MATCH(tbl_Overview[[#This Row],[Field]],'Field Analysis'!Headers,0))="Note","",INDEX('Field Analysis'!Notes,1,MATCH(tbl_Overview[[#This Row],[Field]],'Field Analysis'!Headers,0)))</f>
        <v/>
      </c>
      <c r="E18" s="114" t="s">
        <v>90</v>
      </c>
      <c r="F18" s="115">
        <v>2.3148148148148099E-3</v>
      </c>
      <c r="G18" s="115">
        <v>0</v>
      </c>
      <c r="H18" s="115">
        <v>0.14382222222222199</v>
      </c>
      <c r="I18" s="116">
        <v>21843</v>
      </c>
      <c r="J18" s="116">
        <v>4</v>
      </c>
      <c r="K18" s="116">
        <v>1728</v>
      </c>
      <c r="L18" s="117">
        <v>1</v>
      </c>
      <c r="M18" s="116">
        <v>0</v>
      </c>
      <c r="N18" s="118"/>
      <c r="O18" s="118"/>
      <c r="P18" s="118" t="s">
        <v>93</v>
      </c>
      <c r="Q18" s="118"/>
      <c r="R18" s="118"/>
      <c r="S18" s="118"/>
      <c r="T18" s="118"/>
      <c r="U18" s="118"/>
      <c r="V18" s="118"/>
      <c r="W18" s="118"/>
      <c r="X18" s="118"/>
      <c r="Y18" s="118"/>
      <c r="Z18" s="118"/>
      <c r="AA18" s="118"/>
    </row>
  </sheetData>
  <conditionalFormatting sqref="C8:C9">
    <cfRule type="colorScale" priority="3">
      <colorScale>
        <cfvo type="num" val="0"/>
        <cfvo type="num" val="0.2"/>
        <color theme="1" tint="-0.499984740745262"/>
        <color rgb="FF7A0000"/>
      </colorScale>
    </cfRule>
  </conditionalFormatting>
  <conditionalFormatting sqref="F12:H18">
    <cfRule type="colorScale" priority="1">
      <colorScale>
        <cfvo type="num" val="0"/>
        <cfvo type="num" val="0.2"/>
        <color rgb="FF000000"/>
        <color rgb="FF7A0000"/>
      </colorScale>
    </cfRule>
  </conditionalFormatting>
  <pageMargins left="0.7" right="0.7" top="0.75" bottom="0.75" header="0.3" footer="0.3"/>
  <pageSetup orientation="portrait" r:id="rId1"/>
  <tableParts count="1">
    <tablePart r:id="rId2"/>
  </tablePart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F27489E-9BF4-4F49-A058-98DE18A18804}">
  <sheetPr codeName="Sheet7">
    <tabColor rgb="FF000000"/>
  </sheetPr>
  <dimension ref="A1:Q14"/>
  <sheetViews>
    <sheetView topLeftCell="A2" zoomScaleNormal="100" workbookViewId="0">
      <selection activeCell="C9" sqref="C9"/>
    </sheetView>
  </sheetViews>
  <sheetFormatPr baseColWidth="10" defaultColWidth="8.83203125" defaultRowHeight="15" customHeight="1" x14ac:dyDescent="0.2"/>
  <cols>
    <col min="1" max="2" width="2.6640625" customWidth="1"/>
    <col min="3" max="3" width="10" bestFit="1" customWidth="1"/>
    <col min="4" max="4" width="10.6640625" bestFit="1" customWidth="1"/>
    <col min="5" max="5" width="10.5" bestFit="1" customWidth="1"/>
    <col min="6" max="6" width="12.1640625" bestFit="1" customWidth="1"/>
    <col min="7" max="7" width="13" bestFit="1" customWidth="1"/>
    <col min="8" max="8" width="10.6640625" bestFit="1" customWidth="1"/>
    <col min="9" max="9" width="9.6640625" bestFit="1" customWidth="1"/>
    <col min="10" max="12" width="13.83203125" customWidth="1"/>
    <col min="13" max="16" width="15.5" customWidth="1"/>
  </cols>
  <sheetData>
    <row r="1" spans="1:17" ht="20" hidden="1" customHeight="1" x14ac:dyDescent="0.2">
      <c r="A1" s="17"/>
      <c r="B1" s="18" t="s">
        <v>0</v>
      </c>
      <c r="C1" s="18"/>
      <c r="D1" s="18"/>
      <c r="E1" s="18"/>
      <c r="F1" s="18"/>
      <c r="G1" s="18"/>
      <c r="H1" s="18"/>
      <c r="I1" s="18"/>
      <c r="J1" s="18"/>
      <c r="K1" s="18"/>
      <c r="L1" s="18"/>
      <c r="M1" s="18"/>
      <c r="N1" s="18"/>
      <c r="O1" s="18"/>
      <c r="P1" s="18"/>
      <c r="Q1" s="18"/>
    </row>
    <row r="2" spans="1:17" x14ac:dyDescent="0.2">
      <c r="C2" s="9"/>
      <c r="D2" s="10"/>
    </row>
    <row r="3" spans="1:17" ht="37" x14ac:dyDescent="0.2">
      <c r="C3" s="7" t="str">
        <f>'Field Analysis'!Name</f>
        <v>Car Evaluation</v>
      </c>
      <c r="P3" s="8"/>
    </row>
    <row r="4" spans="1:17" ht="10.25" customHeight="1" x14ac:dyDescent="0.2">
      <c r="D4" s="11"/>
    </row>
    <row r="5" spans="1:17" ht="30" customHeight="1" x14ac:dyDescent="0.2">
      <c r="B5" s="102"/>
      <c r="C5" s="102"/>
      <c r="D5" s="102"/>
      <c r="E5" s="102"/>
      <c r="F5" s="102"/>
      <c r="G5" s="102"/>
      <c r="H5" s="102"/>
      <c r="I5" s="102"/>
      <c r="J5" s="102"/>
      <c r="K5" s="102"/>
      <c r="L5" s="102"/>
      <c r="M5" s="102"/>
      <c r="N5" s="102"/>
      <c r="O5" s="102"/>
      <c r="P5" s="102"/>
      <c r="Q5" s="102"/>
    </row>
    <row r="8" spans="1:17" ht="15" customHeight="1" x14ac:dyDescent="0.2">
      <c r="C8" s="12"/>
    </row>
    <row r="9" spans="1:17" ht="36.5" customHeight="1" x14ac:dyDescent="0.2">
      <c r="C9" s="135" t="s">
        <v>80</v>
      </c>
      <c r="D9" s="134" t="s">
        <v>81</v>
      </c>
      <c r="E9" s="134" t="s">
        <v>82</v>
      </c>
      <c r="F9" s="134" t="s">
        <v>83</v>
      </c>
      <c r="G9" s="134" t="s">
        <v>84</v>
      </c>
      <c r="H9" s="134" t="s">
        <v>85</v>
      </c>
      <c r="I9" s="134" t="s">
        <v>86</v>
      </c>
      <c r="J9" s="136" t="s">
        <v>47</v>
      </c>
      <c r="K9" s="136" t="s">
        <v>48</v>
      </c>
      <c r="L9" s="136" t="s">
        <v>52</v>
      </c>
    </row>
    <row r="10" spans="1:17" ht="15" customHeight="1" x14ac:dyDescent="0.2">
      <c r="C10" s="133" t="s">
        <v>91</v>
      </c>
      <c r="D10" s="5"/>
      <c r="E10" s="5"/>
      <c r="F10" s="5"/>
      <c r="G10" s="5"/>
      <c r="H10" s="5"/>
      <c r="I10" s="5"/>
      <c r="J10" s="137">
        <v>0</v>
      </c>
      <c r="K10" s="138"/>
      <c r="L10" s="139">
        <v>0.25</v>
      </c>
    </row>
    <row r="11" spans="1:17" ht="15" customHeight="1" x14ac:dyDescent="0.2">
      <c r="C11" s="133" t="s">
        <v>96</v>
      </c>
      <c r="D11" s="5"/>
      <c r="E11" s="5"/>
      <c r="F11" s="5"/>
      <c r="G11" s="5"/>
      <c r="H11" s="5"/>
      <c r="I11" s="5"/>
      <c r="J11" s="137">
        <v>0</v>
      </c>
      <c r="K11" s="138"/>
      <c r="L11" s="139">
        <v>0.25</v>
      </c>
    </row>
    <row r="12" spans="1:17" ht="15" customHeight="1" x14ac:dyDescent="0.2">
      <c r="C12" s="133" t="s">
        <v>97</v>
      </c>
      <c r="D12" s="5"/>
      <c r="E12" s="5"/>
      <c r="F12" s="5"/>
      <c r="G12" s="5"/>
      <c r="H12" s="5"/>
      <c r="I12" s="5"/>
      <c r="J12" s="137">
        <v>0</v>
      </c>
      <c r="K12" s="138"/>
      <c r="L12" s="139">
        <v>0.25</v>
      </c>
    </row>
    <row r="13" spans="1:17" ht="15" customHeight="1" x14ac:dyDescent="0.2">
      <c r="C13" s="133" t="s">
        <v>94</v>
      </c>
      <c r="D13" s="5"/>
      <c r="E13" s="5"/>
      <c r="F13" s="5"/>
      <c r="G13" s="5"/>
      <c r="H13" s="5"/>
      <c r="I13" s="5"/>
      <c r="J13" s="137">
        <v>0</v>
      </c>
      <c r="K13" s="138"/>
      <c r="L13" s="139">
        <v>0.25</v>
      </c>
    </row>
    <row r="14" spans="1:17" ht="15" customHeight="1" x14ac:dyDescent="0.2">
      <c r="C14" s="133" t="s">
        <v>103</v>
      </c>
      <c r="D14" s="5"/>
      <c r="E14" s="5"/>
      <c r="F14" s="5"/>
      <c r="G14" s="5"/>
      <c r="H14" s="5"/>
      <c r="I14" s="5"/>
      <c r="J14" s="137">
        <v>0</v>
      </c>
      <c r="K14" s="138"/>
      <c r="L14" s="139">
        <v>1</v>
      </c>
    </row>
  </sheetData>
  <conditionalFormatting pivot="1" sqref="J10:J14">
    <cfRule type="colorScale" priority="2">
      <colorScale>
        <cfvo type="num" val="0"/>
        <cfvo type="num" val="0.2"/>
        <color rgb="FF262626"/>
        <color rgb="FF7A0000"/>
      </colorScale>
    </cfRule>
  </conditionalFormatting>
  <conditionalFormatting pivot="1" sqref="K10:K14">
    <cfRule type="colorScale" priority="1">
      <colorScale>
        <cfvo type="num" val="0"/>
        <cfvo type="num" val="0.2"/>
        <color rgb="FF262626"/>
        <color rgb="FF7A0000"/>
      </colorScale>
    </cfRule>
  </conditionalFormatting>
  <pageMargins left="0.7" right="0.7" top="0.75" bottom="0.75" header="0.3" footer="0.3"/>
  <pageSetup orientation="portrait" r:id="rId2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D02D501-8991-47EC-AA6F-76EFC6E8946C}">
  <sheetPr codeName="Sheet3">
    <tabColor rgb="FF5D1955"/>
  </sheetPr>
  <dimension ref="B1:Y49"/>
  <sheetViews>
    <sheetView zoomScaleNormal="100" workbookViewId="0">
      <selection activeCell="C34" sqref="C34"/>
    </sheetView>
  </sheetViews>
  <sheetFormatPr baseColWidth="10" defaultColWidth="8.83203125" defaultRowHeight="15" outlineLevelRow="1" x14ac:dyDescent="0.2"/>
  <cols>
    <col min="1" max="1" width="6.5" customWidth="1"/>
    <col min="2" max="2" width="2.83203125" customWidth="1"/>
    <col min="3" max="4" width="25.83203125" style="69" customWidth="1"/>
    <col min="5" max="5" width="20.83203125" style="69" customWidth="1"/>
    <col min="6" max="11" width="20.83203125" customWidth="1"/>
    <col min="12" max="84" width="24.83203125" customWidth="1"/>
  </cols>
  <sheetData>
    <row r="1" spans="2:12" x14ac:dyDescent="0.2">
      <c r="F1" s="69"/>
      <c r="G1" s="69"/>
      <c r="H1" s="69"/>
      <c r="I1" s="69"/>
      <c r="J1" s="69"/>
      <c r="K1" s="69"/>
    </row>
    <row r="2" spans="2:12" x14ac:dyDescent="0.2">
      <c r="F2" s="69"/>
      <c r="G2" s="69"/>
      <c r="H2" s="69"/>
      <c r="I2" s="69"/>
      <c r="J2" s="69"/>
      <c r="K2" s="69"/>
    </row>
    <row r="3" spans="2:12" ht="37" customHeight="1" x14ac:dyDescent="0.2">
      <c r="B3" s="94" t="s">
        <v>78</v>
      </c>
      <c r="C3" s="95" t="s">
        <v>58</v>
      </c>
      <c r="D3" s="92"/>
      <c r="F3" s="93"/>
      <c r="G3" s="69"/>
      <c r="H3" s="69"/>
      <c r="I3" s="69"/>
      <c r="J3" s="69"/>
      <c r="K3" s="69"/>
    </row>
    <row r="4" spans="2:12" ht="15" hidden="1" customHeight="1" outlineLevel="1" x14ac:dyDescent="0.2">
      <c r="F4" s="69"/>
      <c r="G4" s="69"/>
      <c r="H4" s="69"/>
      <c r="I4" s="69"/>
      <c r="J4" s="69"/>
      <c r="K4" s="69"/>
    </row>
    <row r="5" spans="2:12" ht="10" hidden="1" customHeight="1" outlineLevel="1" x14ac:dyDescent="0.2">
      <c r="B5" s="1"/>
      <c r="C5" s="70"/>
      <c r="D5" s="70"/>
      <c r="F5" s="69"/>
      <c r="G5" s="69"/>
      <c r="H5" s="69"/>
      <c r="I5" s="69"/>
      <c r="J5" s="69"/>
      <c r="K5" s="69"/>
    </row>
    <row r="6" spans="2:12" ht="44" hidden="1" customHeight="1" outlineLevel="1" x14ac:dyDescent="0.2">
      <c r="C6" s="101" t="s">
        <v>59</v>
      </c>
      <c r="D6" s="101"/>
      <c r="F6" s="101" t="s">
        <v>60</v>
      </c>
      <c r="G6" s="101"/>
      <c r="H6" s="69"/>
      <c r="I6" s="97" t="s">
        <v>61</v>
      </c>
      <c r="J6" s="69"/>
      <c r="K6" s="69"/>
    </row>
    <row r="7" spans="2:12" ht="15" hidden="1" customHeight="1" outlineLevel="1" x14ac:dyDescent="0.2">
      <c r="F7" s="69"/>
      <c r="G7" s="69"/>
      <c r="H7" s="69"/>
      <c r="I7" s="69"/>
      <c r="J7" s="69"/>
      <c r="K7" s="69"/>
      <c r="L7" s="59"/>
    </row>
    <row r="8" spans="2:12" ht="30" hidden="1" customHeight="1" outlineLevel="1" x14ac:dyDescent="0.2">
      <c r="C8" s="77" t="s">
        <v>62</v>
      </c>
      <c r="D8" s="79" t="s">
        <v>63</v>
      </c>
      <c r="F8" s="96" t="s">
        <v>76</v>
      </c>
      <c r="G8" s="79" t="s">
        <v>63</v>
      </c>
      <c r="H8" s="69"/>
      <c r="I8" s="77" t="s">
        <v>77</v>
      </c>
      <c r="J8" s="79" t="s">
        <v>63</v>
      </c>
      <c r="K8" s="69"/>
      <c r="L8" s="59"/>
    </row>
    <row r="9" spans="2:12" ht="15" hidden="1" customHeight="1" outlineLevel="1" x14ac:dyDescent="0.2">
      <c r="C9" s="71" t="s">
        <v>104</v>
      </c>
      <c r="D9" s="72" t="s">
        <v>105</v>
      </c>
      <c r="F9" s="82" t="s">
        <v>129</v>
      </c>
      <c r="G9" s="85" t="s">
        <v>79</v>
      </c>
      <c r="H9" s="69"/>
      <c r="I9" s="83" t="s">
        <v>142</v>
      </c>
      <c r="J9" s="84" t="s">
        <v>143</v>
      </c>
      <c r="K9" s="69"/>
      <c r="L9" s="60"/>
    </row>
    <row r="10" spans="2:12" ht="15" hidden="1" customHeight="1" outlineLevel="1" x14ac:dyDescent="0.2">
      <c r="C10" s="71" t="s">
        <v>106</v>
      </c>
      <c r="D10" s="72" t="s">
        <v>107</v>
      </c>
      <c r="F10" s="71" t="s">
        <v>130</v>
      </c>
      <c r="G10" s="86" t="s">
        <v>131</v>
      </c>
      <c r="H10" s="69"/>
      <c r="I10" s="83"/>
      <c r="J10" s="84"/>
      <c r="K10" s="69"/>
    </row>
    <row r="11" spans="2:12" ht="15" hidden="1" customHeight="1" outlineLevel="1" x14ac:dyDescent="0.2">
      <c r="C11" s="71" t="s">
        <v>108</v>
      </c>
      <c r="D11" s="72">
        <v>16</v>
      </c>
      <c r="F11" s="71" t="s">
        <v>132</v>
      </c>
      <c r="G11" s="140" t="s">
        <v>133</v>
      </c>
    </row>
    <row r="12" spans="2:12" ht="15" hidden="1" customHeight="1" outlineLevel="1" x14ac:dyDescent="0.2">
      <c r="C12" s="71" t="s">
        <v>109</v>
      </c>
      <c r="D12" s="72" t="b">
        <v>0</v>
      </c>
      <c r="F12" s="71" t="s">
        <v>134</v>
      </c>
      <c r="G12" s="140" t="s">
        <v>133</v>
      </c>
    </row>
    <row r="13" spans="2:12" ht="15" hidden="1" customHeight="1" outlineLevel="1" x14ac:dyDescent="0.2">
      <c r="C13" s="71" t="s">
        <v>110</v>
      </c>
      <c r="D13" s="72" t="b">
        <v>1</v>
      </c>
      <c r="F13" s="71" t="s">
        <v>135</v>
      </c>
      <c r="G13" s="140" t="b">
        <v>0</v>
      </c>
    </row>
    <row r="14" spans="2:12" ht="15" hidden="1" customHeight="1" outlineLevel="1" x14ac:dyDescent="0.2">
      <c r="C14" s="71" t="s">
        <v>111</v>
      </c>
      <c r="D14" s="72" t="s">
        <v>112</v>
      </c>
      <c r="F14" s="71" t="s">
        <v>136</v>
      </c>
      <c r="G14" s="140" t="b">
        <v>1</v>
      </c>
    </row>
    <row r="15" spans="2:12" ht="15" hidden="1" customHeight="1" outlineLevel="1" x14ac:dyDescent="0.2">
      <c r="C15" s="71" t="s">
        <v>113</v>
      </c>
      <c r="D15" s="72" t="s">
        <v>114</v>
      </c>
      <c r="F15" s="71" t="s">
        <v>137</v>
      </c>
      <c r="G15" s="140" t="s">
        <v>138</v>
      </c>
    </row>
    <row r="16" spans="2:12" ht="15" hidden="1" customHeight="1" outlineLevel="1" x14ac:dyDescent="0.2">
      <c r="C16" s="71" t="s">
        <v>115</v>
      </c>
      <c r="D16" s="72" t="s">
        <v>116</v>
      </c>
      <c r="F16" s="71" t="s">
        <v>139</v>
      </c>
      <c r="G16" s="140" t="b">
        <v>0</v>
      </c>
    </row>
    <row r="17" spans="2:25" ht="15" hidden="1" customHeight="1" outlineLevel="1" x14ac:dyDescent="0.2">
      <c r="C17" s="71" t="s">
        <v>117</v>
      </c>
      <c r="D17" s="72" t="s">
        <v>118</v>
      </c>
      <c r="F17" s="71" t="s">
        <v>140</v>
      </c>
      <c r="G17" s="140" t="b">
        <v>0</v>
      </c>
    </row>
    <row r="18" spans="2:25" ht="15" hidden="1" customHeight="1" outlineLevel="1" x14ac:dyDescent="0.2">
      <c r="C18" s="71" t="s">
        <v>119</v>
      </c>
      <c r="D18" s="72" t="s">
        <v>120</v>
      </c>
      <c r="F18" s="71" t="s">
        <v>141</v>
      </c>
      <c r="G18" s="140" t="b">
        <v>0</v>
      </c>
    </row>
    <row r="19" spans="2:25" ht="15" hidden="1" customHeight="1" outlineLevel="1" x14ac:dyDescent="0.2">
      <c r="B19" s="61"/>
      <c r="C19" s="71" t="s">
        <v>121</v>
      </c>
      <c r="D19" s="72" t="s">
        <v>122</v>
      </c>
      <c r="F19" s="87" t="s">
        <v>109</v>
      </c>
      <c r="G19" s="141" t="b">
        <v>0</v>
      </c>
    </row>
    <row r="20" spans="2:25" ht="15" hidden="1" customHeight="1" outlineLevel="1" x14ac:dyDescent="0.2">
      <c r="C20" s="71" t="s">
        <v>123</v>
      </c>
      <c r="D20" s="72" t="s">
        <v>124</v>
      </c>
    </row>
    <row r="21" spans="2:25" ht="15" hidden="1" customHeight="1" outlineLevel="1" x14ac:dyDescent="0.2">
      <c r="C21" s="71" t="s">
        <v>125</v>
      </c>
      <c r="D21" s="72" t="s">
        <v>126</v>
      </c>
    </row>
    <row r="22" spans="2:25" ht="15" hidden="1" customHeight="1" outlineLevel="1" x14ac:dyDescent="0.2">
      <c r="C22" s="71" t="s">
        <v>127</v>
      </c>
      <c r="D22" s="72">
        <v>187</v>
      </c>
      <c r="K22" s="69"/>
    </row>
    <row r="23" spans="2:25" ht="15" hidden="1" customHeight="1" outlineLevel="1" x14ac:dyDescent="0.2">
      <c r="C23" s="87" t="s">
        <v>128</v>
      </c>
      <c r="D23" s="72">
        <v>23</v>
      </c>
      <c r="K23" s="69"/>
    </row>
    <row r="24" spans="2:25" ht="30" hidden="1" customHeight="1" collapsed="1" x14ac:dyDescent="0.2">
      <c r="B24" s="62"/>
      <c r="C24" s="73"/>
      <c r="E24" s="73"/>
      <c r="K24" s="69"/>
    </row>
    <row r="25" spans="2:25" ht="10" customHeight="1" x14ac:dyDescent="0.2">
      <c r="B25" s="62"/>
      <c r="C25" s="73"/>
      <c r="E25" s="73"/>
      <c r="K25" s="69"/>
    </row>
    <row r="26" spans="2:25" ht="37" customHeight="1" x14ac:dyDescent="0.2">
      <c r="B26" s="26" t="s">
        <v>57</v>
      </c>
      <c r="E26" s="73"/>
      <c r="J26" s="100" t="e" vm="1">
        <v>#VALUE!</v>
      </c>
      <c r="K26" s="69"/>
    </row>
    <row r="27" spans="2:25" ht="15" customHeight="1" x14ac:dyDescent="0.2">
      <c r="B27" s="64"/>
      <c r="F27" s="69"/>
      <c r="G27" s="69"/>
      <c r="H27" s="69"/>
      <c r="I27" s="69"/>
      <c r="J27" s="100"/>
      <c r="K27" s="69"/>
      <c r="Y27" s="59"/>
    </row>
    <row r="28" spans="2:25" ht="15" customHeight="1" x14ac:dyDescent="0.2">
      <c r="C28" s="75" t="s">
        <v>64</v>
      </c>
      <c r="D28" s="66">
        <v>1</v>
      </c>
      <c r="E28" s="74"/>
      <c r="F28" s="69"/>
      <c r="G28" s="69"/>
      <c r="H28" s="69"/>
      <c r="I28" s="69"/>
      <c r="J28" s="69"/>
      <c r="K28" s="69"/>
      <c r="W28" s="64"/>
      <c r="Y28" s="59"/>
    </row>
    <row r="29" spans="2:25" ht="15" customHeight="1" x14ac:dyDescent="0.2">
      <c r="C29" s="75" t="s">
        <v>65</v>
      </c>
      <c r="D29" s="66">
        <v>6.6041946411132812E-5</v>
      </c>
      <c r="E29" s="74"/>
      <c r="F29" s="69"/>
      <c r="G29" s="69"/>
      <c r="H29" s="69"/>
      <c r="I29" s="69"/>
      <c r="J29" s="69"/>
      <c r="K29" s="69"/>
      <c r="X29" s="65"/>
      <c r="Y29" s="60"/>
    </row>
    <row r="30" spans="2:25" ht="15" customHeight="1" x14ac:dyDescent="0.2">
      <c r="C30" s="75" t="s">
        <v>66</v>
      </c>
      <c r="D30" s="67">
        <v>7</v>
      </c>
      <c r="E30" s="74"/>
      <c r="F30" s="69"/>
      <c r="G30" s="69"/>
      <c r="H30" s="69"/>
      <c r="I30" s="69"/>
      <c r="J30" s="69"/>
      <c r="K30" s="69"/>
      <c r="X30" s="65"/>
    </row>
    <row r="31" spans="2:25" ht="15" customHeight="1" x14ac:dyDescent="0.2">
      <c r="C31" s="75" t="s">
        <v>67</v>
      </c>
      <c r="D31" s="67">
        <v>1728</v>
      </c>
      <c r="E31" s="74"/>
      <c r="F31" s="69"/>
      <c r="G31" s="69"/>
      <c r="H31" s="69"/>
      <c r="I31" s="69"/>
      <c r="J31" s="69"/>
      <c r="K31" s="76"/>
      <c r="X31" s="65"/>
    </row>
    <row r="32" spans="2:25" ht="15" customHeight="1" x14ac:dyDescent="0.2">
      <c r="C32" s="75" t="s">
        <v>68</v>
      </c>
      <c r="D32" s="68">
        <v>75.593986988067627</v>
      </c>
      <c r="E32" s="74"/>
      <c r="F32" s="69"/>
      <c r="G32" s="69"/>
      <c r="H32" s="69"/>
      <c r="I32" s="69"/>
      <c r="J32" s="69"/>
      <c r="K32" s="76"/>
      <c r="X32" s="65"/>
    </row>
    <row r="33" spans="2:5" ht="15" customHeight="1" x14ac:dyDescent="0.2"/>
    <row r="34" spans="2:5" ht="27" customHeight="1" x14ac:dyDescent="0.2">
      <c r="B34" s="63"/>
      <c r="C34" s="77" t="s">
        <v>69</v>
      </c>
      <c r="D34" s="78" t="s">
        <v>70</v>
      </c>
      <c r="E34" s="79" t="s">
        <v>71</v>
      </c>
    </row>
    <row r="35" spans="2:5" ht="15" customHeight="1" x14ac:dyDescent="0.2">
      <c r="C35" s="80" t="s">
        <v>72</v>
      </c>
      <c r="D35" s="90">
        <v>12.788321018218994</v>
      </c>
      <c r="E35" s="88">
        <v>0.16917100210000857</v>
      </c>
    </row>
    <row r="36" spans="2:5" ht="15" customHeight="1" x14ac:dyDescent="0.2">
      <c r="C36" s="80" t="s">
        <v>144</v>
      </c>
      <c r="D36" s="90">
        <v>25.970884084701538</v>
      </c>
      <c r="E36" s="88">
        <v>0.34355725663852626</v>
      </c>
    </row>
    <row r="37" spans="2:5" ht="15" customHeight="1" x14ac:dyDescent="0.2">
      <c r="C37" s="80" t="s">
        <v>145</v>
      </c>
      <c r="D37" s="90">
        <v>5.5040187835693359</v>
      </c>
      <c r="E37" s="88">
        <v>7.2810212682897613E-2</v>
      </c>
    </row>
    <row r="38" spans="2:5" ht="15" customHeight="1" x14ac:dyDescent="0.2">
      <c r="C38" s="80" t="s">
        <v>146</v>
      </c>
      <c r="D38" s="90">
        <v>6.5271079540252686</v>
      </c>
      <c r="E38" s="88">
        <v>8.6344203576394954E-2</v>
      </c>
    </row>
    <row r="39" spans="2:5" ht="15" customHeight="1" x14ac:dyDescent="0.2">
      <c r="C39" s="80" t="s">
        <v>73</v>
      </c>
      <c r="D39" s="90">
        <v>8.9052531719207764</v>
      </c>
      <c r="E39" s="88">
        <v>0.11780362730196199</v>
      </c>
    </row>
    <row r="40" spans="2:5" ht="15" customHeight="1" x14ac:dyDescent="0.2">
      <c r="C40" s="80" t="s">
        <v>74</v>
      </c>
      <c r="D40" s="90">
        <v>9.1794281005859375</v>
      </c>
      <c r="E40" s="88">
        <v>0.12143056530007015</v>
      </c>
    </row>
    <row r="41" spans="2:5" ht="15" customHeight="1" x14ac:dyDescent="0.2">
      <c r="C41" s="81" t="s">
        <v>147</v>
      </c>
      <c r="D41" s="91">
        <v>4.4884066581726074</v>
      </c>
      <c r="E41" s="89">
        <v>5.9375132287784724E-2</v>
      </c>
    </row>
    <row r="42" spans="2:5" ht="15" customHeight="1" x14ac:dyDescent="0.2">
      <c r="C42" s="142" t="s">
        <v>75</v>
      </c>
      <c r="D42" s="91">
        <v>2.2305090427398682</v>
      </c>
      <c r="E42" s="89">
        <v>2.9506410530034177E-2</v>
      </c>
    </row>
    <row r="43" spans="2:5" ht="15" customHeight="1" x14ac:dyDescent="0.2"/>
    <row r="44" spans="2:5" ht="15" customHeight="1" x14ac:dyDescent="0.2"/>
    <row r="45" spans="2:5" ht="15" customHeight="1" x14ac:dyDescent="0.2">
      <c r="C45"/>
      <c r="D45"/>
      <c r="E45"/>
    </row>
    <row r="46" spans="2:5" x14ac:dyDescent="0.2">
      <c r="C46"/>
      <c r="D46"/>
      <c r="E46"/>
    </row>
    <row r="47" spans="2:5" x14ac:dyDescent="0.2">
      <c r="C47"/>
      <c r="D47"/>
      <c r="E47"/>
    </row>
    <row r="48" spans="2:5" x14ac:dyDescent="0.2">
      <c r="C48"/>
      <c r="D48"/>
      <c r="E48"/>
    </row>
    <row r="49" customFormat="1" x14ac:dyDescent="0.2"/>
  </sheetData>
  <mergeCells count="3">
    <mergeCell ref="J26:J27"/>
    <mergeCell ref="C6:D6"/>
    <mergeCell ref="F6:G6"/>
  </mergeCells>
  <conditionalFormatting sqref="E35:E42">
    <cfRule type="colorScale" priority="2">
      <colorScale>
        <cfvo type="num" val="0"/>
        <cfvo type="num" val="0.2"/>
        <color rgb="FF000000"/>
        <color rgb="FFC00000"/>
      </colorScale>
    </cfRule>
  </conditionalFormatting>
  <hyperlinks>
    <hyperlink ref="J26:J27" r:id="rId1" display="https://github.com/InfoDesigner/xleda" xr:uid="{96976772-2689-401F-A6D8-1217B5976010}"/>
  </hyperlinks>
  <pageMargins left="0.7" right="0.7" top="0.75" bottom="0.75" header="0.3" footer="0.3"/>
  <pageSetup orientation="portrait" r:id="rId2"/>
  <drawing r:id="rId3"/>
  <tableParts count="4">
    <tablePart r:id="rId4"/>
    <tablePart r:id="rId5"/>
    <tablePart r:id="rId6"/>
    <tablePart r:id="rId7"/>
  </tableParts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25D1AF8-C53E-48B7-8625-1AC9E9368DD1}">
  <sheetPr codeName="Sheet5"/>
  <dimension ref="B2:P17"/>
  <sheetViews>
    <sheetView zoomScale="85" zoomScaleNormal="85" workbookViewId="0">
      <selection activeCell="C8" sqref="C8"/>
    </sheetView>
  </sheetViews>
  <sheetFormatPr baseColWidth="10" defaultColWidth="8.83203125" defaultRowHeight="15" x14ac:dyDescent="0.2"/>
  <cols>
    <col min="1" max="1" width="2.6640625" customWidth="1"/>
    <col min="2" max="2" width="2.6640625" style="9" customWidth="1"/>
    <col min="3" max="3" width="78.6640625" style="10" customWidth="1"/>
    <col min="4" max="4" width="31.83203125" customWidth="1"/>
  </cols>
  <sheetData>
    <row r="2" spans="2:16" ht="43.25" customHeight="1" x14ac:dyDescent="0.2">
      <c r="C2" s="33" t="s">
        <v>50</v>
      </c>
    </row>
    <row r="3" spans="2:16" ht="5" customHeight="1" x14ac:dyDescent="0.2">
      <c r="B3"/>
      <c r="C3" s="11"/>
      <c r="P3" s="8"/>
    </row>
    <row r="4" spans="2:16" ht="20" customHeight="1" x14ac:dyDescent="0.2">
      <c r="B4"/>
      <c r="C4" s="11"/>
      <c r="P4" s="34"/>
    </row>
    <row r="5" spans="2:16" ht="5" customHeight="1" x14ac:dyDescent="0.2">
      <c r="B5"/>
      <c r="C5" s="11"/>
    </row>
    <row r="6" spans="2:16" ht="35" customHeight="1" x14ac:dyDescent="0.2">
      <c r="B6" s="40"/>
      <c r="C6" s="41"/>
      <c r="D6" s="41"/>
      <c r="E6" s="41"/>
      <c r="F6" s="41"/>
      <c r="G6" s="41"/>
      <c r="H6" s="41"/>
      <c r="I6" s="41"/>
      <c r="J6" s="41"/>
      <c r="K6" s="41"/>
      <c r="L6" s="41"/>
      <c r="M6" s="41"/>
      <c r="N6" s="41"/>
      <c r="O6" s="41"/>
      <c r="P6" s="41"/>
    </row>
    <row r="7" spans="2:16" ht="15" customHeight="1" x14ac:dyDescent="0.2">
      <c r="B7"/>
      <c r="C7"/>
    </row>
    <row r="8" spans="2:16" ht="15" customHeight="1" x14ac:dyDescent="0.2">
      <c r="C8" s="35"/>
    </row>
    <row r="9" spans="2:16" ht="19.25" customHeight="1" x14ac:dyDescent="0.2">
      <c r="B9"/>
      <c r="C9" s="11"/>
    </row>
    <row r="16" spans="2:16" x14ac:dyDescent="0.2">
      <c r="C16"/>
    </row>
    <row r="17" spans="2:2" customFormat="1" x14ac:dyDescent="0.2">
      <c r="B17" s="9"/>
    </row>
  </sheetData>
  <pageMargins left="0.7" right="0.7" top="0.75" bottom="0.75" header="0.3" footer="0.3"/>
  <pageSetup orientation="portrait"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59DB964-5183-48E8-9EB0-23FD2468B797}">
  <sheetPr codeName="Sheet4"/>
  <dimension ref="B2:P20"/>
  <sheetViews>
    <sheetView zoomScale="85" zoomScaleNormal="85" workbookViewId="0">
      <selection activeCell="C8" sqref="C8"/>
    </sheetView>
  </sheetViews>
  <sheetFormatPr baseColWidth="10" defaultColWidth="8.83203125" defaultRowHeight="15" x14ac:dyDescent="0.2"/>
  <cols>
    <col min="1" max="1" width="3" customWidth="1"/>
    <col min="2" max="2" width="2.6640625" style="9" customWidth="1"/>
    <col min="3" max="3" width="53.33203125" style="10" customWidth="1"/>
    <col min="4" max="4" width="27.6640625" customWidth="1"/>
  </cols>
  <sheetData>
    <row r="2" spans="2:16" ht="51.5" customHeight="1" x14ac:dyDescent="0.2">
      <c r="B2" s="5"/>
      <c r="C2" s="33" t="s">
        <v>51</v>
      </c>
    </row>
    <row r="3" spans="2:16" ht="5" customHeight="1" x14ac:dyDescent="0.2">
      <c r="B3" s="5"/>
      <c r="C3" s="33"/>
      <c r="D3" s="36"/>
      <c r="P3" s="8"/>
    </row>
    <row r="4" spans="2:16" ht="20" customHeight="1" x14ac:dyDescent="0.2">
      <c r="B4" s="5"/>
      <c r="C4" s="33"/>
      <c r="D4" s="36"/>
      <c r="P4" s="34"/>
    </row>
    <row r="5" spans="2:16" ht="5" customHeight="1" x14ac:dyDescent="0.2">
      <c r="B5"/>
      <c r="C5" s="11"/>
    </row>
    <row r="6" spans="2:16" ht="30" customHeight="1" x14ac:dyDescent="0.2">
      <c r="B6" s="40"/>
      <c r="C6" s="41"/>
      <c r="D6" s="41"/>
      <c r="E6" s="41"/>
      <c r="F6" s="41"/>
      <c r="G6" s="41"/>
      <c r="H6" s="41"/>
      <c r="I6" s="41"/>
      <c r="J6" s="41"/>
      <c r="K6" s="41"/>
      <c r="L6" s="41"/>
      <c r="M6" s="41"/>
      <c r="N6" s="41"/>
      <c r="O6" s="41"/>
      <c r="P6" s="41"/>
    </row>
    <row r="7" spans="2:16" ht="10.25" customHeight="1" x14ac:dyDescent="0.2">
      <c r="B7"/>
      <c r="C7" s="11"/>
    </row>
    <row r="8" spans="2:16" ht="10.25" customHeight="1" x14ac:dyDescent="0.2">
      <c r="B8" s="8"/>
      <c r="D8" s="10"/>
    </row>
    <row r="9" spans="2:16" ht="150" customHeight="1" x14ac:dyDescent="0.2">
      <c r="B9" s="37"/>
      <c r="C9" s="38"/>
    </row>
    <row r="10" spans="2:16" ht="10.25" customHeight="1" x14ac:dyDescent="0.2">
      <c r="B10" s="39"/>
    </row>
    <row r="11" spans="2:16" collapsed="1" x14ac:dyDescent="0.2"/>
    <row r="13" spans="2:16" x14ac:dyDescent="0.2">
      <c r="C13"/>
    </row>
    <row r="14" spans="2:16" x14ac:dyDescent="0.2">
      <c r="C14"/>
    </row>
    <row r="15" spans="2:16" x14ac:dyDescent="0.2">
      <c r="C15"/>
    </row>
    <row r="16" spans="2:16" x14ac:dyDescent="0.2">
      <c r="C16"/>
    </row>
    <row r="19" spans="3:3" x14ac:dyDescent="0.2">
      <c r="C19"/>
    </row>
    <row r="20" spans="3:3" x14ac:dyDescent="0.2">
      <c r="C20"/>
    </row>
  </sheetData>
  <pageMargins left="0.7" right="0.7" top="0.75" bottom="0.75" header="0.3" footer="0.3"/>
  <pageSetup orientation="portrait" r:id="rId1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�� 
</file>

<file path=customXml/itemProps1.xml><?xml version="1.0" encoding="utf-8"?>
<ds:datastoreItem xmlns:ds="http://schemas.openxmlformats.org/officeDocument/2006/customXml" ds:itemID="{DDFBB63E-9CA3-466B-AD4C-DEA2C62CA241}">
  <ds:schemaRefs>
    <ds:schemaRef ds:uri="http://schemas.microsoft.com/DataMashup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Macintosh Excel</Application>
  <DocSecurity>0</DocSecurity>
  <ScaleCrop>false</ScaleCrop>
  <HeadingPairs>
    <vt:vector size="4" baseType="variant">
      <vt:variant>
        <vt:lpstr>Worksheets</vt:lpstr>
      </vt:variant>
      <vt:variant>
        <vt:i4>6</vt:i4>
      </vt:variant>
      <vt:variant>
        <vt:lpstr>Named Ranges</vt:lpstr>
      </vt:variant>
      <vt:variant>
        <vt:i4>52</vt:i4>
      </vt:variant>
    </vt:vector>
  </HeadingPairs>
  <TitlesOfParts>
    <vt:vector size="58" baseType="lpstr">
      <vt:lpstr>Field Analysis</vt:lpstr>
      <vt:lpstr>Overview</vt:lpstr>
      <vt:lpstr>Pivot</vt:lpstr>
      <vt:lpstr>debug</vt:lpstr>
      <vt:lpstr>SinglePlot</vt:lpstr>
      <vt:lpstr>MultiplePlots</vt:lpstr>
      <vt:lpstr>'Field Analysis'!Compiled_Lists</vt:lpstr>
      <vt:lpstr>'Field Analysis'!Composition</vt:lpstr>
      <vt:lpstr>'Field Analysis'!CompositionTable</vt:lpstr>
      <vt:lpstr>debug!Config</vt:lpstr>
      <vt:lpstr>'Field Analysis'!DarkHeader</vt:lpstr>
      <vt:lpstr>'Field Analysis'!Data_Description</vt:lpstr>
      <vt:lpstr>debug!debug_metadata</vt:lpstr>
      <vt:lpstr>Pivot!DefaultWarn</vt:lpstr>
      <vt:lpstr>'Field Analysis'!Definitions</vt:lpstr>
      <vt:lpstr>'Field Analysis'!Description</vt:lpstr>
      <vt:lpstr>'Field Analysis'!Dimensions</vt:lpstr>
      <vt:lpstr>'Field Analysis'!Field_Analysis</vt:lpstr>
      <vt:lpstr>'Field Analysis'!Field_Lists</vt:lpstr>
      <vt:lpstr>'Field Analysis'!FieldList1</vt:lpstr>
      <vt:lpstr>'Field Analysis'!FieldList2</vt:lpstr>
      <vt:lpstr>'Field Analysis'!FieldList3</vt:lpstr>
      <vt:lpstr>'Field Analysis'!FieldList4</vt:lpstr>
      <vt:lpstr>'Field Analysis'!FieldList5</vt:lpstr>
      <vt:lpstr>'Field Analysis'!FieldList6</vt:lpstr>
      <vt:lpstr>'Field Analysis'!FieldList7</vt:lpstr>
      <vt:lpstr>'Field Analysis'!FieldList8</vt:lpstr>
      <vt:lpstr>'Field Analysis'!FieldLists</vt:lpstr>
      <vt:lpstr>'Field Analysis'!FieldRange</vt:lpstr>
      <vt:lpstr>'Field Analysis'!FormatRange</vt:lpstr>
      <vt:lpstr>'Field Analysis'!Headers</vt:lpstr>
      <vt:lpstr>'Field Analysis'!Headers_Start</vt:lpstr>
      <vt:lpstr>'Field Analysis'!Histogram</vt:lpstr>
      <vt:lpstr>'Field Analysis'!LightHeader</vt:lpstr>
      <vt:lpstr>Metadata</vt:lpstr>
      <vt:lpstr>MultiplePlots!MultiplePlots</vt:lpstr>
      <vt:lpstr>MultiplePlots!MultiplePlotsTitle</vt:lpstr>
      <vt:lpstr>'Field Analysis'!Name</vt:lpstr>
      <vt:lpstr>Overview!Name</vt:lpstr>
      <vt:lpstr>Pivot!Name</vt:lpstr>
      <vt:lpstr>'Field Analysis'!Notes</vt:lpstr>
      <vt:lpstr>'Field Analysis'!Percentiles</vt:lpstr>
      <vt:lpstr>Performance</vt:lpstr>
      <vt:lpstr>'Field Analysis'!SerializedLists</vt:lpstr>
      <vt:lpstr>SinglePlot!SinglePlot</vt:lpstr>
      <vt:lpstr>SinglePlot!SinglePlotTitle</vt:lpstr>
      <vt:lpstr>'Field Analysis'!Summary_Stats</vt:lpstr>
      <vt:lpstr>'Field Analysis'!Theme</vt:lpstr>
      <vt:lpstr>MultiplePlots!Theme</vt:lpstr>
      <vt:lpstr>Overview!Theme</vt:lpstr>
      <vt:lpstr>Pivot!Theme</vt:lpstr>
      <vt:lpstr>SinglePlot!Theme</vt:lpstr>
      <vt:lpstr>debug!Toggles</vt:lpstr>
      <vt:lpstr>'Field Analysis'!Toggles</vt:lpstr>
      <vt:lpstr>'Field Analysis'!TopToggle</vt:lpstr>
      <vt:lpstr>'Field Analysis'!Warning</vt:lpstr>
      <vt:lpstr>Overview!Warning</vt:lpstr>
      <vt:lpstr>Pivot!Warning</vt:lpstr>
    </vt:vector>
  </TitlesOfParts>
  <Company>Information Designers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>DarkTemplate</dc:title>
  <dc:creator>Michael Rivers</dc:creator>
  <cp:lastModifiedBy>Michael Rivers</cp:lastModifiedBy>
  <dcterms:created xsi:type="dcterms:W3CDTF">2025-12-28T23:38:43Z</dcterms:created>
  <dcterms:modified xsi:type="dcterms:W3CDTF">2026-06-09T00:09:12Z</dcterms:modified>
</cp:coreProperties>
</file>