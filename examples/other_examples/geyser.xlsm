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DC1DF70-B097-4801-AA23-BB35838F90C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Analysis'!$H$79:$H$350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<sst xmlns="http://schemas.openxmlformats.org/spreadsheetml/2006/main" count="392" uniqueCount="67">
  <si>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</si>
  <si>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</si>
  <si>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</si>
  <si>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</si>
  <si>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</si>
  <si>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</si>
  <si>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</si>
  <si>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</si>
  <si>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</si>
  <si>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</si>
  <si>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</si>
  <si>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</si>
  <si>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</si>
  <si>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</si>
  <si>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</si>
  <si>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</si>
  <si>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</si>
  <si>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</si>
  <si>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</si>
  <si>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</si>
  <si>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</si>
  <si>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</si>
  <si>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</si>
  <si>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</si>
  <si>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</si>
  <si>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</si>
  <si>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</si>
  <si>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</si>
  <si>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</si>
  <si>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</si>
  <si>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</si>
  <si>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</si>
  <si>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</si>
  <si>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</si>
  <si>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</si>
  <si>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</si>
  <si>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</si>
  <si>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</si>
  <si>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</si>
  <si>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</si>
  <si>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</si>
  <si>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</si>
  <si>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</si>
  <si>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</si>
  <si>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</si>
  <si>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</si>
  <si>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</si>
  <si>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</si>
  <si>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</si>
  <si>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</si>
  <si>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</si>
  <si>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</si>
  <si>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</si>
  <si>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</si>
  <si>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</si>
  <si>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geyser</t>
  </si>
  <si>
    <t>duration</t>
  </si>
  <si>
    <t>waiting</t>
  </si>
  <si>
    <t>kind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</si>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</sst>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8D6D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50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8D6D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349"/>
      <tableStyleElement type="headerRow" dxfId="348"/>
      <tableStyleElement type="totalRow" dxfId="347"/>
    </tableStyle>
    <tableStyle name="TableStyleDarker" pivot="0" count="2" xr9:uid="{6808BEA3-E65F-4F4F-A6CC-D0226D87DD56}">
      <tableStyleElement type="wholeTable" dxfId="346"/>
      <tableStyleElement type="headerRow" dxfId="34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uration">
          <a:extLst>
            <a:ext uri="{FF2B5EF4-FFF2-40B4-BE49-F238E27FC236}">
              <a16:creationId xmlns:a16="http://schemas.microsoft.com/office/drawing/2014/main" id="{78E991D0-519A-89E7-4B53-95BF8B6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duration">
          <a:extLst>
            <a:ext uri="{FF2B5EF4-FFF2-40B4-BE49-F238E27FC236}">
              <a16:creationId xmlns:a16="http://schemas.microsoft.com/office/drawing/2014/main" id="{CBAE070B-7D15-2694-3531-D3CF4A6F8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waiting">
          <a:extLst>
            <a:ext uri="{FF2B5EF4-FFF2-40B4-BE49-F238E27FC236}">
              <a16:creationId xmlns:a16="http://schemas.microsoft.com/office/drawing/2014/main" id="{F753D3B1-FBA2-0006-10D0-1C64B4A86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waiting">
          <a:extLst>
            <a:ext uri="{FF2B5EF4-FFF2-40B4-BE49-F238E27FC236}">
              <a16:creationId xmlns:a16="http://schemas.microsoft.com/office/drawing/2014/main" id="{3E73691F-1F10-671E-88ED-3460B4C0C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kind">
          <a:extLst>
            <a:ext uri="{FF2B5EF4-FFF2-40B4-BE49-F238E27FC236}">
              <a16:creationId xmlns:a16="http://schemas.microsoft.com/office/drawing/2014/main" id="{75EFD871-E201-1931-34C3-90720810D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30480</xdr:colOff>
      <xdr:row>30</xdr:row>
      <xdr:rowOff>95250</xdr:rowOff>
    </xdr:from>
    <xdr:to>
      <xdr:col>6</xdr:col>
      <xdr:colOff>579120</xdr:colOff>
      <xdr:row>30</xdr:row>
      <xdr:rowOff>1809750</xdr:rowOff>
    </xdr:to>
    <xdr:pic>
      <xdr:nvPicPr>
        <xdr:cNvPr id="21" name="composition_HasBlank">
          <a:extLst>
            <a:ext uri="{FF2B5EF4-FFF2-40B4-BE49-F238E27FC236}">
              <a16:creationId xmlns:a16="http://schemas.microsoft.com/office/drawing/2014/main" id="{7452F883-3305-C52A-53E8-8DA26F176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09560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6</xdr:col>
      <xdr:colOff>30480</xdr:colOff>
      <xdr:row>40</xdr:row>
      <xdr:rowOff>95250</xdr:rowOff>
    </xdr:from>
    <xdr:to>
      <xdr:col>6</xdr:col>
      <xdr:colOff>579120</xdr:colOff>
      <xdr:row>40</xdr:row>
      <xdr:rowOff>1809750</xdr:rowOff>
    </xdr:to>
    <xdr:pic>
      <xdr:nvPicPr>
        <xdr:cNvPr id="23" name="histogram_HasBlank">
          <a:extLst>
            <a:ext uri="{FF2B5EF4-FFF2-40B4-BE49-F238E27FC236}">
              <a16:creationId xmlns:a16="http://schemas.microsoft.com/office/drawing/2014/main" id="{89EA0244-351F-9F46-5FCE-5DCACEE6C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9560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5900231479" createdVersion="8" refreshedVersion="8" minRefreshableVersion="3" recordCount="272" xr:uid="{9CA2673A-A870-437E-AB9F-91D8276FD930}">
  <cacheSource type="worksheet">
    <worksheetSource name="tbl_SourceData"/>
  </cacheSource>
  <cacheFields count="6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29999999999997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29999999999997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29999999999998"/>
        <n v="3.9660000000000002"/>
        <n v="4.3659999999999997"/>
        <n v="2.25"/>
        <n v="2.383"/>
        <n v="3.4169999999999998"/>
        <n v="4.2670000000000003"/>
        <n v="4.4829999999999997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013757276734701E+17" maxValue="1.81460755274812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7.7604872414752696E+18"/>
  </r>
  <r>
    <b v="0"/>
    <x v="1"/>
    <x v="1"/>
    <x v="1"/>
    <n v="0"/>
    <n v="9.2039539002748396E+18"/>
  </r>
  <r>
    <b v="0"/>
    <x v="2"/>
    <x v="2"/>
    <x v="0"/>
    <n v="0"/>
    <n v="8.7075018705436498E+18"/>
  </r>
  <r>
    <b v="0"/>
    <x v="3"/>
    <x v="3"/>
    <x v="1"/>
    <n v="0"/>
    <n v="1.25064676024029E+19"/>
  </r>
  <r>
    <b v="0"/>
    <x v="4"/>
    <x v="4"/>
    <x v="0"/>
    <n v="0"/>
    <n v="1.17505023650839E+19"/>
  </r>
  <r>
    <b v="0"/>
    <x v="5"/>
    <x v="5"/>
    <x v="1"/>
    <n v="0"/>
    <n v="7.3937694023684403E+18"/>
  </r>
  <r>
    <b v="0"/>
    <x v="6"/>
    <x v="6"/>
    <x v="0"/>
    <n v="0"/>
    <n v="1.6550783262322901E+19"/>
  </r>
  <r>
    <b v="0"/>
    <x v="0"/>
    <x v="4"/>
    <x v="0"/>
    <n v="0"/>
    <n v="1.2095430352944501E+19"/>
  </r>
  <r>
    <b v="0"/>
    <x v="7"/>
    <x v="7"/>
    <x v="1"/>
    <n v="0"/>
    <n v="3.9837220269165302E+18"/>
  </r>
  <r>
    <b v="0"/>
    <x v="8"/>
    <x v="4"/>
    <x v="0"/>
    <n v="0"/>
    <n v="1.1926785404655E+19"/>
  </r>
  <r>
    <b v="0"/>
    <x v="9"/>
    <x v="1"/>
    <x v="1"/>
    <n v="0"/>
    <n v="1.5394505349205299E+19"/>
  </r>
  <r>
    <b v="0"/>
    <x v="10"/>
    <x v="8"/>
    <x v="0"/>
    <n v="0"/>
    <n v="9.910429264185559E+18"/>
  </r>
  <r>
    <b v="0"/>
    <x v="11"/>
    <x v="9"/>
    <x v="0"/>
    <n v="0"/>
    <n v="8.9297942081696901E+18"/>
  </r>
  <r>
    <b v="0"/>
    <x v="12"/>
    <x v="10"/>
    <x v="1"/>
    <n v="0"/>
    <n v="9.1393200935362601E+18"/>
  </r>
  <r>
    <b v="0"/>
    <x v="6"/>
    <x v="11"/>
    <x v="0"/>
    <n v="0"/>
    <n v="1.7930037962900601E+19"/>
  </r>
  <r>
    <b v="0"/>
    <x v="13"/>
    <x v="12"/>
    <x v="1"/>
    <n v="0"/>
    <n v="1.49063886708434E+18"/>
  </r>
  <r>
    <b v="0"/>
    <x v="12"/>
    <x v="3"/>
    <x v="1"/>
    <n v="0"/>
    <n v="5.5314225549065697E+18"/>
  </r>
  <r>
    <b v="0"/>
    <x v="14"/>
    <x v="8"/>
    <x v="0"/>
    <n v="0"/>
    <n v="1.4117400011090201E+19"/>
  </r>
  <r>
    <b v="0"/>
    <x v="15"/>
    <x v="12"/>
    <x v="1"/>
    <n v="0"/>
    <n v="1.4213393543942001E+18"/>
  </r>
  <r>
    <b v="0"/>
    <x v="16"/>
    <x v="0"/>
    <x v="0"/>
    <n v="0"/>
    <n v="1.6300533642653399E+18"/>
  </r>
  <r>
    <b v="0"/>
    <x v="1"/>
    <x v="7"/>
    <x v="1"/>
    <n v="0"/>
    <n v="6.5538552595128402E+18"/>
  </r>
  <r>
    <b v="0"/>
    <x v="12"/>
    <x v="10"/>
    <x v="1"/>
    <n v="0"/>
    <n v="9.1393200935362601E+18"/>
  </r>
  <r>
    <b v="0"/>
    <x v="17"/>
    <x v="9"/>
    <x v="0"/>
    <n v="0"/>
    <n v="5.95018466453248E+18"/>
  </r>
  <r>
    <b v="0"/>
    <x v="18"/>
    <x v="13"/>
    <x v="0"/>
    <n v="0"/>
    <n v="4.30031915209485E+18"/>
  </r>
  <r>
    <b v="0"/>
    <x v="4"/>
    <x v="2"/>
    <x v="0"/>
    <n v="0"/>
    <n v="2.9670785139128499E+18"/>
  </r>
  <r>
    <b v="0"/>
    <x v="0"/>
    <x v="11"/>
    <x v="0"/>
    <n v="0"/>
    <n v="1.3358813118993299E+19"/>
  </r>
  <r>
    <b v="0"/>
    <x v="19"/>
    <x v="5"/>
    <x v="1"/>
    <n v="0"/>
    <n v="1.1377591615302699E+19"/>
  </r>
  <r>
    <b v="0"/>
    <x v="20"/>
    <x v="14"/>
    <x v="0"/>
    <n v="0"/>
    <n v="1.39218184764841E+19"/>
  </r>
  <r>
    <b v="0"/>
    <x v="21"/>
    <x v="9"/>
    <x v="0"/>
    <n v="0"/>
    <n v="1.7731613120190401E+19"/>
  </r>
  <r>
    <b v="0"/>
    <x v="22"/>
    <x v="0"/>
    <x v="0"/>
    <n v="0"/>
    <n v="7.9365526236625101E+18"/>
  </r>
  <r>
    <b v="0"/>
    <x v="23"/>
    <x v="15"/>
    <x v="0"/>
    <n v="0"/>
    <n v="1.5232316501095299E+19"/>
  </r>
  <r>
    <b v="0"/>
    <x v="24"/>
    <x v="16"/>
    <x v="0"/>
    <n v="0"/>
    <n v="1.57544018456129E+19"/>
  </r>
  <r>
    <b v="0"/>
    <x v="25"/>
    <x v="17"/>
    <x v="1"/>
    <n v="0"/>
    <n v="1.3405076501328901E+18"/>
  </r>
  <r>
    <b v="0"/>
    <x v="26"/>
    <x v="18"/>
    <x v="0"/>
    <n v="0"/>
    <n v="8.0908986755655803E+18"/>
  </r>
  <r>
    <b v="0"/>
    <x v="27"/>
    <x v="2"/>
    <x v="0"/>
    <n v="0"/>
    <n v="1.5835386568155699E+18"/>
  </r>
  <r>
    <b v="0"/>
    <x v="28"/>
    <x v="12"/>
    <x v="1"/>
    <n v="0"/>
    <n v="1.5996859068774799E+19"/>
  </r>
  <r>
    <b v="0"/>
    <x v="29"/>
    <x v="19"/>
    <x v="1"/>
    <n v="0"/>
    <n v="7.5678493612588698E+18"/>
  </r>
  <r>
    <b v="0"/>
    <x v="30"/>
    <x v="18"/>
    <x v="0"/>
    <n v="0"/>
    <n v="2.5607740430121201E+18"/>
  </r>
  <r>
    <b v="0"/>
    <x v="9"/>
    <x v="20"/>
    <x v="1"/>
    <n v="0"/>
    <n v="1.16589722365034E+19"/>
  </r>
  <r>
    <b v="0"/>
    <x v="31"/>
    <x v="21"/>
    <x v="0"/>
    <n v="0"/>
    <n v="7.0896816621649398E+18"/>
  </r>
  <r>
    <b v="0"/>
    <x v="8"/>
    <x v="18"/>
    <x v="0"/>
    <n v="0"/>
    <n v="8.9618200977997804E+18"/>
  </r>
  <r>
    <b v="0"/>
    <x v="32"/>
    <x v="22"/>
    <x v="1"/>
    <n v="0"/>
    <n v="1.3238860268199399E+19"/>
  </r>
  <r>
    <b v="0"/>
    <x v="33"/>
    <x v="8"/>
    <x v="0"/>
    <n v="0"/>
    <n v="5.3626676807245701E+18"/>
  </r>
  <r>
    <b v="0"/>
    <x v="12"/>
    <x v="22"/>
    <x v="1"/>
    <n v="0"/>
    <n v="8.0145527327224801E+18"/>
  </r>
  <r>
    <b v="0"/>
    <x v="4"/>
    <x v="15"/>
    <x v="0"/>
    <n v="0"/>
    <n v="3.6978018051171502E+18"/>
  </r>
  <r>
    <b v="0"/>
    <x v="34"/>
    <x v="11"/>
    <x v="0"/>
    <n v="0"/>
    <n v="8.1068107350761902E+18"/>
  </r>
  <r>
    <b v="0"/>
    <x v="27"/>
    <x v="23"/>
    <x v="1"/>
    <n v="0"/>
    <n v="1.6346613353531199E+19"/>
  </r>
  <r>
    <b v="0"/>
    <x v="35"/>
    <x v="24"/>
    <x v="1"/>
    <n v="0"/>
    <n v="5.14373973265297E+18"/>
  </r>
  <r>
    <b v="0"/>
    <x v="36"/>
    <x v="25"/>
    <x v="0"/>
    <n v="0"/>
    <n v="5.3971608699478804E+18"/>
  </r>
  <r>
    <b v="0"/>
    <x v="37"/>
    <x v="20"/>
    <x v="1"/>
    <n v="0"/>
    <n v="7.6455612658413599E+18"/>
  </r>
  <r>
    <b v="0"/>
    <x v="14"/>
    <x v="26"/>
    <x v="0"/>
    <n v="0"/>
    <n v="3.1123738181448699E+18"/>
  </r>
  <r>
    <b v="0"/>
    <x v="38"/>
    <x v="21"/>
    <x v="0"/>
    <n v="0"/>
    <n v="1.68002709438535E+19"/>
  </r>
  <r>
    <b v="0"/>
    <x v="9"/>
    <x v="1"/>
    <x v="1"/>
    <n v="0"/>
    <n v="1.5394505349205299E+19"/>
  </r>
  <r>
    <b v="0"/>
    <x v="30"/>
    <x v="18"/>
    <x v="0"/>
    <n v="0"/>
    <n v="2.5607740430121201E+18"/>
  </r>
  <r>
    <b v="0"/>
    <x v="39"/>
    <x v="1"/>
    <x v="1"/>
    <n v="0"/>
    <n v="1.19694150602125E+19"/>
  </r>
  <r>
    <b v="0"/>
    <x v="40"/>
    <x v="11"/>
    <x v="0"/>
    <n v="0"/>
    <n v="6.55724076459315E+18"/>
  </r>
  <r>
    <b v="0"/>
    <x v="41"/>
    <x v="27"/>
    <x v="0"/>
    <n v="0"/>
    <n v="8.9438353088166799E+18"/>
  </r>
  <r>
    <b v="0"/>
    <x v="42"/>
    <x v="23"/>
    <x v="1"/>
    <n v="0"/>
    <n v="1.4964374819138501E+19"/>
  </r>
  <r>
    <b v="0"/>
    <x v="33"/>
    <x v="16"/>
    <x v="0"/>
    <n v="0"/>
    <n v="1.3194175503441101E+19"/>
  </r>
  <r>
    <b v="0"/>
    <x v="43"/>
    <x v="28"/>
    <x v="0"/>
    <n v="0"/>
    <n v="7.4578739893572403E+18"/>
  </r>
  <r>
    <b v="0"/>
    <x v="44"/>
    <x v="20"/>
    <x v="1"/>
    <n v="0"/>
    <n v="1.0143076561597499E+19"/>
  </r>
  <r>
    <b v="0"/>
    <x v="45"/>
    <x v="8"/>
    <x v="0"/>
    <n v="0"/>
    <n v="9.4915003384640594E+18"/>
  </r>
  <r>
    <b v="0"/>
    <x v="12"/>
    <x v="19"/>
    <x v="1"/>
    <n v="0"/>
    <n v="4.4934613898519002E+17"/>
  </r>
  <r>
    <b v="0"/>
    <x v="14"/>
    <x v="25"/>
    <x v="0"/>
    <n v="0"/>
    <n v="1.71292916428846E+19"/>
  </r>
  <r>
    <b v="0"/>
    <x v="46"/>
    <x v="29"/>
    <x v="1"/>
    <n v="0"/>
    <n v="1.87096345341151E+18"/>
  </r>
  <r>
    <b v="0"/>
    <x v="47"/>
    <x v="30"/>
    <x v="0"/>
    <n v="0"/>
    <n v="1.3491046822976E+19"/>
  </r>
  <r>
    <b v="0"/>
    <x v="48"/>
    <x v="9"/>
    <x v="0"/>
    <n v="0"/>
    <n v="5.1906958723536804E+18"/>
  </r>
  <r>
    <b v="0"/>
    <x v="6"/>
    <x v="9"/>
    <x v="0"/>
    <n v="0"/>
    <n v="1.4322795595650699E+19"/>
  </r>
  <r>
    <b v="0"/>
    <x v="49"/>
    <x v="31"/>
    <x v="1"/>
    <n v="0"/>
    <n v="1.34708922050014E+19"/>
  </r>
  <r>
    <b v="0"/>
    <x v="6"/>
    <x v="15"/>
    <x v="0"/>
    <n v="0"/>
    <n v="1.06819374523837E+18"/>
  </r>
  <r>
    <b v="0"/>
    <x v="26"/>
    <x v="25"/>
    <x v="0"/>
    <n v="0"/>
    <n v="1.3814702796422199E+19"/>
  </r>
  <r>
    <b v="0"/>
    <x v="19"/>
    <x v="32"/>
    <x v="1"/>
    <n v="0"/>
    <n v="1.1428899984901501E+19"/>
  </r>
  <r>
    <b v="0"/>
    <x v="45"/>
    <x v="0"/>
    <x v="0"/>
    <n v="0"/>
    <n v="8.8217828590882796E+18"/>
  </r>
  <r>
    <b v="0"/>
    <x v="50"/>
    <x v="27"/>
    <x v="0"/>
    <n v="0"/>
    <n v="1.8034082155821601E+19"/>
  </r>
  <r>
    <b v="0"/>
    <x v="51"/>
    <x v="3"/>
    <x v="1"/>
    <n v="0"/>
    <n v="7.5945274284811899E+18"/>
  </r>
  <r>
    <b v="0"/>
    <x v="52"/>
    <x v="14"/>
    <x v="0"/>
    <n v="0"/>
    <n v="4.1304242878421499E+18"/>
  </r>
  <r>
    <b v="0"/>
    <x v="28"/>
    <x v="29"/>
    <x v="1"/>
    <n v="0"/>
    <n v="1.3532548320298299E+19"/>
  </r>
  <r>
    <b v="0"/>
    <x v="33"/>
    <x v="9"/>
    <x v="0"/>
    <n v="0"/>
    <n v="1.7645286536881601E+19"/>
  </r>
  <r>
    <b v="0"/>
    <x v="53"/>
    <x v="14"/>
    <x v="0"/>
    <n v="0"/>
    <n v="1.0836337974107601E+19"/>
  </r>
  <r>
    <b v="0"/>
    <x v="0"/>
    <x v="11"/>
    <x v="0"/>
    <n v="0"/>
    <n v="1.3358813118993299E+19"/>
  </r>
  <r>
    <b v="0"/>
    <x v="54"/>
    <x v="26"/>
    <x v="0"/>
    <n v="0"/>
    <n v="1.5029956070954701E+18"/>
  </r>
  <r>
    <b v="0"/>
    <x v="55"/>
    <x v="25"/>
    <x v="0"/>
    <n v="0"/>
    <n v="9.2522953697219195E+18"/>
  </r>
  <r>
    <b v="0"/>
    <x v="56"/>
    <x v="33"/>
    <x v="0"/>
    <n v="0"/>
    <n v="1.16404123235311E+19"/>
  </r>
  <r>
    <b v="0"/>
    <x v="57"/>
    <x v="31"/>
    <x v="1"/>
    <n v="0"/>
    <n v="6.4147225981016996E+18"/>
  </r>
  <r>
    <b v="0"/>
    <x v="58"/>
    <x v="15"/>
    <x v="0"/>
    <n v="0"/>
    <n v="5.7236311292672502E+18"/>
  </r>
  <r>
    <b v="0"/>
    <x v="59"/>
    <x v="6"/>
    <x v="0"/>
    <n v="0"/>
    <n v="1.72425718310284E+19"/>
  </r>
  <r>
    <b v="0"/>
    <x v="60"/>
    <x v="14"/>
    <x v="0"/>
    <n v="0"/>
    <n v="1.1502380203555299E+19"/>
  </r>
  <r>
    <b v="0"/>
    <x v="61"/>
    <x v="18"/>
    <x v="0"/>
    <n v="0"/>
    <n v="1.58177832714286E+19"/>
  </r>
  <r>
    <b v="0"/>
    <x v="13"/>
    <x v="19"/>
    <x v="1"/>
    <n v="0"/>
    <n v="5.5289440702125005E+18"/>
  </r>
  <r>
    <b v="0"/>
    <x v="50"/>
    <x v="34"/>
    <x v="0"/>
    <n v="0"/>
    <n v="1.1714493663008E+19"/>
  </r>
  <r>
    <b v="0"/>
    <x v="62"/>
    <x v="29"/>
    <x v="1"/>
    <n v="0"/>
    <n v="3.78008762192401E+18"/>
  </r>
  <r>
    <b v="0"/>
    <x v="55"/>
    <x v="21"/>
    <x v="0"/>
    <n v="0"/>
    <n v="4.9291022990557402E+17"/>
  </r>
  <r>
    <b v="0"/>
    <x v="29"/>
    <x v="35"/>
    <x v="1"/>
    <n v="0"/>
    <n v="7.6776878988699505E+18"/>
  </r>
  <r>
    <b v="0"/>
    <x v="63"/>
    <x v="9"/>
    <x v="0"/>
    <n v="0"/>
    <n v="9.3746232566003794E+18"/>
  </r>
  <r>
    <b v="0"/>
    <x v="9"/>
    <x v="36"/>
    <x v="1"/>
    <n v="0"/>
    <n v="2.77703966016815E+18"/>
  </r>
  <r>
    <b v="0"/>
    <x v="23"/>
    <x v="37"/>
    <x v="0"/>
    <n v="0"/>
    <n v="1.5999766193881801E+19"/>
  </r>
  <r>
    <b v="0"/>
    <x v="64"/>
    <x v="8"/>
    <x v="0"/>
    <n v="0"/>
    <n v="1.7211806076443002E+17"/>
  </r>
  <r>
    <b v="0"/>
    <x v="65"/>
    <x v="26"/>
    <x v="0"/>
    <n v="0"/>
    <n v="3.2988361187791698E+18"/>
  </r>
  <r>
    <b v="0"/>
    <x v="29"/>
    <x v="7"/>
    <x v="1"/>
    <n v="0"/>
    <n v="1.7882058526331501E+19"/>
  </r>
  <r>
    <b v="0"/>
    <x v="66"/>
    <x v="25"/>
    <x v="0"/>
    <n v="0"/>
    <n v="6.0206190501056E+18"/>
  </r>
  <r>
    <b v="0"/>
    <x v="67"/>
    <x v="3"/>
    <x v="1"/>
    <n v="0"/>
    <n v="2.7320183574940698E+18"/>
  </r>
  <r>
    <b v="0"/>
    <x v="68"/>
    <x v="6"/>
    <x v="0"/>
    <n v="0"/>
    <n v="5.7086904142549105E+18"/>
  </r>
  <r>
    <b v="0"/>
    <x v="35"/>
    <x v="38"/>
    <x v="1"/>
    <n v="0"/>
    <n v="1.24791386291916E+19"/>
  </r>
  <r>
    <b v="0"/>
    <x v="45"/>
    <x v="11"/>
    <x v="0"/>
    <n v="0"/>
    <n v="1.3022021512136901E+19"/>
  </r>
  <r>
    <b v="0"/>
    <x v="69"/>
    <x v="28"/>
    <x v="0"/>
    <n v="0"/>
    <n v="1.81450899998238E+19"/>
  </r>
  <r>
    <b v="0"/>
    <x v="29"/>
    <x v="10"/>
    <x v="1"/>
    <n v="0"/>
    <n v="1.80411490392849E+19"/>
  </r>
  <r>
    <b v="0"/>
    <x v="6"/>
    <x v="8"/>
    <x v="0"/>
    <n v="0"/>
    <n v="8.5730184908943002E+18"/>
  </r>
  <r>
    <b v="0"/>
    <x v="70"/>
    <x v="12"/>
    <x v="1"/>
    <n v="0"/>
    <n v="7.5496053096621804E+18"/>
  </r>
  <r>
    <b v="0"/>
    <x v="71"/>
    <x v="34"/>
    <x v="0"/>
    <n v="0"/>
    <n v="6.4581398066951004E+18"/>
  </r>
  <r>
    <b v="0"/>
    <x v="72"/>
    <x v="28"/>
    <x v="0"/>
    <n v="0"/>
    <n v="2.88690680049762E+18"/>
  </r>
  <r>
    <b v="0"/>
    <x v="73"/>
    <x v="26"/>
    <x v="0"/>
    <n v="0"/>
    <n v="7.9806104605471396E+18"/>
  </r>
  <r>
    <b v="0"/>
    <x v="74"/>
    <x v="20"/>
    <x v="1"/>
    <n v="0"/>
    <n v="1.3054004883455001E+19"/>
  </r>
  <r>
    <b v="0"/>
    <x v="66"/>
    <x v="39"/>
    <x v="0"/>
    <n v="0"/>
    <n v="1.2948684411974699E+19"/>
  </r>
  <r>
    <b v="0"/>
    <x v="75"/>
    <x v="0"/>
    <x v="0"/>
    <n v="0"/>
    <n v="8.3266805385935104E+18"/>
  </r>
  <r>
    <b v="0"/>
    <x v="76"/>
    <x v="20"/>
    <x v="1"/>
    <n v="0"/>
    <n v="1.7101057702869801E+19"/>
  </r>
  <r>
    <b v="0"/>
    <x v="36"/>
    <x v="28"/>
    <x v="0"/>
    <n v="0"/>
    <n v="8.3611188171934003E+18"/>
  </r>
  <r>
    <b v="0"/>
    <x v="77"/>
    <x v="35"/>
    <x v="1"/>
    <n v="0"/>
    <n v="1.1657030440765499E+19"/>
  </r>
  <r>
    <b v="0"/>
    <x v="78"/>
    <x v="4"/>
    <x v="0"/>
    <n v="0"/>
    <n v="1.7683328616739E+19"/>
  </r>
  <r>
    <b v="0"/>
    <x v="46"/>
    <x v="20"/>
    <x v="1"/>
    <n v="0"/>
    <n v="1.1544418077199499E+19"/>
  </r>
  <r>
    <b v="0"/>
    <x v="75"/>
    <x v="40"/>
    <x v="0"/>
    <n v="0"/>
    <n v="5.7424352640952499E+17"/>
  </r>
  <r>
    <b v="0"/>
    <x v="79"/>
    <x v="24"/>
    <x v="1"/>
    <n v="0"/>
    <n v="1.16609736321687E+19"/>
  </r>
  <r>
    <b v="0"/>
    <x v="58"/>
    <x v="13"/>
    <x v="0"/>
    <n v="0"/>
    <n v="1.52989980832443E+19"/>
  </r>
  <r>
    <b v="0"/>
    <x v="16"/>
    <x v="16"/>
    <x v="0"/>
    <n v="0"/>
    <n v="1.0961189471826201E+19"/>
  </r>
  <r>
    <b v="0"/>
    <x v="19"/>
    <x v="32"/>
    <x v="1"/>
    <n v="0"/>
    <n v="1.1428899984901501E+19"/>
  </r>
  <r>
    <b v="0"/>
    <x v="78"/>
    <x v="6"/>
    <x v="0"/>
    <n v="0"/>
    <n v="8.2807410342429204E+18"/>
  </r>
  <r>
    <b v="0"/>
    <x v="80"/>
    <x v="28"/>
    <x v="0"/>
    <n v="0"/>
    <n v="3.7214137641882701E+17"/>
  </r>
  <r>
    <b v="0"/>
    <x v="81"/>
    <x v="41"/>
    <x v="1"/>
    <n v="0"/>
    <n v="5.1449899545787095E+18"/>
  </r>
  <r>
    <b v="0"/>
    <x v="45"/>
    <x v="25"/>
    <x v="0"/>
    <n v="0"/>
    <n v="9.1545795330162698E+18"/>
  </r>
  <r>
    <b v="0"/>
    <x v="82"/>
    <x v="5"/>
    <x v="1"/>
    <n v="0"/>
    <n v="1.077667536358E+19"/>
  </r>
  <r>
    <b v="0"/>
    <x v="83"/>
    <x v="21"/>
    <x v="0"/>
    <n v="0"/>
    <n v="1.50377163617326E+18"/>
  </r>
  <r>
    <b v="0"/>
    <x v="29"/>
    <x v="41"/>
    <x v="1"/>
    <n v="0"/>
    <n v="1.3256379138282E+19"/>
  </r>
  <r>
    <b v="0"/>
    <x v="48"/>
    <x v="11"/>
    <x v="0"/>
    <n v="0"/>
    <n v="3.7840302734242598E+17"/>
  </r>
  <r>
    <b v="0"/>
    <x v="84"/>
    <x v="32"/>
    <x v="1"/>
    <n v="0"/>
    <n v="1.8146075527481201E+19"/>
  </r>
  <r>
    <b v="0"/>
    <x v="55"/>
    <x v="39"/>
    <x v="0"/>
    <n v="0"/>
    <n v="1.6044854004272501E+19"/>
  </r>
  <r>
    <b v="0"/>
    <x v="9"/>
    <x v="42"/>
    <x v="1"/>
    <n v="0"/>
    <n v="1.0162041573529201E+19"/>
  </r>
  <r>
    <b v="0"/>
    <x v="85"/>
    <x v="25"/>
    <x v="0"/>
    <n v="0"/>
    <n v="4.1611102043683799E+18"/>
  </r>
  <r>
    <b v="0"/>
    <x v="32"/>
    <x v="7"/>
    <x v="1"/>
    <n v="0"/>
    <n v="1.2371546332513499E+19"/>
  </r>
  <r>
    <b v="0"/>
    <x v="59"/>
    <x v="34"/>
    <x v="0"/>
    <n v="0"/>
    <n v="1.5188711818404E+19"/>
  </r>
  <r>
    <b v="0"/>
    <x v="86"/>
    <x v="24"/>
    <x v="1"/>
    <n v="0"/>
    <n v="9.5354776467846595E+18"/>
  </r>
  <r>
    <b v="0"/>
    <x v="87"/>
    <x v="0"/>
    <x v="0"/>
    <n v="0"/>
    <n v="9.4565568580411105E+18"/>
  </r>
  <r>
    <b v="0"/>
    <x v="88"/>
    <x v="28"/>
    <x v="0"/>
    <n v="0"/>
    <n v="1.2752564987132899E+19"/>
  </r>
  <r>
    <b v="0"/>
    <x v="44"/>
    <x v="29"/>
    <x v="1"/>
    <n v="0"/>
    <n v="1.7118997872702099E+19"/>
  </r>
  <r>
    <b v="0"/>
    <x v="4"/>
    <x v="25"/>
    <x v="0"/>
    <n v="0"/>
    <n v="9.2122116645713498E+17"/>
  </r>
  <r>
    <b v="0"/>
    <x v="63"/>
    <x v="16"/>
    <x v="0"/>
    <n v="0"/>
    <n v="1.33650346192931E+19"/>
  </r>
  <r>
    <b v="0"/>
    <x v="55"/>
    <x v="14"/>
    <x v="0"/>
    <n v="0"/>
    <n v="1.0511866094793099E+19"/>
  </r>
  <r>
    <b v="0"/>
    <x v="51"/>
    <x v="20"/>
    <x v="1"/>
    <n v="0"/>
    <n v="1.6246209049341E+19"/>
  </r>
  <r>
    <b v="0"/>
    <x v="36"/>
    <x v="18"/>
    <x v="0"/>
    <n v="0"/>
    <n v="1.2670046418482901E+19"/>
  </r>
  <r>
    <b v="0"/>
    <x v="28"/>
    <x v="38"/>
    <x v="1"/>
    <n v="0"/>
    <n v="1.0261865627773E+19"/>
  </r>
  <r>
    <b v="0"/>
    <x v="89"/>
    <x v="43"/>
    <x v="0"/>
    <n v="0"/>
    <n v="6.4151277891775304E+18"/>
  </r>
  <r>
    <b v="0"/>
    <x v="1"/>
    <x v="24"/>
    <x v="1"/>
    <n v="0"/>
    <n v="1.26885533857419E+19"/>
  </r>
  <r>
    <b v="0"/>
    <x v="90"/>
    <x v="16"/>
    <x v="0"/>
    <n v="0"/>
    <n v="1.5775038244102199E+19"/>
  </r>
  <r>
    <b v="0"/>
    <x v="50"/>
    <x v="16"/>
    <x v="0"/>
    <n v="0"/>
    <n v="9.7861353561813504E+18"/>
  </r>
  <r>
    <b v="0"/>
    <x v="91"/>
    <x v="31"/>
    <x v="1"/>
    <n v="0"/>
    <n v="4.7477383939747799E+18"/>
  </r>
  <r>
    <b v="0"/>
    <x v="78"/>
    <x v="28"/>
    <x v="0"/>
    <n v="0"/>
    <n v="2.4265719007383199E+18"/>
  </r>
  <r>
    <b v="0"/>
    <x v="92"/>
    <x v="27"/>
    <x v="0"/>
    <n v="0"/>
    <n v="1.04326820605639E+19"/>
  </r>
  <r>
    <b v="0"/>
    <x v="50"/>
    <x v="33"/>
    <x v="0"/>
    <n v="0"/>
    <n v="3.48897232009784E+17"/>
  </r>
  <r>
    <b v="0"/>
    <x v="45"/>
    <x v="28"/>
    <x v="0"/>
    <n v="0"/>
    <n v="1.46533987844258E+19"/>
  </r>
  <r>
    <b v="0"/>
    <x v="20"/>
    <x v="44"/>
    <x v="0"/>
    <n v="0"/>
    <n v="1.4902580111203299E+19"/>
  </r>
  <r>
    <b v="0"/>
    <x v="1"/>
    <x v="24"/>
    <x v="1"/>
    <n v="0"/>
    <n v="1.26885533857419E+19"/>
  </r>
  <r>
    <b v="0"/>
    <x v="93"/>
    <x v="39"/>
    <x v="0"/>
    <n v="0"/>
    <n v="1.4636496263971799E+19"/>
  </r>
  <r>
    <b v="0"/>
    <x v="62"/>
    <x v="41"/>
    <x v="1"/>
    <n v="0"/>
    <n v="9.0040842907395195E+18"/>
  </r>
  <r>
    <b v="0"/>
    <x v="94"/>
    <x v="34"/>
    <x v="0"/>
    <n v="0"/>
    <n v="6.7378369713667195E+18"/>
  </r>
  <r>
    <b v="0"/>
    <x v="37"/>
    <x v="22"/>
    <x v="1"/>
    <n v="0"/>
    <n v="2.4994857029931802E+18"/>
  </r>
  <r>
    <b v="0"/>
    <x v="27"/>
    <x v="9"/>
    <x v="0"/>
    <n v="0"/>
    <n v="1.32319207276358E+19"/>
  </r>
  <r>
    <b v="0"/>
    <x v="95"/>
    <x v="17"/>
    <x v="1"/>
    <n v="0"/>
    <n v="7.2520152788007496E+18"/>
  </r>
  <r>
    <b v="0"/>
    <x v="96"/>
    <x v="14"/>
    <x v="0"/>
    <n v="0"/>
    <n v="9.4486758801767501E+17"/>
  </r>
  <r>
    <b v="0"/>
    <x v="97"/>
    <x v="36"/>
    <x v="1"/>
    <n v="0"/>
    <n v="9.4431840016684595E+17"/>
  </r>
  <r>
    <b v="0"/>
    <x v="98"/>
    <x v="6"/>
    <x v="0"/>
    <n v="0"/>
    <n v="2.5134928646493998E+18"/>
  </r>
  <r>
    <b v="0"/>
    <x v="99"/>
    <x v="12"/>
    <x v="1"/>
    <n v="0"/>
    <n v="8.32180896931213E+18"/>
  </r>
  <r>
    <b v="0"/>
    <x v="100"/>
    <x v="44"/>
    <x v="0"/>
    <n v="0"/>
    <n v="3.5786974180085402E+18"/>
  </r>
  <r>
    <b v="0"/>
    <x v="81"/>
    <x v="38"/>
    <x v="1"/>
    <n v="0"/>
    <n v="1.7696707373924301E+19"/>
  </r>
  <r>
    <b v="0"/>
    <x v="101"/>
    <x v="45"/>
    <x v="1"/>
    <n v="0"/>
    <n v="4.2576191737237702E+17"/>
  </r>
  <r>
    <b v="0"/>
    <x v="96"/>
    <x v="16"/>
    <x v="0"/>
    <n v="0"/>
    <n v="1.3143000225665401E+19"/>
  </r>
  <r>
    <b v="0"/>
    <x v="2"/>
    <x v="46"/>
    <x v="0"/>
    <n v="0"/>
    <n v="1.1431763338458401E+19"/>
  </r>
  <r>
    <b v="0"/>
    <x v="48"/>
    <x v="28"/>
    <x v="0"/>
    <n v="0"/>
    <n v="1.4483655818624801E+19"/>
  </r>
  <r>
    <b v="0"/>
    <x v="55"/>
    <x v="28"/>
    <x v="0"/>
    <n v="0"/>
    <n v="1.68796897141532E+19"/>
  </r>
  <r>
    <b v="0"/>
    <x v="45"/>
    <x v="15"/>
    <x v="0"/>
    <n v="0"/>
    <n v="9.8140667699847706E+17"/>
  </r>
  <r>
    <b v="0"/>
    <x v="102"/>
    <x v="35"/>
    <x v="1"/>
    <n v="0"/>
    <n v="5.4200639225026099E+18"/>
  </r>
  <r>
    <b v="0"/>
    <x v="50"/>
    <x v="4"/>
    <x v="0"/>
    <n v="0"/>
    <n v="6.2661071659285699E+18"/>
  </r>
  <r>
    <b v="0"/>
    <x v="48"/>
    <x v="2"/>
    <x v="0"/>
    <n v="0"/>
    <n v="1.5776098329363599E+19"/>
  </r>
  <r>
    <b v="0"/>
    <x v="32"/>
    <x v="5"/>
    <x v="1"/>
    <n v="0"/>
    <n v="9.774867016561109E+18"/>
  </r>
  <r>
    <b v="0"/>
    <x v="96"/>
    <x v="16"/>
    <x v="0"/>
    <n v="0"/>
    <n v="1.3143000225665401E+19"/>
  </r>
  <r>
    <b v="0"/>
    <x v="16"/>
    <x v="11"/>
    <x v="0"/>
    <n v="0"/>
    <n v="8.33774270036048E+17"/>
  </r>
  <r>
    <b v="0"/>
    <x v="80"/>
    <x v="11"/>
    <x v="0"/>
    <n v="0"/>
    <n v="1.62012126897878E+19"/>
  </r>
  <r>
    <b v="0"/>
    <x v="86"/>
    <x v="7"/>
    <x v="1"/>
    <n v="0"/>
    <n v="1.2144880693399599E+19"/>
  </r>
  <r>
    <b v="0"/>
    <x v="22"/>
    <x v="9"/>
    <x v="0"/>
    <n v="0"/>
    <n v="4.0951622741794401E+18"/>
  </r>
  <r>
    <b v="0"/>
    <x v="20"/>
    <x v="8"/>
    <x v="0"/>
    <n v="0"/>
    <n v="8.7415906627882598E+18"/>
  </r>
  <r>
    <b v="0"/>
    <x v="9"/>
    <x v="42"/>
    <x v="1"/>
    <n v="0"/>
    <n v="1.0162041573529201E+19"/>
  </r>
  <r>
    <b v="0"/>
    <x v="75"/>
    <x v="11"/>
    <x v="0"/>
    <n v="0"/>
    <n v="1.0304003335828799E+19"/>
  </r>
  <r>
    <b v="0"/>
    <x v="103"/>
    <x v="5"/>
    <x v="1"/>
    <n v="0"/>
    <n v="1.6010664353318101E+19"/>
  </r>
  <r>
    <b v="0"/>
    <x v="14"/>
    <x v="28"/>
    <x v="0"/>
    <n v="0"/>
    <n v="5.5400436122490803E+17"/>
  </r>
  <r>
    <b v="0"/>
    <x v="9"/>
    <x v="45"/>
    <x v="1"/>
    <n v="0"/>
    <n v="1.7436425848301799E+19"/>
  </r>
  <r>
    <b v="0"/>
    <x v="14"/>
    <x v="14"/>
    <x v="0"/>
    <n v="0"/>
    <n v="1.7660184268569999E+19"/>
  </r>
  <r>
    <b v="0"/>
    <x v="56"/>
    <x v="8"/>
    <x v="0"/>
    <n v="0"/>
    <n v="1.0013757276734701E+17"/>
  </r>
  <r>
    <b v="0"/>
    <x v="104"/>
    <x v="16"/>
    <x v="0"/>
    <n v="0"/>
    <n v="1.01062528675973E+18"/>
  </r>
  <r>
    <b v="0"/>
    <x v="88"/>
    <x v="28"/>
    <x v="0"/>
    <n v="0"/>
    <n v="1.2752564987132899E+19"/>
  </r>
  <r>
    <b v="0"/>
    <x v="95"/>
    <x v="40"/>
    <x v="0"/>
    <n v="0"/>
    <n v="1.6383455278652701E+19"/>
  </r>
  <r>
    <b v="0"/>
    <x v="105"/>
    <x v="16"/>
    <x v="0"/>
    <n v="0"/>
    <n v="1.1510532716547E+19"/>
  </r>
  <r>
    <b v="0"/>
    <x v="106"/>
    <x v="7"/>
    <x v="1"/>
    <n v="0"/>
    <n v="3.7703593633618401E+18"/>
  </r>
  <r>
    <b v="0"/>
    <x v="64"/>
    <x v="9"/>
    <x v="0"/>
    <n v="0"/>
    <n v="1.6678712418379201E+19"/>
  </r>
  <r>
    <b v="0"/>
    <x v="35"/>
    <x v="29"/>
    <x v="1"/>
    <n v="0"/>
    <n v="5.64406552298991E+18"/>
  </r>
  <r>
    <b v="0"/>
    <x v="8"/>
    <x v="25"/>
    <x v="0"/>
    <n v="0"/>
    <n v="1.2500107025947699E+19"/>
  </r>
  <r>
    <b v="0"/>
    <x v="54"/>
    <x v="47"/>
    <x v="0"/>
    <n v="0"/>
    <n v="1.1748171781901599E+18"/>
  </r>
  <r>
    <b v="0"/>
    <x v="29"/>
    <x v="24"/>
    <x v="1"/>
    <n v="0"/>
    <n v="8.0683815257058396E+18"/>
  </r>
  <r>
    <b v="0"/>
    <x v="78"/>
    <x v="9"/>
    <x v="0"/>
    <n v="0"/>
    <n v="2.35630075762989E+18"/>
  </r>
  <r>
    <b v="0"/>
    <x v="70"/>
    <x v="42"/>
    <x v="1"/>
    <n v="0"/>
    <n v="9.5838422814240707E+18"/>
  </r>
  <r>
    <b v="0"/>
    <x v="68"/>
    <x v="16"/>
    <x v="0"/>
    <n v="0"/>
    <n v="6.57253489186018E+18"/>
  </r>
  <r>
    <b v="0"/>
    <x v="21"/>
    <x v="8"/>
    <x v="0"/>
    <n v="0"/>
    <n v="1.13096739959469E+18"/>
  </r>
  <r>
    <b v="0"/>
    <x v="99"/>
    <x v="38"/>
    <x v="1"/>
    <n v="0"/>
    <n v="1.3489630063904399E+19"/>
  </r>
  <r>
    <b v="0"/>
    <x v="45"/>
    <x v="11"/>
    <x v="0"/>
    <n v="0"/>
    <n v="1.3022021512136901E+19"/>
  </r>
  <r>
    <b v="0"/>
    <x v="107"/>
    <x v="27"/>
    <x v="0"/>
    <n v="0"/>
    <n v="3.7108963277343201E+18"/>
  </r>
  <r>
    <b v="0"/>
    <x v="6"/>
    <x v="18"/>
    <x v="0"/>
    <n v="0"/>
    <n v="1.0043993463810099E+19"/>
  </r>
  <r>
    <b v="0"/>
    <x v="29"/>
    <x v="38"/>
    <x v="1"/>
    <n v="0"/>
    <n v="1.3332605247122301E+19"/>
  </r>
  <r>
    <b v="0"/>
    <x v="27"/>
    <x v="26"/>
    <x v="0"/>
    <n v="0"/>
    <n v="6.8095802413457295E+18"/>
  </r>
  <r>
    <b v="0"/>
    <x v="108"/>
    <x v="23"/>
    <x v="1"/>
    <n v="0"/>
    <n v="1.41194908696534E+19"/>
  </r>
  <r>
    <b v="0"/>
    <x v="88"/>
    <x v="14"/>
    <x v="0"/>
    <n v="0"/>
    <n v="1.6975320635960101E+19"/>
  </r>
  <r>
    <b v="0"/>
    <x v="91"/>
    <x v="24"/>
    <x v="1"/>
    <n v="0"/>
    <n v="1.36737407509359E+19"/>
  </r>
  <r>
    <b v="0"/>
    <x v="14"/>
    <x v="48"/>
    <x v="0"/>
    <n v="0"/>
    <n v="1.3016379943041901E+19"/>
  </r>
  <r>
    <b v="0"/>
    <x v="37"/>
    <x v="5"/>
    <x v="1"/>
    <n v="0"/>
    <n v="1.34955153951051E+19"/>
  </r>
  <r>
    <b v="0"/>
    <x v="94"/>
    <x v="14"/>
    <x v="0"/>
    <n v="0"/>
    <n v="3.51324442502654E+18"/>
  </r>
  <r>
    <b v="0"/>
    <x v="29"/>
    <x v="35"/>
    <x v="1"/>
    <n v="0"/>
    <n v="7.6776878988699505E+18"/>
  </r>
  <r>
    <b v="0"/>
    <x v="109"/>
    <x v="25"/>
    <x v="0"/>
    <n v="0"/>
    <n v="7.2468554750697001E+18"/>
  </r>
  <r>
    <b v="0"/>
    <x v="12"/>
    <x v="1"/>
    <x v="1"/>
    <n v="0"/>
    <n v="1.41972628143006E+19"/>
  </r>
  <r>
    <b v="0"/>
    <x v="110"/>
    <x v="26"/>
    <x v="0"/>
    <n v="0"/>
    <n v="1.6382026475494601E+19"/>
  </r>
  <r>
    <b v="0"/>
    <x v="50"/>
    <x v="9"/>
    <x v="0"/>
    <n v="0"/>
    <n v="4.98115239763665E+18"/>
  </r>
  <r>
    <b v="0"/>
    <x v="111"/>
    <x v="0"/>
    <x v="0"/>
    <n v="0"/>
    <n v="1.08113544271018E+19"/>
  </r>
  <r>
    <b v="0"/>
    <x v="20"/>
    <x v="9"/>
    <x v="0"/>
    <n v="0"/>
    <n v="1.6637850838695301E+18"/>
  </r>
  <r>
    <b v="0"/>
    <x v="109"/>
    <x v="9"/>
    <x v="0"/>
    <n v="0"/>
    <n v="1.7942520652645501E+19"/>
  </r>
  <r>
    <b v="0"/>
    <x v="10"/>
    <x v="33"/>
    <x v="0"/>
    <n v="0"/>
    <n v="1.6131237846923201E+19"/>
  </r>
  <r>
    <b v="0"/>
    <x v="112"/>
    <x v="0"/>
    <x v="0"/>
    <n v="0"/>
    <n v="3.5315836404831898E+18"/>
  </r>
  <r>
    <b v="0"/>
    <x v="20"/>
    <x v="33"/>
    <x v="0"/>
    <n v="0"/>
    <n v="5.4776324752964803E+18"/>
  </r>
  <r>
    <b v="0"/>
    <x v="102"/>
    <x v="1"/>
    <x v="1"/>
    <n v="0"/>
    <n v="2.3410197968485402E+18"/>
  </r>
  <r>
    <b v="0"/>
    <x v="113"/>
    <x v="34"/>
    <x v="0"/>
    <n v="0"/>
    <n v="1.54063897435223E+19"/>
  </r>
  <r>
    <b v="0"/>
    <x v="114"/>
    <x v="35"/>
    <x v="1"/>
    <n v="0"/>
    <n v="3.10125569120241E+18"/>
  </r>
  <r>
    <b v="0"/>
    <x v="115"/>
    <x v="21"/>
    <x v="0"/>
    <n v="0"/>
    <n v="5.9171058308963103E+18"/>
  </r>
  <r>
    <b v="0"/>
    <x v="32"/>
    <x v="1"/>
    <x v="1"/>
    <n v="0"/>
    <n v="5.1171040043426304E+18"/>
  </r>
  <r>
    <b v="0"/>
    <x v="116"/>
    <x v="1"/>
    <x v="1"/>
    <n v="0"/>
    <n v="8.9156142304957102E+18"/>
  </r>
  <r>
    <b v="0"/>
    <x v="117"/>
    <x v="16"/>
    <x v="0"/>
    <n v="0"/>
    <n v="9.6139624912925204E+18"/>
  </r>
  <r>
    <b v="0"/>
    <x v="60"/>
    <x v="0"/>
    <x v="0"/>
    <n v="0"/>
    <n v="9.7592047910309007E+18"/>
  </r>
  <r>
    <b v="0"/>
    <x v="118"/>
    <x v="23"/>
    <x v="1"/>
    <n v="0"/>
    <n v="8.8140018051874898E+18"/>
  </r>
  <r>
    <b v="0"/>
    <x v="94"/>
    <x v="26"/>
    <x v="0"/>
    <n v="0"/>
    <n v="1.6462660219804101E+19"/>
  </r>
  <r>
    <b v="0"/>
    <x v="119"/>
    <x v="10"/>
    <x v="1"/>
    <n v="0"/>
    <n v="5.46086963206349E+18"/>
  </r>
  <r>
    <b v="0"/>
    <x v="59"/>
    <x v="34"/>
    <x v="0"/>
    <n v="0"/>
    <n v="1.5188711818404E+19"/>
  </r>
  <r>
    <b v="0"/>
    <x v="120"/>
    <x v="36"/>
    <x v="1"/>
    <n v="0"/>
    <n v="1.3561893533188301E+19"/>
  </r>
  <r>
    <b v="0"/>
    <x v="96"/>
    <x v="4"/>
    <x v="0"/>
    <n v="0"/>
    <n v="1.20233213588392E+19"/>
  </r>
  <r>
    <b v="0"/>
    <x v="27"/>
    <x v="25"/>
    <x v="0"/>
    <n v="0"/>
    <n v="6.6702864724248402E+18"/>
  </r>
  <r>
    <b v="0"/>
    <x v="101"/>
    <x v="45"/>
    <x v="1"/>
    <n v="0"/>
    <n v="4.2576191737237702E+17"/>
  </r>
  <r>
    <b v="0"/>
    <x v="68"/>
    <x v="25"/>
    <x v="0"/>
    <n v="0"/>
    <n v="1.65646341378955E+19"/>
  </r>
  <r>
    <b v="0"/>
    <x v="121"/>
    <x v="49"/>
    <x v="1"/>
    <n v="0"/>
    <n v="7.19608204344627E+18"/>
  </r>
  <r>
    <b v="0"/>
    <x v="8"/>
    <x v="2"/>
    <x v="0"/>
    <n v="0"/>
    <n v="5.6315293796012298E+18"/>
  </r>
  <r>
    <b v="0"/>
    <x v="62"/>
    <x v="1"/>
    <x v="1"/>
    <n v="0"/>
    <n v="3.6529447295721001E+18"/>
  </r>
  <r>
    <b v="0"/>
    <x v="115"/>
    <x v="11"/>
    <x v="0"/>
    <n v="0"/>
    <n v="7.2793778609775104E+18"/>
  </r>
  <r>
    <b v="0"/>
    <x v="92"/>
    <x v="15"/>
    <x v="0"/>
    <n v="0"/>
    <n v="5.02285966728664E+17"/>
  </r>
  <r>
    <b v="0"/>
    <x v="45"/>
    <x v="15"/>
    <x v="0"/>
    <n v="0"/>
    <n v="9.8140667699847706E+17"/>
  </r>
  <r>
    <b v="0"/>
    <x v="94"/>
    <x v="6"/>
    <x v="0"/>
    <n v="0"/>
    <n v="1.7194082670463001E+19"/>
  </r>
  <r>
    <b v="0"/>
    <x v="122"/>
    <x v="18"/>
    <x v="0"/>
    <n v="0"/>
    <n v="1.1642459684658801E+19"/>
  </r>
  <r>
    <b v="0"/>
    <x v="10"/>
    <x v="27"/>
    <x v="0"/>
    <n v="0"/>
    <n v="1.4449533141942301E+19"/>
  </r>
  <r>
    <b v="0"/>
    <x v="115"/>
    <x v="11"/>
    <x v="0"/>
    <n v="0"/>
    <n v="7.2793778609775104E+18"/>
  </r>
  <r>
    <b v="0"/>
    <x v="37"/>
    <x v="32"/>
    <x v="1"/>
    <n v="0"/>
    <n v="5.36679701348382E+18"/>
  </r>
  <r>
    <b v="0"/>
    <x v="117"/>
    <x v="0"/>
    <x v="0"/>
    <n v="0"/>
    <n v="9.6777461994941092E+18"/>
  </r>
  <r>
    <b v="0"/>
    <x v="123"/>
    <x v="9"/>
    <x v="0"/>
    <n v="0"/>
    <n v="1.7200088335640199E+19"/>
  </r>
  <r>
    <b v="0"/>
    <x v="4"/>
    <x v="8"/>
    <x v="0"/>
    <n v="0"/>
    <n v="1.24295790418066E+19"/>
  </r>
  <r>
    <b v="0"/>
    <x v="116"/>
    <x v="22"/>
    <x v="1"/>
    <n v="0"/>
    <n v="1.3562284258364201E+19"/>
  </r>
  <r>
    <b v="0"/>
    <x v="16"/>
    <x v="11"/>
    <x v="0"/>
    <n v="0"/>
    <n v="8.33774270036048E+17"/>
  </r>
  <r>
    <b v="0"/>
    <x v="51"/>
    <x v="50"/>
    <x v="1"/>
    <n v="0"/>
    <n v="1.8280233908976799E+18"/>
  </r>
  <r>
    <b v="0"/>
    <x v="106"/>
    <x v="29"/>
    <x v="1"/>
    <n v="0"/>
    <n v="5.6043075225333903E+18"/>
  </r>
  <r>
    <b v="0"/>
    <x v="124"/>
    <x v="26"/>
    <x v="0"/>
    <n v="0"/>
    <n v="1.3296763778777201E+19"/>
  </r>
  <r>
    <b v="0"/>
    <x v="111"/>
    <x v="28"/>
    <x v="0"/>
    <n v="0"/>
    <n v="8.6847157159502397E+18"/>
  </r>
  <r>
    <b v="0"/>
    <x v="125"/>
    <x v="42"/>
    <x v="1"/>
    <n v="0"/>
    <n v="1.1528234494132099E+19"/>
  </r>
  <r>
    <b v="0"/>
    <x v="75"/>
    <x v="21"/>
    <x v="0"/>
    <n v="0"/>
    <n v="1.7723667095578801E+18"/>
  </r>
  <r>
    <b v="0"/>
    <x v="46"/>
    <x v="42"/>
    <x v="1"/>
    <n v="0"/>
    <n v="1.3923132496978301E+19"/>
  </r>
  <r>
    <b v="0"/>
    <x v="24"/>
    <x v="2"/>
    <x v="0"/>
    <n v="0"/>
    <n v="1.190335386374149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135" firstHeaderRow="0" firstDataRow="1" firstDataCol="3"/>
  <pivotFields count="6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4" subtotal="average" baseField="0" baseItem="1" numFmtId="164"/>
    <dataField name="% of Total Blanks" fld="4" showDataAs="percentOfTotal" baseField="0" baseItem="1" numFmtId="164"/>
  </dataFields>
  <formats count="158">
    <format dxfId="304">
      <pivotArea type="all" dataOnly="0" outline="0" fieldPosition="0"/>
    </format>
    <format dxfId="303">
      <pivotArea type="all" dataOnly="0" outline="0" fieldPosition="0"/>
    </format>
    <format dxfId="302">
      <pivotArea dataOnly="0" outline="0" fieldPosition="0">
        <references count="1">
          <reference field="4294967294" count="1">
            <x v="0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fieldPosition="0">
        <references count="1">
          <reference field="4294967294" count="1">
            <x v="1"/>
          </reference>
        </references>
      </pivotArea>
    </format>
    <format dxfId="299">
      <pivotArea type="all" dataOnly="0" outline="0" fieldPosition="0"/>
    </format>
    <format dxfId="29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97">
      <pivotArea outline="0" fieldPosition="0">
        <references count="1">
          <reference field="4294967294" count="1" selected="0">
            <x v="1"/>
          </reference>
        </references>
      </pivotArea>
    </format>
    <format dxfId="150">
      <pivotArea field="1" type="button" dataOnly="0" labelOnly="1" outline="0" axis="axisRow" fieldPosition="0"/>
    </format>
    <format dxfId="149">
      <pivotArea field="2" type="button" dataOnly="0" labelOnly="1" outline="0" axis="axisRow" fieldPosition="1"/>
    </format>
    <format dxfId="148">
      <pivotArea field="3" type="button" dataOnly="0" labelOnly="1" outline="0" axis="axisRow" fieldPosition="2"/>
    </format>
    <format dxfId="1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2" type="button" dataOnly="0" labelOnly="1" outline="0" axis="axisRow" fieldPosition="1"/>
    </format>
    <format dxfId="143">
      <pivotArea field="3" type="button" dataOnly="0" labelOnly="1" outline="0" axis="axisRow" fieldPosition="2"/>
    </format>
    <format dxfId="14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0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1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">
      <pivotArea field="1" type="button" dataOnly="0" labelOnly="1" outline="0" axis="axisRow" fieldPosition="0"/>
    </format>
    <format dxfId="127">
      <pivotArea dataOnly="0" labelOnly="1" outline="0" fieldPosition="0">
        <references count="1">
          <reference field="1" count="1">
            <x v="0"/>
          </reference>
        </references>
      </pivotArea>
    </format>
    <format dxfId="126">
      <pivotArea dataOnly="0" labelOnly="1" outline="0" fieldPosition="0">
        <references count="1">
          <reference field="1" count="1">
            <x v="1"/>
          </reference>
        </references>
      </pivotArea>
    </format>
    <format dxfId="125">
      <pivotArea dataOnly="0" labelOnly="1" outline="0" fieldPosition="0">
        <references count="1">
          <reference field="1" count="1">
            <x v="2"/>
          </reference>
        </references>
      </pivotArea>
    </format>
    <format dxfId="124">
      <pivotArea dataOnly="0" labelOnly="1" outline="0" fieldPosition="0">
        <references count="1">
          <reference field="1" count="1">
            <x v="3"/>
          </reference>
        </references>
      </pivotArea>
    </format>
    <format dxfId="123">
      <pivotArea dataOnly="0" labelOnly="1" outline="0" fieldPosition="0">
        <references count="1">
          <reference field="1" count="1">
            <x v="4"/>
          </reference>
        </references>
      </pivotArea>
    </format>
    <format dxfId="122">
      <pivotArea dataOnly="0" labelOnly="1" outline="0" fieldPosition="0">
        <references count="1">
          <reference field="1" count="1">
            <x v="5"/>
          </reference>
        </references>
      </pivotArea>
    </format>
    <format dxfId="121">
      <pivotArea dataOnly="0" labelOnly="1" outline="0" fieldPosition="0">
        <references count="1">
          <reference field="1" count="1">
            <x v="6"/>
          </reference>
        </references>
      </pivotArea>
    </format>
    <format dxfId="120">
      <pivotArea dataOnly="0" labelOnly="1" outline="0" fieldPosition="0">
        <references count="1">
          <reference field="1" count="1">
            <x v="7"/>
          </reference>
        </references>
      </pivotArea>
    </format>
    <format dxfId="119">
      <pivotArea dataOnly="0" labelOnly="1" outline="0" fieldPosition="0">
        <references count="1">
          <reference field="1" count="1">
            <x v="8"/>
          </reference>
        </references>
      </pivotArea>
    </format>
    <format dxfId="118">
      <pivotArea dataOnly="0" labelOnly="1" outline="0" fieldPosition="0">
        <references count="1">
          <reference field="1" count="1">
            <x v="9"/>
          </reference>
        </references>
      </pivotArea>
    </format>
    <format dxfId="117">
      <pivotArea dataOnly="0" labelOnly="1" outline="0" fieldPosition="0">
        <references count="1">
          <reference field="1" count="1">
            <x v="10"/>
          </reference>
        </references>
      </pivotArea>
    </format>
    <format dxfId="116">
      <pivotArea dataOnly="0" labelOnly="1" outline="0" fieldPosition="0">
        <references count="1">
          <reference field="1" count="1">
            <x v="11"/>
          </reference>
        </references>
      </pivotArea>
    </format>
    <format dxfId="115">
      <pivotArea dataOnly="0" labelOnly="1" outline="0" fieldPosition="0">
        <references count="1">
          <reference field="1" count="1">
            <x v="12"/>
          </reference>
        </references>
      </pivotArea>
    </format>
    <format dxfId="114">
      <pivotArea dataOnly="0" labelOnly="1" outline="0" fieldPosition="0">
        <references count="1">
          <reference field="1" count="1">
            <x v="13"/>
          </reference>
        </references>
      </pivotArea>
    </format>
    <format dxfId="113">
      <pivotArea dataOnly="0" labelOnly="1" outline="0" fieldPosition="0">
        <references count="1">
          <reference field="1" count="1">
            <x v="14"/>
          </reference>
        </references>
      </pivotArea>
    </format>
    <format dxfId="112">
      <pivotArea dataOnly="0" labelOnly="1" outline="0" fieldPosition="0">
        <references count="1">
          <reference field="1" count="1">
            <x v="15"/>
          </reference>
        </references>
      </pivotArea>
    </format>
    <format dxfId="111">
      <pivotArea dataOnly="0" labelOnly="1" outline="0" fieldPosition="0">
        <references count="1">
          <reference field="1" count="1">
            <x v="16"/>
          </reference>
        </references>
      </pivotArea>
    </format>
    <format dxfId="110">
      <pivotArea dataOnly="0" labelOnly="1" outline="0" fieldPosition="0">
        <references count="1">
          <reference field="1" count="1">
            <x v="17"/>
          </reference>
        </references>
      </pivotArea>
    </format>
    <format dxfId="109">
      <pivotArea dataOnly="0" labelOnly="1" outline="0" fieldPosition="0">
        <references count="1">
          <reference field="1" count="1">
            <x v="18"/>
          </reference>
        </references>
      </pivotArea>
    </format>
    <format dxfId="108">
      <pivotArea dataOnly="0" labelOnly="1" outline="0" fieldPosition="0">
        <references count="1">
          <reference field="1" count="1">
            <x v="19"/>
          </reference>
        </references>
      </pivotArea>
    </format>
    <format dxfId="107">
      <pivotArea dataOnly="0" labelOnly="1" outline="0" fieldPosition="0">
        <references count="1">
          <reference field="1" count="1">
            <x v="20"/>
          </reference>
        </references>
      </pivotArea>
    </format>
    <format dxfId="106">
      <pivotArea dataOnly="0" labelOnly="1" outline="0" fieldPosition="0">
        <references count="1">
          <reference field="1" count="1">
            <x v="21"/>
          </reference>
        </references>
      </pivotArea>
    </format>
    <format dxfId="105">
      <pivotArea dataOnly="0" labelOnly="1" outline="0" fieldPosition="0">
        <references count="1">
          <reference field="1" count="1">
            <x v="22"/>
          </reference>
        </references>
      </pivotArea>
    </format>
    <format dxfId="104">
      <pivotArea dataOnly="0" labelOnly="1" outline="0" fieldPosition="0">
        <references count="1">
          <reference field="1" count="1">
            <x v="23"/>
          </reference>
        </references>
      </pivotArea>
    </format>
    <format dxfId="103">
      <pivotArea dataOnly="0" labelOnly="1" outline="0" fieldPosition="0">
        <references count="1">
          <reference field="1" count="1">
            <x v="24"/>
          </reference>
        </references>
      </pivotArea>
    </format>
    <format dxfId="102">
      <pivotArea dataOnly="0" labelOnly="1" outline="0" fieldPosition="0">
        <references count="1">
          <reference field="1" count="1">
            <x v="25"/>
          </reference>
        </references>
      </pivotArea>
    </format>
    <format dxfId="101">
      <pivotArea dataOnly="0" labelOnly="1" outline="0" fieldPosition="0">
        <references count="1">
          <reference field="1" count="1">
            <x v="26"/>
          </reference>
        </references>
      </pivotArea>
    </format>
    <format dxfId="100">
      <pivotArea dataOnly="0" labelOnly="1" outline="0" fieldPosition="0">
        <references count="1">
          <reference field="1" count="1">
            <x v="27"/>
          </reference>
        </references>
      </pivotArea>
    </format>
    <format dxfId="99">
      <pivotArea dataOnly="0" labelOnly="1" outline="0" fieldPosition="0">
        <references count="1">
          <reference field="1" count="1">
            <x v="28"/>
          </reference>
        </references>
      </pivotArea>
    </format>
    <format dxfId="98">
      <pivotArea dataOnly="0" labelOnly="1" outline="0" fieldPosition="0">
        <references count="1">
          <reference field="1" count="1">
            <x v="29"/>
          </reference>
        </references>
      </pivotArea>
    </format>
    <format dxfId="97">
      <pivotArea dataOnly="0" labelOnly="1" outline="0" fieldPosition="0">
        <references count="1">
          <reference field="1" count="1">
            <x v="30"/>
          </reference>
        </references>
      </pivotArea>
    </format>
    <format dxfId="96">
      <pivotArea dataOnly="0" labelOnly="1" outline="0" fieldPosition="0">
        <references count="1">
          <reference field="1" count="1">
            <x v="31"/>
          </reference>
        </references>
      </pivotArea>
    </format>
    <format dxfId="95">
      <pivotArea dataOnly="0" labelOnly="1" outline="0" fieldPosition="0">
        <references count="1">
          <reference field="1" count="1">
            <x v="32"/>
          </reference>
        </references>
      </pivotArea>
    </format>
    <format dxfId="94">
      <pivotArea dataOnly="0" labelOnly="1" outline="0" fieldPosition="0">
        <references count="1">
          <reference field="1" count="1">
            <x v="33"/>
          </reference>
        </references>
      </pivotArea>
    </format>
    <format dxfId="93">
      <pivotArea dataOnly="0" labelOnly="1" outline="0" fieldPosition="0">
        <references count="1">
          <reference field="1" count="1">
            <x v="34"/>
          </reference>
        </references>
      </pivotArea>
    </format>
    <format dxfId="92">
      <pivotArea dataOnly="0" labelOnly="1" outline="0" fieldPosition="0">
        <references count="1">
          <reference field="1" count="1">
            <x v="35"/>
          </reference>
        </references>
      </pivotArea>
    </format>
    <format dxfId="91">
      <pivotArea dataOnly="0" labelOnly="1" outline="0" fieldPosition="0">
        <references count="1">
          <reference field="1" count="1">
            <x v="36"/>
          </reference>
        </references>
      </pivotArea>
    </format>
    <format dxfId="90">
      <pivotArea dataOnly="0" labelOnly="1" outline="0" fieldPosition="0">
        <references count="1">
          <reference field="1" count="1">
            <x v="37"/>
          </reference>
        </references>
      </pivotArea>
    </format>
    <format dxfId="89">
      <pivotArea dataOnly="0" labelOnly="1" outline="0" fieldPosition="0">
        <references count="1">
          <reference field="1" count="1">
            <x v="38"/>
          </reference>
        </references>
      </pivotArea>
    </format>
    <format dxfId="88">
      <pivotArea dataOnly="0" labelOnly="1" outline="0" fieldPosition="0">
        <references count="1">
          <reference field="1" count="1">
            <x v="39"/>
          </reference>
        </references>
      </pivotArea>
    </format>
    <format dxfId="87">
      <pivotArea dataOnly="0" labelOnly="1" outline="0" fieldPosition="0">
        <references count="1">
          <reference field="1" count="1">
            <x v="40"/>
          </reference>
        </references>
      </pivotArea>
    </format>
    <format dxfId="86">
      <pivotArea dataOnly="0" labelOnly="1" outline="0" fieldPosition="0">
        <references count="1">
          <reference field="1" count="1">
            <x v="41"/>
          </reference>
        </references>
      </pivotArea>
    </format>
    <format dxfId="85">
      <pivotArea dataOnly="0" labelOnly="1" outline="0" fieldPosition="0">
        <references count="1">
          <reference field="1" count="1">
            <x v="42"/>
          </reference>
        </references>
      </pivotArea>
    </format>
    <format dxfId="84">
      <pivotArea dataOnly="0" labelOnly="1" outline="0" fieldPosition="0">
        <references count="1">
          <reference field="1" count="1">
            <x v="43"/>
          </reference>
        </references>
      </pivotArea>
    </format>
    <format dxfId="83">
      <pivotArea dataOnly="0" labelOnly="1" outline="0" fieldPosition="0">
        <references count="1">
          <reference field="1" count="1">
            <x v="44"/>
          </reference>
        </references>
      </pivotArea>
    </format>
    <format dxfId="82">
      <pivotArea dataOnly="0" labelOnly="1" outline="0" fieldPosition="0">
        <references count="1">
          <reference field="1" count="1">
            <x v="45"/>
          </reference>
        </references>
      </pivotArea>
    </format>
    <format dxfId="81">
      <pivotArea dataOnly="0" labelOnly="1" outline="0" fieldPosition="0">
        <references count="1">
          <reference field="1" count="1">
            <x v="46"/>
          </reference>
        </references>
      </pivotArea>
    </format>
    <format dxfId="80">
      <pivotArea dataOnly="0" labelOnly="1" outline="0" fieldPosition="0">
        <references count="1">
          <reference field="1" count="1">
            <x v="47"/>
          </reference>
        </references>
      </pivotArea>
    </format>
    <format dxfId="79">
      <pivotArea dataOnly="0" labelOnly="1" outline="0" fieldPosition="0">
        <references count="1">
          <reference field="1" count="1">
            <x v="48"/>
          </reference>
        </references>
      </pivotArea>
    </format>
    <format dxfId="78">
      <pivotArea dataOnly="0" labelOnly="1" outline="0" fieldPosition="0">
        <references count="1">
          <reference field="1" count="1">
            <x v="49"/>
          </reference>
        </references>
      </pivotArea>
    </format>
    <format dxfId="77">
      <pivotArea dataOnly="0" labelOnly="1" outline="0" fieldPosition="0">
        <references count="1">
          <reference field="1" count="1">
            <x v="50"/>
          </reference>
        </references>
      </pivotArea>
    </format>
    <format dxfId="76">
      <pivotArea dataOnly="0" labelOnly="1" outline="0" fieldPosition="0">
        <references count="1">
          <reference field="1" count="1">
            <x v="51"/>
          </reference>
        </references>
      </pivotArea>
    </format>
    <format dxfId="75">
      <pivotArea dataOnly="0" labelOnly="1" outline="0" fieldPosition="0">
        <references count="1">
          <reference field="1" count="1">
            <x v="52"/>
          </reference>
        </references>
      </pivotArea>
    </format>
    <format dxfId="74">
      <pivotArea dataOnly="0" labelOnly="1" outline="0" fieldPosition="0">
        <references count="1">
          <reference field="1" count="1">
            <x v="53"/>
          </reference>
        </references>
      </pivotArea>
    </format>
    <format dxfId="73">
      <pivotArea dataOnly="0" labelOnly="1" outline="0" fieldPosition="0">
        <references count="1">
          <reference field="1" count="1">
            <x v="54"/>
          </reference>
        </references>
      </pivotArea>
    </format>
    <format dxfId="72">
      <pivotArea dataOnly="0" labelOnly="1" outline="0" fieldPosition="0">
        <references count="1">
          <reference field="1" count="1">
            <x v="55"/>
          </reference>
        </references>
      </pivotArea>
    </format>
    <format dxfId="71">
      <pivotArea dataOnly="0" labelOnly="1" outline="0" fieldPosition="0">
        <references count="1">
          <reference field="1" count="1">
            <x v="56"/>
          </reference>
        </references>
      </pivotArea>
    </format>
    <format dxfId="70">
      <pivotArea dataOnly="0" labelOnly="1" outline="0" fieldPosition="0">
        <references count="1">
          <reference field="1" count="1">
            <x v="57"/>
          </reference>
        </references>
      </pivotArea>
    </format>
    <format dxfId="69">
      <pivotArea dataOnly="0" labelOnly="1" outline="0" fieldPosition="0">
        <references count="1">
          <reference field="1" count="1">
            <x v="58"/>
          </reference>
        </references>
      </pivotArea>
    </format>
    <format dxfId="68">
      <pivotArea dataOnly="0" labelOnly="1" outline="0" fieldPosition="0">
        <references count="1">
          <reference field="1" count="1">
            <x v="59"/>
          </reference>
        </references>
      </pivotArea>
    </format>
    <format dxfId="67">
      <pivotArea dataOnly="0" labelOnly="1" outline="0" fieldPosition="0">
        <references count="1">
          <reference field="1" count="1">
            <x v="60"/>
          </reference>
        </references>
      </pivotArea>
    </format>
    <format dxfId="66">
      <pivotArea dataOnly="0" labelOnly="1" outline="0" fieldPosition="0">
        <references count="1">
          <reference field="1" count="1">
            <x v="61"/>
          </reference>
        </references>
      </pivotArea>
    </format>
    <format dxfId="65">
      <pivotArea dataOnly="0" labelOnly="1" outline="0" fieldPosition="0">
        <references count="1">
          <reference field="1" count="1">
            <x v="62"/>
          </reference>
        </references>
      </pivotArea>
    </format>
    <format dxfId="64">
      <pivotArea dataOnly="0" labelOnly="1" outline="0" fieldPosition="0">
        <references count="1">
          <reference field="1" count="1">
            <x v="63"/>
          </reference>
        </references>
      </pivotArea>
    </format>
    <format dxfId="63">
      <pivotArea dataOnly="0" labelOnly="1" outline="0" fieldPosition="0">
        <references count="1">
          <reference field="1" count="1">
            <x v="64"/>
          </reference>
        </references>
      </pivotArea>
    </format>
    <format dxfId="62">
      <pivotArea dataOnly="0" labelOnly="1" outline="0" fieldPosition="0">
        <references count="1">
          <reference field="1" count="1">
            <x v="65"/>
          </reference>
        </references>
      </pivotArea>
    </format>
    <format dxfId="61">
      <pivotArea dataOnly="0" labelOnly="1" outline="0" fieldPosition="0">
        <references count="1">
          <reference field="1" count="1">
            <x v="66"/>
          </reference>
        </references>
      </pivotArea>
    </format>
    <format dxfId="60">
      <pivotArea dataOnly="0" labelOnly="1" outline="0" fieldPosition="0">
        <references count="1">
          <reference field="1" count="1">
            <x v="67"/>
          </reference>
        </references>
      </pivotArea>
    </format>
    <format dxfId="59">
      <pivotArea dataOnly="0" labelOnly="1" outline="0" fieldPosition="0">
        <references count="1">
          <reference field="1" count="1">
            <x v="68"/>
          </reference>
        </references>
      </pivotArea>
    </format>
    <format dxfId="58">
      <pivotArea dataOnly="0" labelOnly="1" outline="0" fieldPosition="0">
        <references count="1">
          <reference field="1" count="1">
            <x v="69"/>
          </reference>
        </references>
      </pivotArea>
    </format>
    <format dxfId="57">
      <pivotArea dataOnly="0" labelOnly="1" outline="0" fieldPosition="0">
        <references count="1">
          <reference field="1" count="1">
            <x v="70"/>
          </reference>
        </references>
      </pivotArea>
    </format>
    <format dxfId="56">
      <pivotArea dataOnly="0" labelOnly="1" outline="0" fieldPosition="0">
        <references count="1">
          <reference field="1" count="1">
            <x v="71"/>
          </reference>
        </references>
      </pivotArea>
    </format>
    <format dxfId="55">
      <pivotArea dataOnly="0" labelOnly="1" outline="0" fieldPosition="0">
        <references count="1">
          <reference field="1" count="1">
            <x v="72"/>
          </reference>
        </references>
      </pivotArea>
    </format>
    <format dxfId="54">
      <pivotArea dataOnly="0" labelOnly="1" outline="0" fieldPosition="0">
        <references count="1">
          <reference field="1" count="1">
            <x v="73"/>
          </reference>
        </references>
      </pivotArea>
    </format>
    <format dxfId="53">
      <pivotArea dataOnly="0" labelOnly="1" outline="0" fieldPosition="0">
        <references count="1">
          <reference field="1" count="1">
            <x v="74"/>
          </reference>
        </references>
      </pivotArea>
    </format>
    <format dxfId="52">
      <pivotArea dataOnly="0" labelOnly="1" outline="0" fieldPosition="0">
        <references count="1">
          <reference field="1" count="1">
            <x v="75"/>
          </reference>
        </references>
      </pivotArea>
    </format>
    <format dxfId="51">
      <pivotArea dataOnly="0" labelOnly="1" outline="0" fieldPosition="0">
        <references count="1">
          <reference field="1" count="1">
            <x v="76"/>
          </reference>
        </references>
      </pivotArea>
    </format>
    <format dxfId="50">
      <pivotArea dataOnly="0" labelOnly="1" outline="0" fieldPosition="0">
        <references count="1">
          <reference field="1" count="1">
            <x v="77"/>
          </reference>
        </references>
      </pivotArea>
    </format>
    <format dxfId="49">
      <pivotArea dataOnly="0" labelOnly="1" outline="0" fieldPosition="0">
        <references count="1">
          <reference field="1" count="1">
            <x v="78"/>
          </reference>
        </references>
      </pivotArea>
    </format>
    <format dxfId="48">
      <pivotArea dataOnly="0" labelOnly="1" outline="0" fieldPosition="0">
        <references count="1">
          <reference field="1" count="1">
            <x v="79"/>
          </reference>
        </references>
      </pivotArea>
    </format>
    <format dxfId="47">
      <pivotArea dataOnly="0" labelOnly="1" outline="0" fieldPosition="0">
        <references count="1">
          <reference field="1" count="1">
            <x v="80"/>
          </reference>
        </references>
      </pivotArea>
    </format>
    <format dxfId="46">
      <pivotArea dataOnly="0" labelOnly="1" outline="0" fieldPosition="0">
        <references count="1">
          <reference field="1" count="1">
            <x v="81"/>
          </reference>
        </references>
      </pivotArea>
    </format>
    <format dxfId="45">
      <pivotArea dataOnly="0" labelOnly="1" outline="0" fieldPosition="0">
        <references count="1">
          <reference field="1" count="1">
            <x v="82"/>
          </reference>
        </references>
      </pivotArea>
    </format>
    <format dxfId="44">
      <pivotArea dataOnly="0" labelOnly="1" outline="0" fieldPosition="0">
        <references count="1">
          <reference field="1" count="1">
            <x v="83"/>
          </reference>
        </references>
      </pivotArea>
    </format>
    <format dxfId="43">
      <pivotArea dataOnly="0" labelOnly="1" outline="0" fieldPosition="0">
        <references count="1">
          <reference field="1" count="1">
            <x v="84"/>
          </reference>
        </references>
      </pivotArea>
    </format>
    <format dxfId="42">
      <pivotArea dataOnly="0" labelOnly="1" outline="0" fieldPosition="0">
        <references count="1">
          <reference field="1" count="1">
            <x v="85"/>
          </reference>
        </references>
      </pivotArea>
    </format>
    <format dxfId="41">
      <pivotArea dataOnly="0" labelOnly="1" outline="0" fieldPosition="0">
        <references count="1">
          <reference field="1" count="1">
            <x v="86"/>
          </reference>
        </references>
      </pivotArea>
    </format>
    <format dxfId="40">
      <pivotArea dataOnly="0" labelOnly="1" outline="0" fieldPosition="0">
        <references count="1">
          <reference field="1" count="1">
            <x v="87"/>
          </reference>
        </references>
      </pivotArea>
    </format>
    <format dxfId="39">
      <pivotArea dataOnly="0" labelOnly="1" outline="0" fieldPosition="0">
        <references count="1">
          <reference field="1" count="1">
            <x v="88"/>
          </reference>
        </references>
      </pivotArea>
    </format>
    <format dxfId="38">
      <pivotArea dataOnly="0" labelOnly="1" outline="0" fieldPosition="0">
        <references count="1">
          <reference field="1" count="1">
            <x v="89"/>
          </reference>
        </references>
      </pivotArea>
    </format>
    <format dxfId="37">
      <pivotArea dataOnly="0" labelOnly="1" outline="0" fieldPosition="0">
        <references count="1">
          <reference field="1" count="1">
            <x v="90"/>
          </reference>
        </references>
      </pivotArea>
    </format>
    <format dxfId="36">
      <pivotArea dataOnly="0" labelOnly="1" outline="0" fieldPosition="0">
        <references count="1">
          <reference field="1" count="1">
            <x v="91"/>
          </reference>
        </references>
      </pivotArea>
    </format>
    <format dxfId="35">
      <pivotArea dataOnly="0" labelOnly="1" outline="0" fieldPosition="0">
        <references count="1">
          <reference field="1" count="1">
            <x v="92"/>
          </reference>
        </references>
      </pivotArea>
    </format>
    <format dxfId="34">
      <pivotArea dataOnly="0" labelOnly="1" outline="0" fieldPosition="0">
        <references count="1">
          <reference field="1" count="1">
            <x v="93"/>
          </reference>
        </references>
      </pivotArea>
    </format>
    <format dxfId="33">
      <pivotArea dataOnly="0" labelOnly="1" outline="0" fieldPosition="0">
        <references count="1">
          <reference field="1" count="1">
            <x v="94"/>
          </reference>
        </references>
      </pivotArea>
    </format>
    <format dxfId="32">
      <pivotArea dataOnly="0" labelOnly="1" outline="0" fieldPosition="0">
        <references count="1">
          <reference field="1" count="1">
            <x v="95"/>
          </reference>
        </references>
      </pivotArea>
    </format>
    <format dxfId="31">
      <pivotArea dataOnly="0" labelOnly="1" outline="0" fieldPosition="0">
        <references count="1">
          <reference field="1" count="1">
            <x v="96"/>
          </reference>
        </references>
      </pivotArea>
    </format>
    <format dxfId="30">
      <pivotArea dataOnly="0" labelOnly="1" outline="0" fieldPosition="0">
        <references count="1">
          <reference field="1" count="1">
            <x v="97"/>
          </reference>
        </references>
      </pivotArea>
    </format>
    <format dxfId="29">
      <pivotArea dataOnly="0" labelOnly="1" outline="0" fieldPosition="0">
        <references count="1">
          <reference field="1" count="1">
            <x v="98"/>
          </reference>
        </references>
      </pivotArea>
    </format>
    <format dxfId="28">
      <pivotArea dataOnly="0" labelOnly="1" outline="0" fieldPosition="0">
        <references count="1">
          <reference field="1" count="1">
            <x v="99"/>
          </reference>
        </references>
      </pivotArea>
    </format>
    <format dxfId="27">
      <pivotArea dataOnly="0" labelOnly="1" outline="0" fieldPosition="0">
        <references count="1">
          <reference field="1" count="1">
            <x v="100"/>
          </reference>
        </references>
      </pivotArea>
    </format>
    <format dxfId="26">
      <pivotArea dataOnly="0" labelOnly="1" outline="0" fieldPosition="0">
        <references count="1">
          <reference field="1" count="1">
            <x v="101"/>
          </reference>
        </references>
      </pivotArea>
    </format>
    <format dxfId="25">
      <pivotArea dataOnly="0" labelOnly="1" outline="0" fieldPosition="0">
        <references count="1">
          <reference field="1" count="1">
            <x v="102"/>
          </reference>
        </references>
      </pivotArea>
    </format>
    <format dxfId="24">
      <pivotArea dataOnly="0" labelOnly="1" outline="0" fieldPosition="0">
        <references count="1">
          <reference field="1" count="1">
            <x v="103"/>
          </reference>
        </references>
      </pivotArea>
    </format>
    <format dxfId="23">
      <pivotArea dataOnly="0" labelOnly="1" outline="0" fieldPosition="0">
        <references count="1">
          <reference field="1" count="1">
            <x v="104"/>
          </reference>
        </references>
      </pivotArea>
    </format>
    <format dxfId="22">
      <pivotArea dataOnly="0" labelOnly="1" outline="0" fieldPosition="0">
        <references count="1">
          <reference field="1" count="1">
            <x v="105"/>
          </reference>
        </references>
      </pivotArea>
    </format>
    <format dxfId="21">
      <pivotArea dataOnly="0" labelOnly="1" outline="0" fieldPosition="0">
        <references count="1">
          <reference field="1" count="1">
            <x v="106"/>
          </reference>
        </references>
      </pivotArea>
    </format>
    <format dxfId="20">
      <pivotArea dataOnly="0" labelOnly="1" outline="0" fieldPosition="0">
        <references count="1">
          <reference field="1" count="1">
            <x v="107"/>
          </reference>
        </references>
      </pivotArea>
    </format>
    <format dxfId="19">
      <pivotArea dataOnly="0" labelOnly="1" outline="0" fieldPosition="0">
        <references count="1">
          <reference field="1" count="1">
            <x v="108"/>
          </reference>
        </references>
      </pivotArea>
    </format>
    <format dxfId="18">
      <pivotArea dataOnly="0" labelOnly="1" outline="0" fieldPosition="0">
        <references count="1">
          <reference field="1" count="1">
            <x v="109"/>
          </reference>
        </references>
      </pivotArea>
    </format>
    <format dxfId="17">
      <pivotArea dataOnly="0" labelOnly="1" outline="0" fieldPosition="0">
        <references count="1">
          <reference field="1" count="1">
            <x v="110"/>
          </reference>
        </references>
      </pivotArea>
    </format>
    <format dxfId="16">
      <pivotArea dataOnly="0" labelOnly="1" outline="0" fieldPosition="0">
        <references count="1">
          <reference field="1" count="1">
            <x v="111"/>
          </reference>
        </references>
      </pivotArea>
    </format>
    <format dxfId="15">
      <pivotArea dataOnly="0" labelOnly="1" outline="0" fieldPosition="0">
        <references count="1">
          <reference field="1" count="1">
            <x v="112"/>
          </reference>
        </references>
      </pivotArea>
    </format>
    <format dxfId="14">
      <pivotArea dataOnly="0" labelOnly="1" outline="0" fieldPosition="0">
        <references count="1">
          <reference field="1" count="1">
            <x v="113"/>
          </reference>
        </references>
      </pivotArea>
    </format>
    <format dxfId="13">
      <pivotArea dataOnly="0" labelOnly="1" outline="0" fieldPosition="0">
        <references count="1">
          <reference field="1" count="1">
            <x v="114"/>
          </reference>
        </references>
      </pivotArea>
    </format>
    <format dxfId="12">
      <pivotArea dataOnly="0" labelOnly="1" outline="0" fieldPosition="0">
        <references count="1">
          <reference field="1" count="1">
            <x v="115"/>
          </reference>
        </references>
      </pivotArea>
    </format>
    <format dxfId="11">
      <pivotArea dataOnly="0" labelOnly="1" outline="0" fieldPosition="0">
        <references count="1">
          <reference field="1" count="1">
            <x v="116"/>
          </reference>
        </references>
      </pivotArea>
    </format>
    <format dxfId="10">
      <pivotArea dataOnly="0" labelOnly="1" outline="0" fieldPosition="0">
        <references count="1">
          <reference field="1" count="1">
            <x v="117"/>
          </reference>
        </references>
      </pivotArea>
    </format>
    <format dxfId="9">
      <pivotArea dataOnly="0" labelOnly="1" outline="0" fieldPosition="0">
        <references count="1">
          <reference field="1" count="1">
            <x v="118"/>
          </reference>
        </references>
      </pivotArea>
    </format>
    <format dxfId="8">
      <pivotArea dataOnly="0" labelOnly="1" outline="0" fieldPosition="0">
        <references count="1">
          <reference field="1" count="1">
            <x v="119"/>
          </reference>
        </references>
      </pivotArea>
    </format>
    <format dxfId="7">
      <pivotArea dataOnly="0" labelOnly="1" outline="0" fieldPosition="0">
        <references count="1">
          <reference field="1" count="1">
            <x v="120"/>
          </reference>
        </references>
      </pivotArea>
    </format>
    <format dxfId="6">
      <pivotArea dataOnly="0" labelOnly="1" outline="0" fieldPosition="0">
        <references count="1">
          <reference field="1" count="1">
            <x v="121"/>
          </reference>
        </references>
      </pivotArea>
    </format>
    <format dxfId="5">
      <pivotArea dataOnly="0" labelOnly="1" outline="0" fieldPosition="0">
        <references count="1">
          <reference field="1" count="1">
            <x v="122"/>
          </reference>
        </references>
      </pivotArea>
    </format>
    <format dxfId="4">
      <pivotArea dataOnly="0" labelOnly="1" outline="0" fieldPosition="0">
        <references count="1">
          <reference field="1" count="1">
            <x v="123"/>
          </reference>
        </references>
      </pivotArea>
    </format>
    <format dxfId="3">
      <pivotArea dataOnly="0" labelOnly="1" outline="0" fieldPosition="0">
        <references count="1">
          <reference field="1" count="1">
            <x v="124"/>
          </reference>
        </references>
      </pivotArea>
    </format>
    <format dxfId="2">
      <pivotArea dataOnly="0" labelOnly="1" outline="0" fieldPosition="0">
        <references count="1">
          <reference field="1" count="1">
            <x v="125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135" firstHeaderRow="1" firstDataRow="1" firstDataCol="3"/>
  <pivotFields count="6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Items count="1">
    <i/>
  </colItems>
  <formats count="140">
    <format dxfId="296">
      <pivotArea type="all" dataOnly="0" outline="0" fieldPosition="0"/>
    </format>
    <format dxfId="295">
      <pivotArea outline="0" collapsedLevelsAreSubtotals="1" fieldPosition="0"/>
    </format>
    <format dxfId="294">
      <pivotArea dataOnly="0" labelOnly="1" grandRow="1" outline="0" fieldPosition="0"/>
    </format>
    <format dxfId="287">
      <pivotArea field="1" type="button" dataOnly="0" labelOnly="1" outline="0" axis="axisRow" fieldPosition="0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type="all" dataOnly="0" outline="0" fieldPosition="0"/>
    </format>
    <format dxfId="283">
      <pivotArea field="2" type="button" dataOnly="0" labelOnly="1" outline="0" axis="axisRow" fieldPosition="1"/>
    </format>
    <format dxfId="282">
      <pivotArea field="3" type="button" dataOnly="0" labelOnly="1" outline="0" axis="axisRow" fieldPosition="2"/>
    </format>
    <format dxfId="28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0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79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278">
      <pivotArea field="1" type="button" dataOnly="0" labelOnly="1" outline="0" axis="axisRow" fieldPosition="0"/>
    </format>
    <format dxfId="277">
      <pivotArea dataOnly="0" labelOnly="1" outline="0" fieldPosition="0">
        <references count="1">
          <reference field="1" count="1">
            <x v="0"/>
          </reference>
        </references>
      </pivotArea>
    </format>
    <format dxfId="276">
      <pivotArea dataOnly="0" labelOnly="1" outline="0" fieldPosition="0">
        <references count="1">
          <reference field="1" count="1">
            <x v="1"/>
          </reference>
        </references>
      </pivotArea>
    </format>
    <format dxfId="275">
      <pivotArea dataOnly="0" labelOnly="1" outline="0" fieldPosition="0">
        <references count="1">
          <reference field="1" count="1">
            <x v="2"/>
          </reference>
        </references>
      </pivotArea>
    </format>
    <format dxfId="274">
      <pivotArea dataOnly="0" labelOnly="1" outline="0" fieldPosition="0">
        <references count="1">
          <reference field="1" count="1">
            <x v="3"/>
          </reference>
        </references>
      </pivotArea>
    </format>
    <format dxfId="273">
      <pivotArea dataOnly="0" labelOnly="1" outline="0" fieldPosition="0">
        <references count="1">
          <reference field="1" count="1">
            <x v="4"/>
          </reference>
        </references>
      </pivotArea>
    </format>
    <format dxfId="272">
      <pivotArea dataOnly="0" labelOnly="1" outline="0" fieldPosition="0">
        <references count="1">
          <reference field="1" count="1">
            <x v="5"/>
          </reference>
        </references>
      </pivotArea>
    </format>
    <format dxfId="271">
      <pivotArea dataOnly="0" labelOnly="1" outline="0" fieldPosition="0">
        <references count="1">
          <reference field="1" count="1">
            <x v="6"/>
          </reference>
        </references>
      </pivotArea>
    </format>
    <format dxfId="270">
      <pivotArea dataOnly="0" labelOnly="1" outline="0" fieldPosition="0">
        <references count="1">
          <reference field="1" count="1">
            <x v="7"/>
          </reference>
        </references>
      </pivotArea>
    </format>
    <format dxfId="269">
      <pivotArea dataOnly="0" labelOnly="1" outline="0" fieldPosition="0">
        <references count="1">
          <reference field="1" count="1">
            <x v="8"/>
          </reference>
        </references>
      </pivotArea>
    </format>
    <format dxfId="268">
      <pivotArea dataOnly="0" labelOnly="1" outline="0" fieldPosition="0">
        <references count="1">
          <reference field="1" count="1">
            <x v="9"/>
          </reference>
        </references>
      </pivotArea>
    </format>
    <format dxfId="267">
      <pivotArea dataOnly="0" labelOnly="1" outline="0" fieldPosition="0">
        <references count="1">
          <reference field="1" count="1">
            <x v="10"/>
          </reference>
        </references>
      </pivotArea>
    </format>
    <format dxfId="266">
      <pivotArea dataOnly="0" labelOnly="1" outline="0" fieldPosition="0">
        <references count="1">
          <reference field="1" count="1">
            <x v="11"/>
          </reference>
        </references>
      </pivotArea>
    </format>
    <format dxfId="265">
      <pivotArea dataOnly="0" labelOnly="1" outline="0" fieldPosition="0">
        <references count="1">
          <reference field="1" count="1">
            <x v="12"/>
          </reference>
        </references>
      </pivotArea>
    </format>
    <format dxfId="264">
      <pivotArea dataOnly="0" labelOnly="1" outline="0" fieldPosition="0">
        <references count="1">
          <reference field="1" count="1">
            <x v="13"/>
          </reference>
        </references>
      </pivotArea>
    </format>
    <format dxfId="263">
      <pivotArea dataOnly="0" labelOnly="1" outline="0" fieldPosition="0">
        <references count="1">
          <reference field="1" count="1">
            <x v="14"/>
          </reference>
        </references>
      </pivotArea>
    </format>
    <format dxfId="262">
      <pivotArea dataOnly="0" labelOnly="1" outline="0" fieldPosition="0">
        <references count="1">
          <reference field="1" count="1">
            <x v="15"/>
          </reference>
        </references>
      </pivotArea>
    </format>
    <format dxfId="261">
      <pivotArea dataOnly="0" labelOnly="1" outline="0" fieldPosition="0">
        <references count="1">
          <reference field="1" count="1">
            <x v="16"/>
          </reference>
        </references>
      </pivotArea>
    </format>
    <format dxfId="260">
      <pivotArea dataOnly="0" labelOnly="1" outline="0" fieldPosition="0">
        <references count="1">
          <reference field="1" count="1">
            <x v="17"/>
          </reference>
        </references>
      </pivotArea>
    </format>
    <format dxfId="259">
      <pivotArea dataOnly="0" labelOnly="1" outline="0" fieldPosition="0">
        <references count="1">
          <reference field="1" count="1">
            <x v="18"/>
          </reference>
        </references>
      </pivotArea>
    </format>
    <format dxfId="258">
      <pivotArea dataOnly="0" labelOnly="1" outline="0" fieldPosition="0">
        <references count="1">
          <reference field="1" count="1">
            <x v="19"/>
          </reference>
        </references>
      </pivotArea>
    </format>
    <format dxfId="257">
      <pivotArea dataOnly="0" labelOnly="1" outline="0" fieldPosition="0">
        <references count="1">
          <reference field="1" count="1">
            <x v="20"/>
          </reference>
        </references>
      </pivotArea>
    </format>
    <format dxfId="256">
      <pivotArea dataOnly="0" labelOnly="1" outline="0" fieldPosition="0">
        <references count="1">
          <reference field="1" count="1">
            <x v="21"/>
          </reference>
        </references>
      </pivotArea>
    </format>
    <format dxfId="255">
      <pivotArea dataOnly="0" labelOnly="1" outline="0" fieldPosition="0">
        <references count="1">
          <reference field="1" count="1">
            <x v="22"/>
          </reference>
        </references>
      </pivotArea>
    </format>
    <format dxfId="254">
      <pivotArea dataOnly="0" labelOnly="1" outline="0" fieldPosition="0">
        <references count="1">
          <reference field="1" count="1">
            <x v="23"/>
          </reference>
        </references>
      </pivotArea>
    </format>
    <format dxfId="253">
      <pivotArea dataOnly="0" labelOnly="1" outline="0" fieldPosition="0">
        <references count="1">
          <reference field="1" count="1">
            <x v="24"/>
          </reference>
        </references>
      </pivotArea>
    </format>
    <format dxfId="252">
      <pivotArea dataOnly="0" labelOnly="1" outline="0" fieldPosition="0">
        <references count="1">
          <reference field="1" count="1">
            <x v="25"/>
          </reference>
        </references>
      </pivotArea>
    </format>
    <format dxfId="251">
      <pivotArea dataOnly="0" labelOnly="1" outline="0" fieldPosition="0">
        <references count="1">
          <reference field="1" count="1">
            <x v="26"/>
          </reference>
        </references>
      </pivotArea>
    </format>
    <format dxfId="250">
      <pivotArea dataOnly="0" labelOnly="1" outline="0" fieldPosition="0">
        <references count="1">
          <reference field="1" count="1">
            <x v="27"/>
          </reference>
        </references>
      </pivotArea>
    </format>
    <format dxfId="249">
      <pivotArea dataOnly="0" labelOnly="1" outline="0" fieldPosition="0">
        <references count="1">
          <reference field="1" count="1">
            <x v="28"/>
          </reference>
        </references>
      </pivotArea>
    </format>
    <format dxfId="248">
      <pivotArea dataOnly="0" labelOnly="1" outline="0" fieldPosition="0">
        <references count="1">
          <reference field="1" count="1">
            <x v="29"/>
          </reference>
        </references>
      </pivotArea>
    </format>
    <format dxfId="247">
      <pivotArea dataOnly="0" labelOnly="1" outline="0" fieldPosition="0">
        <references count="1">
          <reference field="1" count="1">
            <x v="30"/>
          </reference>
        </references>
      </pivotArea>
    </format>
    <format dxfId="246">
      <pivotArea dataOnly="0" labelOnly="1" outline="0" fieldPosition="0">
        <references count="1">
          <reference field="1" count="1">
            <x v="31"/>
          </reference>
        </references>
      </pivotArea>
    </format>
    <format dxfId="245">
      <pivotArea dataOnly="0" labelOnly="1" outline="0" fieldPosition="0">
        <references count="1">
          <reference field="1" count="1">
            <x v="32"/>
          </reference>
        </references>
      </pivotArea>
    </format>
    <format dxfId="244">
      <pivotArea dataOnly="0" labelOnly="1" outline="0" fieldPosition="0">
        <references count="1">
          <reference field="1" count="1">
            <x v="33"/>
          </reference>
        </references>
      </pivotArea>
    </format>
    <format dxfId="243">
      <pivotArea dataOnly="0" labelOnly="1" outline="0" fieldPosition="0">
        <references count="1">
          <reference field="1" count="1">
            <x v="34"/>
          </reference>
        </references>
      </pivotArea>
    </format>
    <format dxfId="242">
      <pivotArea dataOnly="0" labelOnly="1" outline="0" fieldPosition="0">
        <references count="1">
          <reference field="1" count="1">
            <x v="35"/>
          </reference>
        </references>
      </pivotArea>
    </format>
    <format dxfId="241">
      <pivotArea dataOnly="0" labelOnly="1" outline="0" fieldPosition="0">
        <references count="1">
          <reference field="1" count="1">
            <x v="36"/>
          </reference>
        </references>
      </pivotArea>
    </format>
    <format dxfId="240">
      <pivotArea dataOnly="0" labelOnly="1" outline="0" fieldPosition="0">
        <references count="1">
          <reference field="1" count="1">
            <x v="37"/>
          </reference>
        </references>
      </pivotArea>
    </format>
    <format dxfId="239">
      <pivotArea dataOnly="0" labelOnly="1" outline="0" fieldPosition="0">
        <references count="1">
          <reference field="1" count="1">
            <x v="38"/>
          </reference>
        </references>
      </pivotArea>
    </format>
    <format dxfId="238">
      <pivotArea dataOnly="0" labelOnly="1" outline="0" fieldPosition="0">
        <references count="1">
          <reference field="1" count="1">
            <x v="39"/>
          </reference>
        </references>
      </pivotArea>
    </format>
    <format dxfId="237">
      <pivotArea dataOnly="0" labelOnly="1" outline="0" fieldPosition="0">
        <references count="1">
          <reference field="1" count="1">
            <x v="40"/>
          </reference>
        </references>
      </pivotArea>
    </format>
    <format dxfId="236">
      <pivotArea dataOnly="0" labelOnly="1" outline="0" fieldPosition="0">
        <references count="1">
          <reference field="1" count="1">
            <x v="41"/>
          </reference>
        </references>
      </pivotArea>
    </format>
    <format dxfId="235">
      <pivotArea dataOnly="0" labelOnly="1" outline="0" fieldPosition="0">
        <references count="1">
          <reference field="1" count="1">
            <x v="42"/>
          </reference>
        </references>
      </pivotArea>
    </format>
    <format dxfId="234">
      <pivotArea dataOnly="0" labelOnly="1" outline="0" fieldPosition="0">
        <references count="1">
          <reference field="1" count="1">
            <x v="43"/>
          </reference>
        </references>
      </pivotArea>
    </format>
    <format dxfId="233">
      <pivotArea dataOnly="0" labelOnly="1" outline="0" fieldPosition="0">
        <references count="1">
          <reference field="1" count="1">
            <x v="44"/>
          </reference>
        </references>
      </pivotArea>
    </format>
    <format dxfId="232">
      <pivotArea dataOnly="0" labelOnly="1" outline="0" fieldPosition="0">
        <references count="1">
          <reference field="1" count="1">
            <x v="45"/>
          </reference>
        </references>
      </pivotArea>
    </format>
    <format dxfId="231">
      <pivotArea dataOnly="0" labelOnly="1" outline="0" fieldPosition="0">
        <references count="1">
          <reference field="1" count="1">
            <x v="46"/>
          </reference>
        </references>
      </pivotArea>
    </format>
    <format dxfId="230">
      <pivotArea dataOnly="0" labelOnly="1" outline="0" fieldPosition="0">
        <references count="1">
          <reference field="1" count="1">
            <x v="47"/>
          </reference>
        </references>
      </pivotArea>
    </format>
    <format dxfId="229">
      <pivotArea dataOnly="0" labelOnly="1" outline="0" fieldPosition="0">
        <references count="1">
          <reference field="1" count="1">
            <x v="48"/>
          </reference>
        </references>
      </pivotArea>
    </format>
    <format dxfId="228">
      <pivotArea dataOnly="0" labelOnly="1" outline="0" fieldPosition="0">
        <references count="1">
          <reference field="1" count="1">
            <x v="49"/>
          </reference>
        </references>
      </pivotArea>
    </format>
    <format dxfId="227">
      <pivotArea dataOnly="0" labelOnly="1" outline="0" fieldPosition="0">
        <references count="1">
          <reference field="1" count="1">
            <x v="50"/>
          </reference>
        </references>
      </pivotArea>
    </format>
    <format dxfId="226">
      <pivotArea dataOnly="0" labelOnly="1" outline="0" fieldPosition="0">
        <references count="1">
          <reference field="1" count="1">
            <x v="51"/>
          </reference>
        </references>
      </pivotArea>
    </format>
    <format dxfId="225">
      <pivotArea dataOnly="0" labelOnly="1" outline="0" fieldPosition="0">
        <references count="1">
          <reference field="1" count="1">
            <x v="52"/>
          </reference>
        </references>
      </pivotArea>
    </format>
    <format dxfId="224">
      <pivotArea dataOnly="0" labelOnly="1" outline="0" fieldPosition="0">
        <references count="1">
          <reference field="1" count="1">
            <x v="53"/>
          </reference>
        </references>
      </pivotArea>
    </format>
    <format dxfId="223">
      <pivotArea dataOnly="0" labelOnly="1" outline="0" fieldPosition="0">
        <references count="1">
          <reference field="1" count="1">
            <x v="54"/>
          </reference>
        </references>
      </pivotArea>
    </format>
    <format dxfId="222">
      <pivotArea dataOnly="0" labelOnly="1" outline="0" fieldPosition="0">
        <references count="1">
          <reference field="1" count="1">
            <x v="55"/>
          </reference>
        </references>
      </pivotArea>
    </format>
    <format dxfId="221">
      <pivotArea dataOnly="0" labelOnly="1" outline="0" fieldPosition="0">
        <references count="1">
          <reference field="1" count="1">
            <x v="56"/>
          </reference>
        </references>
      </pivotArea>
    </format>
    <format dxfId="220">
      <pivotArea dataOnly="0" labelOnly="1" outline="0" fieldPosition="0">
        <references count="1">
          <reference field="1" count="1">
            <x v="57"/>
          </reference>
        </references>
      </pivotArea>
    </format>
    <format dxfId="219">
      <pivotArea dataOnly="0" labelOnly="1" outline="0" fieldPosition="0">
        <references count="1">
          <reference field="1" count="1">
            <x v="58"/>
          </reference>
        </references>
      </pivotArea>
    </format>
    <format dxfId="218">
      <pivotArea dataOnly="0" labelOnly="1" outline="0" fieldPosition="0">
        <references count="1">
          <reference field="1" count="1">
            <x v="59"/>
          </reference>
        </references>
      </pivotArea>
    </format>
    <format dxfId="217">
      <pivotArea dataOnly="0" labelOnly="1" outline="0" fieldPosition="0">
        <references count="1">
          <reference field="1" count="1">
            <x v="60"/>
          </reference>
        </references>
      </pivotArea>
    </format>
    <format dxfId="216">
      <pivotArea dataOnly="0" labelOnly="1" outline="0" fieldPosition="0">
        <references count="1">
          <reference field="1" count="1">
            <x v="61"/>
          </reference>
        </references>
      </pivotArea>
    </format>
    <format dxfId="215">
      <pivotArea dataOnly="0" labelOnly="1" outline="0" fieldPosition="0">
        <references count="1">
          <reference field="1" count="1">
            <x v="62"/>
          </reference>
        </references>
      </pivotArea>
    </format>
    <format dxfId="214">
      <pivotArea dataOnly="0" labelOnly="1" outline="0" fieldPosition="0">
        <references count="1">
          <reference field="1" count="1">
            <x v="63"/>
          </reference>
        </references>
      </pivotArea>
    </format>
    <format dxfId="213">
      <pivotArea dataOnly="0" labelOnly="1" outline="0" fieldPosition="0">
        <references count="1">
          <reference field="1" count="1">
            <x v="64"/>
          </reference>
        </references>
      </pivotArea>
    </format>
    <format dxfId="212">
      <pivotArea dataOnly="0" labelOnly="1" outline="0" fieldPosition="0">
        <references count="1">
          <reference field="1" count="1">
            <x v="65"/>
          </reference>
        </references>
      </pivotArea>
    </format>
    <format dxfId="211">
      <pivotArea dataOnly="0" labelOnly="1" outline="0" fieldPosition="0">
        <references count="1">
          <reference field="1" count="1">
            <x v="66"/>
          </reference>
        </references>
      </pivotArea>
    </format>
    <format dxfId="210">
      <pivotArea dataOnly="0" labelOnly="1" outline="0" fieldPosition="0">
        <references count="1">
          <reference field="1" count="1">
            <x v="67"/>
          </reference>
        </references>
      </pivotArea>
    </format>
    <format dxfId="209">
      <pivotArea dataOnly="0" labelOnly="1" outline="0" fieldPosition="0">
        <references count="1">
          <reference field="1" count="1">
            <x v="68"/>
          </reference>
        </references>
      </pivotArea>
    </format>
    <format dxfId="208">
      <pivotArea dataOnly="0" labelOnly="1" outline="0" fieldPosition="0">
        <references count="1">
          <reference field="1" count="1">
            <x v="69"/>
          </reference>
        </references>
      </pivotArea>
    </format>
    <format dxfId="207">
      <pivotArea dataOnly="0" labelOnly="1" outline="0" fieldPosition="0">
        <references count="1">
          <reference field="1" count="1">
            <x v="70"/>
          </reference>
        </references>
      </pivotArea>
    </format>
    <format dxfId="206">
      <pivotArea dataOnly="0" labelOnly="1" outline="0" fieldPosition="0">
        <references count="1">
          <reference field="1" count="1">
            <x v="71"/>
          </reference>
        </references>
      </pivotArea>
    </format>
    <format dxfId="205">
      <pivotArea dataOnly="0" labelOnly="1" outline="0" fieldPosition="0">
        <references count="1">
          <reference field="1" count="1">
            <x v="72"/>
          </reference>
        </references>
      </pivotArea>
    </format>
    <format dxfId="204">
      <pivotArea dataOnly="0" labelOnly="1" outline="0" fieldPosition="0">
        <references count="1">
          <reference field="1" count="1">
            <x v="73"/>
          </reference>
        </references>
      </pivotArea>
    </format>
    <format dxfId="203">
      <pivotArea dataOnly="0" labelOnly="1" outline="0" fieldPosition="0">
        <references count="1">
          <reference field="1" count="1">
            <x v="74"/>
          </reference>
        </references>
      </pivotArea>
    </format>
    <format dxfId="202">
      <pivotArea dataOnly="0" labelOnly="1" outline="0" fieldPosition="0">
        <references count="1">
          <reference field="1" count="1">
            <x v="75"/>
          </reference>
        </references>
      </pivotArea>
    </format>
    <format dxfId="201">
      <pivotArea dataOnly="0" labelOnly="1" outline="0" fieldPosition="0">
        <references count="1">
          <reference field="1" count="1">
            <x v="76"/>
          </reference>
        </references>
      </pivotArea>
    </format>
    <format dxfId="200">
      <pivotArea dataOnly="0" labelOnly="1" outline="0" fieldPosition="0">
        <references count="1">
          <reference field="1" count="1">
            <x v="77"/>
          </reference>
        </references>
      </pivotArea>
    </format>
    <format dxfId="199">
      <pivotArea dataOnly="0" labelOnly="1" outline="0" fieldPosition="0">
        <references count="1">
          <reference field="1" count="1">
            <x v="78"/>
          </reference>
        </references>
      </pivotArea>
    </format>
    <format dxfId="198">
      <pivotArea dataOnly="0" labelOnly="1" outline="0" fieldPosition="0">
        <references count="1">
          <reference field="1" count="1">
            <x v="79"/>
          </reference>
        </references>
      </pivotArea>
    </format>
    <format dxfId="197">
      <pivotArea dataOnly="0" labelOnly="1" outline="0" fieldPosition="0">
        <references count="1">
          <reference field="1" count="1">
            <x v="80"/>
          </reference>
        </references>
      </pivotArea>
    </format>
    <format dxfId="196">
      <pivotArea dataOnly="0" labelOnly="1" outline="0" fieldPosition="0">
        <references count="1">
          <reference field="1" count="1">
            <x v="81"/>
          </reference>
        </references>
      </pivotArea>
    </format>
    <format dxfId="195">
      <pivotArea dataOnly="0" labelOnly="1" outline="0" fieldPosition="0">
        <references count="1">
          <reference field="1" count="1">
            <x v="82"/>
          </reference>
        </references>
      </pivotArea>
    </format>
    <format dxfId="194">
      <pivotArea dataOnly="0" labelOnly="1" outline="0" fieldPosition="0">
        <references count="1">
          <reference field="1" count="1">
            <x v="83"/>
          </reference>
        </references>
      </pivotArea>
    </format>
    <format dxfId="193">
      <pivotArea dataOnly="0" labelOnly="1" outline="0" fieldPosition="0">
        <references count="1">
          <reference field="1" count="1">
            <x v="84"/>
          </reference>
        </references>
      </pivotArea>
    </format>
    <format dxfId="192">
      <pivotArea dataOnly="0" labelOnly="1" outline="0" fieldPosition="0">
        <references count="1">
          <reference field="1" count="1">
            <x v="85"/>
          </reference>
        </references>
      </pivotArea>
    </format>
    <format dxfId="191">
      <pivotArea dataOnly="0" labelOnly="1" outline="0" fieldPosition="0">
        <references count="1">
          <reference field="1" count="1">
            <x v="86"/>
          </reference>
        </references>
      </pivotArea>
    </format>
    <format dxfId="190">
      <pivotArea dataOnly="0" labelOnly="1" outline="0" fieldPosition="0">
        <references count="1">
          <reference field="1" count="1">
            <x v="87"/>
          </reference>
        </references>
      </pivotArea>
    </format>
    <format dxfId="189">
      <pivotArea dataOnly="0" labelOnly="1" outline="0" fieldPosition="0">
        <references count="1">
          <reference field="1" count="1">
            <x v="88"/>
          </reference>
        </references>
      </pivotArea>
    </format>
    <format dxfId="188">
      <pivotArea dataOnly="0" labelOnly="1" outline="0" fieldPosition="0">
        <references count="1">
          <reference field="1" count="1">
            <x v="89"/>
          </reference>
        </references>
      </pivotArea>
    </format>
    <format dxfId="187">
      <pivotArea dataOnly="0" labelOnly="1" outline="0" fieldPosition="0">
        <references count="1">
          <reference field="1" count="1">
            <x v="90"/>
          </reference>
        </references>
      </pivotArea>
    </format>
    <format dxfId="186">
      <pivotArea dataOnly="0" labelOnly="1" outline="0" fieldPosition="0">
        <references count="1">
          <reference field="1" count="1">
            <x v="91"/>
          </reference>
        </references>
      </pivotArea>
    </format>
    <format dxfId="185">
      <pivotArea dataOnly="0" labelOnly="1" outline="0" fieldPosition="0">
        <references count="1">
          <reference field="1" count="1">
            <x v="92"/>
          </reference>
        </references>
      </pivotArea>
    </format>
    <format dxfId="184">
      <pivotArea dataOnly="0" labelOnly="1" outline="0" fieldPosition="0">
        <references count="1">
          <reference field="1" count="1">
            <x v="93"/>
          </reference>
        </references>
      </pivotArea>
    </format>
    <format dxfId="183">
      <pivotArea dataOnly="0" labelOnly="1" outline="0" fieldPosition="0">
        <references count="1">
          <reference field="1" count="1">
            <x v="94"/>
          </reference>
        </references>
      </pivotArea>
    </format>
    <format dxfId="182">
      <pivotArea dataOnly="0" labelOnly="1" outline="0" fieldPosition="0">
        <references count="1">
          <reference field="1" count="1">
            <x v="95"/>
          </reference>
        </references>
      </pivotArea>
    </format>
    <format dxfId="181">
      <pivotArea dataOnly="0" labelOnly="1" outline="0" fieldPosition="0">
        <references count="1">
          <reference field="1" count="1">
            <x v="96"/>
          </reference>
        </references>
      </pivotArea>
    </format>
    <format dxfId="180">
      <pivotArea dataOnly="0" labelOnly="1" outline="0" fieldPosition="0">
        <references count="1">
          <reference field="1" count="1">
            <x v="97"/>
          </reference>
        </references>
      </pivotArea>
    </format>
    <format dxfId="179">
      <pivotArea dataOnly="0" labelOnly="1" outline="0" fieldPosition="0">
        <references count="1">
          <reference field="1" count="1">
            <x v="98"/>
          </reference>
        </references>
      </pivotArea>
    </format>
    <format dxfId="178">
      <pivotArea dataOnly="0" labelOnly="1" outline="0" fieldPosition="0">
        <references count="1">
          <reference field="1" count="1">
            <x v="99"/>
          </reference>
        </references>
      </pivotArea>
    </format>
    <format dxfId="177">
      <pivotArea dataOnly="0" labelOnly="1" outline="0" fieldPosition="0">
        <references count="1">
          <reference field="1" count="1">
            <x v="100"/>
          </reference>
        </references>
      </pivotArea>
    </format>
    <format dxfId="176">
      <pivotArea dataOnly="0" labelOnly="1" outline="0" fieldPosition="0">
        <references count="1">
          <reference field="1" count="1">
            <x v="101"/>
          </reference>
        </references>
      </pivotArea>
    </format>
    <format dxfId="175">
      <pivotArea dataOnly="0" labelOnly="1" outline="0" fieldPosition="0">
        <references count="1">
          <reference field="1" count="1">
            <x v="102"/>
          </reference>
        </references>
      </pivotArea>
    </format>
    <format dxfId="174">
      <pivotArea dataOnly="0" labelOnly="1" outline="0" fieldPosition="0">
        <references count="1">
          <reference field="1" count="1">
            <x v="103"/>
          </reference>
        </references>
      </pivotArea>
    </format>
    <format dxfId="173">
      <pivotArea dataOnly="0" labelOnly="1" outline="0" fieldPosition="0">
        <references count="1">
          <reference field="1" count="1">
            <x v="104"/>
          </reference>
        </references>
      </pivotArea>
    </format>
    <format dxfId="172">
      <pivotArea dataOnly="0" labelOnly="1" outline="0" fieldPosition="0">
        <references count="1">
          <reference field="1" count="1">
            <x v="105"/>
          </reference>
        </references>
      </pivotArea>
    </format>
    <format dxfId="171">
      <pivotArea dataOnly="0" labelOnly="1" outline="0" fieldPosition="0">
        <references count="1">
          <reference field="1" count="1">
            <x v="106"/>
          </reference>
        </references>
      </pivotArea>
    </format>
    <format dxfId="170">
      <pivotArea dataOnly="0" labelOnly="1" outline="0" fieldPosition="0">
        <references count="1">
          <reference field="1" count="1">
            <x v="107"/>
          </reference>
        </references>
      </pivotArea>
    </format>
    <format dxfId="169">
      <pivotArea dataOnly="0" labelOnly="1" outline="0" fieldPosition="0">
        <references count="1">
          <reference field="1" count="1">
            <x v="108"/>
          </reference>
        </references>
      </pivotArea>
    </format>
    <format dxfId="168">
      <pivotArea dataOnly="0" labelOnly="1" outline="0" fieldPosition="0">
        <references count="1">
          <reference field="1" count="1">
            <x v="109"/>
          </reference>
        </references>
      </pivotArea>
    </format>
    <format dxfId="167">
      <pivotArea dataOnly="0" labelOnly="1" outline="0" fieldPosition="0">
        <references count="1">
          <reference field="1" count="1">
            <x v="110"/>
          </reference>
        </references>
      </pivotArea>
    </format>
    <format dxfId="166">
      <pivotArea dataOnly="0" labelOnly="1" outline="0" fieldPosition="0">
        <references count="1">
          <reference field="1" count="1">
            <x v="111"/>
          </reference>
        </references>
      </pivotArea>
    </format>
    <format dxfId="165">
      <pivotArea dataOnly="0" labelOnly="1" outline="0" fieldPosition="0">
        <references count="1">
          <reference field="1" count="1">
            <x v="112"/>
          </reference>
        </references>
      </pivotArea>
    </format>
    <format dxfId="164">
      <pivotArea dataOnly="0" labelOnly="1" outline="0" fieldPosition="0">
        <references count="1">
          <reference field="1" count="1">
            <x v="113"/>
          </reference>
        </references>
      </pivotArea>
    </format>
    <format dxfId="163">
      <pivotArea dataOnly="0" labelOnly="1" outline="0" fieldPosition="0">
        <references count="1">
          <reference field="1" count="1">
            <x v="114"/>
          </reference>
        </references>
      </pivotArea>
    </format>
    <format dxfId="162">
      <pivotArea dataOnly="0" labelOnly="1" outline="0" fieldPosition="0">
        <references count="1">
          <reference field="1" count="1">
            <x v="115"/>
          </reference>
        </references>
      </pivotArea>
    </format>
    <format dxfId="161">
      <pivotArea dataOnly="0" labelOnly="1" outline="0" fieldPosition="0">
        <references count="1">
          <reference field="1" count="1">
            <x v="116"/>
          </reference>
        </references>
      </pivotArea>
    </format>
    <format dxfId="160">
      <pivotArea dataOnly="0" labelOnly="1" outline="0" fieldPosition="0">
        <references count="1">
          <reference field="1" count="1">
            <x v="117"/>
          </reference>
        </references>
      </pivotArea>
    </format>
    <format dxfId="159">
      <pivotArea dataOnly="0" labelOnly="1" outline="0" fieldPosition="0">
        <references count="1">
          <reference field="1" count="1">
            <x v="118"/>
          </reference>
        </references>
      </pivotArea>
    </format>
    <format dxfId="158">
      <pivotArea dataOnly="0" labelOnly="1" outline="0" fieldPosition="0">
        <references count="1">
          <reference field="1" count="1">
            <x v="119"/>
          </reference>
        </references>
      </pivotArea>
    </format>
    <format dxfId="157">
      <pivotArea dataOnly="0" labelOnly="1" outline="0" fieldPosition="0">
        <references count="1">
          <reference field="1" count="1">
            <x v="120"/>
          </reference>
        </references>
      </pivotArea>
    </format>
    <format dxfId="156">
      <pivotArea dataOnly="0" labelOnly="1" outline="0" fieldPosition="0">
        <references count="1">
          <reference field="1" count="1">
            <x v="121"/>
          </reference>
        </references>
      </pivotArea>
    </format>
    <format dxfId="155">
      <pivotArea dataOnly="0" labelOnly="1" outline="0" fieldPosition="0">
        <references count="1">
          <reference field="1" count="1">
            <x v="122"/>
          </reference>
        </references>
      </pivotArea>
    </format>
    <format dxfId="154">
      <pivotArea dataOnly="0" labelOnly="1" outline="0" fieldPosition="0">
        <references count="1">
          <reference field="1" count="1">
            <x v="123"/>
          </reference>
        </references>
      </pivotArea>
    </format>
    <format dxfId="153">
      <pivotArea dataOnly="0" labelOnly="1" outline="0" fieldPosition="0">
        <references count="1">
          <reference field="1" count="1">
            <x v="124"/>
          </reference>
        </references>
      </pivotArea>
    </format>
    <format dxfId="152">
      <pivotArea dataOnly="0" labelOnly="1" outline="0" fieldPosition="0">
        <references count="1">
          <reference field="1" count="1">
            <x v="125"/>
          </reference>
        </references>
      </pivotArea>
    </format>
    <format dxfId="15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293" dataDxfId="343" headerRowBorderDxfId="344" headerRowCellStyle="Normal 2">
  <autoFilter ref="B10:AA13" xr:uid="{7EC467B7-DE9E-48DF-95B5-2995F1F6DE8F}"/>
  <tableColumns count="26">
    <tableColumn id="1" xr3:uid="{CDAE6949-9186-42E8-AEBE-1928381A0155}" name="Field" dataDxfId="342" dataCellStyle="Normal 2"/>
    <tableColumn id="2" xr3:uid="{24D139B7-BFC8-4DD9-8DE4-2245810E04F3}" name="Definition" dataDxfId="29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9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341"/>
    <tableColumn id="8" xr3:uid="{30CDB1E0-924C-48B4-82F4-9B3E3228BE95}" name="Distinct %" dataDxfId="340"/>
    <tableColumn id="12" xr3:uid="{03824906-BEA5-4B63-A981-21F959B6439E}" name="Missing %" dataDxfId="339" dataCellStyle="Percent 2"/>
    <tableColumn id="6" xr3:uid="{8DFFE5A0-8676-4576-AB4D-97E8B31EC097}" name="Memory Usage %" dataDxfId="338" dataCellStyle="Percent 2"/>
    <tableColumn id="5" xr3:uid="{DD50C3DA-F4A8-40F0-AFBD-DBF916650F7E}" name="Memory Usage" dataDxfId="337"/>
    <tableColumn id="7" xr3:uid="{A0CD56D0-07EF-46CA-BC46-D54CD5E746C7}" name="Distinct" dataDxfId="336"/>
    <tableColumn id="9" xr3:uid="{1C848176-6AC1-44A6-9B3B-F1C9E8BC32EA}" name="Count" dataDxfId="335"/>
    <tableColumn id="10" xr3:uid="{6C6E6A37-4969-459F-AC39-2193366810E2}" name="Count %" dataDxfId="334"/>
    <tableColumn id="11" xr3:uid="{CD47252D-0307-4513-AF7C-13CC4AA1FCD9}" name="Missing" dataDxfId="333"/>
    <tableColumn id="13" xr3:uid="{2B45F7F8-CE35-48A6-BB27-9684B5D7936D}" name="Mean" dataDxfId="332"/>
    <tableColumn id="14" xr3:uid="{293386E4-1FA6-4340-9DC6-54CC26209C0A}" name="Median" dataDxfId="331"/>
    <tableColumn id="15" xr3:uid="{29252F5E-4163-4D62-89FC-FF85F6C4755C}" name="Mode" dataDxfId="330"/>
    <tableColumn id="16" xr3:uid="{69FFA3C1-FD1E-4395-AF2E-177FDFCDE62A}" name="Standard Deviation" dataDxfId="329"/>
    <tableColumn id="17" xr3:uid="{2AAB37E9-8AE2-4771-B92B-C04BFABA0B4E}" name="Variance" dataDxfId="328"/>
    <tableColumn id="18" xr3:uid="{07151E41-6633-4A65-A7E1-091F027DEF95}" name="Min" dataDxfId="327"/>
    <tableColumn id="19" xr3:uid="{41A1FD5D-4E5C-45B3-A0C7-1820F89F417F}" name="5%" dataDxfId="326"/>
    <tableColumn id="20" xr3:uid="{50D70984-5A2E-4A19-9F2B-5DA0502339BC}" name="25%" dataDxfId="325"/>
    <tableColumn id="21" xr3:uid="{75FF5489-8FC0-4894-83BC-802076BF1066}" name="50%" dataDxfId="324"/>
    <tableColumn id="22" xr3:uid="{B7FA20A8-EE17-470E-93AD-54011230C113}" name="75%" dataDxfId="323"/>
    <tableColumn id="23" xr3:uid="{378BE758-7A3F-4C04-A75B-FE899B1B0BAD}" name="95%" dataDxfId="322"/>
    <tableColumn id="24" xr3:uid="{818594E7-DC84-4229-81F6-97C1E2E93633}" name="Max" dataDxfId="321"/>
    <tableColumn id="25" xr3:uid="{D8116583-A886-47C1-85E2-D28AD96194AD}" name="Range" dataDxfId="320"/>
    <tableColumn id="26" xr3:uid="{D061AC6A-EAB2-461F-8AB8-E743DC68E666}" name="IQR" dataDxfId="31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350" totalsRowShown="0" headerRowDxfId="309" dataDxfId="308">
  <autoFilter ref="C78:H350" xr:uid="{DB263373-2B4F-4302-9CF6-5012CE3F1A47}"/>
  <tableColumns count="6">
    <tableColumn id="1" xr3:uid="{B87F6371-B38F-4AA9-8A9B-F1D62600E38F}" name="Record List" dataDxfId="288" dataCellStyle="Normal 2"/>
    <tableColumn id="2" xr3:uid="{55547D6A-0C4F-44F3-8DA7-D9918F9ECA79}" name="duration" dataDxfId="307"/>
    <tableColumn id="8" xr3:uid="{5CEA6B82-08F7-4BBF-BE74-DD211F1E2384}" name="waiting" dataDxfId="306"/>
    <tableColumn id="3" xr3:uid="{6C0B3232-D5C0-4185-AF99-A47484E561D2}" name="kind" dataDxfId="305"/>
    <tableColumn id="4" xr3:uid="{C927CD14-D81A-4961-8617-51750D2B6025}" name="HasBlank" dataDxfId="290"/>
    <tableColumn id="5" xr3:uid="{15CDC5E8-30D4-4387-B19A-3693A38223D4}" name="Record Hash" dataDxfId="28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geyser</v>
      </c>
      <c r="C2"/>
      <c r="AA2" s="99"/>
    </row>
    <row r="3" spans="2:27" ht="10.050000000000001" customHeight="1">
      <c r="B3"/>
      <c r="C3"/>
      <c r="AA3" s="100"/>
    </row>
    <row r="4" spans="2:27">
      <c r="B4" s="82" t="s">
        <v>25</v>
      </c>
      <c r="C4" s="46">
        <v>272</v>
      </c>
      <c r="AA4" s="101"/>
    </row>
    <row r="5" spans="2:27">
      <c r="B5" s="82" t="s">
        <v>26</v>
      </c>
      <c r="C5" s="47">
        <v>3</v>
      </c>
    </row>
    <row r="6" spans="2:27">
      <c r="B6" s="84" t="s">
        <v>4</v>
      </c>
      <c r="C6" s="47" t="s">
        <v>60</v>
      </c>
      <c r="F6" s="44"/>
    </row>
    <row r="7" spans="2:27">
      <c r="B7" s="80" t="s">
        <v>7</v>
      </c>
      <c r="C7" s="43">
        <v>0.94117647058823528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61</v>
      </c>
      <c r="F11" s="49">
        <v>0.46323529411764702</v>
      </c>
      <c r="G11" s="50">
        <v>0</v>
      </c>
      <c r="H11" s="49">
        <v>0.219222244610114</v>
      </c>
      <c r="I11" s="51">
        <v>2176</v>
      </c>
      <c r="J11" s="51">
        <v>126</v>
      </c>
      <c r="K11" s="51">
        <v>272</v>
      </c>
      <c r="L11" s="52">
        <v>1</v>
      </c>
      <c r="M11" s="51">
        <v>0</v>
      </c>
      <c r="N11" s="53">
        <v>3.48778308823529</v>
      </c>
      <c r="O11" s="53">
        <v>4</v>
      </c>
      <c r="P11" s="53">
        <v>1.867</v>
      </c>
      <c r="Q11" s="53">
        <v>1.1413712511052001</v>
      </c>
      <c r="R11" s="53">
        <v>1.3027283328494601</v>
      </c>
      <c r="S11" s="53">
        <v>1.6</v>
      </c>
      <c r="T11" s="53">
        <v>1.8</v>
      </c>
      <c r="U11" s="53">
        <v>2.16275</v>
      </c>
      <c r="V11" s="53">
        <v>4</v>
      </c>
      <c r="W11" s="53">
        <v>4.45425</v>
      </c>
      <c r="X11" s="53">
        <v>4.8170000000000002</v>
      </c>
      <c r="Y11" s="53">
        <v>5.0999999999999996</v>
      </c>
      <c r="Z11" s="53">
        <v>3.4999999999999898</v>
      </c>
      <c r="AA11" s="53">
        <v>2.2915000000000001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89" t="s">
        <v>62</v>
      </c>
      <c r="F12" s="52">
        <v>0.1875</v>
      </c>
      <c r="G12" s="128">
        <v>0</v>
      </c>
      <c r="H12" s="129">
        <v>0.219222244610114</v>
      </c>
      <c r="I12" s="51">
        <v>2176</v>
      </c>
      <c r="J12" s="51">
        <v>51</v>
      </c>
      <c r="K12" s="51">
        <v>272</v>
      </c>
      <c r="L12" s="52">
        <v>1</v>
      </c>
      <c r="M12" s="51">
        <v>0</v>
      </c>
      <c r="N12" s="53">
        <v>70.897058823529406</v>
      </c>
      <c r="O12" s="53">
        <v>76</v>
      </c>
      <c r="P12" s="53">
        <v>78</v>
      </c>
      <c r="Q12" s="53">
        <v>13.594973789999299</v>
      </c>
      <c r="R12" s="53">
        <v>184.82331235077001</v>
      </c>
      <c r="S12" s="53">
        <v>43</v>
      </c>
      <c r="T12" s="53">
        <v>48</v>
      </c>
      <c r="U12" s="53">
        <v>58</v>
      </c>
      <c r="V12" s="53">
        <v>76</v>
      </c>
      <c r="W12" s="53">
        <v>82</v>
      </c>
      <c r="X12" s="53">
        <v>89</v>
      </c>
      <c r="Y12" s="53">
        <v>96</v>
      </c>
      <c r="Z12" s="53">
        <v>53</v>
      </c>
      <c r="AA12" s="53">
        <v>24</v>
      </c>
    </row>
    <row r="13" spans="2:27">
      <c r="B13" s="130" t="s">
        <v>58</v>
      </c>
      <c r="C13" s="131" t="str">
        <f>IF(INDEX(Definitions,1,MATCH(tbl_Overview[[#This Row],[Field]],Headers,0))="Definition","",INDEX(Definitions,1,MATCH(tbl_Overview[[#This Row],[Field]],Headers,0)))</f>
        <v/>
      </c>
      <c r="D13" s="132" t="str">
        <f>IF(INDEX(Notes,1,MATCH(tbl_Overview[[#This Row],[Field]],Headers,0))="Notes","",INDEX(Notes,1,MATCH(tbl_Overview[[#This Row],[Field]],Headers,0)))</f>
        <v/>
      </c>
      <c r="E13" s="133" t="s">
        <v>63</v>
      </c>
      <c r="F13" s="134">
        <v>7.3529411764705803E-3</v>
      </c>
      <c r="G13" s="135">
        <v>0</v>
      </c>
      <c r="H13" s="136">
        <v>0.34233326616965498</v>
      </c>
      <c r="I13" s="137">
        <v>3398</v>
      </c>
      <c r="J13" s="137">
        <v>2</v>
      </c>
      <c r="K13" s="137">
        <v>272</v>
      </c>
      <c r="L13" s="134">
        <v>1</v>
      </c>
      <c r="M13" s="137">
        <v>0</v>
      </c>
      <c r="N13" s="138"/>
      <c r="O13" s="138"/>
      <c r="P13" s="138" t="s">
        <v>64</v>
      </c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5" customWidth="1"/>
    <col min="3" max="3" width="25.77734375" style="6" customWidth="1"/>
    <col min="4" max="6" width="27.77734375" style="1" customWidth="1"/>
    <col min="7" max="8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3"/>
      <c r="C2" s="59"/>
      <c r="D2"/>
      <c r="E2"/>
    </row>
    <row r="3" spans="1:14" ht="36.6" customHeight="1">
      <c r="A3" s="61"/>
      <c r="B3" s="102" t="s">
        <v>0</v>
      </c>
      <c r="C3" s="73" t="s">
        <v>55</v>
      </c>
      <c r="D3"/>
      <c r="E3"/>
      <c r="F3" s="94"/>
      <c r="H3" s="91"/>
    </row>
    <row r="4" spans="1:14" ht="4.95" customHeight="1">
      <c r="A4" s="59"/>
      <c r="B4" s="103"/>
      <c r="C4" s="59"/>
      <c r="D4"/>
      <c r="E4"/>
      <c r="F4" s="93"/>
    </row>
    <row r="5" spans="1:14" ht="19.95" customHeight="1">
      <c r="A5" s="61"/>
      <c r="B5" s="72" t="s">
        <v>0</v>
      </c>
      <c r="C5" s="74" t="s">
        <v>29</v>
      </c>
      <c r="D5"/>
      <c r="E5"/>
      <c r="F5" s="95"/>
    </row>
    <row r="6" spans="1:14" ht="4.95" customHeight="1">
      <c r="A6" s="30"/>
      <c r="B6" s="67"/>
      <c r="C6" s="68"/>
      <c r="D6" s="61"/>
      <c r="E6" s="61"/>
      <c r="F6" s="61"/>
      <c r="G6" s="92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</row>
    <row r="9" spans="1:14" ht="37.799999999999997" hidden="1" customHeight="1" outlineLevel="1">
      <c r="A9" s="30"/>
      <c r="B9" s="104"/>
      <c r="C9" s="69" t="s">
        <v>1</v>
      </c>
      <c r="D9" s="66" t="s">
        <v>1</v>
      </c>
      <c r="E9" s="66" t="s">
        <v>1</v>
      </c>
      <c r="F9" s="66" t="s">
        <v>1</v>
      </c>
    </row>
    <row r="10" spans="1:14" ht="4.95" hidden="1" customHeight="1" outlineLevel="1">
      <c r="B10" s="28"/>
      <c r="C10" s="3"/>
      <c r="D10" s="54"/>
      <c r="E10" s="54"/>
      <c r="F10" s="54"/>
    </row>
    <row r="11" spans="1:14" s="88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58</v>
      </c>
      <c r="G11" s="88" t="s">
        <v>54</v>
      </c>
      <c r="H11" s="88" t="s">
        <v>59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</row>
    <row r="14" spans="1:14" ht="4.95" customHeight="1" outlineLevel="1">
      <c r="A14" s="61"/>
      <c r="B14" s="63"/>
      <c r="C14" s="64"/>
      <c r="D14" s="61"/>
      <c r="E14" s="60"/>
      <c r="F14" s="60"/>
    </row>
    <row r="15" spans="1:14" ht="84.6" hidden="1" customHeight="1" outlineLevel="2">
      <c r="A15" s="61"/>
      <c r="B15" s="63"/>
      <c r="C15" s="71"/>
      <c r="D15" s="113" t="s">
        <v>24</v>
      </c>
      <c r="E15" s="114"/>
      <c r="F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</row>
    <row r="17" spans="1:9" hidden="1" outlineLevel="2">
      <c r="A17" s="61"/>
      <c r="B17" s="63"/>
      <c r="C17" s="85" t="s">
        <v>25</v>
      </c>
      <c r="D17" s="87">
        <v>272</v>
      </c>
      <c r="E17" s="44"/>
      <c r="F17" s="44"/>
    </row>
    <row r="18" spans="1:9" hidden="1" outlineLevel="2">
      <c r="A18" s="61"/>
      <c r="B18" s="63"/>
      <c r="C18" s="85" t="s">
        <v>45</v>
      </c>
      <c r="D18" s="87">
        <v>3</v>
      </c>
      <c r="E18" s="44"/>
      <c r="F18" s="44"/>
    </row>
    <row r="19" spans="1:9" ht="4.95" hidden="1" customHeight="1" outlineLevel="2">
      <c r="A19" s="61"/>
      <c r="B19" s="63"/>
      <c r="C19" s="65"/>
      <c r="D19" s="62"/>
      <c r="E19"/>
      <c r="F19"/>
    </row>
    <row r="20" spans="1:9" ht="19.95" customHeight="1" outlineLevel="1" collapsed="1">
      <c r="B20" s="72" t="s">
        <v>0</v>
      </c>
      <c r="C20" s="74" t="s">
        <v>50</v>
      </c>
      <c r="D20" s="86"/>
      <c r="E20"/>
      <c r="F20"/>
      <c r="I20" s="14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2" t="s">
        <v>3</v>
      </c>
      <c r="D22" s="11" t="s">
        <v>61</v>
      </c>
      <c r="E22" s="11" t="s">
        <v>62</v>
      </c>
      <c r="F22" s="11" t="s">
        <v>63</v>
      </c>
    </row>
    <row r="23" spans="1:9" ht="14.4" hidden="1" customHeight="1" outlineLevel="2">
      <c r="A23" s="34"/>
      <c r="B23" s="36"/>
      <c r="C23" s="80" t="s">
        <v>7</v>
      </c>
      <c r="D23" s="37">
        <v>0.46323529411764702</v>
      </c>
      <c r="E23" s="37">
        <v>0.1875</v>
      </c>
      <c r="F23" s="37">
        <v>7.3529411764705803E-3</v>
      </c>
    </row>
    <row r="24" spans="1:9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84" t="s">
        <v>5</v>
      </c>
      <c r="D25" s="37">
        <v>0.219222244610114</v>
      </c>
      <c r="E25" s="37">
        <v>0.219222244610114</v>
      </c>
      <c r="F25" s="37">
        <v>0.34233326616965498</v>
      </c>
    </row>
    <row r="26" spans="1:9" ht="14.4" hidden="1" customHeight="1" outlineLevel="2">
      <c r="B26" s="12"/>
      <c r="C26" s="80" t="s">
        <v>4</v>
      </c>
      <c r="D26" s="11">
        <v>2176</v>
      </c>
      <c r="E26" s="11">
        <v>2176</v>
      </c>
      <c r="F26" s="11">
        <v>3398</v>
      </c>
    </row>
    <row r="27" spans="1:9" ht="14.4" hidden="1" customHeight="1" outlineLevel="2">
      <c r="B27" s="12"/>
      <c r="C27" s="80" t="s">
        <v>6</v>
      </c>
      <c r="D27" s="11">
        <v>126</v>
      </c>
      <c r="E27" s="11">
        <v>51</v>
      </c>
      <c r="F27" s="11">
        <v>2</v>
      </c>
    </row>
    <row r="28" spans="1:9" ht="14.4" hidden="1" customHeight="1" outlineLevel="2">
      <c r="B28" s="12"/>
      <c r="C28" s="80" t="s">
        <v>8</v>
      </c>
      <c r="D28" s="11">
        <v>272</v>
      </c>
      <c r="E28" s="11">
        <v>272</v>
      </c>
      <c r="F28" s="11">
        <v>272</v>
      </c>
    </row>
    <row r="29" spans="1:9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2" t="s">
        <v>0</v>
      </c>
      <c r="C33" s="74" t="s">
        <v>49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2" t="s">
        <v>11</v>
      </c>
      <c r="D35" s="21">
        <v>3.48778308823529</v>
      </c>
      <c r="E35" s="21">
        <v>70.897058823529406</v>
      </c>
      <c r="F35" s="21"/>
    </row>
    <row r="36" spans="1:6" ht="14.4" hidden="1" customHeight="1" outlineLevel="2">
      <c r="B36" s="12"/>
      <c r="C36" s="83" t="s">
        <v>12</v>
      </c>
      <c r="D36" s="22">
        <v>4</v>
      </c>
      <c r="E36" s="22">
        <v>76</v>
      </c>
      <c r="F36" s="22"/>
    </row>
    <row r="37" spans="1:6" ht="14.4" hidden="1" customHeight="1" outlineLevel="2">
      <c r="B37" s="12"/>
      <c r="C37" s="80" t="s">
        <v>13</v>
      </c>
      <c r="D37" s="13">
        <v>1.867</v>
      </c>
      <c r="E37" s="13">
        <v>78</v>
      </c>
      <c r="F37" s="13" t="s">
        <v>64</v>
      </c>
    </row>
    <row r="38" spans="1:6" ht="14.4" hidden="1" customHeight="1" outlineLevel="2">
      <c r="B38" s="12"/>
      <c r="C38" s="83" t="s">
        <v>14</v>
      </c>
      <c r="D38" s="23">
        <v>1.1413712511052001</v>
      </c>
      <c r="E38" s="23">
        <v>13.594973789999299</v>
      </c>
      <c r="F38" s="23"/>
    </row>
    <row r="39" spans="1:6" ht="14.4" hidden="1" customHeight="1" outlineLevel="2">
      <c r="B39" s="12"/>
      <c r="C39" s="84" t="s">
        <v>15</v>
      </c>
      <c r="D39" s="21">
        <v>1.3027283328494601</v>
      </c>
      <c r="E39" s="21">
        <v>184.82331235077001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2" t="s">
        <v>0</v>
      </c>
      <c r="C43" s="74" t="s">
        <v>48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77" t="s">
        <v>16</v>
      </c>
      <c r="D45" s="23">
        <v>1.6</v>
      </c>
      <c r="E45" s="23">
        <v>43</v>
      </c>
      <c r="F45" s="23"/>
    </row>
    <row r="46" spans="1:6" ht="14.4" hidden="1" customHeight="1" outlineLevel="2">
      <c r="B46" s="9"/>
      <c r="C46" s="78">
        <v>0.05</v>
      </c>
      <c r="D46" s="21">
        <v>1.8</v>
      </c>
      <c r="E46" s="21">
        <v>48</v>
      </c>
      <c r="F46" s="21"/>
    </row>
    <row r="47" spans="1:6" ht="14.4" hidden="1" customHeight="1" outlineLevel="2">
      <c r="B47" s="9"/>
      <c r="C47" s="79">
        <v>0.25</v>
      </c>
      <c r="D47" s="23">
        <v>2.16275</v>
      </c>
      <c r="E47" s="23">
        <v>58</v>
      </c>
      <c r="F47" s="23"/>
    </row>
    <row r="48" spans="1:6" ht="14.4" hidden="1" customHeight="1" outlineLevel="2">
      <c r="B48" s="9"/>
      <c r="C48" s="78">
        <v>0.5</v>
      </c>
      <c r="D48" s="21">
        <v>4</v>
      </c>
      <c r="E48" s="21">
        <v>76</v>
      </c>
      <c r="F48" s="21"/>
    </row>
    <row r="49" spans="1:6" ht="14.4" hidden="1" customHeight="1" outlineLevel="2">
      <c r="B49" s="9"/>
      <c r="C49" s="79">
        <v>0.75</v>
      </c>
      <c r="D49" s="23">
        <v>4.45425</v>
      </c>
      <c r="E49" s="23">
        <v>82</v>
      </c>
      <c r="F49" s="23"/>
    </row>
    <row r="50" spans="1:6" ht="14.4" hidden="1" customHeight="1" outlineLevel="2">
      <c r="B50" s="9"/>
      <c r="C50" s="78">
        <v>0.95</v>
      </c>
      <c r="D50" s="21">
        <v>4.8170000000000002</v>
      </c>
      <c r="E50" s="21">
        <v>89</v>
      </c>
      <c r="F50" s="21"/>
    </row>
    <row r="51" spans="1:6" ht="14.4" hidden="1" customHeight="1" outlineLevel="2">
      <c r="B51" s="9"/>
      <c r="C51" s="79" t="s">
        <v>17</v>
      </c>
      <c r="D51" s="23">
        <v>5.0999999999999996</v>
      </c>
      <c r="E51" s="23">
        <v>96</v>
      </c>
      <c r="F51" s="23"/>
    </row>
    <row r="52" spans="1:6" ht="14.4" hidden="1" customHeight="1" outlineLevel="2">
      <c r="B52" s="9"/>
      <c r="C52" s="80" t="s">
        <v>18</v>
      </c>
      <c r="D52" s="21">
        <v>3.4999999999999898</v>
      </c>
      <c r="E52" s="21">
        <v>53</v>
      </c>
      <c r="F52" s="21"/>
    </row>
    <row r="53" spans="1:6" ht="14.4" hidden="1" customHeight="1" outlineLevel="2">
      <c r="B53" s="9"/>
      <c r="C53" s="81" t="s">
        <v>19</v>
      </c>
      <c r="D53" s="23">
        <v>2.2915000000000001</v>
      </c>
      <c r="E53" s="23">
        <v>24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</row>
    <row r="58" spans="1:6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</row>
    <row r="59" spans="1:6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</row>
    <row r="60" spans="1:6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</row>
    <row r="61" spans="1:6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</row>
    <row r="62" spans="1:6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</row>
    <row r="63" spans="1:6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</row>
    <row r="64" spans="1:6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</row>
    <row r="65" spans="1:8" ht="4.95" hidden="1" customHeight="1" outlineLevel="2">
      <c r="B65" s="19"/>
      <c r="D65" s="6"/>
      <c r="E65" s="6"/>
      <c r="F65" s="6"/>
    </row>
    <row r="66" spans="1:8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</row>
    <row r="67" spans="1:8" ht="4.95" customHeight="1">
      <c r="A67" s="28"/>
      <c r="B67" s="7"/>
      <c r="C67" s="8"/>
      <c r="D67" s="6"/>
      <c r="E67" s="6"/>
      <c r="F67" s="6"/>
    </row>
    <row r="68" spans="1:8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106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9"/>
      <c r="C77" s="25"/>
      <c r="D77" s="26"/>
      <c r="E77" s="26"/>
      <c r="F77" s="26"/>
    </row>
    <row r="78" spans="1:8" ht="30" customHeight="1" collapsed="1">
      <c r="C78" s="122" t="s">
        <v>20</v>
      </c>
      <c r="D78" s="27" t="s">
        <v>56</v>
      </c>
      <c r="E78" s="27" t="s">
        <v>57</v>
      </c>
      <c r="F78" s="27" t="s">
        <v>58</v>
      </c>
      <c r="G78" s="122" t="s">
        <v>54</v>
      </c>
      <c r="H78" s="122" t="s">
        <v>59</v>
      </c>
    </row>
    <row r="79" spans="1:8">
      <c r="C79" s="29" t="b">
        <v>0</v>
      </c>
      <c r="D79" s="30">
        <v>3.6</v>
      </c>
      <c r="E79" s="30">
        <v>79</v>
      </c>
      <c r="F79" s="30" t="s">
        <v>64</v>
      </c>
      <c r="G79" s="58">
        <v>0</v>
      </c>
      <c r="H79" s="58">
        <v>7.7604872414752696E+18</v>
      </c>
    </row>
    <row r="80" spans="1:8">
      <c r="C80" s="29" t="b">
        <v>0</v>
      </c>
      <c r="D80" s="30">
        <v>1.8</v>
      </c>
      <c r="E80" s="30">
        <v>54</v>
      </c>
      <c r="F80" s="30" t="s">
        <v>65</v>
      </c>
      <c r="G80" s="58">
        <v>0</v>
      </c>
      <c r="H80" s="58">
        <v>9.2039539002748396E+18</v>
      </c>
    </row>
    <row r="81" spans="3:8">
      <c r="C81" s="29" t="b">
        <v>0</v>
      </c>
      <c r="D81" s="30">
        <v>3.3330000000000002</v>
      </c>
      <c r="E81" s="139">
        <v>74</v>
      </c>
      <c r="F81" s="30" t="s">
        <v>64</v>
      </c>
      <c r="G81" s="58">
        <v>0</v>
      </c>
      <c r="H81" s="58">
        <v>8.7075018705436498E+18</v>
      </c>
    </row>
    <row r="82" spans="3:8">
      <c r="C82" s="29" t="b">
        <v>0</v>
      </c>
      <c r="D82" s="30">
        <v>2.2829999999999999</v>
      </c>
      <c r="E82" s="139">
        <v>62</v>
      </c>
      <c r="F82" s="30" t="s">
        <v>65</v>
      </c>
      <c r="G82" s="58">
        <v>0</v>
      </c>
      <c r="H82" s="58">
        <v>1.25064676024029E+19</v>
      </c>
    </row>
    <row r="83" spans="3:8">
      <c r="C83" s="29" t="b">
        <v>0</v>
      </c>
      <c r="D83" s="30">
        <v>4.5330000000000004</v>
      </c>
      <c r="E83" s="139">
        <v>85</v>
      </c>
      <c r="F83" s="30" t="s">
        <v>64</v>
      </c>
      <c r="G83" s="58">
        <v>0</v>
      </c>
      <c r="H83" s="58">
        <v>1.17505023650839E+19</v>
      </c>
    </row>
    <row r="84" spans="3:8">
      <c r="C84" s="29" t="b">
        <v>0</v>
      </c>
      <c r="D84" s="30">
        <v>2.883</v>
      </c>
      <c r="E84" s="139">
        <v>55</v>
      </c>
      <c r="F84" s="30" t="s">
        <v>65</v>
      </c>
      <c r="G84" s="58">
        <v>0</v>
      </c>
      <c r="H84" s="58">
        <v>7.3937694023684403E+18</v>
      </c>
    </row>
    <row r="85" spans="3:8">
      <c r="C85" s="29" t="b">
        <v>0</v>
      </c>
      <c r="D85" s="30">
        <v>4.7</v>
      </c>
      <c r="E85" s="139">
        <v>88</v>
      </c>
      <c r="F85" s="30" t="s">
        <v>64</v>
      </c>
      <c r="G85" s="58">
        <v>0</v>
      </c>
      <c r="H85" s="58">
        <v>1.6550783262322901E+19</v>
      </c>
    </row>
    <row r="86" spans="3:8">
      <c r="C86" s="29" t="b">
        <v>0</v>
      </c>
      <c r="D86" s="30">
        <v>3.6</v>
      </c>
      <c r="E86" s="139">
        <v>85</v>
      </c>
      <c r="F86" s="30" t="s">
        <v>64</v>
      </c>
      <c r="G86" s="58">
        <v>0</v>
      </c>
      <c r="H86" s="58">
        <v>1.2095430352944501E+19</v>
      </c>
    </row>
    <row r="87" spans="3:8">
      <c r="C87" s="29" t="b">
        <v>0</v>
      </c>
      <c r="D87" s="30">
        <v>1.95</v>
      </c>
      <c r="E87" s="139">
        <v>51</v>
      </c>
      <c r="F87" s="30" t="s">
        <v>65</v>
      </c>
      <c r="G87" s="58">
        <v>0</v>
      </c>
      <c r="H87" s="58">
        <v>3.9837220269165302E+18</v>
      </c>
    </row>
    <row r="88" spans="3:8">
      <c r="C88" s="29" t="b">
        <v>0</v>
      </c>
      <c r="D88" s="30">
        <v>4.3499999999999996</v>
      </c>
      <c r="E88" s="139">
        <v>85</v>
      </c>
      <c r="F88" s="30" t="s">
        <v>64</v>
      </c>
      <c r="G88" s="58">
        <v>0</v>
      </c>
      <c r="H88" s="58">
        <v>1.1926785404655E+19</v>
      </c>
    </row>
    <row r="89" spans="3:8">
      <c r="C89" s="29" t="b">
        <v>0</v>
      </c>
      <c r="D89" s="30">
        <v>1.833</v>
      </c>
      <c r="E89" s="139">
        <v>54</v>
      </c>
      <c r="F89" s="30" t="s">
        <v>65</v>
      </c>
      <c r="G89" s="58">
        <v>0</v>
      </c>
      <c r="H89" s="58">
        <v>1.5394505349205299E+19</v>
      </c>
    </row>
    <row r="90" spans="3:8">
      <c r="C90" s="29" t="b">
        <v>0</v>
      </c>
      <c r="D90" s="30">
        <v>3.9169999999999998</v>
      </c>
      <c r="E90" s="139">
        <v>84</v>
      </c>
      <c r="F90" s="30" t="s">
        <v>64</v>
      </c>
      <c r="G90" s="58">
        <v>0</v>
      </c>
      <c r="H90" s="58">
        <v>9.910429264185559E+18</v>
      </c>
    </row>
    <row r="91" spans="3:8">
      <c r="C91" s="29" t="b">
        <v>0</v>
      </c>
      <c r="D91" s="30">
        <v>4.2</v>
      </c>
      <c r="E91" s="139">
        <v>78</v>
      </c>
      <c r="F91" s="30" t="s">
        <v>64</v>
      </c>
      <c r="G91" s="58">
        <v>0</v>
      </c>
      <c r="H91" s="58">
        <v>8.9297942081696901E+18</v>
      </c>
    </row>
    <row r="92" spans="3:8">
      <c r="C92" s="29" t="b">
        <v>0</v>
      </c>
      <c r="D92" s="30">
        <v>1.75</v>
      </c>
      <c r="E92" s="139">
        <v>47</v>
      </c>
      <c r="F92" s="30" t="s">
        <v>65</v>
      </c>
      <c r="G92" s="58">
        <v>0</v>
      </c>
      <c r="H92" s="58">
        <v>9.1393200935362601E+18</v>
      </c>
    </row>
    <row r="93" spans="3:8">
      <c r="C93" s="29" t="b">
        <v>0</v>
      </c>
      <c r="D93" s="30">
        <v>4.7</v>
      </c>
      <c r="E93" s="139">
        <v>83</v>
      </c>
      <c r="F93" s="30" t="s">
        <v>64</v>
      </c>
      <c r="G93" s="58">
        <v>0</v>
      </c>
      <c r="H93" s="58">
        <v>1.7930037962900601E+19</v>
      </c>
    </row>
    <row r="94" spans="3:8">
      <c r="C94" s="29" t="b">
        <v>0</v>
      </c>
      <c r="D94" s="30">
        <v>2.1669999999999998</v>
      </c>
      <c r="E94" s="139">
        <v>52</v>
      </c>
      <c r="F94" s="30" t="s">
        <v>65</v>
      </c>
      <c r="G94" s="58">
        <v>0</v>
      </c>
      <c r="H94" s="58">
        <v>1.49063886708434E+18</v>
      </c>
    </row>
    <row r="95" spans="3:8">
      <c r="C95" s="29" t="b">
        <v>0</v>
      </c>
      <c r="D95" s="30">
        <v>1.75</v>
      </c>
      <c r="E95" s="139">
        <v>62</v>
      </c>
      <c r="F95" s="30" t="s">
        <v>65</v>
      </c>
      <c r="G95" s="58">
        <v>0</v>
      </c>
      <c r="H95" s="58">
        <v>5.5314225549065697E+18</v>
      </c>
    </row>
    <row r="96" spans="3:8">
      <c r="C96" s="29" t="b">
        <v>0</v>
      </c>
      <c r="D96" s="30">
        <v>4.8</v>
      </c>
      <c r="E96" s="139">
        <v>84</v>
      </c>
      <c r="F96" s="30" t="s">
        <v>64</v>
      </c>
      <c r="G96" s="58">
        <v>0</v>
      </c>
      <c r="H96" s="58">
        <v>1.4117400011090201E+19</v>
      </c>
    </row>
    <row r="97" spans="3:8">
      <c r="C97" s="29" t="b">
        <v>0</v>
      </c>
      <c r="D97" s="30">
        <v>1.6</v>
      </c>
      <c r="E97" s="139">
        <v>52</v>
      </c>
      <c r="F97" s="30" t="s">
        <v>65</v>
      </c>
      <c r="G97" s="58">
        <v>0</v>
      </c>
      <c r="H97" s="58">
        <v>1.4213393543942001E+18</v>
      </c>
    </row>
    <row r="98" spans="3:8">
      <c r="C98" s="29" t="b">
        <v>0</v>
      </c>
      <c r="D98" s="30">
        <v>4.25</v>
      </c>
      <c r="E98" s="139">
        <v>79</v>
      </c>
      <c r="F98" s="30" t="s">
        <v>64</v>
      </c>
      <c r="G98" s="58">
        <v>0</v>
      </c>
      <c r="H98" s="58">
        <v>1.6300533642653399E+18</v>
      </c>
    </row>
    <row r="99" spans="3:8">
      <c r="C99" s="29" t="b">
        <v>0</v>
      </c>
      <c r="D99" s="30">
        <v>1.8</v>
      </c>
      <c r="E99" s="139">
        <v>51</v>
      </c>
      <c r="F99" s="30" t="s">
        <v>65</v>
      </c>
      <c r="G99" s="58">
        <v>0</v>
      </c>
      <c r="H99" s="58">
        <v>6.5538552595128402E+18</v>
      </c>
    </row>
    <row r="100" spans="3:8">
      <c r="C100" s="29" t="b">
        <v>0</v>
      </c>
      <c r="D100" s="30">
        <v>1.75</v>
      </c>
      <c r="E100" s="139">
        <v>47</v>
      </c>
      <c r="F100" s="30" t="s">
        <v>65</v>
      </c>
      <c r="G100" s="58">
        <v>0</v>
      </c>
      <c r="H100" s="58">
        <v>9.1393200935362601E+18</v>
      </c>
    </row>
    <row r="101" spans="3:8">
      <c r="C101" s="29" t="b">
        <v>0</v>
      </c>
      <c r="D101" s="30">
        <v>3.45</v>
      </c>
      <c r="E101" s="139">
        <v>78</v>
      </c>
      <c r="F101" s="30" t="s">
        <v>64</v>
      </c>
      <c r="G101" s="58">
        <v>0</v>
      </c>
      <c r="H101" s="58">
        <v>5.95018466453248E+18</v>
      </c>
    </row>
    <row r="102" spans="3:8">
      <c r="C102" s="29" t="b">
        <v>0</v>
      </c>
      <c r="D102" s="30">
        <v>3.0670000000000002</v>
      </c>
      <c r="E102" s="139">
        <v>69</v>
      </c>
      <c r="F102" s="30" t="s">
        <v>64</v>
      </c>
      <c r="G102" s="58">
        <v>0</v>
      </c>
      <c r="H102" s="58">
        <v>4.30031915209485E+18</v>
      </c>
    </row>
    <row r="103" spans="3:8">
      <c r="C103" s="29" t="b">
        <v>0</v>
      </c>
      <c r="D103" s="30">
        <v>4.5330000000000004</v>
      </c>
      <c r="E103" s="139">
        <v>74</v>
      </c>
      <c r="F103" s="30" t="s">
        <v>64</v>
      </c>
      <c r="G103" s="58">
        <v>0</v>
      </c>
      <c r="H103" s="58">
        <v>2.9670785139128499E+18</v>
      </c>
    </row>
    <row r="104" spans="3:8">
      <c r="C104" s="29" t="b">
        <v>0</v>
      </c>
      <c r="D104" s="30">
        <v>3.6</v>
      </c>
      <c r="E104" s="139">
        <v>83</v>
      </c>
      <c r="F104" s="30" t="s">
        <v>64</v>
      </c>
      <c r="G104" s="58">
        <v>0</v>
      </c>
      <c r="H104" s="58">
        <v>1.3358813118993299E+19</v>
      </c>
    </row>
    <row r="105" spans="3:8">
      <c r="C105" s="29" t="b">
        <v>0</v>
      </c>
      <c r="D105" s="30">
        <v>1.9670000000000001</v>
      </c>
      <c r="E105" s="139">
        <v>55</v>
      </c>
      <c r="F105" s="30" t="s">
        <v>65</v>
      </c>
      <c r="G105" s="58">
        <v>0</v>
      </c>
      <c r="H105" s="58">
        <v>1.1377591615302699E+19</v>
      </c>
    </row>
    <row r="106" spans="3:8">
      <c r="C106" s="29" t="b">
        <v>0</v>
      </c>
      <c r="D106" s="30">
        <v>4.0830000000000002</v>
      </c>
      <c r="E106" s="139">
        <v>76</v>
      </c>
      <c r="F106" s="30" t="s">
        <v>64</v>
      </c>
      <c r="G106" s="58">
        <v>0</v>
      </c>
      <c r="H106" s="58">
        <v>1.39218184764841E+19</v>
      </c>
    </row>
    <row r="107" spans="3:8">
      <c r="C107" s="29" t="b">
        <v>0</v>
      </c>
      <c r="D107" s="30">
        <v>3.85</v>
      </c>
      <c r="E107" s="139">
        <v>78</v>
      </c>
      <c r="F107" s="30" t="s">
        <v>64</v>
      </c>
      <c r="G107" s="58">
        <v>0</v>
      </c>
      <c r="H107" s="58">
        <v>1.7731613120190401E+19</v>
      </c>
    </row>
    <row r="108" spans="3:8">
      <c r="C108" s="29" t="b">
        <v>0</v>
      </c>
      <c r="D108" s="30">
        <v>4.4329999999999998</v>
      </c>
      <c r="E108" s="139">
        <v>79</v>
      </c>
      <c r="F108" s="30" t="s">
        <v>64</v>
      </c>
      <c r="G108" s="58">
        <v>0</v>
      </c>
      <c r="H108" s="58">
        <v>7.9365526236625101E+18</v>
      </c>
    </row>
    <row r="109" spans="3:8">
      <c r="C109" s="29" t="b">
        <v>0</v>
      </c>
      <c r="D109" s="30">
        <v>4.3</v>
      </c>
      <c r="E109" s="139">
        <v>73</v>
      </c>
      <c r="F109" s="30" t="s">
        <v>64</v>
      </c>
      <c r="G109" s="58">
        <v>0</v>
      </c>
      <c r="H109" s="58">
        <v>1.5232316501095299E+19</v>
      </c>
    </row>
    <row r="110" spans="3:8">
      <c r="C110" s="29" t="b">
        <v>0</v>
      </c>
      <c r="D110" s="30">
        <v>4.4669999999999996</v>
      </c>
      <c r="E110" s="139">
        <v>77</v>
      </c>
      <c r="F110" s="30" t="s">
        <v>64</v>
      </c>
      <c r="G110" s="58">
        <v>0</v>
      </c>
      <c r="H110" s="58">
        <v>1.57544018456129E+19</v>
      </c>
    </row>
    <row r="111" spans="3:8">
      <c r="C111" s="29" t="b">
        <v>0</v>
      </c>
      <c r="D111" s="30">
        <v>3.367</v>
      </c>
      <c r="E111" s="139">
        <v>66</v>
      </c>
      <c r="F111" s="30" t="s">
        <v>65</v>
      </c>
      <c r="G111" s="58">
        <v>0</v>
      </c>
      <c r="H111" s="58">
        <v>1.3405076501328901E+18</v>
      </c>
    </row>
    <row r="112" spans="3:8">
      <c r="C112" s="29" t="b">
        <v>0</v>
      </c>
      <c r="D112" s="30">
        <v>4.0330000000000004</v>
      </c>
      <c r="E112" s="139">
        <v>80</v>
      </c>
      <c r="F112" s="30" t="s">
        <v>64</v>
      </c>
      <c r="G112" s="58">
        <v>0</v>
      </c>
      <c r="H112" s="58">
        <v>8.0908986755655803E+18</v>
      </c>
    </row>
    <row r="113" spans="3:8">
      <c r="C113" s="29" t="b">
        <v>0</v>
      </c>
      <c r="D113" s="30">
        <v>3.8330000000000002</v>
      </c>
      <c r="E113" s="139">
        <v>74</v>
      </c>
      <c r="F113" s="30" t="s">
        <v>64</v>
      </c>
      <c r="G113" s="58">
        <v>0</v>
      </c>
      <c r="H113" s="58">
        <v>1.5835386568155699E+18</v>
      </c>
    </row>
    <row r="114" spans="3:8">
      <c r="C114" s="29" t="b">
        <v>0</v>
      </c>
      <c r="D114" s="30">
        <v>2.0169999999999999</v>
      </c>
      <c r="E114" s="139">
        <v>52</v>
      </c>
      <c r="F114" s="30" t="s">
        <v>65</v>
      </c>
      <c r="G114" s="58">
        <v>0</v>
      </c>
      <c r="H114" s="58">
        <v>1.5996859068774799E+19</v>
      </c>
    </row>
    <row r="115" spans="3:8">
      <c r="C115" s="29" t="b">
        <v>0</v>
      </c>
      <c r="D115" s="30">
        <v>1.867</v>
      </c>
      <c r="E115" s="139">
        <v>48</v>
      </c>
      <c r="F115" s="30" t="s">
        <v>65</v>
      </c>
      <c r="G115" s="58">
        <v>0</v>
      </c>
      <c r="H115" s="58">
        <v>7.5678493612588698E+18</v>
      </c>
    </row>
    <row r="116" spans="3:8">
      <c r="C116" s="29" t="b">
        <v>0</v>
      </c>
      <c r="D116" s="30">
        <v>4.8330000000000002</v>
      </c>
      <c r="E116" s="139">
        <v>80</v>
      </c>
      <c r="F116" s="30" t="s">
        <v>64</v>
      </c>
      <c r="G116" s="58">
        <v>0</v>
      </c>
      <c r="H116" s="58">
        <v>2.5607740430121201E+18</v>
      </c>
    </row>
    <row r="117" spans="3:8">
      <c r="C117" s="29" t="b">
        <v>0</v>
      </c>
      <c r="D117" s="30">
        <v>1.833</v>
      </c>
      <c r="E117" s="139">
        <v>59</v>
      </c>
      <c r="F117" s="30" t="s">
        <v>65</v>
      </c>
      <c r="G117" s="58">
        <v>0</v>
      </c>
      <c r="H117" s="58">
        <v>1.16589722365034E+19</v>
      </c>
    </row>
    <row r="118" spans="3:8">
      <c r="C118" s="29" t="b">
        <v>0</v>
      </c>
      <c r="D118" s="30">
        <v>4.7830000000000004</v>
      </c>
      <c r="E118" s="139">
        <v>90</v>
      </c>
      <c r="F118" s="30" t="s">
        <v>64</v>
      </c>
      <c r="G118" s="58">
        <v>0</v>
      </c>
      <c r="H118" s="58">
        <v>7.0896816621649398E+18</v>
      </c>
    </row>
    <row r="119" spans="3:8">
      <c r="C119" s="29" t="b">
        <v>0</v>
      </c>
      <c r="D119" s="30">
        <v>4.3499999999999996</v>
      </c>
      <c r="E119" s="139">
        <v>80</v>
      </c>
      <c r="F119" s="30" t="s">
        <v>64</v>
      </c>
      <c r="G119" s="58">
        <v>0</v>
      </c>
      <c r="H119" s="58">
        <v>8.9618200977997804E+18</v>
      </c>
    </row>
    <row r="120" spans="3:8">
      <c r="C120" s="29" t="b">
        <v>0</v>
      </c>
      <c r="D120" s="30">
        <v>1.883</v>
      </c>
      <c r="E120" s="139">
        <v>58</v>
      </c>
      <c r="F120" s="30" t="s">
        <v>65</v>
      </c>
      <c r="G120" s="58">
        <v>0</v>
      </c>
      <c r="H120" s="58">
        <v>1.3238860268199399E+19</v>
      </c>
    </row>
    <row r="121" spans="3:8">
      <c r="C121" s="29" t="b">
        <v>0</v>
      </c>
      <c r="D121" s="30">
        <v>4.5670000000000002</v>
      </c>
      <c r="E121" s="139">
        <v>84</v>
      </c>
      <c r="F121" s="30" t="s">
        <v>64</v>
      </c>
      <c r="G121" s="58">
        <v>0</v>
      </c>
      <c r="H121" s="58">
        <v>5.3626676807245701E+18</v>
      </c>
    </row>
    <row r="122" spans="3:8">
      <c r="C122" s="29" t="b">
        <v>0</v>
      </c>
      <c r="D122" s="30">
        <v>1.75</v>
      </c>
      <c r="E122" s="139">
        <v>58</v>
      </c>
      <c r="F122" s="30" t="s">
        <v>65</v>
      </c>
      <c r="G122" s="58">
        <v>0</v>
      </c>
      <c r="H122" s="58">
        <v>8.0145527327224801E+18</v>
      </c>
    </row>
    <row r="123" spans="3:8">
      <c r="C123" s="29" t="b">
        <v>0</v>
      </c>
      <c r="D123" s="30">
        <v>4.5330000000000004</v>
      </c>
      <c r="E123" s="139">
        <v>73</v>
      </c>
      <c r="F123" s="30" t="s">
        <v>64</v>
      </c>
      <c r="G123" s="58">
        <v>0</v>
      </c>
      <c r="H123" s="58">
        <v>3.6978018051171502E+18</v>
      </c>
    </row>
    <row r="124" spans="3:8">
      <c r="C124" s="29" t="b">
        <v>0</v>
      </c>
      <c r="D124" s="30">
        <v>3.3170000000000002</v>
      </c>
      <c r="E124" s="139">
        <v>83</v>
      </c>
      <c r="F124" s="30" t="s">
        <v>64</v>
      </c>
      <c r="G124" s="58">
        <v>0</v>
      </c>
      <c r="H124" s="58">
        <v>8.1068107350761902E+18</v>
      </c>
    </row>
    <row r="125" spans="3:8">
      <c r="C125" s="29" t="b">
        <v>0</v>
      </c>
      <c r="D125" s="30">
        <v>3.8330000000000002</v>
      </c>
      <c r="E125" s="139">
        <v>64</v>
      </c>
      <c r="F125" s="30" t="s">
        <v>65</v>
      </c>
      <c r="G125" s="58">
        <v>0</v>
      </c>
      <c r="H125" s="58">
        <v>1.6346613353531199E+19</v>
      </c>
    </row>
    <row r="126" spans="3:8">
      <c r="C126" s="29" t="b">
        <v>0</v>
      </c>
      <c r="D126" s="30">
        <v>2.1</v>
      </c>
      <c r="E126" s="139">
        <v>53</v>
      </c>
      <c r="F126" s="30" t="s">
        <v>65</v>
      </c>
      <c r="G126" s="58">
        <v>0</v>
      </c>
      <c r="H126" s="58">
        <v>5.14373973265297E+18</v>
      </c>
    </row>
    <row r="127" spans="3:8">
      <c r="C127" s="29" t="b">
        <v>0</v>
      </c>
      <c r="D127" s="30">
        <v>4.633</v>
      </c>
      <c r="E127" s="139">
        <v>82</v>
      </c>
      <c r="F127" s="30" t="s">
        <v>64</v>
      </c>
      <c r="G127" s="58">
        <v>0</v>
      </c>
      <c r="H127" s="58">
        <v>5.3971608699478804E+18</v>
      </c>
    </row>
    <row r="128" spans="3:8">
      <c r="C128" s="29" t="b">
        <v>0</v>
      </c>
      <c r="D128" s="30">
        <v>2</v>
      </c>
      <c r="E128" s="139">
        <v>59</v>
      </c>
      <c r="F128" s="30" t="s">
        <v>65</v>
      </c>
      <c r="G128" s="58">
        <v>0</v>
      </c>
      <c r="H128" s="58">
        <v>7.6455612658413599E+18</v>
      </c>
    </row>
    <row r="129" spans="3:8">
      <c r="C129" s="29" t="b">
        <v>0</v>
      </c>
      <c r="D129" s="30">
        <v>4.8</v>
      </c>
      <c r="E129" s="139">
        <v>75</v>
      </c>
      <c r="F129" s="30" t="s">
        <v>64</v>
      </c>
      <c r="G129" s="58">
        <v>0</v>
      </c>
      <c r="H129" s="58">
        <v>3.1123738181448699E+18</v>
      </c>
    </row>
    <row r="130" spans="3:8">
      <c r="C130" s="29" t="b">
        <v>0</v>
      </c>
      <c r="D130" s="30">
        <v>4.7160000000000002</v>
      </c>
      <c r="E130" s="139">
        <v>90</v>
      </c>
      <c r="F130" s="30" t="s">
        <v>64</v>
      </c>
      <c r="G130" s="58">
        <v>0</v>
      </c>
      <c r="H130" s="58">
        <v>1.68002709438535E+19</v>
      </c>
    </row>
    <row r="131" spans="3:8">
      <c r="C131" s="29" t="b">
        <v>0</v>
      </c>
      <c r="D131" s="30">
        <v>1.833</v>
      </c>
      <c r="E131" s="139">
        <v>54</v>
      </c>
      <c r="F131" s="30" t="s">
        <v>65</v>
      </c>
      <c r="G131" s="58">
        <v>0</v>
      </c>
      <c r="H131" s="58">
        <v>1.5394505349205299E+19</v>
      </c>
    </row>
    <row r="132" spans="3:8">
      <c r="C132" s="29" t="b">
        <v>0</v>
      </c>
      <c r="D132" s="30">
        <v>4.8330000000000002</v>
      </c>
      <c r="E132" s="139">
        <v>80</v>
      </c>
      <c r="F132" s="30" t="s">
        <v>64</v>
      </c>
      <c r="G132" s="58">
        <v>0</v>
      </c>
      <c r="H132" s="58">
        <v>2.5607740430121201E+18</v>
      </c>
    </row>
    <row r="133" spans="3:8">
      <c r="C133" s="29" t="b">
        <v>0</v>
      </c>
      <c r="D133" s="30">
        <v>1.7330000000000001</v>
      </c>
      <c r="E133" s="139">
        <v>54</v>
      </c>
      <c r="F133" s="30" t="s">
        <v>65</v>
      </c>
      <c r="G133" s="58">
        <v>0</v>
      </c>
      <c r="H133" s="58">
        <v>1.19694150602125E+19</v>
      </c>
    </row>
    <row r="134" spans="3:8">
      <c r="C134" s="29" t="b">
        <v>0</v>
      </c>
      <c r="D134" s="30">
        <v>4.883</v>
      </c>
      <c r="E134" s="139">
        <v>83</v>
      </c>
      <c r="F134" s="30" t="s">
        <v>64</v>
      </c>
      <c r="G134" s="58">
        <v>0</v>
      </c>
      <c r="H134" s="58">
        <v>6.55724076459315E+18</v>
      </c>
    </row>
    <row r="135" spans="3:8">
      <c r="C135" s="29" t="b">
        <v>0</v>
      </c>
      <c r="D135" s="30">
        <v>3.7170000000000001</v>
      </c>
      <c r="E135" s="139">
        <v>71</v>
      </c>
      <c r="F135" s="30" t="s">
        <v>64</v>
      </c>
      <c r="G135" s="58">
        <v>0</v>
      </c>
      <c r="H135" s="58">
        <v>8.9438353088166799E+18</v>
      </c>
    </row>
    <row r="136" spans="3:8">
      <c r="C136" s="29" t="b">
        <v>0</v>
      </c>
      <c r="D136" s="30">
        <v>1.66699999999999</v>
      </c>
      <c r="E136" s="139">
        <v>64</v>
      </c>
      <c r="F136" s="30" t="s">
        <v>65</v>
      </c>
      <c r="G136" s="58">
        <v>0</v>
      </c>
      <c r="H136" s="58">
        <v>1.4964374819138501E+19</v>
      </c>
    </row>
    <row r="137" spans="3:8">
      <c r="C137" s="29" t="b">
        <v>0</v>
      </c>
      <c r="D137" s="30">
        <v>4.5670000000000002</v>
      </c>
      <c r="E137" s="139">
        <v>77</v>
      </c>
      <c r="F137" s="30" t="s">
        <v>64</v>
      </c>
      <c r="G137" s="58">
        <v>0</v>
      </c>
      <c r="H137" s="58">
        <v>1.3194175503441101E+19</v>
      </c>
    </row>
    <row r="138" spans="3:8">
      <c r="C138" s="29" t="b">
        <v>0</v>
      </c>
      <c r="D138" s="30">
        <v>4.3170000000000002</v>
      </c>
      <c r="E138" s="139">
        <v>81</v>
      </c>
      <c r="F138" s="30" t="s">
        <v>64</v>
      </c>
      <c r="G138" s="58">
        <v>0</v>
      </c>
      <c r="H138" s="58">
        <v>7.4578739893572403E+18</v>
      </c>
    </row>
    <row r="139" spans="3:8">
      <c r="C139" s="29" t="b">
        <v>0</v>
      </c>
      <c r="D139" s="30">
        <v>2.2330000000000001</v>
      </c>
      <c r="E139" s="139">
        <v>59</v>
      </c>
      <c r="F139" s="30" t="s">
        <v>65</v>
      </c>
      <c r="G139" s="58">
        <v>0</v>
      </c>
      <c r="H139" s="58">
        <v>1.0143076561597499E+19</v>
      </c>
    </row>
    <row r="140" spans="3:8">
      <c r="C140" s="29" t="b">
        <v>0</v>
      </c>
      <c r="D140" s="30">
        <v>4.5</v>
      </c>
      <c r="E140" s="139">
        <v>84</v>
      </c>
      <c r="F140" s="30" t="s">
        <v>64</v>
      </c>
      <c r="G140" s="58">
        <v>0</v>
      </c>
      <c r="H140" s="58">
        <v>9.4915003384640594E+18</v>
      </c>
    </row>
    <row r="141" spans="3:8">
      <c r="C141" s="29" t="b">
        <v>0</v>
      </c>
      <c r="D141" s="30">
        <v>1.75</v>
      </c>
      <c r="E141" s="139">
        <v>48</v>
      </c>
      <c r="F141" s="30" t="s">
        <v>65</v>
      </c>
      <c r="G141" s="58">
        <v>0</v>
      </c>
      <c r="H141" s="58">
        <v>4.4934613898519002E+17</v>
      </c>
    </row>
    <row r="142" spans="3:8">
      <c r="C142" s="29" t="b">
        <v>0</v>
      </c>
      <c r="D142" s="30">
        <v>4.8</v>
      </c>
      <c r="E142" s="139">
        <v>82</v>
      </c>
      <c r="F142" s="30" t="s">
        <v>64</v>
      </c>
      <c r="G142" s="58">
        <v>0</v>
      </c>
      <c r="H142" s="58">
        <v>1.71292916428846E+19</v>
      </c>
    </row>
    <row r="143" spans="3:8">
      <c r="C143" s="29" t="b">
        <v>0</v>
      </c>
      <c r="D143" s="30">
        <v>1.8169999999999999</v>
      </c>
      <c r="E143" s="139">
        <v>60</v>
      </c>
      <c r="F143" s="30" t="s">
        <v>65</v>
      </c>
      <c r="G143" s="58">
        <v>0</v>
      </c>
      <c r="H143" s="58">
        <v>1.87096345341151E+18</v>
      </c>
    </row>
    <row r="144" spans="3:8">
      <c r="C144" s="29" t="b">
        <v>0</v>
      </c>
      <c r="D144" s="30">
        <v>4.4000000000000004</v>
      </c>
      <c r="E144" s="139">
        <v>92</v>
      </c>
      <c r="F144" s="30" t="s">
        <v>64</v>
      </c>
      <c r="G144" s="58">
        <v>0</v>
      </c>
      <c r="H144" s="58">
        <v>1.3491046822976E+19</v>
      </c>
    </row>
    <row r="145" spans="3:8">
      <c r="C145" s="29" t="b">
        <v>0</v>
      </c>
      <c r="D145" s="30">
        <v>4.1669999999999998</v>
      </c>
      <c r="E145" s="139">
        <v>78</v>
      </c>
      <c r="F145" s="30" t="s">
        <v>64</v>
      </c>
      <c r="G145" s="58">
        <v>0</v>
      </c>
      <c r="H145" s="58">
        <v>5.1906958723536804E+18</v>
      </c>
    </row>
    <row r="146" spans="3:8">
      <c r="C146" s="29" t="b">
        <v>0</v>
      </c>
      <c r="D146" s="30">
        <v>4.7</v>
      </c>
      <c r="E146" s="139">
        <v>78</v>
      </c>
      <c r="F146" s="30" t="s">
        <v>64</v>
      </c>
      <c r="G146" s="58">
        <v>0</v>
      </c>
      <c r="H146" s="58">
        <v>1.4322795595650699E+19</v>
      </c>
    </row>
    <row r="147" spans="3:8">
      <c r="C147" s="29" t="b">
        <v>0</v>
      </c>
      <c r="D147" s="30">
        <v>2.0670000000000002</v>
      </c>
      <c r="E147" s="139">
        <v>65</v>
      </c>
      <c r="F147" s="30" t="s">
        <v>65</v>
      </c>
      <c r="G147" s="58">
        <v>0</v>
      </c>
      <c r="H147" s="58">
        <v>1.34708922050014E+19</v>
      </c>
    </row>
    <row r="148" spans="3:8">
      <c r="C148" s="29" t="b">
        <v>0</v>
      </c>
      <c r="D148" s="30">
        <v>4.7</v>
      </c>
      <c r="E148" s="139">
        <v>73</v>
      </c>
      <c r="F148" s="30" t="s">
        <v>64</v>
      </c>
      <c r="G148" s="58">
        <v>0</v>
      </c>
      <c r="H148" s="58">
        <v>1.06819374523837E+18</v>
      </c>
    </row>
    <row r="149" spans="3:8">
      <c r="C149" s="29" t="b">
        <v>0</v>
      </c>
      <c r="D149" s="30">
        <v>4.0330000000000004</v>
      </c>
      <c r="E149" s="139">
        <v>82</v>
      </c>
      <c r="F149" s="30" t="s">
        <v>64</v>
      </c>
      <c r="G149" s="58">
        <v>0</v>
      </c>
      <c r="H149" s="58">
        <v>1.3814702796422199E+19</v>
      </c>
    </row>
    <row r="150" spans="3:8">
      <c r="C150" s="29" t="b">
        <v>0</v>
      </c>
      <c r="D150" s="30">
        <v>1.9670000000000001</v>
      </c>
      <c r="E150" s="139">
        <v>56</v>
      </c>
      <c r="F150" s="30" t="s">
        <v>65</v>
      </c>
      <c r="G150" s="58">
        <v>0</v>
      </c>
      <c r="H150" s="58">
        <v>1.1428899984901501E+19</v>
      </c>
    </row>
    <row r="151" spans="3:8">
      <c r="C151" s="29" t="b">
        <v>0</v>
      </c>
      <c r="D151" s="30">
        <v>4.5</v>
      </c>
      <c r="E151" s="139">
        <v>79</v>
      </c>
      <c r="F151" s="30" t="s">
        <v>64</v>
      </c>
      <c r="G151" s="58">
        <v>0</v>
      </c>
      <c r="H151" s="58">
        <v>8.8217828590882796E+18</v>
      </c>
    </row>
    <row r="152" spans="3:8">
      <c r="C152" s="29" t="b">
        <v>0</v>
      </c>
      <c r="D152" s="30">
        <v>4</v>
      </c>
      <c r="E152" s="139">
        <v>71</v>
      </c>
      <c r="F152" s="30" t="s">
        <v>64</v>
      </c>
      <c r="G152" s="58">
        <v>0</v>
      </c>
      <c r="H152" s="58">
        <v>1.8034082155821601E+19</v>
      </c>
    </row>
    <row r="153" spans="3:8">
      <c r="C153" s="29" t="b">
        <v>0</v>
      </c>
      <c r="D153" s="30">
        <v>1.9830000000000001</v>
      </c>
      <c r="E153" s="139">
        <v>62</v>
      </c>
      <c r="F153" s="30" t="s">
        <v>65</v>
      </c>
      <c r="G153" s="58">
        <v>0</v>
      </c>
      <c r="H153" s="58">
        <v>7.5945274284811899E+18</v>
      </c>
    </row>
    <row r="154" spans="3:8">
      <c r="C154" s="29" t="b">
        <v>0</v>
      </c>
      <c r="D154" s="30">
        <v>5.0670000000000002</v>
      </c>
      <c r="E154" s="139">
        <v>76</v>
      </c>
      <c r="F154" s="30" t="s">
        <v>64</v>
      </c>
      <c r="G154" s="58">
        <v>0</v>
      </c>
      <c r="H154" s="58">
        <v>4.1304242878421499E+18</v>
      </c>
    </row>
    <row r="155" spans="3:8">
      <c r="C155" s="29" t="b">
        <v>0</v>
      </c>
      <c r="D155" s="30">
        <v>2.0169999999999999</v>
      </c>
      <c r="E155" s="139">
        <v>60</v>
      </c>
      <c r="F155" s="30" t="s">
        <v>65</v>
      </c>
      <c r="G155" s="58">
        <v>0</v>
      </c>
      <c r="H155" s="58">
        <v>1.3532548320298299E+19</v>
      </c>
    </row>
    <row r="156" spans="3:8">
      <c r="C156" s="29" t="b">
        <v>0</v>
      </c>
      <c r="D156" s="30">
        <v>4.5670000000000002</v>
      </c>
      <c r="E156" s="139">
        <v>78</v>
      </c>
      <c r="F156" s="30" t="s">
        <v>64</v>
      </c>
      <c r="G156" s="58">
        <v>0</v>
      </c>
      <c r="H156" s="58">
        <v>1.7645286536881601E+19</v>
      </c>
    </row>
    <row r="157" spans="3:8">
      <c r="C157" s="29" t="b">
        <v>0</v>
      </c>
      <c r="D157" s="30">
        <v>3.883</v>
      </c>
      <c r="E157" s="139">
        <v>76</v>
      </c>
      <c r="F157" s="30" t="s">
        <v>64</v>
      </c>
      <c r="G157" s="58">
        <v>0</v>
      </c>
      <c r="H157" s="58">
        <v>1.0836337974107601E+19</v>
      </c>
    </row>
    <row r="158" spans="3:8">
      <c r="C158" s="29" t="b">
        <v>0</v>
      </c>
      <c r="D158" s="30">
        <v>3.6</v>
      </c>
      <c r="E158" s="139">
        <v>83</v>
      </c>
      <c r="F158" s="30" t="s">
        <v>64</v>
      </c>
      <c r="G158" s="58">
        <v>0</v>
      </c>
      <c r="H158" s="58">
        <v>1.3358813118993299E+19</v>
      </c>
    </row>
    <row r="159" spans="3:8">
      <c r="C159" s="29" t="b">
        <v>0</v>
      </c>
      <c r="D159" s="30">
        <v>4.133</v>
      </c>
      <c r="E159" s="139">
        <v>75</v>
      </c>
      <c r="F159" s="30" t="s">
        <v>64</v>
      </c>
      <c r="G159" s="58">
        <v>0</v>
      </c>
      <c r="H159" s="58">
        <v>1.5029956070954701E+18</v>
      </c>
    </row>
    <row r="160" spans="3:8">
      <c r="C160" s="29" t="b">
        <v>0</v>
      </c>
      <c r="D160" s="30">
        <v>4.3330000000000002</v>
      </c>
      <c r="E160" s="139">
        <v>82</v>
      </c>
      <c r="F160" s="30" t="s">
        <v>64</v>
      </c>
      <c r="G160" s="58">
        <v>0</v>
      </c>
      <c r="H160" s="58">
        <v>9.2522953697219195E+18</v>
      </c>
    </row>
    <row r="161" spans="3:8">
      <c r="C161" s="29" t="b">
        <v>0</v>
      </c>
      <c r="D161" s="30">
        <v>4.0999999999999996</v>
      </c>
      <c r="E161" s="139">
        <v>70</v>
      </c>
      <c r="F161" s="30" t="s">
        <v>64</v>
      </c>
      <c r="G161" s="58">
        <v>0</v>
      </c>
      <c r="H161" s="58">
        <v>1.16404123235311E+19</v>
      </c>
    </row>
    <row r="162" spans="3:8">
      <c r="C162" s="29" t="b">
        <v>0</v>
      </c>
      <c r="D162" s="30">
        <v>2.633</v>
      </c>
      <c r="E162" s="139">
        <v>65</v>
      </c>
      <c r="F162" s="30" t="s">
        <v>65</v>
      </c>
      <c r="G162" s="58">
        <v>0</v>
      </c>
      <c r="H162" s="58">
        <v>6.4147225981016996E+18</v>
      </c>
    </row>
    <row r="163" spans="3:8">
      <c r="C163" s="29" t="b">
        <v>0</v>
      </c>
      <c r="D163" s="30">
        <v>4.0670000000000002</v>
      </c>
      <c r="E163" s="139">
        <v>73</v>
      </c>
      <c r="F163" s="30" t="s">
        <v>64</v>
      </c>
      <c r="G163" s="58">
        <v>0</v>
      </c>
      <c r="H163" s="58">
        <v>5.7236311292672502E+18</v>
      </c>
    </row>
    <row r="164" spans="3:8">
      <c r="C164" s="29" t="b">
        <v>0</v>
      </c>
      <c r="D164" s="30">
        <v>4.9329999999999998</v>
      </c>
      <c r="E164" s="139">
        <v>88</v>
      </c>
      <c r="F164" s="30" t="s">
        <v>64</v>
      </c>
      <c r="G164" s="58">
        <v>0</v>
      </c>
      <c r="H164" s="58">
        <v>1.72425718310284E+19</v>
      </c>
    </row>
    <row r="165" spans="3:8">
      <c r="C165" s="29" t="b">
        <v>0</v>
      </c>
      <c r="D165" s="30">
        <v>3.95</v>
      </c>
      <c r="E165" s="139">
        <v>76</v>
      </c>
      <c r="F165" s="30" t="s">
        <v>64</v>
      </c>
      <c r="G165" s="58">
        <v>0</v>
      </c>
      <c r="H165" s="58">
        <v>1.1502380203555299E+19</v>
      </c>
    </row>
    <row r="166" spans="3:8">
      <c r="C166" s="29" t="b">
        <v>0</v>
      </c>
      <c r="D166" s="30">
        <v>4.5170000000000003</v>
      </c>
      <c r="E166" s="139">
        <v>80</v>
      </c>
      <c r="F166" s="30" t="s">
        <v>64</v>
      </c>
      <c r="G166" s="58">
        <v>0</v>
      </c>
      <c r="H166" s="58">
        <v>1.58177832714286E+19</v>
      </c>
    </row>
    <row r="167" spans="3:8">
      <c r="C167" s="29" t="b">
        <v>0</v>
      </c>
      <c r="D167" s="30">
        <v>2.1669999999999998</v>
      </c>
      <c r="E167" s="139">
        <v>48</v>
      </c>
      <c r="F167" s="30" t="s">
        <v>65</v>
      </c>
      <c r="G167" s="58">
        <v>0</v>
      </c>
      <c r="H167" s="58">
        <v>5.5289440702125005E+18</v>
      </c>
    </row>
    <row r="168" spans="3:8">
      <c r="C168" s="29" t="b">
        <v>0</v>
      </c>
      <c r="D168" s="30">
        <v>4</v>
      </c>
      <c r="E168" s="139">
        <v>86</v>
      </c>
      <c r="F168" s="30" t="s">
        <v>64</v>
      </c>
      <c r="G168" s="58">
        <v>0</v>
      </c>
      <c r="H168" s="58">
        <v>1.1714493663008E+19</v>
      </c>
    </row>
    <row r="169" spans="3:8">
      <c r="C169" s="29" t="b">
        <v>0</v>
      </c>
      <c r="D169" s="30">
        <v>2.2000000000000002</v>
      </c>
      <c r="E169" s="139">
        <v>60</v>
      </c>
      <c r="F169" s="30" t="s">
        <v>65</v>
      </c>
      <c r="G169" s="58">
        <v>0</v>
      </c>
      <c r="H169" s="58">
        <v>3.78008762192401E+18</v>
      </c>
    </row>
    <row r="170" spans="3:8">
      <c r="C170" s="29" t="b">
        <v>0</v>
      </c>
      <c r="D170" s="30">
        <v>4.3330000000000002</v>
      </c>
      <c r="E170" s="139">
        <v>90</v>
      </c>
      <c r="F170" s="30" t="s">
        <v>64</v>
      </c>
      <c r="G170" s="58">
        <v>0</v>
      </c>
      <c r="H170" s="58">
        <v>4.9291022990557402E+17</v>
      </c>
    </row>
    <row r="171" spans="3:8">
      <c r="C171" s="29" t="b">
        <v>0</v>
      </c>
      <c r="D171" s="30">
        <v>1.867</v>
      </c>
      <c r="E171" s="139">
        <v>50</v>
      </c>
      <c r="F171" s="30" t="s">
        <v>65</v>
      </c>
      <c r="G171" s="58">
        <v>0</v>
      </c>
      <c r="H171" s="58">
        <v>7.6776878988699505E+18</v>
      </c>
    </row>
    <row r="172" spans="3:8">
      <c r="C172" s="29" t="b">
        <v>0</v>
      </c>
      <c r="D172" s="30">
        <v>4.8170000000000002</v>
      </c>
      <c r="E172" s="139">
        <v>78</v>
      </c>
      <c r="F172" s="30" t="s">
        <v>64</v>
      </c>
      <c r="G172" s="58">
        <v>0</v>
      </c>
      <c r="H172" s="58">
        <v>9.3746232566003794E+18</v>
      </c>
    </row>
    <row r="173" spans="3:8">
      <c r="C173" s="29" t="b">
        <v>0</v>
      </c>
      <c r="D173" s="30">
        <v>1.833</v>
      </c>
      <c r="E173" s="139">
        <v>63</v>
      </c>
      <c r="F173" s="30" t="s">
        <v>65</v>
      </c>
      <c r="G173" s="58">
        <v>0</v>
      </c>
      <c r="H173" s="58">
        <v>2.77703966016815E+18</v>
      </c>
    </row>
    <row r="174" spans="3:8">
      <c r="C174" s="29" t="b">
        <v>0</v>
      </c>
      <c r="D174" s="30">
        <v>4.3</v>
      </c>
      <c r="E174" s="139">
        <v>72</v>
      </c>
      <c r="F174" s="30" t="s">
        <v>64</v>
      </c>
      <c r="G174" s="58">
        <v>0</v>
      </c>
      <c r="H174" s="58">
        <v>1.5999766193881801E+19</v>
      </c>
    </row>
    <row r="175" spans="3:8">
      <c r="C175" s="29" t="b">
        <v>0</v>
      </c>
      <c r="D175" s="30">
        <v>4.6669999999999998</v>
      </c>
      <c r="E175" s="139">
        <v>84</v>
      </c>
      <c r="F175" s="30" t="s">
        <v>64</v>
      </c>
      <c r="G175" s="58">
        <v>0</v>
      </c>
      <c r="H175" s="58">
        <v>1.7211806076443002E+17</v>
      </c>
    </row>
    <row r="176" spans="3:8">
      <c r="C176" s="29" t="b">
        <v>0</v>
      </c>
      <c r="D176" s="30">
        <v>3.75</v>
      </c>
      <c r="E176" s="139">
        <v>75</v>
      </c>
      <c r="F176" s="30" t="s">
        <v>64</v>
      </c>
      <c r="G176" s="58">
        <v>0</v>
      </c>
      <c r="H176" s="58">
        <v>3.2988361187791698E+18</v>
      </c>
    </row>
    <row r="177" spans="3:8">
      <c r="C177" s="29" t="b">
        <v>0</v>
      </c>
      <c r="D177" s="30">
        <v>1.867</v>
      </c>
      <c r="E177" s="139">
        <v>51</v>
      </c>
      <c r="F177" s="30" t="s">
        <v>65</v>
      </c>
      <c r="G177" s="58">
        <v>0</v>
      </c>
      <c r="H177" s="58">
        <v>1.7882058526331501E+19</v>
      </c>
    </row>
    <row r="178" spans="3:8">
      <c r="C178" s="29" t="b">
        <v>0</v>
      </c>
      <c r="D178" s="30">
        <v>4.9000000000000004</v>
      </c>
      <c r="E178" s="139">
        <v>82</v>
      </c>
      <c r="F178" s="30" t="s">
        <v>64</v>
      </c>
      <c r="G178" s="58">
        <v>0</v>
      </c>
      <c r="H178" s="58">
        <v>6.0206190501056E+18</v>
      </c>
    </row>
    <row r="179" spans="3:8">
      <c r="C179" s="29" t="b">
        <v>0</v>
      </c>
      <c r="D179" s="30">
        <v>2.4830000000000001</v>
      </c>
      <c r="E179" s="139">
        <v>62</v>
      </c>
      <c r="F179" s="30" t="s">
        <v>65</v>
      </c>
      <c r="G179" s="58">
        <v>0</v>
      </c>
      <c r="H179" s="58">
        <v>2.7320183574940698E+18</v>
      </c>
    </row>
    <row r="180" spans="3:8">
      <c r="C180" s="29" t="b">
        <v>0</v>
      </c>
      <c r="D180" s="30">
        <v>4.367</v>
      </c>
      <c r="E180" s="139">
        <v>88</v>
      </c>
      <c r="F180" s="30" t="s">
        <v>64</v>
      </c>
      <c r="G180" s="58">
        <v>0</v>
      </c>
      <c r="H180" s="58">
        <v>5.7086904142549105E+18</v>
      </c>
    </row>
    <row r="181" spans="3:8">
      <c r="C181" s="29" t="b">
        <v>0</v>
      </c>
      <c r="D181" s="30">
        <v>2.1</v>
      </c>
      <c r="E181" s="139">
        <v>49</v>
      </c>
      <c r="F181" s="30" t="s">
        <v>65</v>
      </c>
      <c r="G181" s="58">
        <v>0</v>
      </c>
      <c r="H181" s="58">
        <v>1.24791386291916E+19</v>
      </c>
    </row>
    <row r="182" spans="3:8">
      <c r="C182" s="29" t="b">
        <v>0</v>
      </c>
      <c r="D182" s="30">
        <v>4.5</v>
      </c>
      <c r="E182" s="139">
        <v>83</v>
      </c>
      <c r="F182" s="30" t="s">
        <v>64</v>
      </c>
      <c r="G182" s="58">
        <v>0</v>
      </c>
      <c r="H182" s="58">
        <v>1.3022021512136901E+19</v>
      </c>
    </row>
    <row r="183" spans="3:8">
      <c r="C183" s="29" t="b">
        <v>0</v>
      </c>
      <c r="D183" s="30">
        <v>4.05</v>
      </c>
      <c r="E183" s="139">
        <v>81</v>
      </c>
      <c r="F183" s="30" t="s">
        <v>64</v>
      </c>
      <c r="G183" s="58">
        <v>0</v>
      </c>
      <c r="H183" s="58">
        <v>1.81450899998238E+19</v>
      </c>
    </row>
    <row r="184" spans="3:8">
      <c r="C184" s="29" t="b">
        <v>0</v>
      </c>
      <c r="D184" s="30">
        <v>1.867</v>
      </c>
      <c r="E184" s="139">
        <v>47</v>
      </c>
      <c r="F184" s="30" t="s">
        <v>65</v>
      </c>
      <c r="G184" s="58">
        <v>0</v>
      </c>
      <c r="H184" s="58">
        <v>1.80411490392849E+19</v>
      </c>
    </row>
    <row r="185" spans="3:8">
      <c r="C185" s="29" t="b">
        <v>0</v>
      </c>
      <c r="D185" s="30">
        <v>4.7</v>
      </c>
      <c r="E185" s="139">
        <v>84</v>
      </c>
      <c r="F185" s="30" t="s">
        <v>64</v>
      </c>
      <c r="G185" s="58">
        <v>0</v>
      </c>
      <c r="H185" s="58">
        <v>8.5730184908943002E+18</v>
      </c>
    </row>
    <row r="186" spans="3:8">
      <c r="C186" s="29" t="b">
        <v>0</v>
      </c>
      <c r="D186" s="30">
        <v>1.7829999999999999</v>
      </c>
      <c r="E186" s="139">
        <v>52</v>
      </c>
      <c r="F186" s="30" t="s">
        <v>65</v>
      </c>
      <c r="G186" s="58">
        <v>0</v>
      </c>
      <c r="H186" s="58">
        <v>7.5496053096621804E+18</v>
      </c>
    </row>
    <row r="187" spans="3:8">
      <c r="C187" s="29" t="b">
        <v>0</v>
      </c>
      <c r="D187" s="30">
        <v>4.8499999999999996</v>
      </c>
      <c r="E187" s="139">
        <v>86</v>
      </c>
      <c r="F187" s="30" t="s">
        <v>64</v>
      </c>
      <c r="G187" s="58">
        <v>0</v>
      </c>
      <c r="H187" s="58">
        <v>6.4581398066951004E+18</v>
      </c>
    </row>
    <row r="188" spans="3:8">
      <c r="C188" s="29" t="b">
        <v>0</v>
      </c>
      <c r="D188" s="30">
        <v>3.6829999999999998</v>
      </c>
      <c r="E188" s="139">
        <v>81</v>
      </c>
      <c r="F188" s="30" t="s">
        <v>64</v>
      </c>
      <c r="G188" s="58">
        <v>0</v>
      </c>
      <c r="H188" s="58">
        <v>2.88690680049762E+18</v>
      </c>
    </row>
    <row r="189" spans="3:8">
      <c r="C189" s="29" t="b">
        <v>0</v>
      </c>
      <c r="D189" s="30">
        <v>4.7329999999999997</v>
      </c>
      <c r="E189" s="139">
        <v>75</v>
      </c>
      <c r="F189" s="30" t="s">
        <v>64</v>
      </c>
      <c r="G189" s="58">
        <v>0</v>
      </c>
      <c r="H189" s="58">
        <v>7.9806104605471396E+18</v>
      </c>
    </row>
    <row r="190" spans="3:8">
      <c r="C190" s="29" t="b">
        <v>0</v>
      </c>
      <c r="D190" s="30">
        <v>2.2999999999999998</v>
      </c>
      <c r="E190" s="139">
        <v>59</v>
      </c>
      <c r="F190" s="30" t="s">
        <v>65</v>
      </c>
      <c r="G190" s="58">
        <v>0</v>
      </c>
      <c r="H190" s="58">
        <v>1.3054004883455001E+19</v>
      </c>
    </row>
    <row r="191" spans="3:8">
      <c r="C191" s="29" t="b">
        <v>0</v>
      </c>
      <c r="D191" s="30">
        <v>4.9000000000000004</v>
      </c>
      <c r="E191" s="139">
        <v>89</v>
      </c>
      <c r="F191" s="30" t="s">
        <v>64</v>
      </c>
      <c r="G191" s="58">
        <v>0</v>
      </c>
      <c r="H191" s="58">
        <v>1.2948684411974699E+19</v>
      </c>
    </row>
    <row r="192" spans="3:8">
      <c r="C192" s="29" t="b">
        <v>0</v>
      </c>
      <c r="D192" s="30">
        <v>4.4169999999999998</v>
      </c>
      <c r="E192" s="139">
        <v>79</v>
      </c>
      <c r="F192" s="30" t="s">
        <v>64</v>
      </c>
      <c r="G192" s="58">
        <v>0</v>
      </c>
      <c r="H192" s="58">
        <v>8.3266805385935104E+18</v>
      </c>
    </row>
    <row r="193" spans="3:8">
      <c r="C193" s="29" t="b">
        <v>0</v>
      </c>
      <c r="D193" s="30">
        <v>1.7</v>
      </c>
      <c r="E193" s="139">
        <v>59</v>
      </c>
      <c r="F193" s="30" t="s">
        <v>65</v>
      </c>
      <c r="G193" s="58">
        <v>0</v>
      </c>
      <c r="H193" s="58">
        <v>1.7101057702869801E+19</v>
      </c>
    </row>
    <row r="194" spans="3:8">
      <c r="C194" s="29" t="b">
        <v>0</v>
      </c>
      <c r="D194" s="30">
        <v>4.633</v>
      </c>
      <c r="E194" s="139">
        <v>81</v>
      </c>
      <c r="F194" s="30" t="s">
        <v>64</v>
      </c>
      <c r="G194" s="58">
        <v>0</v>
      </c>
      <c r="H194" s="58">
        <v>8.3611188171934003E+18</v>
      </c>
    </row>
    <row r="195" spans="3:8">
      <c r="C195" s="29" t="b">
        <v>0</v>
      </c>
      <c r="D195" s="30">
        <v>2.3170000000000002</v>
      </c>
      <c r="E195" s="139">
        <v>50</v>
      </c>
      <c r="F195" s="30" t="s">
        <v>65</v>
      </c>
      <c r="G195" s="58">
        <v>0</v>
      </c>
      <c r="H195" s="58">
        <v>1.1657030440765499E+19</v>
      </c>
    </row>
    <row r="196" spans="3:8">
      <c r="C196" s="29" t="b">
        <v>0</v>
      </c>
      <c r="D196" s="30">
        <v>4.5999999999999996</v>
      </c>
      <c r="E196" s="139">
        <v>85</v>
      </c>
      <c r="F196" s="30" t="s">
        <v>64</v>
      </c>
      <c r="G196" s="58">
        <v>0</v>
      </c>
      <c r="H196" s="58">
        <v>1.7683328616739E+19</v>
      </c>
    </row>
    <row r="197" spans="3:8">
      <c r="C197" s="29" t="b">
        <v>0</v>
      </c>
      <c r="D197" s="30">
        <v>1.8169999999999999</v>
      </c>
      <c r="E197" s="139">
        <v>59</v>
      </c>
      <c r="F197" s="30" t="s">
        <v>65</v>
      </c>
      <c r="G197" s="58">
        <v>0</v>
      </c>
      <c r="H197" s="58">
        <v>1.1544418077199499E+19</v>
      </c>
    </row>
    <row r="198" spans="3:8">
      <c r="C198" s="29" t="b">
        <v>0</v>
      </c>
      <c r="D198" s="30">
        <v>4.4169999999999998</v>
      </c>
      <c r="E198" s="139">
        <v>87</v>
      </c>
      <c r="F198" s="30" t="s">
        <v>64</v>
      </c>
      <c r="G198" s="58">
        <v>0</v>
      </c>
      <c r="H198" s="58">
        <v>5.7424352640952499E+17</v>
      </c>
    </row>
    <row r="199" spans="3:8">
      <c r="C199" s="29" t="b">
        <v>0</v>
      </c>
      <c r="D199" s="30">
        <v>2.617</v>
      </c>
      <c r="E199" s="139">
        <v>53</v>
      </c>
      <c r="F199" s="30" t="s">
        <v>65</v>
      </c>
      <c r="G199" s="58">
        <v>0</v>
      </c>
      <c r="H199" s="58">
        <v>1.16609736321687E+19</v>
      </c>
    </row>
    <row r="200" spans="3:8">
      <c r="C200" s="29" t="b">
        <v>0</v>
      </c>
      <c r="D200" s="30">
        <v>4.0670000000000002</v>
      </c>
      <c r="E200" s="139">
        <v>69</v>
      </c>
      <c r="F200" s="30" t="s">
        <v>64</v>
      </c>
      <c r="G200" s="58">
        <v>0</v>
      </c>
      <c r="H200" s="58">
        <v>1.52989980832443E+19</v>
      </c>
    </row>
    <row r="201" spans="3:8">
      <c r="C201" s="29" t="b">
        <v>0</v>
      </c>
      <c r="D201" s="30">
        <v>4.25</v>
      </c>
      <c r="E201" s="139">
        <v>77</v>
      </c>
      <c r="F201" s="30" t="s">
        <v>64</v>
      </c>
      <c r="G201" s="58">
        <v>0</v>
      </c>
      <c r="H201" s="58">
        <v>1.0961189471826201E+19</v>
      </c>
    </row>
    <row r="202" spans="3:8">
      <c r="C202" s="29" t="b">
        <v>0</v>
      </c>
      <c r="D202" s="30">
        <v>1.9670000000000001</v>
      </c>
      <c r="E202" s="139">
        <v>56</v>
      </c>
      <c r="F202" s="30" t="s">
        <v>65</v>
      </c>
      <c r="G202" s="58">
        <v>0</v>
      </c>
      <c r="H202" s="58">
        <v>1.1428899984901501E+19</v>
      </c>
    </row>
    <row r="203" spans="3:8">
      <c r="C203" s="29" t="b">
        <v>0</v>
      </c>
      <c r="D203" s="30">
        <v>4.5999999999999996</v>
      </c>
      <c r="E203" s="139">
        <v>88</v>
      </c>
      <c r="F203" s="30" t="s">
        <v>64</v>
      </c>
      <c r="G203" s="58">
        <v>0</v>
      </c>
      <c r="H203" s="58">
        <v>8.2807410342429204E+18</v>
      </c>
    </row>
    <row r="204" spans="3:8">
      <c r="C204" s="29" t="b">
        <v>0</v>
      </c>
      <c r="D204" s="30">
        <v>3.7669999999999999</v>
      </c>
      <c r="E204" s="139">
        <v>81</v>
      </c>
      <c r="F204" s="30" t="s">
        <v>64</v>
      </c>
      <c r="G204" s="58">
        <v>0</v>
      </c>
      <c r="H204" s="58">
        <v>3.7214137641882701E+17</v>
      </c>
    </row>
    <row r="205" spans="3:8">
      <c r="C205" s="29" t="b">
        <v>0</v>
      </c>
      <c r="D205" s="30">
        <v>1.917</v>
      </c>
      <c r="E205" s="139">
        <v>45</v>
      </c>
      <c r="F205" s="30" t="s">
        <v>65</v>
      </c>
      <c r="G205" s="58">
        <v>0</v>
      </c>
      <c r="H205" s="58">
        <v>5.1449899545787095E+18</v>
      </c>
    </row>
    <row r="206" spans="3:8">
      <c r="C206" s="29" t="b">
        <v>0</v>
      </c>
      <c r="D206" s="30">
        <v>4.5</v>
      </c>
      <c r="E206" s="139">
        <v>82</v>
      </c>
      <c r="F206" s="30" t="s">
        <v>64</v>
      </c>
      <c r="G206" s="58">
        <v>0</v>
      </c>
      <c r="H206" s="58">
        <v>9.1545795330162698E+18</v>
      </c>
    </row>
    <row r="207" spans="3:8">
      <c r="C207" s="29" t="b">
        <v>0</v>
      </c>
      <c r="D207" s="30">
        <v>2.2669999999999999</v>
      </c>
      <c r="E207" s="139">
        <v>55</v>
      </c>
      <c r="F207" s="30" t="s">
        <v>65</v>
      </c>
      <c r="G207" s="58">
        <v>0</v>
      </c>
      <c r="H207" s="58">
        <v>1.077667536358E+19</v>
      </c>
    </row>
    <row r="208" spans="3:8">
      <c r="C208" s="29" t="b">
        <v>0</v>
      </c>
      <c r="D208" s="30">
        <v>4.6500000000000004</v>
      </c>
      <c r="E208" s="139">
        <v>90</v>
      </c>
      <c r="F208" s="30" t="s">
        <v>64</v>
      </c>
      <c r="G208" s="58">
        <v>0</v>
      </c>
      <c r="H208" s="58">
        <v>1.50377163617326E+18</v>
      </c>
    </row>
    <row r="209" spans="3:8">
      <c r="C209" s="29" t="b">
        <v>0</v>
      </c>
      <c r="D209" s="30">
        <v>1.867</v>
      </c>
      <c r="E209" s="139">
        <v>45</v>
      </c>
      <c r="F209" s="30" t="s">
        <v>65</v>
      </c>
      <c r="G209" s="58">
        <v>0</v>
      </c>
      <c r="H209" s="58">
        <v>1.3256379138282E+19</v>
      </c>
    </row>
    <row r="210" spans="3:8">
      <c r="C210" s="29" t="b">
        <v>0</v>
      </c>
      <c r="D210" s="30">
        <v>4.1669999999999998</v>
      </c>
      <c r="E210" s="139">
        <v>83</v>
      </c>
      <c r="F210" s="30" t="s">
        <v>64</v>
      </c>
      <c r="G210" s="58">
        <v>0</v>
      </c>
      <c r="H210" s="58">
        <v>3.7840302734242598E+17</v>
      </c>
    </row>
    <row r="211" spans="3:8">
      <c r="C211" s="29" t="b">
        <v>0</v>
      </c>
      <c r="D211" s="30">
        <v>2.8</v>
      </c>
      <c r="E211" s="139">
        <v>56</v>
      </c>
      <c r="F211" s="30" t="s">
        <v>65</v>
      </c>
      <c r="G211" s="58">
        <v>0</v>
      </c>
      <c r="H211" s="58">
        <v>1.8146075527481201E+19</v>
      </c>
    </row>
    <row r="212" spans="3:8">
      <c r="C212" s="29" t="b">
        <v>0</v>
      </c>
      <c r="D212" s="30">
        <v>4.3330000000000002</v>
      </c>
      <c r="E212" s="139">
        <v>89</v>
      </c>
      <c r="F212" s="30" t="s">
        <v>64</v>
      </c>
      <c r="G212" s="58">
        <v>0</v>
      </c>
      <c r="H212" s="58">
        <v>1.6044854004272501E+19</v>
      </c>
    </row>
    <row r="213" spans="3:8">
      <c r="C213" s="29" t="b">
        <v>0</v>
      </c>
      <c r="D213" s="30">
        <v>1.833</v>
      </c>
      <c r="E213" s="139">
        <v>46</v>
      </c>
      <c r="F213" s="30" t="s">
        <v>65</v>
      </c>
      <c r="G213" s="58">
        <v>0</v>
      </c>
      <c r="H213" s="58">
        <v>1.0162041573529201E+19</v>
      </c>
    </row>
    <row r="214" spans="3:8">
      <c r="C214" s="29" t="b">
        <v>0</v>
      </c>
      <c r="D214" s="30">
        <v>4.383</v>
      </c>
      <c r="E214" s="139">
        <v>82</v>
      </c>
      <c r="F214" s="30" t="s">
        <v>64</v>
      </c>
      <c r="G214" s="58">
        <v>0</v>
      </c>
      <c r="H214" s="58">
        <v>4.1611102043683799E+18</v>
      </c>
    </row>
    <row r="215" spans="3:8">
      <c r="C215" s="29" t="b">
        <v>0</v>
      </c>
      <c r="D215" s="30">
        <v>1.883</v>
      </c>
      <c r="E215" s="139">
        <v>51</v>
      </c>
      <c r="F215" s="30" t="s">
        <v>65</v>
      </c>
      <c r="G215" s="58">
        <v>0</v>
      </c>
      <c r="H215" s="58">
        <v>1.2371546332513499E+19</v>
      </c>
    </row>
    <row r="216" spans="3:8">
      <c r="C216" s="29" t="b">
        <v>0</v>
      </c>
      <c r="D216" s="30">
        <v>4.9329999999999998</v>
      </c>
      <c r="E216" s="139">
        <v>86</v>
      </c>
      <c r="F216" s="30" t="s">
        <v>64</v>
      </c>
      <c r="G216" s="58">
        <v>0</v>
      </c>
      <c r="H216" s="58">
        <v>1.5188711818404E+19</v>
      </c>
    </row>
    <row r="217" spans="3:8">
      <c r="C217" s="29" t="b">
        <v>0</v>
      </c>
      <c r="D217" s="30">
        <v>2.0329999999999999</v>
      </c>
      <c r="E217" s="139">
        <v>53</v>
      </c>
      <c r="F217" s="30" t="s">
        <v>65</v>
      </c>
      <c r="G217" s="58">
        <v>0</v>
      </c>
      <c r="H217" s="58">
        <v>9.5354776467846595E+18</v>
      </c>
    </row>
    <row r="218" spans="3:8">
      <c r="C218" s="29" t="b">
        <v>0</v>
      </c>
      <c r="D218" s="30">
        <v>3.7330000000000001</v>
      </c>
      <c r="E218" s="139">
        <v>79</v>
      </c>
      <c r="F218" s="30" t="s">
        <v>64</v>
      </c>
      <c r="G218" s="58">
        <v>0</v>
      </c>
      <c r="H218" s="58">
        <v>9.4565568580411105E+18</v>
      </c>
    </row>
    <row r="219" spans="3:8">
      <c r="C219" s="29" t="b">
        <v>0</v>
      </c>
      <c r="D219" s="30">
        <v>4.2329999999999997</v>
      </c>
      <c r="E219" s="139">
        <v>81</v>
      </c>
      <c r="F219" s="30" t="s">
        <v>64</v>
      </c>
      <c r="G219" s="58">
        <v>0</v>
      </c>
      <c r="H219" s="58">
        <v>1.2752564987132899E+19</v>
      </c>
    </row>
    <row r="220" spans="3:8">
      <c r="C220" s="29" t="b">
        <v>0</v>
      </c>
      <c r="D220" s="30">
        <v>2.2330000000000001</v>
      </c>
      <c r="E220" s="139">
        <v>60</v>
      </c>
      <c r="F220" s="30" t="s">
        <v>65</v>
      </c>
      <c r="G220" s="58">
        <v>0</v>
      </c>
      <c r="H220" s="58">
        <v>1.7118997872702099E+19</v>
      </c>
    </row>
    <row r="221" spans="3:8">
      <c r="C221" s="29" t="b">
        <v>0</v>
      </c>
      <c r="D221" s="30">
        <v>4.5330000000000004</v>
      </c>
      <c r="E221" s="139">
        <v>82</v>
      </c>
      <c r="F221" s="30" t="s">
        <v>64</v>
      </c>
      <c r="G221" s="58">
        <v>0</v>
      </c>
      <c r="H221" s="58">
        <v>9.2122116645713498E+17</v>
      </c>
    </row>
    <row r="222" spans="3:8">
      <c r="C222" s="29" t="b">
        <v>0</v>
      </c>
      <c r="D222" s="30">
        <v>4.8170000000000002</v>
      </c>
      <c r="E222" s="139">
        <v>77</v>
      </c>
      <c r="F222" s="30" t="s">
        <v>64</v>
      </c>
      <c r="G222" s="58">
        <v>0</v>
      </c>
      <c r="H222" s="58">
        <v>1.33650346192931E+19</v>
      </c>
    </row>
    <row r="223" spans="3:8">
      <c r="C223" s="29" t="b">
        <v>0</v>
      </c>
      <c r="D223" s="30">
        <v>4.3330000000000002</v>
      </c>
      <c r="E223" s="139">
        <v>76</v>
      </c>
      <c r="F223" s="30" t="s">
        <v>64</v>
      </c>
      <c r="G223" s="58">
        <v>0</v>
      </c>
      <c r="H223" s="58">
        <v>1.0511866094793099E+19</v>
      </c>
    </row>
    <row r="224" spans="3:8">
      <c r="C224" s="29" t="b">
        <v>0</v>
      </c>
      <c r="D224" s="30">
        <v>1.9830000000000001</v>
      </c>
      <c r="E224" s="139">
        <v>59</v>
      </c>
      <c r="F224" s="30" t="s">
        <v>65</v>
      </c>
      <c r="G224" s="58">
        <v>0</v>
      </c>
      <c r="H224" s="58">
        <v>1.6246209049341E+19</v>
      </c>
    </row>
    <row r="225" spans="3:8">
      <c r="C225" s="29" t="b">
        <v>0</v>
      </c>
      <c r="D225" s="30">
        <v>4.633</v>
      </c>
      <c r="E225" s="139">
        <v>80</v>
      </c>
      <c r="F225" s="30" t="s">
        <v>64</v>
      </c>
      <c r="G225" s="58">
        <v>0</v>
      </c>
      <c r="H225" s="58">
        <v>1.2670046418482901E+19</v>
      </c>
    </row>
    <row r="226" spans="3:8">
      <c r="C226" s="29" t="b">
        <v>0</v>
      </c>
      <c r="D226" s="30">
        <v>2.0169999999999999</v>
      </c>
      <c r="E226" s="139">
        <v>49</v>
      </c>
      <c r="F226" s="30" t="s">
        <v>65</v>
      </c>
      <c r="G226" s="58">
        <v>0</v>
      </c>
      <c r="H226" s="58">
        <v>1.0261865627773E+19</v>
      </c>
    </row>
    <row r="227" spans="3:8">
      <c r="C227" s="29" t="b">
        <v>0</v>
      </c>
      <c r="D227" s="30">
        <v>5.0999999999999996</v>
      </c>
      <c r="E227" s="139">
        <v>96</v>
      </c>
      <c r="F227" s="30" t="s">
        <v>64</v>
      </c>
      <c r="G227" s="58">
        <v>0</v>
      </c>
      <c r="H227" s="58">
        <v>6.4151277891775304E+18</v>
      </c>
    </row>
    <row r="228" spans="3:8">
      <c r="C228" s="29" t="b">
        <v>0</v>
      </c>
      <c r="D228" s="30">
        <v>1.8</v>
      </c>
      <c r="E228" s="139">
        <v>53</v>
      </c>
      <c r="F228" s="30" t="s">
        <v>65</v>
      </c>
      <c r="G228" s="58">
        <v>0</v>
      </c>
      <c r="H228" s="58">
        <v>1.26885533857419E+19</v>
      </c>
    </row>
    <row r="229" spans="3:8">
      <c r="C229" s="29" t="b">
        <v>0</v>
      </c>
      <c r="D229" s="30">
        <v>5.0330000000000004</v>
      </c>
      <c r="E229" s="139">
        <v>77</v>
      </c>
      <c r="F229" s="30" t="s">
        <v>64</v>
      </c>
      <c r="G229" s="58">
        <v>0</v>
      </c>
      <c r="H229" s="58">
        <v>1.5775038244102199E+19</v>
      </c>
    </row>
    <row r="230" spans="3:8">
      <c r="C230" s="29" t="b">
        <v>0</v>
      </c>
      <c r="D230" s="30">
        <v>4</v>
      </c>
      <c r="E230" s="139">
        <v>77</v>
      </c>
      <c r="F230" s="30" t="s">
        <v>64</v>
      </c>
      <c r="G230" s="58">
        <v>0</v>
      </c>
      <c r="H230" s="58">
        <v>9.7861353561813504E+18</v>
      </c>
    </row>
    <row r="231" spans="3:8">
      <c r="C231" s="29" t="b">
        <v>0</v>
      </c>
      <c r="D231" s="30">
        <v>2.4</v>
      </c>
      <c r="E231" s="139">
        <v>65</v>
      </c>
      <c r="F231" s="30" t="s">
        <v>65</v>
      </c>
      <c r="G231" s="58">
        <v>0</v>
      </c>
      <c r="H231" s="58">
        <v>4.7477383939747799E+18</v>
      </c>
    </row>
    <row r="232" spans="3:8">
      <c r="C232" s="29" t="b">
        <v>0</v>
      </c>
      <c r="D232" s="30">
        <v>4.5999999999999996</v>
      </c>
      <c r="E232" s="139">
        <v>81</v>
      </c>
      <c r="F232" s="30" t="s">
        <v>64</v>
      </c>
      <c r="G232" s="58">
        <v>0</v>
      </c>
      <c r="H232" s="58">
        <v>2.4265719007383199E+18</v>
      </c>
    </row>
    <row r="233" spans="3:8">
      <c r="C233" s="29" t="b">
        <v>0</v>
      </c>
      <c r="D233" s="30">
        <v>3.5670000000000002</v>
      </c>
      <c r="E233" s="139">
        <v>71</v>
      </c>
      <c r="F233" s="30" t="s">
        <v>64</v>
      </c>
      <c r="G233" s="58">
        <v>0</v>
      </c>
      <c r="H233" s="58">
        <v>1.04326820605639E+19</v>
      </c>
    </row>
    <row r="234" spans="3:8">
      <c r="C234" s="29" t="b">
        <v>0</v>
      </c>
      <c r="D234" s="30">
        <v>4</v>
      </c>
      <c r="E234" s="139">
        <v>70</v>
      </c>
      <c r="F234" s="30" t="s">
        <v>64</v>
      </c>
      <c r="G234" s="58">
        <v>0</v>
      </c>
      <c r="H234" s="58">
        <v>3.48897232009784E+17</v>
      </c>
    </row>
    <row r="235" spans="3:8">
      <c r="C235" s="29" t="b">
        <v>0</v>
      </c>
      <c r="D235" s="30">
        <v>4.5</v>
      </c>
      <c r="E235" s="139">
        <v>81</v>
      </c>
      <c r="F235" s="30" t="s">
        <v>64</v>
      </c>
      <c r="G235" s="58">
        <v>0</v>
      </c>
      <c r="H235" s="58">
        <v>1.46533987844258E+19</v>
      </c>
    </row>
    <row r="236" spans="3:8">
      <c r="C236" s="29" t="b">
        <v>0</v>
      </c>
      <c r="D236" s="30">
        <v>4.0830000000000002</v>
      </c>
      <c r="E236" s="139">
        <v>93</v>
      </c>
      <c r="F236" s="30" t="s">
        <v>64</v>
      </c>
      <c r="G236" s="58">
        <v>0</v>
      </c>
      <c r="H236" s="58">
        <v>1.4902580111203299E+19</v>
      </c>
    </row>
    <row r="237" spans="3:8">
      <c r="C237" s="29" t="b">
        <v>0</v>
      </c>
      <c r="D237" s="30">
        <v>1.8</v>
      </c>
      <c r="E237" s="139">
        <v>53</v>
      </c>
      <c r="F237" s="30" t="s">
        <v>65</v>
      </c>
      <c r="G237" s="58">
        <v>0</v>
      </c>
      <c r="H237" s="58">
        <v>1.26885533857419E+19</v>
      </c>
    </row>
    <row r="238" spans="3:8">
      <c r="C238" s="29" t="b">
        <v>0</v>
      </c>
      <c r="D238" s="30">
        <v>3.9670000000000001</v>
      </c>
      <c r="E238" s="139">
        <v>89</v>
      </c>
      <c r="F238" s="30" t="s">
        <v>64</v>
      </c>
      <c r="G238" s="58">
        <v>0</v>
      </c>
      <c r="H238" s="58">
        <v>1.4636496263971799E+19</v>
      </c>
    </row>
    <row r="239" spans="3:8">
      <c r="C239" s="29" t="b">
        <v>0</v>
      </c>
      <c r="D239" s="30">
        <v>2.2000000000000002</v>
      </c>
      <c r="E239" s="139">
        <v>45</v>
      </c>
      <c r="F239" s="30" t="s">
        <v>65</v>
      </c>
      <c r="G239" s="58">
        <v>0</v>
      </c>
      <c r="H239" s="58">
        <v>9.0040842907395195E+18</v>
      </c>
    </row>
    <row r="240" spans="3:8">
      <c r="C240" s="29" t="b">
        <v>0</v>
      </c>
      <c r="D240" s="30">
        <v>4.1500000000000004</v>
      </c>
      <c r="E240" s="139">
        <v>86</v>
      </c>
      <c r="F240" s="30" t="s">
        <v>64</v>
      </c>
      <c r="G240" s="58">
        <v>0</v>
      </c>
      <c r="H240" s="58">
        <v>6.7378369713667195E+18</v>
      </c>
    </row>
    <row r="241" spans="3:8">
      <c r="C241" s="29" t="b">
        <v>0</v>
      </c>
      <c r="D241" s="30">
        <v>2</v>
      </c>
      <c r="E241" s="139">
        <v>58</v>
      </c>
      <c r="F241" s="30" t="s">
        <v>65</v>
      </c>
      <c r="G241" s="58">
        <v>0</v>
      </c>
      <c r="H241" s="58">
        <v>2.4994857029931802E+18</v>
      </c>
    </row>
    <row r="242" spans="3:8">
      <c r="C242" s="29" t="b">
        <v>0</v>
      </c>
      <c r="D242" s="30">
        <v>3.8330000000000002</v>
      </c>
      <c r="E242" s="139">
        <v>78</v>
      </c>
      <c r="F242" s="30" t="s">
        <v>64</v>
      </c>
      <c r="G242" s="58">
        <v>0</v>
      </c>
      <c r="H242" s="58">
        <v>1.32319207276358E+19</v>
      </c>
    </row>
    <row r="243" spans="3:8">
      <c r="C243" s="29" t="b">
        <v>0</v>
      </c>
      <c r="D243" s="30">
        <v>3.5</v>
      </c>
      <c r="E243" s="139">
        <v>66</v>
      </c>
      <c r="F243" s="30" t="s">
        <v>65</v>
      </c>
      <c r="G243" s="58">
        <v>0</v>
      </c>
      <c r="H243" s="58">
        <v>7.2520152788007496E+18</v>
      </c>
    </row>
    <row r="244" spans="3:8">
      <c r="C244" s="29" t="b">
        <v>0</v>
      </c>
      <c r="D244" s="30">
        <v>4.5830000000000002</v>
      </c>
      <c r="E244" s="139">
        <v>76</v>
      </c>
      <c r="F244" s="30" t="s">
        <v>64</v>
      </c>
      <c r="G244" s="58">
        <v>0</v>
      </c>
      <c r="H244" s="58">
        <v>9.4486758801767501E+17</v>
      </c>
    </row>
    <row r="245" spans="3:8">
      <c r="C245" s="29" t="b">
        <v>0</v>
      </c>
      <c r="D245" s="30">
        <v>2.367</v>
      </c>
      <c r="E245" s="139">
        <v>63</v>
      </c>
      <c r="F245" s="30" t="s">
        <v>65</v>
      </c>
      <c r="G245" s="58">
        <v>0</v>
      </c>
      <c r="H245" s="58">
        <v>9.4431840016684595E+17</v>
      </c>
    </row>
    <row r="246" spans="3:8">
      <c r="C246" s="29" t="b">
        <v>0</v>
      </c>
      <c r="D246" s="30">
        <v>5</v>
      </c>
      <c r="E246" s="139">
        <v>88</v>
      </c>
      <c r="F246" s="30" t="s">
        <v>64</v>
      </c>
      <c r="G246" s="58">
        <v>0</v>
      </c>
      <c r="H246" s="58">
        <v>2.5134928646493998E+18</v>
      </c>
    </row>
    <row r="247" spans="3:8">
      <c r="C247" s="29" t="b">
        <v>0</v>
      </c>
      <c r="D247" s="30">
        <v>1.9330000000000001</v>
      </c>
      <c r="E247" s="139">
        <v>52</v>
      </c>
      <c r="F247" s="30" t="s">
        <v>65</v>
      </c>
      <c r="G247" s="58">
        <v>0</v>
      </c>
      <c r="H247" s="58">
        <v>8.32180896931213E+18</v>
      </c>
    </row>
    <row r="248" spans="3:8">
      <c r="C248" s="29" t="b">
        <v>0</v>
      </c>
      <c r="D248" s="30">
        <v>4.617</v>
      </c>
      <c r="E248" s="139">
        <v>93</v>
      </c>
      <c r="F248" s="30" t="s">
        <v>64</v>
      </c>
      <c r="G248" s="58">
        <v>0</v>
      </c>
      <c r="H248" s="58">
        <v>3.5786974180085402E+18</v>
      </c>
    </row>
    <row r="249" spans="3:8">
      <c r="C249" s="29" t="b">
        <v>0</v>
      </c>
      <c r="D249" s="30">
        <v>1.917</v>
      </c>
      <c r="E249" s="139">
        <v>49</v>
      </c>
      <c r="F249" s="30" t="s">
        <v>65</v>
      </c>
      <c r="G249" s="58">
        <v>0</v>
      </c>
      <c r="H249" s="58">
        <v>1.7696707373924301E+19</v>
      </c>
    </row>
    <row r="250" spans="3:8">
      <c r="C250" s="29" t="b">
        <v>0</v>
      </c>
      <c r="D250" s="30">
        <v>2.0830000000000002</v>
      </c>
      <c r="E250" s="139">
        <v>57</v>
      </c>
      <c r="F250" s="30" t="s">
        <v>65</v>
      </c>
      <c r="G250" s="58">
        <v>0</v>
      </c>
      <c r="H250" s="58">
        <v>4.2576191737237702E+17</v>
      </c>
    </row>
    <row r="251" spans="3:8">
      <c r="C251" s="29" t="b">
        <v>0</v>
      </c>
      <c r="D251" s="30">
        <v>4.5830000000000002</v>
      </c>
      <c r="E251" s="139">
        <v>77</v>
      </c>
      <c r="F251" s="30" t="s">
        <v>64</v>
      </c>
      <c r="G251" s="58">
        <v>0</v>
      </c>
      <c r="H251" s="58">
        <v>1.3143000225665401E+19</v>
      </c>
    </row>
    <row r="252" spans="3:8">
      <c r="C252" s="29" t="b">
        <v>0</v>
      </c>
      <c r="D252" s="30">
        <v>3.3330000000000002</v>
      </c>
      <c r="E252" s="139">
        <v>68</v>
      </c>
      <c r="F252" s="30" t="s">
        <v>64</v>
      </c>
      <c r="G252" s="58">
        <v>0</v>
      </c>
      <c r="H252" s="58">
        <v>1.1431763338458401E+19</v>
      </c>
    </row>
    <row r="253" spans="3:8">
      <c r="C253" s="29" t="b">
        <v>0</v>
      </c>
      <c r="D253" s="30">
        <v>4.1669999999999998</v>
      </c>
      <c r="E253" s="139">
        <v>81</v>
      </c>
      <c r="F253" s="30" t="s">
        <v>64</v>
      </c>
      <c r="G253" s="58">
        <v>0</v>
      </c>
      <c r="H253" s="58">
        <v>1.4483655818624801E+19</v>
      </c>
    </row>
    <row r="254" spans="3:8">
      <c r="C254" s="29" t="b">
        <v>0</v>
      </c>
      <c r="D254" s="30">
        <v>4.3330000000000002</v>
      </c>
      <c r="E254" s="139">
        <v>81</v>
      </c>
      <c r="F254" s="30" t="s">
        <v>64</v>
      </c>
      <c r="G254" s="58">
        <v>0</v>
      </c>
      <c r="H254" s="58">
        <v>1.68796897141532E+19</v>
      </c>
    </row>
    <row r="255" spans="3:8">
      <c r="C255" s="29" t="b">
        <v>0</v>
      </c>
      <c r="D255" s="30">
        <v>4.5</v>
      </c>
      <c r="E255" s="139">
        <v>73</v>
      </c>
      <c r="F255" s="30" t="s">
        <v>64</v>
      </c>
      <c r="G255" s="58">
        <v>0</v>
      </c>
      <c r="H255" s="58">
        <v>9.8140667699847706E+17</v>
      </c>
    </row>
    <row r="256" spans="3:8">
      <c r="C256" s="29" t="b">
        <v>0</v>
      </c>
      <c r="D256" s="30">
        <v>2.4169999999999998</v>
      </c>
      <c r="E256" s="139">
        <v>50</v>
      </c>
      <c r="F256" s="30" t="s">
        <v>65</v>
      </c>
      <c r="G256" s="58">
        <v>0</v>
      </c>
      <c r="H256" s="58">
        <v>5.4200639225026099E+18</v>
      </c>
    </row>
    <row r="257" spans="3:8">
      <c r="C257" s="29" t="b">
        <v>0</v>
      </c>
      <c r="D257" s="30">
        <v>4</v>
      </c>
      <c r="E257" s="139">
        <v>85</v>
      </c>
      <c r="F257" s="30" t="s">
        <v>64</v>
      </c>
      <c r="G257" s="58">
        <v>0</v>
      </c>
      <c r="H257" s="58">
        <v>6.2661071659285699E+18</v>
      </c>
    </row>
    <row r="258" spans="3:8">
      <c r="C258" s="29" t="b">
        <v>0</v>
      </c>
      <c r="D258" s="30">
        <v>4.1669999999999998</v>
      </c>
      <c r="E258" s="139">
        <v>74</v>
      </c>
      <c r="F258" s="30" t="s">
        <v>64</v>
      </c>
      <c r="G258" s="58">
        <v>0</v>
      </c>
      <c r="H258" s="58">
        <v>1.5776098329363599E+19</v>
      </c>
    </row>
    <row r="259" spans="3:8">
      <c r="C259" s="29" t="b">
        <v>0</v>
      </c>
      <c r="D259" s="30">
        <v>1.883</v>
      </c>
      <c r="E259" s="139">
        <v>55</v>
      </c>
      <c r="F259" s="30" t="s">
        <v>65</v>
      </c>
      <c r="G259" s="58">
        <v>0</v>
      </c>
      <c r="H259" s="58">
        <v>9.774867016561109E+18</v>
      </c>
    </row>
    <row r="260" spans="3:8">
      <c r="C260" s="29" t="b">
        <v>0</v>
      </c>
      <c r="D260" s="30">
        <v>4.5830000000000002</v>
      </c>
      <c r="E260" s="139">
        <v>77</v>
      </c>
      <c r="F260" s="30" t="s">
        <v>64</v>
      </c>
      <c r="G260" s="58">
        <v>0</v>
      </c>
      <c r="H260" s="58">
        <v>1.3143000225665401E+19</v>
      </c>
    </row>
    <row r="261" spans="3:8">
      <c r="C261" s="29" t="b">
        <v>0</v>
      </c>
      <c r="D261" s="30">
        <v>4.25</v>
      </c>
      <c r="E261" s="139">
        <v>83</v>
      </c>
      <c r="F261" s="30" t="s">
        <v>64</v>
      </c>
      <c r="G261" s="58">
        <v>0</v>
      </c>
      <c r="H261" s="58">
        <v>8.33774270036048E+17</v>
      </c>
    </row>
    <row r="262" spans="3:8">
      <c r="C262" s="29" t="b">
        <v>0</v>
      </c>
      <c r="D262" s="30">
        <v>3.7669999999999999</v>
      </c>
      <c r="E262" s="139">
        <v>83</v>
      </c>
      <c r="F262" s="30" t="s">
        <v>64</v>
      </c>
      <c r="G262" s="58">
        <v>0</v>
      </c>
      <c r="H262" s="58">
        <v>1.62012126897878E+19</v>
      </c>
    </row>
    <row r="263" spans="3:8">
      <c r="C263" s="29" t="b">
        <v>0</v>
      </c>
      <c r="D263" s="30">
        <v>2.0329999999999999</v>
      </c>
      <c r="E263" s="139">
        <v>51</v>
      </c>
      <c r="F263" s="30" t="s">
        <v>65</v>
      </c>
      <c r="G263" s="58">
        <v>0</v>
      </c>
      <c r="H263" s="58">
        <v>1.2144880693399599E+19</v>
      </c>
    </row>
    <row r="264" spans="3:8">
      <c r="C264" s="29" t="b">
        <v>0</v>
      </c>
      <c r="D264" s="30">
        <v>4.4329999999999998</v>
      </c>
      <c r="E264" s="139">
        <v>78</v>
      </c>
      <c r="F264" s="30" t="s">
        <v>64</v>
      </c>
      <c r="G264" s="58">
        <v>0</v>
      </c>
      <c r="H264" s="58">
        <v>4.0951622741794401E+18</v>
      </c>
    </row>
    <row r="265" spans="3:8">
      <c r="C265" s="29" t="b">
        <v>0</v>
      </c>
      <c r="D265" s="30">
        <v>4.0830000000000002</v>
      </c>
      <c r="E265" s="139">
        <v>84</v>
      </c>
      <c r="F265" s="30" t="s">
        <v>64</v>
      </c>
      <c r="G265" s="58">
        <v>0</v>
      </c>
      <c r="H265" s="58">
        <v>8.7415906627882598E+18</v>
      </c>
    </row>
    <row r="266" spans="3:8">
      <c r="C266" s="29" t="b">
        <v>0</v>
      </c>
      <c r="D266" s="30">
        <v>1.833</v>
      </c>
      <c r="E266" s="139">
        <v>46</v>
      </c>
      <c r="F266" s="30" t="s">
        <v>65</v>
      </c>
      <c r="G266" s="58">
        <v>0</v>
      </c>
      <c r="H266" s="58">
        <v>1.0162041573529201E+19</v>
      </c>
    </row>
    <row r="267" spans="3:8">
      <c r="C267" s="29" t="b">
        <v>0</v>
      </c>
      <c r="D267" s="30">
        <v>4.4169999999999998</v>
      </c>
      <c r="E267" s="139">
        <v>83</v>
      </c>
      <c r="F267" s="30" t="s">
        <v>64</v>
      </c>
      <c r="G267" s="58">
        <v>0</v>
      </c>
      <c r="H267" s="58">
        <v>1.0304003335828799E+19</v>
      </c>
    </row>
    <row r="268" spans="3:8">
      <c r="C268" s="29" t="b">
        <v>0</v>
      </c>
      <c r="D268" s="30">
        <v>2.1829999999999998</v>
      </c>
      <c r="E268" s="139">
        <v>55</v>
      </c>
      <c r="F268" s="30" t="s">
        <v>65</v>
      </c>
      <c r="G268" s="58">
        <v>0</v>
      </c>
      <c r="H268" s="58">
        <v>1.6010664353318101E+19</v>
      </c>
    </row>
    <row r="269" spans="3:8">
      <c r="C269" s="29" t="b">
        <v>0</v>
      </c>
      <c r="D269" s="30">
        <v>4.8</v>
      </c>
      <c r="E269" s="139">
        <v>81</v>
      </c>
      <c r="F269" s="30" t="s">
        <v>64</v>
      </c>
      <c r="G269" s="58">
        <v>0</v>
      </c>
      <c r="H269" s="58">
        <v>5.5400436122490803E+17</v>
      </c>
    </row>
    <row r="270" spans="3:8">
      <c r="C270" s="29" t="b">
        <v>0</v>
      </c>
      <c r="D270" s="30">
        <v>1.833</v>
      </c>
      <c r="E270" s="139">
        <v>57</v>
      </c>
      <c r="F270" s="30" t="s">
        <v>65</v>
      </c>
      <c r="G270" s="58">
        <v>0</v>
      </c>
      <c r="H270" s="58">
        <v>1.7436425848301799E+19</v>
      </c>
    </row>
    <row r="271" spans="3:8">
      <c r="C271" s="29" t="b">
        <v>0</v>
      </c>
      <c r="D271" s="30">
        <v>4.8</v>
      </c>
      <c r="E271" s="139">
        <v>76</v>
      </c>
      <c r="F271" s="30" t="s">
        <v>64</v>
      </c>
      <c r="G271" s="58">
        <v>0</v>
      </c>
      <c r="H271" s="58">
        <v>1.7660184268569999E+19</v>
      </c>
    </row>
    <row r="272" spans="3:8">
      <c r="C272" s="29" t="b">
        <v>0</v>
      </c>
      <c r="D272" s="30">
        <v>4.0999999999999996</v>
      </c>
      <c r="E272" s="139">
        <v>84</v>
      </c>
      <c r="F272" s="30" t="s">
        <v>64</v>
      </c>
      <c r="G272" s="58">
        <v>0</v>
      </c>
      <c r="H272" s="58">
        <v>1.0013757276734701E+17</v>
      </c>
    </row>
    <row r="273" spans="3:8">
      <c r="C273" s="29" t="b">
        <v>0</v>
      </c>
      <c r="D273" s="30">
        <v>3.9660000000000002</v>
      </c>
      <c r="E273" s="139">
        <v>77</v>
      </c>
      <c r="F273" s="30" t="s">
        <v>64</v>
      </c>
      <c r="G273" s="58">
        <v>0</v>
      </c>
      <c r="H273" s="58">
        <v>1.01062528675973E+18</v>
      </c>
    </row>
    <row r="274" spans="3:8">
      <c r="C274" s="29" t="b">
        <v>0</v>
      </c>
      <c r="D274" s="30">
        <v>4.2329999999999997</v>
      </c>
      <c r="E274" s="139">
        <v>81</v>
      </c>
      <c r="F274" s="30" t="s">
        <v>64</v>
      </c>
      <c r="G274" s="58">
        <v>0</v>
      </c>
      <c r="H274" s="58">
        <v>1.2752564987132899E+19</v>
      </c>
    </row>
    <row r="275" spans="3:8">
      <c r="C275" s="29" t="b">
        <v>0</v>
      </c>
      <c r="D275" s="30">
        <v>3.5</v>
      </c>
      <c r="E275" s="139">
        <v>87</v>
      </c>
      <c r="F275" s="30" t="s">
        <v>64</v>
      </c>
      <c r="G275" s="58">
        <v>0</v>
      </c>
      <c r="H275" s="58">
        <v>1.6383455278652701E+19</v>
      </c>
    </row>
    <row r="276" spans="3:8">
      <c r="C276" s="29" t="b">
        <v>0</v>
      </c>
      <c r="D276" s="30">
        <v>4.3659999999999997</v>
      </c>
      <c r="E276" s="139">
        <v>77</v>
      </c>
      <c r="F276" s="30" t="s">
        <v>64</v>
      </c>
      <c r="G276" s="58">
        <v>0</v>
      </c>
      <c r="H276" s="58">
        <v>1.1510532716547E+19</v>
      </c>
    </row>
    <row r="277" spans="3:8">
      <c r="C277" s="29" t="b">
        <v>0</v>
      </c>
      <c r="D277" s="30">
        <v>2.25</v>
      </c>
      <c r="E277" s="139">
        <v>51</v>
      </c>
      <c r="F277" s="30" t="s">
        <v>65</v>
      </c>
      <c r="G277" s="58">
        <v>0</v>
      </c>
      <c r="H277" s="58">
        <v>3.7703593633618401E+18</v>
      </c>
    </row>
    <row r="278" spans="3:8">
      <c r="C278" s="29" t="b">
        <v>0</v>
      </c>
      <c r="D278" s="30">
        <v>4.6669999999999998</v>
      </c>
      <c r="E278" s="139">
        <v>78</v>
      </c>
      <c r="F278" s="30" t="s">
        <v>64</v>
      </c>
      <c r="G278" s="58">
        <v>0</v>
      </c>
      <c r="H278" s="58">
        <v>1.6678712418379201E+19</v>
      </c>
    </row>
    <row r="279" spans="3:8">
      <c r="C279" s="29" t="b">
        <v>0</v>
      </c>
      <c r="D279" s="30">
        <v>2.1</v>
      </c>
      <c r="E279" s="139">
        <v>60</v>
      </c>
      <c r="F279" s="30" t="s">
        <v>65</v>
      </c>
      <c r="G279" s="58">
        <v>0</v>
      </c>
      <c r="H279" s="58">
        <v>5.64406552298991E+18</v>
      </c>
    </row>
    <row r="280" spans="3:8">
      <c r="C280" s="29" t="b">
        <v>0</v>
      </c>
      <c r="D280" s="30">
        <v>4.3499999999999996</v>
      </c>
      <c r="E280" s="139">
        <v>82</v>
      </c>
      <c r="F280" s="30" t="s">
        <v>64</v>
      </c>
      <c r="G280" s="58">
        <v>0</v>
      </c>
      <c r="H280" s="58">
        <v>1.2500107025947699E+19</v>
      </c>
    </row>
    <row r="281" spans="3:8">
      <c r="C281" s="29" t="b">
        <v>0</v>
      </c>
      <c r="D281" s="30">
        <v>4.133</v>
      </c>
      <c r="E281" s="139">
        <v>91</v>
      </c>
      <c r="F281" s="30" t="s">
        <v>64</v>
      </c>
      <c r="G281" s="58">
        <v>0</v>
      </c>
      <c r="H281" s="58">
        <v>1.1748171781901599E+18</v>
      </c>
    </row>
    <row r="282" spans="3:8">
      <c r="C282" s="29" t="b">
        <v>0</v>
      </c>
      <c r="D282" s="30">
        <v>1.867</v>
      </c>
      <c r="E282" s="139">
        <v>53</v>
      </c>
      <c r="F282" s="30" t="s">
        <v>65</v>
      </c>
      <c r="G282" s="58">
        <v>0</v>
      </c>
      <c r="H282" s="58">
        <v>8.0683815257058396E+18</v>
      </c>
    </row>
    <row r="283" spans="3:8">
      <c r="C283" s="29" t="b">
        <v>0</v>
      </c>
      <c r="D283" s="30">
        <v>4.5999999999999996</v>
      </c>
      <c r="E283" s="139">
        <v>78</v>
      </c>
      <c r="F283" s="30" t="s">
        <v>64</v>
      </c>
      <c r="G283" s="58">
        <v>0</v>
      </c>
      <c r="H283" s="58">
        <v>2.35630075762989E+18</v>
      </c>
    </row>
    <row r="284" spans="3:8">
      <c r="C284" s="29" t="b">
        <v>0</v>
      </c>
      <c r="D284" s="30">
        <v>1.7829999999999999</v>
      </c>
      <c r="E284" s="139">
        <v>46</v>
      </c>
      <c r="F284" s="30" t="s">
        <v>65</v>
      </c>
      <c r="G284" s="58">
        <v>0</v>
      </c>
      <c r="H284" s="58">
        <v>9.5838422814240707E+18</v>
      </c>
    </row>
    <row r="285" spans="3:8">
      <c r="C285" s="29" t="b">
        <v>0</v>
      </c>
      <c r="D285" s="30">
        <v>4.367</v>
      </c>
      <c r="E285" s="139">
        <v>77</v>
      </c>
      <c r="F285" s="30" t="s">
        <v>64</v>
      </c>
      <c r="G285" s="58">
        <v>0</v>
      </c>
      <c r="H285" s="58">
        <v>6.57253489186018E+18</v>
      </c>
    </row>
    <row r="286" spans="3:8">
      <c r="C286" s="29" t="b">
        <v>0</v>
      </c>
      <c r="D286" s="30">
        <v>3.85</v>
      </c>
      <c r="E286" s="139">
        <v>84</v>
      </c>
      <c r="F286" s="30" t="s">
        <v>64</v>
      </c>
      <c r="G286" s="58">
        <v>0</v>
      </c>
      <c r="H286" s="58">
        <v>1.13096739959469E+18</v>
      </c>
    </row>
    <row r="287" spans="3:8">
      <c r="C287" s="29" t="b">
        <v>0</v>
      </c>
      <c r="D287" s="30">
        <v>1.9330000000000001</v>
      </c>
      <c r="E287" s="139">
        <v>49</v>
      </c>
      <c r="F287" s="30" t="s">
        <v>65</v>
      </c>
      <c r="G287" s="58">
        <v>0</v>
      </c>
      <c r="H287" s="58">
        <v>1.3489630063904399E+19</v>
      </c>
    </row>
    <row r="288" spans="3:8">
      <c r="C288" s="29" t="b">
        <v>0</v>
      </c>
      <c r="D288" s="30">
        <v>4.5</v>
      </c>
      <c r="E288" s="139">
        <v>83</v>
      </c>
      <c r="F288" s="30" t="s">
        <v>64</v>
      </c>
      <c r="G288" s="58">
        <v>0</v>
      </c>
      <c r="H288" s="58">
        <v>1.3022021512136901E+19</v>
      </c>
    </row>
    <row r="289" spans="3:8">
      <c r="C289" s="29" t="b">
        <v>0</v>
      </c>
      <c r="D289" s="30">
        <v>2.383</v>
      </c>
      <c r="E289" s="139">
        <v>71</v>
      </c>
      <c r="F289" s="30" t="s">
        <v>64</v>
      </c>
      <c r="G289" s="58">
        <v>0</v>
      </c>
      <c r="H289" s="58">
        <v>3.7108963277343201E+18</v>
      </c>
    </row>
    <row r="290" spans="3:8">
      <c r="C290" s="29" t="b">
        <v>0</v>
      </c>
      <c r="D290" s="30">
        <v>4.7</v>
      </c>
      <c r="E290" s="139">
        <v>80</v>
      </c>
      <c r="F290" s="30" t="s">
        <v>64</v>
      </c>
      <c r="G290" s="58">
        <v>0</v>
      </c>
      <c r="H290" s="58">
        <v>1.0043993463810099E+19</v>
      </c>
    </row>
    <row r="291" spans="3:8">
      <c r="C291" s="29" t="b">
        <v>0</v>
      </c>
      <c r="D291" s="30">
        <v>1.867</v>
      </c>
      <c r="E291" s="139">
        <v>49</v>
      </c>
      <c r="F291" s="30" t="s">
        <v>65</v>
      </c>
      <c r="G291" s="58">
        <v>0</v>
      </c>
      <c r="H291" s="58">
        <v>1.3332605247122301E+19</v>
      </c>
    </row>
    <row r="292" spans="3:8">
      <c r="C292" s="29" t="b">
        <v>0</v>
      </c>
      <c r="D292" s="30">
        <v>3.8330000000000002</v>
      </c>
      <c r="E292" s="139">
        <v>75</v>
      </c>
      <c r="F292" s="30" t="s">
        <v>64</v>
      </c>
      <c r="G292" s="58">
        <v>0</v>
      </c>
      <c r="H292" s="58">
        <v>6.8095802413457295E+18</v>
      </c>
    </row>
    <row r="293" spans="3:8">
      <c r="C293" s="29" t="b">
        <v>0</v>
      </c>
      <c r="D293" s="30">
        <v>3.4169999999999998</v>
      </c>
      <c r="E293" s="139">
        <v>64</v>
      </c>
      <c r="F293" s="30" t="s">
        <v>65</v>
      </c>
      <c r="G293" s="58">
        <v>0</v>
      </c>
      <c r="H293" s="58">
        <v>1.41194908696534E+19</v>
      </c>
    </row>
    <row r="294" spans="3:8">
      <c r="C294" s="29" t="b">
        <v>0</v>
      </c>
      <c r="D294" s="30">
        <v>4.2329999999999997</v>
      </c>
      <c r="E294" s="139">
        <v>76</v>
      </c>
      <c r="F294" s="30" t="s">
        <v>64</v>
      </c>
      <c r="G294" s="58">
        <v>0</v>
      </c>
      <c r="H294" s="58">
        <v>1.6975320635960101E+19</v>
      </c>
    </row>
    <row r="295" spans="3:8">
      <c r="C295" s="29" t="b">
        <v>0</v>
      </c>
      <c r="D295" s="30">
        <v>2.4</v>
      </c>
      <c r="E295" s="139">
        <v>53</v>
      </c>
      <c r="F295" s="30" t="s">
        <v>65</v>
      </c>
      <c r="G295" s="58">
        <v>0</v>
      </c>
      <c r="H295" s="58">
        <v>1.36737407509359E+19</v>
      </c>
    </row>
    <row r="296" spans="3:8">
      <c r="C296" s="29" t="b">
        <v>0</v>
      </c>
      <c r="D296" s="30">
        <v>4.8</v>
      </c>
      <c r="E296" s="139">
        <v>94</v>
      </c>
      <c r="F296" s="30" t="s">
        <v>64</v>
      </c>
      <c r="G296" s="58">
        <v>0</v>
      </c>
      <c r="H296" s="58">
        <v>1.3016379943041901E+19</v>
      </c>
    </row>
    <row r="297" spans="3:8">
      <c r="C297" s="29" t="b">
        <v>0</v>
      </c>
      <c r="D297" s="30">
        <v>2</v>
      </c>
      <c r="E297" s="139">
        <v>55</v>
      </c>
      <c r="F297" s="30" t="s">
        <v>65</v>
      </c>
      <c r="G297" s="58">
        <v>0</v>
      </c>
      <c r="H297" s="58">
        <v>1.34955153951051E+19</v>
      </c>
    </row>
    <row r="298" spans="3:8">
      <c r="C298" s="29" t="b">
        <v>0</v>
      </c>
      <c r="D298" s="30">
        <v>4.1500000000000004</v>
      </c>
      <c r="E298" s="139">
        <v>76</v>
      </c>
      <c r="F298" s="30" t="s">
        <v>64</v>
      </c>
      <c r="G298" s="58">
        <v>0</v>
      </c>
      <c r="H298" s="58">
        <v>3.51324442502654E+18</v>
      </c>
    </row>
    <row r="299" spans="3:8">
      <c r="C299" s="29" t="b">
        <v>0</v>
      </c>
      <c r="D299" s="30">
        <v>1.867</v>
      </c>
      <c r="E299" s="139">
        <v>50</v>
      </c>
      <c r="F299" s="30" t="s">
        <v>65</v>
      </c>
      <c r="G299" s="58">
        <v>0</v>
      </c>
      <c r="H299" s="58">
        <v>7.6776878988699505E+18</v>
      </c>
    </row>
    <row r="300" spans="3:8">
      <c r="C300" s="29" t="b">
        <v>0</v>
      </c>
      <c r="D300" s="30">
        <v>4.2670000000000003</v>
      </c>
      <c r="E300" s="139">
        <v>82</v>
      </c>
      <c r="F300" s="30" t="s">
        <v>64</v>
      </c>
      <c r="G300" s="58">
        <v>0</v>
      </c>
      <c r="H300" s="58">
        <v>7.2468554750697001E+18</v>
      </c>
    </row>
    <row r="301" spans="3:8">
      <c r="C301" s="29" t="b">
        <v>0</v>
      </c>
      <c r="D301" s="30">
        <v>1.75</v>
      </c>
      <c r="E301" s="139">
        <v>54</v>
      </c>
      <c r="F301" s="30" t="s">
        <v>65</v>
      </c>
      <c r="G301" s="58">
        <v>0</v>
      </c>
      <c r="H301" s="58">
        <v>1.41972628143006E+19</v>
      </c>
    </row>
    <row r="302" spans="3:8">
      <c r="C302" s="29" t="b">
        <v>0</v>
      </c>
      <c r="D302" s="30">
        <v>4.4829999999999997</v>
      </c>
      <c r="E302" s="139">
        <v>75</v>
      </c>
      <c r="F302" s="30" t="s">
        <v>64</v>
      </c>
      <c r="G302" s="58">
        <v>0</v>
      </c>
      <c r="H302" s="58">
        <v>1.6382026475494601E+19</v>
      </c>
    </row>
    <row r="303" spans="3:8">
      <c r="C303" s="29" t="b">
        <v>0</v>
      </c>
      <c r="D303" s="30">
        <v>4</v>
      </c>
      <c r="E303" s="139">
        <v>78</v>
      </c>
      <c r="F303" s="30" t="s">
        <v>64</v>
      </c>
      <c r="G303" s="58">
        <v>0</v>
      </c>
      <c r="H303" s="58">
        <v>4.98115239763665E+18</v>
      </c>
    </row>
    <row r="304" spans="3:8">
      <c r="C304" s="29" t="b">
        <v>0</v>
      </c>
      <c r="D304" s="30">
        <v>4.117</v>
      </c>
      <c r="E304" s="139">
        <v>79</v>
      </c>
      <c r="F304" s="30" t="s">
        <v>64</v>
      </c>
      <c r="G304" s="58">
        <v>0</v>
      </c>
      <c r="H304" s="58">
        <v>1.08113544271018E+19</v>
      </c>
    </row>
    <row r="305" spans="3:8">
      <c r="C305" s="29" t="b">
        <v>0</v>
      </c>
      <c r="D305" s="30">
        <v>4.0830000000000002</v>
      </c>
      <c r="E305" s="139">
        <v>78</v>
      </c>
      <c r="F305" s="30" t="s">
        <v>64</v>
      </c>
      <c r="G305" s="58">
        <v>0</v>
      </c>
      <c r="H305" s="58">
        <v>1.6637850838695301E+18</v>
      </c>
    </row>
    <row r="306" spans="3:8">
      <c r="C306" s="29" t="b">
        <v>0</v>
      </c>
      <c r="D306" s="30">
        <v>4.2670000000000003</v>
      </c>
      <c r="E306" s="139">
        <v>78</v>
      </c>
      <c r="F306" s="30" t="s">
        <v>64</v>
      </c>
      <c r="G306" s="58">
        <v>0</v>
      </c>
      <c r="H306" s="58">
        <v>1.7942520652645501E+19</v>
      </c>
    </row>
    <row r="307" spans="3:8">
      <c r="C307" s="29" t="b">
        <v>0</v>
      </c>
      <c r="D307" s="30">
        <v>3.9169999999999998</v>
      </c>
      <c r="E307" s="139">
        <v>70</v>
      </c>
      <c r="F307" s="30" t="s">
        <v>64</v>
      </c>
      <c r="G307" s="58">
        <v>0</v>
      </c>
      <c r="H307" s="58">
        <v>1.6131237846923201E+19</v>
      </c>
    </row>
    <row r="308" spans="3:8">
      <c r="C308" s="29" t="b">
        <v>0</v>
      </c>
      <c r="D308" s="30">
        <v>4.55</v>
      </c>
      <c r="E308" s="139">
        <v>79</v>
      </c>
      <c r="F308" s="30" t="s">
        <v>64</v>
      </c>
      <c r="G308" s="58">
        <v>0</v>
      </c>
      <c r="H308" s="58">
        <v>3.5315836404831898E+18</v>
      </c>
    </row>
    <row r="309" spans="3:8">
      <c r="C309" s="29" t="b">
        <v>0</v>
      </c>
      <c r="D309" s="30">
        <v>4.0830000000000002</v>
      </c>
      <c r="E309" s="139">
        <v>70</v>
      </c>
      <c r="F309" s="30" t="s">
        <v>64</v>
      </c>
      <c r="G309" s="58">
        <v>0</v>
      </c>
      <c r="H309" s="58">
        <v>5.4776324752964803E+18</v>
      </c>
    </row>
    <row r="310" spans="3:8">
      <c r="C310" s="29" t="b">
        <v>0</v>
      </c>
      <c r="D310" s="30">
        <v>2.4169999999999998</v>
      </c>
      <c r="E310" s="139">
        <v>54</v>
      </c>
      <c r="F310" s="30" t="s">
        <v>65</v>
      </c>
      <c r="G310" s="58">
        <v>0</v>
      </c>
      <c r="H310" s="58">
        <v>2.3410197968485402E+18</v>
      </c>
    </row>
    <row r="311" spans="3:8">
      <c r="C311" s="29" t="b">
        <v>0</v>
      </c>
      <c r="D311" s="30">
        <v>4.1829999999999998</v>
      </c>
      <c r="E311" s="139">
        <v>86</v>
      </c>
      <c r="F311" s="30" t="s">
        <v>64</v>
      </c>
      <c r="G311" s="58">
        <v>0</v>
      </c>
      <c r="H311" s="58">
        <v>1.54063897435223E+19</v>
      </c>
    </row>
    <row r="312" spans="3:8">
      <c r="C312" s="29" t="b">
        <v>0</v>
      </c>
      <c r="D312" s="30">
        <v>2.2170000000000001</v>
      </c>
      <c r="E312" s="139">
        <v>50</v>
      </c>
      <c r="F312" s="30" t="s">
        <v>65</v>
      </c>
      <c r="G312" s="58">
        <v>0</v>
      </c>
      <c r="H312" s="58">
        <v>3.10125569120241E+18</v>
      </c>
    </row>
    <row r="313" spans="3:8">
      <c r="C313" s="29" t="b">
        <v>0</v>
      </c>
      <c r="D313" s="30">
        <v>4.45</v>
      </c>
      <c r="E313" s="139">
        <v>90</v>
      </c>
      <c r="F313" s="30" t="s">
        <v>64</v>
      </c>
      <c r="G313" s="58">
        <v>0</v>
      </c>
      <c r="H313" s="58">
        <v>5.9171058308963103E+18</v>
      </c>
    </row>
    <row r="314" spans="3:8">
      <c r="C314" s="29" t="b">
        <v>0</v>
      </c>
      <c r="D314" s="30">
        <v>1.883</v>
      </c>
      <c r="E314" s="139">
        <v>54</v>
      </c>
      <c r="F314" s="30" t="s">
        <v>65</v>
      </c>
      <c r="G314" s="58">
        <v>0</v>
      </c>
      <c r="H314" s="58">
        <v>5.1171040043426304E+18</v>
      </c>
    </row>
    <row r="315" spans="3:8">
      <c r="C315" s="29" t="b">
        <v>0</v>
      </c>
      <c r="D315" s="30">
        <v>1.85</v>
      </c>
      <c r="E315" s="139">
        <v>54</v>
      </c>
      <c r="F315" s="30" t="s">
        <v>65</v>
      </c>
      <c r="G315" s="58">
        <v>0</v>
      </c>
      <c r="H315" s="58">
        <v>8.9156142304957102E+18</v>
      </c>
    </row>
    <row r="316" spans="3:8">
      <c r="C316" s="29" t="b">
        <v>0</v>
      </c>
      <c r="D316" s="30">
        <v>4.2830000000000004</v>
      </c>
      <c r="E316" s="139">
        <v>77</v>
      </c>
      <c r="F316" s="30" t="s">
        <v>64</v>
      </c>
      <c r="G316" s="58">
        <v>0</v>
      </c>
      <c r="H316" s="58">
        <v>9.6139624912925204E+18</v>
      </c>
    </row>
    <row r="317" spans="3:8">
      <c r="C317" s="29" t="b">
        <v>0</v>
      </c>
      <c r="D317" s="30">
        <v>3.95</v>
      </c>
      <c r="E317" s="139">
        <v>79</v>
      </c>
      <c r="F317" s="30" t="s">
        <v>64</v>
      </c>
      <c r="G317" s="58">
        <v>0</v>
      </c>
      <c r="H317" s="58">
        <v>9.7592047910309007E+18</v>
      </c>
    </row>
    <row r="318" spans="3:8">
      <c r="C318" s="29" t="b">
        <v>0</v>
      </c>
      <c r="D318" s="30">
        <v>2.3330000000000002</v>
      </c>
      <c r="E318" s="139">
        <v>64</v>
      </c>
      <c r="F318" s="30" t="s">
        <v>65</v>
      </c>
      <c r="G318" s="58">
        <v>0</v>
      </c>
      <c r="H318" s="58">
        <v>8.8140018051874898E+18</v>
      </c>
    </row>
    <row r="319" spans="3:8">
      <c r="C319" s="29" t="b">
        <v>0</v>
      </c>
      <c r="D319" s="30">
        <v>4.1500000000000004</v>
      </c>
      <c r="E319" s="139">
        <v>75</v>
      </c>
      <c r="F319" s="30" t="s">
        <v>64</v>
      </c>
      <c r="G319" s="58">
        <v>0</v>
      </c>
      <c r="H319" s="58">
        <v>1.6462660219804101E+19</v>
      </c>
    </row>
    <row r="320" spans="3:8">
      <c r="C320" s="29" t="b">
        <v>0</v>
      </c>
      <c r="D320" s="30">
        <v>2.35</v>
      </c>
      <c r="E320" s="139">
        <v>47</v>
      </c>
      <c r="F320" s="30" t="s">
        <v>65</v>
      </c>
      <c r="G320" s="58">
        <v>0</v>
      </c>
      <c r="H320" s="58">
        <v>5.46086963206349E+18</v>
      </c>
    </row>
    <row r="321" spans="3:8">
      <c r="C321" s="29" t="b">
        <v>0</v>
      </c>
      <c r="D321" s="30">
        <v>4.9329999999999998</v>
      </c>
      <c r="E321" s="139">
        <v>86</v>
      </c>
      <c r="F321" s="30" t="s">
        <v>64</v>
      </c>
      <c r="G321" s="58">
        <v>0</v>
      </c>
      <c r="H321" s="58">
        <v>1.5188711818404E+19</v>
      </c>
    </row>
    <row r="322" spans="3:8">
      <c r="C322" s="29" t="b">
        <v>0</v>
      </c>
      <c r="D322" s="30">
        <v>2.9</v>
      </c>
      <c r="E322" s="139">
        <v>63</v>
      </c>
      <c r="F322" s="30" t="s">
        <v>65</v>
      </c>
      <c r="G322" s="58">
        <v>0</v>
      </c>
      <c r="H322" s="58">
        <v>1.3561893533188301E+19</v>
      </c>
    </row>
    <row r="323" spans="3:8">
      <c r="C323" s="29" t="b">
        <v>0</v>
      </c>
      <c r="D323" s="30">
        <v>4.5830000000000002</v>
      </c>
      <c r="E323" s="139">
        <v>85</v>
      </c>
      <c r="F323" s="30" t="s">
        <v>64</v>
      </c>
      <c r="G323" s="58">
        <v>0</v>
      </c>
      <c r="H323" s="58">
        <v>1.20233213588392E+19</v>
      </c>
    </row>
    <row r="324" spans="3:8">
      <c r="C324" s="29" t="b">
        <v>0</v>
      </c>
      <c r="D324" s="30">
        <v>3.8330000000000002</v>
      </c>
      <c r="E324" s="139">
        <v>82</v>
      </c>
      <c r="F324" s="30" t="s">
        <v>64</v>
      </c>
      <c r="G324" s="58">
        <v>0</v>
      </c>
      <c r="H324" s="58">
        <v>6.6702864724248402E+18</v>
      </c>
    </row>
    <row r="325" spans="3:8">
      <c r="C325" s="29" t="b">
        <v>0</v>
      </c>
      <c r="D325" s="30">
        <v>2.0830000000000002</v>
      </c>
      <c r="E325" s="139">
        <v>57</v>
      </c>
      <c r="F325" s="30" t="s">
        <v>65</v>
      </c>
      <c r="G325" s="58">
        <v>0</v>
      </c>
      <c r="H325" s="58">
        <v>4.2576191737237702E+17</v>
      </c>
    </row>
    <row r="326" spans="3:8">
      <c r="C326" s="29" t="b">
        <v>0</v>
      </c>
      <c r="D326" s="30">
        <v>4.367</v>
      </c>
      <c r="E326" s="139">
        <v>82</v>
      </c>
      <c r="F326" s="30" t="s">
        <v>64</v>
      </c>
      <c r="G326" s="58">
        <v>0</v>
      </c>
      <c r="H326" s="58">
        <v>1.65646341378955E+19</v>
      </c>
    </row>
    <row r="327" spans="3:8">
      <c r="C327" s="29" t="b">
        <v>0</v>
      </c>
      <c r="D327" s="30">
        <v>2.133</v>
      </c>
      <c r="E327" s="139">
        <v>67</v>
      </c>
      <c r="F327" s="30" t="s">
        <v>65</v>
      </c>
      <c r="G327" s="58">
        <v>0</v>
      </c>
      <c r="H327" s="58">
        <v>7.19608204344627E+18</v>
      </c>
    </row>
    <row r="328" spans="3:8">
      <c r="C328" s="29" t="b">
        <v>0</v>
      </c>
      <c r="D328" s="30">
        <v>4.3499999999999996</v>
      </c>
      <c r="E328" s="139">
        <v>74</v>
      </c>
      <c r="F328" s="30" t="s">
        <v>64</v>
      </c>
      <c r="G328" s="58">
        <v>0</v>
      </c>
      <c r="H328" s="58">
        <v>5.6315293796012298E+18</v>
      </c>
    </row>
    <row r="329" spans="3:8">
      <c r="C329" s="29" t="b">
        <v>0</v>
      </c>
      <c r="D329" s="30">
        <v>2.2000000000000002</v>
      </c>
      <c r="E329" s="139">
        <v>54</v>
      </c>
      <c r="F329" s="30" t="s">
        <v>65</v>
      </c>
      <c r="G329" s="58">
        <v>0</v>
      </c>
      <c r="H329" s="58">
        <v>3.6529447295721001E+18</v>
      </c>
    </row>
    <row r="330" spans="3:8">
      <c r="C330" s="29" t="b">
        <v>0</v>
      </c>
      <c r="D330" s="30">
        <v>4.45</v>
      </c>
      <c r="E330" s="139">
        <v>83</v>
      </c>
      <c r="F330" s="30" t="s">
        <v>64</v>
      </c>
      <c r="G330" s="58">
        <v>0</v>
      </c>
      <c r="H330" s="58">
        <v>7.2793778609775104E+18</v>
      </c>
    </row>
    <row r="331" spans="3:8">
      <c r="C331" s="29" t="b">
        <v>0</v>
      </c>
      <c r="D331" s="30">
        <v>3.5670000000000002</v>
      </c>
      <c r="E331" s="139">
        <v>73</v>
      </c>
      <c r="F331" s="30" t="s">
        <v>64</v>
      </c>
      <c r="G331" s="58">
        <v>0</v>
      </c>
      <c r="H331" s="58">
        <v>5.02285966728664E+17</v>
      </c>
    </row>
    <row r="332" spans="3:8">
      <c r="C332" s="29" t="b">
        <v>0</v>
      </c>
      <c r="D332" s="30">
        <v>4.5</v>
      </c>
      <c r="E332" s="139">
        <v>73</v>
      </c>
      <c r="F332" s="30" t="s">
        <v>64</v>
      </c>
      <c r="G332" s="58">
        <v>0</v>
      </c>
      <c r="H332" s="58">
        <v>9.8140667699847706E+17</v>
      </c>
    </row>
    <row r="333" spans="3:8">
      <c r="C333" s="29" t="b">
        <v>0</v>
      </c>
      <c r="D333" s="30">
        <v>4.1500000000000004</v>
      </c>
      <c r="E333" s="139">
        <v>88</v>
      </c>
      <c r="F333" s="30" t="s">
        <v>64</v>
      </c>
      <c r="G333" s="58">
        <v>0</v>
      </c>
      <c r="H333" s="58">
        <v>1.7194082670463001E+19</v>
      </c>
    </row>
    <row r="334" spans="3:8">
      <c r="C334" s="29" t="b">
        <v>0</v>
      </c>
      <c r="D334" s="30">
        <v>3.8170000000000002</v>
      </c>
      <c r="E334" s="139">
        <v>80</v>
      </c>
      <c r="F334" s="30" t="s">
        <v>64</v>
      </c>
      <c r="G334" s="58">
        <v>0</v>
      </c>
      <c r="H334" s="58">
        <v>1.1642459684658801E+19</v>
      </c>
    </row>
    <row r="335" spans="3:8">
      <c r="C335" s="29" t="b">
        <v>0</v>
      </c>
      <c r="D335" s="30">
        <v>3.9169999999999998</v>
      </c>
      <c r="E335" s="139">
        <v>71</v>
      </c>
      <c r="F335" s="30" t="s">
        <v>64</v>
      </c>
      <c r="G335" s="58">
        <v>0</v>
      </c>
      <c r="H335" s="58">
        <v>1.4449533141942301E+19</v>
      </c>
    </row>
    <row r="336" spans="3:8">
      <c r="C336" s="29" t="b">
        <v>0</v>
      </c>
      <c r="D336" s="30">
        <v>4.45</v>
      </c>
      <c r="E336" s="139">
        <v>83</v>
      </c>
      <c r="F336" s="30" t="s">
        <v>64</v>
      </c>
      <c r="G336" s="58">
        <v>0</v>
      </c>
      <c r="H336" s="58">
        <v>7.2793778609775104E+18</v>
      </c>
    </row>
    <row r="337" spans="3:8">
      <c r="C337" s="29" t="b">
        <v>0</v>
      </c>
      <c r="D337" s="30">
        <v>2</v>
      </c>
      <c r="E337" s="139">
        <v>56</v>
      </c>
      <c r="F337" s="30" t="s">
        <v>65</v>
      </c>
      <c r="G337" s="58">
        <v>0</v>
      </c>
      <c r="H337" s="58">
        <v>5.36679701348382E+18</v>
      </c>
    </row>
    <row r="338" spans="3:8">
      <c r="C338" s="29" t="b">
        <v>0</v>
      </c>
      <c r="D338" s="30">
        <v>4.2830000000000004</v>
      </c>
      <c r="E338" s="139">
        <v>79</v>
      </c>
      <c r="F338" s="30" t="s">
        <v>64</v>
      </c>
      <c r="G338" s="58">
        <v>0</v>
      </c>
      <c r="H338" s="58">
        <v>9.6777461994941092E+18</v>
      </c>
    </row>
    <row r="339" spans="3:8">
      <c r="C339" s="29" t="b">
        <v>0</v>
      </c>
      <c r="D339" s="30">
        <v>4.7670000000000003</v>
      </c>
      <c r="E339" s="139">
        <v>78</v>
      </c>
      <c r="F339" s="30" t="s">
        <v>64</v>
      </c>
      <c r="G339" s="58">
        <v>0</v>
      </c>
      <c r="H339" s="58">
        <v>1.7200088335640199E+19</v>
      </c>
    </row>
    <row r="340" spans="3:8">
      <c r="C340" s="29" t="b">
        <v>0</v>
      </c>
      <c r="D340" s="30">
        <v>4.5330000000000004</v>
      </c>
      <c r="E340" s="139">
        <v>84</v>
      </c>
      <c r="F340" s="30" t="s">
        <v>64</v>
      </c>
      <c r="G340" s="58">
        <v>0</v>
      </c>
      <c r="H340" s="58">
        <v>1.24295790418066E+19</v>
      </c>
    </row>
    <row r="341" spans="3:8">
      <c r="C341" s="29" t="b">
        <v>0</v>
      </c>
      <c r="D341" s="30">
        <v>1.85</v>
      </c>
      <c r="E341" s="139">
        <v>58</v>
      </c>
      <c r="F341" s="30" t="s">
        <v>65</v>
      </c>
      <c r="G341" s="58">
        <v>0</v>
      </c>
      <c r="H341" s="58">
        <v>1.3562284258364201E+19</v>
      </c>
    </row>
    <row r="342" spans="3:8">
      <c r="C342" s="29" t="b">
        <v>0</v>
      </c>
      <c r="D342" s="30">
        <v>4.25</v>
      </c>
      <c r="E342" s="139">
        <v>83</v>
      </c>
      <c r="F342" s="30" t="s">
        <v>64</v>
      </c>
      <c r="G342" s="58">
        <v>0</v>
      </c>
      <c r="H342" s="58">
        <v>8.33774270036048E+17</v>
      </c>
    </row>
    <row r="343" spans="3:8">
      <c r="C343" s="29" t="b">
        <v>0</v>
      </c>
      <c r="D343" s="30">
        <v>1.9830000000000001</v>
      </c>
      <c r="E343" s="139">
        <v>43</v>
      </c>
      <c r="F343" s="30" t="s">
        <v>65</v>
      </c>
      <c r="G343" s="58">
        <v>0</v>
      </c>
      <c r="H343" s="58">
        <v>1.8280233908976799E+18</v>
      </c>
    </row>
    <row r="344" spans="3:8">
      <c r="C344" s="29" t="b">
        <v>0</v>
      </c>
      <c r="D344" s="30">
        <v>2.25</v>
      </c>
      <c r="E344" s="139">
        <v>60</v>
      </c>
      <c r="F344" s="30" t="s">
        <v>65</v>
      </c>
      <c r="G344" s="58">
        <v>0</v>
      </c>
      <c r="H344" s="58">
        <v>5.6043075225333903E+18</v>
      </c>
    </row>
    <row r="345" spans="3:8">
      <c r="C345" s="29" t="b">
        <v>0</v>
      </c>
      <c r="D345" s="30">
        <v>4.75</v>
      </c>
      <c r="E345" s="139">
        <v>75</v>
      </c>
      <c r="F345" s="30" t="s">
        <v>64</v>
      </c>
      <c r="G345" s="58">
        <v>0</v>
      </c>
      <c r="H345" s="58">
        <v>1.3296763778777201E+19</v>
      </c>
    </row>
    <row r="346" spans="3:8">
      <c r="C346" s="29" t="b">
        <v>0</v>
      </c>
      <c r="D346" s="30">
        <v>4.117</v>
      </c>
      <c r="E346" s="139">
        <v>81</v>
      </c>
      <c r="F346" s="30" t="s">
        <v>64</v>
      </c>
      <c r="G346" s="58">
        <v>0</v>
      </c>
      <c r="H346" s="58">
        <v>8.6847157159502397E+18</v>
      </c>
    </row>
    <row r="347" spans="3:8">
      <c r="C347" s="29" t="b">
        <v>0</v>
      </c>
      <c r="D347" s="30">
        <v>2.15</v>
      </c>
      <c r="E347" s="139">
        <v>46</v>
      </c>
      <c r="F347" s="30" t="s">
        <v>65</v>
      </c>
      <c r="G347" s="58">
        <v>0</v>
      </c>
      <c r="H347" s="58">
        <v>1.1528234494132099E+19</v>
      </c>
    </row>
    <row r="348" spans="3:8">
      <c r="C348" s="29" t="b">
        <v>0</v>
      </c>
      <c r="D348" s="30">
        <v>4.4169999999999998</v>
      </c>
      <c r="E348" s="139">
        <v>90</v>
      </c>
      <c r="F348" s="30" t="s">
        <v>64</v>
      </c>
      <c r="G348" s="58">
        <v>0</v>
      </c>
      <c r="H348" s="58">
        <v>1.7723667095578801E+18</v>
      </c>
    </row>
    <row r="349" spans="3:8">
      <c r="C349" s="29" t="b">
        <v>0</v>
      </c>
      <c r="D349" s="30">
        <v>1.8169999999999999</v>
      </c>
      <c r="E349" s="139">
        <v>46</v>
      </c>
      <c r="F349" s="30" t="s">
        <v>65</v>
      </c>
      <c r="G349" s="58">
        <v>0</v>
      </c>
      <c r="H349" s="58">
        <v>1.3923132496978301E+19</v>
      </c>
    </row>
    <row r="350" spans="3:8">
      <c r="C350" s="29" t="b">
        <v>0</v>
      </c>
      <c r="D350" s="30">
        <v>4.4669999999999996</v>
      </c>
      <c r="E350" s="139">
        <v>74</v>
      </c>
      <c r="F350" s="30" t="s">
        <v>64</v>
      </c>
      <c r="G350" s="58">
        <v>0</v>
      </c>
      <c r="H350" s="58">
        <v>1.1903353863741499E+19</v>
      </c>
    </row>
  </sheetData>
  <mergeCells count="1">
    <mergeCell ref="D15:E15"/>
  </mergeCells>
  <phoneticPr fontId="15" type="noConversion"/>
  <conditionalFormatting sqref="D22:F29 D35:F39 D45:F53">
    <cfRule type="cellIs" dxfId="318" priority="54" operator="equal">
      <formula>0</formula>
    </cfRule>
  </conditionalFormatting>
  <conditionalFormatting sqref="C79:C350">
    <cfRule type="cellIs" dxfId="317" priority="50" operator="equal">
      <formula>FALSE</formula>
    </cfRule>
    <cfRule type="cellIs" dxfId="316" priority="51" operator="notEqual">
      <formula>FALSE</formula>
    </cfRule>
  </conditionalFormatting>
  <conditionalFormatting sqref="D9:F9">
    <cfRule type="cellIs" dxfId="315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14" priority="25"/>
  </conditionalFormatting>
  <conditionalFormatting sqref="D7:F7">
    <cfRule type="cellIs" dxfId="313" priority="18" operator="notEqual">
      <formula>"Definition"</formula>
    </cfRule>
  </conditionalFormatting>
  <conditionalFormatting sqref="D15">
    <cfRule type="cellIs" dxfId="312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11" priority="48" operator="equal">
      <formula>FALSE</formula>
    </cfRule>
    <cfRule type="cellIs" dxfId="310" priority="49" operator="notEqual">
      <formula>FALSE</formula>
    </cfRule>
  </conditionalFormatting>
  <conditionalFormatting sqref="G78: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5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5546875" bestFit="1" customWidth="1"/>
    <col min="5" max="5" width="9.109375" bestFit="1" customWidth="1"/>
    <col min="6" max="7" width="15.77734375" customWidth="1"/>
    <col min="8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geyser</v>
      </c>
      <c r="E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2" t="s">
        <v>56</v>
      </c>
      <c r="D8" s="141" t="s">
        <v>57</v>
      </c>
      <c r="E8" s="141" t="s">
        <v>58</v>
      </c>
      <c r="F8" s="108" t="s">
        <v>52</v>
      </c>
      <c r="G8" s="108" t="s">
        <v>53</v>
      </c>
    </row>
    <row r="9" spans="2:17" ht="15" customHeight="1">
      <c r="C9" s="140">
        <v>1.6</v>
      </c>
      <c r="D9" s="100"/>
      <c r="E9" s="100"/>
      <c r="F9" s="109">
        <v>0</v>
      </c>
      <c r="G9" s="143"/>
    </row>
    <row r="10" spans="2:17" ht="15" customHeight="1">
      <c r="C10" s="140">
        <v>1.66699999999999</v>
      </c>
      <c r="D10" s="100"/>
      <c r="E10" s="100"/>
      <c r="F10" s="109">
        <v>0</v>
      </c>
      <c r="G10" s="143"/>
    </row>
    <row r="11" spans="2:17" ht="15" customHeight="1">
      <c r="C11" s="140">
        <v>1.7</v>
      </c>
      <c r="D11" s="100"/>
      <c r="E11" s="100"/>
      <c r="F11" s="109">
        <v>0</v>
      </c>
      <c r="G11" s="143"/>
    </row>
    <row r="12" spans="2:17" ht="15" customHeight="1">
      <c r="C12" s="140">
        <v>1.7330000000000001</v>
      </c>
      <c r="D12" s="100"/>
      <c r="E12" s="100"/>
      <c r="F12" s="109">
        <v>0</v>
      </c>
      <c r="G12" s="143"/>
    </row>
    <row r="13" spans="2:17" ht="15" customHeight="1">
      <c r="C13" s="140">
        <v>1.75</v>
      </c>
      <c r="D13" s="100"/>
      <c r="E13" s="100"/>
      <c r="F13" s="109">
        <v>0</v>
      </c>
      <c r="G13" s="143"/>
    </row>
    <row r="14" spans="2:17">
      <c r="C14" s="140">
        <v>1.7829999999999999</v>
      </c>
      <c r="D14" s="100"/>
      <c r="E14" s="100"/>
      <c r="F14" s="109">
        <v>0</v>
      </c>
      <c r="G14" s="143"/>
    </row>
    <row r="15" spans="2:17">
      <c r="C15" s="140">
        <v>1.8</v>
      </c>
      <c r="D15" s="100"/>
      <c r="E15" s="100"/>
      <c r="F15" s="109">
        <v>0</v>
      </c>
      <c r="G15" s="143"/>
    </row>
    <row r="16" spans="2:17">
      <c r="C16" s="140">
        <v>1.8169999999999999</v>
      </c>
      <c r="D16" s="100"/>
      <c r="E16" s="100"/>
      <c r="F16" s="109">
        <v>0</v>
      </c>
      <c r="G16" s="143"/>
    </row>
    <row r="17" spans="3:7">
      <c r="C17" s="140">
        <v>1.833</v>
      </c>
      <c r="D17" s="100"/>
      <c r="E17" s="100"/>
      <c r="F17" s="109">
        <v>0</v>
      </c>
      <c r="G17" s="143"/>
    </row>
    <row r="18" spans="3:7">
      <c r="C18" s="140">
        <v>1.85</v>
      </c>
      <c r="D18" s="100"/>
      <c r="E18" s="100"/>
      <c r="F18" s="109">
        <v>0</v>
      </c>
      <c r="G18" s="143"/>
    </row>
    <row r="19" spans="3:7">
      <c r="C19" s="140">
        <v>1.867</v>
      </c>
      <c r="D19" s="100"/>
      <c r="E19" s="100"/>
      <c r="F19" s="109">
        <v>0</v>
      </c>
      <c r="G19" s="143"/>
    </row>
    <row r="20" spans="3:7">
      <c r="C20" s="140">
        <v>1.883</v>
      </c>
      <c r="D20" s="100"/>
      <c r="E20" s="100"/>
      <c r="F20" s="109">
        <v>0</v>
      </c>
      <c r="G20" s="143"/>
    </row>
    <row r="21" spans="3:7">
      <c r="C21" s="140">
        <v>1.917</v>
      </c>
      <c r="D21" s="100"/>
      <c r="E21" s="100"/>
      <c r="F21" s="109">
        <v>0</v>
      </c>
      <c r="G21" s="143"/>
    </row>
    <row r="22" spans="3:7">
      <c r="C22" s="140">
        <v>1.9330000000000001</v>
      </c>
      <c r="D22" s="100"/>
      <c r="E22" s="100"/>
      <c r="F22" s="109">
        <v>0</v>
      </c>
      <c r="G22" s="143"/>
    </row>
    <row r="23" spans="3:7">
      <c r="C23" s="140">
        <v>1.95</v>
      </c>
      <c r="D23" s="100"/>
      <c r="E23" s="100"/>
      <c r="F23" s="109">
        <v>0</v>
      </c>
      <c r="G23" s="143"/>
    </row>
    <row r="24" spans="3:7">
      <c r="C24" s="140">
        <v>1.9670000000000001</v>
      </c>
      <c r="D24" s="100"/>
      <c r="E24" s="100"/>
      <c r="F24" s="109">
        <v>0</v>
      </c>
      <c r="G24" s="143"/>
    </row>
    <row r="25" spans="3:7">
      <c r="C25" s="140">
        <v>1.9830000000000001</v>
      </c>
      <c r="D25" s="100"/>
      <c r="E25" s="100"/>
      <c r="F25" s="109">
        <v>0</v>
      </c>
      <c r="G25" s="143"/>
    </row>
    <row r="26" spans="3:7">
      <c r="C26" s="140">
        <v>2</v>
      </c>
      <c r="D26" s="100"/>
      <c r="E26" s="100"/>
      <c r="F26" s="109">
        <v>0</v>
      </c>
      <c r="G26" s="143"/>
    </row>
    <row r="27" spans="3:7">
      <c r="C27" s="140">
        <v>2.0169999999999999</v>
      </c>
      <c r="D27" s="100"/>
      <c r="E27" s="100"/>
      <c r="F27" s="109">
        <v>0</v>
      </c>
      <c r="G27" s="143"/>
    </row>
    <row r="28" spans="3:7">
      <c r="C28" s="140">
        <v>2.0329999999999999</v>
      </c>
      <c r="D28" s="100"/>
      <c r="E28" s="100"/>
      <c r="F28" s="109">
        <v>0</v>
      </c>
      <c r="G28" s="143"/>
    </row>
    <row r="29" spans="3:7">
      <c r="C29" s="140">
        <v>2.0670000000000002</v>
      </c>
      <c r="D29" s="100"/>
      <c r="E29" s="100"/>
      <c r="F29" s="109">
        <v>0</v>
      </c>
      <c r="G29" s="143"/>
    </row>
    <row r="30" spans="3:7">
      <c r="C30" s="140">
        <v>2.0830000000000002</v>
      </c>
      <c r="D30" s="100"/>
      <c r="E30" s="100"/>
      <c r="F30" s="109">
        <v>0</v>
      </c>
      <c r="G30" s="143"/>
    </row>
    <row r="31" spans="3:7">
      <c r="C31" s="140">
        <v>2.1</v>
      </c>
      <c r="D31" s="100"/>
      <c r="E31" s="100"/>
      <c r="F31" s="109">
        <v>0</v>
      </c>
      <c r="G31" s="143"/>
    </row>
    <row r="32" spans="3:7">
      <c r="C32" s="140">
        <v>2.133</v>
      </c>
      <c r="D32" s="100"/>
      <c r="E32" s="100"/>
      <c r="F32" s="109">
        <v>0</v>
      </c>
      <c r="G32" s="143"/>
    </row>
    <row r="33" spans="3:7">
      <c r="C33" s="140">
        <v>2.15</v>
      </c>
      <c r="D33" s="100"/>
      <c r="E33" s="100"/>
      <c r="F33" s="109">
        <v>0</v>
      </c>
      <c r="G33" s="143"/>
    </row>
    <row r="34" spans="3:7">
      <c r="C34" s="140">
        <v>2.1669999999999998</v>
      </c>
      <c r="D34" s="100"/>
      <c r="E34" s="100"/>
      <c r="F34" s="109">
        <v>0</v>
      </c>
      <c r="G34" s="143"/>
    </row>
    <row r="35" spans="3:7">
      <c r="C35" s="140">
        <v>2.1829999999999998</v>
      </c>
      <c r="D35" s="100"/>
      <c r="E35" s="100"/>
      <c r="F35" s="109">
        <v>0</v>
      </c>
      <c r="G35" s="143"/>
    </row>
    <row r="36" spans="3:7">
      <c r="C36" s="140">
        <v>2.2000000000000002</v>
      </c>
      <c r="D36" s="100"/>
      <c r="E36" s="100"/>
      <c r="F36" s="109">
        <v>0</v>
      </c>
      <c r="G36" s="143"/>
    </row>
    <row r="37" spans="3:7">
      <c r="C37" s="140">
        <v>2.2170000000000001</v>
      </c>
      <c r="D37" s="100"/>
      <c r="E37" s="100"/>
      <c r="F37" s="109">
        <v>0</v>
      </c>
      <c r="G37" s="143"/>
    </row>
    <row r="38" spans="3:7">
      <c r="C38" s="140">
        <v>2.2330000000000001</v>
      </c>
      <c r="D38" s="100"/>
      <c r="E38" s="100"/>
      <c r="F38" s="109">
        <v>0</v>
      </c>
      <c r="G38" s="143"/>
    </row>
    <row r="39" spans="3:7">
      <c r="C39" s="140">
        <v>2.25</v>
      </c>
      <c r="D39" s="100"/>
      <c r="E39" s="100"/>
      <c r="F39" s="109">
        <v>0</v>
      </c>
      <c r="G39" s="143"/>
    </row>
    <row r="40" spans="3:7">
      <c r="C40" s="140">
        <v>2.2669999999999999</v>
      </c>
      <c r="D40" s="100"/>
      <c r="E40" s="100"/>
      <c r="F40" s="109">
        <v>0</v>
      </c>
      <c r="G40" s="143"/>
    </row>
    <row r="41" spans="3:7">
      <c r="C41" s="140">
        <v>2.2829999999999999</v>
      </c>
      <c r="D41" s="100"/>
      <c r="E41" s="100"/>
      <c r="F41" s="109">
        <v>0</v>
      </c>
      <c r="G41" s="143"/>
    </row>
    <row r="42" spans="3:7">
      <c r="C42" s="140">
        <v>2.2999999999999998</v>
      </c>
      <c r="D42" s="100"/>
      <c r="E42" s="100"/>
      <c r="F42" s="109">
        <v>0</v>
      </c>
      <c r="G42" s="143"/>
    </row>
    <row r="43" spans="3:7">
      <c r="C43" s="140">
        <v>2.3170000000000002</v>
      </c>
      <c r="D43" s="100"/>
      <c r="E43" s="100"/>
      <c r="F43" s="109">
        <v>0</v>
      </c>
      <c r="G43" s="143"/>
    </row>
    <row r="44" spans="3:7">
      <c r="C44" s="140">
        <v>2.3330000000000002</v>
      </c>
      <c r="D44" s="100"/>
      <c r="E44" s="100"/>
      <c r="F44" s="109">
        <v>0</v>
      </c>
      <c r="G44" s="143"/>
    </row>
    <row r="45" spans="3:7">
      <c r="C45" s="140">
        <v>2.35</v>
      </c>
      <c r="D45" s="100"/>
      <c r="E45" s="100"/>
      <c r="F45" s="109">
        <v>0</v>
      </c>
      <c r="G45" s="143"/>
    </row>
    <row r="46" spans="3:7">
      <c r="C46" s="140">
        <v>2.367</v>
      </c>
      <c r="D46" s="100"/>
      <c r="E46" s="100"/>
      <c r="F46" s="109">
        <v>0</v>
      </c>
      <c r="G46" s="143"/>
    </row>
    <row r="47" spans="3:7">
      <c r="C47" s="140">
        <v>2.383</v>
      </c>
      <c r="D47" s="100"/>
      <c r="E47" s="100"/>
      <c r="F47" s="109">
        <v>0</v>
      </c>
      <c r="G47" s="143"/>
    </row>
    <row r="48" spans="3:7">
      <c r="C48" s="140">
        <v>2.4</v>
      </c>
      <c r="D48" s="100"/>
      <c r="E48" s="100"/>
      <c r="F48" s="109">
        <v>0</v>
      </c>
      <c r="G48" s="143"/>
    </row>
    <row r="49" spans="3:7">
      <c r="C49" s="140">
        <v>2.4169999999999998</v>
      </c>
      <c r="D49" s="100"/>
      <c r="E49" s="100"/>
      <c r="F49" s="109">
        <v>0</v>
      </c>
      <c r="G49" s="143"/>
    </row>
    <row r="50" spans="3:7">
      <c r="C50" s="140">
        <v>2.4830000000000001</v>
      </c>
      <c r="D50" s="100"/>
      <c r="E50" s="100"/>
      <c r="F50" s="109">
        <v>0</v>
      </c>
      <c r="G50" s="143"/>
    </row>
    <row r="51" spans="3:7">
      <c r="C51" s="140">
        <v>2.617</v>
      </c>
      <c r="D51" s="100"/>
      <c r="E51" s="100"/>
      <c r="F51" s="109">
        <v>0</v>
      </c>
      <c r="G51" s="143"/>
    </row>
    <row r="52" spans="3:7">
      <c r="C52" s="140">
        <v>2.633</v>
      </c>
      <c r="D52" s="100"/>
      <c r="E52" s="100"/>
      <c r="F52" s="109">
        <v>0</v>
      </c>
      <c r="G52" s="143"/>
    </row>
    <row r="53" spans="3:7">
      <c r="C53" s="140">
        <v>2.8</v>
      </c>
      <c r="D53" s="100"/>
      <c r="E53" s="100"/>
      <c r="F53" s="109">
        <v>0</v>
      </c>
      <c r="G53" s="143"/>
    </row>
    <row r="54" spans="3:7">
      <c r="C54" s="140">
        <v>2.883</v>
      </c>
      <c r="D54" s="100"/>
      <c r="E54" s="100"/>
      <c r="F54" s="109">
        <v>0</v>
      </c>
      <c r="G54" s="143"/>
    </row>
    <row r="55" spans="3:7">
      <c r="C55" s="140">
        <v>2.9</v>
      </c>
      <c r="D55" s="100"/>
      <c r="E55" s="100"/>
      <c r="F55" s="109">
        <v>0</v>
      </c>
      <c r="G55" s="143"/>
    </row>
    <row r="56" spans="3:7">
      <c r="C56" s="140">
        <v>3.0670000000000002</v>
      </c>
      <c r="D56" s="100"/>
      <c r="E56" s="100"/>
      <c r="F56" s="109">
        <v>0</v>
      </c>
      <c r="G56" s="143"/>
    </row>
    <row r="57" spans="3:7">
      <c r="C57" s="140">
        <v>3.3170000000000002</v>
      </c>
      <c r="D57" s="100"/>
      <c r="E57" s="100"/>
      <c r="F57" s="109">
        <v>0</v>
      </c>
      <c r="G57" s="143"/>
    </row>
    <row r="58" spans="3:7">
      <c r="C58" s="140">
        <v>3.3330000000000002</v>
      </c>
      <c r="D58" s="100"/>
      <c r="E58" s="100"/>
      <c r="F58" s="109">
        <v>0</v>
      </c>
      <c r="G58" s="143"/>
    </row>
    <row r="59" spans="3:7">
      <c r="C59" s="140">
        <v>3.367</v>
      </c>
      <c r="D59" s="100"/>
      <c r="E59" s="100"/>
      <c r="F59" s="109">
        <v>0</v>
      </c>
      <c r="G59" s="143"/>
    </row>
    <row r="60" spans="3:7">
      <c r="C60" s="140">
        <v>3.4169999999999998</v>
      </c>
      <c r="D60" s="100"/>
      <c r="E60" s="100"/>
      <c r="F60" s="109">
        <v>0</v>
      </c>
      <c r="G60" s="143"/>
    </row>
    <row r="61" spans="3:7">
      <c r="C61" s="140">
        <v>3.45</v>
      </c>
      <c r="D61" s="100"/>
      <c r="E61" s="100"/>
      <c r="F61" s="109">
        <v>0</v>
      </c>
      <c r="G61" s="143"/>
    </row>
    <row r="62" spans="3:7">
      <c r="C62" s="140">
        <v>3.5</v>
      </c>
      <c r="D62" s="100"/>
      <c r="E62" s="100"/>
      <c r="F62" s="109">
        <v>0</v>
      </c>
      <c r="G62" s="143"/>
    </row>
    <row r="63" spans="3:7">
      <c r="C63" s="140">
        <v>3.5670000000000002</v>
      </c>
      <c r="D63" s="100"/>
      <c r="E63" s="100"/>
      <c r="F63" s="109">
        <v>0</v>
      </c>
      <c r="G63" s="143"/>
    </row>
    <row r="64" spans="3:7">
      <c r="C64" s="140">
        <v>3.6</v>
      </c>
      <c r="D64" s="100"/>
      <c r="E64" s="100"/>
      <c r="F64" s="109">
        <v>0</v>
      </c>
      <c r="G64" s="143"/>
    </row>
    <row r="65" spans="3:7">
      <c r="C65" s="140">
        <v>3.6829999999999998</v>
      </c>
      <c r="D65" s="100"/>
      <c r="E65" s="100"/>
      <c r="F65" s="109">
        <v>0</v>
      </c>
      <c r="G65" s="143"/>
    </row>
    <row r="66" spans="3:7">
      <c r="C66" s="140">
        <v>3.7170000000000001</v>
      </c>
      <c r="D66" s="100"/>
      <c r="E66" s="100"/>
      <c r="F66" s="109">
        <v>0</v>
      </c>
      <c r="G66" s="143"/>
    </row>
    <row r="67" spans="3:7">
      <c r="C67" s="140">
        <v>3.7330000000000001</v>
      </c>
      <c r="D67" s="100"/>
      <c r="E67" s="100"/>
      <c r="F67" s="109">
        <v>0</v>
      </c>
      <c r="G67" s="143"/>
    </row>
    <row r="68" spans="3:7">
      <c r="C68" s="140">
        <v>3.75</v>
      </c>
      <c r="D68" s="100"/>
      <c r="E68" s="100"/>
      <c r="F68" s="109">
        <v>0</v>
      </c>
      <c r="G68" s="143"/>
    </row>
    <row r="69" spans="3:7">
      <c r="C69" s="140">
        <v>3.7669999999999999</v>
      </c>
      <c r="D69" s="100"/>
      <c r="E69" s="100"/>
      <c r="F69" s="109">
        <v>0</v>
      </c>
      <c r="G69" s="143"/>
    </row>
    <row r="70" spans="3:7">
      <c r="C70" s="140">
        <v>3.8170000000000002</v>
      </c>
      <c r="D70" s="100"/>
      <c r="E70" s="100"/>
      <c r="F70" s="109">
        <v>0</v>
      </c>
      <c r="G70" s="143"/>
    </row>
    <row r="71" spans="3:7">
      <c r="C71" s="140">
        <v>3.8330000000000002</v>
      </c>
      <c r="D71" s="100"/>
      <c r="E71" s="100"/>
      <c r="F71" s="109">
        <v>0</v>
      </c>
      <c r="G71" s="143"/>
    </row>
    <row r="72" spans="3:7">
      <c r="C72" s="140">
        <v>3.85</v>
      </c>
      <c r="D72" s="100"/>
      <c r="E72" s="100"/>
      <c r="F72" s="109">
        <v>0</v>
      </c>
      <c r="G72" s="143"/>
    </row>
    <row r="73" spans="3:7">
      <c r="C73" s="140">
        <v>3.883</v>
      </c>
      <c r="D73" s="100"/>
      <c r="E73" s="100"/>
      <c r="F73" s="109">
        <v>0</v>
      </c>
      <c r="G73" s="143"/>
    </row>
    <row r="74" spans="3:7">
      <c r="C74" s="140">
        <v>3.9169999999999998</v>
      </c>
      <c r="D74" s="100"/>
      <c r="E74" s="100"/>
      <c r="F74" s="109">
        <v>0</v>
      </c>
      <c r="G74" s="143"/>
    </row>
    <row r="75" spans="3:7">
      <c r="C75" s="140">
        <v>3.95</v>
      </c>
      <c r="D75" s="100"/>
      <c r="E75" s="100"/>
      <c r="F75" s="109">
        <v>0</v>
      </c>
      <c r="G75" s="143"/>
    </row>
    <row r="76" spans="3:7">
      <c r="C76" s="140">
        <v>3.9660000000000002</v>
      </c>
      <c r="D76" s="100"/>
      <c r="E76" s="100"/>
      <c r="F76" s="109">
        <v>0</v>
      </c>
      <c r="G76" s="143"/>
    </row>
    <row r="77" spans="3:7">
      <c r="C77" s="140">
        <v>3.9670000000000001</v>
      </c>
      <c r="D77" s="100"/>
      <c r="E77" s="100"/>
      <c r="F77" s="109">
        <v>0</v>
      </c>
      <c r="G77" s="143"/>
    </row>
    <row r="78" spans="3:7">
      <c r="C78" s="140">
        <v>4</v>
      </c>
      <c r="D78" s="100"/>
      <c r="E78" s="100"/>
      <c r="F78" s="109">
        <v>0</v>
      </c>
      <c r="G78" s="143"/>
    </row>
    <row r="79" spans="3:7">
      <c r="C79" s="140">
        <v>4.0330000000000004</v>
      </c>
      <c r="D79" s="100"/>
      <c r="E79" s="100"/>
      <c r="F79" s="109">
        <v>0</v>
      </c>
      <c r="G79" s="143"/>
    </row>
    <row r="80" spans="3:7">
      <c r="C80" s="140">
        <v>4.05</v>
      </c>
      <c r="D80" s="100"/>
      <c r="E80" s="100"/>
      <c r="F80" s="109">
        <v>0</v>
      </c>
      <c r="G80" s="143"/>
    </row>
    <row r="81" spans="3:7">
      <c r="C81" s="140">
        <v>4.0670000000000002</v>
      </c>
      <c r="D81" s="100"/>
      <c r="E81" s="100"/>
      <c r="F81" s="109">
        <v>0</v>
      </c>
      <c r="G81" s="143"/>
    </row>
    <row r="82" spans="3:7">
      <c r="C82" s="140">
        <v>4.0830000000000002</v>
      </c>
      <c r="D82" s="100"/>
      <c r="E82" s="100"/>
      <c r="F82" s="109">
        <v>0</v>
      </c>
      <c r="G82" s="143"/>
    </row>
    <row r="83" spans="3:7">
      <c r="C83" s="140">
        <v>4.0999999999999996</v>
      </c>
      <c r="D83" s="100"/>
      <c r="E83" s="100"/>
      <c r="F83" s="109">
        <v>0</v>
      </c>
      <c r="G83" s="143"/>
    </row>
    <row r="84" spans="3:7">
      <c r="C84" s="140">
        <v>4.117</v>
      </c>
      <c r="D84" s="100"/>
      <c r="E84" s="100"/>
      <c r="F84" s="109">
        <v>0</v>
      </c>
      <c r="G84" s="143"/>
    </row>
    <row r="85" spans="3:7">
      <c r="C85" s="140">
        <v>4.133</v>
      </c>
      <c r="D85" s="100"/>
      <c r="E85" s="100"/>
      <c r="F85" s="109">
        <v>0</v>
      </c>
      <c r="G85" s="143"/>
    </row>
    <row r="86" spans="3:7">
      <c r="C86" s="140">
        <v>4.1500000000000004</v>
      </c>
      <c r="D86" s="100"/>
      <c r="E86" s="100"/>
      <c r="F86" s="109">
        <v>0</v>
      </c>
      <c r="G86" s="143"/>
    </row>
    <row r="87" spans="3:7">
      <c r="C87" s="140">
        <v>4.1669999999999998</v>
      </c>
      <c r="D87" s="100"/>
      <c r="E87" s="100"/>
      <c r="F87" s="109">
        <v>0</v>
      </c>
      <c r="G87" s="143"/>
    </row>
    <row r="88" spans="3:7">
      <c r="C88" s="140">
        <v>4.1829999999999998</v>
      </c>
      <c r="D88" s="100"/>
      <c r="E88" s="100"/>
      <c r="F88" s="109">
        <v>0</v>
      </c>
      <c r="G88" s="143"/>
    </row>
    <row r="89" spans="3:7">
      <c r="C89" s="140">
        <v>4.2</v>
      </c>
      <c r="D89" s="100"/>
      <c r="E89" s="100"/>
      <c r="F89" s="109">
        <v>0</v>
      </c>
      <c r="G89" s="143"/>
    </row>
    <row r="90" spans="3:7">
      <c r="C90" s="140">
        <v>4.2329999999999997</v>
      </c>
      <c r="D90" s="100"/>
      <c r="E90" s="100"/>
      <c r="F90" s="109">
        <v>0</v>
      </c>
      <c r="G90" s="143"/>
    </row>
    <row r="91" spans="3:7">
      <c r="C91" s="140">
        <v>4.25</v>
      </c>
      <c r="D91" s="100"/>
      <c r="E91" s="100"/>
      <c r="F91" s="109">
        <v>0</v>
      </c>
      <c r="G91" s="143"/>
    </row>
    <row r="92" spans="3:7">
      <c r="C92" s="140">
        <v>4.2670000000000003</v>
      </c>
      <c r="D92" s="100"/>
      <c r="E92" s="100"/>
      <c r="F92" s="109">
        <v>0</v>
      </c>
      <c r="G92" s="143"/>
    </row>
    <row r="93" spans="3:7">
      <c r="C93" s="140">
        <v>4.2830000000000004</v>
      </c>
      <c r="D93" s="100"/>
      <c r="E93" s="100"/>
      <c r="F93" s="109">
        <v>0</v>
      </c>
      <c r="G93" s="143"/>
    </row>
    <row r="94" spans="3:7">
      <c r="C94" s="140">
        <v>4.3</v>
      </c>
      <c r="D94" s="100"/>
      <c r="E94" s="100"/>
      <c r="F94" s="109">
        <v>0</v>
      </c>
      <c r="G94" s="143"/>
    </row>
    <row r="95" spans="3:7">
      <c r="C95" s="140">
        <v>4.3170000000000002</v>
      </c>
      <c r="D95" s="100"/>
      <c r="E95" s="100"/>
      <c r="F95" s="109">
        <v>0</v>
      </c>
      <c r="G95" s="143"/>
    </row>
    <row r="96" spans="3:7">
      <c r="C96" s="140">
        <v>4.3330000000000002</v>
      </c>
      <c r="D96" s="100"/>
      <c r="E96" s="100"/>
      <c r="F96" s="109">
        <v>0</v>
      </c>
      <c r="G96" s="143"/>
    </row>
    <row r="97" spans="3:7">
      <c r="C97" s="140">
        <v>4.3499999999999996</v>
      </c>
      <c r="D97" s="100"/>
      <c r="E97" s="100"/>
      <c r="F97" s="109">
        <v>0</v>
      </c>
      <c r="G97" s="143"/>
    </row>
    <row r="98" spans="3:7">
      <c r="C98" s="140">
        <v>4.3659999999999997</v>
      </c>
      <c r="D98" s="100"/>
      <c r="E98" s="100"/>
      <c r="F98" s="109">
        <v>0</v>
      </c>
      <c r="G98" s="143"/>
    </row>
    <row r="99" spans="3:7">
      <c r="C99" s="140">
        <v>4.367</v>
      </c>
      <c r="D99" s="100"/>
      <c r="E99" s="100"/>
      <c r="F99" s="109">
        <v>0</v>
      </c>
      <c r="G99" s="143"/>
    </row>
    <row r="100" spans="3:7">
      <c r="C100" s="140">
        <v>4.383</v>
      </c>
      <c r="D100" s="100"/>
      <c r="E100" s="100"/>
      <c r="F100" s="109">
        <v>0</v>
      </c>
      <c r="G100" s="143"/>
    </row>
    <row r="101" spans="3:7">
      <c r="C101" s="140">
        <v>4.4000000000000004</v>
      </c>
      <c r="D101" s="100"/>
      <c r="E101" s="100"/>
      <c r="F101" s="109">
        <v>0</v>
      </c>
      <c r="G101" s="143"/>
    </row>
    <row r="102" spans="3:7">
      <c r="C102" s="140">
        <v>4.4169999999999998</v>
      </c>
      <c r="D102" s="100"/>
      <c r="E102" s="100"/>
      <c r="F102" s="109">
        <v>0</v>
      </c>
      <c r="G102" s="143"/>
    </row>
    <row r="103" spans="3:7">
      <c r="C103" s="140">
        <v>4.4329999999999998</v>
      </c>
      <c r="D103" s="100"/>
      <c r="E103" s="100"/>
      <c r="F103" s="109">
        <v>0</v>
      </c>
      <c r="G103" s="143"/>
    </row>
    <row r="104" spans="3:7">
      <c r="C104" s="140">
        <v>4.45</v>
      </c>
      <c r="D104" s="100"/>
      <c r="E104" s="100"/>
      <c r="F104" s="109">
        <v>0</v>
      </c>
      <c r="G104" s="143"/>
    </row>
    <row r="105" spans="3:7">
      <c r="C105" s="140">
        <v>4.4669999999999996</v>
      </c>
      <c r="D105" s="100"/>
      <c r="E105" s="100"/>
      <c r="F105" s="109">
        <v>0</v>
      </c>
      <c r="G105" s="143"/>
    </row>
    <row r="106" spans="3:7">
      <c r="C106" s="140">
        <v>4.4829999999999997</v>
      </c>
      <c r="D106" s="100"/>
      <c r="E106" s="100"/>
      <c r="F106" s="109">
        <v>0</v>
      </c>
      <c r="G106" s="143"/>
    </row>
    <row r="107" spans="3:7">
      <c r="C107" s="140">
        <v>4.5</v>
      </c>
      <c r="D107" s="100"/>
      <c r="E107" s="100"/>
      <c r="F107" s="109">
        <v>0</v>
      </c>
      <c r="G107" s="143"/>
    </row>
    <row r="108" spans="3:7">
      <c r="C108" s="140">
        <v>4.5170000000000003</v>
      </c>
      <c r="D108" s="100"/>
      <c r="E108" s="100"/>
      <c r="F108" s="109">
        <v>0</v>
      </c>
      <c r="G108" s="143"/>
    </row>
    <row r="109" spans="3:7">
      <c r="C109" s="140">
        <v>4.5330000000000004</v>
      </c>
      <c r="D109" s="100"/>
      <c r="E109" s="100"/>
      <c r="F109" s="109">
        <v>0</v>
      </c>
      <c r="G109" s="143"/>
    </row>
    <row r="110" spans="3:7">
      <c r="C110" s="140">
        <v>4.55</v>
      </c>
      <c r="D110" s="100"/>
      <c r="E110" s="100"/>
      <c r="F110" s="109">
        <v>0</v>
      </c>
      <c r="G110" s="143"/>
    </row>
    <row r="111" spans="3:7">
      <c r="C111" s="140">
        <v>4.5670000000000002</v>
      </c>
      <c r="D111" s="100"/>
      <c r="E111" s="100"/>
      <c r="F111" s="109">
        <v>0</v>
      </c>
      <c r="G111" s="143"/>
    </row>
    <row r="112" spans="3:7">
      <c r="C112" s="140">
        <v>4.5830000000000002</v>
      </c>
      <c r="D112" s="100"/>
      <c r="E112" s="100"/>
      <c r="F112" s="109">
        <v>0</v>
      </c>
      <c r="G112" s="143"/>
    </row>
    <row r="113" spans="3:7">
      <c r="C113" s="140">
        <v>4.5999999999999996</v>
      </c>
      <c r="D113" s="100"/>
      <c r="E113" s="100"/>
      <c r="F113" s="109">
        <v>0</v>
      </c>
      <c r="G113" s="143"/>
    </row>
    <row r="114" spans="3:7">
      <c r="C114" s="140">
        <v>4.617</v>
      </c>
      <c r="D114" s="100"/>
      <c r="E114" s="100"/>
      <c r="F114" s="109">
        <v>0</v>
      </c>
      <c r="G114" s="143"/>
    </row>
    <row r="115" spans="3:7">
      <c r="C115" s="140">
        <v>4.633</v>
      </c>
      <c r="D115" s="100"/>
      <c r="E115" s="100"/>
      <c r="F115" s="109">
        <v>0</v>
      </c>
      <c r="G115" s="143"/>
    </row>
    <row r="116" spans="3:7">
      <c r="C116" s="140">
        <v>4.6500000000000004</v>
      </c>
      <c r="D116" s="100"/>
      <c r="E116" s="100"/>
      <c r="F116" s="109">
        <v>0</v>
      </c>
      <c r="G116" s="143"/>
    </row>
    <row r="117" spans="3:7">
      <c r="C117" s="140">
        <v>4.6669999999999998</v>
      </c>
      <c r="D117" s="100"/>
      <c r="E117" s="100"/>
      <c r="F117" s="109">
        <v>0</v>
      </c>
      <c r="G117" s="143"/>
    </row>
    <row r="118" spans="3:7">
      <c r="C118" s="140">
        <v>4.7</v>
      </c>
      <c r="D118" s="100"/>
      <c r="E118" s="100"/>
      <c r="F118" s="109">
        <v>0</v>
      </c>
      <c r="G118" s="143"/>
    </row>
    <row r="119" spans="3:7">
      <c r="C119" s="140">
        <v>4.7160000000000002</v>
      </c>
      <c r="D119" s="100"/>
      <c r="E119" s="100"/>
      <c r="F119" s="109">
        <v>0</v>
      </c>
      <c r="G119" s="143"/>
    </row>
    <row r="120" spans="3:7">
      <c r="C120" s="140">
        <v>4.7329999999999997</v>
      </c>
      <c r="D120" s="100"/>
      <c r="E120" s="100"/>
      <c r="F120" s="109">
        <v>0</v>
      </c>
      <c r="G120" s="143"/>
    </row>
    <row r="121" spans="3:7">
      <c r="C121" s="140">
        <v>4.75</v>
      </c>
      <c r="D121" s="100"/>
      <c r="E121" s="100"/>
      <c r="F121" s="109">
        <v>0</v>
      </c>
      <c r="G121" s="143"/>
    </row>
    <row r="122" spans="3:7">
      <c r="C122" s="140">
        <v>4.7670000000000003</v>
      </c>
      <c r="D122" s="100"/>
      <c r="E122" s="100"/>
      <c r="F122" s="109">
        <v>0</v>
      </c>
      <c r="G122" s="143"/>
    </row>
    <row r="123" spans="3:7">
      <c r="C123" s="140">
        <v>4.7830000000000004</v>
      </c>
      <c r="D123" s="100"/>
      <c r="E123" s="100"/>
      <c r="F123" s="109">
        <v>0</v>
      </c>
      <c r="G123" s="143"/>
    </row>
    <row r="124" spans="3:7">
      <c r="C124" s="140">
        <v>4.8</v>
      </c>
      <c r="D124" s="100"/>
      <c r="E124" s="100"/>
      <c r="F124" s="109">
        <v>0</v>
      </c>
      <c r="G124" s="143"/>
    </row>
    <row r="125" spans="3:7">
      <c r="C125" s="140">
        <v>4.8170000000000002</v>
      </c>
      <c r="D125" s="100"/>
      <c r="E125" s="100"/>
      <c r="F125" s="109">
        <v>0</v>
      </c>
      <c r="G125" s="143"/>
    </row>
    <row r="126" spans="3:7">
      <c r="C126" s="140">
        <v>4.8330000000000002</v>
      </c>
      <c r="D126" s="100"/>
      <c r="E126" s="100"/>
      <c r="F126" s="109">
        <v>0</v>
      </c>
      <c r="G126" s="143"/>
    </row>
    <row r="127" spans="3:7">
      <c r="C127" s="140">
        <v>4.8499999999999996</v>
      </c>
      <c r="D127" s="100"/>
      <c r="E127" s="100"/>
      <c r="F127" s="109">
        <v>0</v>
      </c>
      <c r="G127" s="143"/>
    </row>
    <row r="128" spans="3:7">
      <c r="C128" s="140">
        <v>4.883</v>
      </c>
      <c r="D128" s="100"/>
      <c r="E128" s="100"/>
      <c r="F128" s="109">
        <v>0</v>
      </c>
      <c r="G128" s="143"/>
    </row>
    <row r="129" spans="3:7">
      <c r="C129" s="140">
        <v>4.9000000000000004</v>
      </c>
      <c r="D129" s="100"/>
      <c r="E129" s="100"/>
      <c r="F129" s="109">
        <v>0</v>
      </c>
      <c r="G129" s="143"/>
    </row>
    <row r="130" spans="3:7">
      <c r="C130" s="140">
        <v>4.9329999999999998</v>
      </c>
      <c r="D130" s="100"/>
      <c r="E130" s="100"/>
      <c r="F130" s="109">
        <v>0</v>
      </c>
      <c r="G130" s="143"/>
    </row>
    <row r="131" spans="3:7">
      <c r="C131" s="140">
        <v>5</v>
      </c>
      <c r="D131" s="100"/>
      <c r="E131" s="100"/>
      <c r="F131" s="109">
        <v>0</v>
      </c>
      <c r="G131" s="143"/>
    </row>
    <row r="132" spans="3:7">
      <c r="C132" s="140">
        <v>5.0330000000000004</v>
      </c>
      <c r="D132" s="100"/>
      <c r="E132" s="100"/>
      <c r="F132" s="109">
        <v>0</v>
      </c>
      <c r="G132" s="143"/>
    </row>
    <row r="133" spans="3:7">
      <c r="C133" s="140">
        <v>5.0670000000000002</v>
      </c>
      <c r="D133" s="100"/>
      <c r="E133" s="100"/>
      <c r="F133" s="109">
        <v>0</v>
      </c>
      <c r="G133" s="143"/>
    </row>
    <row r="134" spans="3:7">
      <c r="C134" s="140">
        <v>5.0999999999999996</v>
      </c>
      <c r="D134" s="100"/>
      <c r="E134" s="100"/>
      <c r="F134" s="109">
        <v>0</v>
      </c>
      <c r="G134" s="143"/>
    </row>
    <row r="135" spans="3:7">
      <c r="C135" s="140" t="s">
        <v>66</v>
      </c>
      <c r="D135" s="100"/>
      <c r="E135" s="100"/>
      <c r="F135" s="109">
        <v>0</v>
      </c>
      <c r="G135" s="143"/>
    </row>
  </sheetData>
  <conditionalFormatting pivot="1" sqref="F9:F135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G9:G135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5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5546875" bestFit="1" customWidth="1"/>
    <col min="5" max="5" width="9.109375" bestFit="1" customWidth="1"/>
    <col min="6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10" t="str">
        <f>Name</f>
        <v>geyser</v>
      </c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107"/>
    </row>
    <row r="8" spans="2:17" ht="36.6" customHeight="1">
      <c r="C8" s="142" t="s">
        <v>56</v>
      </c>
      <c r="D8" s="141" t="s">
        <v>57</v>
      </c>
      <c r="E8" s="141" t="s">
        <v>58</v>
      </c>
    </row>
    <row r="9" spans="2:17" ht="15" customHeight="1">
      <c r="C9" s="140">
        <v>1.6</v>
      </c>
      <c r="D9" s="100"/>
      <c r="E9" s="100"/>
    </row>
    <row r="10" spans="2:17" ht="15" customHeight="1">
      <c r="C10" s="140">
        <v>1.66699999999999</v>
      </c>
      <c r="D10" s="100"/>
      <c r="E10" s="100"/>
    </row>
    <row r="11" spans="2:17" ht="15" customHeight="1">
      <c r="C11" s="140">
        <v>1.7</v>
      </c>
      <c r="D11" s="100"/>
      <c r="E11" s="100"/>
    </row>
    <row r="12" spans="2:17" ht="15" customHeight="1">
      <c r="C12" s="140">
        <v>1.7330000000000001</v>
      </c>
      <c r="D12" s="100"/>
      <c r="E12" s="100"/>
    </row>
    <row r="13" spans="2:17" ht="15" customHeight="1">
      <c r="C13" s="140">
        <v>1.75</v>
      </c>
      <c r="D13" s="100"/>
      <c r="E13" s="100"/>
    </row>
    <row r="14" spans="2:17">
      <c r="C14" s="140">
        <v>1.7829999999999999</v>
      </c>
      <c r="D14" s="100"/>
      <c r="E14" s="100"/>
    </row>
    <row r="15" spans="2:17">
      <c r="C15" s="140">
        <v>1.8</v>
      </c>
      <c r="D15" s="100"/>
      <c r="E15" s="100"/>
    </row>
    <row r="16" spans="2:17">
      <c r="C16" s="140">
        <v>1.8169999999999999</v>
      </c>
      <c r="D16" s="100"/>
      <c r="E16" s="100"/>
    </row>
    <row r="17" spans="3:5">
      <c r="C17" s="140">
        <v>1.833</v>
      </c>
      <c r="D17" s="100"/>
      <c r="E17" s="100"/>
    </row>
    <row r="18" spans="3:5">
      <c r="C18" s="140">
        <v>1.85</v>
      </c>
      <c r="D18" s="100"/>
      <c r="E18" s="100"/>
    </row>
    <row r="19" spans="3:5">
      <c r="C19" s="140">
        <v>1.867</v>
      </c>
      <c r="D19" s="100"/>
      <c r="E19" s="100"/>
    </row>
    <row r="20" spans="3:5">
      <c r="C20" s="140">
        <v>1.883</v>
      </c>
      <c r="D20" s="100"/>
      <c r="E20" s="100"/>
    </row>
    <row r="21" spans="3:5">
      <c r="C21" s="140">
        <v>1.917</v>
      </c>
      <c r="D21" s="100"/>
      <c r="E21" s="100"/>
    </row>
    <row r="22" spans="3:5">
      <c r="C22" s="140">
        <v>1.9330000000000001</v>
      </c>
      <c r="D22" s="100"/>
      <c r="E22" s="100"/>
    </row>
    <row r="23" spans="3:5">
      <c r="C23" s="140">
        <v>1.95</v>
      </c>
      <c r="D23" s="100"/>
      <c r="E23" s="100"/>
    </row>
    <row r="24" spans="3:5">
      <c r="C24" s="140">
        <v>1.9670000000000001</v>
      </c>
      <c r="D24" s="100"/>
      <c r="E24" s="100"/>
    </row>
    <row r="25" spans="3:5">
      <c r="C25" s="140">
        <v>1.9830000000000001</v>
      </c>
      <c r="D25" s="100"/>
      <c r="E25" s="100"/>
    </row>
    <row r="26" spans="3:5">
      <c r="C26" s="140">
        <v>2</v>
      </c>
      <c r="D26" s="100"/>
      <c r="E26" s="100"/>
    </row>
    <row r="27" spans="3:5">
      <c r="C27" s="140">
        <v>2.0169999999999999</v>
      </c>
      <c r="D27" s="100"/>
      <c r="E27" s="100"/>
    </row>
    <row r="28" spans="3:5">
      <c r="C28" s="140">
        <v>2.0329999999999999</v>
      </c>
      <c r="D28" s="100"/>
      <c r="E28" s="100"/>
    </row>
    <row r="29" spans="3:5">
      <c r="C29" s="140">
        <v>2.0670000000000002</v>
      </c>
      <c r="D29" s="100"/>
      <c r="E29" s="100"/>
    </row>
    <row r="30" spans="3:5">
      <c r="C30" s="140">
        <v>2.0830000000000002</v>
      </c>
      <c r="D30" s="100"/>
      <c r="E30" s="100"/>
    </row>
    <row r="31" spans="3:5">
      <c r="C31" s="140">
        <v>2.1</v>
      </c>
      <c r="D31" s="100"/>
      <c r="E31" s="100"/>
    </row>
    <row r="32" spans="3:5">
      <c r="C32" s="140">
        <v>2.133</v>
      </c>
      <c r="D32" s="100"/>
      <c r="E32" s="100"/>
    </row>
    <row r="33" spans="3:5">
      <c r="C33" s="140">
        <v>2.15</v>
      </c>
      <c r="D33" s="100"/>
      <c r="E33" s="100"/>
    </row>
    <row r="34" spans="3:5">
      <c r="C34" s="140">
        <v>2.1669999999999998</v>
      </c>
      <c r="D34" s="100"/>
      <c r="E34" s="100"/>
    </row>
    <row r="35" spans="3:5">
      <c r="C35" s="140">
        <v>2.1829999999999998</v>
      </c>
      <c r="D35" s="100"/>
      <c r="E35" s="100"/>
    </row>
    <row r="36" spans="3:5">
      <c r="C36" s="140">
        <v>2.2000000000000002</v>
      </c>
      <c r="D36" s="100"/>
      <c r="E36" s="100"/>
    </row>
    <row r="37" spans="3:5">
      <c r="C37" s="140">
        <v>2.2170000000000001</v>
      </c>
      <c r="D37" s="100"/>
      <c r="E37" s="100"/>
    </row>
    <row r="38" spans="3:5">
      <c r="C38" s="140">
        <v>2.2330000000000001</v>
      </c>
      <c r="D38" s="100"/>
      <c r="E38" s="100"/>
    </row>
    <row r="39" spans="3:5">
      <c r="C39" s="140">
        <v>2.25</v>
      </c>
      <c r="D39" s="100"/>
      <c r="E39" s="100"/>
    </row>
    <row r="40" spans="3:5">
      <c r="C40" s="140">
        <v>2.2669999999999999</v>
      </c>
      <c r="D40" s="100"/>
      <c r="E40" s="100"/>
    </row>
    <row r="41" spans="3:5">
      <c r="C41" s="140">
        <v>2.2829999999999999</v>
      </c>
      <c r="D41" s="100"/>
      <c r="E41" s="100"/>
    </row>
    <row r="42" spans="3:5">
      <c r="C42" s="140">
        <v>2.2999999999999998</v>
      </c>
      <c r="D42" s="100"/>
      <c r="E42" s="100"/>
    </row>
    <row r="43" spans="3:5">
      <c r="C43" s="140">
        <v>2.3170000000000002</v>
      </c>
      <c r="D43" s="100"/>
      <c r="E43" s="100"/>
    </row>
    <row r="44" spans="3:5">
      <c r="C44" s="140">
        <v>2.3330000000000002</v>
      </c>
      <c r="D44" s="100"/>
      <c r="E44" s="100"/>
    </row>
    <row r="45" spans="3:5">
      <c r="C45" s="140">
        <v>2.35</v>
      </c>
      <c r="D45" s="100"/>
      <c r="E45" s="100"/>
    </row>
    <row r="46" spans="3:5">
      <c r="C46" s="140">
        <v>2.367</v>
      </c>
      <c r="D46" s="100"/>
      <c r="E46" s="100"/>
    </row>
    <row r="47" spans="3:5">
      <c r="C47" s="140">
        <v>2.383</v>
      </c>
      <c r="D47" s="100"/>
      <c r="E47" s="100"/>
    </row>
    <row r="48" spans="3:5">
      <c r="C48" s="140">
        <v>2.4</v>
      </c>
      <c r="D48" s="100"/>
      <c r="E48" s="100"/>
    </row>
    <row r="49" spans="3:5">
      <c r="C49" s="140">
        <v>2.4169999999999998</v>
      </c>
      <c r="D49" s="100"/>
      <c r="E49" s="100"/>
    </row>
    <row r="50" spans="3:5">
      <c r="C50" s="140">
        <v>2.4830000000000001</v>
      </c>
      <c r="D50" s="100"/>
      <c r="E50" s="100"/>
    </row>
    <row r="51" spans="3:5">
      <c r="C51" s="140">
        <v>2.617</v>
      </c>
      <c r="D51" s="100"/>
      <c r="E51" s="100"/>
    </row>
    <row r="52" spans="3:5">
      <c r="C52" s="140">
        <v>2.633</v>
      </c>
      <c r="D52" s="100"/>
      <c r="E52" s="100"/>
    </row>
    <row r="53" spans="3:5">
      <c r="C53" s="140">
        <v>2.8</v>
      </c>
      <c r="D53" s="100"/>
      <c r="E53" s="100"/>
    </row>
    <row r="54" spans="3:5">
      <c r="C54" s="140">
        <v>2.883</v>
      </c>
      <c r="D54" s="100"/>
      <c r="E54" s="100"/>
    </row>
    <row r="55" spans="3:5">
      <c r="C55" s="140">
        <v>2.9</v>
      </c>
      <c r="D55" s="100"/>
      <c r="E55" s="100"/>
    </row>
    <row r="56" spans="3:5">
      <c r="C56" s="140">
        <v>3.0670000000000002</v>
      </c>
      <c r="D56" s="100"/>
      <c r="E56" s="100"/>
    </row>
    <row r="57" spans="3:5">
      <c r="C57" s="140">
        <v>3.3170000000000002</v>
      </c>
      <c r="D57" s="100"/>
      <c r="E57" s="100"/>
    </row>
    <row r="58" spans="3:5">
      <c r="C58" s="140">
        <v>3.3330000000000002</v>
      </c>
      <c r="D58" s="100"/>
      <c r="E58" s="100"/>
    </row>
    <row r="59" spans="3:5">
      <c r="C59" s="140">
        <v>3.367</v>
      </c>
      <c r="D59" s="100"/>
      <c r="E59" s="100"/>
    </row>
    <row r="60" spans="3:5">
      <c r="C60" s="140">
        <v>3.4169999999999998</v>
      </c>
      <c r="D60" s="100"/>
      <c r="E60" s="100"/>
    </row>
    <row r="61" spans="3:5">
      <c r="C61" s="140">
        <v>3.45</v>
      </c>
      <c r="D61" s="100"/>
      <c r="E61" s="100"/>
    </row>
    <row r="62" spans="3:5">
      <c r="C62" s="140">
        <v>3.5</v>
      </c>
      <c r="D62" s="100"/>
      <c r="E62" s="100"/>
    </row>
    <row r="63" spans="3:5">
      <c r="C63" s="140">
        <v>3.5670000000000002</v>
      </c>
      <c r="D63" s="100"/>
      <c r="E63" s="100"/>
    </row>
    <row r="64" spans="3:5">
      <c r="C64" s="140">
        <v>3.6</v>
      </c>
      <c r="D64" s="100"/>
      <c r="E64" s="100"/>
    </row>
    <row r="65" spans="3:5">
      <c r="C65" s="140">
        <v>3.6829999999999998</v>
      </c>
      <c r="D65" s="100"/>
      <c r="E65" s="100"/>
    </row>
    <row r="66" spans="3:5">
      <c r="C66" s="140">
        <v>3.7170000000000001</v>
      </c>
      <c r="D66" s="100"/>
      <c r="E66" s="100"/>
    </row>
    <row r="67" spans="3:5">
      <c r="C67" s="140">
        <v>3.7330000000000001</v>
      </c>
      <c r="D67" s="100"/>
      <c r="E67" s="100"/>
    </row>
    <row r="68" spans="3:5">
      <c r="C68" s="140">
        <v>3.75</v>
      </c>
      <c r="D68" s="100"/>
      <c r="E68" s="100"/>
    </row>
    <row r="69" spans="3:5">
      <c r="C69" s="140">
        <v>3.7669999999999999</v>
      </c>
      <c r="D69" s="100"/>
      <c r="E69" s="100"/>
    </row>
    <row r="70" spans="3:5">
      <c r="C70" s="140">
        <v>3.8170000000000002</v>
      </c>
      <c r="D70" s="100"/>
      <c r="E70" s="100"/>
    </row>
    <row r="71" spans="3:5">
      <c r="C71" s="140">
        <v>3.8330000000000002</v>
      </c>
      <c r="D71" s="100"/>
      <c r="E71" s="100"/>
    </row>
    <row r="72" spans="3:5">
      <c r="C72" s="140">
        <v>3.85</v>
      </c>
      <c r="D72" s="100"/>
      <c r="E72" s="100"/>
    </row>
    <row r="73" spans="3:5">
      <c r="C73" s="140">
        <v>3.883</v>
      </c>
      <c r="D73" s="100"/>
      <c r="E73" s="100"/>
    </row>
    <row r="74" spans="3:5">
      <c r="C74" s="140">
        <v>3.9169999999999998</v>
      </c>
      <c r="D74" s="100"/>
      <c r="E74" s="100"/>
    </row>
    <row r="75" spans="3:5">
      <c r="C75" s="140">
        <v>3.95</v>
      </c>
      <c r="D75" s="100"/>
      <c r="E75" s="100"/>
    </row>
    <row r="76" spans="3:5">
      <c r="C76" s="140">
        <v>3.9660000000000002</v>
      </c>
      <c r="D76" s="100"/>
      <c r="E76" s="100"/>
    </row>
    <row r="77" spans="3:5">
      <c r="C77" s="140">
        <v>3.9670000000000001</v>
      </c>
      <c r="D77" s="100"/>
      <c r="E77" s="100"/>
    </row>
    <row r="78" spans="3:5">
      <c r="C78" s="140">
        <v>4</v>
      </c>
      <c r="D78" s="100"/>
      <c r="E78" s="100"/>
    </row>
    <row r="79" spans="3:5">
      <c r="C79" s="140">
        <v>4.0330000000000004</v>
      </c>
      <c r="D79" s="100"/>
      <c r="E79" s="100"/>
    </row>
    <row r="80" spans="3:5">
      <c r="C80" s="140">
        <v>4.05</v>
      </c>
      <c r="D80" s="100"/>
      <c r="E80" s="100"/>
    </row>
    <row r="81" spans="3:5">
      <c r="C81" s="140">
        <v>4.0670000000000002</v>
      </c>
      <c r="D81" s="100"/>
      <c r="E81" s="100"/>
    </row>
    <row r="82" spans="3:5">
      <c r="C82" s="140">
        <v>4.0830000000000002</v>
      </c>
      <c r="D82" s="100"/>
      <c r="E82" s="100"/>
    </row>
    <row r="83" spans="3:5">
      <c r="C83" s="140">
        <v>4.0999999999999996</v>
      </c>
      <c r="D83" s="100"/>
      <c r="E83" s="100"/>
    </row>
    <row r="84" spans="3:5">
      <c r="C84" s="140">
        <v>4.117</v>
      </c>
      <c r="D84" s="100"/>
      <c r="E84" s="100"/>
    </row>
    <row r="85" spans="3:5">
      <c r="C85" s="140">
        <v>4.133</v>
      </c>
      <c r="D85" s="100"/>
      <c r="E85" s="100"/>
    </row>
    <row r="86" spans="3:5">
      <c r="C86" s="140">
        <v>4.1500000000000004</v>
      </c>
      <c r="D86" s="100"/>
      <c r="E86" s="100"/>
    </row>
    <row r="87" spans="3:5">
      <c r="C87" s="140">
        <v>4.1669999999999998</v>
      </c>
      <c r="D87" s="100"/>
      <c r="E87" s="100"/>
    </row>
    <row r="88" spans="3:5">
      <c r="C88" s="140">
        <v>4.1829999999999998</v>
      </c>
      <c r="D88" s="100"/>
      <c r="E88" s="100"/>
    </row>
    <row r="89" spans="3:5">
      <c r="C89" s="140">
        <v>4.2</v>
      </c>
      <c r="D89" s="100"/>
      <c r="E89" s="100"/>
    </row>
    <row r="90" spans="3:5">
      <c r="C90" s="140">
        <v>4.2329999999999997</v>
      </c>
      <c r="D90" s="100"/>
      <c r="E90" s="100"/>
    </row>
    <row r="91" spans="3:5">
      <c r="C91" s="140">
        <v>4.25</v>
      </c>
      <c r="D91" s="100"/>
      <c r="E91" s="100"/>
    </row>
    <row r="92" spans="3:5">
      <c r="C92" s="140">
        <v>4.2670000000000003</v>
      </c>
      <c r="D92" s="100"/>
      <c r="E92" s="100"/>
    </row>
    <row r="93" spans="3:5">
      <c r="C93" s="140">
        <v>4.2830000000000004</v>
      </c>
      <c r="D93" s="100"/>
      <c r="E93" s="100"/>
    </row>
    <row r="94" spans="3:5">
      <c r="C94" s="140">
        <v>4.3</v>
      </c>
      <c r="D94" s="100"/>
      <c r="E94" s="100"/>
    </row>
    <row r="95" spans="3:5">
      <c r="C95" s="140">
        <v>4.3170000000000002</v>
      </c>
      <c r="D95" s="100"/>
      <c r="E95" s="100"/>
    </row>
    <row r="96" spans="3:5">
      <c r="C96" s="140">
        <v>4.3330000000000002</v>
      </c>
      <c r="D96" s="100"/>
      <c r="E96" s="100"/>
    </row>
    <row r="97" spans="3:5">
      <c r="C97" s="140">
        <v>4.3499999999999996</v>
      </c>
      <c r="D97" s="100"/>
      <c r="E97" s="100"/>
    </row>
    <row r="98" spans="3:5">
      <c r="C98" s="140">
        <v>4.3659999999999997</v>
      </c>
      <c r="D98" s="100"/>
      <c r="E98" s="100"/>
    </row>
    <row r="99" spans="3:5">
      <c r="C99" s="140">
        <v>4.367</v>
      </c>
      <c r="D99" s="100"/>
      <c r="E99" s="100"/>
    </row>
    <row r="100" spans="3:5">
      <c r="C100" s="140">
        <v>4.383</v>
      </c>
      <c r="D100" s="100"/>
      <c r="E100" s="100"/>
    </row>
    <row r="101" spans="3:5">
      <c r="C101" s="140">
        <v>4.4000000000000004</v>
      </c>
      <c r="D101" s="100"/>
      <c r="E101" s="100"/>
    </row>
    <row r="102" spans="3:5">
      <c r="C102" s="140">
        <v>4.4169999999999998</v>
      </c>
      <c r="D102" s="100"/>
      <c r="E102" s="100"/>
    </row>
    <row r="103" spans="3:5">
      <c r="C103" s="140">
        <v>4.4329999999999998</v>
      </c>
      <c r="D103" s="100"/>
      <c r="E103" s="100"/>
    </row>
    <row r="104" spans="3:5">
      <c r="C104" s="140">
        <v>4.45</v>
      </c>
      <c r="D104" s="100"/>
      <c r="E104" s="100"/>
    </row>
    <row r="105" spans="3:5">
      <c r="C105" s="140">
        <v>4.4669999999999996</v>
      </c>
      <c r="D105" s="100"/>
      <c r="E105" s="100"/>
    </row>
    <row r="106" spans="3:5">
      <c r="C106" s="140">
        <v>4.4829999999999997</v>
      </c>
      <c r="D106" s="100"/>
      <c r="E106" s="100"/>
    </row>
    <row r="107" spans="3:5">
      <c r="C107" s="140">
        <v>4.5</v>
      </c>
      <c r="D107" s="100"/>
      <c r="E107" s="100"/>
    </row>
    <row r="108" spans="3:5">
      <c r="C108" s="140">
        <v>4.5170000000000003</v>
      </c>
      <c r="D108" s="100"/>
      <c r="E108" s="100"/>
    </row>
    <row r="109" spans="3:5">
      <c r="C109" s="140">
        <v>4.5330000000000004</v>
      </c>
      <c r="D109" s="100"/>
      <c r="E109" s="100"/>
    </row>
    <row r="110" spans="3:5">
      <c r="C110" s="140">
        <v>4.55</v>
      </c>
      <c r="D110" s="100"/>
      <c r="E110" s="100"/>
    </row>
    <row r="111" spans="3:5">
      <c r="C111" s="140">
        <v>4.5670000000000002</v>
      </c>
      <c r="D111" s="100"/>
      <c r="E111" s="100"/>
    </row>
    <row r="112" spans="3:5">
      <c r="C112" s="140">
        <v>4.5830000000000002</v>
      </c>
      <c r="D112" s="100"/>
      <c r="E112" s="100"/>
    </row>
    <row r="113" spans="3:5">
      <c r="C113" s="140">
        <v>4.5999999999999996</v>
      </c>
      <c r="D113" s="100"/>
      <c r="E113" s="100"/>
    </row>
    <row r="114" spans="3:5">
      <c r="C114" s="140">
        <v>4.617</v>
      </c>
      <c r="D114" s="100"/>
      <c r="E114" s="100"/>
    </row>
    <row r="115" spans="3:5">
      <c r="C115" s="140">
        <v>4.633</v>
      </c>
      <c r="D115" s="100"/>
      <c r="E115" s="100"/>
    </row>
    <row r="116" spans="3:5">
      <c r="C116" s="140">
        <v>4.6500000000000004</v>
      </c>
      <c r="D116" s="100"/>
      <c r="E116" s="100"/>
    </row>
    <row r="117" spans="3:5">
      <c r="C117" s="140">
        <v>4.6669999999999998</v>
      </c>
      <c r="D117" s="100"/>
      <c r="E117" s="100"/>
    </row>
    <row r="118" spans="3:5">
      <c r="C118" s="140">
        <v>4.7</v>
      </c>
      <c r="D118" s="100"/>
      <c r="E118" s="100"/>
    </row>
    <row r="119" spans="3:5">
      <c r="C119" s="140">
        <v>4.7160000000000002</v>
      </c>
      <c r="D119" s="100"/>
      <c r="E119" s="100"/>
    </row>
    <row r="120" spans="3:5">
      <c r="C120" s="140">
        <v>4.7329999999999997</v>
      </c>
      <c r="D120" s="100"/>
      <c r="E120" s="100"/>
    </row>
    <row r="121" spans="3:5">
      <c r="C121" s="140">
        <v>4.75</v>
      </c>
      <c r="D121" s="100"/>
      <c r="E121" s="100"/>
    </row>
    <row r="122" spans="3:5">
      <c r="C122" s="140">
        <v>4.7670000000000003</v>
      </c>
      <c r="D122" s="100"/>
      <c r="E122" s="100"/>
    </row>
    <row r="123" spans="3:5">
      <c r="C123" s="140">
        <v>4.7830000000000004</v>
      </c>
      <c r="D123" s="100"/>
      <c r="E123" s="100"/>
    </row>
    <row r="124" spans="3:5">
      <c r="C124" s="140">
        <v>4.8</v>
      </c>
      <c r="D124" s="100"/>
      <c r="E124" s="100"/>
    </row>
    <row r="125" spans="3:5">
      <c r="C125" s="140">
        <v>4.8170000000000002</v>
      </c>
      <c r="D125" s="100"/>
      <c r="E125" s="100"/>
    </row>
    <row r="126" spans="3:5">
      <c r="C126" s="140">
        <v>4.8330000000000002</v>
      </c>
      <c r="D126" s="100"/>
      <c r="E126" s="100"/>
    </row>
    <row r="127" spans="3:5">
      <c r="C127" s="140">
        <v>4.8499999999999996</v>
      </c>
      <c r="D127" s="100"/>
      <c r="E127" s="100"/>
    </row>
    <row r="128" spans="3:5">
      <c r="C128" s="140">
        <v>4.883</v>
      </c>
      <c r="D128" s="100"/>
      <c r="E128" s="100"/>
    </row>
    <row r="129" spans="3:5">
      <c r="C129" s="140">
        <v>4.9000000000000004</v>
      </c>
      <c r="D129" s="100"/>
      <c r="E129" s="100"/>
    </row>
    <row r="130" spans="3:5">
      <c r="C130" s="140">
        <v>4.9329999999999998</v>
      </c>
      <c r="D130" s="100"/>
      <c r="E130" s="100"/>
    </row>
    <row r="131" spans="3:5">
      <c r="C131" s="140">
        <v>5</v>
      </c>
      <c r="D131" s="100"/>
      <c r="E131" s="100"/>
    </row>
    <row r="132" spans="3:5">
      <c r="C132" s="140">
        <v>5.0330000000000004</v>
      </c>
      <c r="D132" s="100"/>
      <c r="E132" s="100"/>
    </row>
    <row r="133" spans="3:5">
      <c r="C133" s="140">
        <v>5.0670000000000002</v>
      </c>
      <c r="D133" s="100"/>
      <c r="E133" s="100"/>
    </row>
    <row r="134" spans="3:5">
      <c r="C134" s="140">
        <v>5.0999999999999996</v>
      </c>
      <c r="D134" s="100"/>
      <c r="E134" s="100"/>
    </row>
    <row r="135" spans="3:5">
      <c r="C135" s="140" t="s">
        <v>66</v>
      </c>
      <c r="D135" s="100"/>
      <c r="E135" s="100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4"/>
    </row>
    <row r="3" spans="1:16" ht="4.95" customHeight="1">
      <c r="B3" s="1"/>
      <c r="C3" s="4"/>
      <c r="P3" s="93"/>
    </row>
    <row r="4" spans="1:16" ht="19.95" customHeight="1">
      <c r="B4" s="1"/>
      <c r="C4" s="4"/>
      <c r="P4" s="95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8"/>
      <c r="P2" s="94"/>
    </row>
    <row r="3" spans="2:16" ht="4.95" customHeight="1">
      <c r="B3" s="40"/>
      <c r="C3" s="96"/>
      <c r="D3" s="97"/>
      <c r="P3" s="93"/>
    </row>
    <row r="4" spans="2:16" ht="19.95" customHeight="1">
      <c r="B4" s="40"/>
      <c r="C4" s="96"/>
      <c r="D4" s="97"/>
      <c r="P4" s="95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2026-05-25T06:54:06Z</dcterms:modified>
</cp:coreProperties>
</file>